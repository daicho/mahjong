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3A777D23-5B68-415C-ABD1-4CDF40594FD5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380" r:id="rId2"/>
    <sheet name="かこたろう" sheetId="2381" r:id="rId3"/>
    <sheet name="ともき" sheetId="2382" r:id="rId4"/>
    <sheet name="りくと" sheetId="2383" r:id="rId5"/>
    <sheet name="いっしー" sheetId="2384" r:id="rId6"/>
    <sheet name="がくと" sheetId="2385" r:id="rId7"/>
    <sheet name="たかの" sheetId="2386" r:id="rId8"/>
    <sheet name="ただ" sheetId="2387" r:id="rId9"/>
    <sheet name="やがさき" sheetId="2388" r:id="rId10"/>
    <sheet name="れんたろう" sheetId="2389" r:id="rId11"/>
    <sheet name="あさひ" sheetId="2390" r:id="rId12"/>
    <sheet name="Template" sheetId="2228" state="hidden" r:id="rId13"/>
    <sheet name="Cache" sheetId="2227" state="hidden" r:id="rId14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390" l="1"/>
  <c r="H50" i="2390"/>
  <c r="H49" i="2390"/>
  <c r="H48" i="2390"/>
  <c r="H47" i="2390"/>
  <c r="H46" i="2390"/>
  <c r="H45" i="2390"/>
  <c r="H44" i="2390"/>
  <c r="H43" i="2390"/>
  <c r="H42" i="2390"/>
  <c r="H41" i="2390"/>
  <c r="H40" i="2390"/>
  <c r="H39" i="2390"/>
  <c r="H38" i="2390"/>
  <c r="H37" i="2390"/>
  <c r="H36" i="2390"/>
  <c r="H35" i="2390"/>
  <c r="H34" i="2390"/>
  <c r="H33" i="2390"/>
  <c r="H32" i="2390"/>
  <c r="H31" i="2390"/>
  <c r="H30" i="2390"/>
  <c r="H10" i="2390"/>
  <c r="H29" i="2390"/>
  <c r="H28" i="2390"/>
  <c r="H6" i="2390"/>
  <c r="H27" i="2390"/>
  <c r="H26" i="2390"/>
  <c r="H25" i="2390"/>
  <c r="C23" i="2390"/>
  <c r="H24" i="2390"/>
  <c r="C22" i="2390"/>
  <c r="H23" i="2390"/>
  <c r="B21" i="2390"/>
  <c r="H22" i="2390"/>
  <c r="B20" i="2390"/>
  <c r="H21" i="2390"/>
  <c r="C19" i="2390"/>
  <c r="H20" i="2390"/>
  <c r="C18" i="2390"/>
  <c r="H19" i="2390"/>
  <c r="C17" i="2390"/>
  <c r="H18" i="2390"/>
  <c r="C16" i="2390"/>
  <c r="B16" i="2390"/>
  <c r="H17" i="2390"/>
  <c r="C15" i="2390"/>
  <c r="H16" i="2390"/>
  <c r="C14" i="2390"/>
  <c r="H15" i="2390"/>
  <c r="C13" i="2390"/>
  <c r="H14" i="2390"/>
  <c r="C12" i="2390"/>
  <c r="H5" i="2390"/>
  <c r="C11" i="2390"/>
  <c r="H13" i="2390"/>
  <c r="C10" i="2390"/>
  <c r="H9" i="2390"/>
  <c r="C9" i="2390"/>
  <c r="H12" i="2390"/>
  <c r="C8" i="2390"/>
  <c r="N7" i="2390"/>
  <c r="H11" i="2390"/>
  <c r="C7" i="2390"/>
  <c r="N6" i="2390"/>
  <c r="H3" i="2390"/>
  <c r="B6" i="2390"/>
  <c r="N5" i="2390"/>
  <c r="H4" i="2390"/>
  <c r="B5" i="2390"/>
  <c r="N4" i="2390"/>
  <c r="H8" i="2390"/>
  <c r="N3" i="2390"/>
  <c r="H7" i="2390"/>
  <c r="N2" i="2390"/>
  <c r="H2" i="2390"/>
  <c r="H51" i="2389" l="1"/>
  <c r="H50" i="2389"/>
  <c r="H49" i="2389"/>
  <c r="H48" i="2389"/>
  <c r="H47" i="2389"/>
  <c r="H46" i="2389"/>
  <c r="H45" i="2389"/>
  <c r="H44" i="2389"/>
  <c r="H43" i="2389"/>
  <c r="H42" i="2389"/>
  <c r="H41" i="2389"/>
  <c r="H40" i="2389"/>
  <c r="H39" i="2389"/>
  <c r="H38" i="2389"/>
  <c r="H37" i="2389"/>
  <c r="H36" i="2389"/>
  <c r="H35" i="2389"/>
  <c r="H34" i="2389"/>
  <c r="H18" i="2389"/>
  <c r="H33" i="2389"/>
  <c r="H32" i="2389"/>
  <c r="H31" i="2389"/>
  <c r="H8" i="2389"/>
  <c r="H30" i="2389"/>
  <c r="H29" i="2389"/>
  <c r="H14" i="2389"/>
  <c r="H28" i="2389"/>
  <c r="H27" i="2389"/>
  <c r="H13" i="2389"/>
  <c r="C23" i="2389"/>
  <c r="H26" i="2389"/>
  <c r="C22" i="2389"/>
  <c r="H16" i="2389"/>
  <c r="B21" i="2389"/>
  <c r="H25" i="2389"/>
  <c r="H24" i="2389"/>
  <c r="C19" i="2389"/>
  <c r="H23" i="2389"/>
  <c r="C18" i="2389"/>
  <c r="H11" i="2389"/>
  <c r="C17" i="2389"/>
  <c r="H22" i="2389"/>
  <c r="B16" i="2389"/>
  <c r="B20" i="2389" s="1"/>
  <c r="H21" i="2389"/>
  <c r="C15" i="2389"/>
  <c r="H17" i="2389"/>
  <c r="C14" i="2389"/>
  <c r="H20" i="2389"/>
  <c r="C13" i="2389"/>
  <c r="H15" i="2389"/>
  <c r="C12" i="2389"/>
  <c r="H3" i="2389"/>
  <c r="C11" i="2389"/>
  <c r="H19" i="2389"/>
  <c r="C10" i="2389"/>
  <c r="H10" i="2389"/>
  <c r="C9" i="2389"/>
  <c r="H9" i="2389"/>
  <c r="C8" i="2389"/>
  <c r="N7" i="2389"/>
  <c r="H7" i="2389"/>
  <c r="C7" i="2389"/>
  <c r="N6" i="2389"/>
  <c r="H2" i="2389"/>
  <c r="B6" i="2389"/>
  <c r="N5" i="2389"/>
  <c r="H6" i="2389"/>
  <c r="B5" i="2389"/>
  <c r="N4" i="2389"/>
  <c r="H4" i="2389"/>
  <c r="N3" i="2389"/>
  <c r="H12" i="2389"/>
  <c r="N2" i="2389"/>
  <c r="H5" i="2389"/>
  <c r="C16" i="2389" l="1"/>
  <c r="H51" i="2388" l="1"/>
  <c r="H50" i="2388"/>
  <c r="H49" i="2388"/>
  <c r="H48" i="2388"/>
  <c r="H47" i="2388"/>
  <c r="H46" i="2388"/>
  <c r="H45" i="2388"/>
  <c r="H44" i="2388"/>
  <c r="H43" i="2388"/>
  <c r="H42" i="2388"/>
  <c r="H41" i="2388"/>
  <c r="H40" i="2388"/>
  <c r="H39" i="2388"/>
  <c r="H38" i="2388"/>
  <c r="H37" i="2388"/>
  <c r="H36" i="2388"/>
  <c r="H35" i="2388"/>
  <c r="H34" i="2388"/>
  <c r="H33" i="2388"/>
  <c r="H32" i="2388"/>
  <c r="H31" i="2388"/>
  <c r="H30" i="2388"/>
  <c r="H29" i="2388"/>
  <c r="H28" i="2388"/>
  <c r="H27" i="2388"/>
  <c r="H26" i="2388"/>
  <c r="H25" i="2388"/>
  <c r="H24" i="2388"/>
  <c r="H23" i="2388"/>
  <c r="C23" i="2388"/>
  <c r="H22" i="2388"/>
  <c r="C22" i="2388"/>
  <c r="H21" i="2388"/>
  <c r="B21" i="2388"/>
  <c r="H20" i="2388"/>
  <c r="H19" i="2388"/>
  <c r="C19" i="2388"/>
  <c r="H18" i="2388"/>
  <c r="C18" i="2388"/>
  <c r="H17" i="2388"/>
  <c r="C17" i="2388"/>
  <c r="H16" i="2388"/>
  <c r="B16" i="2388"/>
  <c r="B20" i="2388" s="1"/>
  <c r="H15" i="2388"/>
  <c r="C15" i="2388"/>
  <c r="H14" i="2388"/>
  <c r="C14" i="2388"/>
  <c r="H13" i="2388"/>
  <c r="C13" i="2388"/>
  <c r="H12" i="2388"/>
  <c r="C12" i="2388"/>
  <c r="H11" i="2388"/>
  <c r="C11" i="2388"/>
  <c r="H10" i="2388"/>
  <c r="C10" i="2388"/>
  <c r="H9" i="2388"/>
  <c r="C9" i="2388"/>
  <c r="H8" i="2388"/>
  <c r="C8" i="2388"/>
  <c r="N7" i="2388"/>
  <c r="H7" i="2388"/>
  <c r="C7" i="2388"/>
  <c r="N6" i="2388"/>
  <c r="H6" i="2388"/>
  <c r="B6" i="2388"/>
  <c r="N5" i="2388"/>
  <c r="H5" i="2388"/>
  <c r="B5" i="2388"/>
  <c r="N4" i="2388"/>
  <c r="H4" i="2388"/>
  <c r="N3" i="2388"/>
  <c r="H3" i="2388"/>
  <c r="N2" i="2388"/>
  <c r="H2" i="2388"/>
  <c r="C16" i="2388" l="1"/>
  <c r="H51" i="2387" l="1"/>
  <c r="H50" i="2387"/>
  <c r="H49" i="2387"/>
  <c r="H48" i="2387"/>
  <c r="H47" i="2387"/>
  <c r="H46" i="2387"/>
  <c r="H45" i="2387"/>
  <c r="H44" i="2387"/>
  <c r="H43" i="2387"/>
  <c r="H42" i="2387"/>
  <c r="H41" i="2387"/>
  <c r="H40" i="2387"/>
  <c r="H39" i="2387"/>
  <c r="H38" i="2387"/>
  <c r="H37" i="2387"/>
  <c r="H36" i="2387"/>
  <c r="H35" i="2387"/>
  <c r="H34" i="2387"/>
  <c r="H33" i="2387"/>
  <c r="H32" i="2387"/>
  <c r="H18" i="2387"/>
  <c r="H31" i="2387"/>
  <c r="H9" i="2387"/>
  <c r="H30" i="2387"/>
  <c r="H29" i="2387"/>
  <c r="H13" i="2387"/>
  <c r="H28" i="2387"/>
  <c r="H27" i="2387"/>
  <c r="H17" i="2387"/>
  <c r="C23" i="2387"/>
  <c r="H26" i="2387"/>
  <c r="C22" i="2387"/>
  <c r="H16" i="2387"/>
  <c r="B21" i="2387"/>
  <c r="H25" i="2387"/>
  <c r="H24" i="2387"/>
  <c r="C19" i="2387"/>
  <c r="H23" i="2387"/>
  <c r="C18" i="2387"/>
  <c r="H14" i="2387"/>
  <c r="C17" i="2387"/>
  <c r="H22" i="2387"/>
  <c r="B16" i="2387"/>
  <c r="B20" i="2387" s="1"/>
  <c r="H21" i="2387"/>
  <c r="C15" i="2387"/>
  <c r="H20" i="2387"/>
  <c r="C14" i="2387"/>
  <c r="H15" i="2387"/>
  <c r="C13" i="2387"/>
  <c r="H19" i="2387"/>
  <c r="C12" i="2387"/>
  <c r="H5" i="2387"/>
  <c r="C11" i="2387"/>
  <c r="H12" i="2387"/>
  <c r="C10" i="2387"/>
  <c r="H11" i="2387"/>
  <c r="C9" i="2387"/>
  <c r="H8" i="2387"/>
  <c r="C8" i="2387"/>
  <c r="N7" i="2387"/>
  <c r="H7" i="2387"/>
  <c r="C7" i="2387"/>
  <c r="N6" i="2387"/>
  <c r="H3" i="2387"/>
  <c r="B6" i="2387"/>
  <c r="N5" i="2387"/>
  <c r="H6" i="2387"/>
  <c r="B5" i="2387"/>
  <c r="N4" i="2387"/>
  <c r="H2" i="2387"/>
  <c r="N3" i="2387"/>
  <c r="H10" i="2387"/>
  <c r="N2" i="2387"/>
  <c r="H4" i="2387"/>
  <c r="H51" i="2386"/>
  <c r="H50" i="2386"/>
  <c r="H49" i="2386"/>
  <c r="H48" i="2386"/>
  <c r="H47" i="2386"/>
  <c r="H46" i="2386"/>
  <c r="H45" i="2386"/>
  <c r="H44" i="2386"/>
  <c r="H43" i="2386"/>
  <c r="H42" i="2386"/>
  <c r="H41" i="2386"/>
  <c r="H40" i="2386"/>
  <c r="H39" i="2386"/>
  <c r="H38" i="2386"/>
  <c r="H37" i="2386"/>
  <c r="H36" i="2386"/>
  <c r="H35" i="2386"/>
  <c r="H34" i="2386"/>
  <c r="H33" i="2386"/>
  <c r="H32" i="2386"/>
  <c r="H31" i="2386"/>
  <c r="H30" i="2386"/>
  <c r="H8" i="2386"/>
  <c r="H29" i="2386"/>
  <c r="H28" i="2386"/>
  <c r="H10" i="2386"/>
  <c r="H27" i="2386"/>
  <c r="H26" i="2386"/>
  <c r="H16" i="2386"/>
  <c r="C23" i="2386"/>
  <c r="H25" i="2386"/>
  <c r="C22" i="2386"/>
  <c r="H15" i="2386"/>
  <c r="B21" i="2386"/>
  <c r="H24" i="2386"/>
  <c r="H23" i="2386"/>
  <c r="C19" i="2386"/>
  <c r="H9" i="2386"/>
  <c r="C18" i="2386"/>
  <c r="H14" i="2386"/>
  <c r="C17" i="2386"/>
  <c r="H22" i="2386"/>
  <c r="B16" i="2386"/>
  <c r="B20" i="2386" s="1"/>
  <c r="H21" i="2386"/>
  <c r="C15" i="2386"/>
  <c r="H13" i="2386"/>
  <c r="C14" i="2386"/>
  <c r="H20" i="2386"/>
  <c r="C13" i="2386"/>
  <c r="H19" i="2386"/>
  <c r="C12" i="2386"/>
  <c r="H4" i="2386"/>
  <c r="C11" i="2386"/>
  <c r="H18" i="2386"/>
  <c r="C10" i="2386"/>
  <c r="H12" i="2386"/>
  <c r="C9" i="2386"/>
  <c r="H11" i="2386"/>
  <c r="C8" i="2386"/>
  <c r="N7" i="2386"/>
  <c r="H7" i="2386"/>
  <c r="C7" i="2386"/>
  <c r="N6" i="2386"/>
  <c r="H2" i="2386"/>
  <c r="B6" i="2386"/>
  <c r="N5" i="2386"/>
  <c r="H17" i="2386"/>
  <c r="B5" i="2386"/>
  <c r="N4" i="2386"/>
  <c r="H3" i="2386"/>
  <c r="N3" i="2386"/>
  <c r="H6" i="2386"/>
  <c r="N2" i="2386"/>
  <c r="H5" i="2386"/>
  <c r="C16" i="2387" l="1"/>
  <c r="C16" i="2386"/>
  <c r="H51" i="2385" l="1"/>
  <c r="H50" i="2385"/>
  <c r="H49" i="2385"/>
  <c r="H48" i="2385"/>
  <c r="H47" i="2385"/>
  <c r="H46" i="2385"/>
  <c r="H45" i="2385"/>
  <c r="H44" i="2385"/>
  <c r="H43" i="2385"/>
  <c r="H42" i="2385"/>
  <c r="H41" i="2385"/>
  <c r="H40" i="2385"/>
  <c r="H39" i="2385"/>
  <c r="H38" i="2385"/>
  <c r="H37" i="2385"/>
  <c r="H36" i="2385"/>
  <c r="H35" i="2385"/>
  <c r="H34" i="2385"/>
  <c r="H33" i="2385"/>
  <c r="H32" i="2385"/>
  <c r="H31" i="2385"/>
  <c r="H30" i="2385"/>
  <c r="H29" i="2385"/>
  <c r="H28" i="2385"/>
  <c r="H27" i="2385"/>
  <c r="H26" i="2385"/>
  <c r="H25" i="2385"/>
  <c r="H24" i="2385"/>
  <c r="H23" i="2385"/>
  <c r="C23" i="2385"/>
  <c r="H22" i="2385"/>
  <c r="C22" i="2385"/>
  <c r="H21" i="2385"/>
  <c r="B21" i="2385"/>
  <c r="H20" i="2385"/>
  <c r="H19" i="2385"/>
  <c r="C19" i="2385"/>
  <c r="H18" i="2385"/>
  <c r="C18" i="2385"/>
  <c r="H17" i="2385"/>
  <c r="C17" i="2385"/>
  <c r="H16" i="2385"/>
  <c r="B16" i="2385"/>
  <c r="B20" i="2385" s="1"/>
  <c r="H15" i="2385"/>
  <c r="C15" i="2385"/>
  <c r="H14" i="2385"/>
  <c r="C14" i="2385"/>
  <c r="H13" i="2385"/>
  <c r="C13" i="2385"/>
  <c r="H12" i="2385"/>
  <c r="C12" i="2385"/>
  <c r="H11" i="2385"/>
  <c r="C11" i="2385"/>
  <c r="H10" i="2385"/>
  <c r="C10" i="2385"/>
  <c r="H9" i="2385"/>
  <c r="C9" i="2385"/>
  <c r="H8" i="2385"/>
  <c r="C8" i="2385"/>
  <c r="N7" i="2385"/>
  <c r="H7" i="2385"/>
  <c r="C7" i="2385"/>
  <c r="N6" i="2385"/>
  <c r="H6" i="2385"/>
  <c r="B6" i="2385"/>
  <c r="N5" i="2385"/>
  <c r="H5" i="2385"/>
  <c r="B5" i="2385"/>
  <c r="N4" i="2385"/>
  <c r="H4" i="2385"/>
  <c r="N3" i="2385"/>
  <c r="H3" i="2385"/>
  <c r="N2" i="2385"/>
  <c r="H2" i="2385"/>
  <c r="C16" i="2385" l="1"/>
  <c r="H51" i="2384" l="1"/>
  <c r="H50" i="2384"/>
  <c r="H49" i="2384"/>
  <c r="H48" i="2384"/>
  <c r="H47" i="2384"/>
  <c r="H46" i="2384"/>
  <c r="H45" i="2384"/>
  <c r="H44" i="2384"/>
  <c r="H43" i="2384"/>
  <c r="H42" i="2384"/>
  <c r="H41" i="2384"/>
  <c r="H40" i="2384"/>
  <c r="H39" i="2384"/>
  <c r="H38" i="2384"/>
  <c r="H37" i="2384"/>
  <c r="H36" i="2384"/>
  <c r="H35" i="2384"/>
  <c r="H34" i="2384"/>
  <c r="H33" i="2384"/>
  <c r="H32" i="2384"/>
  <c r="H31" i="2384"/>
  <c r="H30" i="2384"/>
  <c r="H12" i="2384"/>
  <c r="H29" i="2384"/>
  <c r="H28" i="2384"/>
  <c r="H27" i="2384"/>
  <c r="H26" i="2384"/>
  <c r="H25" i="2384"/>
  <c r="H8" i="2384"/>
  <c r="C23" i="2384"/>
  <c r="H24" i="2384"/>
  <c r="C22" i="2384"/>
  <c r="H10" i="2384"/>
  <c r="B21" i="2384"/>
  <c r="H23" i="2384"/>
  <c r="H22" i="2384"/>
  <c r="C19" i="2384"/>
  <c r="H21" i="2384"/>
  <c r="C18" i="2384"/>
  <c r="H20" i="2384"/>
  <c r="C17" i="2384"/>
  <c r="H19" i="2384"/>
  <c r="B16" i="2384"/>
  <c r="B20" i="2384" s="1"/>
  <c r="H18" i="2384"/>
  <c r="C15" i="2384"/>
  <c r="H17" i="2384"/>
  <c r="C14" i="2384"/>
  <c r="H16" i="2384"/>
  <c r="C13" i="2384"/>
  <c r="H15" i="2384"/>
  <c r="C12" i="2384"/>
  <c r="H4" i="2384"/>
  <c r="C11" i="2384"/>
  <c r="H14" i="2384"/>
  <c r="C10" i="2384"/>
  <c r="H13" i="2384"/>
  <c r="C9" i="2384"/>
  <c r="H9" i="2384"/>
  <c r="C8" i="2384"/>
  <c r="N7" i="2384"/>
  <c r="H7" i="2384"/>
  <c r="C7" i="2384"/>
  <c r="N6" i="2384"/>
  <c r="H3" i="2384"/>
  <c r="B6" i="2384"/>
  <c r="N5" i="2384"/>
  <c r="H6" i="2384"/>
  <c r="B5" i="2384"/>
  <c r="N4" i="2384"/>
  <c r="H2" i="2384"/>
  <c r="N3" i="2384"/>
  <c r="H11" i="2384"/>
  <c r="N2" i="2384"/>
  <c r="H5" i="2384"/>
  <c r="H51" i="2383"/>
  <c r="H50" i="2383"/>
  <c r="H49" i="2383"/>
  <c r="H48" i="2383"/>
  <c r="H47" i="2383"/>
  <c r="H46" i="2383"/>
  <c r="H45" i="2383"/>
  <c r="H44" i="2383"/>
  <c r="H43" i="2383"/>
  <c r="H42" i="2383"/>
  <c r="H41" i="2383"/>
  <c r="H40" i="2383"/>
  <c r="H39" i="2383"/>
  <c r="H38" i="2383"/>
  <c r="H37" i="2383"/>
  <c r="H36" i="2383"/>
  <c r="H35" i="2383"/>
  <c r="H34" i="2383"/>
  <c r="H33" i="2383"/>
  <c r="H19" i="2383"/>
  <c r="H14" i="2383"/>
  <c r="H32" i="2383"/>
  <c r="H9" i="2383"/>
  <c r="H24" i="2383"/>
  <c r="H23" i="2383"/>
  <c r="H12" i="2383"/>
  <c r="H22" i="2383"/>
  <c r="H21" i="2383"/>
  <c r="H13" i="2383"/>
  <c r="C23" i="2383"/>
  <c r="H31" i="2383"/>
  <c r="C22" i="2383"/>
  <c r="H15" i="2383"/>
  <c r="B21" i="2383"/>
  <c r="H20" i="2383"/>
  <c r="H30" i="2383"/>
  <c r="C19" i="2383"/>
  <c r="H18" i="2383"/>
  <c r="C18" i="2383"/>
  <c r="H17" i="2383"/>
  <c r="C17" i="2383"/>
  <c r="H29" i="2383"/>
  <c r="B16" i="2383"/>
  <c r="B20" i="2383" s="1"/>
  <c r="H28" i="2383"/>
  <c r="C15" i="2383"/>
  <c r="H27" i="2383"/>
  <c r="C14" i="2383"/>
  <c r="H26" i="2383"/>
  <c r="C13" i="2383"/>
  <c r="H25" i="2383"/>
  <c r="C12" i="2383"/>
  <c r="H5" i="2383"/>
  <c r="C11" i="2383"/>
  <c r="H16" i="2383"/>
  <c r="C10" i="2383"/>
  <c r="H8" i="2383"/>
  <c r="C9" i="2383"/>
  <c r="H10" i="2383"/>
  <c r="C8" i="2383"/>
  <c r="N7" i="2383"/>
  <c r="H6" i="2383"/>
  <c r="C7" i="2383"/>
  <c r="N6" i="2383"/>
  <c r="H2" i="2383"/>
  <c r="B6" i="2383"/>
  <c r="N5" i="2383"/>
  <c r="H7" i="2383"/>
  <c r="B5" i="2383"/>
  <c r="N4" i="2383"/>
  <c r="H3" i="2383"/>
  <c r="N3" i="2383"/>
  <c r="H11" i="2383"/>
  <c r="N2" i="2383"/>
  <c r="H4" i="2383"/>
  <c r="C16" i="2384" l="1"/>
  <c r="C16" i="2383"/>
  <c r="H51" i="2382" l="1"/>
  <c r="H50" i="2382"/>
  <c r="H49" i="2382"/>
  <c r="H48" i="2382"/>
  <c r="H47" i="2382"/>
  <c r="H46" i="2382"/>
  <c r="H45" i="2382"/>
  <c r="H44" i="2382"/>
  <c r="H43" i="2382"/>
  <c r="H42" i="2382"/>
  <c r="H41" i="2382"/>
  <c r="H40" i="2382"/>
  <c r="H39" i="2382"/>
  <c r="H38" i="2382"/>
  <c r="H37" i="2382"/>
  <c r="H36" i="2382"/>
  <c r="H35" i="2382"/>
  <c r="H34" i="2382"/>
  <c r="H33" i="2382"/>
  <c r="H32" i="2382"/>
  <c r="H31" i="2382"/>
  <c r="H30" i="2382"/>
  <c r="H29" i="2382"/>
  <c r="H28" i="2382"/>
  <c r="H27" i="2382"/>
  <c r="H26" i="2382"/>
  <c r="H25" i="2382"/>
  <c r="H24" i="2382"/>
  <c r="H23" i="2382"/>
  <c r="C23" i="2382"/>
  <c r="H22" i="2382"/>
  <c r="C22" i="2382"/>
  <c r="H21" i="2382"/>
  <c r="B21" i="2382"/>
  <c r="H20" i="2382"/>
  <c r="B20" i="2382"/>
  <c r="H19" i="2382"/>
  <c r="C19" i="2382"/>
  <c r="H18" i="2382"/>
  <c r="C18" i="2382"/>
  <c r="H17" i="2382"/>
  <c r="C17" i="2382"/>
  <c r="H16" i="2382"/>
  <c r="C16" i="2382"/>
  <c r="B16" i="2382"/>
  <c r="H15" i="2382"/>
  <c r="C15" i="2382"/>
  <c r="H14" i="2382"/>
  <c r="C14" i="2382"/>
  <c r="H13" i="2382"/>
  <c r="C13" i="2382"/>
  <c r="H12" i="2382"/>
  <c r="C12" i="2382"/>
  <c r="H11" i="2382"/>
  <c r="C11" i="2382"/>
  <c r="H10" i="2382"/>
  <c r="C10" i="2382"/>
  <c r="H9" i="2382"/>
  <c r="C9" i="2382"/>
  <c r="H8" i="2382"/>
  <c r="C8" i="2382"/>
  <c r="N7" i="2382"/>
  <c r="H7" i="2382"/>
  <c r="C7" i="2382"/>
  <c r="N6" i="2382"/>
  <c r="H6" i="2382"/>
  <c r="B6" i="2382"/>
  <c r="N5" i="2382"/>
  <c r="H5" i="2382"/>
  <c r="B5" i="2382"/>
  <c r="N4" i="2382"/>
  <c r="H4" i="2382"/>
  <c r="N3" i="2382"/>
  <c r="H3" i="2382"/>
  <c r="N2" i="2382"/>
  <c r="H2" i="2382"/>
  <c r="H51" i="2381"/>
  <c r="H50" i="2381"/>
  <c r="H49" i="2381"/>
  <c r="H48" i="2381"/>
  <c r="H47" i="2381"/>
  <c r="H46" i="2381"/>
  <c r="H45" i="2381"/>
  <c r="H44" i="2381"/>
  <c r="H43" i="2381"/>
  <c r="H42" i="2381"/>
  <c r="H41" i="2381"/>
  <c r="H40" i="2381"/>
  <c r="H39" i="2381"/>
  <c r="H38" i="2381"/>
  <c r="H37" i="2381"/>
  <c r="H36" i="2381"/>
  <c r="H35" i="2381"/>
  <c r="H34" i="2381"/>
  <c r="H33" i="2381"/>
  <c r="H32" i="2381"/>
  <c r="H31" i="2381"/>
  <c r="H30" i="2381"/>
  <c r="H29" i="2381"/>
  <c r="H28" i="2381"/>
  <c r="H27" i="2381"/>
  <c r="H26" i="2381"/>
  <c r="H25" i="2381"/>
  <c r="H24" i="2381"/>
  <c r="H23" i="2381"/>
  <c r="C23" i="2381"/>
  <c r="H22" i="2381"/>
  <c r="C22" i="2381"/>
  <c r="H21" i="2381"/>
  <c r="B21" i="2381"/>
  <c r="H20" i="2381"/>
  <c r="B20" i="2381"/>
  <c r="H19" i="2381"/>
  <c r="C19" i="2381"/>
  <c r="H18" i="2381"/>
  <c r="C18" i="2381"/>
  <c r="H17" i="2381"/>
  <c r="C17" i="2381"/>
  <c r="H16" i="2381"/>
  <c r="C16" i="2381"/>
  <c r="B16" i="2381"/>
  <c r="H15" i="2381"/>
  <c r="C15" i="2381"/>
  <c r="H14" i="2381"/>
  <c r="C14" i="2381"/>
  <c r="H13" i="2381"/>
  <c r="C13" i="2381"/>
  <c r="H12" i="2381"/>
  <c r="C12" i="2381"/>
  <c r="H11" i="2381"/>
  <c r="C11" i="2381"/>
  <c r="H10" i="2381"/>
  <c r="C10" i="2381"/>
  <c r="H9" i="2381"/>
  <c r="C9" i="2381"/>
  <c r="H8" i="2381"/>
  <c r="C8" i="2381"/>
  <c r="N7" i="2381"/>
  <c r="H7" i="2381"/>
  <c r="C7" i="2381"/>
  <c r="N6" i="2381"/>
  <c r="H6" i="2381"/>
  <c r="B6" i="2381"/>
  <c r="N5" i="2381"/>
  <c r="H5" i="2381"/>
  <c r="B5" i="2381"/>
  <c r="N4" i="2381"/>
  <c r="H4" i="2381"/>
  <c r="N3" i="2381"/>
  <c r="H3" i="2381"/>
  <c r="N2" i="2381"/>
  <c r="H2" i="2381"/>
  <c r="H51" i="2380"/>
  <c r="H50" i="2380"/>
  <c r="H49" i="2380"/>
  <c r="H48" i="2380"/>
  <c r="H47" i="2380"/>
  <c r="H21" i="2380"/>
  <c r="H46" i="2380"/>
  <c r="H45" i="2380"/>
  <c r="H44" i="2380"/>
  <c r="H43" i="2380"/>
  <c r="H42" i="2380"/>
  <c r="H41" i="2380"/>
  <c r="H40" i="2380"/>
  <c r="H39" i="2380"/>
  <c r="H38" i="2380"/>
  <c r="H37" i="2380"/>
  <c r="H36" i="2380"/>
  <c r="H35" i="2380"/>
  <c r="H34" i="2380"/>
  <c r="H17" i="2380"/>
  <c r="H20" i="2380"/>
  <c r="H33" i="2380"/>
  <c r="H9" i="2380"/>
  <c r="H32" i="2380"/>
  <c r="H31" i="2380"/>
  <c r="H11" i="2380"/>
  <c r="H30" i="2380"/>
  <c r="H29" i="2380"/>
  <c r="H14" i="2380"/>
  <c r="C23" i="2380"/>
  <c r="H28" i="2380"/>
  <c r="C22" i="2380"/>
  <c r="H15" i="2380"/>
  <c r="B21" i="2380"/>
  <c r="H27" i="2380"/>
  <c r="H26" i="2380"/>
  <c r="C19" i="2380"/>
  <c r="H19" i="2380"/>
  <c r="C18" i="2380"/>
  <c r="H22" i="2380"/>
  <c r="C17" i="2380"/>
  <c r="H16" i="2380"/>
  <c r="B16" i="2380"/>
  <c r="B20" i="2380" s="1"/>
  <c r="H25" i="2380"/>
  <c r="C15" i="2380"/>
  <c r="H24" i="2380"/>
  <c r="C14" i="2380"/>
  <c r="H23" i="2380"/>
  <c r="C13" i="2380"/>
  <c r="H18" i="2380"/>
  <c r="C12" i="2380"/>
  <c r="H3" i="2380"/>
  <c r="C11" i="2380"/>
  <c r="H12" i="2380"/>
  <c r="C10" i="2380"/>
  <c r="H13" i="2380"/>
  <c r="C9" i="2380"/>
  <c r="H8" i="2380"/>
  <c r="C8" i="2380"/>
  <c r="N7" i="2380"/>
  <c r="H6" i="2380"/>
  <c r="C7" i="2380"/>
  <c r="N6" i="2380"/>
  <c r="H2" i="2380"/>
  <c r="B6" i="2380"/>
  <c r="N5" i="2380"/>
  <c r="H7" i="2380"/>
  <c r="B5" i="2380"/>
  <c r="N4" i="2380"/>
  <c r="H5" i="2380"/>
  <c r="N3" i="2380"/>
  <c r="H10" i="2380"/>
  <c r="N2" i="2380"/>
  <c r="H4" i="2380"/>
  <c r="C16" i="2380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<sst xmlns="http://schemas.openxmlformats.org/spreadsheetml/2006/main" count="2040" uniqueCount="220">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</sst>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2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22" fontId="0" fillId="0" borderId="24" xfId="0" applyNumberFormat="1" applyBorder="1" applyAlignment="1">
      <alignment horizontal="center" vertical="center"/>
    </xf>
    <xf numFmtId="22" fontId="0" fillId="0" borderId="25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30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0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30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0" fillId="0" borderId="35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9" xfId="0" applyNumberFormat="1" applyBorder="1" applyAlignment="1">
      <alignment horizontal="center" vertical="center" shrinkToFit="1"/>
    </xf>
    <xf numFmtId="176" fontId="0" fillId="0" borderId="40" xfId="0" applyNumberFormat="1" applyBorder="1" applyAlignment="1">
      <alignment horizontal="center" vertical="center" shrinkToFit="1"/>
    </xf>
    <xf numFmtId="176" fontId="0" fillId="0" borderId="43" xfId="0" applyNumberFormat="1" applyBorder="1" applyAlignment="1">
      <alignment horizontal="center" vertical="center" shrinkToFit="1"/>
    </xf>
    <xf numFmtId="176" fontId="0" fillId="0" borderId="4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41" xfId="0" applyNumberFormat="1" applyBorder="1" applyAlignment="1">
      <alignment horizontal="center" vertical="center" shrinkToFit="1"/>
    </xf>
    <xf numFmtId="176" fontId="0" fillId="0" borderId="42" xfId="0" applyNumberFormat="1" applyBorder="1" applyAlignment="1">
      <alignment horizontal="center" vertical="center" shrinkToFit="1"/>
    </xf>
    <xf numFmtId="178" fontId="0" fillId="0" borderId="41" xfId="0" applyNumberFormat="1" applyBorder="1" applyAlignment="1">
      <alignment horizontal="center" vertical="center" shrinkToFit="1"/>
    </xf>
    <xf numFmtId="178" fontId="0" fillId="0" borderId="42" xfId="0" applyNumberFormat="1" applyBorder="1" applyAlignment="1">
      <alignment horizontal="center" vertical="center" shrinkToFit="1"/>
    </xf>
    <xf numFmtId="180" fontId="0" fillId="0" borderId="41" xfId="0" applyNumberFormat="1" applyBorder="1" applyAlignment="1">
      <alignment horizontal="center" vertical="center" shrinkToFit="1"/>
    </xf>
    <xf numFmtId="180" fontId="0" fillId="0" borderId="42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だいち!$K$2:$K$114</c:f>
              <c:numCache>
                <c:formatCode>\+0;\-0;\±0</c:formatCode>
                <c:ptCount val="11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9-4E60-A388-BB191B8BA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912.03703703703707</c:v>
                </c:pt>
                <c:pt idx="1">
                  <c:v>1685.2941176470588</c:v>
                </c:pt>
                <c:pt idx="2">
                  <c:v>1173.4042553191489</c:v>
                </c:pt>
                <c:pt idx="3">
                  <c:v>737.34939759036149</c:v>
                </c:pt>
                <c:pt idx="4">
                  <c:v>-162.68656716417911</c:v>
                </c:pt>
                <c:pt idx="5">
                  <c:v>-768.75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1-42C2-8B82-F07F93C02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F-4224-B434-BA424923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C-426C-A9C7-52B4CD952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4-46C0-B8C3-88C39F500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5-43A8-BC23-EFF577376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りくと!$K$2:$K$80</c:f>
              <c:numCache>
                <c:formatCode>\+0;\-0;\±0</c:formatCode>
                <c:ptCount val="7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B-426F-B88F-7332923BF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-247.36842105263159</c:v>
                </c:pt>
                <c:pt idx="1">
                  <c:v>-1981.9444444444443</c:v>
                </c:pt>
                <c:pt idx="2">
                  <c:v>2028.5714285714287</c:v>
                </c:pt>
                <c:pt idx="3">
                  <c:v>-1529.0322580645161</c:v>
                </c:pt>
                <c:pt idx="4">
                  <c:v>-3830</c:v>
                </c:pt>
                <c:pt idx="5">
                  <c:v>-2654.0540540540542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1-4780-A86E-15F5DECD9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いっしー!$K$2:$K$42</c:f>
              <c:numCache>
                <c:formatCode>\+0;\-0;\±0</c:formatCode>
                <c:ptCount val="41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B-4D1A-9C1E-BF6325D14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-867.5</c:v>
                </c:pt>
                <c:pt idx="1">
                  <c:v>3084.2105263157896</c:v>
                </c:pt>
                <c:pt idx="2">
                  <c:v>-1480.5555555555557</c:v>
                </c:pt>
                <c:pt idx="3">
                  <c:v>-1212.9032258064517</c:v>
                </c:pt>
                <c:pt idx="4">
                  <c:v>8588</c:v>
                </c:pt>
                <c:pt idx="5">
                  <c:v>2146.6666666666665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0-4A52-A473-5D5523E66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93-4868-A61F-9A4C43E98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300</c:v>
                </c:pt>
                <c:pt idx="1">
                  <c:v>-16000</c:v>
                </c:pt>
                <c:pt idx="2">
                  <c:v>-1000</c:v>
                </c:pt>
                <c:pt idx="3">
                  <c:v>-24000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D-479C-8B56-05AA45D68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F-467A-9501-1111D6D1A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-1391.4285714285713</c:v>
                </c:pt>
                <c:pt idx="1">
                  <c:v>-2903.125</c:v>
                </c:pt>
                <c:pt idx="2">
                  <c:v>-2534.6153846153848</c:v>
                </c:pt>
                <c:pt idx="3">
                  <c:v>4156</c:v>
                </c:pt>
                <c:pt idx="4">
                  <c:v>-626.31578947368416</c:v>
                </c:pt>
                <c:pt idx="5">
                  <c:v>587.5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22-46B5-AD2A-FDF1639FB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ただ!$K$2:$K$46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AE-4746-8334-11AE8FE20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3242.8571428571427</c:v>
                </c:pt>
                <c:pt idx="1">
                  <c:v>-192.30769230769232</c:v>
                </c:pt>
                <c:pt idx="2">
                  <c:v>-791.42857142857144</c:v>
                </c:pt>
                <c:pt idx="3">
                  <c:v>-1353.125</c:v>
                </c:pt>
                <c:pt idx="4">
                  <c:v>3000</c:v>
                </c:pt>
                <c:pt idx="5">
                  <c:v>1114.2857142857142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8-4064-90D6-52F897937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30-4D68-971E-85B320457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88-44E1-A0B0-25A47F3B1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れんたろう!$K$2:$K$36</c:f>
              <c:numCache>
                <c:formatCode>\+0;\-0;\±0</c:formatCode>
                <c:ptCount val="35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4D-428A-841D-5461172A1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-4356.666666666667</c:v>
                </c:pt>
                <c:pt idx="1">
                  <c:v>-686.66666666666663</c:v>
                </c:pt>
                <c:pt idx="2">
                  <c:v>-1790</c:v>
                </c:pt>
                <c:pt idx="3">
                  <c:v>471.42857142857144</c:v>
                </c:pt>
                <c:pt idx="4">
                  <c:v>-1952</c:v>
                </c:pt>
                <c:pt idx="5">
                  <c:v>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19-4794-A6DB-B6F7182EA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あさひ!$K$2:$K$3</c:f>
              <c:numCache>
                <c:formatCode>\+0;\-0;\±0</c:formatCode>
                <c:ptCount val="2"/>
                <c:pt idx="0">
                  <c:v>0</c:v>
                </c:pt>
                <c:pt idx="1">
                  <c:v>28.3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F-40DB-9486-5E78CE20B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20100</c:v>
                </c:pt>
                <c:pt idx="1">
                  <c:v>-8000</c:v>
                </c:pt>
                <c:pt idx="2">
                  <c:v>8000</c:v>
                </c:pt>
                <c:pt idx="3">
                  <c:v>11600</c:v>
                </c:pt>
                <c:pt idx="4">
                  <c:v>-5000</c:v>
                </c:pt>
                <c:pt idx="5">
                  <c:v>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07-48A0-B33D-D9977F6E4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2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212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200</v>
      </c>
      <c r="AE1" s="85"/>
    </row>
    <row r="2" spans="1:31" x14ac:dyDescent="0.4">
      <c r="A2" s="8">
        <v>1</v>
      </c>
      <c r="B2" s="9" t="s">
        <v>137</v>
      </c>
      <c r="C2" s="11">
        <v>430.10000000000008</v>
      </c>
      <c r="D2" s="10" t="s">
        <v>217</v>
      </c>
      <c r="E2" s="11">
        <v>28.3</v>
      </c>
      <c r="F2" s="10" t="s">
        <v>217</v>
      </c>
      <c r="G2" s="12">
        <v>1</v>
      </c>
      <c r="H2" s="10" t="s">
        <v>217</v>
      </c>
      <c r="I2" s="17">
        <v>1</v>
      </c>
      <c r="J2" s="10" t="s">
        <v>217</v>
      </c>
      <c r="K2" s="15">
        <v>0.54545454545454541</v>
      </c>
      <c r="L2" s="10" t="s">
        <v>217</v>
      </c>
      <c r="M2" s="15">
        <v>9.0909090909090912E-2</v>
      </c>
      <c r="N2" s="10" t="s">
        <v>141</v>
      </c>
      <c r="O2" s="13">
        <v>11415.54054054054</v>
      </c>
      <c r="P2" s="10" t="s">
        <v>217</v>
      </c>
      <c r="Q2" s="13">
        <v>-8000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142</v>
      </c>
      <c r="Y2" s="15">
        <v>0.34782608695652173</v>
      </c>
      <c r="Z2" s="10" t="s">
        <v>217</v>
      </c>
      <c r="AA2" s="15">
        <v>0.8</v>
      </c>
      <c r="AB2" s="10" t="s">
        <v>217</v>
      </c>
      <c r="AC2" s="15">
        <v>0.5</v>
      </c>
      <c r="AD2" s="10" t="s">
        <v>217</v>
      </c>
      <c r="AE2" s="15">
        <v>0.66666666666666663</v>
      </c>
    </row>
    <row r="3" spans="1:31" x14ac:dyDescent="0.4">
      <c r="A3" s="7">
        <v>2</v>
      </c>
      <c r="B3" s="6" t="s">
        <v>142</v>
      </c>
      <c r="C3" s="3">
        <v>236.10000000000002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0.35265104808877928</v>
      </c>
      <c r="L3" s="1" t="s">
        <v>156</v>
      </c>
      <c r="M3" s="16">
        <v>0.13414634146341464</v>
      </c>
      <c r="N3" s="1" t="s">
        <v>149</v>
      </c>
      <c r="O3" s="2">
        <v>11229.807692307691</v>
      </c>
      <c r="P3" s="1" t="s">
        <v>138</v>
      </c>
      <c r="Q3" s="2">
        <v>-8240</v>
      </c>
      <c r="R3" s="1" t="s">
        <v>217</v>
      </c>
      <c r="S3" s="18">
        <v>0</v>
      </c>
      <c r="T3" s="1" t="s">
        <v>137</v>
      </c>
      <c r="U3" s="18">
        <v>0.22321428571428573</v>
      </c>
      <c r="V3" s="1" t="s">
        <v>217</v>
      </c>
      <c r="W3" s="16">
        <v>0.45454545454545453</v>
      </c>
      <c r="X3" s="1" t="s">
        <v>148</v>
      </c>
      <c r="Y3" s="16">
        <v>0.28735632183908044</v>
      </c>
      <c r="Z3" s="1" t="s">
        <v>137</v>
      </c>
      <c r="AA3" s="16">
        <v>0.72</v>
      </c>
      <c r="AB3" s="1" t="s">
        <v>137</v>
      </c>
      <c r="AC3" s="16">
        <v>0.44</v>
      </c>
      <c r="AD3" s="1" t="s">
        <v>156</v>
      </c>
      <c r="AE3" s="16">
        <v>0.45454545454545453</v>
      </c>
    </row>
    <row r="4" spans="1:31" x14ac:dyDescent="0.4">
      <c r="A4" s="7">
        <v>3</v>
      </c>
      <c r="B4" s="6" t="s">
        <v>149</v>
      </c>
      <c r="C4" s="3">
        <v>193.79999999999995</v>
      </c>
      <c r="D4" s="1" t="s">
        <v>142</v>
      </c>
      <c r="E4" s="3">
        <v>5.9025000000000007</v>
      </c>
      <c r="F4" s="1" t="s">
        <v>142</v>
      </c>
      <c r="G4" s="5">
        <v>1.85</v>
      </c>
      <c r="H4" s="1" t="s">
        <v>149</v>
      </c>
      <c r="I4" s="18">
        <v>0.40909090909090912</v>
      </c>
      <c r="J4" s="1" t="s">
        <v>142</v>
      </c>
      <c r="K4" s="16">
        <v>0.352112676056338</v>
      </c>
      <c r="L4" s="1" t="s">
        <v>142</v>
      </c>
      <c r="M4" s="16">
        <v>0.14084507042253522</v>
      </c>
      <c r="N4" s="1" t="s">
        <v>160</v>
      </c>
      <c r="O4" s="2">
        <v>11108.823529411764</v>
      </c>
      <c r="P4" s="1" t="s">
        <v>148</v>
      </c>
      <c r="Q4" s="2">
        <v>-8287.2727272727279</v>
      </c>
      <c r="R4" s="1" t="s">
        <v>137</v>
      </c>
      <c r="S4" s="18">
        <v>0.125</v>
      </c>
      <c r="T4" s="1" t="s">
        <v>149</v>
      </c>
      <c r="U4" s="18">
        <v>0.20454545454545456</v>
      </c>
      <c r="V4" s="1" t="s">
        <v>149</v>
      </c>
      <c r="W4" s="16">
        <v>0.3383838383838384</v>
      </c>
      <c r="X4" s="1" t="s">
        <v>149</v>
      </c>
      <c r="Y4" s="16">
        <v>0.25252525252525254</v>
      </c>
      <c r="Z4" s="1" t="s">
        <v>149</v>
      </c>
      <c r="AA4" s="16">
        <v>0.61194029850746268</v>
      </c>
      <c r="AB4" s="1" t="s">
        <v>148</v>
      </c>
      <c r="AC4" s="16">
        <v>0.4</v>
      </c>
      <c r="AD4" s="1" t="s">
        <v>137</v>
      </c>
      <c r="AE4" s="16">
        <v>0.4204946996466431</v>
      </c>
    </row>
    <row r="5" spans="1:31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4.4045454545454534</v>
      </c>
      <c r="F5" s="1" t="s">
        <v>137</v>
      </c>
      <c r="G5" s="5">
        <v>1.875</v>
      </c>
      <c r="H5" s="1" t="s">
        <v>137</v>
      </c>
      <c r="I5" s="18">
        <v>0.375</v>
      </c>
      <c r="J5" s="1" t="s">
        <v>156</v>
      </c>
      <c r="K5" s="16">
        <v>0.34146341463414637</v>
      </c>
      <c r="L5" s="1" t="s">
        <v>137</v>
      </c>
      <c r="M5" s="16">
        <v>0.15659679408138102</v>
      </c>
      <c r="N5" s="1" t="s">
        <v>156</v>
      </c>
      <c r="O5" s="2">
        <v>10857.142857142857</v>
      </c>
      <c r="P5" s="1" t="s">
        <v>145</v>
      </c>
      <c r="Q5" s="2">
        <v>-8500</v>
      </c>
      <c r="R5" s="1" t="s">
        <v>142</v>
      </c>
      <c r="S5" s="18">
        <v>0.125</v>
      </c>
      <c r="T5" s="1" t="s">
        <v>142</v>
      </c>
      <c r="U5" s="18">
        <v>0.2</v>
      </c>
      <c r="V5" s="1" t="s">
        <v>137</v>
      </c>
      <c r="W5" s="16">
        <v>0.28735632183908044</v>
      </c>
      <c r="X5" s="1" t="s">
        <v>137</v>
      </c>
      <c r="Y5" s="16">
        <v>0.21551724137931033</v>
      </c>
      <c r="Z5" s="1" t="s">
        <v>160</v>
      </c>
      <c r="AA5" s="16">
        <v>0.60344827586206895</v>
      </c>
      <c r="AB5" s="1" t="s">
        <v>141</v>
      </c>
      <c r="AC5" s="16">
        <v>0.39285714285714285</v>
      </c>
      <c r="AD5" s="1" t="s">
        <v>149</v>
      </c>
      <c r="AE5" s="16">
        <v>0.41935483870967744</v>
      </c>
    </row>
    <row r="6" spans="1:31" x14ac:dyDescent="0.4">
      <c r="A6" s="7">
        <v>5</v>
      </c>
      <c r="B6" s="6" t="s">
        <v>217</v>
      </c>
      <c r="C6" s="3">
        <v>28.3</v>
      </c>
      <c r="D6" s="1" t="s">
        <v>137</v>
      </c>
      <c r="E6" s="3">
        <v>3.8401785714285723</v>
      </c>
      <c r="F6" s="1" t="s">
        <v>149</v>
      </c>
      <c r="G6" s="5">
        <v>1.8863636363636365</v>
      </c>
      <c r="H6" s="1" t="s">
        <v>142</v>
      </c>
      <c r="I6" s="18">
        <v>0.35</v>
      </c>
      <c r="J6" s="1" t="s">
        <v>149</v>
      </c>
      <c r="K6" s="16">
        <v>0.31419939577039274</v>
      </c>
      <c r="L6" s="1" t="s">
        <v>149</v>
      </c>
      <c r="M6" s="16">
        <v>0.15709969788519637</v>
      </c>
      <c r="N6" s="1" t="s">
        <v>148</v>
      </c>
      <c r="O6" s="2">
        <v>10240.25974025974</v>
      </c>
      <c r="P6" s="1" t="s">
        <v>160</v>
      </c>
      <c r="Q6" s="2">
        <v>-9649.1228070175439</v>
      </c>
      <c r="R6" s="1" t="s">
        <v>149</v>
      </c>
      <c r="S6" s="18">
        <v>0.15909090909090909</v>
      </c>
      <c r="T6" s="1" t="s">
        <v>148</v>
      </c>
      <c r="U6" s="18">
        <v>0.17142857142857143</v>
      </c>
      <c r="V6" s="1" t="s">
        <v>141</v>
      </c>
      <c r="W6" s="16">
        <v>0.28660436137071649</v>
      </c>
      <c r="X6" s="1" t="s">
        <v>160</v>
      </c>
      <c r="Y6" s="16">
        <v>0.20909090909090908</v>
      </c>
      <c r="Z6" s="1" t="s">
        <v>141</v>
      </c>
      <c r="AA6" s="16">
        <v>0.55434782608695654</v>
      </c>
      <c r="AB6" s="1" t="s">
        <v>149</v>
      </c>
      <c r="AC6" s="16">
        <v>0.38</v>
      </c>
      <c r="AD6" s="1" t="s">
        <v>148</v>
      </c>
      <c r="AE6" s="16">
        <v>0.41333333333333333</v>
      </c>
    </row>
    <row r="7" spans="1:31" x14ac:dyDescent="0.4">
      <c r="A7" s="7">
        <v>6</v>
      </c>
      <c r="B7" s="6" t="s">
        <v>139</v>
      </c>
      <c r="C7" s="3">
        <v>-24.5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141</v>
      </c>
      <c r="I7" s="18">
        <v>0.29487179487179488</v>
      </c>
      <c r="J7" s="1" t="s">
        <v>139</v>
      </c>
      <c r="K7" s="16">
        <v>0.2857142857142857</v>
      </c>
      <c r="L7" s="1" t="s">
        <v>141</v>
      </c>
      <c r="M7" s="16">
        <v>0.19759450171821305</v>
      </c>
      <c r="N7" s="1" t="s">
        <v>142</v>
      </c>
      <c r="O7" s="2">
        <v>9943</v>
      </c>
      <c r="P7" s="1" t="s">
        <v>149</v>
      </c>
      <c r="Q7" s="2">
        <v>-9665.3846153846152</v>
      </c>
      <c r="R7" s="1" t="s">
        <v>148</v>
      </c>
      <c r="S7" s="18">
        <v>0.17142857142857143</v>
      </c>
      <c r="T7" s="1" t="s">
        <v>141</v>
      </c>
      <c r="U7" s="18">
        <v>0.15384615384615385</v>
      </c>
      <c r="V7" s="1" t="s">
        <v>160</v>
      </c>
      <c r="W7" s="16">
        <v>0.26363636363636361</v>
      </c>
      <c r="X7" s="1" t="s">
        <v>217</v>
      </c>
      <c r="Y7" s="16">
        <v>0.18181818181818182</v>
      </c>
      <c r="Z7" s="1" t="s">
        <v>142</v>
      </c>
      <c r="AA7" s="16">
        <v>0.5</v>
      </c>
      <c r="AB7" s="1" t="s">
        <v>142</v>
      </c>
      <c r="AC7" s="16">
        <v>0.375</v>
      </c>
      <c r="AD7" s="1" t="s">
        <v>142</v>
      </c>
      <c r="AE7" s="16">
        <v>0.35294117647058826</v>
      </c>
    </row>
    <row r="8" spans="1:31" x14ac:dyDescent="0.4">
      <c r="A8" s="7">
        <v>7</v>
      </c>
      <c r="B8" s="6" t="s">
        <v>145</v>
      </c>
      <c r="C8" s="3">
        <v>-40.700000000000003</v>
      </c>
      <c r="D8" s="1" t="s">
        <v>141</v>
      </c>
      <c r="E8" s="3">
        <v>-4.6923076923076907</v>
      </c>
      <c r="F8" s="1" t="s">
        <v>148</v>
      </c>
      <c r="G8" s="5">
        <v>2.1142857142857143</v>
      </c>
      <c r="H8" s="1" t="s">
        <v>148</v>
      </c>
      <c r="I8" s="18">
        <v>0.25714285714285712</v>
      </c>
      <c r="J8" s="1" t="s">
        <v>148</v>
      </c>
      <c r="K8" s="16">
        <v>0.28102189781021897</v>
      </c>
      <c r="L8" s="1" t="s">
        <v>148</v>
      </c>
      <c r="M8" s="16">
        <v>0.20072992700729927</v>
      </c>
      <c r="N8" s="1" t="s">
        <v>137</v>
      </c>
      <c r="O8" s="2">
        <v>9832.1678321678319</v>
      </c>
      <c r="P8" s="1" t="s">
        <v>142</v>
      </c>
      <c r="Q8" s="2">
        <v>-9747.5</v>
      </c>
      <c r="R8" s="1" t="s">
        <v>156</v>
      </c>
      <c r="S8" s="18">
        <v>0.25</v>
      </c>
      <c r="T8" s="1" t="s">
        <v>160</v>
      </c>
      <c r="U8" s="18">
        <v>0.11764705882352941</v>
      </c>
      <c r="V8" s="1" t="s">
        <v>148</v>
      </c>
      <c r="W8" s="16">
        <v>0.19540229885057472</v>
      </c>
      <c r="X8" s="1" t="s">
        <v>141</v>
      </c>
      <c r="Y8" s="16">
        <v>0.17445482866043613</v>
      </c>
      <c r="Z8" s="1" t="s">
        <v>148</v>
      </c>
      <c r="AA8" s="16">
        <v>0.41176470588235292</v>
      </c>
      <c r="AB8" s="1" t="s">
        <v>160</v>
      </c>
      <c r="AC8" s="16">
        <v>0.34782608695652173</v>
      </c>
      <c r="AD8" s="1" t="s">
        <v>160</v>
      </c>
      <c r="AE8" s="16">
        <v>0.33333333333333331</v>
      </c>
    </row>
    <row r="9" spans="1:31" x14ac:dyDescent="0.4">
      <c r="A9" s="7">
        <v>8</v>
      </c>
      <c r="B9" s="6" t="s">
        <v>148</v>
      </c>
      <c r="C9" s="3">
        <v>-106.10000000000001</v>
      </c>
      <c r="D9" s="1" t="s">
        <v>160</v>
      </c>
      <c r="E9" s="3">
        <v>-8.8735294117647037</v>
      </c>
      <c r="F9" s="1" t="s">
        <v>141</v>
      </c>
      <c r="G9" s="5">
        <v>2.141025641025641</v>
      </c>
      <c r="H9" s="1" t="s">
        <v>160</v>
      </c>
      <c r="I9" s="18">
        <v>0.23529411764705882</v>
      </c>
      <c r="J9" s="1" t="s">
        <v>160</v>
      </c>
      <c r="K9" s="16">
        <v>0.26459143968871596</v>
      </c>
      <c r="L9" s="1" t="s">
        <v>160</v>
      </c>
      <c r="M9" s="16">
        <v>0.22178988326848248</v>
      </c>
      <c r="N9" s="1" t="s">
        <v>139</v>
      </c>
      <c r="O9" s="2">
        <v>8000</v>
      </c>
      <c r="P9" s="1" t="s">
        <v>137</v>
      </c>
      <c r="Q9" s="2">
        <v>-9915.748031496063</v>
      </c>
      <c r="R9" s="1" t="s">
        <v>141</v>
      </c>
      <c r="S9" s="18">
        <v>0.25641025641025639</v>
      </c>
      <c r="T9" s="1" t="s">
        <v>138</v>
      </c>
      <c r="U9" s="18">
        <v>0</v>
      </c>
      <c r="V9" s="1" t="s">
        <v>142</v>
      </c>
      <c r="W9" s="16">
        <v>0.17391304347826086</v>
      </c>
      <c r="X9" s="1" t="s">
        <v>138</v>
      </c>
      <c r="Y9" s="16">
        <v>0</v>
      </c>
      <c r="Z9" s="1" t="s">
        <v>138</v>
      </c>
      <c r="AA9" s="16">
        <v>0</v>
      </c>
      <c r="AB9" s="1" t="s">
        <v>138</v>
      </c>
      <c r="AC9" s="16">
        <v>0</v>
      </c>
      <c r="AD9" s="1" t="s">
        <v>141</v>
      </c>
      <c r="AE9" s="16">
        <v>0.31111111111111112</v>
      </c>
    </row>
    <row r="10" spans="1:31" x14ac:dyDescent="0.4">
      <c r="A10" s="7">
        <v>9</v>
      </c>
      <c r="B10" s="6" t="s">
        <v>138</v>
      </c>
      <c r="C10" s="3">
        <v>-132.1</v>
      </c>
      <c r="D10" s="1" t="s">
        <v>139</v>
      </c>
      <c r="E10" s="3">
        <v>-12.25</v>
      </c>
      <c r="F10" s="1" t="s">
        <v>160</v>
      </c>
      <c r="G10" s="5">
        <v>2.2647058823529411</v>
      </c>
      <c r="H10" s="1" t="s">
        <v>138</v>
      </c>
      <c r="I10" s="18">
        <v>0</v>
      </c>
      <c r="J10" s="1" t="s">
        <v>141</v>
      </c>
      <c r="K10" s="16">
        <v>0.25429553264604809</v>
      </c>
      <c r="L10" s="1" t="s">
        <v>139</v>
      </c>
      <c r="M10" s="16">
        <v>0.2857142857142857</v>
      </c>
      <c r="N10" s="1" t="s">
        <v>138</v>
      </c>
      <c r="O10" s="2">
        <v>7800</v>
      </c>
      <c r="P10" s="1" t="s">
        <v>156</v>
      </c>
      <c r="Q10" s="2">
        <v>-9927.2727272727279</v>
      </c>
      <c r="R10" s="1" t="s">
        <v>160</v>
      </c>
      <c r="S10" s="18">
        <v>0.26470588235294118</v>
      </c>
      <c r="T10" s="1" t="s">
        <v>139</v>
      </c>
      <c r="U10" s="18">
        <v>0</v>
      </c>
      <c r="V10" s="1" t="s">
        <v>138</v>
      </c>
      <c r="W10" s="16">
        <v>0</v>
      </c>
      <c r="X10" s="1" t="s">
        <v>139</v>
      </c>
      <c r="Y10" s="16">
        <v>0</v>
      </c>
      <c r="Z10" s="1" t="s">
        <v>139</v>
      </c>
      <c r="AA10" s="16">
        <v>0</v>
      </c>
      <c r="AB10" s="1" t="s">
        <v>139</v>
      </c>
      <c r="AC10" s="16">
        <v>0</v>
      </c>
      <c r="AD10" s="1" t="s">
        <v>138</v>
      </c>
      <c r="AE10" s="16">
        <v>0</v>
      </c>
    </row>
    <row r="11" spans="1:31" x14ac:dyDescent="0.4">
      <c r="A11" s="7">
        <v>10</v>
      </c>
      <c r="B11" s="6" t="s">
        <v>160</v>
      </c>
      <c r="C11" s="3">
        <v>-301.69999999999993</v>
      </c>
      <c r="D11" s="1" t="s">
        <v>138</v>
      </c>
      <c r="E11" s="3">
        <v>-33.024999999999999</v>
      </c>
      <c r="F11" s="1" t="s">
        <v>139</v>
      </c>
      <c r="G11" s="5">
        <v>2.5</v>
      </c>
      <c r="H11" s="1" t="s">
        <v>139</v>
      </c>
      <c r="I11" s="18">
        <v>0</v>
      </c>
      <c r="J11" s="1" t="s">
        <v>145</v>
      </c>
      <c r="K11" s="16">
        <v>0.16666666666666666</v>
      </c>
      <c r="L11" s="1" t="s">
        <v>145</v>
      </c>
      <c r="M11" s="16">
        <v>0.33333333333333331</v>
      </c>
      <c r="N11" s="1" t="s">
        <v>217</v>
      </c>
      <c r="O11" s="2">
        <v>7133.333333333333</v>
      </c>
      <c r="P11" s="1" t="s">
        <v>141</v>
      </c>
      <c r="Q11" s="2">
        <v>-10471.304347826086</v>
      </c>
      <c r="R11" s="1" t="s">
        <v>138</v>
      </c>
      <c r="S11" s="18">
        <v>0.5</v>
      </c>
      <c r="T11" s="1" t="s">
        <v>145</v>
      </c>
      <c r="U11" s="18">
        <v>0</v>
      </c>
      <c r="V11" s="1" t="s">
        <v>145</v>
      </c>
      <c r="W11" s="16">
        <v>0</v>
      </c>
      <c r="X11" s="1" t="s">
        <v>145</v>
      </c>
      <c r="Y11" s="16">
        <v>0</v>
      </c>
      <c r="Z11" s="1" t="s">
        <v>145</v>
      </c>
      <c r="AA11" s="16">
        <v>0</v>
      </c>
      <c r="AB11" s="1" t="s">
        <v>145</v>
      </c>
      <c r="AC11" s="16">
        <v>0</v>
      </c>
      <c r="AD11" s="1" t="s">
        <v>139</v>
      </c>
      <c r="AE11" s="16">
        <v>0</v>
      </c>
    </row>
    <row r="12" spans="1:31" x14ac:dyDescent="0.4">
      <c r="A12" s="7">
        <v>11</v>
      </c>
      <c r="B12" s="6" t="s">
        <v>141</v>
      </c>
      <c r="C12" s="3">
        <v>-365.99999999999989</v>
      </c>
      <c r="D12" s="1" t="s">
        <v>145</v>
      </c>
      <c r="E12" s="3">
        <v>-40.700000000000003</v>
      </c>
      <c r="F12" s="1" t="s">
        <v>138</v>
      </c>
      <c r="G12" s="5">
        <v>3</v>
      </c>
      <c r="H12" s="1" t="s">
        <v>145</v>
      </c>
      <c r="I12" s="18">
        <v>0</v>
      </c>
      <c r="J12" s="1" t="s">
        <v>138</v>
      </c>
      <c r="K12" s="16">
        <v>0.04</v>
      </c>
      <c r="L12" s="1" t="s">
        <v>138</v>
      </c>
      <c r="M12" s="16">
        <v>0.4</v>
      </c>
      <c r="N12" s="1" t="s">
        <v>145</v>
      </c>
      <c r="O12" s="2">
        <v>1300</v>
      </c>
      <c r="P12" s="1" t="s">
        <v>139</v>
      </c>
      <c r="Q12" s="2">
        <v>-12000</v>
      </c>
      <c r="R12" s="1" t="s">
        <v>145</v>
      </c>
      <c r="S12" s="18">
        <v>1</v>
      </c>
      <c r="T12" s="1" t="s">
        <v>217</v>
      </c>
      <c r="U12" s="18">
        <v>0</v>
      </c>
      <c r="V12" s="1" t="s">
        <v>156</v>
      </c>
      <c r="W12" s="16">
        <v>0</v>
      </c>
      <c r="X12" s="1" t="s">
        <v>156</v>
      </c>
      <c r="Y12" s="16">
        <v>0</v>
      </c>
      <c r="Z12" s="1" t="s">
        <v>156</v>
      </c>
      <c r="AA12" s="16">
        <v>0</v>
      </c>
      <c r="AB12" s="1" t="s">
        <v>156</v>
      </c>
      <c r="AC12" s="16">
        <v>0</v>
      </c>
      <c r="AD12" s="1" t="s">
        <v>145</v>
      </c>
      <c r="AE12" s="16">
        <v>0</v>
      </c>
    </row>
  </sheetData>
  <sortState ref="AD2:AE26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E569-63DD-46C6-B372-721A6A3ECC12}">
  <sheetPr codeName="Sheet4"/>
  <dimension ref="A1:P114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189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112</v>
      </c>
      <c r="C2" s="87"/>
      <c r="E2" s="79" t="s">
        <v>73</v>
      </c>
      <c r="F2" s="75" t="s">
        <v>27</v>
      </c>
      <c r="G2" s="61">
        <v>119</v>
      </c>
      <c r="H2" s="24">
        <f>IF(B$25=0,0,G2/B$25)</f>
        <v>0.93700787401574803</v>
      </c>
      <c r="J2" s="23">
        <v>0</v>
      </c>
      <c r="K2" s="25">
        <v>0</v>
      </c>
      <c r="M2" s="23" t="s">
        <v>201</v>
      </c>
      <c r="N2" s="56">
        <f t="shared" ref="N2:N7" si="0">IF(P2=0,0,O2/P2)</f>
        <v>912.03703703703707</v>
      </c>
      <c r="O2" s="53">
        <v>98500</v>
      </c>
      <c r="P2" s="51">
        <v>108</v>
      </c>
    </row>
    <row r="3" spans="1:16" x14ac:dyDescent="0.4">
      <c r="A3" s="70" t="s">
        <v>8</v>
      </c>
      <c r="B3" s="92">
        <v>811</v>
      </c>
      <c r="C3" s="93"/>
      <c r="E3" s="80" t="s">
        <v>78</v>
      </c>
      <c r="F3" s="76" t="s">
        <v>31</v>
      </c>
      <c r="G3" s="62">
        <v>70</v>
      </c>
      <c r="H3" s="27">
        <f>IF(B$25=0,0,G3/B$25)</f>
        <v>0.55118110236220474</v>
      </c>
      <c r="J3" s="26">
        <v>1</v>
      </c>
      <c r="K3" s="28">
        <v>15</v>
      </c>
      <c r="M3" s="26" t="s">
        <v>202</v>
      </c>
      <c r="N3" s="57">
        <f t="shared" si="0"/>
        <v>1685.2941176470588</v>
      </c>
      <c r="O3" s="54">
        <v>171900</v>
      </c>
      <c r="P3" s="49">
        <v>102</v>
      </c>
    </row>
    <row r="4" spans="1:16" x14ac:dyDescent="0.4">
      <c r="A4" s="70" t="s">
        <v>6</v>
      </c>
      <c r="B4" s="94">
        <v>430.10000000000008</v>
      </c>
      <c r="C4" s="95"/>
      <c r="E4" s="80" t="s">
        <v>69</v>
      </c>
      <c r="F4" s="76" t="s">
        <v>23</v>
      </c>
      <c r="G4" s="62">
        <v>69</v>
      </c>
      <c r="H4" s="27">
        <f>IF(B$25=0,0,G4/B$25)</f>
        <v>0.54330708661417326</v>
      </c>
      <c r="J4" s="26">
        <v>2</v>
      </c>
      <c r="K4" s="28">
        <v>14</v>
      </c>
      <c r="M4" s="26" t="s">
        <v>203</v>
      </c>
      <c r="N4" s="57">
        <f t="shared" si="0"/>
        <v>1173.4042553191489</v>
      </c>
      <c r="O4" s="54">
        <v>110300</v>
      </c>
      <c r="P4" s="49">
        <v>94</v>
      </c>
    </row>
    <row r="5" spans="1:16" x14ac:dyDescent="0.4">
      <c r="A5" s="70" t="s">
        <v>7</v>
      </c>
      <c r="B5" s="94">
        <f>IF(B$2=0,0,B$4/B$2)</f>
        <v>3.8401785714285723</v>
      </c>
      <c r="C5" s="95"/>
      <c r="E5" s="80" t="s">
        <v>71</v>
      </c>
      <c r="F5" s="76" t="s">
        <v>25</v>
      </c>
      <c r="G5" s="62">
        <v>66</v>
      </c>
      <c r="H5" s="27">
        <f>IF(B$25=0,0,G5/B$25)</f>
        <v>0.51968503937007871</v>
      </c>
      <c r="J5" s="26">
        <v>3</v>
      </c>
      <c r="K5" s="28">
        <v>29.1</v>
      </c>
      <c r="M5" s="26" t="s">
        <v>204</v>
      </c>
      <c r="N5" s="57">
        <f t="shared" si="0"/>
        <v>737.34939759036149</v>
      </c>
      <c r="O5" s="54">
        <v>61200</v>
      </c>
      <c r="P5" s="49">
        <v>83</v>
      </c>
    </row>
    <row r="6" spans="1:16" x14ac:dyDescent="0.4">
      <c r="A6" s="70" t="s">
        <v>1</v>
      </c>
      <c r="B6" s="96">
        <f>IF(B$2=0,0,(B$7*1+B$8*2+B$9*3)/B$2)</f>
        <v>1.875</v>
      </c>
      <c r="C6" s="97"/>
      <c r="E6" s="80" t="s">
        <v>74</v>
      </c>
      <c r="F6" s="76" t="s">
        <v>12</v>
      </c>
      <c r="G6" s="62">
        <v>36</v>
      </c>
      <c r="H6" s="27">
        <f>IF(B$25=0,0,G6/B$25)</f>
        <v>0.28346456692913385</v>
      </c>
      <c r="J6" s="26">
        <v>4</v>
      </c>
      <c r="K6" s="28">
        <v>114.30000000000001</v>
      </c>
      <c r="M6" s="26" t="s">
        <v>205</v>
      </c>
      <c r="N6" s="57">
        <f t="shared" si="0"/>
        <v>-162.68656716417911</v>
      </c>
      <c r="O6" s="54">
        <v>-10900</v>
      </c>
      <c r="P6" s="49">
        <v>67</v>
      </c>
    </row>
    <row r="7" spans="1:16" x14ac:dyDescent="0.4">
      <c r="A7" s="70" t="s">
        <v>2</v>
      </c>
      <c r="B7" s="62">
        <v>42</v>
      </c>
      <c r="C7" s="27">
        <f>IF(B$2=0,0,B7/B$2)</f>
        <v>0.375</v>
      </c>
      <c r="E7" s="80" t="s">
        <v>72</v>
      </c>
      <c r="F7" s="76" t="s">
        <v>26</v>
      </c>
      <c r="G7" s="62">
        <v>33</v>
      </c>
      <c r="H7" s="27">
        <f>IF(B$25=0,0,G7/B$25)</f>
        <v>0.25984251968503935</v>
      </c>
      <c r="J7" s="26">
        <v>5</v>
      </c>
      <c r="K7" s="28">
        <v>145.80000000000001</v>
      </c>
      <c r="M7" s="31" t="s">
        <v>206</v>
      </c>
      <c r="N7" s="58">
        <f t="shared" si="0"/>
        <v>-768.75</v>
      </c>
      <c r="O7" s="55">
        <v>-36900</v>
      </c>
      <c r="P7" s="50">
        <v>48</v>
      </c>
    </row>
    <row r="8" spans="1:16" x14ac:dyDescent="0.4">
      <c r="A8" s="70" t="s">
        <v>3</v>
      </c>
      <c r="B8" s="62">
        <v>42</v>
      </c>
      <c r="C8" s="27">
        <f t="shared" ref="C8:C9" si="1">IF(B$2=0,0,B8/B$2)</f>
        <v>0.375</v>
      </c>
      <c r="E8" s="80" t="s">
        <v>75</v>
      </c>
      <c r="F8" s="76" t="s">
        <v>28</v>
      </c>
      <c r="G8" s="62">
        <v>22</v>
      </c>
      <c r="H8" s="27">
        <f>IF(B$25=0,0,G8/B$25)</f>
        <v>0.17322834645669291</v>
      </c>
      <c r="J8" s="26">
        <v>6</v>
      </c>
      <c r="K8" s="28">
        <v>97.800000000000011</v>
      </c>
    </row>
    <row r="9" spans="1:16" x14ac:dyDescent="0.4">
      <c r="A9" s="71" t="s">
        <v>4</v>
      </c>
      <c r="B9" s="63">
        <v>28</v>
      </c>
      <c r="C9" s="29">
        <f t="shared" si="1"/>
        <v>0.25</v>
      </c>
      <c r="E9" s="80" t="s">
        <v>96</v>
      </c>
      <c r="F9" s="76" t="s">
        <v>49</v>
      </c>
      <c r="G9" s="62">
        <v>18</v>
      </c>
      <c r="H9" s="27">
        <f>IF(B$25=0,0,G9/B$25)</f>
        <v>0.14173228346456693</v>
      </c>
      <c r="J9" s="26">
        <v>7</v>
      </c>
      <c r="K9" s="28">
        <v>91.700000000000017</v>
      </c>
    </row>
    <row r="10" spans="1:16" x14ac:dyDescent="0.4">
      <c r="A10" s="71" t="s">
        <v>21</v>
      </c>
      <c r="B10" s="63">
        <v>14</v>
      </c>
      <c r="C10" s="29">
        <f>IF(B$2=0,0,B10/B$2)</f>
        <v>0.125</v>
      </c>
      <c r="E10" s="80" t="s">
        <v>70</v>
      </c>
      <c r="F10" s="76" t="s">
        <v>24</v>
      </c>
      <c r="G10" s="62">
        <v>8</v>
      </c>
      <c r="H10" s="27">
        <f>IF(B$25=0,0,G10/B$25)</f>
        <v>6.2992125984251968E-2</v>
      </c>
      <c r="J10" s="26">
        <v>8</v>
      </c>
      <c r="K10" s="28">
        <v>55.700000000000017</v>
      </c>
    </row>
    <row r="11" spans="1:16" x14ac:dyDescent="0.4">
      <c r="A11" s="72" t="s">
        <v>211</v>
      </c>
      <c r="B11" s="64">
        <v>25</v>
      </c>
      <c r="C11" s="32">
        <f>IF(B$2=0,0,B11/B$2)</f>
        <v>0.22321428571428573</v>
      </c>
      <c r="E11" s="80" t="s">
        <v>93</v>
      </c>
      <c r="F11" s="76" t="s">
        <v>46</v>
      </c>
      <c r="G11" s="62">
        <v>8</v>
      </c>
      <c r="H11" s="27">
        <f>IF(B$25=0,0,G11/B$25)</f>
        <v>6.2992125984251968E-2</v>
      </c>
      <c r="J11" s="26">
        <v>9</v>
      </c>
      <c r="K11" s="28">
        <v>14.700000000000017</v>
      </c>
    </row>
    <row r="12" spans="1:16" x14ac:dyDescent="0.4">
      <c r="A12" s="73" t="s">
        <v>130</v>
      </c>
      <c r="B12" s="65">
        <v>100</v>
      </c>
      <c r="C12" s="35">
        <f>IF(B$24=0,0,B12/B$24)</f>
        <v>0.28735632183908044</v>
      </c>
      <c r="E12" s="80" t="s">
        <v>77</v>
      </c>
      <c r="F12" s="76" t="s">
        <v>30</v>
      </c>
      <c r="G12" s="62">
        <v>8</v>
      </c>
      <c r="H12" s="27">
        <f>IF(B$25=0,0,G12/B$25)</f>
        <v>6.2992125984251968E-2</v>
      </c>
      <c r="J12" s="26">
        <v>10</v>
      </c>
      <c r="K12" s="28">
        <v>-16.799999999999983</v>
      </c>
    </row>
    <row r="13" spans="1:16" x14ac:dyDescent="0.4">
      <c r="A13" s="70" t="s">
        <v>125</v>
      </c>
      <c r="B13" s="62">
        <v>75</v>
      </c>
      <c r="C13" s="27">
        <f>IF(B$24=0,0,B13/B$24)</f>
        <v>0.21551724137931033</v>
      </c>
      <c r="E13" s="80" t="s">
        <v>76</v>
      </c>
      <c r="F13" s="76" t="s">
        <v>29</v>
      </c>
      <c r="G13" s="62">
        <v>7</v>
      </c>
      <c r="H13" s="27">
        <f>IF(B$25=0,0,G13/B$25)</f>
        <v>5.5118110236220472E-2</v>
      </c>
      <c r="J13" s="26">
        <v>11</v>
      </c>
      <c r="K13" s="28">
        <v>1.5000000000000178</v>
      </c>
    </row>
    <row r="14" spans="1:16" x14ac:dyDescent="0.4">
      <c r="A14" s="69" t="s">
        <v>132</v>
      </c>
      <c r="B14" s="61">
        <v>72</v>
      </c>
      <c r="C14" s="24">
        <f>IF(B$12=0,0,B14/B$12)</f>
        <v>0.72</v>
      </c>
      <c r="E14" s="80" t="s">
        <v>90</v>
      </c>
      <c r="F14" s="76" t="s">
        <v>43</v>
      </c>
      <c r="G14" s="62">
        <v>4</v>
      </c>
      <c r="H14" s="27">
        <f>IF(B$25=0,0,G14/B$25)</f>
        <v>3.1496062992125984E-2</v>
      </c>
      <c r="J14" s="26">
        <v>12</v>
      </c>
      <c r="K14" s="28">
        <v>14.300000000000018</v>
      </c>
    </row>
    <row r="15" spans="1:16" x14ac:dyDescent="0.4">
      <c r="A15" s="69" t="s">
        <v>133</v>
      </c>
      <c r="B15" s="61">
        <v>33</v>
      </c>
      <c r="C15" s="24">
        <f>IF(B$13=0,0,B15/B$13)</f>
        <v>0.44</v>
      </c>
      <c r="E15" s="80" t="s">
        <v>88</v>
      </c>
      <c r="F15" s="76" t="s">
        <v>41</v>
      </c>
      <c r="G15" s="62">
        <v>3</v>
      </c>
      <c r="H15" s="27">
        <f>IF(B$25=0,0,G15/B$25)</f>
        <v>2.3622047244094488E-2</v>
      </c>
      <c r="J15" s="26">
        <v>13</v>
      </c>
      <c r="K15" s="28">
        <v>71.300000000000011</v>
      </c>
    </row>
    <row r="16" spans="1:16" x14ac:dyDescent="0.4">
      <c r="A16" s="69" t="s">
        <v>10</v>
      </c>
      <c r="B16" s="61">
        <f>B17+B18</f>
        <v>286</v>
      </c>
      <c r="C16" s="24">
        <f>IF(B$3=0,0,B16/B$3)</f>
        <v>0.35265104808877928</v>
      </c>
      <c r="E16" s="80" t="s">
        <v>83</v>
      </c>
      <c r="F16" s="76" t="s">
        <v>36</v>
      </c>
      <c r="G16" s="62">
        <v>2</v>
      </c>
      <c r="H16" s="27">
        <f>IF(B$25=0,0,G16/B$25)</f>
        <v>1.5748031496062992E-2</v>
      </c>
      <c r="J16" s="26">
        <v>14</v>
      </c>
      <c r="K16" s="28">
        <v>27.300000000000011</v>
      </c>
    </row>
    <row r="17" spans="1:11" x14ac:dyDescent="0.4">
      <c r="A17" s="70" t="s">
        <v>11</v>
      </c>
      <c r="B17" s="62">
        <v>177</v>
      </c>
      <c r="C17" s="27">
        <f>IF(B$3=0,0,B17/B$3)</f>
        <v>0.21824907521578299</v>
      </c>
      <c r="E17" s="80" t="s">
        <v>99</v>
      </c>
      <c r="F17" s="76" t="s">
        <v>52</v>
      </c>
      <c r="G17" s="62">
        <v>2</v>
      </c>
      <c r="H17" s="27">
        <f>IF(B$25=0,0,G17/B$25)</f>
        <v>1.5748031496062992E-2</v>
      </c>
      <c r="J17" s="26">
        <v>15</v>
      </c>
      <c r="K17" s="28">
        <v>-9.6999999999999886</v>
      </c>
    </row>
    <row r="18" spans="1:11" x14ac:dyDescent="0.4">
      <c r="A18" s="70" t="s">
        <v>12</v>
      </c>
      <c r="B18" s="62">
        <v>109</v>
      </c>
      <c r="C18" s="27">
        <f>IF(B$3=0,0,B18/B$3)</f>
        <v>0.13440197287299629</v>
      </c>
      <c r="E18" s="80" t="s">
        <v>79</v>
      </c>
      <c r="F18" s="76" t="s">
        <v>32</v>
      </c>
      <c r="G18" s="62">
        <v>2</v>
      </c>
      <c r="H18" s="27">
        <f>IF(B$25=0,0,G18/B$25)</f>
        <v>1.5748031496062992E-2</v>
      </c>
      <c r="J18" s="26">
        <v>16</v>
      </c>
      <c r="K18" s="28">
        <v>-8.099999999999989</v>
      </c>
    </row>
    <row r="19" spans="1:11" x14ac:dyDescent="0.4">
      <c r="A19" s="70" t="s">
        <v>13</v>
      </c>
      <c r="B19" s="62">
        <v>127</v>
      </c>
      <c r="C19" s="27">
        <f>IF(B$3=0,0,B19/B$3)</f>
        <v>0.15659679408138102</v>
      </c>
      <c r="E19" s="80" t="s">
        <v>85</v>
      </c>
      <c r="F19" s="76" t="s">
        <v>38</v>
      </c>
      <c r="G19" s="62">
        <v>1</v>
      </c>
      <c r="H19" s="27">
        <f>IF(B$25=0,0,G19/B$25)</f>
        <v>7.874015748031496E-3</v>
      </c>
      <c r="J19" s="26">
        <v>17</v>
      </c>
      <c r="K19" s="28">
        <v>-29.499999999999986</v>
      </c>
    </row>
    <row r="20" spans="1:11" x14ac:dyDescent="0.4">
      <c r="A20" s="70" t="s">
        <v>5</v>
      </c>
      <c r="B20" s="66">
        <f>IF(B$16=0,0,C20/B$16)</f>
        <v>9832.1678321678319</v>
      </c>
      <c r="C20" s="30">
        <v>2812000</v>
      </c>
      <c r="E20" s="80" t="s">
        <v>98</v>
      </c>
      <c r="F20" s="76" t="s">
        <v>51</v>
      </c>
      <c r="G20" s="62">
        <v>1</v>
      </c>
      <c r="H20" s="27">
        <f>IF(B$25=0,0,G20/B$25)</f>
        <v>7.874015748031496E-3</v>
      </c>
      <c r="J20" s="26">
        <v>18</v>
      </c>
      <c r="K20" s="28">
        <v>-14.599999999999985</v>
      </c>
    </row>
    <row r="21" spans="1:11" x14ac:dyDescent="0.4">
      <c r="A21" s="72" t="s">
        <v>14</v>
      </c>
      <c r="B21" s="67">
        <f>IF(B$19=0,0,C21/B$19)</f>
        <v>-9915.748031496063</v>
      </c>
      <c r="C21" s="60">
        <v>-1259300</v>
      </c>
      <c r="E21" s="80" t="s">
        <v>113</v>
      </c>
      <c r="F21" s="76" t="s">
        <v>120</v>
      </c>
      <c r="G21" s="62">
        <v>1</v>
      </c>
      <c r="H21" s="27">
        <f>IF(B$25=0,0,G21/B$25)</f>
        <v>7.874015748031496E-3</v>
      </c>
      <c r="J21" s="26">
        <v>19</v>
      </c>
      <c r="K21" s="28">
        <v>42.600000000000016</v>
      </c>
    </row>
    <row r="22" spans="1:11" x14ac:dyDescent="0.4">
      <c r="A22" s="69" t="s">
        <v>198</v>
      </c>
      <c r="B22" s="61">
        <v>283</v>
      </c>
      <c r="C22" s="24">
        <f>IF(B$3=0,0,B22/B$3)</f>
        <v>0.34895191122071517</v>
      </c>
      <c r="E22" s="80" t="s">
        <v>84</v>
      </c>
      <c r="F22" s="76" t="s">
        <v>37</v>
      </c>
      <c r="G22" s="62">
        <v>1</v>
      </c>
      <c r="H22" s="27">
        <f>IF(B$25=0,0,G22/B$25)</f>
        <v>7.874015748031496E-3</v>
      </c>
      <c r="J22" s="26">
        <v>20</v>
      </c>
      <c r="K22" s="28">
        <v>68.800000000000011</v>
      </c>
    </row>
    <row r="23" spans="1:11" x14ac:dyDescent="0.4">
      <c r="A23" s="72" t="s">
        <v>199</v>
      </c>
      <c r="B23" s="64">
        <v>119</v>
      </c>
      <c r="C23" s="32">
        <f>IF(B$22=0,0,B23/B$22)</f>
        <v>0.4204946996466431</v>
      </c>
      <c r="E23" s="80" t="s">
        <v>80</v>
      </c>
      <c r="F23" s="76" t="s">
        <v>33</v>
      </c>
      <c r="G23" s="62">
        <v>0</v>
      </c>
      <c r="H23" s="27">
        <f>IF(B$25=0,0,G23/B$25)</f>
        <v>0</v>
      </c>
      <c r="J23" s="26">
        <v>21</v>
      </c>
      <c r="K23" s="28">
        <v>125.30000000000001</v>
      </c>
    </row>
    <row r="24" spans="1:11" x14ac:dyDescent="0.4">
      <c r="A24" s="69" t="s">
        <v>128</v>
      </c>
      <c r="B24" s="86">
        <v>348</v>
      </c>
      <c r="C24" s="87"/>
      <c r="E24" s="80" t="s">
        <v>81</v>
      </c>
      <c r="F24" s="76" t="s">
        <v>34</v>
      </c>
      <c r="G24" s="62">
        <v>0</v>
      </c>
      <c r="H24" s="27">
        <f>IF(B$25=0,0,G24/B$25)</f>
        <v>0</v>
      </c>
      <c r="J24" s="26">
        <v>22</v>
      </c>
      <c r="K24" s="28">
        <v>99.800000000000011</v>
      </c>
    </row>
    <row r="25" spans="1:11" x14ac:dyDescent="0.4">
      <c r="A25" s="72" t="s">
        <v>129</v>
      </c>
      <c r="B25" s="88">
        <v>127</v>
      </c>
      <c r="C25" s="89"/>
      <c r="E25" s="80" t="s">
        <v>82</v>
      </c>
      <c r="F25" s="76" t="s">
        <v>35</v>
      </c>
      <c r="G25" s="62">
        <v>0</v>
      </c>
      <c r="H25" s="27">
        <f>IF(B$25=0,0,G25/B$25)</f>
        <v>0</v>
      </c>
      <c r="J25" s="26">
        <v>23</v>
      </c>
      <c r="K25" s="28">
        <v>124.50000000000001</v>
      </c>
    </row>
    <row r="26" spans="1:11" x14ac:dyDescent="0.4">
      <c r="E26" s="80" t="s">
        <v>86</v>
      </c>
      <c r="F26" s="76" t="s">
        <v>39</v>
      </c>
      <c r="G26" s="62">
        <v>0</v>
      </c>
      <c r="H26" s="27">
        <f>IF(B$25=0,0,G26/B$25)</f>
        <v>0</v>
      </c>
      <c r="J26" s="26">
        <v>24</v>
      </c>
      <c r="K26" s="28">
        <v>118.00000000000001</v>
      </c>
    </row>
    <row r="27" spans="1:11" x14ac:dyDescent="0.4">
      <c r="E27" s="80" t="s">
        <v>87</v>
      </c>
      <c r="F27" s="76" t="s">
        <v>40</v>
      </c>
      <c r="G27" s="62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80" t="s">
        <v>89</v>
      </c>
      <c r="F28" s="76" t="s">
        <v>42</v>
      </c>
      <c r="G28" s="62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80" t="s">
        <v>91</v>
      </c>
      <c r="F29" s="76" t="s">
        <v>44</v>
      </c>
      <c r="G29" s="62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80" t="s">
        <v>92</v>
      </c>
      <c r="F30" s="76" t="s">
        <v>45</v>
      </c>
      <c r="G30" s="62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80" t="s">
        <v>94</v>
      </c>
      <c r="F31" s="76" t="s">
        <v>47</v>
      </c>
      <c r="G31" s="62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80" t="s">
        <v>95</v>
      </c>
      <c r="F32" s="76" t="s">
        <v>48</v>
      </c>
      <c r="G32" s="62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80" t="s">
        <v>97</v>
      </c>
      <c r="F33" s="76" t="s">
        <v>50</v>
      </c>
      <c r="G33" s="62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80" t="s">
        <v>100</v>
      </c>
      <c r="F34" s="76" t="s">
        <v>53</v>
      </c>
      <c r="G34" s="62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80" t="s">
        <v>101</v>
      </c>
      <c r="F35" s="76" t="s">
        <v>54</v>
      </c>
      <c r="G35" s="62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80" t="s">
        <v>102</v>
      </c>
      <c r="F36" s="76" t="s">
        <v>55</v>
      </c>
      <c r="G36" s="62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80" t="s">
        <v>103</v>
      </c>
      <c r="F37" s="76" t="s">
        <v>56</v>
      </c>
      <c r="G37" s="62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80" t="s">
        <v>104</v>
      </c>
      <c r="F38" s="76" t="s">
        <v>57</v>
      </c>
      <c r="G38" s="62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80" t="s">
        <v>105</v>
      </c>
      <c r="F39" s="76" t="s">
        <v>58</v>
      </c>
      <c r="G39" s="62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80" t="s">
        <v>106</v>
      </c>
      <c r="F40" s="76" t="s">
        <v>59</v>
      </c>
      <c r="G40" s="62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80" t="s">
        <v>107</v>
      </c>
      <c r="F41" s="76" t="s">
        <v>60</v>
      </c>
      <c r="G41" s="62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80" t="s">
        <v>108</v>
      </c>
      <c r="F42" s="76" t="s">
        <v>61</v>
      </c>
      <c r="G42" s="62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80" t="s">
        <v>109</v>
      </c>
      <c r="F43" s="76" t="s">
        <v>62</v>
      </c>
      <c r="G43" s="62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80" t="s">
        <v>110</v>
      </c>
      <c r="F44" s="76" t="s">
        <v>63</v>
      </c>
      <c r="G44" s="62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80" t="s">
        <v>111</v>
      </c>
      <c r="F45" s="76" t="s">
        <v>64</v>
      </c>
      <c r="G45" s="62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80" t="s">
        <v>112</v>
      </c>
      <c r="F46" s="76" t="s">
        <v>119</v>
      </c>
      <c r="G46" s="62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</sheetData>
  <sortState ref="E2:H114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94D73-58F4-4A60-AA44-D01D387667BE}">
  <sheetPr codeName="Sheet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194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</v>
      </c>
      <c r="C2" s="87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-9250</v>
      </c>
      <c r="O2" s="53">
        <v>-37000</v>
      </c>
      <c r="P2" s="51">
        <v>4</v>
      </c>
    </row>
    <row r="3" spans="1:16" x14ac:dyDescent="0.4">
      <c r="A3" s="70" t="s">
        <v>8</v>
      </c>
      <c r="B3" s="92">
        <v>25</v>
      </c>
      <c r="C3" s="93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-22</v>
      </c>
      <c r="M3" s="26" t="s">
        <v>202</v>
      </c>
      <c r="N3" s="57">
        <f t="shared" si="0"/>
        <v>-7225</v>
      </c>
      <c r="O3" s="54">
        <v>-28900</v>
      </c>
      <c r="P3" s="49">
        <v>4</v>
      </c>
    </row>
    <row r="4" spans="1:16" x14ac:dyDescent="0.4">
      <c r="A4" s="70" t="s">
        <v>6</v>
      </c>
      <c r="B4" s="94">
        <v>-132.1</v>
      </c>
      <c r="C4" s="95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-60.4</v>
      </c>
      <c r="M4" s="26" t="s">
        <v>203</v>
      </c>
      <c r="N4" s="57">
        <f t="shared" si="0"/>
        <v>-10875</v>
      </c>
      <c r="O4" s="54">
        <v>-43500</v>
      </c>
      <c r="P4" s="49">
        <v>4</v>
      </c>
    </row>
    <row r="5" spans="1:16" x14ac:dyDescent="0.4">
      <c r="A5" s="70" t="s">
        <v>7</v>
      </c>
      <c r="B5" s="94">
        <f>IF(B$2=0,0,B$4/B$2)</f>
        <v>-33.024999999999999</v>
      </c>
      <c r="C5" s="95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-85.6</v>
      </c>
      <c r="M5" s="26" t="s">
        <v>204</v>
      </c>
      <c r="N5" s="57">
        <f t="shared" si="0"/>
        <v>-2850</v>
      </c>
      <c r="O5" s="54">
        <v>-5700</v>
      </c>
      <c r="P5" s="49">
        <v>2</v>
      </c>
    </row>
    <row r="6" spans="1:16" x14ac:dyDescent="0.4">
      <c r="A6" s="70" t="s">
        <v>1</v>
      </c>
      <c r="B6" s="96">
        <f>IF(B$2=0,0,(B$7*1+B$8*2+B$9*3)/B$2)</f>
        <v>3</v>
      </c>
      <c r="C6" s="97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-132.1</v>
      </c>
      <c r="M6" s="26" t="s">
        <v>205</v>
      </c>
      <c r="N6" s="57">
        <f t="shared" si="0"/>
        <v>-6000</v>
      </c>
      <c r="O6" s="54">
        <v>-12000</v>
      </c>
      <c r="P6" s="49">
        <v>2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-5000</v>
      </c>
      <c r="O7" s="55">
        <v>-5000</v>
      </c>
      <c r="P7" s="50">
        <v>1</v>
      </c>
    </row>
    <row r="8" spans="1:16" x14ac:dyDescent="0.4">
      <c r="A8" s="70" t="s">
        <v>3</v>
      </c>
      <c r="B8" s="62">
        <v>0</v>
      </c>
      <c r="C8" s="27">
        <f t="shared" ref="C8:C9" si="1">IF(B$2=0,0,B8/B$2)</f>
        <v>0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4</v>
      </c>
      <c r="C9" s="29">
        <f t="shared" si="1"/>
        <v>1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2</v>
      </c>
      <c r="C10" s="29">
        <f>IF(B$2=0,0,B10/B$2)</f>
        <v>0.5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0.04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</v>
      </c>
      <c r="C18" s="27">
        <f>IF(B$3=0,0,B18/B$3)</f>
        <v>0.04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10</v>
      </c>
      <c r="C19" s="27">
        <f>IF(B$3=0,0,B19/B$3)</f>
        <v>0.4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7800</v>
      </c>
      <c r="C20" s="30">
        <v>7800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-8240</v>
      </c>
      <c r="C21" s="60">
        <v>-82400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C9D0A-D062-44F0-AD14-4EBD175BD158}">
  <sheetPr codeName="Sheet6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218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2</v>
      </c>
      <c r="C2" s="87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-11250</v>
      </c>
      <c r="O2" s="53">
        <v>-22500</v>
      </c>
      <c r="P2" s="51">
        <v>2</v>
      </c>
    </row>
    <row r="3" spans="1:16" x14ac:dyDescent="0.4">
      <c r="A3" s="70" t="s">
        <v>8</v>
      </c>
      <c r="B3" s="92">
        <v>7</v>
      </c>
      <c r="C3" s="93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7</v>
      </c>
      <c r="M3" s="26" t="s">
        <v>202</v>
      </c>
      <c r="N3" s="57">
        <f t="shared" si="0"/>
        <v>0</v>
      </c>
      <c r="O3" s="54">
        <v>0</v>
      </c>
      <c r="P3" s="49">
        <v>1</v>
      </c>
    </row>
    <row r="4" spans="1:16" x14ac:dyDescent="0.4">
      <c r="A4" s="70" t="s">
        <v>6</v>
      </c>
      <c r="B4" s="94">
        <v>-24.5</v>
      </c>
      <c r="C4" s="95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-24.5</v>
      </c>
      <c r="M4" s="26" t="s">
        <v>203</v>
      </c>
      <c r="N4" s="57">
        <f t="shared" si="0"/>
        <v>-2000</v>
      </c>
      <c r="O4" s="54">
        <v>-2000</v>
      </c>
      <c r="P4" s="49">
        <v>1</v>
      </c>
    </row>
    <row r="5" spans="1:16" x14ac:dyDescent="0.4">
      <c r="A5" s="70" t="s">
        <v>7</v>
      </c>
      <c r="B5" s="94">
        <f>IF(B$2=0,0,B$4/B$2)</f>
        <v>-12.25</v>
      </c>
      <c r="C5" s="95"/>
      <c r="E5" s="80" t="s">
        <v>72</v>
      </c>
      <c r="F5" s="76" t="s">
        <v>26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0</v>
      </c>
      <c r="O5" s="54">
        <v>0</v>
      </c>
      <c r="P5" s="49">
        <v>0</v>
      </c>
    </row>
    <row r="6" spans="1:16" x14ac:dyDescent="0.4">
      <c r="A6" s="70" t="s">
        <v>1</v>
      </c>
      <c r="B6" s="96">
        <f>IF(B$2=0,0,(B$7*1+B$8*2+B$9*3)/B$2)</f>
        <v>2.5</v>
      </c>
      <c r="C6" s="97"/>
      <c r="E6" s="80" t="s">
        <v>73</v>
      </c>
      <c r="F6" s="76" t="s">
        <v>27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0.5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1</v>
      </c>
      <c r="C9" s="29">
        <f t="shared" si="1"/>
        <v>0.5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1</v>
      </c>
      <c r="C12" s="35">
        <f>IF(B$24=0,0,B12/B$24)</f>
        <v>0.5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</v>
      </c>
      <c r="C16" s="24">
        <f>IF(B$3=0,0,B16/B$3)</f>
        <v>0.2857142857142857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2</v>
      </c>
      <c r="C17" s="27">
        <f>IF(B$3=0,0,B17/B$3)</f>
        <v>0.2857142857142857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2</v>
      </c>
      <c r="C19" s="27">
        <f>IF(B$3=0,0,B19/B$3)</f>
        <v>0.2857142857142857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8000</v>
      </c>
      <c r="C20" s="30">
        <v>16000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-12000</v>
      </c>
      <c r="C21" s="60">
        <v>-24000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</v>
      </c>
      <c r="C22" s="24">
        <f>IF(B$3=0,0,B22/B$3)</f>
        <v>0.14285714285714285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2</v>
      </c>
      <c r="C24" s="87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EC35-A2DD-4AB5-9073-14722322CC89}">
  <sheetPr codeName="Sheet7"/>
  <dimension ref="A1:P80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190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78</v>
      </c>
      <c r="C2" s="87"/>
      <c r="E2" s="79" t="s">
        <v>73</v>
      </c>
      <c r="F2" s="75" t="s">
        <v>27</v>
      </c>
      <c r="G2" s="61">
        <v>60</v>
      </c>
      <c r="H2" s="24">
        <f>IF(B$25=0,0,G2/B$25)</f>
        <v>0.68965517241379315</v>
      </c>
      <c r="J2" s="23">
        <v>0</v>
      </c>
      <c r="K2" s="25">
        <v>0</v>
      </c>
      <c r="M2" s="23" t="s">
        <v>201</v>
      </c>
      <c r="N2" s="56">
        <f t="shared" ref="N2:N7" si="0">IF(P2=0,0,O2/P2)</f>
        <v>-247.36842105263159</v>
      </c>
      <c r="O2" s="53">
        <v>-18800</v>
      </c>
      <c r="P2" s="51">
        <v>76</v>
      </c>
    </row>
    <row r="3" spans="1:16" x14ac:dyDescent="0.4">
      <c r="A3" s="70" t="s">
        <v>8</v>
      </c>
      <c r="B3" s="92">
        <v>582</v>
      </c>
      <c r="C3" s="93"/>
      <c r="E3" s="80" t="s">
        <v>71</v>
      </c>
      <c r="F3" s="76" t="s">
        <v>25</v>
      </c>
      <c r="G3" s="62">
        <v>55</v>
      </c>
      <c r="H3" s="27">
        <f>IF(B$25=0,0,G3/B$25)</f>
        <v>0.63218390804597702</v>
      </c>
      <c r="J3" s="26">
        <v>1</v>
      </c>
      <c r="K3" s="28">
        <v>40.9</v>
      </c>
      <c r="M3" s="26" t="s">
        <v>202</v>
      </c>
      <c r="N3" s="57">
        <f t="shared" si="0"/>
        <v>-1981.9444444444443</v>
      </c>
      <c r="O3" s="54">
        <v>-142700</v>
      </c>
      <c r="P3" s="49">
        <v>72</v>
      </c>
    </row>
    <row r="4" spans="1:16" x14ac:dyDescent="0.4">
      <c r="A4" s="70" t="s">
        <v>6</v>
      </c>
      <c r="B4" s="94">
        <v>-365.99999999999989</v>
      </c>
      <c r="C4" s="95"/>
      <c r="E4" s="80" t="s">
        <v>69</v>
      </c>
      <c r="F4" s="76" t="s">
        <v>23</v>
      </c>
      <c r="G4" s="62">
        <v>51</v>
      </c>
      <c r="H4" s="27">
        <f>IF(B$25=0,0,G4/B$25)</f>
        <v>0.58620689655172409</v>
      </c>
      <c r="J4" s="26">
        <v>2</v>
      </c>
      <c r="K4" s="28">
        <v>-0.89999999999999858</v>
      </c>
      <c r="M4" s="26" t="s">
        <v>203</v>
      </c>
      <c r="N4" s="57">
        <f t="shared" si="0"/>
        <v>2028.5714285714287</v>
      </c>
      <c r="O4" s="54">
        <v>142000</v>
      </c>
      <c r="P4" s="49">
        <v>70</v>
      </c>
    </row>
    <row r="5" spans="1:16" x14ac:dyDescent="0.4">
      <c r="A5" s="70" t="s">
        <v>7</v>
      </c>
      <c r="B5" s="94">
        <f>IF(B$2=0,0,B$4/B$2)</f>
        <v>-4.6923076923076907</v>
      </c>
      <c r="C5" s="95"/>
      <c r="E5" s="80" t="s">
        <v>78</v>
      </c>
      <c r="F5" s="76" t="s">
        <v>31</v>
      </c>
      <c r="G5" s="62">
        <v>49</v>
      </c>
      <c r="H5" s="27">
        <f>IF(B$25=0,0,G5/B$25)</f>
        <v>0.56321839080459768</v>
      </c>
      <c r="J5" s="26">
        <v>3</v>
      </c>
      <c r="K5" s="28">
        <v>-36.4</v>
      </c>
      <c r="M5" s="26" t="s">
        <v>204</v>
      </c>
      <c r="N5" s="57">
        <f t="shared" si="0"/>
        <v>-1529.0322580645161</v>
      </c>
      <c r="O5" s="54">
        <v>-94800</v>
      </c>
      <c r="P5" s="49">
        <v>62</v>
      </c>
    </row>
    <row r="6" spans="1:16" x14ac:dyDescent="0.4">
      <c r="A6" s="70" t="s">
        <v>1</v>
      </c>
      <c r="B6" s="96">
        <f>IF(B$2=0,0,(B$7*1+B$8*2+B$9*3)/B$2)</f>
        <v>2.141025641025641</v>
      </c>
      <c r="C6" s="97"/>
      <c r="E6" s="80" t="s">
        <v>74</v>
      </c>
      <c r="F6" s="76" t="s">
        <v>12</v>
      </c>
      <c r="G6" s="62">
        <v>28</v>
      </c>
      <c r="H6" s="27">
        <f>IF(B$25=0,0,G6/B$25)</f>
        <v>0.32183908045977011</v>
      </c>
      <c r="J6" s="26">
        <v>4</v>
      </c>
      <c r="K6" s="28">
        <v>3.6000000000000014</v>
      </c>
      <c r="M6" s="26" t="s">
        <v>205</v>
      </c>
      <c r="N6" s="57">
        <f t="shared" si="0"/>
        <v>-3830</v>
      </c>
      <c r="O6" s="54">
        <v>-191500</v>
      </c>
      <c r="P6" s="49">
        <v>50</v>
      </c>
    </row>
    <row r="7" spans="1:16" x14ac:dyDescent="0.4">
      <c r="A7" s="70" t="s">
        <v>2</v>
      </c>
      <c r="B7" s="62">
        <v>23</v>
      </c>
      <c r="C7" s="27">
        <f>IF(B$2=0,0,B7/B$2)</f>
        <v>0.29487179487179488</v>
      </c>
      <c r="E7" s="80" t="s">
        <v>72</v>
      </c>
      <c r="F7" s="76" t="s">
        <v>26</v>
      </c>
      <c r="G7" s="62">
        <v>17</v>
      </c>
      <c r="H7" s="27">
        <f>IF(B$25=0,0,G7/B$25)</f>
        <v>0.19540229885057472</v>
      </c>
      <c r="J7" s="26">
        <v>5</v>
      </c>
      <c r="K7" s="28">
        <v>14.600000000000001</v>
      </c>
      <c r="M7" s="31" t="s">
        <v>206</v>
      </c>
      <c r="N7" s="58">
        <f t="shared" si="0"/>
        <v>-2654.0540540540542</v>
      </c>
      <c r="O7" s="55">
        <v>-98200</v>
      </c>
      <c r="P7" s="50">
        <v>37</v>
      </c>
    </row>
    <row r="8" spans="1:16" x14ac:dyDescent="0.4">
      <c r="A8" s="70" t="s">
        <v>3</v>
      </c>
      <c r="B8" s="62">
        <v>21</v>
      </c>
      <c r="C8" s="27">
        <f t="shared" ref="C8:C9" si="1">IF(B$2=0,0,B8/B$2)</f>
        <v>0.26923076923076922</v>
      </c>
      <c r="E8" s="80" t="s">
        <v>76</v>
      </c>
      <c r="F8" s="76" t="s">
        <v>29</v>
      </c>
      <c r="G8" s="62">
        <v>14</v>
      </c>
      <c r="H8" s="27">
        <f>IF(B$25=0,0,G8/B$25)</f>
        <v>0.16091954022988506</v>
      </c>
      <c r="J8" s="26">
        <v>6</v>
      </c>
      <c r="K8" s="28">
        <v>47.6</v>
      </c>
    </row>
    <row r="9" spans="1:16" x14ac:dyDescent="0.4">
      <c r="A9" s="71" t="s">
        <v>4</v>
      </c>
      <c r="B9" s="63">
        <v>34</v>
      </c>
      <c r="C9" s="29">
        <f t="shared" si="1"/>
        <v>0.4358974358974359</v>
      </c>
      <c r="E9" s="80" t="s">
        <v>96</v>
      </c>
      <c r="F9" s="76" t="s">
        <v>49</v>
      </c>
      <c r="G9" s="62">
        <v>14</v>
      </c>
      <c r="H9" s="27">
        <f>IF(B$25=0,0,G9/B$25)</f>
        <v>0.16091954022988506</v>
      </c>
      <c r="J9" s="26">
        <v>7</v>
      </c>
      <c r="K9" s="28">
        <v>100.1</v>
      </c>
    </row>
    <row r="10" spans="1:16" x14ac:dyDescent="0.4">
      <c r="A10" s="71" t="s">
        <v>21</v>
      </c>
      <c r="B10" s="63">
        <v>20</v>
      </c>
      <c r="C10" s="29">
        <f>IF(B$2=0,0,B10/B$2)</f>
        <v>0.25641025641025639</v>
      </c>
      <c r="E10" s="80" t="s">
        <v>75</v>
      </c>
      <c r="F10" s="76" t="s">
        <v>28</v>
      </c>
      <c r="G10" s="62">
        <v>12</v>
      </c>
      <c r="H10" s="27">
        <f>IF(B$25=0,0,G10/B$25)</f>
        <v>0.13793103448275862</v>
      </c>
      <c r="J10" s="26">
        <v>8</v>
      </c>
      <c r="K10" s="28">
        <v>60.199999999999996</v>
      </c>
    </row>
    <row r="11" spans="1:16" x14ac:dyDescent="0.4">
      <c r="A11" s="72" t="s">
        <v>211</v>
      </c>
      <c r="B11" s="64">
        <v>12</v>
      </c>
      <c r="C11" s="32">
        <f>IF(B$2=0,0,B11/B$2)</f>
        <v>0.15384615384615385</v>
      </c>
      <c r="E11" s="80" t="s">
        <v>70</v>
      </c>
      <c r="F11" s="76" t="s">
        <v>24</v>
      </c>
      <c r="G11" s="62">
        <v>10</v>
      </c>
      <c r="H11" s="27">
        <f>IF(B$25=0,0,G11/B$25)</f>
        <v>0.11494252873563218</v>
      </c>
      <c r="J11" s="26">
        <v>9</v>
      </c>
      <c r="K11" s="28">
        <v>24.4</v>
      </c>
    </row>
    <row r="12" spans="1:16" x14ac:dyDescent="0.4">
      <c r="A12" s="73" t="s">
        <v>130</v>
      </c>
      <c r="B12" s="65">
        <v>92</v>
      </c>
      <c r="C12" s="35">
        <f>IF(B$24=0,0,B12/B$24)</f>
        <v>0.28660436137071649</v>
      </c>
      <c r="E12" s="80" t="s">
        <v>93</v>
      </c>
      <c r="F12" s="76" t="s">
        <v>46</v>
      </c>
      <c r="G12" s="62">
        <v>10</v>
      </c>
      <c r="H12" s="27">
        <f>IF(B$25=0,0,G12/B$25)</f>
        <v>0.11494252873563218</v>
      </c>
      <c r="J12" s="26">
        <v>10</v>
      </c>
      <c r="K12" s="28">
        <v>-20.100000000000001</v>
      </c>
    </row>
    <row r="13" spans="1:16" x14ac:dyDescent="0.4">
      <c r="A13" s="70" t="s">
        <v>125</v>
      </c>
      <c r="B13" s="62">
        <v>56</v>
      </c>
      <c r="C13" s="27">
        <f>IF(B$24=0,0,B13/B$24)</f>
        <v>0.17445482866043613</v>
      </c>
      <c r="E13" s="80" t="s">
        <v>90</v>
      </c>
      <c r="F13" s="76" t="s">
        <v>43</v>
      </c>
      <c r="G13" s="62">
        <v>8</v>
      </c>
      <c r="H13" s="27">
        <f>IF(B$25=0,0,G13/B$25)</f>
        <v>9.1954022988505746E-2</v>
      </c>
      <c r="J13" s="26">
        <v>11</v>
      </c>
      <c r="K13" s="28">
        <v>-3.6000000000000014</v>
      </c>
    </row>
    <row r="14" spans="1:16" x14ac:dyDescent="0.4">
      <c r="A14" s="69" t="s">
        <v>132</v>
      </c>
      <c r="B14" s="61">
        <v>51</v>
      </c>
      <c r="C14" s="24">
        <f>IF(B$12=0,0,B14/B$12)</f>
        <v>0.55434782608695654</v>
      </c>
      <c r="E14" s="80" t="s">
        <v>98</v>
      </c>
      <c r="F14" s="76" t="s">
        <v>51</v>
      </c>
      <c r="G14" s="62">
        <v>6</v>
      </c>
      <c r="H14" s="27">
        <f>IF(B$25=0,0,G14/B$25)</f>
        <v>6.8965517241379309E-2</v>
      </c>
      <c r="J14" s="26">
        <v>12</v>
      </c>
      <c r="K14" s="28">
        <v>-12.000000000000002</v>
      </c>
    </row>
    <row r="15" spans="1:16" x14ac:dyDescent="0.4">
      <c r="A15" s="69" t="s">
        <v>133</v>
      </c>
      <c r="B15" s="61">
        <v>22</v>
      </c>
      <c r="C15" s="24">
        <f>IF(B$13=0,0,B15/B$13)</f>
        <v>0.39285714285714285</v>
      </c>
      <c r="E15" s="80" t="s">
        <v>88</v>
      </c>
      <c r="F15" s="76" t="s">
        <v>41</v>
      </c>
      <c r="G15" s="62">
        <v>4</v>
      </c>
      <c r="H15" s="27">
        <f>IF(B$25=0,0,G15/B$25)</f>
        <v>4.5977011494252873E-2</v>
      </c>
      <c r="J15" s="26">
        <v>13</v>
      </c>
      <c r="K15" s="28">
        <v>49.5</v>
      </c>
    </row>
    <row r="16" spans="1:16" x14ac:dyDescent="0.4">
      <c r="A16" s="69" t="s">
        <v>10</v>
      </c>
      <c r="B16" s="61">
        <f>B17+B18</f>
        <v>148</v>
      </c>
      <c r="C16" s="24">
        <f>IF(B$3=0,0,B16/B$3)</f>
        <v>0.25429553264604809</v>
      </c>
      <c r="E16" s="80" t="s">
        <v>77</v>
      </c>
      <c r="F16" s="76" t="s">
        <v>30</v>
      </c>
      <c r="G16" s="62">
        <v>2</v>
      </c>
      <c r="H16" s="27">
        <f>IF(B$25=0,0,G16/B$25)</f>
        <v>2.2988505747126436E-2</v>
      </c>
      <c r="J16" s="26">
        <v>14</v>
      </c>
      <c r="K16" s="28">
        <v>33</v>
      </c>
    </row>
    <row r="17" spans="1:11" x14ac:dyDescent="0.4">
      <c r="A17" s="70" t="s">
        <v>11</v>
      </c>
      <c r="B17" s="62">
        <v>88</v>
      </c>
      <c r="C17" s="27">
        <f>IF(B$3=0,0,B17/B$3)</f>
        <v>0.15120274914089346</v>
      </c>
      <c r="E17" s="80" t="s">
        <v>84</v>
      </c>
      <c r="F17" s="76" t="s">
        <v>37</v>
      </c>
      <c r="G17" s="62">
        <v>2</v>
      </c>
      <c r="H17" s="27">
        <f>IF(B$25=0,0,G17/B$25)</f>
        <v>2.2988505747126436E-2</v>
      </c>
      <c r="J17" s="26">
        <v>15</v>
      </c>
      <c r="K17" s="28">
        <v>38.5</v>
      </c>
    </row>
    <row r="18" spans="1:11" x14ac:dyDescent="0.4">
      <c r="A18" s="70" t="s">
        <v>12</v>
      </c>
      <c r="B18" s="62">
        <v>60</v>
      </c>
      <c r="C18" s="27">
        <f>IF(B$3=0,0,B18/B$3)</f>
        <v>0.10309278350515463</v>
      </c>
      <c r="E18" s="80" t="s">
        <v>85</v>
      </c>
      <c r="F18" s="76" t="s">
        <v>38</v>
      </c>
      <c r="G18" s="62">
        <v>2</v>
      </c>
      <c r="H18" s="27">
        <f>IF(B$25=0,0,G18/B$25)</f>
        <v>2.2988505747126436E-2</v>
      </c>
      <c r="J18" s="26">
        <v>16</v>
      </c>
      <c r="K18" s="28">
        <v>14.600000000000001</v>
      </c>
    </row>
    <row r="19" spans="1:11" x14ac:dyDescent="0.4">
      <c r="A19" s="70" t="s">
        <v>13</v>
      </c>
      <c r="B19" s="62">
        <v>115</v>
      </c>
      <c r="C19" s="27">
        <f>IF(B$3=0,0,B19/B$3)</f>
        <v>0.19759450171821305</v>
      </c>
      <c r="E19" s="80" t="s">
        <v>99</v>
      </c>
      <c r="F19" s="76" t="s">
        <v>52</v>
      </c>
      <c r="G19" s="62">
        <v>2</v>
      </c>
      <c r="H19" s="27">
        <f>IF(B$25=0,0,G19/B$25)</f>
        <v>2.2988505747126436E-2</v>
      </c>
      <c r="J19" s="26">
        <v>17</v>
      </c>
      <c r="K19" s="28">
        <v>13.900000000000002</v>
      </c>
    </row>
    <row r="20" spans="1:11" x14ac:dyDescent="0.4">
      <c r="A20" s="70" t="s">
        <v>5</v>
      </c>
      <c r="B20" s="66">
        <f>IF(B$16=0,0,C20/B$16)</f>
        <v>11415.54054054054</v>
      </c>
      <c r="C20" s="30">
        <v>1689500</v>
      </c>
      <c r="E20" s="80" t="s">
        <v>87</v>
      </c>
      <c r="F20" s="76" t="s">
        <v>40</v>
      </c>
      <c r="G20" s="62">
        <v>1</v>
      </c>
      <c r="H20" s="27">
        <f>IF(B$25=0,0,G20/B$25)</f>
        <v>1.1494252873563218E-2</v>
      </c>
      <c r="J20" s="26">
        <v>18</v>
      </c>
      <c r="K20" s="28">
        <v>-21.999999999999996</v>
      </c>
    </row>
    <row r="21" spans="1:11" x14ac:dyDescent="0.4">
      <c r="A21" s="72" t="s">
        <v>14</v>
      </c>
      <c r="B21" s="67">
        <f>IF(B$19=0,0,C21/B$19)</f>
        <v>-10471.304347826086</v>
      </c>
      <c r="C21" s="60">
        <v>-1204200</v>
      </c>
      <c r="E21" s="80" t="s">
        <v>91</v>
      </c>
      <c r="F21" s="76" t="s">
        <v>44</v>
      </c>
      <c r="G21" s="62">
        <v>1</v>
      </c>
      <c r="H21" s="27">
        <f>IF(B$25=0,0,G21/B$25)</f>
        <v>1.1494252873563218E-2</v>
      </c>
      <c r="J21" s="26">
        <v>19</v>
      </c>
      <c r="K21" s="28">
        <v>-26.699999999999996</v>
      </c>
    </row>
    <row r="22" spans="1:11" x14ac:dyDescent="0.4">
      <c r="A22" s="69" t="s">
        <v>198</v>
      </c>
      <c r="B22" s="61">
        <v>180</v>
      </c>
      <c r="C22" s="24">
        <f>IF(B$3=0,0,B22/B$3)</f>
        <v>0.30927835051546393</v>
      </c>
      <c r="E22" s="80" t="s">
        <v>92</v>
      </c>
      <c r="F22" s="76" t="s">
        <v>45</v>
      </c>
      <c r="G22" s="62">
        <v>1</v>
      </c>
      <c r="H22" s="27">
        <f>IF(B$25=0,0,G22/B$25)</f>
        <v>1.1494252873563218E-2</v>
      </c>
      <c r="J22" s="26">
        <v>20</v>
      </c>
      <c r="K22" s="28">
        <v>-57.899999999999991</v>
      </c>
    </row>
    <row r="23" spans="1:11" x14ac:dyDescent="0.4">
      <c r="A23" s="72" t="s">
        <v>199</v>
      </c>
      <c r="B23" s="64">
        <v>56</v>
      </c>
      <c r="C23" s="32">
        <f>IF(B$22=0,0,B23/B$22)</f>
        <v>0.31111111111111112</v>
      </c>
      <c r="E23" s="80" t="s">
        <v>94</v>
      </c>
      <c r="F23" s="76" t="s">
        <v>47</v>
      </c>
      <c r="G23" s="62">
        <v>1</v>
      </c>
      <c r="H23" s="27">
        <f>IF(B$25=0,0,G23/B$25)</f>
        <v>1.1494252873563218E-2</v>
      </c>
      <c r="J23" s="26">
        <v>21</v>
      </c>
      <c r="K23" s="28">
        <v>-82.699999999999989</v>
      </c>
    </row>
    <row r="24" spans="1:11" x14ac:dyDescent="0.4">
      <c r="A24" s="69" t="s">
        <v>128</v>
      </c>
      <c r="B24" s="86">
        <v>321</v>
      </c>
      <c r="C24" s="87"/>
      <c r="E24" s="80" t="s">
        <v>95</v>
      </c>
      <c r="F24" s="76" t="s">
        <v>48</v>
      </c>
      <c r="G24" s="62">
        <v>1</v>
      </c>
      <c r="H24" s="27">
        <f>IF(B$25=0,0,G24/B$25)</f>
        <v>1.1494252873563218E-2</v>
      </c>
      <c r="J24" s="26">
        <v>22</v>
      </c>
      <c r="K24" s="28">
        <v>-94.6</v>
      </c>
    </row>
    <row r="25" spans="1:11" x14ac:dyDescent="0.4">
      <c r="A25" s="72" t="s">
        <v>129</v>
      </c>
      <c r="B25" s="88">
        <v>87</v>
      </c>
      <c r="C25" s="89"/>
      <c r="E25" s="80" t="s">
        <v>79</v>
      </c>
      <c r="F25" s="76" t="s">
        <v>32</v>
      </c>
      <c r="G25" s="62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E26" s="80" t="s">
        <v>80</v>
      </c>
      <c r="F26" s="76" t="s">
        <v>33</v>
      </c>
      <c r="G26" s="62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80" t="s">
        <v>81</v>
      </c>
      <c r="F27" s="76" t="s">
        <v>34</v>
      </c>
      <c r="G27" s="62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80" t="s">
        <v>82</v>
      </c>
      <c r="F28" s="76" t="s">
        <v>35</v>
      </c>
      <c r="G28" s="62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80" t="s">
        <v>83</v>
      </c>
      <c r="F29" s="76" t="s">
        <v>36</v>
      </c>
      <c r="G29" s="62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80" t="s">
        <v>86</v>
      </c>
      <c r="F30" s="76" t="s">
        <v>39</v>
      </c>
      <c r="G30" s="62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80" t="s">
        <v>89</v>
      </c>
      <c r="F31" s="76" t="s">
        <v>42</v>
      </c>
      <c r="G31" s="62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80" t="s">
        <v>97</v>
      </c>
      <c r="F32" s="76" t="s">
        <v>50</v>
      </c>
      <c r="G32" s="62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</sheetData>
  <sortState ref="E2:H80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CB99B-0B0B-427E-A2E7-DB4A0A69C6A4}">
  <sheetPr codeName="Sheet8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191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40</v>
      </c>
      <c r="C2" s="87"/>
      <c r="E2" s="79" t="s">
        <v>71</v>
      </c>
      <c r="F2" s="75" t="s">
        <v>25</v>
      </c>
      <c r="G2" s="61">
        <v>14</v>
      </c>
      <c r="H2" s="24">
        <f>IF(B$25=0,0,G2/B$25)</f>
        <v>1.0769230769230769</v>
      </c>
      <c r="J2" s="23">
        <v>0</v>
      </c>
      <c r="K2" s="25">
        <v>0</v>
      </c>
      <c r="M2" s="23" t="s">
        <v>201</v>
      </c>
      <c r="N2" s="56">
        <f t="shared" ref="N2:N7" si="0">IF(P2=0,0,O2/P2)</f>
        <v>-867.5</v>
      </c>
      <c r="O2" s="53">
        <v>-34700</v>
      </c>
      <c r="P2" s="51">
        <v>40</v>
      </c>
    </row>
    <row r="3" spans="1:16" x14ac:dyDescent="0.4">
      <c r="A3" s="70" t="s">
        <v>8</v>
      </c>
      <c r="B3" s="92">
        <v>284</v>
      </c>
      <c r="C3" s="93"/>
      <c r="E3" s="80" t="s">
        <v>73</v>
      </c>
      <c r="F3" s="76" t="s">
        <v>27</v>
      </c>
      <c r="G3" s="62">
        <v>12</v>
      </c>
      <c r="H3" s="27">
        <f>IF(B$25=0,0,G3/B$25)</f>
        <v>0.92307692307692313</v>
      </c>
      <c r="J3" s="26">
        <v>1</v>
      </c>
      <c r="K3" s="28">
        <v>-39.9</v>
      </c>
      <c r="M3" s="26" t="s">
        <v>202</v>
      </c>
      <c r="N3" s="57">
        <f t="shared" si="0"/>
        <v>3084.2105263157896</v>
      </c>
      <c r="O3" s="54">
        <v>117200</v>
      </c>
      <c r="P3" s="49">
        <v>38</v>
      </c>
    </row>
    <row r="4" spans="1:16" x14ac:dyDescent="0.4">
      <c r="A4" s="70" t="s">
        <v>6</v>
      </c>
      <c r="B4" s="94">
        <v>236.10000000000002</v>
      </c>
      <c r="C4" s="95"/>
      <c r="E4" s="80" t="s">
        <v>78</v>
      </c>
      <c r="F4" s="76" t="s">
        <v>31</v>
      </c>
      <c r="G4" s="62">
        <v>12</v>
      </c>
      <c r="H4" s="27">
        <f>IF(B$25=0,0,G4/B$25)</f>
        <v>0.92307692307692313</v>
      </c>
      <c r="J4" s="26">
        <v>2</v>
      </c>
      <c r="K4" s="28">
        <v>-13.2</v>
      </c>
      <c r="M4" s="26" t="s">
        <v>203</v>
      </c>
      <c r="N4" s="57">
        <f t="shared" si="0"/>
        <v>-1480.5555555555557</v>
      </c>
      <c r="O4" s="54">
        <v>-53300</v>
      </c>
      <c r="P4" s="49">
        <v>36</v>
      </c>
    </row>
    <row r="5" spans="1:16" x14ac:dyDescent="0.4">
      <c r="A5" s="70" t="s">
        <v>7</v>
      </c>
      <c r="B5" s="94">
        <f>IF(B$2=0,0,B$4/B$2)</f>
        <v>5.9025000000000007</v>
      </c>
      <c r="C5" s="95"/>
      <c r="E5" s="80" t="s">
        <v>69</v>
      </c>
      <c r="F5" s="76" t="s">
        <v>23</v>
      </c>
      <c r="G5" s="62">
        <v>4</v>
      </c>
      <c r="H5" s="27">
        <f>IF(B$25=0,0,G5/B$25)</f>
        <v>0.30769230769230771</v>
      </c>
      <c r="J5" s="26">
        <v>3</v>
      </c>
      <c r="K5" s="28">
        <v>-57.7</v>
      </c>
      <c r="M5" s="26" t="s">
        <v>204</v>
      </c>
      <c r="N5" s="57">
        <f t="shared" si="0"/>
        <v>-1212.9032258064517</v>
      </c>
      <c r="O5" s="54">
        <v>-37600</v>
      </c>
      <c r="P5" s="49">
        <v>31</v>
      </c>
    </row>
    <row r="6" spans="1:16" x14ac:dyDescent="0.4">
      <c r="A6" s="70" t="s">
        <v>1</v>
      </c>
      <c r="B6" s="96">
        <f>IF(B$2=0,0,(B$7*1+B$8*2+B$9*3)/B$2)</f>
        <v>1.85</v>
      </c>
      <c r="C6" s="97"/>
      <c r="E6" s="80" t="s">
        <v>72</v>
      </c>
      <c r="F6" s="76" t="s">
        <v>26</v>
      </c>
      <c r="G6" s="62">
        <v>4</v>
      </c>
      <c r="H6" s="27">
        <f>IF(B$25=0,0,G6/B$25)</f>
        <v>0.30769230769230771</v>
      </c>
      <c r="J6" s="26">
        <v>4</v>
      </c>
      <c r="K6" s="28">
        <v>-53.7</v>
      </c>
      <c r="M6" s="26" t="s">
        <v>205</v>
      </c>
      <c r="N6" s="57">
        <f t="shared" si="0"/>
        <v>8588</v>
      </c>
      <c r="O6" s="54">
        <v>214700</v>
      </c>
      <c r="P6" s="49">
        <v>25</v>
      </c>
    </row>
    <row r="7" spans="1:16" x14ac:dyDescent="0.4">
      <c r="A7" s="70" t="s">
        <v>2</v>
      </c>
      <c r="B7" s="62">
        <v>14</v>
      </c>
      <c r="C7" s="27">
        <f>IF(B$2=0,0,B7/B$2)</f>
        <v>0.35</v>
      </c>
      <c r="E7" s="80" t="s">
        <v>74</v>
      </c>
      <c r="F7" s="76" t="s">
        <v>12</v>
      </c>
      <c r="G7" s="62">
        <v>3</v>
      </c>
      <c r="H7" s="27">
        <f>IF(B$25=0,0,G7/B$25)</f>
        <v>0.23076923076923078</v>
      </c>
      <c r="J7" s="26">
        <v>5</v>
      </c>
      <c r="K7" s="28">
        <v>-45.7</v>
      </c>
      <c r="M7" s="31" t="s">
        <v>206</v>
      </c>
      <c r="N7" s="58">
        <f t="shared" si="0"/>
        <v>2146.6666666666665</v>
      </c>
      <c r="O7" s="55">
        <v>32200</v>
      </c>
      <c r="P7" s="50">
        <v>15</v>
      </c>
    </row>
    <row r="8" spans="1:16" x14ac:dyDescent="0.4">
      <c r="A8" s="70" t="s">
        <v>3</v>
      </c>
      <c r="B8" s="62">
        <v>18</v>
      </c>
      <c r="C8" s="27">
        <f t="shared" ref="C8:C9" si="1">IF(B$2=0,0,B8/B$2)</f>
        <v>0.45</v>
      </c>
      <c r="E8" s="80" t="s">
        <v>90</v>
      </c>
      <c r="F8" s="76" t="s">
        <v>43</v>
      </c>
      <c r="G8" s="62">
        <v>3</v>
      </c>
      <c r="H8" s="27">
        <f>IF(B$25=0,0,G8/B$25)</f>
        <v>0.23076923076923078</v>
      </c>
      <c r="J8" s="26">
        <v>6</v>
      </c>
      <c r="K8" s="28">
        <v>-50.6</v>
      </c>
    </row>
    <row r="9" spans="1:16" x14ac:dyDescent="0.4">
      <c r="A9" s="71" t="s">
        <v>4</v>
      </c>
      <c r="B9" s="63">
        <v>8</v>
      </c>
      <c r="C9" s="29">
        <f t="shared" si="1"/>
        <v>0.2</v>
      </c>
      <c r="E9" s="80" t="s">
        <v>75</v>
      </c>
      <c r="F9" s="76" t="s">
        <v>28</v>
      </c>
      <c r="G9" s="62">
        <v>2</v>
      </c>
      <c r="H9" s="27">
        <f>IF(B$25=0,0,G9/B$25)</f>
        <v>0.15384615384615385</v>
      </c>
      <c r="J9" s="26">
        <v>7</v>
      </c>
      <c r="K9" s="28">
        <v>-47.6</v>
      </c>
    </row>
    <row r="10" spans="1:16" x14ac:dyDescent="0.4">
      <c r="A10" s="71" t="s">
        <v>21</v>
      </c>
      <c r="B10" s="63">
        <v>5</v>
      </c>
      <c r="C10" s="29">
        <f>IF(B$2=0,0,B10/B$2)</f>
        <v>0.125</v>
      </c>
      <c r="E10" s="80" t="s">
        <v>88</v>
      </c>
      <c r="F10" s="76" t="s">
        <v>41</v>
      </c>
      <c r="G10" s="62">
        <v>2</v>
      </c>
      <c r="H10" s="27">
        <f>IF(B$25=0,0,G10/B$25)</f>
        <v>0.15384615384615385</v>
      </c>
      <c r="J10" s="26">
        <v>8</v>
      </c>
      <c r="K10" s="28">
        <v>-59.1</v>
      </c>
    </row>
    <row r="11" spans="1:16" x14ac:dyDescent="0.4">
      <c r="A11" s="72" t="s">
        <v>211</v>
      </c>
      <c r="B11" s="64">
        <v>8</v>
      </c>
      <c r="C11" s="32">
        <f>IF(B$2=0,0,B11/B$2)</f>
        <v>0.2</v>
      </c>
      <c r="E11" s="80" t="s">
        <v>70</v>
      </c>
      <c r="F11" s="76" t="s">
        <v>24</v>
      </c>
      <c r="G11" s="62">
        <v>1</v>
      </c>
      <c r="H11" s="27">
        <f>IF(B$25=0,0,G11/B$25)</f>
        <v>7.6923076923076927E-2</v>
      </c>
      <c r="J11" s="26">
        <v>9</v>
      </c>
      <c r="K11" s="28">
        <v>-77.900000000000006</v>
      </c>
    </row>
    <row r="12" spans="1:16" x14ac:dyDescent="0.4">
      <c r="A12" s="73" t="s">
        <v>130</v>
      </c>
      <c r="B12" s="65">
        <v>8</v>
      </c>
      <c r="C12" s="35">
        <f>IF(B$24=0,0,B12/B$24)</f>
        <v>0.17391304347826086</v>
      </c>
      <c r="E12" s="80" t="s">
        <v>96</v>
      </c>
      <c r="F12" s="76" t="s">
        <v>49</v>
      </c>
      <c r="G12" s="62">
        <v>1</v>
      </c>
      <c r="H12" s="27">
        <f>IF(B$25=0,0,G12/B$25)</f>
        <v>7.6923076923076927E-2</v>
      </c>
      <c r="J12" s="26">
        <v>10</v>
      </c>
      <c r="K12" s="28">
        <v>-78.900000000000006</v>
      </c>
    </row>
    <row r="13" spans="1:16" x14ac:dyDescent="0.4">
      <c r="A13" s="70" t="s">
        <v>125</v>
      </c>
      <c r="B13" s="62">
        <v>16</v>
      </c>
      <c r="C13" s="27">
        <f>IF(B$24=0,0,B13/B$24)</f>
        <v>0.34782608695652173</v>
      </c>
      <c r="E13" s="80" t="s">
        <v>76</v>
      </c>
      <c r="F13" s="76" t="s">
        <v>29</v>
      </c>
      <c r="G13" s="62">
        <v>0</v>
      </c>
      <c r="H13" s="27">
        <f>IF(B$25=0,0,G13/B$25)</f>
        <v>0</v>
      </c>
      <c r="J13" s="26">
        <v>11</v>
      </c>
      <c r="K13" s="28">
        <v>-88.9</v>
      </c>
    </row>
    <row r="14" spans="1:16" x14ac:dyDescent="0.4">
      <c r="A14" s="69" t="s">
        <v>132</v>
      </c>
      <c r="B14" s="61">
        <v>4</v>
      </c>
      <c r="C14" s="24">
        <f>IF(B$12=0,0,B14/B$12)</f>
        <v>0.5</v>
      </c>
      <c r="E14" s="80" t="s">
        <v>77</v>
      </c>
      <c r="F14" s="76" t="s">
        <v>30</v>
      </c>
      <c r="G14" s="62">
        <v>0</v>
      </c>
      <c r="H14" s="27">
        <f>IF(B$25=0,0,G14/B$25)</f>
        <v>0</v>
      </c>
      <c r="J14" s="26">
        <v>12</v>
      </c>
      <c r="K14" s="28">
        <v>-23.5</v>
      </c>
    </row>
    <row r="15" spans="1:16" x14ac:dyDescent="0.4">
      <c r="A15" s="69" t="s">
        <v>133</v>
      </c>
      <c r="B15" s="61">
        <v>6</v>
      </c>
      <c r="C15" s="24">
        <f>IF(B$13=0,0,B15/B$13)</f>
        <v>0.375</v>
      </c>
      <c r="E15" s="80" t="s">
        <v>79</v>
      </c>
      <c r="F15" s="76" t="s">
        <v>32</v>
      </c>
      <c r="G15" s="62">
        <v>0</v>
      </c>
      <c r="H15" s="27">
        <f>IF(B$25=0,0,G15/B$25)</f>
        <v>0</v>
      </c>
      <c r="J15" s="26">
        <v>13</v>
      </c>
      <c r="K15" s="28">
        <v>-12.4</v>
      </c>
    </row>
    <row r="16" spans="1:16" x14ac:dyDescent="0.4">
      <c r="A16" s="69" t="s">
        <v>10</v>
      </c>
      <c r="B16" s="61">
        <f>B17+B18</f>
        <v>100</v>
      </c>
      <c r="C16" s="24">
        <f>IF(B$3=0,0,B16/B$3)</f>
        <v>0.352112676056338</v>
      </c>
      <c r="E16" s="80" t="s">
        <v>80</v>
      </c>
      <c r="F16" s="76" t="s">
        <v>33</v>
      </c>
      <c r="G16" s="62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70" t="s">
        <v>11</v>
      </c>
      <c r="B17" s="62">
        <v>53</v>
      </c>
      <c r="C17" s="27">
        <f>IF(B$3=0,0,B17/B$3)</f>
        <v>0.18661971830985916</v>
      </c>
      <c r="E17" s="80" t="s">
        <v>81</v>
      </c>
      <c r="F17" s="76" t="s">
        <v>34</v>
      </c>
      <c r="G17" s="62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70" t="s">
        <v>12</v>
      </c>
      <c r="B18" s="62">
        <v>47</v>
      </c>
      <c r="C18" s="27">
        <f>IF(B$3=0,0,B18/B$3)</f>
        <v>0.16549295774647887</v>
      </c>
      <c r="E18" s="80" t="s">
        <v>82</v>
      </c>
      <c r="F18" s="76" t="s">
        <v>35</v>
      </c>
      <c r="G18" s="62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70" t="s">
        <v>13</v>
      </c>
      <c r="B19" s="62">
        <v>40</v>
      </c>
      <c r="C19" s="27">
        <f>IF(B$3=0,0,B19/B$3)</f>
        <v>0.14084507042253522</v>
      </c>
      <c r="E19" s="80" t="s">
        <v>83</v>
      </c>
      <c r="F19" s="76" t="s">
        <v>36</v>
      </c>
      <c r="G19" s="62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70" t="s">
        <v>5</v>
      </c>
      <c r="B20" s="66">
        <f>IF(B$16=0,0,C20/B$16)</f>
        <v>9943</v>
      </c>
      <c r="C20" s="30">
        <v>994300</v>
      </c>
      <c r="E20" s="80" t="s">
        <v>84</v>
      </c>
      <c r="F20" s="76" t="s">
        <v>37</v>
      </c>
      <c r="G20" s="62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72" t="s">
        <v>14</v>
      </c>
      <c r="B21" s="67">
        <f>IF(B$19=0,0,C21/B$19)</f>
        <v>-9747.5</v>
      </c>
      <c r="C21" s="60">
        <v>-389900</v>
      </c>
      <c r="E21" s="80" t="s">
        <v>85</v>
      </c>
      <c r="F21" s="76" t="s">
        <v>38</v>
      </c>
      <c r="G21" s="62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69" t="s">
        <v>198</v>
      </c>
      <c r="B22" s="61">
        <v>102</v>
      </c>
      <c r="C22" s="24">
        <f>IF(B$3=0,0,B22/B$3)</f>
        <v>0.35915492957746481</v>
      </c>
      <c r="E22" s="80" t="s">
        <v>86</v>
      </c>
      <c r="F22" s="76" t="s">
        <v>39</v>
      </c>
      <c r="G22" s="62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72" t="s">
        <v>199</v>
      </c>
      <c r="B23" s="64">
        <v>36</v>
      </c>
      <c r="C23" s="32">
        <f>IF(B$22=0,0,B23/B$22)</f>
        <v>0.35294117647058826</v>
      </c>
      <c r="E23" s="80" t="s">
        <v>87</v>
      </c>
      <c r="F23" s="76" t="s">
        <v>40</v>
      </c>
      <c r="G23" s="62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69" t="s">
        <v>128</v>
      </c>
      <c r="B24" s="86">
        <v>46</v>
      </c>
      <c r="C24" s="87"/>
      <c r="E24" s="80" t="s">
        <v>89</v>
      </c>
      <c r="F24" s="76" t="s">
        <v>42</v>
      </c>
      <c r="G24" s="62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72" t="s">
        <v>129</v>
      </c>
      <c r="B25" s="88">
        <v>13</v>
      </c>
      <c r="C25" s="89"/>
      <c r="E25" s="80" t="s">
        <v>91</v>
      </c>
      <c r="F25" s="76" t="s">
        <v>44</v>
      </c>
      <c r="G25" s="62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E26" s="80" t="s">
        <v>92</v>
      </c>
      <c r="F26" s="76" t="s">
        <v>45</v>
      </c>
      <c r="G26" s="62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80" t="s">
        <v>93</v>
      </c>
      <c r="F27" s="76" t="s">
        <v>46</v>
      </c>
      <c r="G27" s="62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769E-C31F-4CCB-8DC1-65EAC6951A4D}">
  <sheetPr codeName="Sheet9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145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</v>
      </c>
      <c r="C2" s="87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300</v>
      </c>
      <c r="O2" s="53">
        <v>300</v>
      </c>
      <c r="P2" s="51">
        <v>1</v>
      </c>
    </row>
    <row r="3" spans="1:16" x14ac:dyDescent="0.4">
      <c r="A3" s="70" t="s">
        <v>8</v>
      </c>
      <c r="B3" s="92">
        <v>6</v>
      </c>
      <c r="C3" s="93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-40.700000000000003</v>
      </c>
      <c r="M3" s="26" t="s">
        <v>202</v>
      </c>
      <c r="N3" s="57">
        <f t="shared" si="0"/>
        <v>-16000</v>
      </c>
      <c r="O3" s="54">
        <v>-16000</v>
      </c>
      <c r="P3" s="49">
        <v>1</v>
      </c>
    </row>
    <row r="4" spans="1:16" x14ac:dyDescent="0.4">
      <c r="A4" s="70" t="s">
        <v>6</v>
      </c>
      <c r="B4" s="94">
        <v>-40.700000000000003</v>
      </c>
      <c r="C4" s="95"/>
      <c r="E4" s="80" t="s">
        <v>71</v>
      </c>
      <c r="F4" s="76" t="s">
        <v>25</v>
      </c>
      <c r="G4" s="62">
        <v>0</v>
      </c>
      <c r="H4" s="27">
        <f>IF(B$25=0,0,G4/B$25)</f>
        <v>0</v>
      </c>
      <c r="M4" s="26" t="s">
        <v>203</v>
      </c>
      <c r="N4" s="57">
        <f t="shared" si="0"/>
        <v>-1000</v>
      </c>
      <c r="O4" s="54">
        <v>-1000</v>
      </c>
      <c r="P4" s="49">
        <v>1</v>
      </c>
    </row>
    <row r="5" spans="1:16" x14ac:dyDescent="0.4">
      <c r="A5" s="70" t="s">
        <v>7</v>
      </c>
      <c r="B5" s="94">
        <f>IF(B$2=0,0,B$4/B$2)</f>
        <v>-40.700000000000003</v>
      </c>
      <c r="C5" s="95"/>
      <c r="E5" s="80" t="s">
        <v>72</v>
      </c>
      <c r="F5" s="76" t="s">
        <v>26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-24000</v>
      </c>
      <c r="O5" s="54">
        <v>-24000</v>
      </c>
      <c r="P5" s="49">
        <v>1</v>
      </c>
    </row>
    <row r="6" spans="1:16" x14ac:dyDescent="0.4">
      <c r="A6" s="70" t="s">
        <v>1</v>
      </c>
      <c r="B6" s="96">
        <f>IF(B$2=0,0,(B$7*1+B$8*2+B$9*3)/B$2)</f>
        <v>2</v>
      </c>
      <c r="C6" s="97"/>
      <c r="E6" s="80" t="s">
        <v>73</v>
      </c>
      <c r="F6" s="76" t="s">
        <v>27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1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0</v>
      </c>
      <c r="C9" s="29">
        <f t="shared" si="1"/>
        <v>0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1</v>
      </c>
      <c r="C10" s="29">
        <f>IF(B$2=0,0,B10/B$2)</f>
        <v>1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0.16666666666666666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</v>
      </c>
      <c r="C17" s="27">
        <f>IF(B$3=0,0,B17/B$3)</f>
        <v>0.16666666666666666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2</v>
      </c>
      <c r="C19" s="27">
        <f>IF(B$3=0,0,B19/B$3)</f>
        <v>0.33333333333333331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1300</v>
      </c>
      <c r="C20" s="30">
        <v>1300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-8500</v>
      </c>
      <c r="C21" s="60">
        <v>-17000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</v>
      </c>
      <c r="C22" s="24">
        <f>IF(B$3=0,0,B22/B$3)</f>
        <v>0.16666666666666666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7878C-A45F-43F0-9B19-8568191D98A9}">
  <sheetPr codeName="Sheet10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192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35</v>
      </c>
      <c r="C2" s="87"/>
      <c r="E2" s="79" t="s">
        <v>73</v>
      </c>
      <c r="F2" s="75" t="s">
        <v>27</v>
      </c>
      <c r="G2" s="61">
        <v>22</v>
      </c>
      <c r="H2" s="24">
        <f>IF(B$25=0,0,G2/B$25)</f>
        <v>0.95652173913043481</v>
      </c>
      <c r="J2" s="23">
        <v>0</v>
      </c>
      <c r="K2" s="25">
        <v>0</v>
      </c>
      <c r="M2" s="23" t="s">
        <v>201</v>
      </c>
      <c r="N2" s="56">
        <f t="shared" ref="N2:N7" si="0">IF(P2=0,0,O2/P2)</f>
        <v>-1391.4285714285713</v>
      </c>
      <c r="O2" s="53">
        <v>-48700</v>
      </c>
      <c r="P2" s="51">
        <v>35</v>
      </c>
    </row>
    <row r="3" spans="1:16" x14ac:dyDescent="0.4">
      <c r="A3" s="70" t="s">
        <v>8</v>
      </c>
      <c r="B3" s="92">
        <v>274</v>
      </c>
      <c r="C3" s="93"/>
      <c r="E3" s="80" t="s">
        <v>71</v>
      </c>
      <c r="F3" s="76" t="s">
        <v>25</v>
      </c>
      <c r="G3" s="62">
        <v>17</v>
      </c>
      <c r="H3" s="27">
        <f>IF(B$25=0,0,G3/B$25)</f>
        <v>0.73913043478260865</v>
      </c>
      <c r="J3" s="26">
        <v>1</v>
      </c>
      <c r="K3" s="28">
        <v>68.2</v>
      </c>
      <c r="M3" s="26" t="s">
        <v>202</v>
      </c>
      <c r="N3" s="57">
        <f t="shared" si="0"/>
        <v>-2903.125</v>
      </c>
      <c r="O3" s="54">
        <v>-92900</v>
      </c>
      <c r="P3" s="49">
        <v>32</v>
      </c>
    </row>
    <row r="4" spans="1:16" x14ac:dyDescent="0.4">
      <c r="A4" s="70" t="s">
        <v>6</v>
      </c>
      <c r="B4" s="94">
        <v>-106.10000000000001</v>
      </c>
      <c r="C4" s="95"/>
      <c r="E4" s="80" t="s">
        <v>78</v>
      </c>
      <c r="F4" s="76" t="s">
        <v>31</v>
      </c>
      <c r="G4" s="62">
        <v>15</v>
      </c>
      <c r="H4" s="27">
        <f>IF(B$25=0,0,G4/B$25)</f>
        <v>0.65217391304347827</v>
      </c>
      <c r="J4" s="26">
        <v>2</v>
      </c>
      <c r="K4" s="28">
        <v>58.5</v>
      </c>
      <c r="M4" s="26" t="s">
        <v>203</v>
      </c>
      <c r="N4" s="57">
        <f t="shared" si="0"/>
        <v>-2534.6153846153848</v>
      </c>
      <c r="O4" s="54">
        <v>-65900</v>
      </c>
      <c r="P4" s="49">
        <v>26</v>
      </c>
    </row>
    <row r="5" spans="1:16" x14ac:dyDescent="0.4">
      <c r="A5" s="70" t="s">
        <v>7</v>
      </c>
      <c r="B5" s="94">
        <f>IF(B$2=0,0,B$4/B$2)</f>
        <v>-3.0314285714285716</v>
      </c>
      <c r="C5" s="95"/>
      <c r="E5" s="80" t="s">
        <v>69</v>
      </c>
      <c r="F5" s="76" t="s">
        <v>23</v>
      </c>
      <c r="G5" s="62">
        <v>7</v>
      </c>
      <c r="H5" s="27">
        <f>IF(B$25=0,0,G5/B$25)</f>
        <v>0.30434782608695654</v>
      </c>
      <c r="J5" s="26">
        <v>3</v>
      </c>
      <c r="K5" s="28">
        <v>82.1</v>
      </c>
      <c r="M5" s="26" t="s">
        <v>204</v>
      </c>
      <c r="N5" s="57">
        <f t="shared" si="0"/>
        <v>4156</v>
      </c>
      <c r="O5" s="54">
        <v>103900</v>
      </c>
      <c r="P5" s="49">
        <v>25</v>
      </c>
    </row>
    <row r="6" spans="1:16" x14ac:dyDescent="0.4">
      <c r="A6" s="70" t="s">
        <v>1</v>
      </c>
      <c r="B6" s="96">
        <f>IF(B$2=0,0,(B$7*1+B$8*2+B$9*3)/B$2)</f>
        <v>2.1142857142857143</v>
      </c>
      <c r="C6" s="97"/>
      <c r="E6" s="80" t="s">
        <v>70</v>
      </c>
      <c r="F6" s="76" t="s">
        <v>24</v>
      </c>
      <c r="G6" s="62">
        <v>3</v>
      </c>
      <c r="H6" s="27">
        <f>IF(B$25=0,0,G6/B$25)</f>
        <v>0.13043478260869565</v>
      </c>
      <c r="J6" s="26">
        <v>4</v>
      </c>
      <c r="K6" s="28">
        <v>58.199999999999996</v>
      </c>
      <c r="M6" s="26" t="s">
        <v>205</v>
      </c>
      <c r="N6" s="57">
        <f t="shared" si="0"/>
        <v>-626.31578947368416</v>
      </c>
      <c r="O6" s="54">
        <v>-11900</v>
      </c>
      <c r="P6" s="49">
        <v>19</v>
      </c>
    </row>
    <row r="7" spans="1:16" x14ac:dyDescent="0.4">
      <c r="A7" s="70" t="s">
        <v>2</v>
      </c>
      <c r="B7" s="62">
        <v>9</v>
      </c>
      <c r="C7" s="27">
        <f>IF(B$2=0,0,B7/B$2)</f>
        <v>0.25714285714285712</v>
      </c>
      <c r="E7" s="80" t="s">
        <v>74</v>
      </c>
      <c r="F7" s="76" t="s">
        <v>12</v>
      </c>
      <c r="G7" s="62">
        <v>3</v>
      </c>
      <c r="H7" s="27">
        <f>IF(B$25=0,0,G7/B$25)</f>
        <v>0.13043478260869565</v>
      </c>
      <c r="J7" s="26">
        <v>5</v>
      </c>
      <c r="K7" s="28">
        <v>124.19999999999999</v>
      </c>
      <c r="M7" s="31" t="s">
        <v>206</v>
      </c>
      <c r="N7" s="58">
        <f t="shared" si="0"/>
        <v>587.5</v>
      </c>
      <c r="O7" s="55">
        <v>9400</v>
      </c>
      <c r="P7" s="50">
        <v>16</v>
      </c>
    </row>
    <row r="8" spans="1:16" x14ac:dyDescent="0.4">
      <c r="A8" s="70" t="s">
        <v>3</v>
      </c>
      <c r="B8" s="62">
        <v>13</v>
      </c>
      <c r="C8" s="27">
        <f t="shared" ref="C8:C9" si="1">IF(B$2=0,0,B8/B$2)</f>
        <v>0.37142857142857144</v>
      </c>
      <c r="E8" s="80" t="s">
        <v>96</v>
      </c>
      <c r="F8" s="76" t="s">
        <v>49</v>
      </c>
      <c r="G8" s="62">
        <v>3</v>
      </c>
      <c r="H8" s="27">
        <f>IF(B$25=0,0,G8/B$25)</f>
        <v>0.13043478260869565</v>
      </c>
      <c r="J8" s="26">
        <v>6</v>
      </c>
      <c r="K8" s="28">
        <v>125.69999999999999</v>
      </c>
    </row>
    <row r="9" spans="1:16" x14ac:dyDescent="0.4">
      <c r="A9" s="71" t="s">
        <v>4</v>
      </c>
      <c r="B9" s="63">
        <v>13</v>
      </c>
      <c r="C9" s="29">
        <f t="shared" si="1"/>
        <v>0.37142857142857144</v>
      </c>
      <c r="E9" s="80" t="s">
        <v>85</v>
      </c>
      <c r="F9" s="76" t="s">
        <v>38</v>
      </c>
      <c r="G9" s="62">
        <v>2</v>
      </c>
      <c r="H9" s="27">
        <f>IF(B$25=0,0,G9/B$25)</f>
        <v>8.6956521739130432E-2</v>
      </c>
      <c r="J9" s="26">
        <v>7</v>
      </c>
      <c r="K9" s="28">
        <v>129.5</v>
      </c>
    </row>
    <row r="10" spans="1:16" x14ac:dyDescent="0.4">
      <c r="A10" s="71" t="s">
        <v>21</v>
      </c>
      <c r="B10" s="63">
        <v>6</v>
      </c>
      <c r="C10" s="29">
        <f>IF(B$2=0,0,B10/B$2)</f>
        <v>0.17142857142857143</v>
      </c>
      <c r="E10" s="80" t="s">
        <v>93</v>
      </c>
      <c r="F10" s="76" t="s">
        <v>46</v>
      </c>
      <c r="G10" s="62">
        <v>2</v>
      </c>
      <c r="H10" s="27">
        <f>IF(B$25=0,0,G10/B$25)</f>
        <v>8.6956521739130432E-2</v>
      </c>
      <c r="J10" s="26">
        <v>8</v>
      </c>
      <c r="K10" s="28">
        <v>97</v>
      </c>
    </row>
    <row r="11" spans="1:16" x14ac:dyDescent="0.4">
      <c r="A11" s="72" t="s">
        <v>211</v>
      </c>
      <c r="B11" s="64">
        <v>6</v>
      </c>
      <c r="C11" s="32">
        <f>IF(B$2=0,0,B11/B$2)</f>
        <v>0.17142857142857143</v>
      </c>
      <c r="E11" s="80" t="s">
        <v>75</v>
      </c>
      <c r="F11" s="76" t="s">
        <v>28</v>
      </c>
      <c r="G11" s="62">
        <v>1</v>
      </c>
      <c r="H11" s="27">
        <f>IF(B$25=0,0,G11/B$25)</f>
        <v>4.3478260869565216E-2</v>
      </c>
      <c r="J11" s="26">
        <v>9</v>
      </c>
      <c r="K11" s="28">
        <v>83.3</v>
      </c>
    </row>
    <row r="12" spans="1:16" x14ac:dyDescent="0.4">
      <c r="A12" s="73" t="s">
        <v>130</v>
      </c>
      <c r="B12" s="65">
        <v>17</v>
      </c>
      <c r="C12" s="35">
        <f>IF(B$24=0,0,B12/B$24)</f>
        <v>0.19540229885057472</v>
      </c>
      <c r="E12" s="80" t="s">
        <v>76</v>
      </c>
      <c r="F12" s="76" t="s">
        <v>29</v>
      </c>
      <c r="G12" s="62">
        <v>1</v>
      </c>
      <c r="H12" s="27">
        <f>IF(B$25=0,0,G12/B$25)</f>
        <v>4.3478260869565216E-2</v>
      </c>
      <c r="J12" s="26">
        <v>10</v>
      </c>
      <c r="K12" s="28">
        <v>111</v>
      </c>
    </row>
    <row r="13" spans="1:16" x14ac:dyDescent="0.4">
      <c r="A13" s="70" t="s">
        <v>125</v>
      </c>
      <c r="B13" s="62">
        <v>25</v>
      </c>
      <c r="C13" s="27">
        <f>IF(B$24=0,0,B13/B$24)</f>
        <v>0.28735632183908044</v>
      </c>
      <c r="E13" s="80" t="s">
        <v>81</v>
      </c>
      <c r="F13" s="76" t="s">
        <v>34</v>
      </c>
      <c r="G13" s="62">
        <v>1</v>
      </c>
      <c r="H13" s="27">
        <f>IF(B$25=0,0,G13/B$25)</f>
        <v>4.3478260869565216E-2</v>
      </c>
      <c r="J13" s="26">
        <v>11</v>
      </c>
      <c r="K13" s="28">
        <v>138.69999999999999</v>
      </c>
    </row>
    <row r="14" spans="1:16" x14ac:dyDescent="0.4">
      <c r="A14" s="69" t="s">
        <v>132</v>
      </c>
      <c r="B14" s="61">
        <v>7</v>
      </c>
      <c r="C14" s="24">
        <f>IF(B$12=0,0,B14/B$12)</f>
        <v>0.41176470588235292</v>
      </c>
      <c r="E14" s="80" t="s">
        <v>84</v>
      </c>
      <c r="F14" s="76" t="s">
        <v>37</v>
      </c>
      <c r="G14" s="62">
        <v>1</v>
      </c>
      <c r="H14" s="27">
        <f>IF(B$25=0,0,G14/B$25)</f>
        <v>4.3478260869565216E-2</v>
      </c>
      <c r="J14" s="26">
        <v>12</v>
      </c>
      <c r="K14" s="28">
        <v>99.799999999999983</v>
      </c>
    </row>
    <row r="15" spans="1:16" x14ac:dyDescent="0.4">
      <c r="A15" s="69" t="s">
        <v>133</v>
      </c>
      <c r="B15" s="61">
        <v>10</v>
      </c>
      <c r="C15" s="24">
        <f>IF(B$13=0,0,B15/B$13)</f>
        <v>0.4</v>
      </c>
      <c r="E15" s="80" t="s">
        <v>88</v>
      </c>
      <c r="F15" s="76" t="s">
        <v>41</v>
      </c>
      <c r="G15" s="62">
        <v>1</v>
      </c>
      <c r="H15" s="27">
        <f>IF(B$25=0,0,G15/B$25)</f>
        <v>4.3478260869565216E-2</v>
      </c>
      <c r="J15" s="26">
        <v>13</v>
      </c>
      <c r="K15" s="28">
        <v>61.799999999999983</v>
      </c>
    </row>
    <row r="16" spans="1:16" x14ac:dyDescent="0.4">
      <c r="A16" s="69" t="s">
        <v>10</v>
      </c>
      <c r="B16" s="61">
        <f>B17+B18</f>
        <v>77</v>
      </c>
      <c r="C16" s="24">
        <f>IF(B$3=0,0,B16/B$3)</f>
        <v>0.28102189781021897</v>
      </c>
      <c r="E16" s="80" t="s">
        <v>90</v>
      </c>
      <c r="F16" s="76" t="s">
        <v>43</v>
      </c>
      <c r="G16" s="62">
        <v>1</v>
      </c>
      <c r="H16" s="27">
        <f>IF(B$25=0,0,G16/B$25)</f>
        <v>4.3478260869565216E-2</v>
      </c>
      <c r="J16" s="26">
        <v>14</v>
      </c>
      <c r="K16" s="28">
        <v>41.499999999999986</v>
      </c>
    </row>
    <row r="17" spans="1:11" x14ac:dyDescent="0.4">
      <c r="A17" s="70" t="s">
        <v>11</v>
      </c>
      <c r="B17" s="62">
        <v>46</v>
      </c>
      <c r="C17" s="27">
        <f>IF(B$3=0,0,B17/B$3)</f>
        <v>0.16788321167883211</v>
      </c>
      <c r="E17" s="80" t="s">
        <v>72</v>
      </c>
      <c r="F17" s="76" t="s">
        <v>26</v>
      </c>
      <c r="G17" s="62">
        <v>0</v>
      </c>
      <c r="H17" s="27">
        <f>IF(B$25=0,0,G17/B$25)</f>
        <v>0</v>
      </c>
      <c r="J17" s="26">
        <v>15</v>
      </c>
      <c r="K17" s="28">
        <v>32.999999999999986</v>
      </c>
    </row>
    <row r="18" spans="1:11" x14ac:dyDescent="0.4">
      <c r="A18" s="70" t="s">
        <v>12</v>
      </c>
      <c r="B18" s="62">
        <v>31</v>
      </c>
      <c r="C18" s="27">
        <f>IF(B$3=0,0,B18/B$3)</f>
        <v>0.11313868613138686</v>
      </c>
      <c r="E18" s="80" t="s">
        <v>77</v>
      </c>
      <c r="F18" s="76" t="s">
        <v>30</v>
      </c>
      <c r="G18" s="62">
        <v>0</v>
      </c>
      <c r="H18" s="27">
        <f>IF(B$25=0,0,G18/B$25)</f>
        <v>0</v>
      </c>
      <c r="J18" s="26">
        <v>16</v>
      </c>
      <c r="K18" s="28">
        <v>-5.5000000000000142</v>
      </c>
    </row>
    <row r="19" spans="1:11" x14ac:dyDescent="0.4">
      <c r="A19" s="70" t="s">
        <v>13</v>
      </c>
      <c r="B19" s="62">
        <v>55</v>
      </c>
      <c r="C19" s="27">
        <f>IF(B$3=0,0,B19/B$3)</f>
        <v>0.20072992700729927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70" t="s">
        <v>5</v>
      </c>
      <c r="B20" s="66">
        <f>IF(B$16=0,0,C20/B$16)</f>
        <v>10240.25974025974</v>
      </c>
      <c r="C20" s="30">
        <v>788500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72" t="s">
        <v>14</v>
      </c>
      <c r="B21" s="67">
        <f>IF(B$19=0,0,C21/B$19)</f>
        <v>-8287.2727272727279</v>
      </c>
      <c r="C21" s="60">
        <v>-455800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69" t="s">
        <v>198</v>
      </c>
      <c r="B22" s="61">
        <v>75</v>
      </c>
      <c r="C22" s="24">
        <f>IF(B$3=0,0,B22/B$3)</f>
        <v>0.27372262773722628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72" t="s">
        <v>199</v>
      </c>
      <c r="B23" s="64">
        <v>31</v>
      </c>
      <c r="C23" s="32">
        <f>IF(B$22=0,0,B23/B$22)</f>
        <v>0.41333333333333333</v>
      </c>
      <c r="E23" s="80" t="s">
        <v>86</v>
      </c>
      <c r="F23" s="76" t="s">
        <v>39</v>
      </c>
      <c r="G23" s="62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69" t="s">
        <v>128</v>
      </c>
      <c r="B24" s="86">
        <v>87</v>
      </c>
      <c r="C24" s="87"/>
      <c r="E24" s="80" t="s">
        <v>87</v>
      </c>
      <c r="F24" s="76" t="s">
        <v>40</v>
      </c>
      <c r="G24" s="62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72" t="s">
        <v>129</v>
      </c>
      <c r="B25" s="88">
        <v>23</v>
      </c>
      <c r="C25" s="89"/>
      <c r="E25" s="80" t="s">
        <v>89</v>
      </c>
      <c r="F25" s="76" t="s">
        <v>42</v>
      </c>
      <c r="G25" s="62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80" t="s">
        <v>92</v>
      </c>
      <c r="F27" s="76" t="s">
        <v>45</v>
      </c>
      <c r="G27" s="62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FEE1F-F1DE-43D8-B4E9-4516B631101E}">
  <sheetPr codeName="Sheet11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193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44</v>
      </c>
      <c r="C2" s="87"/>
      <c r="E2" s="79" t="s">
        <v>71</v>
      </c>
      <c r="F2" s="75" t="s">
        <v>25</v>
      </c>
      <c r="G2" s="61">
        <v>68</v>
      </c>
      <c r="H2" s="24">
        <f>IF(B$25=0,0,G2/B$25)</f>
        <v>1.0303030303030303</v>
      </c>
      <c r="J2" s="23">
        <v>0</v>
      </c>
      <c r="K2" s="25">
        <v>0</v>
      </c>
      <c r="M2" s="23" t="s">
        <v>201</v>
      </c>
      <c r="N2" s="56">
        <f t="shared" ref="N2:N7" si="0">IF(P2=0,0,O2/P2)</f>
        <v>3242.8571428571427</v>
      </c>
      <c r="O2" s="53">
        <v>136200</v>
      </c>
      <c r="P2" s="51">
        <v>42</v>
      </c>
    </row>
    <row r="3" spans="1:16" x14ac:dyDescent="0.4">
      <c r="A3" s="70" t="s">
        <v>8</v>
      </c>
      <c r="B3" s="92">
        <v>331</v>
      </c>
      <c r="C3" s="93"/>
      <c r="E3" s="80" t="s">
        <v>73</v>
      </c>
      <c r="F3" s="76" t="s">
        <v>27</v>
      </c>
      <c r="G3" s="62">
        <v>59</v>
      </c>
      <c r="H3" s="27">
        <f>IF(B$25=0,0,G3/B$25)</f>
        <v>0.89393939393939392</v>
      </c>
      <c r="J3" s="26">
        <v>1</v>
      </c>
      <c r="K3" s="28">
        <v>-36.700000000000003</v>
      </c>
      <c r="M3" s="26" t="s">
        <v>202</v>
      </c>
      <c r="N3" s="57">
        <f t="shared" si="0"/>
        <v>-192.30769230769232</v>
      </c>
      <c r="O3" s="54">
        <v>-7500</v>
      </c>
      <c r="P3" s="49">
        <v>39</v>
      </c>
    </row>
    <row r="4" spans="1:16" x14ac:dyDescent="0.4">
      <c r="A4" s="70" t="s">
        <v>6</v>
      </c>
      <c r="B4" s="94">
        <v>193.79999999999995</v>
      </c>
      <c r="C4" s="95"/>
      <c r="E4" s="80" t="s">
        <v>69</v>
      </c>
      <c r="F4" s="76" t="s">
        <v>23</v>
      </c>
      <c r="G4" s="62">
        <v>40</v>
      </c>
      <c r="H4" s="27">
        <f>IF(B$25=0,0,G4/B$25)</f>
        <v>0.60606060606060608</v>
      </c>
      <c r="J4" s="26">
        <v>2</v>
      </c>
      <c r="K4" s="28">
        <v>-45.300000000000004</v>
      </c>
      <c r="M4" s="26" t="s">
        <v>203</v>
      </c>
      <c r="N4" s="57">
        <f t="shared" si="0"/>
        <v>-791.42857142857144</v>
      </c>
      <c r="O4" s="54">
        <v>-27700</v>
      </c>
      <c r="P4" s="49">
        <v>35</v>
      </c>
    </row>
    <row r="5" spans="1:16" x14ac:dyDescent="0.4">
      <c r="A5" s="70" t="s">
        <v>7</v>
      </c>
      <c r="B5" s="94">
        <f>IF(B$2=0,0,B$4/B$2)</f>
        <v>4.4045454545454534</v>
      </c>
      <c r="C5" s="95"/>
      <c r="E5" s="80" t="s">
        <v>78</v>
      </c>
      <c r="F5" s="76" t="s">
        <v>31</v>
      </c>
      <c r="G5" s="62">
        <v>40</v>
      </c>
      <c r="H5" s="27">
        <f>IF(B$25=0,0,G5/B$25)</f>
        <v>0.60606060606060608</v>
      </c>
      <c r="J5" s="26">
        <v>3</v>
      </c>
      <c r="K5" s="28">
        <v>-81.7</v>
      </c>
      <c r="M5" s="26" t="s">
        <v>204</v>
      </c>
      <c r="N5" s="57">
        <f t="shared" si="0"/>
        <v>-1353.125</v>
      </c>
      <c r="O5" s="54">
        <v>-43300</v>
      </c>
      <c r="P5" s="49">
        <v>32</v>
      </c>
    </row>
    <row r="6" spans="1:16" x14ac:dyDescent="0.4">
      <c r="A6" s="70" t="s">
        <v>1</v>
      </c>
      <c r="B6" s="96">
        <f>IF(B$2=0,0,(B$7*1+B$8*2+B$9*3)/B$2)</f>
        <v>1.8863636363636365</v>
      </c>
      <c r="C6" s="97"/>
      <c r="E6" s="80" t="s">
        <v>72</v>
      </c>
      <c r="F6" s="76" t="s">
        <v>26</v>
      </c>
      <c r="G6" s="62">
        <v>22</v>
      </c>
      <c r="H6" s="27">
        <f>IF(B$25=0,0,G6/B$25)</f>
        <v>0.33333333333333331</v>
      </c>
      <c r="J6" s="26">
        <v>4</v>
      </c>
      <c r="K6" s="28">
        <v>-113.80000000000001</v>
      </c>
      <c r="M6" s="26" t="s">
        <v>205</v>
      </c>
      <c r="N6" s="57">
        <f t="shared" si="0"/>
        <v>3000</v>
      </c>
      <c r="O6" s="54">
        <v>72000</v>
      </c>
      <c r="P6" s="49">
        <v>24</v>
      </c>
    </row>
    <row r="7" spans="1:16" x14ac:dyDescent="0.4">
      <c r="A7" s="70" t="s">
        <v>2</v>
      </c>
      <c r="B7" s="62">
        <v>18</v>
      </c>
      <c r="C7" s="27">
        <f>IF(B$2=0,0,B7/B$2)</f>
        <v>0.40909090909090912</v>
      </c>
      <c r="E7" s="80" t="s">
        <v>74</v>
      </c>
      <c r="F7" s="76" t="s">
        <v>12</v>
      </c>
      <c r="G7" s="62">
        <v>20</v>
      </c>
      <c r="H7" s="27">
        <f>IF(B$25=0,0,G7/B$25)</f>
        <v>0.30303030303030304</v>
      </c>
      <c r="J7" s="26">
        <v>5</v>
      </c>
      <c r="K7" s="28">
        <v>-135.80000000000001</v>
      </c>
      <c r="M7" s="31" t="s">
        <v>206</v>
      </c>
      <c r="N7" s="58">
        <f t="shared" si="0"/>
        <v>1114.2857142857142</v>
      </c>
      <c r="O7" s="55">
        <v>23400</v>
      </c>
      <c r="P7" s="50">
        <v>21</v>
      </c>
    </row>
    <row r="8" spans="1:16" x14ac:dyDescent="0.4">
      <c r="A8" s="70" t="s">
        <v>3</v>
      </c>
      <c r="B8" s="62">
        <v>13</v>
      </c>
      <c r="C8" s="27">
        <f t="shared" ref="C8:C9" si="1">IF(B$2=0,0,B8/B$2)</f>
        <v>0.29545454545454547</v>
      </c>
      <c r="E8" s="80" t="s">
        <v>75</v>
      </c>
      <c r="F8" s="76" t="s">
        <v>28</v>
      </c>
      <c r="G8" s="62">
        <v>11</v>
      </c>
      <c r="H8" s="27">
        <f>IF(B$25=0,0,G8/B$25)</f>
        <v>0.16666666666666666</v>
      </c>
      <c r="J8" s="26">
        <v>6</v>
      </c>
      <c r="K8" s="28">
        <v>-100.30000000000001</v>
      </c>
    </row>
    <row r="9" spans="1:16" x14ac:dyDescent="0.4">
      <c r="A9" s="71" t="s">
        <v>4</v>
      </c>
      <c r="B9" s="63">
        <v>13</v>
      </c>
      <c r="C9" s="29">
        <f t="shared" si="1"/>
        <v>0.29545454545454547</v>
      </c>
      <c r="E9" s="80" t="s">
        <v>96</v>
      </c>
      <c r="F9" s="76" t="s">
        <v>49</v>
      </c>
      <c r="G9" s="62">
        <v>10</v>
      </c>
      <c r="H9" s="27">
        <f>IF(B$25=0,0,G9/B$25)</f>
        <v>0.15151515151515152</v>
      </c>
      <c r="J9" s="26">
        <v>7</v>
      </c>
      <c r="K9" s="28">
        <v>-105.70000000000002</v>
      </c>
    </row>
    <row r="10" spans="1:16" x14ac:dyDescent="0.4">
      <c r="A10" s="71" t="s">
        <v>21</v>
      </c>
      <c r="B10" s="63">
        <v>7</v>
      </c>
      <c r="C10" s="29">
        <f>IF(B$2=0,0,B10/B$2)</f>
        <v>0.15909090909090909</v>
      </c>
      <c r="E10" s="80" t="s">
        <v>70</v>
      </c>
      <c r="F10" s="76" t="s">
        <v>24</v>
      </c>
      <c r="G10" s="62">
        <v>7</v>
      </c>
      <c r="H10" s="27">
        <f>IF(B$25=0,0,G10/B$25)</f>
        <v>0.10606060606060606</v>
      </c>
      <c r="J10" s="26">
        <v>8</v>
      </c>
      <c r="K10" s="28">
        <v>-51.800000000000018</v>
      </c>
    </row>
    <row r="11" spans="1:16" x14ac:dyDescent="0.4">
      <c r="A11" s="72" t="s">
        <v>211</v>
      </c>
      <c r="B11" s="64">
        <v>9</v>
      </c>
      <c r="C11" s="32">
        <f>IF(B$2=0,0,B11/B$2)</f>
        <v>0.20454545454545456</v>
      </c>
      <c r="E11" s="80" t="s">
        <v>76</v>
      </c>
      <c r="F11" s="76" t="s">
        <v>29</v>
      </c>
      <c r="G11" s="62">
        <v>6</v>
      </c>
      <c r="H11" s="27">
        <f>IF(B$25=0,0,G11/B$25)</f>
        <v>9.0909090909090912E-2</v>
      </c>
      <c r="J11" s="26">
        <v>9</v>
      </c>
      <c r="K11" s="28">
        <v>-53.000000000000021</v>
      </c>
    </row>
    <row r="12" spans="1:16" x14ac:dyDescent="0.4">
      <c r="A12" s="73" t="s">
        <v>130</v>
      </c>
      <c r="B12" s="65">
        <v>67</v>
      </c>
      <c r="C12" s="35">
        <f>IF(B$24=0,0,B12/B$24)</f>
        <v>0.3383838383838384</v>
      </c>
      <c r="E12" s="80" t="s">
        <v>77</v>
      </c>
      <c r="F12" s="76" t="s">
        <v>30</v>
      </c>
      <c r="G12" s="62">
        <v>5</v>
      </c>
      <c r="H12" s="27">
        <f>IF(B$25=0,0,G12/B$25)</f>
        <v>7.575757575757576E-2</v>
      </c>
      <c r="J12" s="26">
        <v>10</v>
      </c>
      <c r="K12" s="28">
        <v>-72.300000000000026</v>
      </c>
    </row>
    <row r="13" spans="1:16" x14ac:dyDescent="0.4">
      <c r="A13" s="70" t="s">
        <v>125</v>
      </c>
      <c r="B13" s="62">
        <v>50</v>
      </c>
      <c r="C13" s="27">
        <f>IF(B$24=0,0,B13/B$24)</f>
        <v>0.25252525252525254</v>
      </c>
      <c r="E13" s="80" t="s">
        <v>93</v>
      </c>
      <c r="F13" s="76" t="s">
        <v>46</v>
      </c>
      <c r="G13" s="62">
        <v>5</v>
      </c>
      <c r="H13" s="27">
        <f>IF(B$25=0,0,G13/B$25)</f>
        <v>7.575757575757576E-2</v>
      </c>
      <c r="J13" s="26">
        <v>11</v>
      </c>
      <c r="K13" s="28">
        <v>-91.600000000000023</v>
      </c>
    </row>
    <row r="14" spans="1:16" x14ac:dyDescent="0.4">
      <c r="A14" s="69" t="s">
        <v>132</v>
      </c>
      <c r="B14" s="61">
        <v>41</v>
      </c>
      <c r="C14" s="24">
        <f>IF(B$12=0,0,B14/B$12)</f>
        <v>0.61194029850746268</v>
      </c>
      <c r="E14" s="80" t="s">
        <v>84</v>
      </c>
      <c r="F14" s="76" t="s">
        <v>37</v>
      </c>
      <c r="G14" s="62">
        <v>2</v>
      </c>
      <c r="H14" s="27">
        <f>IF(B$25=0,0,G14/B$25)</f>
        <v>3.0303030303030304E-2</v>
      </c>
      <c r="J14" s="26">
        <v>12</v>
      </c>
      <c r="K14" s="28">
        <v>-88.600000000000023</v>
      </c>
    </row>
    <row r="15" spans="1:16" x14ac:dyDescent="0.4">
      <c r="A15" s="69" t="s">
        <v>133</v>
      </c>
      <c r="B15" s="61">
        <v>19</v>
      </c>
      <c r="C15" s="24">
        <f>IF(B$13=0,0,B15/B$13)</f>
        <v>0.38</v>
      </c>
      <c r="E15" s="80" t="s">
        <v>80</v>
      </c>
      <c r="F15" s="76" t="s">
        <v>33</v>
      </c>
      <c r="G15" s="62">
        <v>1</v>
      </c>
      <c r="H15" s="27">
        <f>IF(B$25=0,0,G15/B$25)</f>
        <v>1.5151515151515152E-2</v>
      </c>
      <c r="J15" s="26">
        <v>13</v>
      </c>
      <c r="K15" s="28">
        <v>-73.100000000000023</v>
      </c>
    </row>
    <row r="16" spans="1:16" x14ac:dyDescent="0.4">
      <c r="A16" s="69" t="s">
        <v>10</v>
      </c>
      <c r="B16" s="61">
        <f>B17+B18</f>
        <v>104</v>
      </c>
      <c r="C16" s="24">
        <f>IF(B$3=0,0,B16/B$3)</f>
        <v>0.31419939577039274</v>
      </c>
      <c r="E16" s="80" t="s">
        <v>88</v>
      </c>
      <c r="F16" s="76" t="s">
        <v>41</v>
      </c>
      <c r="G16" s="62">
        <v>1</v>
      </c>
      <c r="H16" s="27">
        <f>IF(B$25=0,0,G16/B$25)</f>
        <v>1.5151515151515152E-2</v>
      </c>
      <c r="J16" s="26">
        <v>14</v>
      </c>
      <c r="K16" s="28">
        <v>-62.000000000000021</v>
      </c>
    </row>
    <row r="17" spans="1:11" x14ac:dyDescent="0.4">
      <c r="A17" s="70" t="s">
        <v>11</v>
      </c>
      <c r="B17" s="62">
        <v>62</v>
      </c>
      <c r="C17" s="27">
        <f>IF(B$3=0,0,B17/B$3)</f>
        <v>0.18731117824773413</v>
      </c>
      <c r="E17" s="80" t="s">
        <v>90</v>
      </c>
      <c r="F17" s="76" t="s">
        <v>43</v>
      </c>
      <c r="G17" s="62">
        <v>1</v>
      </c>
      <c r="H17" s="27">
        <f>IF(B$25=0,0,G17/B$25)</f>
        <v>1.5151515151515152E-2</v>
      </c>
      <c r="J17" s="26">
        <v>15</v>
      </c>
      <c r="K17" s="28">
        <v>-69.200000000000017</v>
      </c>
    </row>
    <row r="18" spans="1:11" x14ac:dyDescent="0.4">
      <c r="A18" s="70" t="s">
        <v>12</v>
      </c>
      <c r="B18" s="62">
        <v>42</v>
      </c>
      <c r="C18" s="27">
        <f>IF(B$3=0,0,B18/B$3)</f>
        <v>0.12688821752265861</v>
      </c>
      <c r="E18" s="80" t="s">
        <v>98</v>
      </c>
      <c r="F18" s="76" t="s">
        <v>51</v>
      </c>
      <c r="G18" s="62">
        <v>1</v>
      </c>
      <c r="H18" s="27">
        <f>IF(B$25=0,0,G18/B$25)</f>
        <v>1.5151515151515152E-2</v>
      </c>
      <c r="J18" s="26">
        <v>16</v>
      </c>
      <c r="K18" s="28">
        <v>5.0999999999999801</v>
      </c>
    </row>
    <row r="19" spans="1:11" x14ac:dyDescent="0.4">
      <c r="A19" s="70" t="s">
        <v>13</v>
      </c>
      <c r="B19" s="62">
        <v>52</v>
      </c>
      <c r="C19" s="27">
        <f>IF(B$3=0,0,B19/B$3)</f>
        <v>0.15709969788519637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40.09999999999998</v>
      </c>
    </row>
    <row r="20" spans="1:11" x14ac:dyDescent="0.4">
      <c r="A20" s="70" t="s">
        <v>5</v>
      </c>
      <c r="B20" s="66">
        <f>IF(B$16=0,0,C20/B$16)</f>
        <v>11229.807692307691</v>
      </c>
      <c r="C20" s="30">
        <v>1167900</v>
      </c>
      <c r="E20" s="80" t="s">
        <v>81</v>
      </c>
      <c r="F20" s="76" t="s">
        <v>34</v>
      </c>
      <c r="G20" s="62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72" t="s">
        <v>14</v>
      </c>
      <c r="B21" s="67">
        <f>IF(B$19=0,0,C21/B$19)</f>
        <v>-9665.3846153846152</v>
      </c>
      <c r="C21" s="60">
        <v>-502600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69" t="s">
        <v>198</v>
      </c>
      <c r="B22" s="61">
        <v>124</v>
      </c>
      <c r="C22" s="24">
        <f>IF(B$3=0,0,B22/B$3)</f>
        <v>0.37462235649546827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72" t="s">
        <v>199</v>
      </c>
      <c r="B23" s="64">
        <v>52</v>
      </c>
      <c r="C23" s="32">
        <f>IF(B$22=0,0,B23/B$22)</f>
        <v>0.41935483870967744</v>
      </c>
      <c r="E23" s="80" t="s">
        <v>85</v>
      </c>
      <c r="F23" s="76" t="s">
        <v>38</v>
      </c>
      <c r="G23" s="62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69" t="s">
        <v>128</v>
      </c>
      <c r="B24" s="86">
        <v>198</v>
      </c>
      <c r="C24" s="87"/>
      <c r="E24" s="80" t="s">
        <v>86</v>
      </c>
      <c r="F24" s="76" t="s">
        <v>39</v>
      </c>
      <c r="G24" s="62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72" t="s">
        <v>129</v>
      </c>
      <c r="B25" s="88">
        <v>66</v>
      </c>
      <c r="C25" s="89"/>
      <c r="E25" s="80" t="s">
        <v>87</v>
      </c>
      <c r="F25" s="76" t="s">
        <v>40</v>
      </c>
      <c r="G25" s="62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E26" s="80" t="s">
        <v>89</v>
      </c>
      <c r="F26" s="76" t="s">
        <v>42</v>
      </c>
      <c r="G26" s="62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8112-3BDB-41F6-B794-8A4155468BA5}">
  <sheetPr codeName="Sheet1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195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12</v>
      </c>
      <c r="C2" s="87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2608.3333333333335</v>
      </c>
      <c r="O2" s="53">
        <v>31300</v>
      </c>
      <c r="P2" s="51">
        <v>12</v>
      </c>
    </row>
    <row r="3" spans="1:16" x14ac:dyDescent="0.4">
      <c r="A3" s="70" t="s">
        <v>8</v>
      </c>
      <c r="B3" s="92">
        <v>82</v>
      </c>
      <c r="C3" s="93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-14.4</v>
      </c>
      <c r="M3" s="26" t="s">
        <v>202</v>
      </c>
      <c r="N3" s="57">
        <f t="shared" si="0"/>
        <v>2650</v>
      </c>
      <c r="O3" s="54">
        <v>26500</v>
      </c>
      <c r="P3" s="49">
        <v>10</v>
      </c>
    </row>
    <row r="4" spans="1:16" x14ac:dyDescent="0.4">
      <c r="A4" s="70" t="s">
        <v>6</v>
      </c>
      <c r="B4" s="94">
        <v>80.800000000000011</v>
      </c>
      <c r="C4" s="95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37.6</v>
      </c>
      <c r="M4" s="26" t="s">
        <v>203</v>
      </c>
      <c r="N4" s="57">
        <f t="shared" si="0"/>
        <v>-900</v>
      </c>
      <c r="O4" s="54">
        <v>-7200</v>
      </c>
      <c r="P4" s="49">
        <v>8</v>
      </c>
    </row>
    <row r="5" spans="1:16" x14ac:dyDescent="0.4">
      <c r="A5" s="70" t="s">
        <v>7</v>
      </c>
      <c r="B5" s="94">
        <f>IF(B$2=0,0,B$4/B$2)</f>
        <v>6.7333333333333343</v>
      </c>
      <c r="C5" s="95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204</v>
      </c>
      <c r="N5" s="57">
        <f t="shared" si="0"/>
        <v>2062.5</v>
      </c>
      <c r="O5" s="54">
        <v>16500</v>
      </c>
      <c r="P5" s="49">
        <v>8</v>
      </c>
    </row>
    <row r="6" spans="1:16" x14ac:dyDescent="0.4">
      <c r="A6" s="70" t="s">
        <v>1</v>
      </c>
      <c r="B6" s="96">
        <f>IF(B$2=0,0,(B$7*1+B$8*2+B$9*3)/B$2)</f>
        <v>1.75</v>
      </c>
      <c r="C6" s="97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-44.3</v>
      </c>
      <c r="M6" s="26" t="s">
        <v>205</v>
      </c>
      <c r="N6" s="57">
        <f t="shared" si="0"/>
        <v>-1266.6666666666667</v>
      </c>
      <c r="O6" s="54">
        <v>-7600</v>
      </c>
      <c r="P6" s="49">
        <v>6</v>
      </c>
    </row>
    <row r="7" spans="1:16" x14ac:dyDescent="0.4">
      <c r="A7" s="70" t="s">
        <v>2</v>
      </c>
      <c r="B7" s="62">
        <v>6</v>
      </c>
      <c r="C7" s="27">
        <f>IF(B$2=0,0,B7/B$2)</f>
        <v>0.5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206</v>
      </c>
      <c r="N7" s="58">
        <f t="shared" si="0"/>
        <v>5325</v>
      </c>
      <c r="O7" s="55">
        <v>21300</v>
      </c>
      <c r="P7" s="50">
        <v>4</v>
      </c>
    </row>
    <row r="8" spans="1:16" x14ac:dyDescent="0.4">
      <c r="A8" s="70" t="s">
        <v>3</v>
      </c>
      <c r="B8" s="62">
        <v>3</v>
      </c>
      <c r="C8" s="27">
        <f t="shared" ref="C8:C9" si="1">IF(B$2=0,0,B8/B$2)</f>
        <v>0.25</v>
      </c>
      <c r="E8" s="80" t="s">
        <v>75</v>
      </c>
      <c r="F8" s="76" t="s">
        <v>28</v>
      </c>
      <c r="G8" s="62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71" t="s">
        <v>4</v>
      </c>
      <c r="B9" s="63">
        <v>3</v>
      </c>
      <c r="C9" s="29">
        <f t="shared" si="1"/>
        <v>0.25</v>
      </c>
      <c r="E9" s="80" t="s">
        <v>76</v>
      </c>
      <c r="F9" s="76" t="s">
        <v>29</v>
      </c>
      <c r="G9" s="62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71" t="s">
        <v>21</v>
      </c>
      <c r="B10" s="63">
        <v>3</v>
      </c>
      <c r="C10" s="29">
        <f>IF(B$2=0,0,B10/B$2)</f>
        <v>0.25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72" t="s">
        <v>211</v>
      </c>
      <c r="B11" s="64">
        <v>3</v>
      </c>
      <c r="C11" s="32">
        <f>IF(B$2=0,0,B11/B$2)</f>
        <v>0.25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28</v>
      </c>
      <c r="C16" s="24">
        <f>IF(B$3=0,0,B16/B$3)</f>
        <v>0.34146341463414637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15</v>
      </c>
      <c r="C17" s="27">
        <f>IF(B$3=0,0,B17/B$3)</f>
        <v>0.18292682926829268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13</v>
      </c>
      <c r="C18" s="27">
        <f>IF(B$3=0,0,B18/B$3)</f>
        <v>0.15853658536585366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11</v>
      </c>
      <c r="C19" s="27">
        <f>IF(B$3=0,0,B19/B$3)</f>
        <v>0.13414634146341464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10857.142857142857</v>
      </c>
      <c r="C20" s="30">
        <v>304000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-9927.2727272727279</v>
      </c>
      <c r="C21" s="60">
        <v>-109200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33</v>
      </c>
      <c r="C22" s="24">
        <f>IF(B$3=0,0,B22/B$3)</f>
        <v>0.40243902439024393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15</v>
      </c>
      <c r="C23" s="32">
        <f>IF(B$22=0,0,B23/B$22)</f>
        <v>0.45454545454545453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39C3-9F62-4CAC-B3FF-FA1B8F14B355}">
  <sheetPr codeName="Sheet13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196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34</v>
      </c>
      <c r="C2" s="87"/>
      <c r="E2" s="79" t="s">
        <v>73</v>
      </c>
      <c r="F2" s="75" t="s">
        <v>27</v>
      </c>
      <c r="G2" s="61">
        <v>54</v>
      </c>
      <c r="H2" s="24">
        <f>IF(B$25=0,0,G2/B$25)</f>
        <v>0.93103448275862066</v>
      </c>
      <c r="J2" s="23">
        <v>0</v>
      </c>
      <c r="K2" s="25">
        <v>0</v>
      </c>
      <c r="M2" s="23" t="s">
        <v>201</v>
      </c>
      <c r="N2" s="56">
        <f t="shared" ref="N2:N7" si="0">IF(P2=0,0,O2/P2)</f>
        <v>-4356.666666666667</v>
      </c>
      <c r="O2" s="53">
        <v>-130700</v>
      </c>
      <c r="P2" s="51">
        <v>30</v>
      </c>
    </row>
    <row r="3" spans="1:16" x14ac:dyDescent="0.4">
      <c r="A3" s="70" t="s">
        <v>8</v>
      </c>
      <c r="B3" s="92">
        <v>257</v>
      </c>
      <c r="C3" s="93"/>
      <c r="E3" s="80" t="s">
        <v>78</v>
      </c>
      <c r="F3" s="76" t="s">
        <v>31</v>
      </c>
      <c r="G3" s="62">
        <v>45</v>
      </c>
      <c r="H3" s="27">
        <f>IF(B$25=0,0,G3/B$25)</f>
        <v>0.77586206896551724</v>
      </c>
      <c r="J3" s="26">
        <v>1</v>
      </c>
      <c r="K3" s="28">
        <v>3.9</v>
      </c>
      <c r="M3" s="26" t="s">
        <v>202</v>
      </c>
      <c r="N3" s="57">
        <f t="shared" si="0"/>
        <v>-686.66666666666663</v>
      </c>
      <c r="O3" s="54">
        <v>-20600</v>
      </c>
      <c r="P3" s="49">
        <v>30</v>
      </c>
    </row>
    <row r="4" spans="1:16" x14ac:dyDescent="0.4">
      <c r="A4" s="70" t="s">
        <v>6</v>
      </c>
      <c r="B4" s="94">
        <v>-301.69999999999993</v>
      </c>
      <c r="C4" s="95"/>
      <c r="E4" s="80" t="s">
        <v>71</v>
      </c>
      <c r="F4" s="76" t="s">
        <v>25</v>
      </c>
      <c r="G4" s="62">
        <v>37</v>
      </c>
      <c r="H4" s="27">
        <f>IF(B$25=0,0,G4/B$25)</f>
        <v>0.63793103448275867</v>
      </c>
      <c r="J4" s="26">
        <v>2</v>
      </c>
      <c r="K4" s="28">
        <v>-33.9</v>
      </c>
      <c r="M4" s="26" t="s">
        <v>203</v>
      </c>
      <c r="N4" s="57">
        <f t="shared" si="0"/>
        <v>-1790</v>
      </c>
      <c r="O4" s="54">
        <v>-53700</v>
      </c>
      <c r="P4" s="49">
        <v>30</v>
      </c>
    </row>
    <row r="5" spans="1:16" x14ac:dyDescent="0.4">
      <c r="A5" s="70" t="s">
        <v>7</v>
      </c>
      <c r="B5" s="94">
        <f>IF(B$2=0,0,B$4/B$2)</f>
        <v>-8.8735294117647037</v>
      </c>
      <c r="C5" s="95"/>
      <c r="E5" s="80" t="s">
        <v>69</v>
      </c>
      <c r="F5" s="76" t="s">
        <v>23</v>
      </c>
      <c r="G5" s="62">
        <v>34</v>
      </c>
      <c r="H5" s="27">
        <f>IF(B$25=0,0,G5/B$25)</f>
        <v>0.58620689655172409</v>
      </c>
      <c r="J5" s="26">
        <v>3</v>
      </c>
      <c r="K5" s="28">
        <v>-70.099999999999994</v>
      </c>
      <c r="M5" s="26" t="s">
        <v>204</v>
      </c>
      <c r="N5" s="57">
        <f t="shared" si="0"/>
        <v>471.42857142857144</v>
      </c>
      <c r="O5" s="54">
        <v>13200</v>
      </c>
      <c r="P5" s="49">
        <v>28</v>
      </c>
    </row>
    <row r="6" spans="1:16" x14ac:dyDescent="0.4">
      <c r="A6" s="70" t="s">
        <v>1</v>
      </c>
      <c r="B6" s="96">
        <f>IF(B$2=0,0,(B$7*1+B$8*2+B$9*3)/B$2)</f>
        <v>2.2647058823529411</v>
      </c>
      <c r="C6" s="97"/>
      <c r="E6" s="80" t="s">
        <v>72</v>
      </c>
      <c r="F6" s="76" t="s">
        <v>26</v>
      </c>
      <c r="G6" s="62">
        <v>22</v>
      </c>
      <c r="H6" s="27">
        <f>IF(B$25=0,0,G6/B$25)</f>
        <v>0.37931034482758619</v>
      </c>
      <c r="J6" s="26">
        <v>4</v>
      </c>
      <c r="K6" s="28">
        <v>-35.099999999999994</v>
      </c>
      <c r="M6" s="26" t="s">
        <v>205</v>
      </c>
      <c r="N6" s="57">
        <f t="shared" si="0"/>
        <v>-1952</v>
      </c>
      <c r="O6" s="54">
        <v>-48800</v>
      </c>
      <c r="P6" s="49">
        <v>25</v>
      </c>
    </row>
    <row r="7" spans="1:16" x14ac:dyDescent="0.4">
      <c r="A7" s="70" t="s">
        <v>2</v>
      </c>
      <c r="B7" s="62">
        <v>8</v>
      </c>
      <c r="C7" s="27">
        <f>IF(B$2=0,0,B7/B$2)</f>
        <v>0.23529411764705882</v>
      </c>
      <c r="E7" s="80" t="s">
        <v>74</v>
      </c>
      <c r="F7" s="76" t="s">
        <v>12</v>
      </c>
      <c r="G7" s="62">
        <v>22</v>
      </c>
      <c r="H7" s="27">
        <f>IF(B$25=0,0,G7/B$25)</f>
        <v>0.37931034482758619</v>
      </c>
      <c r="J7" s="26">
        <v>5</v>
      </c>
      <c r="K7" s="28">
        <v>-80.099999999999994</v>
      </c>
      <c r="M7" s="31" t="s">
        <v>206</v>
      </c>
      <c r="N7" s="58">
        <f t="shared" si="0"/>
        <v>3200</v>
      </c>
      <c r="O7" s="55">
        <v>51200</v>
      </c>
      <c r="P7" s="50">
        <v>16</v>
      </c>
    </row>
    <row r="8" spans="1:16" x14ac:dyDescent="0.4">
      <c r="A8" s="70" t="s">
        <v>3</v>
      </c>
      <c r="B8" s="62">
        <v>9</v>
      </c>
      <c r="C8" s="27">
        <f t="shared" ref="C8:C9" si="1">IF(B$2=0,0,B8/B$2)</f>
        <v>0.26470588235294118</v>
      </c>
      <c r="E8" s="80" t="s">
        <v>96</v>
      </c>
      <c r="F8" s="76" t="s">
        <v>49</v>
      </c>
      <c r="G8" s="62">
        <v>12</v>
      </c>
      <c r="H8" s="27">
        <f>IF(B$25=0,0,G8/B$25)</f>
        <v>0.20689655172413793</v>
      </c>
      <c r="J8" s="26">
        <v>6</v>
      </c>
      <c r="K8" s="28">
        <v>-116.1</v>
      </c>
    </row>
    <row r="9" spans="1:16" x14ac:dyDescent="0.4">
      <c r="A9" s="71" t="s">
        <v>4</v>
      </c>
      <c r="B9" s="63">
        <v>17</v>
      </c>
      <c r="C9" s="29">
        <f t="shared" si="1"/>
        <v>0.5</v>
      </c>
      <c r="E9" s="80" t="s">
        <v>75</v>
      </c>
      <c r="F9" s="76" t="s">
        <v>28</v>
      </c>
      <c r="G9" s="62">
        <v>9</v>
      </c>
      <c r="H9" s="27">
        <f>IF(B$25=0,0,G9/B$25)</f>
        <v>0.15517241379310345</v>
      </c>
      <c r="J9" s="26">
        <v>7</v>
      </c>
      <c r="K9" s="28">
        <v>-147.4</v>
      </c>
    </row>
    <row r="10" spans="1:16" x14ac:dyDescent="0.4">
      <c r="A10" s="71" t="s">
        <v>21</v>
      </c>
      <c r="B10" s="63">
        <v>9</v>
      </c>
      <c r="C10" s="29">
        <f>IF(B$2=0,0,B10/B$2)</f>
        <v>0.26470588235294118</v>
      </c>
      <c r="E10" s="80" t="s">
        <v>76</v>
      </c>
      <c r="F10" s="76" t="s">
        <v>29</v>
      </c>
      <c r="G10" s="62">
        <v>6</v>
      </c>
      <c r="H10" s="27">
        <f>IF(B$25=0,0,G10/B$25)</f>
        <v>0.10344827586206896</v>
      </c>
      <c r="J10" s="26">
        <v>8</v>
      </c>
      <c r="K10" s="28">
        <v>-146</v>
      </c>
    </row>
    <row r="11" spans="1:16" x14ac:dyDescent="0.4">
      <c r="A11" s="72" t="s">
        <v>211</v>
      </c>
      <c r="B11" s="64">
        <v>4</v>
      </c>
      <c r="C11" s="32">
        <f>IF(B$2=0,0,B11/B$2)</f>
        <v>0.11764705882352941</v>
      </c>
      <c r="E11" s="80" t="s">
        <v>84</v>
      </c>
      <c r="F11" s="76" t="s">
        <v>37</v>
      </c>
      <c r="G11" s="62">
        <v>6</v>
      </c>
      <c r="H11" s="27">
        <f>IF(B$25=0,0,G11/B$25)</f>
        <v>0.10344827586206896</v>
      </c>
      <c r="J11" s="26">
        <v>9</v>
      </c>
      <c r="K11" s="28">
        <v>-173</v>
      </c>
    </row>
    <row r="12" spans="1:16" x14ac:dyDescent="0.4">
      <c r="A12" s="73" t="s">
        <v>130</v>
      </c>
      <c r="B12" s="65">
        <v>58</v>
      </c>
      <c r="C12" s="35">
        <f>IF(B$24=0,0,B12/B$24)</f>
        <v>0.26363636363636361</v>
      </c>
      <c r="E12" s="80" t="s">
        <v>70</v>
      </c>
      <c r="F12" s="76" t="s">
        <v>24</v>
      </c>
      <c r="G12" s="62">
        <v>4</v>
      </c>
      <c r="H12" s="27">
        <f>IF(B$25=0,0,G12/B$25)</f>
        <v>6.8965517241379309E-2</v>
      </c>
      <c r="J12" s="26">
        <v>10</v>
      </c>
      <c r="K12" s="28">
        <v>-206.1</v>
      </c>
    </row>
    <row r="13" spans="1:16" x14ac:dyDescent="0.4">
      <c r="A13" s="70" t="s">
        <v>125</v>
      </c>
      <c r="B13" s="62">
        <v>46</v>
      </c>
      <c r="C13" s="27">
        <f>IF(B$24=0,0,B13/B$24)</f>
        <v>0.20909090909090908</v>
      </c>
      <c r="E13" s="80" t="s">
        <v>90</v>
      </c>
      <c r="F13" s="76" t="s">
        <v>43</v>
      </c>
      <c r="G13" s="62">
        <v>3</v>
      </c>
      <c r="H13" s="27">
        <f>IF(B$25=0,0,G13/B$25)</f>
        <v>5.1724137931034482E-2</v>
      </c>
      <c r="J13" s="26">
        <v>11</v>
      </c>
      <c r="K13" s="28">
        <v>-174</v>
      </c>
    </row>
    <row r="14" spans="1:16" x14ac:dyDescent="0.4">
      <c r="A14" s="69" t="s">
        <v>132</v>
      </c>
      <c r="B14" s="61">
        <v>35</v>
      </c>
      <c r="C14" s="24">
        <f>IF(B$12=0,0,B14/B$12)</f>
        <v>0.60344827586206895</v>
      </c>
      <c r="E14" s="80" t="s">
        <v>93</v>
      </c>
      <c r="F14" s="76" t="s">
        <v>46</v>
      </c>
      <c r="G14" s="62">
        <v>3</v>
      </c>
      <c r="H14" s="27">
        <f>IF(B$25=0,0,G14/B$25)</f>
        <v>5.1724137931034482E-2</v>
      </c>
      <c r="J14" s="26">
        <v>12</v>
      </c>
      <c r="K14" s="28">
        <v>-197</v>
      </c>
    </row>
    <row r="15" spans="1:16" x14ac:dyDescent="0.4">
      <c r="A15" s="69" t="s">
        <v>133</v>
      </c>
      <c r="B15" s="61">
        <v>16</v>
      </c>
      <c r="C15" s="24">
        <f>IF(B$13=0,0,B15/B$13)</f>
        <v>0.34782608695652173</v>
      </c>
      <c r="E15" s="80" t="s">
        <v>79</v>
      </c>
      <c r="F15" s="76" t="s">
        <v>32</v>
      </c>
      <c r="G15" s="62">
        <v>2</v>
      </c>
      <c r="H15" s="27">
        <f>IF(B$25=0,0,G15/B$25)</f>
        <v>3.4482758620689655E-2</v>
      </c>
      <c r="J15" s="26">
        <v>13</v>
      </c>
      <c r="K15" s="28">
        <v>-235</v>
      </c>
    </row>
    <row r="16" spans="1:16" x14ac:dyDescent="0.4">
      <c r="A16" s="69" t="s">
        <v>10</v>
      </c>
      <c r="B16" s="61">
        <f>B17+B18</f>
        <v>68</v>
      </c>
      <c r="C16" s="24">
        <f>IF(B$3=0,0,B16/B$3)</f>
        <v>0.26459143968871596</v>
      </c>
      <c r="E16" s="80" t="s">
        <v>88</v>
      </c>
      <c r="F16" s="76" t="s">
        <v>41</v>
      </c>
      <c r="G16" s="62">
        <v>2</v>
      </c>
      <c r="H16" s="27">
        <f>IF(B$25=0,0,G16/B$25)</f>
        <v>3.4482758620689655E-2</v>
      </c>
      <c r="J16" s="26">
        <v>14</v>
      </c>
      <c r="K16" s="28">
        <v>-231</v>
      </c>
    </row>
    <row r="17" spans="1:11" x14ac:dyDescent="0.4">
      <c r="A17" s="70" t="s">
        <v>11</v>
      </c>
      <c r="B17" s="62">
        <v>35</v>
      </c>
      <c r="C17" s="27">
        <f>IF(B$3=0,0,B17/B$3)</f>
        <v>0.13618677042801555</v>
      </c>
      <c r="E17" s="80" t="s">
        <v>81</v>
      </c>
      <c r="F17" s="76" t="s">
        <v>34</v>
      </c>
      <c r="G17" s="62">
        <v>1</v>
      </c>
      <c r="H17" s="27">
        <f>IF(B$25=0,0,G17/B$25)</f>
        <v>1.7241379310344827E-2</v>
      </c>
      <c r="J17" s="26">
        <v>15</v>
      </c>
      <c r="K17" s="28">
        <v>-212.5</v>
      </c>
    </row>
    <row r="18" spans="1:11" x14ac:dyDescent="0.4">
      <c r="A18" s="70" t="s">
        <v>12</v>
      </c>
      <c r="B18" s="62">
        <v>33</v>
      </c>
      <c r="C18" s="27">
        <f>IF(B$3=0,0,B18/B$3)</f>
        <v>0.12840466926070038</v>
      </c>
      <c r="E18" s="80" t="s">
        <v>100</v>
      </c>
      <c r="F18" s="76" t="s">
        <v>53</v>
      </c>
      <c r="G18" s="62">
        <v>1</v>
      </c>
      <c r="H18" s="27">
        <f>IF(B$25=0,0,G18/B$25)</f>
        <v>1.7241379310344827E-2</v>
      </c>
      <c r="J18" s="26">
        <v>16</v>
      </c>
      <c r="K18" s="28">
        <v>-233.2</v>
      </c>
    </row>
    <row r="19" spans="1:11" x14ac:dyDescent="0.4">
      <c r="A19" s="70" t="s">
        <v>13</v>
      </c>
      <c r="B19" s="62">
        <v>57</v>
      </c>
      <c r="C19" s="27">
        <f>IF(B$3=0,0,B19/B$3)</f>
        <v>0.22178988326848248</v>
      </c>
      <c r="E19" s="80" t="s">
        <v>77</v>
      </c>
      <c r="F19" s="76" t="s">
        <v>30</v>
      </c>
      <c r="G19" s="62">
        <v>0</v>
      </c>
      <c r="H19" s="27">
        <f>IF(B$25=0,0,G19/B$25)</f>
        <v>0</v>
      </c>
      <c r="J19" s="26">
        <v>17</v>
      </c>
      <c r="K19" s="28">
        <v>-268.7</v>
      </c>
    </row>
    <row r="20" spans="1:11" x14ac:dyDescent="0.4">
      <c r="A20" s="70" t="s">
        <v>5</v>
      </c>
      <c r="B20" s="66">
        <f>IF(B$16=0,0,C20/B$16)</f>
        <v>11108.823529411764</v>
      </c>
      <c r="C20" s="30">
        <v>755400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-295.8</v>
      </c>
    </row>
    <row r="21" spans="1:11" x14ac:dyDescent="0.4">
      <c r="A21" s="72" t="s">
        <v>14</v>
      </c>
      <c r="B21" s="67">
        <f>IF(B$19=0,0,C21/B$19)</f>
        <v>-9649.1228070175439</v>
      </c>
      <c r="C21" s="60">
        <v>-550000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-273.2</v>
      </c>
    </row>
    <row r="22" spans="1:11" x14ac:dyDescent="0.4">
      <c r="A22" s="69" t="s">
        <v>198</v>
      </c>
      <c r="B22" s="61">
        <v>78</v>
      </c>
      <c r="C22" s="24">
        <f>IF(B$3=0,0,B22/B$3)</f>
        <v>0.30350194552529181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72" t="s">
        <v>199</v>
      </c>
      <c r="B23" s="64">
        <v>26</v>
      </c>
      <c r="C23" s="32">
        <f>IF(B$22=0,0,B23/B$22)</f>
        <v>0.33333333333333331</v>
      </c>
      <c r="E23" s="80" t="s">
        <v>85</v>
      </c>
      <c r="F23" s="76" t="s">
        <v>38</v>
      </c>
      <c r="G23" s="62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69" t="s">
        <v>128</v>
      </c>
      <c r="B24" s="86">
        <v>220</v>
      </c>
      <c r="C24" s="87"/>
      <c r="E24" s="80" t="s">
        <v>86</v>
      </c>
      <c r="F24" s="76" t="s">
        <v>39</v>
      </c>
      <c r="G24" s="62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72" t="s">
        <v>129</v>
      </c>
      <c r="B25" s="88">
        <v>58</v>
      </c>
      <c r="C25" s="89"/>
      <c r="E25" s="80" t="s">
        <v>87</v>
      </c>
      <c r="F25" s="76" t="s">
        <v>40</v>
      </c>
      <c r="G25" s="62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E26" s="80" t="s">
        <v>89</v>
      </c>
      <c r="F26" s="76" t="s">
        <v>42</v>
      </c>
      <c r="G26" s="62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80" t="s">
        <v>98</v>
      </c>
      <c r="F32" s="76" t="s">
        <v>51</v>
      </c>
      <c r="G32" s="62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80" t="s">
        <v>99</v>
      </c>
      <c r="F33" s="76" t="s">
        <v>52</v>
      </c>
      <c r="G33" s="62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22B4A-A2B2-44D3-A6D9-859F73130379}">
  <sheetPr codeName="Sheet14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 t="s">
        <v>217</v>
      </c>
      <c r="C1" s="91"/>
      <c r="E1" s="78" t="s">
        <v>213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207</v>
      </c>
      <c r="N1" s="83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6">
        <v>1</v>
      </c>
      <c r="C2" s="87"/>
      <c r="E2" s="79" t="s">
        <v>69</v>
      </c>
      <c r="F2" s="75" t="s">
        <v>23</v>
      </c>
      <c r="G2" s="61">
        <v>4</v>
      </c>
      <c r="H2" s="24">
        <f>IF(B$25=0,0,G2/B$25)</f>
        <v>0.66666666666666663</v>
      </c>
      <c r="J2" s="23">
        <v>0</v>
      </c>
      <c r="K2" s="25">
        <v>0</v>
      </c>
      <c r="M2" s="23" t="s">
        <v>201</v>
      </c>
      <c r="N2" s="56">
        <f t="shared" ref="N2:N7" si="0">IF(P2=0,0,O2/P2)</f>
        <v>20100</v>
      </c>
      <c r="O2" s="53">
        <v>20100</v>
      </c>
      <c r="P2" s="51">
        <v>1</v>
      </c>
    </row>
    <row r="3" spans="1:16" x14ac:dyDescent="0.4">
      <c r="A3" s="70" t="s">
        <v>8</v>
      </c>
      <c r="B3" s="92">
        <v>11</v>
      </c>
      <c r="C3" s="93"/>
      <c r="E3" s="80" t="s">
        <v>73</v>
      </c>
      <c r="F3" s="76" t="s">
        <v>27</v>
      </c>
      <c r="G3" s="62">
        <v>3</v>
      </c>
      <c r="H3" s="27">
        <f>IF(B$25=0,0,G3/B$25)</f>
        <v>0.5</v>
      </c>
      <c r="J3" s="26">
        <v>1</v>
      </c>
      <c r="K3" s="28">
        <v>28.3</v>
      </c>
      <c r="M3" s="26" t="s">
        <v>202</v>
      </c>
      <c r="N3" s="57">
        <f t="shared" si="0"/>
        <v>-8000</v>
      </c>
      <c r="O3" s="54">
        <v>-8000</v>
      </c>
      <c r="P3" s="49">
        <v>1</v>
      </c>
    </row>
    <row r="4" spans="1:16" x14ac:dyDescent="0.4">
      <c r="A4" s="70" t="s">
        <v>6</v>
      </c>
      <c r="B4" s="94">
        <v>28.3</v>
      </c>
      <c r="C4" s="95"/>
      <c r="E4" s="80" t="s">
        <v>72</v>
      </c>
      <c r="F4" s="76" t="s">
        <v>26</v>
      </c>
      <c r="G4" s="62">
        <v>2</v>
      </c>
      <c r="H4" s="27">
        <f>IF(B$25=0,0,G4/B$25)</f>
        <v>0.33333333333333331</v>
      </c>
      <c r="M4" s="26" t="s">
        <v>203</v>
      </c>
      <c r="N4" s="57">
        <f t="shared" si="0"/>
        <v>8000</v>
      </c>
      <c r="O4" s="54">
        <v>8000</v>
      </c>
      <c r="P4" s="49">
        <v>1</v>
      </c>
    </row>
    <row r="5" spans="1:16" x14ac:dyDescent="0.4">
      <c r="A5" s="70" t="s">
        <v>7</v>
      </c>
      <c r="B5" s="94">
        <f>IF(B$2=0,0,B$4/B$2)</f>
        <v>28.3</v>
      </c>
      <c r="C5" s="95"/>
      <c r="E5" s="80" t="s">
        <v>78</v>
      </c>
      <c r="F5" s="76" t="s">
        <v>31</v>
      </c>
      <c r="G5" s="62">
        <v>2</v>
      </c>
      <c r="H5" s="27">
        <f>IF(B$25=0,0,G5/B$25)</f>
        <v>0.33333333333333331</v>
      </c>
      <c r="M5" s="26" t="s">
        <v>204</v>
      </c>
      <c r="N5" s="57">
        <f t="shared" si="0"/>
        <v>11600</v>
      </c>
      <c r="O5" s="54">
        <v>11600</v>
      </c>
      <c r="P5" s="49">
        <v>1</v>
      </c>
    </row>
    <row r="6" spans="1:16" x14ac:dyDescent="0.4">
      <c r="A6" s="70" t="s">
        <v>1</v>
      </c>
      <c r="B6" s="96">
        <f>IF(B$2=0,0,(B$7*1+B$8*2+B$9*3)/B$2)</f>
        <v>1</v>
      </c>
      <c r="C6" s="97"/>
      <c r="E6" s="80" t="s">
        <v>93</v>
      </c>
      <c r="F6" s="76" t="s">
        <v>46</v>
      </c>
      <c r="G6" s="62">
        <v>2</v>
      </c>
      <c r="H6" s="27">
        <f>IF(B$25=0,0,G6/B$25)</f>
        <v>0.33333333333333331</v>
      </c>
      <c r="M6" s="26" t="s">
        <v>205</v>
      </c>
      <c r="N6" s="57">
        <f t="shared" si="0"/>
        <v>-5000</v>
      </c>
      <c r="O6" s="54">
        <v>-5000</v>
      </c>
      <c r="P6" s="49">
        <v>1</v>
      </c>
    </row>
    <row r="7" spans="1:16" x14ac:dyDescent="0.4">
      <c r="A7" s="70" t="s">
        <v>2</v>
      </c>
      <c r="B7" s="62">
        <v>1</v>
      </c>
      <c r="C7" s="27">
        <f>IF(B$2=0,0,B7/B$2)</f>
        <v>1</v>
      </c>
      <c r="E7" s="80" t="s">
        <v>70</v>
      </c>
      <c r="F7" s="76" t="s">
        <v>24</v>
      </c>
      <c r="G7" s="62">
        <v>1</v>
      </c>
      <c r="H7" s="27">
        <f>IF(B$25=0,0,G7/B$25)</f>
        <v>0.16666666666666666</v>
      </c>
      <c r="M7" s="31" t="s">
        <v>206</v>
      </c>
      <c r="N7" s="58">
        <f t="shared" si="0"/>
        <v>1600</v>
      </c>
      <c r="O7" s="55">
        <v>1600</v>
      </c>
      <c r="P7" s="50">
        <v>1</v>
      </c>
    </row>
    <row r="8" spans="1:16" x14ac:dyDescent="0.4">
      <c r="A8" s="70" t="s">
        <v>3</v>
      </c>
      <c r="B8" s="62">
        <v>0</v>
      </c>
      <c r="C8" s="27">
        <f t="shared" ref="C8:C9" si="1">IF(B$2=0,0,B8/B$2)</f>
        <v>0</v>
      </c>
      <c r="E8" s="80" t="s">
        <v>71</v>
      </c>
      <c r="F8" s="76" t="s">
        <v>25</v>
      </c>
      <c r="G8" s="62">
        <v>1</v>
      </c>
      <c r="H8" s="27">
        <f>IF(B$25=0,0,G8/B$25)</f>
        <v>0.16666666666666666</v>
      </c>
    </row>
    <row r="9" spans="1:16" x14ac:dyDescent="0.4">
      <c r="A9" s="71" t="s">
        <v>4</v>
      </c>
      <c r="B9" s="63">
        <v>0</v>
      </c>
      <c r="C9" s="29">
        <f t="shared" si="1"/>
        <v>0</v>
      </c>
      <c r="E9" s="80" t="s">
        <v>76</v>
      </c>
      <c r="F9" s="76" t="s">
        <v>29</v>
      </c>
      <c r="G9" s="62">
        <v>1</v>
      </c>
      <c r="H9" s="27">
        <f>IF(B$25=0,0,G9/B$25)</f>
        <v>0.16666666666666666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96</v>
      </c>
      <c r="F10" s="76" t="s">
        <v>49</v>
      </c>
      <c r="G10" s="62">
        <v>1</v>
      </c>
      <c r="H10" s="27">
        <f>IF(B$25=0,0,G10/B$25)</f>
        <v>0.16666666666666666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74</v>
      </c>
      <c r="F11" s="76" t="s">
        <v>12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5</v>
      </c>
      <c r="C12" s="35">
        <f>IF(B$24=0,0,B12/B$24)</f>
        <v>0.45454545454545453</v>
      </c>
      <c r="E12" s="80" t="s">
        <v>75</v>
      </c>
      <c r="F12" s="76" t="s">
        <v>28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2</v>
      </c>
      <c r="C13" s="27">
        <f>IF(B$24=0,0,B13/B$24)</f>
        <v>0.18181818181818182</v>
      </c>
      <c r="E13" s="80" t="s">
        <v>77</v>
      </c>
      <c r="F13" s="76" t="s">
        <v>30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4</v>
      </c>
      <c r="C14" s="24">
        <f>IF(B$12=0,0,B14/B$12)</f>
        <v>0.8</v>
      </c>
      <c r="E14" s="80" t="s">
        <v>79</v>
      </c>
      <c r="F14" s="76" t="s">
        <v>32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1</v>
      </c>
      <c r="C15" s="24">
        <f>IF(B$13=0,0,B15/B$13)</f>
        <v>0.5</v>
      </c>
      <c r="E15" s="80" t="s">
        <v>80</v>
      </c>
      <c r="F15" s="76" t="s">
        <v>33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6</v>
      </c>
      <c r="C16" s="24">
        <f>IF(B$3=0,0,B16/B$3)</f>
        <v>0.54545454545454541</v>
      </c>
      <c r="E16" s="80" t="s">
        <v>81</v>
      </c>
      <c r="F16" s="76" t="s">
        <v>34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5</v>
      </c>
      <c r="C17" s="27">
        <f>IF(B$3=0,0,B17/B$3)</f>
        <v>0.45454545454545453</v>
      </c>
      <c r="E17" s="80" t="s">
        <v>82</v>
      </c>
      <c r="F17" s="76" t="s">
        <v>35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</v>
      </c>
      <c r="C18" s="27">
        <f>IF(B$3=0,0,B18/B$3)</f>
        <v>9.0909090909090912E-2</v>
      </c>
      <c r="E18" s="80" t="s">
        <v>83</v>
      </c>
      <c r="F18" s="76" t="s">
        <v>36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</v>
      </c>
      <c r="C19" s="27">
        <f>IF(B$3=0,0,B19/B$3)</f>
        <v>9.0909090909090912E-2</v>
      </c>
      <c r="E19" s="80" t="s">
        <v>84</v>
      </c>
      <c r="F19" s="76" t="s">
        <v>37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7133.333333333333</v>
      </c>
      <c r="C20" s="30">
        <v>42800</v>
      </c>
      <c r="E20" s="80" t="s">
        <v>85</v>
      </c>
      <c r="F20" s="76" t="s">
        <v>38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-8000</v>
      </c>
      <c r="C21" s="60">
        <v>-8000</v>
      </c>
      <c r="E21" s="80" t="s">
        <v>86</v>
      </c>
      <c r="F21" s="76" t="s">
        <v>39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6</v>
      </c>
      <c r="C22" s="24">
        <f>IF(B$3=0,0,B22/B$3)</f>
        <v>0.54545454545454541</v>
      </c>
      <c r="E22" s="80" t="s">
        <v>87</v>
      </c>
      <c r="F22" s="76" t="s">
        <v>40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4</v>
      </c>
      <c r="C23" s="32">
        <f>IF(B$22=0,0,B23/B$22)</f>
        <v>0.66666666666666663</v>
      </c>
      <c r="E23" s="80" t="s">
        <v>88</v>
      </c>
      <c r="F23" s="76" t="s">
        <v>41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6">
        <v>11</v>
      </c>
      <c r="C24" s="87"/>
      <c r="E24" s="80" t="s">
        <v>89</v>
      </c>
      <c r="F24" s="76" t="s">
        <v>42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8">
        <v>6</v>
      </c>
      <c r="C25" s="89"/>
      <c r="E25" s="80" t="s">
        <v>90</v>
      </c>
      <c r="F25" s="76" t="s">
        <v>43</v>
      </c>
      <c r="G25" s="62">
        <v>0</v>
      </c>
      <c r="H25" s="27">
        <f>IF(B$25=0,0,G25/B$25)</f>
        <v>0</v>
      </c>
    </row>
    <row r="26" spans="1:8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</row>
    <row r="27" spans="1:8" x14ac:dyDescent="0.4">
      <c r="E27" s="80" t="s">
        <v>92</v>
      </c>
      <c r="F27" s="76" t="s">
        <v>45</v>
      </c>
      <c r="G27" s="62">
        <v>0</v>
      </c>
      <c r="H27" s="27">
        <f>IF(B$25=0,0,G27/B$25)</f>
        <v>0</v>
      </c>
    </row>
    <row r="28" spans="1:8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</row>
    <row r="29" spans="1:8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90"/>
      <c r="C1" s="91"/>
      <c r="E1" s="78" t="s">
        <v>213</v>
      </c>
      <c r="F1" s="59" t="s">
        <v>122</v>
      </c>
      <c r="G1" s="74" t="s">
        <v>123</v>
      </c>
      <c r="H1" s="20" t="s">
        <v>124</v>
      </c>
      <c r="J1" s="21" t="s">
        <v>22</v>
      </c>
      <c r="K1" s="22" t="s">
        <v>127</v>
      </c>
      <c r="M1" s="21" t="s">
        <v>207</v>
      </c>
      <c r="N1" s="20" t="s">
        <v>209</v>
      </c>
      <c r="O1" s="52" t="s">
        <v>210</v>
      </c>
      <c r="P1" s="48" t="s">
        <v>208</v>
      </c>
    </row>
    <row r="2" spans="1:16" x14ac:dyDescent="0.4">
      <c r="A2" s="69" t="s">
        <v>9</v>
      </c>
      <c r="B2" s="86">
        <v>0</v>
      </c>
      <c r="C2" s="87"/>
      <c r="E2" s="79" t="s">
        <v>69</v>
      </c>
      <c r="F2" s="75" t="s">
        <v>23</v>
      </c>
      <c r="G2" s="61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0</v>
      </c>
      <c r="O2" s="53">
        <v>0</v>
      </c>
      <c r="P2" s="51">
        <v>0</v>
      </c>
    </row>
    <row r="3" spans="1:16" x14ac:dyDescent="0.4">
      <c r="A3" s="70" t="s">
        <v>8</v>
      </c>
      <c r="B3" s="92">
        <v>0</v>
      </c>
      <c r="C3" s="93"/>
      <c r="E3" s="80" t="s">
        <v>70</v>
      </c>
      <c r="F3" s="76" t="s">
        <v>24</v>
      </c>
      <c r="G3" s="62">
        <v>0</v>
      </c>
      <c r="H3" s="27">
        <f t="shared" si="0"/>
        <v>0</v>
      </c>
      <c r="M3" s="26" t="s">
        <v>202</v>
      </c>
      <c r="N3" s="57">
        <f t="shared" si="1"/>
        <v>0</v>
      </c>
      <c r="O3" s="54">
        <v>0</v>
      </c>
      <c r="P3" s="49">
        <v>0</v>
      </c>
    </row>
    <row r="4" spans="1:16" x14ac:dyDescent="0.4">
      <c r="A4" s="70" t="s">
        <v>6</v>
      </c>
      <c r="B4" s="94">
        <v>0</v>
      </c>
      <c r="C4" s="95"/>
      <c r="E4" s="80" t="s">
        <v>71</v>
      </c>
      <c r="F4" s="76" t="s">
        <v>25</v>
      </c>
      <c r="G4" s="62">
        <v>0</v>
      </c>
      <c r="H4" s="27">
        <f t="shared" si="0"/>
        <v>0</v>
      </c>
      <c r="M4" s="26" t="s">
        <v>203</v>
      </c>
      <c r="N4" s="57">
        <f t="shared" si="1"/>
        <v>0</v>
      </c>
      <c r="O4" s="54">
        <v>0</v>
      </c>
      <c r="P4" s="49">
        <v>0</v>
      </c>
    </row>
    <row r="5" spans="1:16" x14ac:dyDescent="0.4">
      <c r="A5" s="70" t="s">
        <v>7</v>
      </c>
      <c r="B5" s="94">
        <f>IF(B$2=0,0,B$4/B$2)</f>
        <v>0</v>
      </c>
      <c r="C5" s="95"/>
      <c r="E5" s="80" t="s">
        <v>72</v>
      </c>
      <c r="F5" s="76" t="s">
        <v>26</v>
      </c>
      <c r="G5" s="62">
        <v>0</v>
      </c>
      <c r="H5" s="27">
        <f t="shared" si="0"/>
        <v>0</v>
      </c>
      <c r="M5" s="26" t="s">
        <v>204</v>
      </c>
      <c r="N5" s="57">
        <f t="shared" si="1"/>
        <v>0</v>
      </c>
      <c r="O5" s="54">
        <v>0</v>
      </c>
      <c r="P5" s="49">
        <v>0</v>
      </c>
    </row>
    <row r="6" spans="1:16" x14ac:dyDescent="0.4">
      <c r="A6" s="70" t="s">
        <v>1</v>
      </c>
      <c r="B6" s="96">
        <f>IF(B$2=0,0,(B$7*1+B$8*2+B$9*3)/B$2)</f>
        <v>0</v>
      </c>
      <c r="C6" s="97"/>
      <c r="E6" s="80" t="s">
        <v>73</v>
      </c>
      <c r="F6" s="76" t="s">
        <v>27</v>
      </c>
      <c r="G6" s="62">
        <v>0</v>
      </c>
      <c r="H6" s="27">
        <f t="shared" si="0"/>
        <v>0</v>
      </c>
      <c r="M6" s="26" t="s">
        <v>205</v>
      </c>
      <c r="N6" s="57">
        <f t="shared" si="1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 t="shared" si="0"/>
        <v>0</v>
      </c>
      <c r="M7" s="31" t="s">
        <v>206</v>
      </c>
      <c r="N7" s="58">
        <f t="shared" si="1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0</v>
      </c>
      <c r="C8" s="27">
        <f t="shared" ref="C8:C9" si="2">IF(B$2=0,0,B8/B$2)</f>
        <v>0</v>
      </c>
      <c r="E8" s="80" t="s">
        <v>75</v>
      </c>
      <c r="F8" s="76" t="s">
        <v>28</v>
      </c>
      <c r="G8" s="62">
        <v>0</v>
      </c>
      <c r="H8" s="27">
        <f t="shared" si="0"/>
        <v>0</v>
      </c>
    </row>
    <row r="9" spans="1:16" x14ac:dyDescent="0.4">
      <c r="A9" s="71" t="s">
        <v>4</v>
      </c>
      <c r="B9" s="63">
        <v>0</v>
      </c>
      <c r="C9" s="29">
        <f t="shared" si="2"/>
        <v>0</v>
      </c>
      <c r="E9" s="80" t="s">
        <v>76</v>
      </c>
      <c r="F9" s="76" t="s">
        <v>29</v>
      </c>
      <c r="G9" s="62">
        <v>0</v>
      </c>
      <c r="H9" s="27">
        <f t="shared" si="0"/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 t="shared" si="0"/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 t="shared" si="0"/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0</v>
      </c>
      <c r="C16" s="24">
        <f>IF(B$3=0,0,B16/B$3)</f>
        <v>0</v>
      </c>
      <c r="E16" s="80" t="s">
        <v>83</v>
      </c>
      <c r="F16" s="76" t="s">
        <v>36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0</v>
      </c>
      <c r="C19" s="27">
        <f>IF(B$3=0,0,B19/B$3)</f>
        <v>0</v>
      </c>
      <c r="E19" s="80" t="s">
        <v>86</v>
      </c>
      <c r="F19" s="76" t="s">
        <v>39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0</v>
      </c>
      <c r="C20" s="30">
        <v>0</v>
      </c>
      <c r="E20" s="80" t="s">
        <v>87</v>
      </c>
      <c r="F20" s="76" t="s">
        <v>40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0</v>
      </c>
      <c r="C21" s="60">
        <v>0</v>
      </c>
      <c r="E21" s="80" t="s">
        <v>88</v>
      </c>
      <c r="F21" s="76" t="s">
        <v>41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6">
        <v>0</v>
      </c>
      <c r="C24" s="87"/>
      <c r="E24" s="80" t="s">
        <v>91</v>
      </c>
      <c r="F24" s="76" t="s">
        <v>44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8">
        <v>0</v>
      </c>
      <c r="C25" s="89"/>
      <c r="E25" s="80" t="s">
        <v>92</v>
      </c>
      <c r="F25" s="76" t="s">
        <v>45</v>
      </c>
      <c r="G25" s="62">
        <v>0</v>
      </c>
      <c r="H25" s="27">
        <f t="shared" si="0"/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51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4"/>
  <sheetViews>
    <sheetView workbookViewId="0"/>
  </sheetViews>
  <sheetFormatPr defaultRowHeight="18.75" x14ac:dyDescent="0.4"/>
  <cols>
    <col min="1" max="1" width="16.375" style="41" bestFit="1" customWidth="1"/>
    <col min="2" max="2" width="16.875" style="44" bestFit="1" customWidth="1"/>
    <col min="3" max="3" width="9" style="47"/>
    <col min="4" max="16384" width="9" style="36"/>
  </cols>
  <sheetData>
    <row r="1" spans="1:14" s="38" customFormat="1" x14ac:dyDescent="0.4">
      <c r="A1" s="39" t="s">
        <v>186</v>
      </c>
      <c r="B1" s="42" t="s">
        <v>187</v>
      </c>
      <c r="C1" s="45" t="s">
        <v>188</v>
      </c>
    </row>
    <row r="2" spans="1:14" s="37" customFormat="1" x14ac:dyDescent="0.4">
      <c r="A2" s="40" t="s">
        <v>136</v>
      </c>
      <c r="B2" s="43">
        <v>43454.62740740741</v>
      </c>
      <c r="C2" s="46" t="s">
        <v>174</v>
      </c>
    </row>
    <row r="3" spans="1:14" x14ac:dyDescent="0.4">
      <c r="A3" s="41" t="s">
        <v>140</v>
      </c>
      <c r="B3" s="44">
        <v>43454.62740740741</v>
      </c>
      <c r="C3" s="47" t="s">
        <v>174</v>
      </c>
    </row>
    <row r="4" spans="1:14" x14ac:dyDescent="0.4">
      <c r="A4" s="41" t="s">
        <v>143</v>
      </c>
      <c r="B4" s="44">
        <v>43454.62740740741</v>
      </c>
      <c r="C4" s="47" t="s">
        <v>174</v>
      </c>
    </row>
    <row r="5" spans="1:14" x14ac:dyDescent="0.4">
      <c r="A5" s="41" t="s">
        <v>144</v>
      </c>
      <c r="B5" s="44">
        <v>43454.62740740741</v>
      </c>
      <c r="C5" s="47" t="s">
        <v>174</v>
      </c>
      <c r="D5" s="36" t="s">
        <v>175</v>
      </c>
      <c r="E5" s="36" t="s">
        <v>176</v>
      </c>
      <c r="F5" s="36" t="s">
        <v>177</v>
      </c>
      <c r="G5" s="36" t="s">
        <v>178</v>
      </c>
    </row>
    <row r="6" spans="1:14" x14ac:dyDescent="0.4">
      <c r="A6" s="41" t="s">
        <v>146</v>
      </c>
      <c r="B6" s="44">
        <v>43454.62740740741</v>
      </c>
      <c r="C6" s="47" t="s">
        <v>174</v>
      </c>
    </row>
    <row r="7" spans="1:14" x14ac:dyDescent="0.4">
      <c r="A7" s="41" t="s">
        <v>147</v>
      </c>
      <c r="B7" s="44">
        <v>43454.62740740741</v>
      </c>
      <c r="C7" s="47" t="s">
        <v>174</v>
      </c>
      <c r="D7" s="36" t="s">
        <v>175</v>
      </c>
      <c r="E7" s="36" t="s">
        <v>176</v>
      </c>
    </row>
    <row r="8" spans="1:14" x14ac:dyDescent="0.4">
      <c r="A8" s="41" t="s">
        <v>150</v>
      </c>
      <c r="B8" s="44">
        <v>43454.62740740741</v>
      </c>
      <c r="C8" s="47" t="s">
        <v>174</v>
      </c>
      <c r="D8" s="36" t="s">
        <v>175</v>
      </c>
    </row>
    <row r="9" spans="1:14" x14ac:dyDescent="0.4">
      <c r="A9" s="41" t="s">
        <v>151</v>
      </c>
      <c r="B9" s="44">
        <v>43454.62740740741</v>
      </c>
      <c r="C9" s="47" t="s">
        <v>174</v>
      </c>
      <c r="D9" s="36" t="s">
        <v>175</v>
      </c>
      <c r="E9" s="36" t="s">
        <v>176</v>
      </c>
      <c r="F9" s="36" t="s">
        <v>177</v>
      </c>
    </row>
    <row r="10" spans="1:14" x14ac:dyDescent="0.4">
      <c r="A10" s="41" t="s">
        <v>152</v>
      </c>
      <c r="B10" s="44">
        <v>43454.62740740741</v>
      </c>
      <c r="C10" s="47" t="s">
        <v>174</v>
      </c>
      <c r="D10" s="36" t="s">
        <v>175</v>
      </c>
      <c r="E10" s="36" t="s">
        <v>176</v>
      </c>
    </row>
    <row r="11" spans="1:14" x14ac:dyDescent="0.4">
      <c r="A11" s="41" t="s">
        <v>153</v>
      </c>
      <c r="B11" s="44">
        <v>43454.62740740741</v>
      </c>
      <c r="C11" s="47" t="s">
        <v>174</v>
      </c>
      <c r="D11" s="36" t="s">
        <v>175</v>
      </c>
      <c r="E11" s="36" t="s">
        <v>176</v>
      </c>
      <c r="F11" s="36" t="s">
        <v>177</v>
      </c>
      <c r="G11" s="36" t="s">
        <v>178</v>
      </c>
      <c r="H11" s="36" t="s">
        <v>179</v>
      </c>
      <c r="I11" s="36" t="s">
        <v>180</v>
      </c>
    </row>
    <row r="12" spans="1:14" x14ac:dyDescent="0.4">
      <c r="A12" s="41" t="s">
        <v>154</v>
      </c>
      <c r="B12" s="44">
        <v>43454.62740740741</v>
      </c>
      <c r="C12" s="47" t="s">
        <v>174</v>
      </c>
      <c r="D12" s="36" t="s">
        <v>175</v>
      </c>
    </row>
    <row r="13" spans="1:14" x14ac:dyDescent="0.4">
      <c r="A13" s="41" t="s">
        <v>155</v>
      </c>
      <c r="B13" s="44">
        <v>43454.62740740741</v>
      </c>
      <c r="C13" s="47" t="s">
        <v>174</v>
      </c>
      <c r="D13" s="36" t="s">
        <v>175</v>
      </c>
      <c r="E13" s="36" t="s">
        <v>176</v>
      </c>
      <c r="F13" s="36" t="s">
        <v>177</v>
      </c>
      <c r="G13" s="36" t="s">
        <v>178</v>
      </c>
      <c r="H13" s="36" t="s">
        <v>179</v>
      </c>
      <c r="I13" s="36" t="s">
        <v>180</v>
      </c>
      <c r="J13" s="36" t="s">
        <v>181</v>
      </c>
      <c r="K13" s="36" t="s">
        <v>182</v>
      </c>
      <c r="L13" s="36" t="s">
        <v>183</v>
      </c>
      <c r="M13" s="36" t="s">
        <v>184</v>
      </c>
      <c r="N13" s="36" t="s">
        <v>185</v>
      </c>
    </row>
    <row r="14" spans="1:14" x14ac:dyDescent="0.4">
      <c r="A14" s="41" t="s">
        <v>157</v>
      </c>
      <c r="B14" s="44">
        <v>43454.62740740741</v>
      </c>
      <c r="C14" s="47" t="s">
        <v>174</v>
      </c>
      <c r="D14" s="36" t="s">
        <v>175</v>
      </c>
      <c r="E14" s="36" t="s">
        <v>176</v>
      </c>
    </row>
    <row r="15" spans="1:14" x14ac:dyDescent="0.4">
      <c r="A15" s="41" t="s">
        <v>158</v>
      </c>
      <c r="B15" s="44">
        <v>43454.62740740741</v>
      </c>
      <c r="C15" s="47" t="s">
        <v>174</v>
      </c>
      <c r="D15" s="36" t="s">
        <v>175</v>
      </c>
      <c r="E15" s="36" t="s">
        <v>176</v>
      </c>
    </row>
    <row r="16" spans="1:14" x14ac:dyDescent="0.4">
      <c r="A16" s="41" t="s">
        <v>159</v>
      </c>
      <c r="B16" s="44">
        <v>43454.62740740741</v>
      </c>
      <c r="C16" s="47" t="s">
        <v>174</v>
      </c>
      <c r="D16" s="36" t="s">
        <v>175</v>
      </c>
      <c r="E16" s="36" t="s">
        <v>176</v>
      </c>
    </row>
    <row r="17" spans="1:9" x14ac:dyDescent="0.4">
      <c r="A17" s="41" t="s">
        <v>161</v>
      </c>
      <c r="B17" s="44">
        <v>43471.701018518521</v>
      </c>
      <c r="C17" s="47" t="s">
        <v>174</v>
      </c>
      <c r="D17" s="36" t="s">
        <v>175</v>
      </c>
      <c r="E17" s="36" t="s">
        <v>176</v>
      </c>
      <c r="F17" s="36" t="s">
        <v>177</v>
      </c>
      <c r="G17" s="36" t="s">
        <v>178</v>
      </c>
      <c r="H17" s="36" t="s">
        <v>179</v>
      </c>
    </row>
    <row r="18" spans="1:9" x14ac:dyDescent="0.4">
      <c r="A18" s="41" t="s">
        <v>162</v>
      </c>
      <c r="B18" s="44">
        <v>43454.62740740741</v>
      </c>
      <c r="C18" s="47" t="s">
        <v>174</v>
      </c>
      <c r="D18" s="36" t="s">
        <v>175</v>
      </c>
      <c r="E18" s="36" t="s">
        <v>176</v>
      </c>
      <c r="F18" s="36" t="s">
        <v>177</v>
      </c>
      <c r="G18" s="36" t="s">
        <v>178</v>
      </c>
      <c r="H18" s="36" t="s">
        <v>179</v>
      </c>
    </row>
    <row r="19" spans="1:9" x14ac:dyDescent="0.4">
      <c r="A19" s="41" t="s">
        <v>163</v>
      </c>
      <c r="B19" s="44">
        <v>43454.62740740741</v>
      </c>
      <c r="C19" s="47" t="s">
        <v>174</v>
      </c>
      <c r="D19" s="36" t="s">
        <v>175</v>
      </c>
    </row>
    <row r="20" spans="1:9" x14ac:dyDescent="0.4">
      <c r="A20" s="41" t="s">
        <v>164</v>
      </c>
      <c r="B20" s="44">
        <v>43471.701018518521</v>
      </c>
      <c r="C20" s="47" t="s">
        <v>174</v>
      </c>
      <c r="D20" s="36" t="s">
        <v>175</v>
      </c>
      <c r="E20" s="36" t="s">
        <v>176</v>
      </c>
    </row>
    <row r="21" spans="1:9" x14ac:dyDescent="0.4">
      <c r="A21" s="41" t="s">
        <v>165</v>
      </c>
      <c r="B21" s="44">
        <v>43454.62740740741</v>
      </c>
      <c r="C21" s="47" t="s">
        <v>174</v>
      </c>
      <c r="D21" s="36" t="s">
        <v>175</v>
      </c>
      <c r="E21" s="36" t="s">
        <v>176</v>
      </c>
      <c r="F21" s="36" t="s">
        <v>177</v>
      </c>
    </row>
    <row r="22" spans="1:9" x14ac:dyDescent="0.4">
      <c r="A22" s="41" t="s">
        <v>166</v>
      </c>
      <c r="B22" s="44">
        <v>43454.62740740741</v>
      </c>
      <c r="C22" s="47" t="s">
        <v>174</v>
      </c>
      <c r="D22" s="36" t="s">
        <v>175</v>
      </c>
      <c r="E22" s="36" t="s">
        <v>176</v>
      </c>
      <c r="F22" s="36" t="s">
        <v>177</v>
      </c>
    </row>
    <row r="23" spans="1:9" x14ac:dyDescent="0.4">
      <c r="A23" s="41" t="s">
        <v>167</v>
      </c>
      <c r="B23" s="44">
        <v>43454.62740740741</v>
      </c>
      <c r="C23" s="47" t="s">
        <v>174</v>
      </c>
      <c r="D23" s="36" t="s">
        <v>175</v>
      </c>
      <c r="E23" s="36" t="s">
        <v>176</v>
      </c>
      <c r="F23" s="36" t="s">
        <v>177</v>
      </c>
      <c r="G23" s="36" t="s">
        <v>178</v>
      </c>
      <c r="H23" s="36" t="s">
        <v>179</v>
      </c>
      <c r="I23" s="36" t="s">
        <v>180</v>
      </c>
    </row>
    <row r="24" spans="1:9" x14ac:dyDescent="0.4">
      <c r="A24" s="41" t="s">
        <v>168</v>
      </c>
      <c r="B24" s="44">
        <v>43454.62740740741</v>
      </c>
      <c r="C24" s="47" t="s">
        <v>174</v>
      </c>
      <c r="D24" s="36" t="s">
        <v>175</v>
      </c>
      <c r="E24" s="36" t="s">
        <v>176</v>
      </c>
    </row>
    <row r="25" spans="1:9" x14ac:dyDescent="0.4">
      <c r="A25" s="41" t="s">
        <v>169</v>
      </c>
      <c r="B25" s="44">
        <v>43454.62740740741</v>
      </c>
      <c r="C25" s="47" t="s">
        <v>174</v>
      </c>
      <c r="D25" s="36" t="s">
        <v>175</v>
      </c>
      <c r="E25" s="36" t="s">
        <v>176</v>
      </c>
      <c r="F25" s="36" t="s">
        <v>177</v>
      </c>
      <c r="G25" s="36" t="s">
        <v>178</v>
      </c>
      <c r="H25" s="36" t="s">
        <v>179</v>
      </c>
    </row>
    <row r="26" spans="1:9" x14ac:dyDescent="0.4">
      <c r="A26" s="41" t="s">
        <v>170</v>
      </c>
      <c r="B26" s="44">
        <v>43454.62740740741</v>
      </c>
      <c r="C26" s="47" t="s">
        <v>174</v>
      </c>
      <c r="D26" s="36" t="s">
        <v>175</v>
      </c>
    </row>
    <row r="27" spans="1:9" x14ac:dyDescent="0.4">
      <c r="A27" s="41" t="s">
        <v>171</v>
      </c>
      <c r="B27" s="44">
        <v>43454.62740740741</v>
      </c>
      <c r="C27" s="47" t="s">
        <v>174</v>
      </c>
      <c r="D27" s="36" t="s">
        <v>175</v>
      </c>
    </row>
    <row r="28" spans="1:9" x14ac:dyDescent="0.4">
      <c r="A28" s="41" t="s">
        <v>172</v>
      </c>
      <c r="B28" s="44">
        <v>43454.62740740741</v>
      </c>
      <c r="C28" s="47" t="s">
        <v>174</v>
      </c>
      <c r="D28" s="36" t="s">
        <v>175</v>
      </c>
      <c r="E28" s="36" t="s">
        <v>176</v>
      </c>
      <c r="F28" s="36" t="s">
        <v>177</v>
      </c>
    </row>
    <row r="29" spans="1:9" x14ac:dyDescent="0.4">
      <c r="A29" s="41" t="s">
        <v>173</v>
      </c>
      <c r="B29" s="44">
        <v>43455.084918981483</v>
      </c>
      <c r="C29" s="47" t="s">
        <v>174</v>
      </c>
      <c r="D29" s="36" t="s">
        <v>175</v>
      </c>
      <c r="E29" s="36" t="s">
        <v>176</v>
      </c>
      <c r="F29" s="36" t="s">
        <v>177</v>
      </c>
      <c r="G29" s="36" t="s">
        <v>178</v>
      </c>
      <c r="H29" s="36" t="s">
        <v>179</v>
      </c>
    </row>
    <row r="30" spans="1:9" x14ac:dyDescent="0.4">
      <c r="A30" s="41" t="s">
        <v>197</v>
      </c>
      <c r="B30" s="44">
        <v>43456.147789351853</v>
      </c>
      <c r="C30" s="47" t="s">
        <v>174</v>
      </c>
      <c r="D30" s="36" t="s">
        <v>175</v>
      </c>
      <c r="E30" s="36" t="s">
        <v>176</v>
      </c>
      <c r="F30" s="36" t="s">
        <v>177</v>
      </c>
      <c r="G30" s="36" t="s">
        <v>178</v>
      </c>
    </row>
    <row r="31" spans="1:9" x14ac:dyDescent="0.4">
      <c r="A31" s="41" t="s">
        <v>214</v>
      </c>
      <c r="B31" s="44">
        <v>43471.8909375</v>
      </c>
      <c r="C31" s="47" t="s">
        <v>174</v>
      </c>
      <c r="D31" s="36" t="s">
        <v>175</v>
      </c>
      <c r="E31" s="36" t="s">
        <v>176</v>
      </c>
      <c r="F31" s="36" t="s">
        <v>177</v>
      </c>
    </row>
    <row r="32" spans="1:9" x14ac:dyDescent="0.4">
      <c r="A32" s="41" t="s">
        <v>215</v>
      </c>
      <c r="B32" s="44">
        <v>43475.056238425925</v>
      </c>
      <c r="C32" s="47" t="s">
        <v>174</v>
      </c>
    </row>
    <row r="33" spans="1:5" x14ac:dyDescent="0.4">
      <c r="A33" s="41" t="s">
        <v>216</v>
      </c>
      <c r="B33" s="44">
        <v>43478.456446759257</v>
      </c>
      <c r="C33" s="47" t="s">
        <v>174</v>
      </c>
      <c r="D33" s="36" t="s">
        <v>175</v>
      </c>
      <c r="E33" s="36" t="s">
        <v>176</v>
      </c>
    </row>
    <row r="34" spans="1:5" x14ac:dyDescent="0.4">
      <c r="A34" s="41" t="s">
        <v>219</v>
      </c>
      <c r="B34" s="44">
        <v>43478.705636574072</v>
      </c>
      <c r="C34" s="47" t="s">
        <v>174</v>
      </c>
      <c r="D34" s="36" t="s">
        <v>175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2019-01-13T07:56:23Z</dcterms:modified>
</cp:coreProperties>
</file>