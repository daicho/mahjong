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A843ABD-2107-41A9-8349-03BC52AE17EF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21" r:id="rId3"/>
    <sheet name="かこたろう" sheetId="2822" r:id="rId4"/>
    <sheet name="ともき" sheetId="2823" r:id="rId5"/>
    <sheet name="りくと" sheetId="2824" r:id="rId6"/>
    <sheet name="いっしー" sheetId="2825" r:id="rId7"/>
    <sheet name="がくと" sheetId="2826" r:id="rId8"/>
    <sheet name="たかの" sheetId="2827" r:id="rId9"/>
    <sheet name="ただ" sheetId="2828" r:id="rId10"/>
    <sheet name="やがさき" sheetId="2829" r:id="rId11"/>
    <sheet name="れんたろう" sheetId="2830" r:id="rId12"/>
    <sheet name="あさひ" sheetId="2831" r:id="rId13"/>
    <sheet name="まっつん" sheetId="2832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32" l="1"/>
  <c r="H50" i="2832"/>
  <c r="H49" i="2832"/>
  <c r="H48" i="2832"/>
  <c r="H47" i="2832"/>
  <c r="H46" i="2832"/>
  <c r="H45" i="2832"/>
  <c r="H44" i="2832"/>
  <c r="H43" i="2832"/>
  <c r="H42" i="2832"/>
  <c r="H41" i="2832"/>
  <c r="H40" i="2832"/>
  <c r="H39" i="2832"/>
  <c r="H38" i="2832"/>
  <c r="H37" i="2832"/>
  <c r="H36" i="2832"/>
  <c r="H35" i="2832"/>
  <c r="H34" i="2832"/>
  <c r="H33" i="2832"/>
  <c r="H32" i="2832"/>
  <c r="H31" i="2832"/>
  <c r="H30" i="2832"/>
  <c r="H6" i="2832"/>
  <c r="H29" i="2832"/>
  <c r="H28" i="2832"/>
  <c r="C27" i="2832"/>
  <c r="H27" i="2832"/>
  <c r="H10" i="2832"/>
  <c r="H26" i="2832"/>
  <c r="H5" i="2832"/>
  <c r="C23" i="2832"/>
  <c r="H25" i="2832"/>
  <c r="C22" i="2832"/>
  <c r="H24" i="2832"/>
  <c r="B21" i="2832"/>
  <c r="H23" i="2832"/>
  <c r="H22" i="2832"/>
  <c r="C19" i="2832"/>
  <c r="H9" i="2832"/>
  <c r="C18" i="2832"/>
  <c r="H21" i="2832"/>
  <c r="C17" i="2832"/>
  <c r="H20" i="2832"/>
  <c r="B16" i="2832"/>
  <c r="B20" i="2832" s="1"/>
  <c r="H19" i="2832"/>
  <c r="C15" i="2832"/>
  <c r="H18" i="2832"/>
  <c r="C14" i="2832"/>
  <c r="H17" i="2832"/>
  <c r="C13" i="2832"/>
  <c r="H16" i="2832"/>
  <c r="C12" i="2832"/>
  <c r="H4" i="2832"/>
  <c r="C11" i="2832"/>
  <c r="H15" i="2832"/>
  <c r="C10" i="2832"/>
  <c r="H8" i="2832"/>
  <c r="C9" i="2832"/>
  <c r="H14" i="2832"/>
  <c r="C8" i="2832"/>
  <c r="N7" i="2832"/>
  <c r="H13" i="2832"/>
  <c r="C7" i="2832"/>
  <c r="N6" i="2832"/>
  <c r="H2" i="2832"/>
  <c r="B6" i="2832"/>
  <c r="N5" i="2832"/>
  <c r="H12" i="2832"/>
  <c r="B5" i="2832"/>
  <c r="N4" i="2832"/>
  <c r="H3" i="2832"/>
  <c r="N3" i="2832"/>
  <c r="H11" i="2832"/>
  <c r="N2" i="2832"/>
  <c r="H7" i="2832"/>
  <c r="C16" i="2832" l="1"/>
  <c r="H51" i="2831" l="1"/>
  <c r="H50" i="2831"/>
  <c r="H49" i="2831"/>
  <c r="H48" i="2831"/>
  <c r="H47" i="2831"/>
  <c r="H46" i="2831"/>
  <c r="H45" i="2831"/>
  <c r="H44" i="2831"/>
  <c r="H43" i="2831"/>
  <c r="H42" i="2831"/>
  <c r="H41" i="2831"/>
  <c r="H40" i="2831"/>
  <c r="H39" i="2831"/>
  <c r="H38" i="2831"/>
  <c r="H37" i="2831"/>
  <c r="H36" i="2831"/>
  <c r="H35" i="2831"/>
  <c r="H34" i="2831"/>
  <c r="H33" i="2831"/>
  <c r="H32" i="2831"/>
  <c r="H14" i="2831"/>
  <c r="H31" i="2831"/>
  <c r="H11" i="2831"/>
  <c r="H30" i="2831"/>
  <c r="H29" i="2831"/>
  <c r="C27" i="2831"/>
  <c r="H10" i="2831"/>
  <c r="H28" i="2831"/>
  <c r="H27" i="2831"/>
  <c r="H26" i="2831"/>
  <c r="C23" i="2831"/>
  <c r="H25" i="2831"/>
  <c r="C22" i="2831"/>
  <c r="H24" i="2831"/>
  <c r="B21" i="2831"/>
  <c r="H23" i="2831"/>
  <c r="H22" i="2831"/>
  <c r="C19" i="2831"/>
  <c r="H21" i="2831"/>
  <c r="C18" i="2831"/>
  <c r="H20" i="2831"/>
  <c r="C17" i="2831"/>
  <c r="H19" i="2831"/>
  <c r="B16" i="2831"/>
  <c r="B20" i="2831" s="1"/>
  <c r="H18" i="2831"/>
  <c r="C15" i="2831"/>
  <c r="H17" i="2831"/>
  <c r="C14" i="2831"/>
  <c r="H16" i="2831"/>
  <c r="C13" i="2831"/>
  <c r="H15" i="2831"/>
  <c r="C12" i="2831"/>
  <c r="H5" i="2831"/>
  <c r="C11" i="2831"/>
  <c r="H13" i="2831"/>
  <c r="C10" i="2831"/>
  <c r="H7" i="2831"/>
  <c r="C9" i="2831"/>
  <c r="H9" i="2831"/>
  <c r="C8" i="2831"/>
  <c r="N7" i="2831"/>
  <c r="H8" i="2831"/>
  <c r="C7" i="2831"/>
  <c r="N6" i="2831"/>
  <c r="H3" i="2831"/>
  <c r="B6" i="2831"/>
  <c r="N5" i="2831"/>
  <c r="H6" i="2831"/>
  <c r="B5" i="2831"/>
  <c r="N4" i="2831"/>
  <c r="H2" i="2831"/>
  <c r="N3" i="2831"/>
  <c r="H12" i="2831"/>
  <c r="N2" i="2831"/>
  <c r="H4" i="2831"/>
  <c r="C16" i="2831" l="1"/>
  <c r="H51" i="2830" l="1"/>
  <c r="H50" i="2830"/>
  <c r="H49" i="2830"/>
  <c r="H48" i="2830"/>
  <c r="H47" i="2830"/>
  <c r="H46" i="2830"/>
  <c r="H45" i="2830"/>
  <c r="H44" i="2830"/>
  <c r="H43" i="2830"/>
  <c r="H42" i="2830"/>
  <c r="H41" i="2830"/>
  <c r="H40" i="2830"/>
  <c r="H39" i="2830"/>
  <c r="H38" i="2830"/>
  <c r="H37" i="2830"/>
  <c r="H36" i="2830"/>
  <c r="H35" i="2830"/>
  <c r="H34" i="2830"/>
  <c r="H22" i="2830"/>
  <c r="H33" i="2830"/>
  <c r="H21" i="2830"/>
  <c r="H32" i="2830"/>
  <c r="H8" i="2830"/>
  <c r="H31" i="2830"/>
  <c r="H30" i="2830"/>
  <c r="C27" i="2830"/>
  <c r="H12" i="2830"/>
  <c r="H29" i="2830"/>
  <c r="H20" i="2830"/>
  <c r="H16" i="2830"/>
  <c r="C23" i="2830"/>
  <c r="H28" i="2830"/>
  <c r="C22" i="2830"/>
  <c r="H17" i="2830"/>
  <c r="B21" i="2830"/>
  <c r="H27" i="2830"/>
  <c r="H26" i="2830"/>
  <c r="C19" i="2830"/>
  <c r="H19" i="2830"/>
  <c r="C18" i="2830"/>
  <c r="H13" i="2830"/>
  <c r="C17" i="2830"/>
  <c r="H23" i="2830"/>
  <c r="B16" i="2830"/>
  <c r="B20" i="2830" s="1"/>
  <c r="H25" i="2830"/>
  <c r="C15" i="2830"/>
  <c r="H18" i="2830"/>
  <c r="C14" i="2830"/>
  <c r="H24" i="2830"/>
  <c r="C13" i="2830"/>
  <c r="H15" i="2830"/>
  <c r="C12" i="2830"/>
  <c r="H4" i="2830"/>
  <c r="C11" i="2830"/>
  <c r="H14" i="2830"/>
  <c r="C10" i="2830"/>
  <c r="H10" i="2830"/>
  <c r="C9" i="2830"/>
  <c r="H9" i="2830"/>
  <c r="C8" i="2830"/>
  <c r="N7" i="2830"/>
  <c r="H7" i="2830"/>
  <c r="C7" i="2830"/>
  <c r="N6" i="2830"/>
  <c r="H2" i="2830"/>
  <c r="B6" i="2830"/>
  <c r="N5" i="2830"/>
  <c r="H6" i="2830"/>
  <c r="B5" i="2830"/>
  <c r="N4" i="2830"/>
  <c r="H3" i="2830"/>
  <c r="N3" i="2830"/>
  <c r="H11" i="2830"/>
  <c r="N2" i="2830"/>
  <c r="H5" i="2830"/>
  <c r="C16" i="2830" l="1"/>
  <c r="H51" i="2829" l="1"/>
  <c r="H50" i="2829"/>
  <c r="H49" i="2829"/>
  <c r="H48" i="2829"/>
  <c r="H47" i="2829"/>
  <c r="H46" i="2829"/>
  <c r="H45" i="2829"/>
  <c r="H44" i="2829"/>
  <c r="H43" i="2829"/>
  <c r="H42" i="2829"/>
  <c r="H41" i="2829"/>
  <c r="H40" i="2829"/>
  <c r="H39" i="2829"/>
  <c r="H38" i="2829"/>
  <c r="H37" i="2829"/>
  <c r="H36" i="2829"/>
  <c r="H35" i="2829"/>
  <c r="H34" i="2829"/>
  <c r="H33" i="2829"/>
  <c r="H32" i="2829"/>
  <c r="H31" i="2829"/>
  <c r="H30" i="2829"/>
  <c r="H29" i="2829"/>
  <c r="H28" i="2829"/>
  <c r="H27" i="2829"/>
  <c r="C27" i="2829"/>
  <c r="H26" i="2829"/>
  <c r="H25" i="2829"/>
  <c r="H24" i="2829"/>
  <c r="H23" i="2829"/>
  <c r="C23" i="2829"/>
  <c r="H22" i="2829"/>
  <c r="C22" i="2829"/>
  <c r="H21" i="2829"/>
  <c r="B21" i="2829"/>
  <c r="H20" i="2829"/>
  <c r="H19" i="2829"/>
  <c r="C19" i="2829"/>
  <c r="H18" i="2829"/>
  <c r="C18" i="2829"/>
  <c r="H17" i="2829"/>
  <c r="C17" i="2829"/>
  <c r="H16" i="2829"/>
  <c r="B16" i="2829"/>
  <c r="B20" i="2829" s="1"/>
  <c r="H15" i="2829"/>
  <c r="C15" i="2829"/>
  <c r="H14" i="2829"/>
  <c r="C14" i="2829"/>
  <c r="H13" i="2829"/>
  <c r="C13" i="2829"/>
  <c r="H12" i="2829"/>
  <c r="C12" i="2829"/>
  <c r="H11" i="2829"/>
  <c r="C11" i="2829"/>
  <c r="H10" i="2829"/>
  <c r="C10" i="2829"/>
  <c r="H9" i="2829"/>
  <c r="C9" i="2829"/>
  <c r="H8" i="2829"/>
  <c r="C8" i="2829"/>
  <c r="N7" i="2829"/>
  <c r="H7" i="2829"/>
  <c r="C7" i="2829"/>
  <c r="N6" i="2829"/>
  <c r="H6" i="2829"/>
  <c r="B6" i="2829"/>
  <c r="N5" i="2829"/>
  <c r="H5" i="2829"/>
  <c r="B5" i="2829"/>
  <c r="N4" i="2829"/>
  <c r="H4" i="2829"/>
  <c r="N3" i="2829"/>
  <c r="H3" i="2829"/>
  <c r="N2" i="2829"/>
  <c r="H2" i="2829"/>
  <c r="C16" i="2829" l="1"/>
  <c r="H51" i="2828" l="1"/>
  <c r="H50" i="2828"/>
  <c r="H49" i="2828"/>
  <c r="H48" i="2828"/>
  <c r="H47" i="2828"/>
  <c r="H46" i="2828"/>
  <c r="H45" i="2828"/>
  <c r="H44" i="2828"/>
  <c r="H43" i="2828"/>
  <c r="H42" i="2828"/>
  <c r="H41" i="2828"/>
  <c r="H40" i="2828"/>
  <c r="H39" i="2828"/>
  <c r="H38" i="2828"/>
  <c r="H37" i="2828"/>
  <c r="H36" i="2828"/>
  <c r="H35" i="2828"/>
  <c r="H34" i="2828"/>
  <c r="H33" i="2828"/>
  <c r="H32" i="2828"/>
  <c r="H19" i="2828"/>
  <c r="H31" i="2828"/>
  <c r="H10" i="2828"/>
  <c r="H30" i="2828"/>
  <c r="H29" i="2828"/>
  <c r="C27" i="2828"/>
  <c r="H13" i="2828"/>
  <c r="H28" i="2828"/>
  <c r="H18" i="2828"/>
  <c r="H17" i="2828"/>
  <c r="C23" i="2828"/>
  <c r="H27" i="2828"/>
  <c r="C22" i="2828"/>
  <c r="H15" i="2828"/>
  <c r="B21" i="2828"/>
  <c r="H26" i="2828"/>
  <c r="H25" i="2828"/>
  <c r="C19" i="2828"/>
  <c r="H24" i="2828"/>
  <c r="C18" i="2828"/>
  <c r="H14" i="2828"/>
  <c r="C17" i="2828"/>
  <c r="H23" i="2828"/>
  <c r="B16" i="2828"/>
  <c r="B20" i="2828" s="1"/>
  <c r="H22" i="2828"/>
  <c r="C15" i="2828"/>
  <c r="H21" i="2828"/>
  <c r="C14" i="2828"/>
  <c r="H16" i="2828"/>
  <c r="C13" i="2828"/>
  <c r="H20" i="2828"/>
  <c r="C12" i="2828"/>
  <c r="H5" i="2828"/>
  <c r="C11" i="2828"/>
  <c r="H12" i="2828"/>
  <c r="C10" i="2828"/>
  <c r="H11" i="2828"/>
  <c r="C9" i="2828"/>
  <c r="H8" i="2828"/>
  <c r="C8" i="2828"/>
  <c r="N7" i="2828"/>
  <c r="H7" i="2828"/>
  <c r="C7" i="2828"/>
  <c r="N6" i="2828"/>
  <c r="H2" i="2828"/>
  <c r="B6" i="2828"/>
  <c r="N5" i="2828"/>
  <c r="H6" i="2828"/>
  <c r="B5" i="2828"/>
  <c r="N4" i="2828"/>
  <c r="H3" i="2828"/>
  <c r="N3" i="2828"/>
  <c r="H9" i="2828"/>
  <c r="N2" i="2828"/>
  <c r="H4" i="2828"/>
  <c r="H51" i="2827"/>
  <c r="H50" i="2827"/>
  <c r="H49" i="2827"/>
  <c r="H48" i="2827"/>
  <c r="H47" i="2827"/>
  <c r="H46" i="2827"/>
  <c r="H45" i="2827"/>
  <c r="H44" i="2827"/>
  <c r="H43" i="2827"/>
  <c r="H42" i="2827"/>
  <c r="H41" i="2827"/>
  <c r="H40" i="2827"/>
  <c r="H39" i="2827"/>
  <c r="H38" i="2827"/>
  <c r="H37" i="2827"/>
  <c r="H36" i="2827"/>
  <c r="H35" i="2827"/>
  <c r="H34" i="2827"/>
  <c r="H33" i="2827"/>
  <c r="H32" i="2827"/>
  <c r="H31" i="2827"/>
  <c r="H30" i="2827"/>
  <c r="H10" i="2827"/>
  <c r="H29" i="2827"/>
  <c r="H28" i="2827"/>
  <c r="C27" i="2827"/>
  <c r="H13" i="2827"/>
  <c r="H27" i="2827"/>
  <c r="H26" i="2827"/>
  <c r="H18" i="2827"/>
  <c r="C23" i="2827"/>
  <c r="H25" i="2827"/>
  <c r="C22" i="2827"/>
  <c r="H17" i="2827"/>
  <c r="B21" i="2827"/>
  <c r="H24" i="2827"/>
  <c r="H23" i="2827"/>
  <c r="C19" i="2827"/>
  <c r="H12" i="2827"/>
  <c r="C18" i="2827"/>
  <c r="H11" i="2827"/>
  <c r="C17" i="2827"/>
  <c r="H22" i="2827"/>
  <c r="B16" i="2827"/>
  <c r="B20" i="2827" s="1"/>
  <c r="H21" i="2827"/>
  <c r="C15" i="2827"/>
  <c r="H16" i="2827"/>
  <c r="C14" i="2827"/>
  <c r="H20" i="2827"/>
  <c r="C13" i="2827"/>
  <c r="H19" i="2827"/>
  <c r="C12" i="2827"/>
  <c r="H3" i="2827"/>
  <c r="C11" i="2827"/>
  <c r="H15" i="2827"/>
  <c r="C10" i="2827"/>
  <c r="H14" i="2827"/>
  <c r="C9" i="2827"/>
  <c r="H9" i="2827"/>
  <c r="C8" i="2827"/>
  <c r="N7" i="2827"/>
  <c r="H7" i="2827"/>
  <c r="C7" i="2827"/>
  <c r="N6" i="2827"/>
  <c r="H2" i="2827"/>
  <c r="B6" i="2827"/>
  <c r="N5" i="2827"/>
  <c r="H8" i="2827"/>
  <c r="B5" i="2827"/>
  <c r="N4" i="2827"/>
  <c r="H4" i="2827"/>
  <c r="N3" i="2827"/>
  <c r="H6" i="2827"/>
  <c r="N2" i="2827"/>
  <c r="H5" i="2827"/>
  <c r="C16" i="2828" l="1"/>
  <c r="C16" i="2827"/>
  <c r="H51" i="2826" l="1"/>
  <c r="H50" i="2826"/>
  <c r="H49" i="2826"/>
  <c r="H48" i="2826"/>
  <c r="H47" i="2826"/>
  <c r="H46" i="2826"/>
  <c r="H45" i="2826"/>
  <c r="H44" i="2826"/>
  <c r="H43" i="2826"/>
  <c r="H42" i="2826"/>
  <c r="H41" i="2826"/>
  <c r="H40" i="2826"/>
  <c r="H39" i="2826"/>
  <c r="H38" i="2826"/>
  <c r="H37" i="2826"/>
  <c r="H36" i="2826"/>
  <c r="H35" i="2826"/>
  <c r="H34" i="2826"/>
  <c r="H33" i="2826"/>
  <c r="H32" i="2826"/>
  <c r="H31" i="2826"/>
  <c r="H30" i="2826"/>
  <c r="H29" i="2826"/>
  <c r="H28" i="2826"/>
  <c r="H27" i="2826"/>
  <c r="C27" i="2826"/>
  <c r="H11" i="2826"/>
  <c r="H26" i="2826"/>
  <c r="H25" i="2826"/>
  <c r="H24" i="2826"/>
  <c r="C23" i="2826"/>
  <c r="H23" i="2826"/>
  <c r="C22" i="2826"/>
  <c r="H22" i="2826"/>
  <c r="B21" i="2826"/>
  <c r="H21" i="2826"/>
  <c r="H20" i="2826"/>
  <c r="C19" i="2826"/>
  <c r="H8" i="2826"/>
  <c r="C18" i="2826"/>
  <c r="H19" i="2826"/>
  <c r="C17" i="2826"/>
  <c r="H18" i="2826"/>
  <c r="B16" i="2826"/>
  <c r="B20" i="2826" s="1"/>
  <c r="H17" i="2826"/>
  <c r="C15" i="2826"/>
  <c r="H16" i="2826"/>
  <c r="C14" i="2826"/>
  <c r="H15" i="2826"/>
  <c r="C13" i="2826"/>
  <c r="H14" i="2826"/>
  <c r="C12" i="2826"/>
  <c r="H5" i="2826"/>
  <c r="C11" i="2826"/>
  <c r="H13" i="2826"/>
  <c r="C10" i="2826"/>
  <c r="H12" i="2826"/>
  <c r="C9" i="2826"/>
  <c r="H10" i="2826"/>
  <c r="C8" i="2826"/>
  <c r="N7" i="2826"/>
  <c r="H6" i="2826"/>
  <c r="C7" i="2826"/>
  <c r="N6" i="2826"/>
  <c r="H3" i="2826"/>
  <c r="B6" i="2826"/>
  <c r="N5" i="2826"/>
  <c r="H7" i="2826"/>
  <c r="B5" i="2826"/>
  <c r="N4" i="2826"/>
  <c r="H9" i="2826"/>
  <c r="N3" i="2826"/>
  <c r="H4" i="2826"/>
  <c r="N2" i="2826"/>
  <c r="H2" i="2826"/>
  <c r="C16" i="2826" l="1"/>
  <c r="H51" i="2825" l="1"/>
  <c r="H50" i="2825"/>
  <c r="H49" i="2825"/>
  <c r="H48" i="2825"/>
  <c r="H47" i="2825"/>
  <c r="H46" i="2825"/>
  <c r="H45" i="2825"/>
  <c r="H44" i="2825"/>
  <c r="H43" i="2825"/>
  <c r="H42" i="2825"/>
  <c r="H41" i="2825"/>
  <c r="H40" i="2825"/>
  <c r="H39" i="2825"/>
  <c r="H38" i="2825"/>
  <c r="H37" i="2825"/>
  <c r="H36" i="2825"/>
  <c r="H35" i="2825"/>
  <c r="H34" i="2825"/>
  <c r="H33" i="2825"/>
  <c r="H32" i="2825"/>
  <c r="H31" i="2825"/>
  <c r="H30" i="2825"/>
  <c r="H14" i="2825"/>
  <c r="H29" i="2825"/>
  <c r="H28" i="2825"/>
  <c r="C27" i="2825"/>
  <c r="H13" i="2825"/>
  <c r="H27" i="2825"/>
  <c r="H26" i="2825"/>
  <c r="H11" i="2825"/>
  <c r="C23" i="2825"/>
  <c r="H25" i="2825"/>
  <c r="C22" i="2825"/>
  <c r="H12" i="2825"/>
  <c r="B21" i="2825"/>
  <c r="H24" i="2825"/>
  <c r="H23" i="2825"/>
  <c r="C19" i="2825"/>
  <c r="H22" i="2825"/>
  <c r="C18" i="2825"/>
  <c r="H15" i="2825"/>
  <c r="C17" i="2825"/>
  <c r="H21" i="2825"/>
  <c r="B16" i="2825"/>
  <c r="B20" i="2825" s="1"/>
  <c r="H20" i="2825"/>
  <c r="C15" i="2825"/>
  <c r="H19" i="2825"/>
  <c r="C14" i="2825"/>
  <c r="H18" i="2825"/>
  <c r="C13" i="2825"/>
  <c r="H17" i="2825"/>
  <c r="C12" i="2825"/>
  <c r="H4" i="2825"/>
  <c r="C11" i="2825"/>
  <c r="H16" i="2825"/>
  <c r="C10" i="2825"/>
  <c r="H10" i="2825"/>
  <c r="C9" i="2825"/>
  <c r="H9" i="2825"/>
  <c r="C8" i="2825"/>
  <c r="N7" i="2825"/>
  <c r="H7" i="2825"/>
  <c r="C7" i="2825"/>
  <c r="N6" i="2825"/>
  <c r="H3" i="2825"/>
  <c r="B6" i="2825"/>
  <c r="N5" i="2825"/>
  <c r="H6" i="2825"/>
  <c r="B5" i="2825"/>
  <c r="N4" i="2825"/>
  <c r="H2" i="2825"/>
  <c r="N3" i="2825"/>
  <c r="H8" i="2825"/>
  <c r="N2" i="2825"/>
  <c r="H5" i="2825"/>
  <c r="H51" i="2824"/>
  <c r="H50" i="2824"/>
  <c r="H49" i="2824"/>
  <c r="H48" i="2824"/>
  <c r="H47" i="2824"/>
  <c r="H46" i="2824"/>
  <c r="H45" i="2824"/>
  <c r="H44" i="2824"/>
  <c r="H43" i="2824"/>
  <c r="H42" i="2824"/>
  <c r="H41" i="2824"/>
  <c r="H40" i="2824"/>
  <c r="H39" i="2824"/>
  <c r="H38" i="2824"/>
  <c r="H37" i="2824"/>
  <c r="H36" i="2824"/>
  <c r="H35" i="2824"/>
  <c r="H34" i="2824"/>
  <c r="H33" i="2824"/>
  <c r="H20" i="2824"/>
  <c r="H14" i="2824"/>
  <c r="H32" i="2824"/>
  <c r="H9" i="2824"/>
  <c r="H24" i="2824"/>
  <c r="H23" i="2824"/>
  <c r="C27" i="2824"/>
  <c r="H12" i="2824"/>
  <c r="H19" i="2824"/>
  <c r="H22" i="2824"/>
  <c r="H13" i="2824"/>
  <c r="C23" i="2824"/>
  <c r="H31" i="2824"/>
  <c r="C22" i="2824"/>
  <c r="H15" i="2824"/>
  <c r="B21" i="2824"/>
  <c r="H21" i="2824"/>
  <c r="H30" i="2824"/>
  <c r="C19" i="2824"/>
  <c r="H18" i="2824"/>
  <c r="C18" i="2824"/>
  <c r="H17" i="2824"/>
  <c r="C17" i="2824"/>
  <c r="H29" i="2824"/>
  <c r="B16" i="2824"/>
  <c r="B20" i="2824" s="1"/>
  <c r="H28" i="2824"/>
  <c r="C15" i="2824"/>
  <c r="H27" i="2824"/>
  <c r="C14" i="2824"/>
  <c r="H26" i="2824"/>
  <c r="C13" i="2824"/>
  <c r="H25" i="2824"/>
  <c r="C12" i="2824"/>
  <c r="H5" i="2824"/>
  <c r="C11" i="2824"/>
  <c r="H16" i="2824"/>
  <c r="C10" i="2824"/>
  <c r="H8" i="2824"/>
  <c r="C9" i="2824"/>
  <c r="H10" i="2824"/>
  <c r="C8" i="2824"/>
  <c r="N7" i="2824"/>
  <c r="H6" i="2824"/>
  <c r="C7" i="2824"/>
  <c r="N6" i="2824"/>
  <c r="H2" i="2824"/>
  <c r="B6" i="2824"/>
  <c r="N5" i="2824"/>
  <c r="H7" i="2824"/>
  <c r="B5" i="2824"/>
  <c r="N4" i="2824"/>
  <c r="H3" i="2824"/>
  <c r="N3" i="2824"/>
  <c r="H11" i="2824"/>
  <c r="N2" i="2824"/>
  <c r="H4" i="2824"/>
  <c r="C16" i="2824" l="1"/>
  <c r="C16" i="2825"/>
  <c r="H51" i="2823"/>
  <c r="H50" i="2823"/>
  <c r="H49" i="2823"/>
  <c r="H48" i="2823"/>
  <c r="H47" i="2823"/>
  <c r="H46" i="2823"/>
  <c r="H45" i="2823"/>
  <c r="H44" i="2823"/>
  <c r="H43" i="2823"/>
  <c r="H42" i="2823"/>
  <c r="H41" i="2823"/>
  <c r="H40" i="2823"/>
  <c r="H39" i="2823"/>
  <c r="H38" i="2823"/>
  <c r="H37" i="2823"/>
  <c r="H36" i="2823"/>
  <c r="H35" i="2823"/>
  <c r="H34" i="2823"/>
  <c r="H33" i="2823"/>
  <c r="H32" i="2823"/>
  <c r="H31" i="2823"/>
  <c r="H30" i="2823"/>
  <c r="H29" i="2823"/>
  <c r="H28" i="2823"/>
  <c r="H27" i="2823"/>
  <c r="C27" i="2823"/>
  <c r="H26" i="2823"/>
  <c r="H25" i="2823"/>
  <c r="H24" i="2823"/>
  <c r="H23" i="2823"/>
  <c r="C23" i="2823"/>
  <c r="H22" i="2823"/>
  <c r="C22" i="2823"/>
  <c r="H21" i="2823"/>
  <c r="B21" i="2823"/>
  <c r="H20" i="2823"/>
  <c r="H19" i="2823"/>
  <c r="C19" i="2823"/>
  <c r="H18" i="2823"/>
  <c r="C18" i="2823"/>
  <c r="H17" i="2823"/>
  <c r="C17" i="2823"/>
  <c r="H16" i="2823"/>
  <c r="B16" i="2823"/>
  <c r="B20" i="2823" s="1"/>
  <c r="H15" i="2823"/>
  <c r="C15" i="2823"/>
  <c r="H14" i="2823"/>
  <c r="C14" i="2823"/>
  <c r="H13" i="2823"/>
  <c r="C13" i="2823"/>
  <c r="H12" i="2823"/>
  <c r="C12" i="2823"/>
  <c r="H11" i="2823"/>
  <c r="C11" i="2823"/>
  <c r="H5" i="2823"/>
  <c r="C10" i="2823"/>
  <c r="H10" i="2823"/>
  <c r="C9" i="2823"/>
  <c r="H4" i="2823"/>
  <c r="C8" i="2823"/>
  <c r="N7" i="2823"/>
  <c r="H9" i="2823"/>
  <c r="C7" i="2823"/>
  <c r="N6" i="2823"/>
  <c r="H8" i="2823"/>
  <c r="B6" i="2823"/>
  <c r="N5" i="2823"/>
  <c r="H2" i="2823"/>
  <c r="B5" i="2823"/>
  <c r="N4" i="2823"/>
  <c r="H7" i="2823"/>
  <c r="N3" i="2823"/>
  <c r="H6" i="2823"/>
  <c r="N2" i="2823"/>
  <c r="H3" i="2823"/>
  <c r="H51" i="2822"/>
  <c r="H50" i="2822"/>
  <c r="H49" i="2822"/>
  <c r="H48" i="2822"/>
  <c r="H47" i="2822"/>
  <c r="H46" i="2822"/>
  <c r="H45" i="2822"/>
  <c r="H44" i="2822"/>
  <c r="H43" i="2822"/>
  <c r="H42" i="2822"/>
  <c r="H41" i="2822"/>
  <c r="H40" i="2822"/>
  <c r="H39" i="2822"/>
  <c r="H38" i="2822"/>
  <c r="H37" i="2822"/>
  <c r="H36" i="2822"/>
  <c r="H35" i="2822"/>
  <c r="H34" i="2822"/>
  <c r="H33" i="2822"/>
  <c r="H32" i="2822"/>
  <c r="H31" i="2822"/>
  <c r="H30" i="2822"/>
  <c r="H29" i="2822"/>
  <c r="H28" i="2822"/>
  <c r="H27" i="2822"/>
  <c r="C27" i="2822"/>
  <c r="H26" i="2822"/>
  <c r="H25" i="2822"/>
  <c r="H24" i="2822"/>
  <c r="H23" i="2822"/>
  <c r="C23" i="2822"/>
  <c r="H22" i="2822"/>
  <c r="C22" i="2822"/>
  <c r="H21" i="2822"/>
  <c r="B21" i="2822"/>
  <c r="H20" i="2822"/>
  <c r="H19" i="2822"/>
  <c r="C19" i="2822"/>
  <c r="H18" i="2822"/>
  <c r="C18" i="2822"/>
  <c r="H17" i="2822"/>
  <c r="C17" i="2822"/>
  <c r="H16" i="2822"/>
  <c r="B16" i="2822"/>
  <c r="B20" i="2822" s="1"/>
  <c r="H15" i="2822"/>
  <c r="C15" i="2822"/>
  <c r="H14" i="2822"/>
  <c r="C14" i="2822"/>
  <c r="H13" i="2822"/>
  <c r="C13" i="2822"/>
  <c r="H12" i="2822"/>
  <c r="C12" i="2822"/>
  <c r="H11" i="2822"/>
  <c r="C11" i="2822"/>
  <c r="H10" i="2822"/>
  <c r="C10" i="2822"/>
  <c r="H9" i="2822"/>
  <c r="C9" i="2822"/>
  <c r="H8" i="2822"/>
  <c r="C8" i="2822"/>
  <c r="N7" i="2822"/>
  <c r="H7" i="2822"/>
  <c r="C7" i="2822"/>
  <c r="N6" i="2822"/>
  <c r="H6" i="2822"/>
  <c r="B6" i="2822"/>
  <c r="N5" i="2822"/>
  <c r="H5" i="2822"/>
  <c r="B5" i="2822"/>
  <c r="N4" i="2822"/>
  <c r="H4" i="2822"/>
  <c r="N3" i="2822"/>
  <c r="H3" i="2822"/>
  <c r="N2" i="2822"/>
  <c r="H2" i="2822"/>
  <c r="H51" i="2821"/>
  <c r="H50" i="2821"/>
  <c r="H49" i="2821"/>
  <c r="H48" i="2821"/>
  <c r="H47" i="2821"/>
  <c r="H26" i="2821"/>
  <c r="H46" i="2821"/>
  <c r="H45" i="2821"/>
  <c r="H44" i="2821"/>
  <c r="H43" i="2821"/>
  <c r="H42" i="2821"/>
  <c r="H41" i="2821"/>
  <c r="H40" i="2821"/>
  <c r="H39" i="2821"/>
  <c r="H38" i="2821"/>
  <c r="H37" i="2821"/>
  <c r="H36" i="2821"/>
  <c r="H35" i="2821"/>
  <c r="H34" i="2821"/>
  <c r="H20" i="2821"/>
  <c r="H19" i="2821"/>
  <c r="H25" i="2821"/>
  <c r="H9" i="2821"/>
  <c r="H33" i="2821"/>
  <c r="H24" i="2821"/>
  <c r="C27" i="2821"/>
  <c r="H13" i="2821"/>
  <c r="H23" i="2821"/>
  <c r="H32" i="2821"/>
  <c r="H14" i="2821"/>
  <c r="C23" i="2821"/>
  <c r="H31" i="2821"/>
  <c r="C22" i="2821"/>
  <c r="H15" i="2821"/>
  <c r="B21" i="2821"/>
  <c r="H30" i="2821"/>
  <c r="H29" i="2821"/>
  <c r="C19" i="2821"/>
  <c r="H22" i="2821"/>
  <c r="C18" i="2821"/>
  <c r="H21" i="2821"/>
  <c r="C17" i="2821"/>
  <c r="H17" i="2821"/>
  <c r="B16" i="2821"/>
  <c r="B20" i="2821" s="1"/>
  <c r="H28" i="2821"/>
  <c r="C15" i="2821"/>
  <c r="H18" i="2821"/>
  <c r="C14" i="2821"/>
  <c r="H27" i="2821"/>
  <c r="C13" i="2821"/>
  <c r="H16" i="2821"/>
  <c r="C12" i="2821"/>
  <c r="H4" i="2821"/>
  <c r="C11" i="2821"/>
  <c r="H12" i="2821"/>
  <c r="C10" i="2821"/>
  <c r="H10" i="2821"/>
  <c r="C9" i="2821"/>
  <c r="H8" i="2821"/>
  <c r="C8" i="2821"/>
  <c r="N7" i="2821"/>
  <c r="H6" i="2821"/>
  <c r="C7" i="2821"/>
  <c r="N6" i="2821"/>
  <c r="H2" i="2821"/>
  <c r="B6" i="2821"/>
  <c r="N5" i="2821"/>
  <c r="H7" i="2821"/>
  <c r="B5" i="2821"/>
  <c r="N4" i="2821"/>
  <c r="H3" i="2821"/>
  <c r="N3" i="2821"/>
  <c r="H11" i="2821"/>
  <c r="N2" i="2821"/>
  <c r="H5" i="2821"/>
  <c r="C16" i="2822" l="1"/>
  <c r="C16" i="2823"/>
  <c r="C16" i="2821"/>
  <c r="C27" i="2228" l="1"/>
  <c r="C18" i="2228" l="1"/>
  <c r="C17" i="2228"/>
  <c r="C13" i="2228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2" i="2416"/>
  <c r="D17" i="2416"/>
  <c r="D27" i="2416"/>
  <c r="D9" i="2416"/>
  <c r="D29" i="2416"/>
  <c r="D25" i="2416"/>
  <c r="D12" i="2416"/>
  <c r="D20" i="2416"/>
  <c r="D24" i="2416"/>
  <c r="D13" i="2416"/>
  <c r="D34" i="2416"/>
  <c r="D16" i="2416"/>
  <c r="D26" i="2416"/>
  <c r="D33" i="2416"/>
  <c r="D18" i="2416"/>
  <c r="D15" i="2416"/>
  <c r="D23" i="2416"/>
  <c r="D32" i="2416"/>
  <c r="D21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B20" i="2228" s="1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<sst xmlns="http://schemas.openxmlformats.org/spreadsheetml/2006/main" count="2391" uniqueCount="236">
  <si>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</si>
  <si>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</si>
  <si>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</si>
  <si>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</si>
  <si>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</si>
  <si>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</si>
  <si>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</si>
  <si>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</si>
  <si>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</si>
  <si>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</si>
  <si>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</si>
  <si>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</si>
  <si>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</si>
  <si>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</si>
  <si>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</si>
  <si>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</si>
  <si>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</si>
  <si>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</si>
  <si>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</si>
  <si>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</si>
  <si>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</si>
  <si>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</si>
  <si>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</si>
  <si>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</si>
  <si>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</si>
  <si>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</si>
  <si>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</si>
  <si>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</si>
  <si>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</si>
  <si>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</si>
  <si>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</si>
  <si>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</si>
  <si>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</si>
  <si>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</si>
  <si>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</si>
  <si>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</si>
  <si>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</si>
  <si>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</si>
  <si>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</si>
  <si>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</si>
  <si>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</si>
  <si>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</si>
  <si>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</si>
  <si>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</si>
  <si>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</si>
  <si>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</si>
  <si>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</si>
  <si>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</si>
  <si>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</si>
  <si>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</si>
  <si>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</si>
  <si>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</si>
  <si>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</si>
  <si>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</si>
  <si>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</si>
  <si>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</si>
  <si>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</si>
  <si>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</si>
  <si>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</si>
  <si>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</si>
  <si>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</si>
  <si>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</si>
  <si>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</si>
  <si>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</si>
  <si>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</si>
  <si>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</si>
  <si>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</si>
  <si>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</si>
  <si>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</si>
  <si>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</si>
  <si>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</si>
  <si>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</si>
  <si>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</si>
  <si>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</si>
  <si>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</si>
  <si>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</si>
  <si>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</si>
  <si>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</si>
  <si>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</si>
  <si>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</si>
  <si>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</si>
  <si>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</si>
  <si>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</si>
  <si>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</si>
  <si>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</si>
  <si>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</si>
  <si>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</si>
  <si>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</si>
  <si>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</si>
  <si>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</si>
  <si>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</si>
  <si>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</si>
  <si>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</si>
  <si>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</si>
  <si>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</si>
  <si>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</si>
  <si>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</si>
  <si>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</si>
  <si>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</si>
  <si>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</si>
  <si>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</si>
  <si>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</si>
  <si>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</si>
  <si>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</si>
  <si>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</si>
  <si>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</si>
  <si>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</si>
  <si>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</si>
  <si>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</si>
  <si>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</si>
  <si>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</si>
  <si>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</si>
  <si>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</si>
  <si>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</si>
  <si>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</si>
  <si>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</si>
  <si>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</si>
  <si>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</si>
  <si>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</si>
  <si>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</si>
  <si>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</si>
  <si>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</si>
  <si>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</si>
  <si>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</si>
  <si>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</si>
  <si>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</si>
  <si>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</si>
  <si>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</si>
  <si>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</si>
  <si>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</si>
  <si>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</si>
  <si>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</si>
  <si>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</si>
  <si>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</si>
  <si>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</si>
  <si>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</si>
  <si>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</si>
  <si>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</si>
  <si>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</si>
  <si>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</si>
  <si>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</si>
  <si>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</si>
  <si>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</si>
  <si>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</si>
  <si>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</si>
  <si>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</si>
  <si>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</si>
  <si>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</si>
  <si>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</si>
  <si>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</si>
  <si>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</si>
  <si>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</si>
  <si>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</si>
  <si>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</si>
  <si>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</si>
  <si>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</si>
  <si>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</si>
  <si>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</si>
  <si>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</si>
  <si>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</si>
  <si>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</si>
  <si>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</si>
  <si>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</si>
  <si>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</si>
  <si>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</si>
  <si>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</si>
  <si>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</si>
  <si>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</si>
  <si>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</si>
  <si>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</si>
  <si>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</si>
  <si>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</si>
  <si>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</si>
  <si>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</si>
  <si>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</si>
  <si>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</si>
  <si>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</si>
  <si>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</si>
  <si>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</si>
  <si>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</si>
  <si>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</si>
  <si>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</si>
  <si>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</si>
  <si>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</si>
  <si>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</si>
  <si>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</si>
  <si>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</si>
  <si>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</si>
  <si>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</si>
  <si>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</si>
  <si>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</si>
  <si>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</si>
  <si>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</si>
  <si>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</si>
  <si>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</si>
  <si>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</si>
  <si>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</si>
  <si>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</si>
  <si>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</si>
  <si>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</si>
  <si>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</si>
  <si>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</si>
  <si>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</si>
  <si>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</si>
  <si>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</si>
  <si>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</si>
  <si>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</si>
  <si>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</si>
  <si>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</si>
  <si>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</si>
  <si>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</si>
  <si>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</si>
  <si>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</si>
  <si>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</si>
  <si>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</si>
  <si>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</si>
  <si>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</si>
  <si>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</si>
  <si>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</si>
  <si>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</si>
  <si>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</si>
  <si>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</si>
  <si>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</si>
  <si>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</si>
  <si>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</si>
  <si>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</si>
  <si>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</si>
  <si>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</si>
  <si>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</si>
  <si>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</si>
  <si>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</si>
  <si>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</si>
  <si>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</si>
  <si>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</si>
  <si>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</si>
  <si>
    <t>2019-01-19.xlsm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</si>
</sst>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だいち!$K$2:$K$137</c:f>
              <c:numCache>
                <c:formatCode>\+0;\-0;\±0</c:formatCode>
                <c:ptCount val="13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9-4664-B862-950F877EE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1409.9236641221373</c:v>
                </c:pt>
                <c:pt idx="1">
                  <c:v>1593.6</c:v>
                </c:pt>
                <c:pt idx="2">
                  <c:v>993.04347826086962</c:v>
                </c:pt>
                <c:pt idx="3">
                  <c:v>1945.0980392156862</c:v>
                </c:pt>
                <c:pt idx="4">
                  <c:v>207.22891566265059</c:v>
                </c:pt>
                <c:pt idx="5">
                  <c:v>262.29508196721309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81-4697-A1E2-4427A53D8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1A-45F7-91B6-2495C8BAD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CF-41AC-A354-48E0C0843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9D-48F2-BD78-A0C539D19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1-48E6-A839-BF6EA9A2A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りくと!$K$2:$K$98</c:f>
              <c:numCache>
                <c:formatCode>\+0;\-0;\±0</c:formatCode>
                <c:ptCount val="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B-445D-A107-41863FA7E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-746.80851063829789</c:v>
                </c:pt>
                <c:pt idx="1">
                  <c:v>-1688.8888888888889</c:v>
                </c:pt>
                <c:pt idx="2">
                  <c:v>2085.0574712643679</c:v>
                </c:pt>
                <c:pt idx="3">
                  <c:v>-2153.2467532467531</c:v>
                </c:pt>
                <c:pt idx="4">
                  <c:v>-1843.5483870967741</c:v>
                </c:pt>
                <c:pt idx="5">
                  <c:v>-2087.2340425531916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19-431D-813C-51A59AE18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AC-46C5-A45D-3FC9A0C8B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00-441D-80C9-A37F5066E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E8-45D5-B7FD-78F0A8AD5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4-49B1-9104-8CA94E051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たかの!$K$2:$K$49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6-4605-AC3F-3337BA500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-2706.3829787234044</c:v>
                </c:pt>
                <c:pt idx="1">
                  <c:v>-2675</c:v>
                </c:pt>
                <c:pt idx="2">
                  <c:v>-994.73684210526312</c:v>
                </c:pt>
                <c:pt idx="3">
                  <c:v>1694.4444444444443</c:v>
                </c:pt>
                <c:pt idx="4">
                  <c:v>-2866.6666666666665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55-4616-B582-B0040E32F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2-4CAF-97C3-5B1581774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F-4F01-97C4-B89E35152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0C-44A5-97B5-63411ACA8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46-4463-96F0-08B3B5544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FC-4280-A1F5-8BB1E1335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-2541.6666666666665</c:v>
                </c:pt>
                <c:pt idx="1">
                  <c:v>-1775</c:v>
                </c:pt>
                <c:pt idx="2">
                  <c:v>-3437.7777777777778</c:v>
                </c:pt>
                <c:pt idx="3">
                  <c:v>-392.6829268292683</c:v>
                </c:pt>
                <c:pt idx="4">
                  <c:v>-1064.8648648648648</c:v>
                </c:pt>
                <c:pt idx="5">
                  <c:v>3825.9259259259261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D-4F23-906E-95C6BE1CA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71-4BD7-849F-9A6100BF7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86-4F39-809D-17D5CD2DA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FC-4E03-8112-E1ECACABF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-685.71428571428567</c:v>
                </c:pt>
                <c:pt idx="1">
                  <c:v>6071.4285714285716</c:v>
                </c:pt>
                <c:pt idx="2">
                  <c:v>540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5-4908-B6F9-2D2B8EA69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F776C8-084C-4E7C-BBE5-58737D161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C96931-AE76-4DD0-AA06-408943B90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337973-F7A4-4985-9096-36ABD8121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62DBD96-D497-44AF-9A9B-D936EC511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9E86E55-1852-4892-AF6F-A94FB25E9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AE02EA-F122-4D35-BB1A-2822DC590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336E68-834C-4FE0-A89F-6910AD6E3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7028CD-84BF-4D3E-B754-A8B8FF826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C5712C-C6F0-4E57-AF90-5EEC31D2D3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FAA3C8-D68A-42B0-8FB2-C22486E48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2FFC9E-E21A-4D12-938D-14CABADF7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CED430-D46A-46F1-9F28-A721E4487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95DD9D-B339-41A2-B429-9040EF11D3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A317363-8C98-4A2F-8917-040C908B1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FE0D31-FE7B-485A-8C3E-11E8F3371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01AFEB-F300-4AAA-9313-A05D50D84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5F2283-24A1-4813-BF06-6FC9F7317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BA979C-22CD-4A2C-BA5F-C7D2BEFB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59CEDF-AB16-464D-B027-6656244FD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9CE563-ADB1-43CE-9D66-28147055F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B605B9-671E-455E-A629-9CE8B774B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23C944-6193-4D1A-BABB-6CB9E2A13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3137F7-8F93-4566-B8EC-77C40F922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1145A3-CA97-4664-B506-1F45837F8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I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77" customWidth="1"/>
    <col min="34" max="34" width="10.75" style="1" customWidth="1"/>
    <col min="35" max="35" width="10.75" style="81" customWidth="1"/>
    <col min="36" max="16384" width="9" style="4"/>
  </cols>
  <sheetData>
    <row r="1" spans="1:35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200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188</v>
      </c>
      <c r="AE1" s="85"/>
      <c r="AF1" s="84" t="s">
        <v>211</v>
      </c>
      <c r="AG1" s="85"/>
      <c r="AH1" s="84" t="s">
        <v>212</v>
      </c>
      <c r="AI1" s="85"/>
    </row>
    <row r="2" spans="1:35" x14ac:dyDescent="0.4">
      <c r="A2" s="8">
        <v>1</v>
      </c>
      <c r="B2" s="9" t="s">
        <v>137</v>
      </c>
      <c r="C2" s="11">
        <v>765.70000000000016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11308.152173913044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203</v>
      </c>
      <c r="Y2" s="15">
        <v>0.47916666666666669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202</v>
      </c>
      <c r="AE2" s="15">
        <v>0.46666666666666667</v>
      </c>
      <c r="AF2" s="10" t="s">
        <v>137</v>
      </c>
      <c r="AG2" s="76">
        <v>10</v>
      </c>
      <c r="AH2" s="10" t="s">
        <v>160</v>
      </c>
      <c r="AI2" s="80">
        <v>5</v>
      </c>
    </row>
    <row r="3" spans="1:35" x14ac:dyDescent="0.4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0.3574338085539715</v>
      </c>
      <c r="L3" s="1" t="s">
        <v>139</v>
      </c>
      <c r="M3" s="16">
        <v>0.125</v>
      </c>
      <c r="N3" s="1" t="s">
        <v>149</v>
      </c>
      <c r="O3" s="2">
        <v>10903.27868852459</v>
      </c>
      <c r="P3" s="1" t="s">
        <v>203</v>
      </c>
      <c r="Q3" s="2">
        <v>-6914.2857142857147</v>
      </c>
      <c r="R3" s="1" t="s">
        <v>202</v>
      </c>
      <c r="S3" s="18">
        <v>0</v>
      </c>
      <c r="T3" s="1" t="s">
        <v>137</v>
      </c>
      <c r="U3" s="18">
        <v>0.23703703703703705</v>
      </c>
      <c r="V3" s="1" t="s">
        <v>202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0.48695652173913045</v>
      </c>
      <c r="AD3" s="1" t="s">
        <v>145</v>
      </c>
      <c r="AE3" s="16">
        <v>0.46153846153846156</v>
      </c>
      <c r="AF3" s="1" t="s">
        <v>141</v>
      </c>
      <c r="AG3" s="77">
        <v>10</v>
      </c>
      <c r="AH3" s="1" t="s">
        <v>141</v>
      </c>
      <c r="AI3" s="81">
        <v>4</v>
      </c>
    </row>
    <row r="4" spans="1:35" x14ac:dyDescent="0.4">
      <c r="A4" s="7">
        <v>3</v>
      </c>
      <c r="B4" s="6" t="s">
        <v>149</v>
      </c>
      <c r="C4" s="3">
        <v>166.69999999999996</v>
      </c>
      <c r="D4" s="1" t="s">
        <v>137</v>
      </c>
      <c r="E4" s="3">
        <v>5.6718518518518533</v>
      </c>
      <c r="F4" s="1" t="s">
        <v>137</v>
      </c>
      <c r="G4" s="5">
        <v>1.8296296296296297</v>
      </c>
      <c r="H4" s="1" t="s">
        <v>137</v>
      </c>
      <c r="I4" s="18">
        <v>0.4148148148148148</v>
      </c>
      <c r="J4" s="1" t="s">
        <v>142</v>
      </c>
      <c r="K4" s="16">
        <v>0.35276967930029157</v>
      </c>
      <c r="L4" s="1" t="s">
        <v>156</v>
      </c>
      <c r="M4" s="16">
        <v>0.13414634146341464</v>
      </c>
      <c r="N4" s="1" t="s">
        <v>156</v>
      </c>
      <c r="O4" s="2">
        <v>10857.142857142857</v>
      </c>
      <c r="P4" s="1" t="s">
        <v>138</v>
      </c>
      <c r="Q4" s="2">
        <v>-8240</v>
      </c>
      <c r="R4" s="1" t="s">
        <v>142</v>
      </c>
      <c r="S4" s="18">
        <v>0.125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0.28000000000000003</v>
      </c>
      <c r="Z4" s="1" t="s">
        <v>137</v>
      </c>
      <c r="AA4" s="16">
        <v>0.67785234899328861</v>
      </c>
      <c r="AB4" s="1" t="s">
        <v>203</v>
      </c>
      <c r="AC4" s="16">
        <v>0.43478260869565216</v>
      </c>
      <c r="AD4" s="1" t="s">
        <v>156</v>
      </c>
      <c r="AE4" s="16">
        <v>0.45454545454545453</v>
      </c>
      <c r="AF4" s="1" t="s">
        <v>149</v>
      </c>
      <c r="AG4" s="77">
        <v>9</v>
      </c>
      <c r="AH4" s="1" t="s">
        <v>149</v>
      </c>
      <c r="AI4" s="81">
        <v>3</v>
      </c>
    </row>
    <row r="5" spans="1:35" x14ac:dyDescent="0.4">
      <c r="A5" s="7">
        <v>4</v>
      </c>
      <c r="B5" s="6" t="s">
        <v>202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203</v>
      </c>
      <c r="M5" s="16">
        <v>0.14583333333333334</v>
      </c>
      <c r="N5" s="1" t="s">
        <v>160</v>
      </c>
      <c r="O5" s="2">
        <v>10749.557522123894</v>
      </c>
      <c r="P5" s="1" t="s">
        <v>148</v>
      </c>
      <c r="Q5" s="2">
        <v>-8580</v>
      </c>
      <c r="R5" s="1" t="s">
        <v>137</v>
      </c>
      <c r="S5" s="18">
        <v>0.12592592592592591</v>
      </c>
      <c r="T5" s="1" t="s">
        <v>202</v>
      </c>
      <c r="U5" s="18">
        <v>0.2</v>
      </c>
      <c r="V5" s="1" t="s">
        <v>160</v>
      </c>
      <c r="W5" s="16">
        <v>0.29775280898876405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160</v>
      </c>
      <c r="AC5" s="16">
        <v>0.38961038961038963</v>
      </c>
      <c r="AD5" s="1" t="s">
        <v>137</v>
      </c>
      <c r="AE5" s="16">
        <v>0.4207492795389049</v>
      </c>
      <c r="AF5" s="1" t="s">
        <v>160</v>
      </c>
      <c r="AG5" s="77">
        <v>7</v>
      </c>
      <c r="AH5" s="1" t="s">
        <v>137</v>
      </c>
      <c r="AI5" s="81">
        <v>1</v>
      </c>
    </row>
    <row r="6" spans="1:35" x14ac:dyDescent="0.4">
      <c r="A6" s="7">
        <v>5</v>
      </c>
      <c r="B6" s="6" t="s">
        <v>156</v>
      </c>
      <c r="C6" s="3">
        <v>80.800000000000011</v>
      </c>
      <c r="D6" s="1" t="s">
        <v>203</v>
      </c>
      <c r="E6" s="3">
        <v>3.8857142857142861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137</v>
      </c>
      <c r="M6" s="16">
        <v>0.15376782077393075</v>
      </c>
      <c r="N6" s="1" t="s">
        <v>203</v>
      </c>
      <c r="O6" s="2">
        <v>10354.545454545454</v>
      </c>
      <c r="P6" s="1" t="s">
        <v>142</v>
      </c>
      <c r="Q6" s="2">
        <v>-8954.7169811320746</v>
      </c>
      <c r="R6" s="1" t="s">
        <v>203</v>
      </c>
      <c r="S6" s="18">
        <v>0.14285714285714285</v>
      </c>
      <c r="T6" s="1" t="s">
        <v>149</v>
      </c>
      <c r="U6" s="18">
        <v>0.19607843137254902</v>
      </c>
      <c r="V6" s="1" t="s">
        <v>137</v>
      </c>
      <c r="W6" s="16">
        <v>0.28709055876685935</v>
      </c>
      <c r="X6" s="1" t="s">
        <v>137</v>
      </c>
      <c r="Y6" s="16">
        <v>0.22157996146435452</v>
      </c>
      <c r="Z6" s="1" t="s">
        <v>202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  <c r="AF6" s="1" t="s">
        <v>142</v>
      </c>
      <c r="AG6" s="77">
        <v>6</v>
      </c>
      <c r="AH6" s="1" t="s">
        <v>142</v>
      </c>
      <c r="AI6" s="81">
        <v>1</v>
      </c>
    </row>
    <row r="7" spans="1:35" x14ac:dyDescent="0.4">
      <c r="A7" s="7">
        <v>6</v>
      </c>
      <c r="B7" s="6" t="s">
        <v>203</v>
      </c>
      <c r="C7" s="3">
        <v>27.200000000000003</v>
      </c>
      <c r="D7" s="1" t="s">
        <v>149</v>
      </c>
      <c r="E7" s="3">
        <v>3.2686274509803912</v>
      </c>
      <c r="F7" s="1" t="s">
        <v>141</v>
      </c>
      <c r="G7" s="5">
        <v>2.1041666666666665</v>
      </c>
      <c r="H7" s="1" t="s">
        <v>141</v>
      </c>
      <c r="I7" s="18">
        <v>0.30208333333333331</v>
      </c>
      <c r="J7" s="1" t="s">
        <v>160</v>
      </c>
      <c r="K7" s="16">
        <v>0.2875318066157761</v>
      </c>
      <c r="L7" s="1" t="s">
        <v>142</v>
      </c>
      <c r="M7" s="16">
        <v>0.15451895043731778</v>
      </c>
      <c r="N7" s="1" t="s">
        <v>137</v>
      </c>
      <c r="O7" s="2">
        <v>9981.4814814814818</v>
      </c>
      <c r="P7" s="1" t="s">
        <v>137</v>
      </c>
      <c r="Q7" s="2">
        <v>-9634.4370860927156</v>
      </c>
      <c r="R7" s="1" t="s">
        <v>149</v>
      </c>
      <c r="S7" s="18">
        <v>0.15686274509803921</v>
      </c>
      <c r="T7" s="1" t="s">
        <v>142</v>
      </c>
      <c r="U7" s="18">
        <v>0.1875</v>
      </c>
      <c r="V7" s="1" t="s">
        <v>141</v>
      </c>
      <c r="W7" s="16">
        <v>0.2813852813852814</v>
      </c>
      <c r="X7" s="1" t="s">
        <v>160</v>
      </c>
      <c r="Y7" s="16">
        <v>0.21629213483146068</v>
      </c>
      <c r="Z7" s="1" t="s">
        <v>160</v>
      </c>
      <c r="AA7" s="16">
        <v>0.58490566037735847</v>
      </c>
      <c r="AB7" s="1" t="s">
        <v>142</v>
      </c>
      <c r="AC7" s="16">
        <v>0.38235294117647056</v>
      </c>
      <c r="AD7" s="1" t="s">
        <v>142</v>
      </c>
      <c r="AE7" s="16">
        <v>0.36</v>
      </c>
      <c r="AF7" s="1" t="s">
        <v>148</v>
      </c>
      <c r="AG7" s="77">
        <v>5</v>
      </c>
      <c r="AH7" s="1" t="s">
        <v>148</v>
      </c>
      <c r="AI7" s="81">
        <v>1</v>
      </c>
    </row>
    <row r="8" spans="1:35" x14ac:dyDescent="0.4">
      <c r="A8" s="7">
        <v>7</v>
      </c>
      <c r="B8" s="6" t="s">
        <v>139</v>
      </c>
      <c r="C8" s="3">
        <v>-26.5</v>
      </c>
      <c r="D8" s="1" t="s">
        <v>141</v>
      </c>
      <c r="E8" s="3">
        <v>-3.96875</v>
      </c>
      <c r="F8" s="1" t="s">
        <v>203</v>
      </c>
      <c r="G8" s="5">
        <v>2.1428571428571428</v>
      </c>
      <c r="H8" s="1" t="s">
        <v>160</v>
      </c>
      <c r="I8" s="18">
        <v>0.23076923076923078</v>
      </c>
      <c r="J8" s="1" t="s">
        <v>145</v>
      </c>
      <c r="K8" s="16">
        <v>0.27027027027027029</v>
      </c>
      <c r="L8" s="1" t="s">
        <v>149</v>
      </c>
      <c r="M8" s="16">
        <v>0.1641025641025641</v>
      </c>
      <c r="N8" s="1" t="s">
        <v>148</v>
      </c>
      <c r="O8" s="2">
        <v>9814.1304347826081</v>
      </c>
      <c r="P8" s="1" t="s">
        <v>149</v>
      </c>
      <c r="Q8" s="2">
        <v>-9809.375</v>
      </c>
      <c r="R8" s="1" t="s">
        <v>148</v>
      </c>
      <c r="S8" s="18">
        <v>0.21276595744680851</v>
      </c>
      <c r="T8" s="1" t="s">
        <v>148</v>
      </c>
      <c r="U8" s="18">
        <v>0.14893617021276595</v>
      </c>
      <c r="V8" s="1" t="s">
        <v>145</v>
      </c>
      <c r="W8" s="16">
        <v>0.25806451612903225</v>
      </c>
      <c r="X8" s="1" t="s">
        <v>141</v>
      </c>
      <c r="Y8" s="16">
        <v>0.18831168831168832</v>
      </c>
      <c r="Z8" s="1" t="s">
        <v>141</v>
      </c>
      <c r="AA8" s="16">
        <v>0.56153846153846154</v>
      </c>
      <c r="AB8" s="1" t="s">
        <v>141</v>
      </c>
      <c r="AC8" s="16">
        <v>0.36781609195402298</v>
      </c>
      <c r="AD8" s="1" t="s">
        <v>148</v>
      </c>
      <c r="AE8" s="16">
        <v>0.35643564356435642</v>
      </c>
      <c r="AF8" s="1" t="s">
        <v>202</v>
      </c>
      <c r="AG8" s="77">
        <v>5</v>
      </c>
      <c r="AH8" s="1" t="s">
        <v>138</v>
      </c>
      <c r="AI8" s="81">
        <v>0</v>
      </c>
    </row>
    <row r="9" spans="1:35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-6.2489361702127662</v>
      </c>
      <c r="F9" s="1" t="s">
        <v>148</v>
      </c>
      <c r="G9" s="5">
        <v>2.1702127659574466</v>
      </c>
      <c r="H9" s="1" t="s">
        <v>148</v>
      </c>
      <c r="I9" s="18">
        <v>0.21276595744680851</v>
      </c>
      <c r="J9" s="1" t="s">
        <v>141</v>
      </c>
      <c r="K9" s="16">
        <v>0.2544951590594744</v>
      </c>
      <c r="L9" s="1" t="s">
        <v>141</v>
      </c>
      <c r="M9" s="16">
        <v>0.19502074688796681</v>
      </c>
      <c r="N9" s="1" t="s">
        <v>142</v>
      </c>
      <c r="O9" s="2">
        <v>9616.5289256198339</v>
      </c>
      <c r="P9" s="1" t="s">
        <v>156</v>
      </c>
      <c r="Q9" s="2">
        <v>-9927.2727272727279</v>
      </c>
      <c r="R9" s="1" t="s">
        <v>141</v>
      </c>
      <c r="S9" s="18">
        <v>0.22916666666666666</v>
      </c>
      <c r="T9" s="1" t="s">
        <v>141</v>
      </c>
      <c r="U9" s="18">
        <v>0.14583333333333334</v>
      </c>
      <c r="V9" s="1" t="s">
        <v>148</v>
      </c>
      <c r="W9" s="16">
        <v>0.22285714285714286</v>
      </c>
      <c r="X9" s="1" t="s">
        <v>145</v>
      </c>
      <c r="Y9" s="16">
        <v>0.16129032258064516</v>
      </c>
      <c r="Z9" s="1" t="s">
        <v>148</v>
      </c>
      <c r="AA9" s="16">
        <v>0.35897435897435898</v>
      </c>
      <c r="AB9" s="1" t="s">
        <v>148</v>
      </c>
      <c r="AC9" s="16">
        <v>0.36734693877551022</v>
      </c>
      <c r="AD9" s="1" t="s">
        <v>160</v>
      </c>
      <c r="AE9" s="16">
        <v>0.32800000000000001</v>
      </c>
      <c r="AF9" s="1" t="s">
        <v>203</v>
      </c>
      <c r="AG9" s="77">
        <v>5</v>
      </c>
      <c r="AH9" s="1" t="s">
        <v>139</v>
      </c>
      <c r="AI9" s="81">
        <v>0</v>
      </c>
    </row>
    <row r="10" spans="1:35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-8.1999999999999993</v>
      </c>
      <c r="F10" s="1" t="s">
        <v>145</v>
      </c>
      <c r="G10" s="5">
        <v>2.2000000000000002</v>
      </c>
      <c r="H10" s="1" t="s">
        <v>145</v>
      </c>
      <c r="I10" s="18">
        <v>0.2</v>
      </c>
      <c r="J10" s="1" t="s">
        <v>148</v>
      </c>
      <c r="K10" s="16">
        <v>0.2541436464088398</v>
      </c>
      <c r="L10" s="1" t="s">
        <v>148</v>
      </c>
      <c r="M10" s="16">
        <v>0.20718232044198895</v>
      </c>
      <c r="N10" s="1" t="s">
        <v>202</v>
      </c>
      <c r="O10" s="2">
        <v>9227.7777777777774</v>
      </c>
      <c r="P10" s="1" t="s">
        <v>141</v>
      </c>
      <c r="Q10" s="2">
        <v>-10026.950354609929</v>
      </c>
      <c r="R10" s="1" t="s">
        <v>160</v>
      </c>
      <c r="S10" s="18">
        <v>0.23076923076923078</v>
      </c>
      <c r="T10" s="1" t="s">
        <v>203</v>
      </c>
      <c r="U10" s="18">
        <v>0.14285714285714285</v>
      </c>
      <c r="V10" s="1" t="s">
        <v>142</v>
      </c>
      <c r="W10" s="16">
        <v>0.20952380952380953</v>
      </c>
      <c r="X10" s="1" t="s">
        <v>202</v>
      </c>
      <c r="Y10" s="16">
        <v>0.13043478260869565</v>
      </c>
      <c r="Z10" s="1" t="s">
        <v>203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0.30530973451327431</v>
      </c>
      <c r="AF10" s="1" t="s">
        <v>145</v>
      </c>
      <c r="AG10" s="77">
        <v>3</v>
      </c>
      <c r="AH10" s="1" t="s">
        <v>145</v>
      </c>
      <c r="AI10" s="81">
        <v>0</v>
      </c>
    </row>
    <row r="11" spans="1:35" x14ac:dyDescent="0.4">
      <c r="A11" s="7">
        <v>10</v>
      </c>
      <c r="B11" s="6" t="s">
        <v>148</v>
      </c>
      <c r="C11" s="3">
        <v>-293.7</v>
      </c>
      <c r="D11" s="1" t="s">
        <v>139</v>
      </c>
      <c r="E11" s="3">
        <v>-8.8333333333333339</v>
      </c>
      <c r="F11" s="1" t="s">
        <v>160</v>
      </c>
      <c r="G11" s="5">
        <v>2.2307692307692308</v>
      </c>
      <c r="H11" s="1" t="s">
        <v>203</v>
      </c>
      <c r="I11" s="18">
        <v>0.14285714285714285</v>
      </c>
      <c r="J11" s="1" t="s">
        <v>203</v>
      </c>
      <c r="K11" s="16">
        <v>0.22916666666666666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160</v>
      </c>
      <c r="Q11" s="2">
        <v>-10037.234042553191</v>
      </c>
      <c r="R11" s="1" t="s">
        <v>156</v>
      </c>
      <c r="S11" s="18">
        <v>0.25</v>
      </c>
      <c r="T11" s="1" t="s">
        <v>160</v>
      </c>
      <c r="U11" s="18">
        <v>9.6153846153846159E-2</v>
      </c>
      <c r="V11" s="1" t="s">
        <v>203</v>
      </c>
      <c r="W11" s="16">
        <v>6.25E-2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203</v>
      </c>
      <c r="AE11" s="16">
        <v>0.18181818181818182</v>
      </c>
      <c r="AF11" s="1" t="s">
        <v>139</v>
      </c>
      <c r="AG11" s="77">
        <v>2</v>
      </c>
      <c r="AH11" s="1" t="s">
        <v>156</v>
      </c>
      <c r="AI11" s="81">
        <v>0</v>
      </c>
    </row>
    <row r="12" spans="1:35" x14ac:dyDescent="0.4">
      <c r="A12" s="7">
        <v>11</v>
      </c>
      <c r="B12" s="6" t="s">
        <v>141</v>
      </c>
      <c r="C12" s="3">
        <v>-381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0.23918575063613232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138</v>
      </c>
      <c r="AG12" s="77">
        <v>0</v>
      </c>
      <c r="AH12" s="1" t="s">
        <v>202</v>
      </c>
      <c r="AI12" s="81">
        <v>0</v>
      </c>
    </row>
    <row r="13" spans="1:35" x14ac:dyDescent="0.4">
      <c r="A13" s="7">
        <v>12</v>
      </c>
      <c r="B13" s="6" t="s">
        <v>160</v>
      </c>
      <c r="C13" s="3">
        <v>-426.39999999999992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7">
        <v>0</v>
      </c>
      <c r="AH13" s="1" t="s">
        <v>203</v>
      </c>
      <c r="AI13" s="81">
        <v>0</v>
      </c>
    </row>
  </sheetData>
  <sortState ref="AH2:AI29">
    <sortCondition descending="1" ref="AI1"/>
  </sortState>
  <mergeCells count="17">
    <mergeCell ref="AH1:AI1"/>
    <mergeCell ref="AF1:AG1"/>
    <mergeCell ref="AD1:AE1"/>
    <mergeCell ref="AB1:AC1"/>
    <mergeCell ref="D1:E1"/>
    <mergeCell ref="R1:S1"/>
    <mergeCell ref="V1:W1"/>
    <mergeCell ref="X1:Y1"/>
    <mergeCell ref="Z1:AA1"/>
    <mergeCell ref="T1:U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613</v>
      </c>
    </row>
    <row r="2" spans="1:7" x14ac:dyDescent="0.4">
      <c r="A2" s="67" t="s">
        <v>73</v>
      </c>
      <c r="B2" s="63" t="s">
        <v>27</v>
      </c>
      <c r="C2" s="49">
        <v>552</v>
      </c>
      <c r="D2" s="24">
        <f>IF(G$1=0,0,C2/G$1)</f>
        <v>0.90048939641109293</v>
      </c>
    </row>
    <row r="3" spans="1:7" x14ac:dyDescent="0.4">
      <c r="A3" s="68" t="s">
        <v>71</v>
      </c>
      <c r="B3" s="64" t="s">
        <v>25</v>
      </c>
      <c r="C3" s="50">
        <v>453</v>
      </c>
      <c r="D3" s="27">
        <f>IF(G$1=0,0,C3/G$1)</f>
        <v>0.73898858075040785</v>
      </c>
    </row>
    <row r="4" spans="1:7" x14ac:dyDescent="0.4">
      <c r="A4" s="68" t="s">
        <v>78</v>
      </c>
      <c r="B4" s="64" t="s">
        <v>31</v>
      </c>
      <c r="C4" s="50">
        <v>371</v>
      </c>
      <c r="D4" s="27">
        <f>IF(G$1=0,0,C4/G$1)</f>
        <v>0.6052202283849919</v>
      </c>
    </row>
    <row r="5" spans="1:7" x14ac:dyDescent="0.4">
      <c r="A5" s="68" t="s">
        <v>208</v>
      </c>
      <c r="B5" s="64" t="s">
        <v>23</v>
      </c>
      <c r="C5" s="50">
        <v>329</v>
      </c>
      <c r="D5" s="27">
        <f>IF(G$1=0,0,C5/G$1)</f>
        <v>0.5367047308319739</v>
      </c>
    </row>
    <row r="6" spans="1:7" x14ac:dyDescent="0.4">
      <c r="A6" s="68" t="s">
        <v>72</v>
      </c>
      <c r="B6" s="64" t="s">
        <v>26</v>
      </c>
      <c r="C6" s="50">
        <v>176</v>
      </c>
      <c r="D6" s="27">
        <f>IF(G$1=0,0,C6/G$1)</f>
        <v>0.28711256117455136</v>
      </c>
    </row>
    <row r="7" spans="1:7" x14ac:dyDescent="0.4">
      <c r="A7" s="68" t="s">
        <v>74</v>
      </c>
      <c r="B7" s="64" t="s">
        <v>204</v>
      </c>
      <c r="C7" s="50">
        <v>172</v>
      </c>
      <c r="D7" s="27">
        <f>IF(G$1=0,0,C7/G$1)</f>
        <v>0.2805872756933116</v>
      </c>
    </row>
    <row r="8" spans="1:7" x14ac:dyDescent="0.4">
      <c r="A8" s="68" t="s">
        <v>75</v>
      </c>
      <c r="B8" s="64" t="s">
        <v>28</v>
      </c>
      <c r="C8" s="50">
        <v>93</v>
      </c>
      <c r="D8" s="27">
        <f>IF(G$1=0,0,C8/G$1)</f>
        <v>0.15171288743882544</v>
      </c>
    </row>
    <row r="9" spans="1:7" x14ac:dyDescent="0.4">
      <c r="A9" s="68" t="s">
        <v>96</v>
      </c>
      <c r="B9" s="64" t="s">
        <v>49</v>
      </c>
      <c r="C9" s="50">
        <v>87</v>
      </c>
      <c r="D9" s="27">
        <f>IF(G$1=0,0,C9/G$1)</f>
        <v>0.14192495921696574</v>
      </c>
    </row>
    <row r="10" spans="1:7" x14ac:dyDescent="0.4">
      <c r="A10" s="68" t="s">
        <v>209</v>
      </c>
      <c r="B10" s="64" t="s">
        <v>24</v>
      </c>
      <c r="C10" s="50">
        <v>68</v>
      </c>
      <c r="D10" s="27">
        <f>IF(G$1=0,0,C10/G$1)</f>
        <v>0.11092985318107668</v>
      </c>
    </row>
    <row r="11" spans="1:7" x14ac:dyDescent="0.4">
      <c r="A11" s="68" t="s">
        <v>76</v>
      </c>
      <c r="B11" s="64" t="s">
        <v>29</v>
      </c>
      <c r="C11" s="50">
        <v>66</v>
      </c>
      <c r="D11" s="27">
        <f>IF(G$1=0,0,C11/G$1)</f>
        <v>0.10766721044045677</v>
      </c>
    </row>
    <row r="12" spans="1:7" x14ac:dyDescent="0.4">
      <c r="A12" s="68" t="s">
        <v>93</v>
      </c>
      <c r="B12" s="64" t="s">
        <v>46</v>
      </c>
      <c r="C12" s="50">
        <v>46</v>
      </c>
      <c r="D12" s="27">
        <f>IF(G$1=0,0,C12/G$1)</f>
        <v>7.5040783034257749E-2</v>
      </c>
    </row>
    <row r="13" spans="1:7" x14ac:dyDescent="0.4">
      <c r="A13" s="68" t="s">
        <v>90</v>
      </c>
      <c r="B13" s="64" t="s">
        <v>43</v>
      </c>
      <c r="C13" s="50">
        <v>30</v>
      </c>
      <c r="D13" s="27">
        <f>IF(G$1=0,0,C13/G$1)</f>
        <v>4.8939641109298535E-2</v>
      </c>
    </row>
    <row r="14" spans="1:7" x14ac:dyDescent="0.4">
      <c r="A14" s="68" t="s">
        <v>77</v>
      </c>
      <c r="B14" s="64" t="s">
        <v>30</v>
      </c>
      <c r="C14" s="50">
        <v>29</v>
      </c>
      <c r="D14" s="27">
        <f>IF(G$1=0,0,C14/G$1)</f>
        <v>4.730831973898858E-2</v>
      </c>
    </row>
    <row r="15" spans="1:7" x14ac:dyDescent="0.4">
      <c r="A15" s="68" t="s">
        <v>84</v>
      </c>
      <c r="B15" s="64" t="s">
        <v>37</v>
      </c>
      <c r="C15" s="50">
        <v>17</v>
      </c>
      <c r="D15" s="27">
        <f>IF(G$1=0,0,C15/G$1)</f>
        <v>2.7732463295269169E-2</v>
      </c>
    </row>
    <row r="16" spans="1:7" x14ac:dyDescent="0.4">
      <c r="A16" s="68" t="s">
        <v>88</v>
      </c>
      <c r="B16" s="64" t="s">
        <v>41</v>
      </c>
      <c r="C16" s="50">
        <v>16</v>
      </c>
      <c r="D16" s="27">
        <f>IF(G$1=0,0,C16/G$1)</f>
        <v>2.6101141924959218E-2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1.794453507340946E-2</v>
      </c>
    </row>
    <row r="18" spans="1:4" x14ac:dyDescent="0.4">
      <c r="A18" s="68" t="s">
        <v>85</v>
      </c>
      <c r="B18" s="64" t="s">
        <v>38</v>
      </c>
      <c r="C18" s="50">
        <v>9</v>
      </c>
      <c r="D18" s="27">
        <f>IF(G$1=0,0,C18/G$1)</f>
        <v>1.468189233278956E-2</v>
      </c>
    </row>
    <row r="19" spans="1:4" x14ac:dyDescent="0.4">
      <c r="A19" s="68" t="s">
        <v>79</v>
      </c>
      <c r="B19" s="64" t="s">
        <v>32</v>
      </c>
      <c r="C19" s="50">
        <v>6</v>
      </c>
      <c r="D19" s="27">
        <f>IF(G$1=0,0,C19/G$1)</f>
        <v>9.7879282218597055E-3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6.5252854812398045E-3</v>
      </c>
    </row>
    <row r="21" spans="1:4" x14ac:dyDescent="0.4">
      <c r="A21" s="68" t="s">
        <v>81</v>
      </c>
      <c r="B21" s="64" t="s">
        <v>34</v>
      </c>
      <c r="C21" s="50">
        <v>4</v>
      </c>
      <c r="D21" s="27">
        <f>IF(G$1=0,0,C21/G$1)</f>
        <v>6.5252854812398045E-3</v>
      </c>
    </row>
    <row r="22" spans="1:4" x14ac:dyDescent="0.4">
      <c r="A22" s="68" t="s">
        <v>99</v>
      </c>
      <c r="B22" s="64" t="s">
        <v>52</v>
      </c>
      <c r="C22" s="50">
        <v>4</v>
      </c>
      <c r="D22" s="27">
        <f>IF(G$1=0,0,C22/G$1)</f>
        <v>6.5252854812398045E-3</v>
      </c>
    </row>
    <row r="23" spans="1:4" x14ac:dyDescent="0.4">
      <c r="A23" s="68" t="s">
        <v>83</v>
      </c>
      <c r="B23" s="64" t="s">
        <v>36</v>
      </c>
      <c r="C23" s="50">
        <v>4</v>
      </c>
      <c r="D23" s="27">
        <f>IF(G$1=0,0,C23/G$1)</f>
        <v>6.5252854812398045E-3</v>
      </c>
    </row>
    <row r="24" spans="1:4" x14ac:dyDescent="0.4">
      <c r="A24" s="68" t="s">
        <v>91</v>
      </c>
      <c r="B24" s="64" t="s">
        <v>44</v>
      </c>
      <c r="C24" s="50">
        <v>3</v>
      </c>
      <c r="D24" s="27">
        <f>IF(G$1=0,0,C24/G$1)</f>
        <v>4.8939641109298528E-3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3.2626427406199023E-3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1.6313213703099511E-3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1.6313213703099511E-3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1.6313213703099511E-3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1.6313213703099511E-3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1.6313213703099511E-3</v>
      </c>
    </row>
    <row r="31" spans="1:4" x14ac:dyDescent="0.4">
      <c r="A31" s="68" t="s">
        <v>113</v>
      </c>
      <c r="B31" s="64" t="s">
        <v>206</v>
      </c>
      <c r="C31" s="50">
        <v>1</v>
      </c>
      <c r="D31" s="27">
        <f>IF(G$1=0,0,C31/G$1)</f>
        <v>1.6313213703099511E-3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205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207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23AF-6F7A-45F6-9568-CC0AF7253A73}">
  <sheetPr codeName="Sheet4"/>
  <dimension ref="A1:P13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178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135</v>
      </c>
      <c r="C2" s="91"/>
      <c r="E2" s="67" t="s">
        <v>73</v>
      </c>
      <c r="F2" s="63" t="s">
        <v>27</v>
      </c>
      <c r="G2" s="49">
        <v>182</v>
      </c>
      <c r="H2" s="24">
        <f>IF(B$25=0,0,G2/B$25)</f>
        <v>0.94791666666666663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1409.9236641221373</v>
      </c>
      <c r="O2" s="41">
        <v>184700</v>
      </c>
      <c r="P2" s="39">
        <v>131</v>
      </c>
    </row>
    <row r="3" spans="1:16" x14ac:dyDescent="0.4">
      <c r="A3" s="58" t="s">
        <v>8</v>
      </c>
      <c r="B3" s="96">
        <v>982</v>
      </c>
      <c r="C3" s="97"/>
      <c r="E3" s="68" t="s">
        <v>71</v>
      </c>
      <c r="F3" s="64" t="s">
        <v>25</v>
      </c>
      <c r="G3" s="50">
        <v>127</v>
      </c>
      <c r="H3" s="27">
        <f>IF(B$25=0,0,G3/B$25)</f>
        <v>0.66145833333333337</v>
      </c>
      <c r="J3" s="26">
        <v>1</v>
      </c>
      <c r="K3" s="28">
        <v>15</v>
      </c>
      <c r="M3" s="26" t="s">
        <v>190</v>
      </c>
      <c r="N3" s="45">
        <f t="shared" si="0"/>
        <v>1593.6</v>
      </c>
      <c r="O3" s="42">
        <v>199200</v>
      </c>
      <c r="P3" s="37">
        <v>125</v>
      </c>
    </row>
    <row r="4" spans="1:16" x14ac:dyDescent="0.4">
      <c r="A4" s="58" t="s">
        <v>6</v>
      </c>
      <c r="B4" s="98">
        <v>765.70000000000016</v>
      </c>
      <c r="C4" s="99"/>
      <c r="E4" s="68" t="s">
        <v>78</v>
      </c>
      <c r="F4" s="64" t="s">
        <v>31</v>
      </c>
      <c r="G4" s="50">
        <v>103</v>
      </c>
      <c r="H4" s="27">
        <f>IF(B$25=0,0,G4/B$25)</f>
        <v>0.53645833333333337</v>
      </c>
      <c r="J4" s="26">
        <v>2</v>
      </c>
      <c r="K4" s="28">
        <v>14</v>
      </c>
      <c r="M4" s="26" t="s">
        <v>191</v>
      </c>
      <c r="N4" s="45">
        <f t="shared" si="0"/>
        <v>993.04347826086962</v>
      </c>
      <c r="O4" s="42">
        <v>114200</v>
      </c>
      <c r="P4" s="37">
        <v>115</v>
      </c>
    </row>
    <row r="5" spans="1:16" x14ac:dyDescent="0.4">
      <c r="A5" s="58" t="s">
        <v>7</v>
      </c>
      <c r="B5" s="98">
        <f>IF(B$2=0,0,B$4/B$2)</f>
        <v>5.6718518518518533</v>
      </c>
      <c r="C5" s="99"/>
      <c r="E5" s="68" t="s">
        <v>69</v>
      </c>
      <c r="F5" s="64" t="s">
        <v>23</v>
      </c>
      <c r="G5" s="50">
        <v>98</v>
      </c>
      <c r="H5" s="27">
        <f>IF(B$25=0,0,G5/B$25)</f>
        <v>0.51041666666666663</v>
      </c>
      <c r="J5" s="26">
        <v>3</v>
      </c>
      <c r="K5" s="28">
        <v>29.1</v>
      </c>
      <c r="M5" s="26" t="s">
        <v>192</v>
      </c>
      <c r="N5" s="45">
        <f t="shared" si="0"/>
        <v>1945.0980392156862</v>
      </c>
      <c r="O5" s="42">
        <v>198400</v>
      </c>
      <c r="P5" s="37">
        <v>102</v>
      </c>
    </row>
    <row r="6" spans="1:16" x14ac:dyDescent="0.4">
      <c r="A6" s="58" t="s">
        <v>1</v>
      </c>
      <c r="B6" s="88">
        <f>IF(B$2=0,0,(B$7*1+B$8*2+B$9*3)/B$2)</f>
        <v>1.8296296296296297</v>
      </c>
      <c r="C6" s="89"/>
      <c r="E6" s="68" t="s">
        <v>74</v>
      </c>
      <c r="F6" s="64" t="s">
        <v>12</v>
      </c>
      <c r="G6" s="50">
        <v>53</v>
      </c>
      <c r="H6" s="27">
        <f>IF(B$25=0,0,G6/B$25)</f>
        <v>0.27604166666666669</v>
      </c>
      <c r="J6" s="26">
        <v>4</v>
      </c>
      <c r="K6" s="28">
        <v>114.30000000000001</v>
      </c>
      <c r="M6" s="26" t="s">
        <v>193</v>
      </c>
      <c r="N6" s="45">
        <f t="shared" si="0"/>
        <v>207.22891566265059</v>
      </c>
      <c r="O6" s="42">
        <v>17200</v>
      </c>
      <c r="P6" s="37">
        <v>83</v>
      </c>
    </row>
    <row r="7" spans="1:16" x14ac:dyDescent="0.4">
      <c r="A7" s="58" t="s">
        <v>2</v>
      </c>
      <c r="B7" s="50">
        <v>56</v>
      </c>
      <c r="C7" s="27">
        <f>IF(B$2=0,0,B7/B$2)</f>
        <v>0.4148148148148148</v>
      </c>
      <c r="E7" s="68" t="s">
        <v>72</v>
      </c>
      <c r="F7" s="64" t="s">
        <v>26</v>
      </c>
      <c r="G7" s="50">
        <v>48</v>
      </c>
      <c r="H7" s="27">
        <f>IF(B$25=0,0,G7/B$25)</f>
        <v>0.25</v>
      </c>
      <c r="J7" s="26">
        <v>5</v>
      </c>
      <c r="K7" s="28">
        <v>145.80000000000001</v>
      </c>
      <c r="M7" s="31" t="s">
        <v>194</v>
      </c>
      <c r="N7" s="46">
        <f t="shared" si="0"/>
        <v>262.29508196721309</v>
      </c>
      <c r="O7" s="43">
        <v>16000</v>
      </c>
      <c r="P7" s="38">
        <v>61</v>
      </c>
    </row>
    <row r="8" spans="1:16" x14ac:dyDescent="0.4">
      <c r="A8" s="58" t="s">
        <v>3</v>
      </c>
      <c r="B8" s="50">
        <v>46</v>
      </c>
      <c r="C8" s="27">
        <f t="shared" ref="C8:C9" si="1">IF(B$2=0,0,B8/B$2)</f>
        <v>0.34074074074074073</v>
      </c>
      <c r="E8" s="68" t="s">
        <v>75</v>
      </c>
      <c r="F8" s="64" t="s">
        <v>28</v>
      </c>
      <c r="G8" s="50">
        <v>31</v>
      </c>
      <c r="H8" s="27">
        <f>IF(B$25=0,0,G8/B$25)</f>
        <v>0.16145833333333334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33</v>
      </c>
      <c r="C9" s="29">
        <f t="shared" si="1"/>
        <v>0.24444444444444444</v>
      </c>
      <c r="E9" s="68" t="s">
        <v>96</v>
      </c>
      <c r="F9" s="64" t="s">
        <v>49</v>
      </c>
      <c r="G9" s="50">
        <v>30</v>
      </c>
      <c r="H9" s="27">
        <f>IF(B$25=0,0,G9/B$25)</f>
        <v>0.15625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0.12592592592592591</v>
      </c>
      <c r="E10" s="68" t="s">
        <v>76</v>
      </c>
      <c r="F10" s="64" t="s">
        <v>29</v>
      </c>
      <c r="G10" s="50">
        <v>18</v>
      </c>
      <c r="H10" s="27">
        <f>IF(B$25=0,0,G10/B$25)</f>
        <v>9.375E-2</v>
      </c>
      <c r="J10" s="26">
        <v>8</v>
      </c>
      <c r="K10" s="28">
        <v>55.700000000000017</v>
      </c>
    </row>
    <row r="11" spans="1:16" x14ac:dyDescent="0.4">
      <c r="A11" s="60" t="s">
        <v>199</v>
      </c>
      <c r="B11" s="52">
        <v>32</v>
      </c>
      <c r="C11" s="32">
        <f>IF(B$2=0,0,B11/B$2)</f>
        <v>0.23703703703703705</v>
      </c>
      <c r="E11" s="68" t="s">
        <v>70</v>
      </c>
      <c r="F11" s="64" t="s">
        <v>24</v>
      </c>
      <c r="G11" s="50">
        <v>16</v>
      </c>
      <c r="H11" s="27">
        <f>IF(B$25=0,0,G11/B$25)</f>
        <v>8.3333333333333329E-2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149</v>
      </c>
      <c r="C12" s="35">
        <f>IF(B$24=0,0,B12/B$24)</f>
        <v>0.28709055876685935</v>
      </c>
      <c r="E12" s="68" t="s">
        <v>77</v>
      </c>
      <c r="F12" s="64" t="s">
        <v>30</v>
      </c>
      <c r="G12" s="50">
        <v>13</v>
      </c>
      <c r="H12" s="27">
        <f>IF(B$25=0,0,G12/B$25)</f>
        <v>6.7708333333333329E-2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115</v>
      </c>
      <c r="C13" s="27">
        <f>IF(B$24=0,0,B13/B$24)</f>
        <v>0.22157996146435452</v>
      </c>
      <c r="E13" s="68" t="s">
        <v>93</v>
      </c>
      <c r="F13" s="64" t="s">
        <v>46</v>
      </c>
      <c r="G13" s="50">
        <v>12</v>
      </c>
      <c r="H13" s="27">
        <f>IF(B$25=0,0,G13/B$25)</f>
        <v>6.25E-2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101</v>
      </c>
      <c r="C14" s="24">
        <f>IF(B$12=0,0,B14/B$12)</f>
        <v>0.67785234899328861</v>
      </c>
      <c r="E14" s="68" t="s">
        <v>90</v>
      </c>
      <c r="F14" s="64" t="s">
        <v>43</v>
      </c>
      <c r="G14" s="50">
        <v>7</v>
      </c>
      <c r="H14" s="27">
        <f>IF(B$25=0,0,G14/B$25)</f>
        <v>3.6458333333333336E-2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56</v>
      </c>
      <c r="C15" s="24">
        <f>IF(B$13=0,0,B15/B$13)</f>
        <v>0.48695652173913045</v>
      </c>
      <c r="E15" s="68" t="s">
        <v>88</v>
      </c>
      <c r="F15" s="64" t="s">
        <v>41</v>
      </c>
      <c r="G15" s="50">
        <v>4</v>
      </c>
      <c r="H15" s="27">
        <f>IF(B$25=0,0,G15/B$25)</f>
        <v>2.0833333333333332E-2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351</v>
      </c>
      <c r="C16" s="24">
        <f>IF(B$3=0,0,B16/B$3)</f>
        <v>0.3574338085539715</v>
      </c>
      <c r="E16" s="68" t="s">
        <v>79</v>
      </c>
      <c r="F16" s="64" t="s">
        <v>32</v>
      </c>
      <c r="G16" s="50">
        <v>3</v>
      </c>
      <c r="H16" s="27">
        <f>IF(B$25=0,0,G16/B$25)</f>
        <v>1.5625E-2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220</v>
      </c>
      <c r="C17" s="27">
        <f>IF(B$3=0,0,B17/B$3)</f>
        <v>0.22403258655804481</v>
      </c>
      <c r="E17" s="68" t="s">
        <v>83</v>
      </c>
      <c r="F17" s="64" t="s">
        <v>36</v>
      </c>
      <c r="G17" s="50">
        <v>3</v>
      </c>
      <c r="H17" s="27">
        <f>IF(B$25=0,0,G17/B$25)</f>
        <v>1.5625E-2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131</v>
      </c>
      <c r="C18" s="27">
        <f>IF(B$3=0,0,B18/B$3)</f>
        <v>0.13340122199592669</v>
      </c>
      <c r="E18" s="68" t="s">
        <v>81</v>
      </c>
      <c r="F18" s="64" t="s">
        <v>34</v>
      </c>
      <c r="G18" s="50">
        <v>2</v>
      </c>
      <c r="H18" s="27">
        <f>IF(B$25=0,0,G18/B$25)</f>
        <v>1.0416666666666666E-2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151</v>
      </c>
      <c r="C19" s="27">
        <f>IF(B$3=0,0,B19/B$3)</f>
        <v>0.15376782077393075</v>
      </c>
      <c r="E19" s="68" t="s">
        <v>98</v>
      </c>
      <c r="F19" s="64" t="s">
        <v>51</v>
      </c>
      <c r="G19" s="50">
        <v>2</v>
      </c>
      <c r="H19" s="27">
        <f>IF(B$25=0,0,G19/B$25)</f>
        <v>1.0416666666666666E-2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9981.4814814814818</v>
      </c>
      <c r="C20" s="30">
        <v>3503500</v>
      </c>
      <c r="E20" s="68" t="s">
        <v>99</v>
      </c>
      <c r="F20" s="64" t="s">
        <v>52</v>
      </c>
      <c r="G20" s="50">
        <v>2</v>
      </c>
      <c r="H20" s="27">
        <f>IF(B$25=0,0,G20/B$25)</f>
        <v>1.0416666666666666E-2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-9634.4370860927156</v>
      </c>
      <c r="C21" s="48">
        <v>-1454800</v>
      </c>
      <c r="E21" s="68" t="s">
        <v>84</v>
      </c>
      <c r="F21" s="64" t="s">
        <v>37</v>
      </c>
      <c r="G21" s="50">
        <v>1</v>
      </c>
      <c r="H21" s="27">
        <f>IF(B$25=0,0,G21/B$25)</f>
        <v>5.208333333333333E-3</v>
      </c>
      <c r="J21" s="26">
        <v>19</v>
      </c>
      <c r="K21" s="28">
        <v>42.600000000000016</v>
      </c>
    </row>
    <row r="22" spans="1:11" x14ac:dyDescent="0.4">
      <c r="A22" s="57" t="s">
        <v>186</v>
      </c>
      <c r="B22" s="49">
        <v>347</v>
      </c>
      <c r="C22" s="24">
        <f>IF(B$3=0,0,B22/B$3)</f>
        <v>0.35336048879837068</v>
      </c>
      <c r="E22" s="68" t="s">
        <v>85</v>
      </c>
      <c r="F22" s="64" t="s">
        <v>38</v>
      </c>
      <c r="G22" s="50">
        <v>1</v>
      </c>
      <c r="H22" s="27">
        <f>IF(B$25=0,0,G22/B$25)</f>
        <v>5.208333333333333E-3</v>
      </c>
      <c r="J22" s="26">
        <v>20</v>
      </c>
      <c r="K22" s="28">
        <v>68.800000000000011</v>
      </c>
    </row>
    <row r="23" spans="1:11" x14ac:dyDescent="0.4">
      <c r="A23" s="60" t="s">
        <v>187</v>
      </c>
      <c r="B23" s="52">
        <v>146</v>
      </c>
      <c r="C23" s="32">
        <f>IF(B$22=0,0,B23/B$22)</f>
        <v>0.4207492795389049</v>
      </c>
      <c r="E23" s="68" t="s">
        <v>92</v>
      </c>
      <c r="F23" s="64" t="s">
        <v>45</v>
      </c>
      <c r="G23" s="50">
        <v>1</v>
      </c>
      <c r="H23" s="27">
        <f>IF(B$25=0,0,G23/B$25)</f>
        <v>5.208333333333333E-3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90">
        <v>519</v>
      </c>
      <c r="C24" s="91"/>
      <c r="E24" s="68" t="s">
        <v>94</v>
      </c>
      <c r="F24" s="64" t="s">
        <v>47</v>
      </c>
      <c r="G24" s="50">
        <v>1</v>
      </c>
      <c r="H24" s="27">
        <f>IF(B$25=0,0,G24/B$25)</f>
        <v>5.208333333333333E-3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92">
        <v>192</v>
      </c>
      <c r="C25" s="93"/>
      <c r="E25" s="68" t="s">
        <v>97</v>
      </c>
      <c r="F25" s="64" t="s">
        <v>50</v>
      </c>
      <c r="G25" s="50">
        <v>1</v>
      </c>
      <c r="H25" s="27">
        <f>IF(B$25=0,0,G25/B$25)</f>
        <v>5.208333333333333E-3</v>
      </c>
      <c r="J25" s="26">
        <v>23</v>
      </c>
      <c r="K25" s="28">
        <v>124.50000000000001</v>
      </c>
    </row>
    <row r="26" spans="1:11" x14ac:dyDescent="0.4">
      <c r="A26" s="78" t="s">
        <v>210</v>
      </c>
      <c r="B26" s="86">
        <v>10</v>
      </c>
      <c r="C26" s="87"/>
      <c r="E26" s="68" t="s">
        <v>113</v>
      </c>
      <c r="F26" s="64" t="s">
        <v>120</v>
      </c>
      <c r="G26" s="50">
        <v>1</v>
      </c>
      <c r="H26" s="27">
        <f>IF(B$25=0,0,G26/B$25)</f>
        <v>5.208333333333333E-3</v>
      </c>
      <c r="J26" s="26">
        <v>24</v>
      </c>
      <c r="K26" s="28">
        <v>118.00000000000001</v>
      </c>
    </row>
    <row r="27" spans="1:11" x14ac:dyDescent="0.4">
      <c r="A27" s="60" t="s">
        <v>212</v>
      </c>
      <c r="B27" s="79">
        <v>1</v>
      </c>
      <c r="C27" s="32">
        <f>IF(B$3=0,0,B27/B$3)</f>
        <v>1.0183299389002036E-3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</sheetData>
  <sortState ref="E2:H13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C5FFF-924D-46A0-B36E-73E1796A2B4E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183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4</v>
      </c>
      <c r="C2" s="9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6">
        <v>25</v>
      </c>
      <c r="C3" s="9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190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8">
        <v>-132.1</v>
      </c>
      <c r="C4" s="9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191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8">
        <f>IF(B$2=0,0,B$4/B$2)</f>
        <v>-33.024999999999999</v>
      </c>
      <c r="C5" s="9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192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88">
        <f>IF(B$2=0,0,(B$7*1+B$8*2+B$9*3)/B$2)</f>
        <v>3</v>
      </c>
      <c r="C6" s="8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193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0</v>
      </c>
      <c r="C24" s="9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0</v>
      </c>
      <c r="C25" s="9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E3F79-73C0-4D37-82C7-4B4C0F3AB0E2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225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3</v>
      </c>
      <c r="C2" s="91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189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6">
        <v>16</v>
      </c>
      <c r="C3" s="97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190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8">
        <v>-26.5</v>
      </c>
      <c r="C4" s="99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191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8">
        <f>IF(B$2=0,0,B$4/B$2)</f>
        <v>-8.8333333333333339</v>
      </c>
      <c r="C5" s="99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192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88">
        <f>IF(B$2=0,0,(B$7*1+B$8*2+B$9*3)/B$2)</f>
        <v>2.3333333333333335</v>
      </c>
      <c r="C6" s="8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3</v>
      </c>
      <c r="C17" s="27">
        <f>IF(B$3=0,0,B17/B$3)</f>
        <v>0.1875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11</v>
      </c>
      <c r="C24" s="9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1</v>
      </c>
      <c r="C25" s="9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6">
        <v>2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D4054-5855-4904-A103-5C9F4F78A50A}">
  <sheetPr codeName="Sheet7"/>
  <dimension ref="A1:P9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179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96</v>
      </c>
      <c r="C2" s="91"/>
      <c r="E2" s="67" t="s">
        <v>73</v>
      </c>
      <c r="F2" s="63" t="s">
        <v>27</v>
      </c>
      <c r="G2" s="49">
        <v>94</v>
      </c>
      <c r="H2" s="24">
        <f>IF(B$25=0,0,G2/B$25)</f>
        <v>0.76422764227642281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-746.80851063829789</v>
      </c>
      <c r="O2" s="41">
        <v>-70200</v>
      </c>
      <c r="P2" s="39">
        <v>94</v>
      </c>
    </row>
    <row r="3" spans="1:16" x14ac:dyDescent="0.4">
      <c r="A3" s="58" t="s">
        <v>8</v>
      </c>
      <c r="B3" s="96">
        <v>723</v>
      </c>
      <c r="C3" s="97"/>
      <c r="E3" s="68" t="s">
        <v>71</v>
      </c>
      <c r="F3" s="64" t="s">
        <v>25</v>
      </c>
      <c r="G3" s="50">
        <v>85</v>
      </c>
      <c r="H3" s="27">
        <f>IF(B$25=0,0,G3/B$25)</f>
        <v>0.69105691056910568</v>
      </c>
      <c r="J3" s="26">
        <v>1</v>
      </c>
      <c r="K3" s="28">
        <v>40.9</v>
      </c>
      <c r="M3" s="26" t="s">
        <v>190</v>
      </c>
      <c r="N3" s="45">
        <f t="shared" si="0"/>
        <v>-1688.8888888888889</v>
      </c>
      <c r="O3" s="42">
        <v>-152000</v>
      </c>
      <c r="P3" s="37">
        <v>90</v>
      </c>
    </row>
    <row r="4" spans="1:16" x14ac:dyDescent="0.4">
      <c r="A4" s="58" t="s">
        <v>6</v>
      </c>
      <c r="B4" s="98">
        <v>-381</v>
      </c>
      <c r="C4" s="99"/>
      <c r="E4" s="68" t="s">
        <v>69</v>
      </c>
      <c r="F4" s="64" t="s">
        <v>23</v>
      </c>
      <c r="G4" s="50">
        <v>72</v>
      </c>
      <c r="H4" s="27">
        <f>IF(B$25=0,0,G4/B$25)</f>
        <v>0.58536585365853655</v>
      </c>
      <c r="J4" s="26">
        <v>2</v>
      </c>
      <c r="K4" s="28">
        <v>-0.89999999999999858</v>
      </c>
      <c r="M4" s="26" t="s">
        <v>191</v>
      </c>
      <c r="N4" s="45">
        <f t="shared" si="0"/>
        <v>2085.0574712643679</v>
      </c>
      <c r="O4" s="42">
        <v>181400</v>
      </c>
      <c r="P4" s="37">
        <v>87</v>
      </c>
    </row>
    <row r="5" spans="1:16" x14ac:dyDescent="0.4">
      <c r="A5" s="58" t="s">
        <v>7</v>
      </c>
      <c r="B5" s="98">
        <f>IF(B$2=0,0,B$4/B$2)</f>
        <v>-3.96875</v>
      </c>
      <c r="C5" s="99"/>
      <c r="E5" s="68" t="s">
        <v>78</v>
      </c>
      <c r="F5" s="64" t="s">
        <v>31</v>
      </c>
      <c r="G5" s="50">
        <v>68</v>
      </c>
      <c r="H5" s="27">
        <f>IF(B$25=0,0,G5/B$25)</f>
        <v>0.55284552845528456</v>
      </c>
      <c r="J5" s="26">
        <v>3</v>
      </c>
      <c r="K5" s="28">
        <v>-36.4</v>
      </c>
      <c r="M5" s="26" t="s">
        <v>192</v>
      </c>
      <c r="N5" s="45">
        <f t="shared" si="0"/>
        <v>-2153.2467532467531</v>
      </c>
      <c r="O5" s="42">
        <v>-165800</v>
      </c>
      <c r="P5" s="37">
        <v>77</v>
      </c>
    </row>
    <row r="6" spans="1:16" x14ac:dyDescent="0.4">
      <c r="A6" s="58" t="s">
        <v>1</v>
      </c>
      <c r="B6" s="88">
        <f>IF(B$2=0,0,(B$7*1+B$8*2+B$9*3)/B$2)</f>
        <v>2.1041666666666665</v>
      </c>
      <c r="C6" s="89"/>
      <c r="E6" s="68" t="s">
        <v>74</v>
      </c>
      <c r="F6" s="64" t="s">
        <v>12</v>
      </c>
      <c r="G6" s="50">
        <v>40</v>
      </c>
      <c r="H6" s="27">
        <f>IF(B$25=0,0,G6/B$25)</f>
        <v>0.32520325203252032</v>
      </c>
      <c r="J6" s="26">
        <v>4</v>
      </c>
      <c r="K6" s="28">
        <v>3.6000000000000014</v>
      </c>
      <c r="M6" s="26" t="s">
        <v>193</v>
      </c>
      <c r="N6" s="45">
        <f t="shared" si="0"/>
        <v>-1843.5483870967741</v>
      </c>
      <c r="O6" s="42">
        <v>-114300</v>
      </c>
      <c r="P6" s="37">
        <v>62</v>
      </c>
    </row>
    <row r="7" spans="1:16" x14ac:dyDescent="0.4">
      <c r="A7" s="58" t="s">
        <v>2</v>
      </c>
      <c r="B7" s="50">
        <v>29</v>
      </c>
      <c r="C7" s="27">
        <f>IF(B$2=0,0,B7/B$2)</f>
        <v>0.30208333333333331</v>
      </c>
      <c r="E7" s="68" t="s">
        <v>72</v>
      </c>
      <c r="F7" s="64" t="s">
        <v>26</v>
      </c>
      <c r="G7" s="50">
        <v>34</v>
      </c>
      <c r="H7" s="27">
        <f>IF(B$25=0,0,G7/B$25)</f>
        <v>0.27642276422764228</v>
      </c>
      <c r="J7" s="26">
        <v>5</v>
      </c>
      <c r="K7" s="28">
        <v>14.600000000000001</v>
      </c>
      <c r="M7" s="31" t="s">
        <v>194</v>
      </c>
      <c r="N7" s="46">
        <f t="shared" si="0"/>
        <v>-2087.2340425531916</v>
      </c>
      <c r="O7" s="43">
        <v>-98100</v>
      </c>
      <c r="P7" s="38">
        <v>47</v>
      </c>
    </row>
    <row r="8" spans="1:16" x14ac:dyDescent="0.4">
      <c r="A8" s="58" t="s">
        <v>3</v>
      </c>
      <c r="B8" s="50">
        <v>28</v>
      </c>
      <c r="C8" s="27">
        <f t="shared" ref="C8:C9" si="1">IF(B$2=0,0,B8/B$2)</f>
        <v>0.29166666666666669</v>
      </c>
      <c r="E8" s="68" t="s">
        <v>76</v>
      </c>
      <c r="F8" s="64" t="s">
        <v>29</v>
      </c>
      <c r="G8" s="50">
        <v>20</v>
      </c>
      <c r="H8" s="27">
        <f>IF(B$25=0,0,G8/B$25)</f>
        <v>0.16260162601626016</v>
      </c>
      <c r="J8" s="26">
        <v>6</v>
      </c>
      <c r="K8" s="28">
        <v>47.6</v>
      </c>
    </row>
    <row r="9" spans="1:16" x14ac:dyDescent="0.4">
      <c r="A9" s="59" t="s">
        <v>4</v>
      </c>
      <c r="B9" s="51">
        <v>39</v>
      </c>
      <c r="C9" s="29">
        <f t="shared" si="1"/>
        <v>0.40625</v>
      </c>
      <c r="E9" s="68" t="s">
        <v>96</v>
      </c>
      <c r="F9" s="64" t="s">
        <v>49</v>
      </c>
      <c r="G9" s="50">
        <v>20</v>
      </c>
      <c r="H9" s="27">
        <f>IF(B$25=0,0,G9/B$25)</f>
        <v>0.16260162601626016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0.22916666666666666</v>
      </c>
      <c r="E10" s="68" t="s">
        <v>75</v>
      </c>
      <c r="F10" s="64" t="s">
        <v>28</v>
      </c>
      <c r="G10" s="50">
        <v>19</v>
      </c>
      <c r="H10" s="27">
        <f>IF(B$25=0,0,G10/B$25)</f>
        <v>0.15447154471544716</v>
      </c>
      <c r="J10" s="26">
        <v>8</v>
      </c>
      <c r="K10" s="28">
        <v>60.199999999999996</v>
      </c>
    </row>
    <row r="11" spans="1:16" x14ac:dyDescent="0.4">
      <c r="A11" s="60" t="s">
        <v>199</v>
      </c>
      <c r="B11" s="52">
        <v>14</v>
      </c>
      <c r="C11" s="32">
        <f>IF(B$2=0,0,B11/B$2)</f>
        <v>0.14583333333333334</v>
      </c>
      <c r="E11" s="68" t="s">
        <v>70</v>
      </c>
      <c r="F11" s="64" t="s">
        <v>24</v>
      </c>
      <c r="G11" s="50">
        <v>14</v>
      </c>
      <c r="H11" s="27">
        <f>IF(B$25=0,0,G11/B$25)</f>
        <v>0.11382113821138211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130</v>
      </c>
      <c r="C12" s="35">
        <f>IF(B$24=0,0,B12/B$24)</f>
        <v>0.2813852813852814</v>
      </c>
      <c r="E12" s="68" t="s">
        <v>93</v>
      </c>
      <c r="F12" s="64" t="s">
        <v>46</v>
      </c>
      <c r="G12" s="50">
        <v>13</v>
      </c>
      <c r="H12" s="27">
        <f>IF(B$25=0,0,G12/B$25)</f>
        <v>0.10569105691056911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87</v>
      </c>
      <c r="C13" s="27">
        <f>IF(B$24=0,0,B13/B$24)</f>
        <v>0.18831168831168832</v>
      </c>
      <c r="E13" s="68" t="s">
        <v>90</v>
      </c>
      <c r="F13" s="64" t="s">
        <v>43</v>
      </c>
      <c r="G13" s="50">
        <v>11</v>
      </c>
      <c r="H13" s="27">
        <f>IF(B$25=0,0,G13/B$25)</f>
        <v>8.943089430894309E-2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73</v>
      </c>
      <c r="C14" s="24">
        <f>IF(B$12=0,0,B14/B$12)</f>
        <v>0.56153846153846154</v>
      </c>
      <c r="E14" s="68" t="s">
        <v>98</v>
      </c>
      <c r="F14" s="64" t="s">
        <v>51</v>
      </c>
      <c r="G14" s="50">
        <v>6</v>
      </c>
      <c r="H14" s="27">
        <f>IF(B$25=0,0,G14/B$25)</f>
        <v>4.878048780487805E-2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32</v>
      </c>
      <c r="C15" s="24">
        <f>IF(B$13=0,0,B15/B$13)</f>
        <v>0.36781609195402298</v>
      </c>
      <c r="E15" s="68" t="s">
        <v>88</v>
      </c>
      <c r="F15" s="64" t="s">
        <v>41</v>
      </c>
      <c r="G15" s="50">
        <v>5</v>
      </c>
      <c r="H15" s="27">
        <f>IF(B$25=0,0,G15/B$25)</f>
        <v>4.065040650406504E-2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184</v>
      </c>
      <c r="C16" s="24">
        <f>IF(B$3=0,0,B16/B$3)</f>
        <v>0.2544951590594744</v>
      </c>
      <c r="E16" s="68" t="s">
        <v>77</v>
      </c>
      <c r="F16" s="64" t="s">
        <v>30</v>
      </c>
      <c r="G16" s="50">
        <v>4</v>
      </c>
      <c r="H16" s="27">
        <f>IF(B$25=0,0,G16/B$25)</f>
        <v>3.2520325203252036E-2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109</v>
      </c>
      <c r="C17" s="27">
        <f>IF(B$3=0,0,B17/B$3)</f>
        <v>0.15076071922544951</v>
      </c>
      <c r="E17" s="68" t="s">
        <v>84</v>
      </c>
      <c r="F17" s="64" t="s">
        <v>37</v>
      </c>
      <c r="G17" s="50">
        <v>2</v>
      </c>
      <c r="H17" s="27">
        <f>IF(B$25=0,0,G17/B$25)</f>
        <v>1.6260162601626018E-2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75</v>
      </c>
      <c r="C18" s="27">
        <f>IF(B$3=0,0,B18/B$3)</f>
        <v>0.1037344398340249</v>
      </c>
      <c r="E18" s="68" t="s">
        <v>85</v>
      </c>
      <c r="F18" s="64" t="s">
        <v>38</v>
      </c>
      <c r="G18" s="50">
        <v>2</v>
      </c>
      <c r="H18" s="27">
        <f>IF(B$25=0,0,G18/B$25)</f>
        <v>1.6260162601626018E-2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141</v>
      </c>
      <c r="C19" s="27">
        <f>IF(B$3=0,0,B19/B$3)</f>
        <v>0.19502074688796681</v>
      </c>
      <c r="E19" s="68" t="s">
        <v>92</v>
      </c>
      <c r="F19" s="64" t="s">
        <v>45</v>
      </c>
      <c r="G19" s="50">
        <v>2</v>
      </c>
      <c r="H19" s="27">
        <f>IF(B$25=0,0,G19/B$25)</f>
        <v>1.6260162601626018E-2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11308.152173913044</v>
      </c>
      <c r="C20" s="30">
        <v>2080700</v>
      </c>
      <c r="E20" s="68" t="s">
        <v>99</v>
      </c>
      <c r="F20" s="64" t="s">
        <v>52</v>
      </c>
      <c r="G20" s="50">
        <v>2</v>
      </c>
      <c r="H20" s="27">
        <f>IF(B$25=0,0,G20/B$25)</f>
        <v>1.6260162601626018E-2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-10026.950354609929</v>
      </c>
      <c r="C21" s="48">
        <v>-1413800</v>
      </c>
      <c r="E21" s="68" t="s">
        <v>87</v>
      </c>
      <c r="F21" s="64" t="s">
        <v>40</v>
      </c>
      <c r="G21" s="50">
        <v>1</v>
      </c>
      <c r="H21" s="27">
        <f>IF(B$25=0,0,G21/B$25)</f>
        <v>8.130081300813009E-3</v>
      </c>
      <c r="J21" s="26">
        <v>19</v>
      </c>
      <c r="K21" s="28">
        <v>-26.699999999999996</v>
      </c>
    </row>
    <row r="22" spans="1:11" x14ac:dyDescent="0.4">
      <c r="A22" s="57" t="s">
        <v>186</v>
      </c>
      <c r="B22" s="49">
        <v>226</v>
      </c>
      <c r="C22" s="24">
        <f>IF(B$3=0,0,B22/B$3)</f>
        <v>0.31258644536652835</v>
      </c>
      <c r="E22" s="68" t="s">
        <v>91</v>
      </c>
      <c r="F22" s="64" t="s">
        <v>44</v>
      </c>
      <c r="G22" s="50">
        <v>1</v>
      </c>
      <c r="H22" s="27">
        <f>IF(B$25=0,0,G22/B$25)</f>
        <v>8.130081300813009E-3</v>
      </c>
      <c r="J22" s="26">
        <v>20</v>
      </c>
      <c r="K22" s="28">
        <v>-57.899999999999991</v>
      </c>
    </row>
    <row r="23" spans="1:11" x14ac:dyDescent="0.4">
      <c r="A23" s="60" t="s">
        <v>187</v>
      </c>
      <c r="B23" s="52">
        <v>69</v>
      </c>
      <c r="C23" s="32">
        <f>IF(B$22=0,0,B23/B$22)</f>
        <v>0.30530973451327431</v>
      </c>
      <c r="E23" s="68" t="s">
        <v>94</v>
      </c>
      <c r="F23" s="64" t="s">
        <v>47</v>
      </c>
      <c r="G23" s="50">
        <v>1</v>
      </c>
      <c r="H23" s="27">
        <f>IF(B$25=0,0,G23/B$25)</f>
        <v>8.130081300813009E-3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90">
        <v>462</v>
      </c>
      <c r="C24" s="91"/>
      <c r="E24" s="68" t="s">
        <v>95</v>
      </c>
      <c r="F24" s="64" t="s">
        <v>48</v>
      </c>
      <c r="G24" s="50">
        <v>1</v>
      </c>
      <c r="H24" s="27">
        <f>IF(B$25=0,0,G24/B$25)</f>
        <v>8.130081300813009E-3</v>
      </c>
      <c r="J24" s="26">
        <v>22</v>
      </c>
      <c r="K24" s="28">
        <v>-94.6</v>
      </c>
    </row>
    <row r="25" spans="1:11" x14ac:dyDescent="0.4">
      <c r="A25" s="60" t="s">
        <v>129</v>
      </c>
      <c r="B25" s="92">
        <v>123</v>
      </c>
      <c r="C25" s="9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210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212</v>
      </c>
      <c r="B27" s="79">
        <v>4</v>
      </c>
      <c r="C27" s="32">
        <f>IF(B$3=0,0,B27/B$3)</f>
        <v>5.5325034578146614E-3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</sheetData>
  <sortState ref="E2:H9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62FD-7508-4D6F-97E2-2E9E91E9E574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180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48</v>
      </c>
      <c r="C2" s="91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6">
        <v>343</v>
      </c>
      <c r="C3" s="97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190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8">
        <v>213.70000000000005</v>
      </c>
      <c r="C4" s="99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191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8">
        <f>IF(B$2=0,0,B$4/B$2)</f>
        <v>4.4520833333333343</v>
      </c>
      <c r="C5" s="99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192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88">
        <f>IF(B$2=0,0,(B$7*1+B$8*2+B$9*3)/B$2)</f>
        <v>1.8958333333333333</v>
      </c>
      <c r="C6" s="89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193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194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76</v>
      </c>
      <c r="F10" s="64" t="s">
        <v>29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199</v>
      </c>
      <c r="B11" s="52">
        <v>9</v>
      </c>
      <c r="C11" s="32">
        <f>IF(B$2=0,0,B11/B$2)</f>
        <v>0.1875</v>
      </c>
      <c r="E11" s="68" t="s">
        <v>90</v>
      </c>
      <c r="F11" s="64" t="s">
        <v>43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96</v>
      </c>
      <c r="F14" s="64" t="s">
        <v>49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70</v>
      </c>
      <c r="C17" s="27">
        <f>IF(B$3=0,0,B17/B$3)</f>
        <v>0.20408163265306123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51</v>
      </c>
      <c r="C18" s="27">
        <f>IF(B$3=0,0,B18/B$3)</f>
        <v>0.14868804664723032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186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187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90">
        <v>105</v>
      </c>
      <c r="C24" s="9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92">
        <v>34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210</v>
      </c>
      <c r="B26" s="86">
        <v>6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212</v>
      </c>
      <c r="B27" s="79">
        <v>1</v>
      </c>
      <c r="C27" s="32">
        <f>IF(B$3=0,0,B27/B$3)</f>
        <v>2.9154518950437317E-3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9FFB7-E7D4-423B-B135-AB96D3F0C906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228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5</v>
      </c>
      <c r="C2" s="9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6">
        <v>37</v>
      </c>
      <c r="C3" s="97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8">
        <v>-86.4</v>
      </c>
      <c r="C4" s="99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191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8">
        <f>IF(B$2=0,0,B$4/B$2)</f>
        <v>-17.28</v>
      </c>
      <c r="C5" s="99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192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88">
        <f>IF(B$2=0,0,(B$7*1+B$8*2+B$9*3)/B$2)</f>
        <v>2.2000000000000002</v>
      </c>
      <c r="C6" s="8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193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194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31</v>
      </c>
      <c r="C24" s="9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9</v>
      </c>
      <c r="C25" s="9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1502-9DB1-4B92-9C75-F4B7334CBD67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181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47</v>
      </c>
      <c r="C2" s="91"/>
      <c r="E2" s="67" t="s">
        <v>73</v>
      </c>
      <c r="F2" s="63" t="s">
        <v>27</v>
      </c>
      <c r="G2" s="49">
        <v>36</v>
      </c>
      <c r="H2" s="24">
        <f>IF(B$25=0,0,G2/B$25)</f>
        <v>0.94736842105263153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-2706.3829787234044</v>
      </c>
      <c r="O2" s="41">
        <v>-127200</v>
      </c>
      <c r="P2" s="39">
        <v>47</v>
      </c>
    </row>
    <row r="3" spans="1:16" x14ac:dyDescent="0.4">
      <c r="A3" s="58" t="s">
        <v>8</v>
      </c>
      <c r="B3" s="96">
        <v>362</v>
      </c>
      <c r="C3" s="97"/>
      <c r="E3" s="68" t="s">
        <v>78</v>
      </c>
      <c r="F3" s="64" t="s">
        <v>31</v>
      </c>
      <c r="G3" s="50">
        <v>27</v>
      </c>
      <c r="H3" s="27">
        <f>IF(B$25=0,0,G3/B$25)</f>
        <v>0.71052631578947367</v>
      </c>
      <c r="J3" s="26">
        <v>1</v>
      </c>
      <c r="K3" s="28">
        <v>68.2</v>
      </c>
      <c r="M3" s="26" t="s">
        <v>190</v>
      </c>
      <c r="N3" s="45">
        <f t="shared" si="0"/>
        <v>-2675</v>
      </c>
      <c r="O3" s="42">
        <v>-117700</v>
      </c>
      <c r="P3" s="37">
        <v>44</v>
      </c>
    </row>
    <row r="4" spans="1:16" x14ac:dyDescent="0.4">
      <c r="A4" s="58" t="s">
        <v>6</v>
      </c>
      <c r="B4" s="98">
        <v>-293.7</v>
      </c>
      <c r="C4" s="99"/>
      <c r="E4" s="68" t="s">
        <v>71</v>
      </c>
      <c r="F4" s="64" t="s">
        <v>25</v>
      </c>
      <c r="G4" s="50">
        <v>26</v>
      </c>
      <c r="H4" s="27">
        <f>IF(B$25=0,0,G4/B$25)</f>
        <v>0.68421052631578949</v>
      </c>
      <c r="J4" s="26">
        <v>2</v>
      </c>
      <c r="K4" s="28">
        <v>58.5</v>
      </c>
      <c r="M4" s="26" t="s">
        <v>191</v>
      </c>
      <c r="N4" s="45">
        <f t="shared" si="0"/>
        <v>-994.73684210526312</v>
      </c>
      <c r="O4" s="42">
        <v>-37800</v>
      </c>
      <c r="P4" s="37">
        <v>38</v>
      </c>
    </row>
    <row r="5" spans="1:16" x14ac:dyDescent="0.4">
      <c r="A5" s="58" t="s">
        <v>7</v>
      </c>
      <c r="B5" s="98">
        <f>IF(B$2=0,0,B$4/B$2)</f>
        <v>-6.2489361702127662</v>
      </c>
      <c r="C5" s="99"/>
      <c r="E5" s="68" t="s">
        <v>69</v>
      </c>
      <c r="F5" s="64" t="s">
        <v>23</v>
      </c>
      <c r="G5" s="50">
        <v>15</v>
      </c>
      <c r="H5" s="27">
        <f>IF(B$25=0,0,G5/B$25)</f>
        <v>0.39473684210526316</v>
      </c>
      <c r="J5" s="26">
        <v>3</v>
      </c>
      <c r="K5" s="28">
        <v>82.1</v>
      </c>
      <c r="M5" s="26" t="s">
        <v>192</v>
      </c>
      <c r="N5" s="45">
        <f t="shared" si="0"/>
        <v>1694.4444444444443</v>
      </c>
      <c r="O5" s="42">
        <v>61000</v>
      </c>
      <c r="P5" s="37">
        <v>36</v>
      </c>
    </row>
    <row r="6" spans="1:16" x14ac:dyDescent="0.4">
      <c r="A6" s="58" t="s">
        <v>1</v>
      </c>
      <c r="B6" s="88">
        <f>IF(B$2=0,0,(B$7*1+B$8*2+B$9*3)/B$2)</f>
        <v>2.1702127659574466</v>
      </c>
      <c r="C6" s="89"/>
      <c r="E6" s="68" t="s">
        <v>70</v>
      </c>
      <c r="F6" s="64" t="s">
        <v>24</v>
      </c>
      <c r="G6" s="50">
        <v>7</v>
      </c>
      <c r="H6" s="27">
        <f>IF(B$25=0,0,G6/B$25)</f>
        <v>0.18421052631578946</v>
      </c>
      <c r="J6" s="26">
        <v>4</v>
      </c>
      <c r="K6" s="28">
        <v>58.199999999999996</v>
      </c>
      <c r="M6" s="26" t="s">
        <v>193</v>
      </c>
      <c r="N6" s="45">
        <f t="shared" si="0"/>
        <v>-2866.6666666666665</v>
      </c>
      <c r="O6" s="42">
        <v>-77400</v>
      </c>
      <c r="P6" s="37">
        <v>27</v>
      </c>
    </row>
    <row r="7" spans="1:16" x14ac:dyDescent="0.4">
      <c r="A7" s="58" t="s">
        <v>2</v>
      </c>
      <c r="B7" s="50">
        <v>10</v>
      </c>
      <c r="C7" s="27">
        <f>IF(B$2=0,0,B7/B$2)</f>
        <v>0.21276595744680851</v>
      </c>
      <c r="E7" s="68" t="s">
        <v>74</v>
      </c>
      <c r="F7" s="64" t="s">
        <v>12</v>
      </c>
      <c r="G7" s="50">
        <v>7</v>
      </c>
      <c r="H7" s="27">
        <f>IF(B$25=0,0,G7/B$25)</f>
        <v>0.18421052631578946</v>
      </c>
      <c r="J7" s="26">
        <v>5</v>
      </c>
      <c r="K7" s="28">
        <v>124.19999999999999</v>
      </c>
      <c r="M7" s="31" t="s">
        <v>194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0.40425531914893614</v>
      </c>
      <c r="E8" s="68" t="s">
        <v>72</v>
      </c>
      <c r="F8" s="64" t="s">
        <v>26</v>
      </c>
      <c r="G8" s="50">
        <v>4</v>
      </c>
      <c r="H8" s="27">
        <f>IF(B$25=0,0,G8/B$25)</f>
        <v>0.10526315789473684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18</v>
      </c>
      <c r="C9" s="29">
        <f t="shared" si="1"/>
        <v>0.38297872340425532</v>
      </c>
      <c r="E9" s="68" t="s">
        <v>75</v>
      </c>
      <c r="F9" s="64" t="s">
        <v>28</v>
      </c>
      <c r="G9" s="50">
        <v>3</v>
      </c>
      <c r="H9" s="27">
        <f>IF(B$25=0,0,G9/B$25)</f>
        <v>7.8947368421052627E-2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10</v>
      </c>
      <c r="C10" s="29">
        <f>IF(B$2=0,0,B10/B$2)</f>
        <v>0.21276595744680851</v>
      </c>
      <c r="E10" s="68" t="s">
        <v>96</v>
      </c>
      <c r="F10" s="64" t="s">
        <v>49</v>
      </c>
      <c r="G10" s="50">
        <v>3</v>
      </c>
      <c r="H10" s="27">
        <f>IF(B$25=0,0,G10/B$25)</f>
        <v>7.8947368421052627E-2</v>
      </c>
      <c r="J10" s="26">
        <v>8</v>
      </c>
      <c r="K10" s="28">
        <v>97</v>
      </c>
    </row>
    <row r="11" spans="1:16" x14ac:dyDescent="0.4">
      <c r="A11" s="60" t="s">
        <v>199</v>
      </c>
      <c r="B11" s="52">
        <v>7</v>
      </c>
      <c r="C11" s="32">
        <f>IF(B$2=0,0,B11/B$2)</f>
        <v>0.14893617021276595</v>
      </c>
      <c r="E11" s="68" t="s">
        <v>84</v>
      </c>
      <c r="F11" s="64" t="s">
        <v>37</v>
      </c>
      <c r="G11" s="50">
        <v>2</v>
      </c>
      <c r="H11" s="27">
        <f>IF(B$25=0,0,G11/B$25)</f>
        <v>5.2631578947368418E-2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39</v>
      </c>
      <c r="C12" s="35">
        <f>IF(B$24=0,0,B12/B$24)</f>
        <v>0.22285714285714286</v>
      </c>
      <c r="E12" s="68" t="s">
        <v>85</v>
      </c>
      <c r="F12" s="64" t="s">
        <v>38</v>
      </c>
      <c r="G12" s="50">
        <v>2</v>
      </c>
      <c r="H12" s="27">
        <f>IF(B$25=0,0,G12/B$25)</f>
        <v>5.2631578947368418E-2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49</v>
      </c>
      <c r="C13" s="27">
        <f>IF(B$24=0,0,B13/B$24)</f>
        <v>0.28000000000000003</v>
      </c>
      <c r="E13" s="68" t="s">
        <v>93</v>
      </c>
      <c r="F13" s="64" t="s">
        <v>46</v>
      </c>
      <c r="G13" s="50">
        <v>2</v>
      </c>
      <c r="H13" s="27">
        <f>IF(B$25=0,0,G13/B$25)</f>
        <v>5.2631578947368418E-2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14</v>
      </c>
      <c r="C14" s="24">
        <f>IF(B$12=0,0,B14/B$12)</f>
        <v>0.35897435897435898</v>
      </c>
      <c r="E14" s="68" t="s">
        <v>76</v>
      </c>
      <c r="F14" s="64" t="s">
        <v>29</v>
      </c>
      <c r="G14" s="50">
        <v>1</v>
      </c>
      <c r="H14" s="27">
        <f>IF(B$25=0,0,G14/B$25)</f>
        <v>2.6315789473684209E-2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18</v>
      </c>
      <c r="C15" s="24">
        <f>IF(B$13=0,0,B15/B$13)</f>
        <v>0.36734693877551022</v>
      </c>
      <c r="E15" s="68" t="s">
        <v>77</v>
      </c>
      <c r="F15" s="64" t="s">
        <v>30</v>
      </c>
      <c r="G15" s="50">
        <v>1</v>
      </c>
      <c r="H15" s="27">
        <f>IF(B$25=0,0,G15/B$25)</f>
        <v>2.6315789473684209E-2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92</v>
      </c>
      <c r="C16" s="24">
        <f>IF(B$3=0,0,B16/B$3)</f>
        <v>0.2541436464088398</v>
      </c>
      <c r="E16" s="68" t="s">
        <v>81</v>
      </c>
      <c r="F16" s="64" t="s">
        <v>34</v>
      </c>
      <c r="G16" s="50">
        <v>1</v>
      </c>
      <c r="H16" s="27">
        <f>IF(B$25=0,0,G16/B$25)</f>
        <v>2.6315789473684209E-2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53</v>
      </c>
      <c r="C17" s="27">
        <f>IF(B$3=0,0,B17/B$3)</f>
        <v>0.14640883977900551</v>
      </c>
      <c r="E17" s="68" t="s">
        <v>88</v>
      </c>
      <c r="F17" s="64" t="s">
        <v>41</v>
      </c>
      <c r="G17" s="50">
        <v>1</v>
      </c>
      <c r="H17" s="27">
        <f>IF(B$25=0,0,G17/B$25)</f>
        <v>2.6315789473684209E-2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39</v>
      </c>
      <c r="C18" s="27">
        <f>IF(B$3=0,0,B18/B$3)</f>
        <v>0.10773480662983426</v>
      </c>
      <c r="E18" s="68" t="s">
        <v>90</v>
      </c>
      <c r="F18" s="64" t="s">
        <v>43</v>
      </c>
      <c r="G18" s="50">
        <v>1</v>
      </c>
      <c r="H18" s="27">
        <f>IF(B$25=0,0,G18/B$25)</f>
        <v>2.6315789473684209E-2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75</v>
      </c>
      <c r="C19" s="27">
        <f>IF(B$3=0,0,B19/B$3)</f>
        <v>0.20718232044198895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9814.1304347826081</v>
      </c>
      <c r="C20" s="30">
        <v>902900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-8580</v>
      </c>
      <c r="C21" s="48">
        <v>-643500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186</v>
      </c>
      <c r="B22" s="49">
        <v>101</v>
      </c>
      <c r="C22" s="24">
        <f>IF(B$3=0,0,B22/B$3)</f>
        <v>0.27900552486187846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187</v>
      </c>
      <c r="B23" s="52">
        <v>36</v>
      </c>
      <c r="C23" s="32">
        <f>IF(B$22=0,0,B23/B$22)</f>
        <v>0.35643564356435642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90">
        <v>175</v>
      </c>
      <c r="C24" s="9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92">
        <v>38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210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212</v>
      </c>
      <c r="B27" s="79">
        <v>1</v>
      </c>
      <c r="C27" s="32">
        <f>IF(B$3=0,0,B27/B$3)</f>
        <v>2.7624309392265192E-3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B8AAE-0E6A-4B16-8D42-D583AFC2F85C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182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51</v>
      </c>
      <c r="C2" s="91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189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6">
        <v>390</v>
      </c>
      <c r="C3" s="97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190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8">
        <v>166.69999999999996</v>
      </c>
      <c r="C4" s="99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191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8">
        <f>IF(B$2=0,0,B$4/B$2)</f>
        <v>3.2686274509803912</v>
      </c>
      <c r="C5" s="99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192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88">
        <f>IF(B$2=0,0,(B$7*1+B$8*2+B$9*3)/B$2)</f>
        <v>1.9215686274509804</v>
      </c>
      <c r="C6" s="89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193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194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199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186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187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90">
        <v>257</v>
      </c>
      <c r="C24" s="9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92">
        <v>84</v>
      </c>
      <c r="C25" s="9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210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212</v>
      </c>
      <c r="B27" s="79">
        <v>3</v>
      </c>
      <c r="C27" s="32">
        <f>IF(B$3=0,0,B27/B$3)</f>
        <v>7.6923076923076927E-3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5291B-ED86-4035-ADE3-D89BE371D1DC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184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12</v>
      </c>
      <c r="C2" s="9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6">
        <v>82</v>
      </c>
      <c r="C3" s="9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190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8">
        <v>80.800000000000011</v>
      </c>
      <c r="C4" s="9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191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8">
        <f>IF(B$2=0,0,B$4/B$2)</f>
        <v>6.7333333333333343</v>
      </c>
      <c r="C5" s="9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192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88">
        <f>IF(B$2=0,0,(B$7*1+B$8*2+B$9*3)/B$2)</f>
        <v>1.75</v>
      </c>
      <c r="C6" s="8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193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194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0</v>
      </c>
      <c r="C24" s="9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0</v>
      </c>
      <c r="C25" s="9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FF30-42AC-4B3F-AE5A-5C708E800C3B}">
  <sheetPr codeName="Sheet13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185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52</v>
      </c>
      <c r="C2" s="91"/>
      <c r="E2" s="67" t="s">
        <v>73</v>
      </c>
      <c r="F2" s="63" t="s">
        <v>27</v>
      </c>
      <c r="G2" s="49">
        <v>98</v>
      </c>
      <c r="H2" s="24">
        <f>IF(B$25=0,0,G2/B$25)</f>
        <v>0.95145631067961167</v>
      </c>
      <c r="J2" s="23">
        <v>0</v>
      </c>
      <c r="K2" s="25">
        <v>0</v>
      </c>
      <c r="M2" s="23" t="s">
        <v>189</v>
      </c>
      <c r="N2" s="44">
        <f t="shared" ref="N2:N7" si="0">IF(P2=0,0,O2/P2)</f>
        <v>-2541.6666666666665</v>
      </c>
      <c r="O2" s="41">
        <v>-122000</v>
      </c>
      <c r="P2" s="39">
        <v>48</v>
      </c>
    </row>
    <row r="3" spans="1:16" x14ac:dyDescent="0.4">
      <c r="A3" s="58" t="s">
        <v>8</v>
      </c>
      <c r="B3" s="96">
        <v>393</v>
      </c>
      <c r="C3" s="97"/>
      <c r="E3" s="68" t="s">
        <v>71</v>
      </c>
      <c r="F3" s="64" t="s">
        <v>25</v>
      </c>
      <c r="G3" s="50">
        <v>81</v>
      </c>
      <c r="H3" s="27">
        <f>IF(B$25=0,0,G3/B$25)</f>
        <v>0.78640776699029125</v>
      </c>
      <c r="J3" s="26">
        <v>1</v>
      </c>
      <c r="K3" s="28">
        <v>3.9</v>
      </c>
      <c r="M3" s="26" t="s">
        <v>190</v>
      </c>
      <c r="N3" s="45">
        <f t="shared" si="0"/>
        <v>-1775</v>
      </c>
      <c r="O3" s="42">
        <v>-85200</v>
      </c>
      <c r="P3" s="37">
        <v>48</v>
      </c>
    </row>
    <row r="4" spans="1:16" x14ac:dyDescent="0.4">
      <c r="A4" s="58" t="s">
        <v>6</v>
      </c>
      <c r="B4" s="98">
        <v>-426.39999999999992</v>
      </c>
      <c r="C4" s="99"/>
      <c r="E4" s="68" t="s">
        <v>78</v>
      </c>
      <c r="F4" s="64" t="s">
        <v>31</v>
      </c>
      <c r="G4" s="50">
        <v>76</v>
      </c>
      <c r="H4" s="27">
        <f>IF(B$25=0,0,G4/B$25)</f>
        <v>0.73786407766990292</v>
      </c>
      <c r="J4" s="26">
        <v>2</v>
      </c>
      <c r="K4" s="28">
        <v>-33.9</v>
      </c>
      <c r="M4" s="26" t="s">
        <v>191</v>
      </c>
      <c r="N4" s="45">
        <f t="shared" si="0"/>
        <v>-3437.7777777777778</v>
      </c>
      <c r="O4" s="42">
        <v>-154700</v>
      </c>
      <c r="P4" s="37">
        <v>45</v>
      </c>
    </row>
    <row r="5" spans="1:16" x14ac:dyDescent="0.4">
      <c r="A5" s="58" t="s">
        <v>7</v>
      </c>
      <c r="B5" s="98">
        <f>IF(B$2=0,0,B$4/B$2)</f>
        <v>-8.1999999999999993</v>
      </c>
      <c r="C5" s="99"/>
      <c r="E5" s="68" t="s">
        <v>69</v>
      </c>
      <c r="F5" s="64" t="s">
        <v>23</v>
      </c>
      <c r="G5" s="50">
        <v>58</v>
      </c>
      <c r="H5" s="27">
        <f>IF(B$25=0,0,G5/B$25)</f>
        <v>0.56310679611650483</v>
      </c>
      <c r="J5" s="26">
        <v>3</v>
      </c>
      <c r="K5" s="28">
        <v>-70.099999999999994</v>
      </c>
      <c r="M5" s="26" t="s">
        <v>192</v>
      </c>
      <c r="N5" s="45">
        <f t="shared" si="0"/>
        <v>-392.6829268292683</v>
      </c>
      <c r="O5" s="42">
        <v>-16100</v>
      </c>
      <c r="P5" s="37">
        <v>41</v>
      </c>
    </row>
    <row r="6" spans="1:16" x14ac:dyDescent="0.4">
      <c r="A6" s="58" t="s">
        <v>1</v>
      </c>
      <c r="B6" s="88">
        <f>IF(B$2=0,0,(B$7*1+B$8*2+B$9*3)/B$2)</f>
        <v>2.2307692307692308</v>
      </c>
      <c r="C6" s="89"/>
      <c r="E6" s="68" t="s">
        <v>72</v>
      </c>
      <c r="F6" s="64" t="s">
        <v>26</v>
      </c>
      <c r="G6" s="50">
        <v>41</v>
      </c>
      <c r="H6" s="27">
        <f>IF(B$25=0,0,G6/B$25)</f>
        <v>0.39805825242718446</v>
      </c>
      <c r="J6" s="26">
        <v>4</v>
      </c>
      <c r="K6" s="28">
        <v>-35.099999999999994</v>
      </c>
      <c r="M6" s="26" t="s">
        <v>193</v>
      </c>
      <c r="N6" s="45">
        <f t="shared" si="0"/>
        <v>-1064.8648648648648</v>
      </c>
      <c r="O6" s="42">
        <v>-39400</v>
      </c>
      <c r="P6" s="37">
        <v>37</v>
      </c>
    </row>
    <row r="7" spans="1:16" x14ac:dyDescent="0.4">
      <c r="A7" s="58" t="s">
        <v>2</v>
      </c>
      <c r="B7" s="50">
        <v>12</v>
      </c>
      <c r="C7" s="27">
        <f>IF(B$2=0,0,B7/B$2)</f>
        <v>0.23076923076923078</v>
      </c>
      <c r="E7" s="68" t="s">
        <v>74</v>
      </c>
      <c r="F7" s="64" t="s">
        <v>12</v>
      </c>
      <c r="G7" s="50">
        <v>33</v>
      </c>
      <c r="H7" s="27">
        <f>IF(B$25=0,0,G7/B$25)</f>
        <v>0.32038834951456313</v>
      </c>
      <c r="J7" s="26">
        <v>5</v>
      </c>
      <c r="K7" s="28">
        <v>-80.099999999999994</v>
      </c>
      <c r="M7" s="31" t="s">
        <v>194</v>
      </c>
      <c r="N7" s="46">
        <f t="shared" si="0"/>
        <v>3825.9259259259261</v>
      </c>
      <c r="O7" s="43">
        <v>103300</v>
      </c>
      <c r="P7" s="38">
        <v>27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0.30769230769230771</v>
      </c>
      <c r="E8" s="68" t="s">
        <v>96</v>
      </c>
      <c r="F8" s="64" t="s">
        <v>49</v>
      </c>
      <c r="G8" s="50">
        <v>15</v>
      </c>
      <c r="H8" s="27">
        <f>IF(B$25=0,0,G8/B$25)</f>
        <v>0.14563106796116504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24</v>
      </c>
      <c r="C9" s="29">
        <f t="shared" si="1"/>
        <v>0.46153846153846156</v>
      </c>
      <c r="E9" s="68" t="s">
        <v>75</v>
      </c>
      <c r="F9" s="64" t="s">
        <v>28</v>
      </c>
      <c r="G9" s="50">
        <v>15</v>
      </c>
      <c r="H9" s="27">
        <f>IF(B$25=0,0,G9/B$25)</f>
        <v>0.14563106796116504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12</v>
      </c>
      <c r="C10" s="29">
        <f>IF(B$2=0,0,B10/B$2)</f>
        <v>0.23076923076923078</v>
      </c>
      <c r="E10" s="68" t="s">
        <v>76</v>
      </c>
      <c r="F10" s="64" t="s">
        <v>29</v>
      </c>
      <c r="G10" s="50">
        <v>12</v>
      </c>
      <c r="H10" s="27">
        <f>IF(B$25=0,0,G10/B$25)</f>
        <v>0.11650485436893204</v>
      </c>
      <c r="J10" s="26">
        <v>8</v>
      </c>
      <c r="K10" s="28">
        <v>-146</v>
      </c>
    </row>
    <row r="11" spans="1:16" x14ac:dyDescent="0.4">
      <c r="A11" s="60" t="s">
        <v>199</v>
      </c>
      <c r="B11" s="52">
        <v>5</v>
      </c>
      <c r="C11" s="32">
        <f>IF(B$2=0,0,B11/B$2)</f>
        <v>9.6153846153846159E-2</v>
      </c>
      <c r="E11" s="68" t="s">
        <v>70</v>
      </c>
      <c r="F11" s="64" t="s">
        <v>24</v>
      </c>
      <c r="G11" s="50">
        <v>10</v>
      </c>
      <c r="H11" s="27">
        <f>IF(B$25=0,0,G11/B$25)</f>
        <v>9.7087378640776698E-2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106</v>
      </c>
      <c r="C12" s="35">
        <f>IF(B$24=0,0,B12/B$24)</f>
        <v>0.29775280898876405</v>
      </c>
      <c r="E12" s="68" t="s">
        <v>93</v>
      </c>
      <c r="F12" s="64" t="s">
        <v>46</v>
      </c>
      <c r="G12" s="50">
        <v>8</v>
      </c>
      <c r="H12" s="27">
        <f>IF(B$25=0,0,G12/B$25)</f>
        <v>7.7669902912621352E-2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77</v>
      </c>
      <c r="C13" s="27">
        <f>IF(B$24=0,0,B13/B$24)</f>
        <v>0.21629213483146068</v>
      </c>
      <c r="E13" s="68" t="s">
        <v>84</v>
      </c>
      <c r="F13" s="64" t="s">
        <v>37</v>
      </c>
      <c r="G13" s="50">
        <v>7</v>
      </c>
      <c r="H13" s="27">
        <f>IF(B$25=0,0,G13/B$25)</f>
        <v>6.7961165048543687E-2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62</v>
      </c>
      <c r="C14" s="24">
        <f>IF(B$12=0,0,B14/B$12)</f>
        <v>0.58490566037735847</v>
      </c>
      <c r="E14" s="68" t="s">
        <v>77</v>
      </c>
      <c r="F14" s="64" t="s">
        <v>30</v>
      </c>
      <c r="G14" s="50">
        <v>3</v>
      </c>
      <c r="H14" s="27">
        <f>IF(B$25=0,0,G14/B$25)</f>
        <v>2.9126213592233011E-2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30</v>
      </c>
      <c r="C15" s="24">
        <f>IF(B$13=0,0,B15/B$13)</f>
        <v>0.38961038961038963</v>
      </c>
      <c r="E15" s="68" t="s">
        <v>79</v>
      </c>
      <c r="F15" s="64" t="s">
        <v>32</v>
      </c>
      <c r="G15" s="50">
        <v>3</v>
      </c>
      <c r="H15" s="27">
        <f>IF(B$25=0,0,G15/B$25)</f>
        <v>2.9126213592233011E-2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113</v>
      </c>
      <c r="C16" s="24">
        <f>IF(B$3=0,0,B16/B$3)</f>
        <v>0.2875318066157761</v>
      </c>
      <c r="E16" s="68" t="s">
        <v>90</v>
      </c>
      <c r="F16" s="64" t="s">
        <v>43</v>
      </c>
      <c r="G16" s="50">
        <v>3</v>
      </c>
      <c r="H16" s="27">
        <f>IF(B$25=0,0,G16/B$25)</f>
        <v>2.9126213592233011E-2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62</v>
      </c>
      <c r="C17" s="27">
        <f>IF(B$3=0,0,B17/B$3)</f>
        <v>0.15776081424936386</v>
      </c>
      <c r="E17" s="68" t="s">
        <v>88</v>
      </c>
      <c r="F17" s="64" t="s">
        <v>41</v>
      </c>
      <c r="G17" s="50">
        <v>2</v>
      </c>
      <c r="H17" s="27">
        <f>IF(B$25=0,0,G17/B$25)</f>
        <v>1.9417475728155338E-2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51</v>
      </c>
      <c r="C18" s="27">
        <f>IF(B$3=0,0,B18/B$3)</f>
        <v>0.12977099236641221</v>
      </c>
      <c r="E18" s="68" t="s">
        <v>81</v>
      </c>
      <c r="F18" s="64" t="s">
        <v>34</v>
      </c>
      <c r="G18" s="50">
        <v>1</v>
      </c>
      <c r="H18" s="27">
        <f>IF(B$25=0,0,G18/B$25)</f>
        <v>9.7087378640776691E-3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94</v>
      </c>
      <c r="C19" s="27">
        <f>IF(B$3=0,0,B19/B$3)</f>
        <v>0.23918575063613232</v>
      </c>
      <c r="E19" s="68" t="s">
        <v>85</v>
      </c>
      <c r="F19" s="64" t="s">
        <v>38</v>
      </c>
      <c r="G19" s="50">
        <v>1</v>
      </c>
      <c r="H19" s="27">
        <f>IF(B$25=0,0,G19/B$25)</f>
        <v>9.7087378640776691E-3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10749.557522123894</v>
      </c>
      <c r="C20" s="30">
        <v>1214700</v>
      </c>
      <c r="E20" s="68" t="s">
        <v>91</v>
      </c>
      <c r="F20" s="64" t="s">
        <v>44</v>
      </c>
      <c r="G20" s="50">
        <v>1</v>
      </c>
      <c r="H20" s="27">
        <f>IF(B$25=0,0,G20/B$25)</f>
        <v>9.7087378640776691E-3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-10037.234042553191</v>
      </c>
      <c r="C21" s="48">
        <v>-943500</v>
      </c>
      <c r="E21" s="68" t="s">
        <v>98</v>
      </c>
      <c r="F21" s="64" t="s">
        <v>51</v>
      </c>
      <c r="G21" s="50">
        <v>1</v>
      </c>
      <c r="H21" s="27">
        <f>IF(B$25=0,0,G21/B$25)</f>
        <v>9.7087378640776691E-3</v>
      </c>
      <c r="J21" s="26">
        <v>19</v>
      </c>
      <c r="K21" s="28">
        <v>-273.2</v>
      </c>
    </row>
    <row r="22" spans="1:11" x14ac:dyDescent="0.4">
      <c r="A22" s="57" t="s">
        <v>186</v>
      </c>
      <c r="B22" s="49">
        <v>125</v>
      </c>
      <c r="C22" s="24">
        <f>IF(B$3=0,0,B22/B$3)</f>
        <v>0.31806615776081426</v>
      </c>
      <c r="E22" s="68" t="s">
        <v>100</v>
      </c>
      <c r="F22" s="64" t="s">
        <v>53</v>
      </c>
      <c r="G22" s="50">
        <v>1</v>
      </c>
      <c r="H22" s="27">
        <f>IF(B$25=0,0,G22/B$25)</f>
        <v>9.7087378640776691E-3</v>
      </c>
      <c r="J22" s="26">
        <v>20</v>
      </c>
      <c r="K22" s="28">
        <v>-270</v>
      </c>
    </row>
    <row r="23" spans="1:11" x14ac:dyDescent="0.4">
      <c r="A23" s="60" t="s">
        <v>187</v>
      </c>
      <c r="B23" s="52">
        <v>41</v>
      </c>
      <c r="C23" s="32">
        <f>IF(B$22=0,0,B23/B$22)</f>
        <v>0.32800000000000001</v>
      </c>
      <c r="E23" s="68" t="s">
        <v>83</v>
      </c>
      <c r="F23" s="64" t="s">
        <v>36</v>
      </c>
      <c r="G23" s="50">
        <v>1</v>
      </c>
      <c r="H23" s="27">
        <f>IF(B$25=0,0,G23/B$25)</f>
        <v>9.7087378640776691E-3</v>
      </c>
      <c r="J23" s="26">
        <v>21</v>
      </c>
      <c r="K23" s="28">
        <v>-242</v>
      </c>
    </row>
    <row r="24" spans="1:11" x14ac:dyDescent="0.4">
      <c r="A24" s="57" t="s">
        <v>128</v>
      </c>
      <c r="B24" s="90">
        <v>356</v>
      </c>
      <c r="C24" s="91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92">
        <v>103</v>
      </c>
      <c r="C25" s="93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210</v>
      </c>
      <c r="B26" s="86">
        <v>7</v>
      </c>
      <c r="C26" s="87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212</v>
      </c>
      <c r="B27" s="79">
        <v>5</v>
      </c>
      <c r="C27" s="32">
        <f>IF(B$3=0,0,B27/B$3)</f>
        <v>1.2722646310432569E-2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ADD4-9BB6-4A55-AE52-1B3DCC14051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227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5</v>
      </c>
      <c r="C2" s="9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6">
        <v>46</v>
      </c>
      <c r="C3" s="97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190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8">
        <v>89</v>
      </c>
      <c r="C4" s="99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191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8">
        <f>IF(B$2=0,0,B$4/B$2)</f>
        <v>17.8</v>
      </c>
      <c r="C5" s="99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192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88">
        <f>IF(B$2=0,0,(B$7*1+B$8*2+B$9*3)/B$2)</f>
        <v>1.6</v>
      </c>
      <c r="C6" s="8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193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194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46</v>
      </c>
      <c r="C24" s="9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18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CCA6-0ACB-425F-85F8-F5F374C95A61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 t="s">
        <v>229</v>
      </c>
      <c r="C1" s="95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90">
        <v>7</v>
      </c>
      <c r="C2" s="91"/>
      <c r="E2" s="67" t="s">
        <v>73</v>
      </c>
      <c r="F2" s="63" t="s">
        <v>27</v>
      </c>
      <c r="G2" s="49">
        <v>18</v>
      </c>
      <c r="H2" s="24">
        <f>IF(B$25=0,0,G2/B$25)</f>
        <v>1.6363636363636365</v>
      </c>
      <c r="J2" s="23">
        <v>0</v>
      </c>
      <c r="K2" s="25">
        <v>0</v>
      </c>
      <c r="M2" s="23" t="s">
        <v>189</v>
      </c>
      <c r="N2" s="44">
        <f t="shared" ref="N2:N7" si="0">IF(P2=0,0,O2/P2)</f>
        <v>-685.71428571428567</v>
      </c>
      <c r="O2" s="41">
        <v>-4800</v>
      </c>
      <c r="P2" s="39">
        <v>7</v>
      </c>
    </row>
    <row r="3" spans="1:16" x14ac:dyDescent="0.4">
      <c r="A3" s="58" t="s">
        <v>8</v>
      </c>
      <c r="B3" s="96">
        <v>48</v>
      </c>
      <c r="C3" s="97"/>
      <c r="E3" s="68" t="s">
        <v>71</v>
      </c>
      <c r="F3" s="64" t="s">
        <v>25</v>
      </c>
      <c r="G3" s="50">
        <v>12</v>
      </c>
      <c r="H3" s="27">
        <f>IF(B$25=0,0,G3/B$25)</f>
        <v>1.0909090909090908</v>
      </c>
      <c r="J3" s="26">
        <v>1</v>
      </c>
      <c r="K3" s="28">
        <v>15</v>
      </c>
      <c r="M3" s="26" t="s">
        <v>190</v>
      </c>
      <c r="N3" s="45">
        <f t="shared" si="0"/>
        <v>6071.4285714285716</v>
      </c>
      <c r="O3" s="42">
        <v>42500</v>
      </c>
      <c r="P3" s="37">
        <v>7</v>
      </c>
    </row>
    <row r="4" spans="1:16" x14ac:dyDescent="0.4">
      <c r="A4" s="58" t="s">
        <v>6</v>
      </c>
      <c r="B4" s="98">
        <v>27.200000000000003</v>
      </c>
      <c r="C4" s="99"/>
      <c r="E4" s="68" t="s">
        <v>78</v>
      </c>
      <c r="F4" s="64" t="s">
        <v>31</v>
      </c>
      <c r="G4" s="50">
        <v>10</v>
      </c>
      <c r="H4" s="27">
        <f>IF(B$25=0,0,G4/B$25)</f>
        <v>0.90909090909090906</v>
      </c>
      <c r="J4" s="26">
        <v>2</v>
      </c>
      <c r="K4" s="28">
        <v>-24.299999999999997</v>
      </c>
      <c r="M4" s="26" t="s">
        <v>191</v>
      </c>
      <c r="N4" s="45">
        <f t="shared" si="0"/>
        <v>540</v>
      </c>
      <c r="O4" s="42">
        <v>2700</v>
      </c>
      <c r="P4" s="37">
        <v>5</v>
      </c>
    </row>
    <row r="5" spans="1:16" x14ac:dyDescent="0.4">
      <c r="A5" s="58" t="s">
        <v>7</v>
      </c>
      <c r="B5" s="98">
        <f>IF(B$2=0,0,B$4/B$2)</f>
        <v>3.8857142857142861</v>
      </c>
      <c r="C5" s="99"/>
      <c r="E5" s="68" t="s">
        <v>90</v>
      </c>
      <c r="F5" s="64" t="s">
        <v>43</v>
      </c>
      <c r="G5" s="50">
        <v>4</v>
      </c>
      <c r="H5" s="27">
        <f>IF(B$25=0,0,G5/B$25)</f>
        <v>0.36363636363636365</v>
      </c>
      <c r="J5" s="26">
        <v>3</v>
      </c>
      <c r="K5" s="28">
        <v>-15.599999999999998</v>
      </c>
      <c r="M5" s="26" t="s">
        <v>192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88">
        <f>IF(B$2=0,0,(B$7*1+B$8*2+B$9*3)/B$2)</f>
        <v>2.1428571428571428</v>
      </c>
      <c r="C6" s="89"/>
      <c r="E6" s="68" t="s">
        <v>96</v>
      </c>
      <c r="F6" s="64" t="s">
        <v>49</v>
      </c>
      <c r="G6" s="50">
        <v>3</v>
      </c>
      <c r="H6" s="27">
        <f>IF(B$25=0,0,G6/B$25)</f>
        <v>0.27272727272727271</v>
      </c>
      <c r="J6" s="26">
        <v>4</v>
      </c>
      <c r="K6" s="28">
        <v>5.1000000000000014</v>
      </c>
      <c r="M6" s="26" t="s">
        <v>193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1</v>
      </c>
      <c r="C7" s="27">
        <f>IF(B$2=0,0,B7/B$2)</f>
        <v>0.14285714285714285</v>
      </c>
      <c r="E7" s="68" t="s">
        <v>69</v>
      </c>
      <c r="F7" s="64" t="s">
        <v>23</v>
      </c>
      <c r="G7" s="50">
        <v>1</v>
      </c>
      <c r="H7" s="27">
        <f>IF(B$25=0,0,G7/B$25)</f>
        <v>9.0909090909090912E-2</v>
      </c>
      <c r="J7" s="26">
        <v>5</v>
      </c>
      <c r="K7" s="28">
        <v>9.6000000000000014</v>
      </c>
      <c r="M7" s="31" t="s">
        <v>194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0.5714285714285714</v>
      </c>
      <c r="E8" s="68" t="s">
        <v>76</v>
      </c>
      <c r="F8" s="64" t="s">
        <v>29</v>
      </c>
      <c r="G8" s="50">
        <v>1</v>
      </c>
      <c r="H8" s="27">
        <f>IF(B$25=0,0,G8/B$25)</f>
        <v>9.0909090909090912E-2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0.2857142857142857</v>
      </c>
      <c r="E9" s="68" t="s">
        <v>85</v>
      </c>
      <c r="F9" s="64" t="s">
        <v>38</v>
      </c>
      <c r="G9" s="50">
        <v>1</v>
      </c>
      <c r="H9" s="27">
        <f>IF(B$25=0,0,G9/B$25)</f>
        <v>9.0909090909090912E-2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1</v>
      </c>
      <c r="C10" s="29">
        <f>IF(B$2=0,0,B10/B$2)</f>
        <v>0.14285714285714285</v>
      </c>
      <c r="E10" s="68" t="s">
        <v>92</v>
      </c>
      <c r="F10" s="64" t="s">
        <v>45</v>
      </c>
      <c r="G10" s="50">
        <v>1</v>
      </c>
      <c r="H10" s="27">
        <f>IF(B$25=0,0,G10/B$25)</f>
        <v>9.0909090909090912E-2</v>
      </c>
    </row>
    <row r="11" spans="1:16" x14ac:dyDescent="0.4">
      <c r="A11" s="60" t="s">
        <v>199</v>
      </c>
      <c r="B11" s="52">
        <v>1</v>
      </c>
      <c r="C11" s="32">
        <f>IF(B$2=0,0,B11/B$2)</f>
        <v>0.14285714285714285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6.25E-2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23</v>
      </c>
      <c r="C13" s="27">
        <f>IF(B$24=0,0,B13/B$24)</f>
        <v>0.47916666666666669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10</v>
      </c>
      <c r="C15" s="24">
        <f>IF(B$13=0,0,B15/B$13)</f>
        <v>0.43478260869565216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11</v>
      </c>
      <c r="C16" s="24">
        <f>IF(B$3=0,0,B16/B$3)</f>
        <v>0.22916666666666666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10</v>
      </c>
      <c r="C17" s="27">
        <f>IF(B$3=0,0,B17/B$3)</f>
        <v>0.20833333333333334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2.0833333333333332E-2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0.14583333333333334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10354.545454545454</v>
      </c>
      <c r="C20" s="30">
        <v>113900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11</v>
      </c>
      <c r="C22" s="24">
        <f>IF(B$3=0,0,B22/B$3)</f>
        <v>0.22916666666666666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2</v>
      </c>
      <c r="C23" s="32">
        <f>IF(B$22=0,0,B23/B$22)</f>
        <v>0.18181818181818182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90">
        <v>48</v>
      </c>
      <c r="C24" s="9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92">
        <v>11</v>
      </c>
      <c r="C25" s="9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4"/>
      <c r="C1" s="95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">
      <c r="A2" s="57" t="s">
        <v>9</v>
      </c>
      <c r="B2" s="90">
        <v>0</v>
      </c>
      <c r="C2" s="9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6">
        <v>0</v>
      </c>
      <c r="C3" s="97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190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8">
        <v>0</v>
      </c>
      <c r="C4" s="99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191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8">
        <f>IF(B$2=0,0,B$4/B$2)</f>
        <v>0</v>
      </c>
      <c r="C5" s="99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192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88">
        <f>IF(B$2=0,0,(B$7*1+B$8*2+B$9*3)/B$2)</f>
        <v>0</v>
      </c>
      <c r="C6" s="8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193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90">
        <v>0</v>
      </c>
      <c r="C24" s="9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92">
        <v>0</v>
      </c>
      <c r="C25" s="9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210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0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223</v>
      </c>
      <c r="B32" s="75">
        <v>43475.056238425925</v>
      </c>
      <c r="C32" s="74" t="s">
        <v>166</v>
      </c>
    </row>
    <row r="33" spans="1:10" x14ac:dyDescent="0.4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235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2019-01-19T17:41:41Z</dcterms:modified>
</cp:coreProperties>
</file>