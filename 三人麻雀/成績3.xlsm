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77884608-D29F-4DD8-AD56-6CE4D138BB61}" xr6:coauthVersionLast="31" xr6:coauthVersionMax="40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だいち" sheetId="2370" r:id="rId2"/>
    <sheet name="かこたろう" sheetId="2371" r:id="rId3"/>
    <sheet name="ともき" sheetId="2372" r:id="rId4"/>
    <sheet name="りくと" sheetId="2373" r:id="rId5"/>
    <sheet name="いっしー" sheetId="2374" r:id="rId6"/>
    <sheet name="がくと" sheetId="2375" r:id="rId7"/>
    <sheet name="たかの" sheetId="2376" r:id="rId8"/>
    <sheet name="ただ" sheetId="2377" r:id="rId9"/>
    <sheet name="やがさき" sheetId="2378" r:id="rId10"/>
    <sheet name="れんたろう" sheetId="2379" r:id="rId11"/>
    <sheet name="Template" sheetId="2228" state="hidden" r:id="rId12"/>
    <sheet name="Cache" sheetId="2227" state="hidden" r:id="rId13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2379" l="1"/>
  <c r="H50" i="2379"/>
  <c r="H49" i="2379"/>
  <c r="H48" i="2379"/>
  <c r="H47" i="2379"/>
  <c r="H46" i="2379"/>
  <c r="H45" i="2379"/>
  <c r="H44" i="2379"/>
  <c r="H43" i="2379"/>
  <c r="H42" i="2379"/>
  <c r="H41" i="2379"/>
  <c r="H40" i="2379"/>
  <c r="H39" i="2379"/>
  <c r="H38" i="2379"/>
  <c r="H37" i="2379"/>
  <c r="H36" i="2379"/>
  <c r="H35" i="2379"/>
  <c r="H34" i="2379"/>
  <c r="H18" i="2379"/>
  <c r="H33" i="2379"/>
  <c r="H32" i="2379"/>
  <c r="H31" i="2379"/>
  <c r="H8" i="2379"/>
  <c r="H30" i="2379"/>
  <c r="H29" i="2379"/>
  <c r="H16" i="2379"/>
  <c r="H28" i="2379"/>
  <c r="H27" i="2379"/>
  <c r="H13" i="2379"/>
  <c r="C23" i="2379"/>
  <c r="H26" i="2379"/>
  <c r="C22" i="2379"/>
  <c r="H15" i="2379"/>
  <c r="B21" i="2379"/>
  <c r="H25" i="2379"/>
  <c r="H24" i="2379"/>
  <c r="C19" i="2379"/>
  <c r="H23" i="2379"/>
  <c r="C18" i="2379"/>
  <c r="H10" i="2379"/>
  <c r="C17" i="2379"/>
  <c r="H22" i="2379"/>
  <c r="B16" i="2379"/>
  <c r="B20" i="2379" s="1"/>
  <c r="H21" i="2379"/>
  <c r="C15" i="2379"/>
  <c r="H17" i="2379"/>
  <c r="C14" i="2379"/>
  <c r="H20" i="2379"/>
  <c r="C13" i="2379"/>
  <c r="H14" i="2379"/>
  <c r="C12" i="2379"/>
  <c r="H3" i="2379"/>
  <c r="C11" i="2379"/>
  <c r="H19" i="2379"/>
  <c r="C10" i="2379"/>
  <c r="H11" i="2379"/>
  <c r="C9" i="2379"/>
  <c r="H9" i="2379"/>
  <c r="C8" i="2379"/>
  <c r="N7" i="2379"/>
  <c r="H6" i="2379"/>
  <c r="C7" i="2379"/>
  <c r="N6" i="2379"/>
  <c r="H2" i="2379"/>
  <c r="B6" i="2379"/>
  <c r="N5" i="2379"/>
  <c r="H7" i="2379"/>
  <c r="B5" i="2379"/>
  <c r="N4" i="2379"/>
  <c r="H4" i="2379"/>
  <c r="N3" i="2379"/>
  <c r="H12" i="2379"/>
  <c r="N2" i="2379"/>
  <c r="H5" i="2379"/>
  <c r="C16" i="2379" l="1"/>
  <c r="H51" i="2378"/>
  <c r="H50" i="2378"/>
  <c r="H49" i="2378"/>
  <c r="H48" i="2378"/>
  <c r="H47" i="2378"/>
  <c r="H46" i="2378"/>
  <c r="H45" i="2378"/>
  <c r="H44" i="2378"/>
  <c r="H43" i="2378"/>
  <c r="H42" i="2378"/>
  <c r="H41" i="2378"/>
  <c r="H40" i="2378"/>
  <c r="H39" i="2378"/>
  <c r="H38" i="2378"/>
  <c r="H37" i="2378"/>
  <c r="H36" i="2378"/>
  <c r="H35" i="2378"/>
  <c r="H34" i="2378"/>
  <c r="H33" i="2378"/>
  <c r="H32" i="2378"/>
  <c r="H31" i="2378"/>
  <c r="H30" i="2378"/>
  <c r="H29" i="2378"/>
  <c r="H28" i="2378"/>
  <c r="H27" i="2378"/>
  <c r="H26" i="2378"/>
  <c r="H25" i="2378"/>
  <c r="H24" i="2378"/>
  <c r="H23" i="2378"/>
  <c r="C23" i="2378"/>
  <c r="H22" i="2378"/>
  <c r="C22" i="2378"/>
  <c r="H21" i="2378"/>
  <c r="B21" i="2378"/>
  <c r="H20" i="2378"/>
  <c r="H19" i="2378"/>
  <c r="C19" i="2378"/>
  <c r="H18" i="2378"/>
  <c r="C18" i="2378"/>
  <c r="H17" i="2378"/>
  <c r="C17" i="2378"/>
  <c r="H16" i="2378"/>
  <c r="B16" i="2378"/>
  <c r="B20" i="2378" s="1"/>
  <c r="H15" i="2378"/>
  <c r="C15" i="2378"/>
  <c r="H14" i="2378"/>
  <c r="C14" i="2378"/>
  <c r="H13" i="2378"/>
  <c r="C13" i="2378"/>
  <c r="H12" i="2378"/>
  <c r="C12" i="2378"/>
  <c r="H11" i="2378"/>
  <c r="C11" i="2378"/>
  <c r="H10" i="2378"/>
  <c r="C10" i="2378"/>
  <c r="H9" i="2378"/>
  <c r="C9" i="2378"/>
  <c r="H8" i="2378"/>
  <c r="C8" i="2378"/>
  <c r="N7" i="2378"/>
  <c r="H7" i="2378"/>
  <c r="C7" i="2378"/>
  <c r="N6" i="2378"/>
  <c r="H6" i="2378"/>
  <c r="B6" i="2378"/>
  <c r="N5" i="2378"/>
  <c r="H5" i="2378"/>
  <c r="B5" i="2378"/>
  <c r="N4" i="2378"/>
  <c r="H4" i="2378"/>
  <c r="N3" i="2378"/>
  <c r="H3" i="2378"/>
  <c r="N2" i="2378"/>
  <c r="H2" i="2378"/>
  <c r="C16" i="2378" l="1"/>
  <c r="H51" i="2377" l="1"/>
  <c r="H50" i="2377"/>
  <c r="H49" i="2377"/>
  <c r="H48" i="2377"/>
  <c r="H47" i="2377"/>
  <c r="H46" i="2377"/>
  <c r="H45" i="2377"/>
  <c r="H44" i="2377"/>
  <c r="H43" i="2377"/>
  <c r="H42" i="2377"/>
  <c r="H41" i="2377"/>
  <c r="H40" i="2377"/>
  <c r="H39" i="2377"/>
  <c r="H38" i="2377"/>
  <c r="H37" i="2377"/>
  <c r="H36" i="2377"/>
  <c r="H35" i="2377"/>
  <c r="H34" i="2377"/>
  <c r="H33" i="2377"/>
  <c r="H32" i="2377"/>
  <c r="H18" i="2377"/>
  <c r="H31" i="2377"/>
  <c r="H9" i="2377"/>
  <c r="H30" i="2377"/>
  <c r="H29" i="2377"/>
  <c r="H13" i="2377"/>
  <c r="H28" i="2377"/>
  <c r="H27" i="2377"/>
  <c r="H17" i="2377"/>
  <c r="C23" i="2377"/>
  <c r="H26" i="2377"/>
  <c r="C22" i="2377"/>
  <c r="H16" i="2377"/>
  <c r="B21" i="2377"/>
  <c r="H25" i="2377"/>
  <c r="H24" i="2377"/>
  <c r="C19" i="2377"/>
  <c r="H23" i="2377"/>
  <c r="C18" i="2377"/>
  <c r="H14" i="2377"/>
  <c r="C17" i="2377"/>
  <c r="H22" i="2377"/>
  <c r="B16" i="2377"/>
  <c r="B20" i="2377" s="1"/>
  <c r="H21" i="2377"/>
  <c r="C15" i="2377"/>
  <c r="H20" i="2377"/>
  <c r="C14" i="2377"/>
  <c r="H15" i="2377"/>
  <c r="C13" i="2377"/>
  <c r="H19" i="2377"/>
  <c r="C12" i="2377"/>
  <c r="H5" i="2377"/>
  <c r="C11" i="2377"/>
  <c r="H12" i="2377"/>
  <c r="C10" i="2377"/>
  <c r="H11" i="2377"/>
  <c r="C9" i="2377"/>
  <c r="H8" i="2377"/>
  <c r="C8" i="2377"/>
  <c r="N7" i="2377"/>
  <c r="H7" i="2377"/>
  <c r="C7" i="2377"/>
  <c r="N6" i="2377"/>
  <c r="H3" i="2377"/>
  <c r="B6" i="2377"/>
  <c r="N5" i="2377"/>
  <c r="H6" i="2377"/>
  <c r="B5" i="2377"/>
  <c r="N4" i="2377"/>
  <c r="H2" i="2377"/>
  <c r="N3" i="2377"/>
  <c r="H10" i="2377"/>
  <c r="N2" i="2377"/>
  <c r="H4" i="2377"/>
  <c r="H51" i="2376"/>
  <c r="H50" i="2376"/>
  <c r="H49" i="2376"/>
  <c r="H48" i="2376"/>
  <c r="H47" i="2376"/>
  <c r="H46" i="2376"/>
  <c r="H45" i="2376"/>
  <c r="H44" i="2376"/>
  <c r="H43" i="2376"/>
  <c r="H42" i="2376"/>
  <c r="H41" i="2376"/>
  <c r="H40" i="2376"/>
  <c r="H39" i="2376"/>
  <c r="H38" i="2376"/>
  <c r="H37" i="2376"/>
  <c r="H36" i="2376"/>
  <c r="H35" i="2376"/>
  <c r="H34" i="2376"/>
  <c r="H33" i="2376"/>
  <c r="H32" i="2376"/>
  <c r="H31" i="2376"/>
  <c r="H30" i="2376"/>
  <c r="H8" i="2376"/>
  <c r="H29" i="2376"/>
  <c r="H28" i="2376"/>
  <c r="H10" i="2376"/>
  <c r="H27" i="2376"/>
  <c r="H26" i="2376"/>
  <c r="H16" i="2376"/>
  <c r="C23" i="2376"/>
  <c r="H25" i="2376"/>
  <c r="C22" i="2376"/>
  <c r="H15" i="2376"/>
  <c r="B21" i="2376"/>
  <c r="H24" i="2376"/>
  <c r="H23" i="2376"/>
  <c r="C19" i="2376"/>
  <c r="H9" i="2376"/>
  <c r="C18" i="2376"/>
  <c r="H14" i="2376"/>
  <c r="C17" i="2376"/>
  <c r="H22" i="2376"/>
  <c r="B16" i="2376"/>
  <c r="B20" i="2376" s="1"/>
  <c r="H21" i="2376"/>
  <c r="C15" i="2376"/>
  <c r="H13" i="2376"/>
  <c r="C14" i="2376"/>
  <c r="H20" i="2376"/>
  <c r="C13" i="2376"/>
  <c r="H19" i="2376"/>
  <c r="C12" i="2376"/>
  <c r="H4" i="2376"/>
  <c r="C11" i="2376"/>
  <c r="H18" i="2376"/>
  <c r="C10" i="2376"/>
  <c r="H12" i="2376"/>
  <c r="C9" i="2376"/>
  <c r="H11" i="2376"/>
  <c r="C8" i="2376"/>
  <c r="N7" i="2376"/>
  <c r="H7" i="2376"/>
  <c r="C7" i="2376"/>
  <c r="N6" i="2376"/>
  <c r="H2" i="2376"/>
  <c r="B6" i="2376"/>
  <c r="N5" i="2376"/>
  <c r="H17" i="2376"/>
  <c r="B5" i="2376"/>
  <c r="N4" i="2376"/>
  <c r="H3" i="2376"/>
  <c r="N3" i="2376"/>
  <c r="H6" i="2376"/>
  <c r="N2" i="2376"/>
  <c r="H5" i="2376"/>
  <c r="C16" i="2377" l="1"/>
  <c r="C16" i="2376"/>
  <c r="H51" i="2375" l="1"/>
  <c r="H50" i="2375"/>
  <c r="H49" i="2375"/>
  <c r="H48" i="2375"/>
  <c r="H47" i="2375"/>
  <c r="H46" i="2375"/>
  <c r="H45" i="2375"/>
  <c r="H44" i="2375"/>
  <c r="H43" i="2375"/>
  <c r="H42" i="2375"/>
  <c r="H41" i="2375"/>
  <c r="H40" i="2375"/>
  <c r="H39" i="2375"/>
  <c r="H38" i="2375"/>
  <c r="H37" i="2375"/>
  <c r="H36" i="2375"/>
  <c r="H35" i="2375"/>
  <c r="H34" i="2375"/>
  <c r="H33" i="2375"/>
  <c r="H32" i="2375"/>
  <c r="H31" i="2375"/>
  <c r="H30" i="2375"/>
  <c r="H29" i="2375"/>
  <c r="H28" i="2375"/>
  <c r="H27" i="2375"/>
  <c r="H26" i="2375"/>
  <c r="H25" i="2375"/>
  <c r="H24" i="2375"/>
  <c r="H23" i="2375"/>
  <c r="C23" i="2375"/>
  <c r="H22" i="2375"/>
  <c r="C22" i="2375"/>
  <c r="H21" i="2375"/>
  <c r="B21" i="2375"/>
  <c r="H20" i="2375"/>
  <c r="H19" i="2375"/>
  <c r="C19" i="2375"/>
  <c r="H18" i="2375"/>
  <c r="C18" i="2375"/>
  <c r="H17" i="2375"/>
  <c r="C17" i="2375"/>
  <c r="H16" i="2375"/>
  <c r="C16" i="2375"/>
  <c r="B16" i="2375"/>
  <c r="B20" i="2375" s="1"/>
  <c r="H15" i="2375"/>
  <c r="C15" i="2375"/>
  <c r="H14" i="2375"/>
  <c r="C14" i="2375"/>
  <c r="H13" i="2375"/>
  <c r="C13" i="2375"/>
  <c r="H12" i="2375"/>
  <c r="C12" i="2375"/>
  <c r="H11" i="2375"/>
  <c r="C11" i="2375"/>
  <c r="H10" i="2375"/>
  <c r="C10" i="2375"/>
  <c r="H9" i="2375"/>
  <c r="C9" i="2375"/>
  <c r="H8" i="2375"/>
  <c r="C8" i="2375"/>
  <c r="N7" i="2375"/>
  <c r="H7" i="2375"/>
  <c r="C7" i="2375"/>
  <c r="N6" i="2375"/>
  <c r="H6" i="2375"/>
  <c r="B6" i="2375"/>
  <c r="N5" i="2375"/>
  <c r="H5" i="2375"/>
  <c r="B5" i="2375"/>
  <c r="N4" i="2375"/>
  <c r="H4" i="2375"/>
  <c r="N3" i="2375"/>
  <c r="H3" i="2375"/>
  <c r="N2" i="2375"/>
  <c r="H2" i="2375"/>
  <c r="H51" i="2374" l="1"/>
  <c r="H50" i="2374"/>
  <c r="H49" i="2374"/>
  <c r="H48" i="2374"/>
  <c r="H47" i="2374"/>
  <c r="H46" i="2374"/>
  <c r="H45" i="2374"/>
  <c r="H44" i="2374"/>
  <c r="H43" i="2374"/>
  <c r="H42" i="2374"/>
  <c r="H41" i="2374"/>
  <c r="H40" i="2374"/>
  <c r="H39" i="2374"/>
  <c r="H38" i="2374"/>
  <c r="H37" i="2374"/>
  <c r="H36" i="2374"/>
  <c r="H35" i="2374"/>
  <c r="H34" i="2374"/>
  <c r="H33" i="2374"/>
  <c r="H32" i="2374"/>
  <c r="H31" i="2374"/>
  <c r="H30" i="2374"/>
  <c r="H12" i="2374"/>
  <c r="H29" i="2374"/>
  <c r="H28" i="2374"/>
  <c r="H27" i="2374"/>
  <c r="H26" i="2374"/>
  <c r="H25" i="2374"/>
  <c r="H8" i="2374"/>
  <c r="C23" i="2374"/>
  <c r="H24" i="2374"/>
  <c r="C22" i="2374"/>
  <c r="H10" i="2374"/>
  <c r="B21" i="2374"/>
  <c r="H23" i="2374"/>
  <c r="H22" i="2374"/>
  <c r="C19" i="2374"/>
  <c r="H21" i="2374"/>
  <c r="C18" i="2374"/>
  <c r="H20" i="2374"/>
  <c r="C17" i="2374"/>
  <c r="H19" i="2374"/>
  <c r="B16" i="2374"/>
  <c r="B20" i="2374" s="1"/>
  <c r="H18" i="2374"/>
  <c r="C15" i="2374"/>
  <c r="H17" i="2374"/>
  <c r="C14" i="2374"/>
  <c r="H16" i="2374"/>
  <c r="C13" i="2374"/>
  <c r="H15" i="2374"/>
  <c r="C12" i="2374"/>
  <c r="H4" i="2374"/>
  <c r="C11" i="2374"/>
  <c r="H14" i="2374"/>
  <c r="C10" i="2374"/>
  <c r="H13" i="2374"/>
  <c r="C9" i="2374"/>
  <c r="H9" i="2374"/>
  <c r="C8" i="2374"/>
  <c r="N7" i="2374"/>
  <c r="H7" i="2374"/>
  <c r="C7" i="2374"/>
  <c r="N6" i="2374"/>
  <c r="H3" i="2374"/>
  <c r="B6" i="2374"/>
  <c r="N5" i="2374"/>
  <c r="H6" i="2374"/>
  <c r="B5" i="2374"/>
  <c r="N4" i="2374"/>
  <c r="H2" i="2374"/>
  <c r="N3" i="2374"/>
  <c r="H11" i="2374"/>
  <c r="N2" i="2374"/>
  <c r="H5" i="2374"/>
  <c r="H51" i="2373"/>
  <c r="H50" i="2373"/>
  <c r="H49" i="2373"/>
  <c r="H48" i="2373"/>
  <c r="H47" i="2373"/>
  <c r="H46" i="2373"/>
  <c r="H45" i="2373"/>
  <c r="H44" i="2373"/>
  <c r="H43" i="2373"/>
  <c r="H42" i="2373"/>
  <c r="H41" i="2373"/>
  <c r="H40" i="2373"/>
  <c r="H39" i="2373"/>
  <c r="H38" i="2373"/>
  <c r="H37" i="2373"/>
  <c r="H36" i="2373"/>
  <c r="H35" i="2373"/>
  <c r="H34" i="2373"/>
  <c r="H33" i="2373"/>
  <c r="H17" i="2373"/>
  <c r="H14" i="2373"/>
  <c r="H32" i="2373"/>
  <c r="H8" i="2373"/>
  <c r="H23" i="2373"/>
  <c r="H22" i="2373"/>
  <c r="H11" i="2373"/>
  <c r="H21" i="2373"/>
  <c r="H20" i="2373"/>
  <c r="H13" i="2373"/>
  <c r="C23" i="2373"/>
  <c r="H31" i="2373"/>
  <c r="C22" i="2373"/>
  <c r="H15" i="2373"/>
  <c r="B21" i="2373"/>
  <c r="H24" i="2373"/>
  <c r="H30" i="2373"/>
  <c r="C19" i="2373"/>
  <c r="H19" i="2373"/>
  <c r="C18" i="2373"/>
  <c r="H18" i="2373"/>
  <c r="C17" i="2373"/>
  <c r="H29" i="2373"/>
  <c r="B16" i="2373"/>
  <c r="B20" i="2373" s="1"/>
  <c r="H28" i="2373"/>
  <c r="C15" i="2373"/>
  <c r="H27" i="2373"/>
  <c r="C14" i="2373"/>
  <c r="H26" i="2373"/>
  <c r="C13" i="2373"/>
  <c r="H25" i="2373"/>
  <c r="C12" i="2373"/>
  <c r="H5" i="2373"/>
  <c r="C11" i="2373"/>
  <c r="H16" i="2373"/>
  <c r="C10" i="2373"/>
  <c r="H9" i="2373"/>
  <c r="C9" i="2373"/>
  <c r="H10" i="2373"/>
  <c r="C8" i="2373"/>
  <c r="N7" i="2373"/>
  <c r="H6" i="2373"/>
  <c r="C7" i="2373"/>
  <c r="N6" i="2373"/>
  <c r="H2" i="2373"/>
  <c r="B6" i="2373"/>
  <c r="N5" i="2373"/>
  <c r="H7" i="2373"/>
  <c r="B5" i="2373"/>
  <c r="N4" i="2373"/>
  <c r="H4" i="2373"/>
  <c r="N3" i="2373"/>
  <c r="H12" i="2373"/>
  <c r="N2" i="2373"/>
  <c r="H3" i="2373"/>
  <c r="C16" i="2374" l="1"/>
  <c r="C16" i="2373"/>
  <c r="H51" i="2372" l="1"/>
  <c r="H50" i="2372"/>
  <c r="H49" i="2372"/>
  <c r="H48" i="2372"/>
  <c r="H47" i="2372"/>
  <c r="H46" i="2372"/>
  <c r="H45" i="2372"/>
  <c r="H44" i="2372"/>
  <c r="H43" i="2372"/>
  <c r="H42" i="2372"/>
  <c r="H41" i="2372"/>
  <c r="H40" i="2372"/>
  <c r="H39" i="2372"/>
  <c r="H38" i="2372"/>
  <c r="H37" i="2372"/>
  <c r="H36" i="2372"/>
  <c r="H35" i="2372"/>
  <c r="H34" i="2372"/>
  <c r="H33" i="2372"/>
  <c r="H32" i="2372"/>
  <c r="H31" i="2372"/>
  <c r="H30" i="2372"/>
  <c r="H29" i="2372"/>
  <c r="H28" i="2372"/>
  <c r="H27" i="2372"/>
  <c r="H26" i="2372"/>
  <c r="H25" i="2372"/>
  <c r="H24" i="2372"/>
  <c r="H23" i="2372"/>
  <c r="C23" i="2372"/>
  <c r="H22" i="2372"/>
  <c r="C22" i="2372"/>
  <c r="H21" i="2372"/>
  <c r="B21" i="2372"/>
  <c r="H20" i="2372"/>
  <c r="H19" i="2372"/>
  <c r="C19" i="2372"/>
  <c r="H18" i="2372"/>
  <c r="C18" i="2372"/>
  <c r="H17" i="2372"/>
  <c r="C17" i="2372"/>
  <c r="H16" i="2372"/>
  <c r="B16" i="2372"/>
  <c r="B20" i="2372" s="1"/>
  <c r="H15" i="2372"/>
  <c r="C15" i="2372"/>
  <c r="H14" i="2372"/>
  <c r="C14" i="2372"/>
  <c r="H13" i="2372"/>
  <c r="C13" i="2372"/>
  <c r="H12" i="2372"/>
  <c r="C12" i="2372"/>
  <c r="H11" i="2372"/>
  <c r="C11" i="2372"/>
  <c r="H10" i="2372"/>
  <c r="C10" i="2372"/>
  <c r="H9" i="2372"/>
  <c r="C9" i="2372"/>
  <c r="H8" i="2372"/>
  <c r="C8" i="2372"/>
  <c r="N7" i="2372"/>
  <c r="H7" i="2372"/>
  <c r="C7" i="2372"/>
  <c r="N6" i="2372"/>
  <c r="H6" i="2372"/>
  <c r="B6" i="2372"/>
  <c r="N5" i="2372"/>
  <c r="H5" i="2372"/>
  <c r="B5" i="2372"/>
  <c r="N4" i="2372"/>
  <c r="H4" i="2372"/>
  <c r="N3" i="2372"/>
  <c r="H3" i="2372"/>
  <c r="N2" i="2372"/>
  <c r="H2" i="2372"/>
  <c r="H51" i="2371"/>
  <c r="H50" i="2371"/>
  <c r="H49" i="2371"/>
  <c r="H48" i="2371"/>
  <c r="H47" i="2371"/>
  <c r="H46" i="2371"/>
  <c r="H45" i="2371"/>
  <c r="H44" i="2371"/>
  <c r="H43" i="2371"/>
  <c r="H42" i="2371"/>
  <c r="H41" i="2371"/>
  <c r="H40" i="2371"/>
  <c r="H39" i="2371"/>
  <c r="H38" i="2371"/>
  <c r="H37" i="2371"/>
  <c r="H36" i="2371"/>
  <c r="H35" i="2371"/>
  <c r="H34" i="2371"/>
  <c r="H33" i="2371"/>
  <c r="H32" i="2371"/>
  <c r="H31" i="2371"/>
  <c r="H30" i="2371"/>
  <c r="H29" i="2371"/>
  <c r="H28" i="2371"/>
  <c r="H27" i="2371"/>
  <c r="H26" i="2371"/>
  <c r="H25" i="2371"/>
  <c r="H24" i="2371"/>
  <c r="H23" i="2371"/>
  <c r="C23" i="2371"/>
  <c r="H22" i="2371"/>
  <c r="C22" i="2371"/>
  <c r="H21" i="2371"/>
  <c r="B21" i="2371"/>
  <c r="H20" i="2371"/>
  <c r="H19" i="2371"/>
  <c r="C19" i="2371"/>
  <c r="H18" i="2371"/>
  <c r="C18" i="2371"/>
  <c r="H17" i="2371"/>
  <c r="C17" i="2371"/>
  <c r="H16" i="2371"/>
  <c r="C16" i="2371"/>
  <c r="B16" i="2371"/>
  <c r="B20" i="2371" s="1"/>
  <c r="H15" i="2371"/>
  <c r="C15" i="2371"/>
  <c r="H14" i="2371"/>
  <c r="C14" i="2371"/>
  <c r="H13" i="2371"/>
  <c r="C13" i="2371"/>
  <c r="H12" i="2371"/>
  <c r="C12" i="2371"/>
  <c r="H11" i="2371"/>
  <c r="C11" i="2371"/>
  <c r="H10" i="2371"/>
  <c r="C10" i="2371"/>
  <c r="H9" i="2371"/>
  <c r="C9" i="2371"/>
  <c r="H8" i="2371"/>
  <c r="C8" i="2371"/>
  <c r="N7" i="2371"/>
  <c r="H7" i="2371"/>
  <c r="C7" i="2371"/>
  <c r="N6" i="2371"/>
  <c r="H6" i="2371"/>
  <c r="B6" i="2371"/>
  <c r="N5" i="2371"/>
  <c r="H5" i="2371"/>
  <c r="B5" i="2371"/>
  <c r="N4" i="2371"/>
  <c r="H4" i="2371"/>
  <c r="N3" i="2371"/>
  <c r="H3" i="2371"/>
  <c r="N2" i="2371"/>
  <c r="H2" i="2371"/>
  <c r="H51" i="2370"/>
  <c r="H50" i="2370"/>
  <c r="H49" i="2370"/>
  <c r="H48" i="2370"/>
  <c r="H47" i="2370"/>
  <c r="H20" i="2370"/>
  <c r="H46" i="2370"/>
  <c r="H45" i="2370"/>
  <c r="H44" i="2370"/>
  <c r="H43" i="2370"/>
  <c r="H42" i="2370"/>
  <c r="H41" i="2370"/>
  <c r="H40" i="2370"/>
  <c r="H39" i="2370"/>
  <c r="H38" i="2370"/>
  <c r="H37" i="2370"/>
  <c r="H36" i="2370"/>
  <c r="H35" i="2370"/>
  <c r="H34" i="2370"/>
  <c r="H17" i="2370"/>
  <c r="H19" i="2370"/>
  <c r="H33" i="2370"/>
  <c r="H9" i="2370"/>
  <c r="H32" i="2370"/>
  <c r="H31" i="2370"/>
  <c r="H10" i="2370"/>
  <c r="H30" i="2370"/>
  <c r="H29" i="2370"/>
  <c r="H14" i="2370"/>
  <c r="C23" i="2370"/>
  <c r="H28" i="2370"/>
  <c r="C22" i="2370"/>
  <c r="H15" i="2370"/>
  <c r="B21" i="2370"/>
  <c r="H27" i="2370"/>
  <c r="H26" i="2370"/>
  <c r="C19" i="2370"/>
  <c r="H18" i="2370"/>
  <c r="C18" i="2370"/>
  <c r="H25" i="2370"/>
  <c r="C17" i="2370"/>
  <c r="H16" i="2370"/>
  <c r="B16" i="2370"/>
  <c r="B20" i="2370" s="1"/>
  <c r="H24" i="2370"/>
  <c r="C15" i="2370"/>
  <c r="H23" i="2370"/>
  <c r="C14" i="2370"/>
  <c r="H22" i="2370"/>
  <c r="C13" i="2370"/>
  <c r="H21" i="2370"/>
  <c r="C12" i="2370"/>
  <c r="H3" i="2370"/>
  <c r="C11" i="2370"/>
  <c r="H11" i="2370"/>
  <c r="C10" i="2370"/>
  <c r="H13" i="2370"/>
  <c r="C9" i="2370"/>
  <c r="H8" i="2370"/>
  <c r="C8" i="2370"/>
  <c r="N7" i="2370"/>
  <c r="H6" i="2370"/>
  <c r="C7" i="2370"/>
  <c r="N6" i="2370"/>
  <c r="H2" i="2370"/>
  <c r="B6" i="2370"/>
  <c r="N5" i="2370"/>
  <c r="H7" i="2370"/>
  <c r="B5" i="2370"/>
  <c r="N4" i="2370"/>
  <c r="H5" i="2370"/>
  <c r="N3" i="2370"/>
  <c r="H12" i="2370"/>
  <c r="N2" i="2370"/>
  <c r="H4" i="2370"/>
  <c r="C16" i="2370" l="1"/>
  <c r="C16" i="2372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C19" i="2228"/>
  <c r="H17" i="2228"/>
  <c r="C18" i="2228"/>
  <c r="H16" i="2228"/>
  <c r="C17" i="2228"/>
  <c r="H15" i="2228"/>
  <c r="C16" i="2228"/>
  <c r="B16" i="2228"/>
  <c r="B20" i="2228" s="1"/>
  <c r="H14" i="2228"/>
  <c r="C15" i="2228"/>
  <c r="H13" i="2228"/>
  <c r="C14" i="2228"/>
  <c r="H12" i="2228"/>
  <c r="C13" i="2228"/>
  <c r="H11" i="2228"/>
  <c r="C12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</calcChain>
</file>

<file path=xl/sharedStrings.xml><?xml version="1.0" encoding="utf-8"?>
<sst xmlns="http://schemas.openxmlformats.org/spreadsheetml/2006/main" count="1876" uniqueCount="216">
  <si>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</si>
  <si>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</si>
  <si>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</si>
  <si>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</si>
  <si>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</si>
  <si>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</si>
  <si>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</si>
  <si>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</si>
  <si>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</si>
  <si>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</si>
  <si>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</si>
  <si>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</si>
  <si>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</si>
  <si>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</si>
  <si>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</si>
  <si>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</si>
  <si>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</si>
  <si>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</si>
  <si>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</si>
  <si>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</si>
  <si>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</si>
  <si>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</si>
  <si>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</si>
  <si>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</si>
  <si>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</si>
  <si>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</si>
  <si>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</si>
  <si>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</si>
  <si>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</si>
  <si>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</si>
  <si>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</si>
  <si>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</si>
  <si>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</si>
  <si>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</si>
  <si>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</si>
  <si>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</si>
  <si>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</si>
  <si>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</si>
  <si>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</si>
  <si>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</si>
  <si>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</si>
  <si>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</si>
  <si>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</si>
  <si>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</si>
  <si>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</si>
  <si>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</si>
  <si>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</si>
  <si>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</si>
  <si>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</si>
  <si>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</si>
  <si>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</si>
  <si>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</si>
  <si>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</si>
  <si>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</si>
  <si>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</si>
  <si>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</si>
  <si>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</si>
  <si>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</si>
  <si>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</si>
  <si>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</si>
  <si>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</si>
  <si>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</si>
  <si>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</si>
  <si>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</si>
  <si>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</si>
  <si>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</si>
  <si>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</si>
  <si>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</si>
  <si>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</si>
  <si>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</si>
  <si>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</si>
  <si>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</si>
  <si>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</si>
  <si>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</si>
  <si>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</si>
  <si>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</si>
  <si>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</si>
  <si>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</si>
  <si>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</si>
  <si>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</si>
  <si>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</si>
  <si>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</si>
  <si>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</si>
  <si>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</si>
  <si>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</si>
  <si>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</si>
  <si>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</si>
  <si>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</si>
  <si>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</si>
  <si>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</si>
  <si>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</si>
  <si>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</si>
  <si>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</si>
  <si>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</si>
  <si>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</si>
  <si>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</si>
  <si>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</si>
  <si>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</si>
  <si>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</si>
  <si>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</si>
  <si>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</si>
  <si>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</si>
  <si>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</si>
  <si>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</si>
  <si>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</si>
  <si>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</si>
  <si>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</si>
  <si>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</si>
  <si>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</si>
  <si>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</si>
  <si>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</si>
  <si>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</si>
  <si>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</si>
  <si>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</si>
  <si>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</si>
  <si>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</si>
  <si>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</si>
  <si>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</si>
  <si>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</si>
  <si>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</si>
  <si>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</si>
  <si>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</si>
  <si>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</si>
  <si>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</si>
  <si>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</si>
  <si>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</si>
  <si>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</si>
  <si>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</si>
  <si>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</si>
  <si>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</si>
  <si>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</si>
  <si>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</si>
  <si>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</si>
  <si>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</si>
  <si>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</si>
  <si>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</si>
  <si>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</si>
  <si>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</si>
  <si>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</si>
  <si>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</si>
  <si>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</si>
  <si>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</si>
  <si>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</si>
  <si>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</si>
  <si>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</si>
  <si>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</si>
  <si>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</si>
  <si>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</si>
  <si>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</si>
  <si>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</si>
  <si>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</si>
  <si>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</si>
  <si>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</si>
  <si>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</si>
  <si>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</si>
  <si>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</si>
  <si>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</si>
  <si>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</si>
  <si>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</si>
  <si>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</si>
  <si>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</si>
  <si>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</si>
  <si>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</si>
  <si>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</si>
  <si>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</si>
  <si>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</si>
  <si>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</si>
  <si>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</si>
  <si>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</si>
  <si>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</si>
  <si>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</si>
  <si>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</si>
  <si>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</si>
  <si>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</si>
  <si>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</si>
  <si>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</si>
  <si>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</si>
  <si>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</si>
  <si>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</si>
  <si>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</si>
  <si>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</si>
  <si>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</si>
  <si>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</si>
  <si>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</si>
  <si>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</si>
  <si>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</si>
  <si>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ファイル名</t>
    <rPh sb="4" eb="5">
      <t>メイ</t>
    </rPh>
    <phoneticPr fontId="1"/>
  </si>
  <si>
    <t>タイムスタンプ</t>
    <phoneticPr fontId="1"/>
  </si>
  <si>
    <t>シート</t>
    <phoneticPr fontId="1"/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</si>
  <si>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</si>
  <si>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</si>
  <si>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</si>
  <si>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</si>
  <si>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</si>
  <si>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</si>
  <si>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</si>
  <si>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</si>
  <si>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2018-12-21.xlsm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</si>
  <si>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</si>
  <si>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</si>
  <si>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</si>
  <si>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</si>
  <si>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</si>
  <si>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</si>
  <si>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</si>
  <si>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</si>
  <si>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</si>
  <si>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</si>
  <si>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</si>
  <si>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</si>
  <si>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</si>
  <si>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</si>
  <si>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</si>
  <si>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</si>
  <si>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2019-01-06.xlsm</t>
  </si>
  <si>
    <t>2019-01-09.xlsm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</si>
</sst>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45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double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2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3" xfId="0" applyNumberFormat="1" applyBorder="1" applyAlignment="1">
      <alignment horizontal="center" vertical="center"/>
    </xf>
    <xf numFmtId="22" fontId="0" fillId="0" borderId="24" xfId="0" applyNumberFormat="1" applyBorder="1" applyAlignment="1">
      <alignment horizontal="center" vertical="center"/>
    </xf>
    <xf numFmtId="22" fontId="0" fillId="0" borderId="25" xfId="0" applyNumberFormat="1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9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30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0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30" xfId="0" applyNumberFormat="1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0" fontId="0" fillId="0" borderId="35" xfId="0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0" fontId="0" fillId="0" borderId="3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76" fontId="0" fillId="0" borderId="39" xfId="0" applyNumberFormat="1" applyBorder="1" applyAlignment="1">
      <alignment horizontal="center" vertical="center" shrinkToFit="1"/>
    </xf>
    <xf numFmtId="176" fontId="0" fillId="0" borderId="40" xfId="0" applyNumberFormat="1" applyBorder="1" applyAlignment="1">
      <alignment horizontal="center" vertical="center" shrinkToFit="1"/>
    </xf>
    <xf numFmtId="176" fontId="0" fillId="0" borderId="43" xfId="0" applyNumberFormat="1" applyBorder="1" applyAlignment="1">
      <alignment horizontal="center" vertical="center" shrinkToFit="1"/>
    </xf>
    <xf numFmtId="176" fontId="0" fillId="0" borderId="44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41" xfId="0" applyNumberFormat="1" applyBorder="1" applyAlignment="1">
      <alignment horizontal="center" vertical="center" shrinkToFit="1"/>
    </xf>
    <xf numFmtId="176" fontId="0" fillId="0" borderId="42" xfId="0" applyNumberFormat="1" applyBorder="1" applyAlignment="1">
      <alignment horizontal="center" vertical="center" shrinkToFit="1"/>
    </xf>
    <xf numFmtId="178" fontId="0" fillId="0" borderId="41" xfId="0" applyNumberFormat="1" applyBorder="1" applyAlignment="1">
      <alignment horizontal="center" vertical="center" shrinkToFit="1"/>
    </xf>
    <xf numFmtId="178" fontId="0" fillId="0" borderId="42" xfId="0" applyNumberFormat="1" applyBorder="1" applyAlignment="1">
      <alignment horizontal="center" vertical="center" shrinkToFit="1"/>
    </xf>
    <xf numFmtId="180" fontId="0" fillId="0" borderId="41" xfId="0" applyNumberFormat="1" applyBorder="1" applyAlignment="1">
      <alignment horizontal="center" vertical="center" shrinkToFit="1"/>
    </xf>
    <xf numFmtId="180" fontId="0" fillId="0" borderId="42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だいち!$J$2:$J$111</c:f>
              <c:numCache>
                <c:formatCode>General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だいち!$K$2:$K$111</c:f>
              <c:numCache>
                <c:formatCode>\+0;\-0;\±0</c:formatCode>
                <c:ptCount val="110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2D-449A-9968-4F80FB4DD0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709.52380952380952</c:v>
                </c:pt>
                <c:pt idx="1">
                  <c:v>1751.5151515151515</c:v>
                </c:pt>
                <c:pt idx="2">
                  <c:v>1420.8791208791208</c:v>
                </c:pt>
                <c:pt idx="3">
                  <c:v>552.5</c:v>
                </c:pt>
                <c:pt idx="4">
                  <c:v>-312.5</c:v>
                </c:pt>
                <c:pt idx="5">
                  <c:v>-1008.8888888888889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11-4133-913B-63BB44A2E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E2-4BDE-8FE9-A08990FA6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8F-4512-9CFD-CC659BD16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ともき!$K$2:$K$3</c:f>
              <c:numCache>
                <c:formatCode>\+0;\-0;\±0</c:formatCode>
                <c:ptCount val="2"/>
                <c:pt idx="0">
                  <c:v>0</c:v>
                </c:pt>
                <c:pt idx="1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85-42D1-822F-0A0441E919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9000</c:v>
                </c:pt>
                <c:pt idx="1">
                  <c:v>0</c:v>
                </c:pt>
                <c:pt idx="2">
                  <c:v>-2000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88-4FA0-9C12-6F51B23333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りくと!$K$2:$K$75</c:f>
              <c:numCache>
                <c:formatCode>\+0;\-0;\±0</c:formatCode>
                <c:ptCount val="74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4F-4EE3-8DA4-94A4856B6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-784.50704225352115</c:v>
                </c:pt>
                <c:pt idx="1">
                  <c:v>-1935.2941176470588</c:v>
                </c:pt>
                <c:pt idx="2">
                  <c:v>1727.2727272727273</c:v>
                </c:pt>
                <c:pt idx="3">
                  <c:v>-1260.344827586207</c:v>
                </c:pt>
                <c:pt idx="4">
                  <c:v>-4467.391304347826</c:v>
                </c:pt>
                <c:pt idx="5">
                  <c:v>-2415.151515151515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39-419D-9322-01B0F5C475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いっしー!$J$2:$J$42</c:f>
              <c:numCache>
                <c:formatCode>General</c:formatCode>
                <c:ptCount val="4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</c:numCache>
            </c:numRef>
          </c:xVal>
          <c:yVal>
            <c:numRef>
              <c:f>いっしー!$K$2:$K$42</c:f>
              <c:numCache>
                <c:formatCode>\+0;\-0;\±0</c:formatCode>
                <c:ptCount val="41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1C-465A-9143-4EA8473EA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-867.5</c:v>
                </c:pt>
                <c:pt idx="1">
                  <c:v>3084.2105263157896</c:v>
                </c:pt>
                <c:pt idx="2">
                  <c:v>-1480.5555555555557</c:v>
                </c:pt>
                <c:pt idx="3">
                  <c:v>-1212.9032258064517</c:v>
                </c:pt>
                <c:pt idx="4">
                  <c:v>8588</c:v>
                </c:pt>
                <c:pt idx="5">
                  <c:v>2146.6666666666665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48-4DB4-9A4F-679C9CEE76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がくと!$K$2:$K$3</c:f>
              <c:numCache>
                <c:formatCode>\+0;\-0;\±0</c:formatCode>
                <c:ptCount val="2"/>
                <c:pt idx="0">
                  <c:v>0</c:v>
                </c:pt>
                <c:pt idx="1">
                  <c:v>-40.700000000000003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6A-4B3B-BE40-83118086BF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300</c:v>
                </c:pt>
                <c:pt idx="1">
                  <c:v>-16000</c:v>
                </c:pt>
                <c:pt idx="2">
                  <c:v>-1000</c:v>
                </c:pt>
                <c:pt idx="3">
                  <c:v>-24000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8A-4707-89D2-B917B3B7A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たかの!$J$2:$J$37</c:f>
              <c:numCache>
                <c:formatCode>General</c:formatCode>
                <c:ptCount val="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</c:numCache>
            </c:numRef>
          </c:xVal>
          <c:yVal>
            <c:numRef>
              <c:f>たかの!$K$2:$K$37</c:f>
              <c:numCache>
                <c:formatCode>\+0;\-0;\±0</c:formatCode>
                <c:ptCount val="36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6E1-474B-A0B5-37144072C3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-1391.4285714285713</c:v>
                </c:pt>
                <c:pt idx="1">
                  <c:v>-2903.125</c:v>
                </c:pt>
                <c:pt idx="2">
                  <c:v>-2534.6153846153848</c:v>
                </c:pt>
                <c:pt idx="3">
                  <c:v>4156</c:v>
                </c:pt>
                <c:pt idx="4">
                  <c:v>-626.31578947368416</c:v>
                </c:pt>
                <c:pt idx="5">
                  <c:v>587.5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C0-4BDF-89D4-B6B5BE3D32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ただ!$K$2:$K$46</c:f>
              <c:numCache>
                <c:formatCode>\+0;\-0;\±0</c:formatCode>
                <c:ptCount val="45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31-4E3F-9BAC-39DEE8C1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3242.8571428571427</c:v>
                </c:pt>
                <c:pt idx="1">
                  <c:v>-192.30769230769232</c:v>
                </c:pt>
                <c:pt idx="2">
                  <c:v>-791.42857142857144</c:v>
                </c:pt>
                <c:pt idx="3">
                  <c:v>-1353.125</c:v>
                </c:pt>
                <c:pt idx="4">
                  <c:v>3000</c:v>
                </c:pt>
                <c:pt idx="5">
                  <c:v>1114.2857142857142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63-4C39-AFC0-A5CB5E280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9F-4D50-95B3-C14834088C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8F-4DE3-AAA3-70133A9A9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れんたろう!$K$2:$K$31</c:f>
              <c:numCache>
                <c:formatCode>\+0;\-0;\±0</c:formatCode>
                <c:ptCount val="30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F4-4CA7-BC4C-6003AE7C9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-3248</c:v>
                </c:pt>
                <c:pt idx="1">
                  <c:v>-1546.1538461538462</c:v>
                </c:pt>
                <c:pt idx="2">
                  <c:v>-1450</c:v>
                </c:pt>
                <c:pt idx="3">
                  <c:v>837.5</c:v>
                </c:pt>
                <c:pt idx="4">
                  <c:v>-1461.9047619047619</c:v>
                </c:pt>
                <c:pt idx="5">
                  <c:v>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82-47BF-95D9-76AD8CAB3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E11"/>
  <sheetViews>
    <sheetView showGridLines="0" tabSelected="1" zoomScale="200" zoomScaleNormal="200" workbookViewId="0"/>
  </sheetViews>
  <sheetFormatPr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6" customWidth="1"/>
    <col min="12" max="12" width="10.75" style="1" customWidth="1"/>
    <col min="13" max="13" width="10.75" style="16" customWidth="1"/>
    <col min="14" max="14" width="10.75" style="1" customWidth="1"/>
    <col min="15" max="15" width="10.75" style="2" customWidth="1"/>
    <col min="16" max="16" width="10.75" style="1" customWidth="1"/>
    <col min="17" max="17" width="10.75" style="2" customWidth="1"/>
    <col min="18" max="18" width="10.75" style="1" customWidth="1"/>
    <col min="19" max="19" width="10.75" style="18" customWidth="1"/>
    <col min="20" max="20" width="10.75" style="1" customWidth="1"/>
    <col min="21" max="21" width="10.75" style="18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30" width="10.75" style="1" customWidth="1"/>
    <col min="31" max="31" width="10.75" style="16" customWidth="1"/>
    <col min="32" max="16384" width="9" style="4"/>
  </cols>
  <sheetData>
    <row r="1" spans="1:31" x14ac:dyDescent="0.4">
      <c r="A1" s="14"/>
      <c r="B1" s="82" t="s">
        <v>6</v>
      </c>
      <c r="C1" s="83"/>
      <c r="D1" s="82" t="s">
        <v>7</v>
      </c>
      <c r="E1" s="83"/>
      <c r="F1" s="82" t="s">
        <v>16</v>
      </c>
      <c r="G1" s="83"/>
      <c r="H1" s="82" t="s">
        <v>15</v>
      </c>
      <c r="I1" s="83"/>
      <c r="J1" s="82" t="s">
        <v>17</v>
      </c>
      <c r="K1" s="83"/>
      <c r="L1" s="82" t="s">
        <v>18</v>
      </c>
      <c r="M1" s="83"/>
      <c r="N1" s="82" t="s">
        <v>5</v>
      </c>
      <c r="O1" s="83"/>
      <c r="P1" s="82" t="s">
        <v>19</v>
      </c>
      <c r="Q1" s="83"/>
      <c r="R1" s="82" t="s">
        <v>20</v>
      </c>
      <c r="S1" s="83"/>
      <c r="T1" s="82" t="s">
        <v>212</v>
      </c>
      <c r="U1" s="83"/>
      <c r="V1" s="82" t="s">
        <v>131</v>
      </c>
      <c r="W1" s="83"/>
      <c r="X1" s="82" t="s">
        <v>126</v>
      </c>
      <c r="Y1" s="83"/>
      <c r="Z1" s="82" t="s">
        <v>134</v>
      </c>
      <c r="AA1" s="83"/>
      <c r="AB1" s="82" t="s">
        <v>135</v>
      </c>
      <c r="AC1" s="83"/>
      <c r="AD1" s="82" t="s">
        <v>200</v>
      </c>
      <c r="AE1" s="83"/>
    </row>
    <row r="2" spans="1:31" x14ac:dyDescent="0.4">
      <c r="A2" s="8">
        <v>1</v>
      </c>
      <c r="B2" s="9" t="s">
        <v>137</v>
      </c>
      <c r="C2" s="11">
        <v>392.00000000000006</v>
      </c>
      <c r="D2" s="10" t="s">
        <v>139</v>
      </c>
      <c r="E2" s="11">
        <v>7</v>
      </c>
      <c r="F2" s="10" t="s">
        <v>156</v>
      </c>
      <c r="G2" s="12">
        <v>1.75</v>
      </c>
      <c r="H2" s="10" t="s">
        <v>156</v>
      </c>
      <c r="I2" s="17">
        <v>0.5</v>
      </c>
      <c r="J2" s="10" t="s">
        <v>139</v>
      </c>
      <c r="K2" s="15">
        <v>0.4</v>
      </c>
      <c r="L2" s="10" t="s">
        <v>156</v>
      </c>
      <c r="M2" s="15">
        <v>0.13414634146341464</v>
      </c>
      <c r="N2" s="10" t="s">
        <v>141</v>
      </c>
      <c r="O2" s="13">
        <v>11420.588235294117</v>
      </c>
      <c r="P2" s="10" t="s">
        <v>138</v>
      </c>
      <c r="Q2" s="13">
        <v>-8240</v>
      </c>
      <c r="R2" s="10" t="s">
        <v>139</v>
      </c>
      <c r="S2" s="17">
        <v>0</v>
      </c>
      <c r="T2" s="10" t="s">
        <v>156</v>
      </c>
      <c r="U2" s="17">
        <v>0.25</v>
      </c>
      <c r="V2" s="10" t="s">
        <v>149</v>
      </c>
      <c r="W2" s="15">
        <v>0.3383838383838384</v>
      </c>
      <c r="X2" s="10" t="s">
        <v>142</v>
      </c>
      <c r="Y2" s="15">
        <v>0.34782608695652173</v>
      </c>
      <c r="Z2" s="10" t="s">
        <v>137</v>
      </c>
      <c r="AA2" s="15">
        <v>0.70652173913043481</v>
      </c>
      <c r="AB2" s="10" t="s">
        <v>137</v>
      </c>
      <c r="AC2" s="15">
        <v>0.45070422535211269</v>
      </c>
      <c r="AD2" s="10" t="s">
        <v>156</v>
      </c>
      <c r="AE2" s="15">
        <v>0.45454545454545453</v>
      </c>
    </row>
    <row r="3" spans="1:31" x14ac:dyDescent="0.4">
      <c r="A3" s="7">
        <v>2</v>
      </c>
      <c r="B3" s="6" t="s">
        <v>142</v>
      </c>
      <c r="C3" s="3">
        <v>236.10000000000002</v>
      </c>
      <c r="D3" s="1" t="s">
        <v>156</v>
      </c>
      <c r="E3" s="3">
        <v>6.7333333333333343</v>
      </c>
      <c r="F3" s="1" t="s">
        <v>142</v>
      </c>
      <c r="G3" s="5">
        <v>1.85</v>
      </c>
      <c r="H3" s="1" t="s">
        <v>149</v>
      </c>
      <c r="I3" s="18">
        <v>0.40909090909090912</v>
      </c>
      <c r="J3" s="1" t="s">
        <v>137</v>
      </c>
      <c r="K3" s="16">
        <v>0.35234474017743977</v>
      </c>
      <c r="L3" s="1" t="s">
        <v>142</v>
      </c>
      <c r="M3" s="16">
        <v>0.14084507042253522</v>
      </c>
      <c r="N3" s="1" t="s">
        <v>149</v>
      </c>
      <c r="O3" s="2">
        <v>11229.807692307691</v>
      </c>
      <c r="P3" s="1" t="s">
        <v>148</v>
      </c>
      <c r="Q3" s="2">
        <v>-8287.2727272727279</v>
      </c>
      <c r="R3" s="1" t="s">
        <v>142</v>
      </c>
      <c r="S3" s="18">
        <v>0.125</v>
      </c>
      <c r="T3" s="1" t="s">
        <v>137</v>
      </c>
      <c r="U3" s="18">
        <v>0.22935779816513763</v>
      </c>
      <c r="V3" s="1" t="s">
        <v>141</v>
      </c>
      <c r="W3" s="16">
        <v>0.29020979020979021</v>
      </c>
      <c r="X3" s="1" t="s">
        <v>148</v>
      </c>
      <c r="Y3" s="16">
        <v>0.28735632183908044</v>
      </c>
      <c r="Z3" s="1" t="s">
        <v>160</v>
      </c>
      <c r="AA3" s="16">
        <v>0.63265306122448983</v>
      </c>
      <c r="AB3" s="1" t="s">
        <v>148</v>
      </c>
      <c r="AC3" s="16">
        <v>0.4</v>
      </c>
      <c r="AD3" s="1" t="s">
        <v>137</v>
      </c>
      <c r="AE3" s="16">
        <v>0.42753623188405798</v>
      </c>
    </row>
    <row r="4" spans="1:31" x14ac:dyDescent="0.4">
      <c r="A4" s="7">
        <v>3</v>
      </c>
      <c r="B4" s="6" t="s">
        <v>149</v>
      </c>
      <c r="C4" s="3">
        <v>193.79999999999995</v>
      </c>
      <c r="D4" s="1" t="s">
        <v>142</v>
      </c>
      <c r="E4" s="3">
        <v>5.9025000000000007</v>
      </c>
      <c r="F4" s="1" t="s">
        <v>149</v>
      </c>
      <c r="G4" s="5">
        <v>1.8863636363636365</v>
      </c>
      <c r="H4" s="1" t="s">
        <v>137</v>
      </c>
      <c r="I4" s="18">
        <v>0.3669724770642202</v>
      </c>
      <c r="J4" s="1" t="s">
        <v>142</v>
      </c>
      <c r="K4" s="16">
        <v>0.352112676056338</v>
      </c>
      <c r="L4" s="1" t="s">
        <v>149</v>
      </c>
      <c r="M4" s="16">
        <v>0.15709969788519637</v>
      </c>
      <c r="N4" s="1" t="s">
        <v>160</v>
      </c>
      <c r="O4" s="2">
        <v>11087.096774193549</v>
      </c>
      <c r="P4" s="1" t="s">
        <v>145</v>
      </c>
      <c r="Q4" s="2">
        <v>-8500</v>
      </c>
      <c r="R4" s="1" t="s">
        <v>137</v>
      </c>
      <c r="S4" s="18">
        <v>0.12844036697247707</v>
      </c>
      <c r="T4" s="1" t="s">
        <v>149</v>
      </c>
      <c r="U4" s="18">
        <v>0.20454545454545456</v>
      </c>
      <c r="V4" s="1" t="s">
        <v>137</v>
      </c>
      <c r="W4" s="16">
        <v>0.2822085889570552</v>
      </c>
      <c r="X4" s="1" t="s">
        <v>149</v>
      </c>
      <c r="Y4" s="16">
        <v>0.25252525252525254</v>
      </c>
      <c r="Z4" s="1" t="s">
        <v>149</v>
      </c>
      <c r="AA4" s="16">
        <v>0.61194029850746268</v>
      </c>
      <c r="AB4" s="1" t="s">
        <v>149</v>
      </c>
      <c r="AC4" s="16">
        <v>0.38</v>
      </c>
      <c r="AD4" s="1" t="s">
        <v>149</v>
      </c>
      <c r="AE4" s="16">
        <v>0.41935483870967744</v>
      </c>
    </row>
    <row r="5" spans="1:31" x14ac:dyDescent="0.4">
      <c r="A5" s="7">
        <v>4</v>
      </c>
      <c r="B5" s="6" t="s">
        <v>156</v>
      </c>
      <c r="C5" s="3">
        <v>80.800000000000011</v>
      </c>
      <c r="D5" s="1" t="s">
        <v>149</v>
      </c>
      <c r="E5" s="3">
        <v>4.4045454545454534</v>
      </c>
      <c r="F5" s="1" t="s">
        <v>137</v>
      </c>
      <c r="G5" s="5">
        <v>1.8899082568807339</v>
      </c>
      <c r="H5" s="1" t="s">
        <v>142</v>
      </c>
      <c r="I5" s="18">
        <v>0.35</v>
      </c>
      <c r="J5" s="1" t="s">
        <v>156</v>
      </c>
      <c r="K5" s="16">
        <v>0.34146341463414637</v>
      </c>
      <c r="L5" s="1" t="s">
        <v>137</v>
      </c>
      <c r="M5" s="16">
        <v>0.15842839036755388</v>
      </c>
      <c r="N5" s="1" t="s">
        <v>156</v>
      </c>
      <c r="O5" s="2">
        <v>10857.142857142857</v>
      </c>
      <c r="P5" s="1" t="s">
        <v>149</v>
      </c>
      <c r="Q5" s="2">
        <v>-9665.3846153846152</v>
      </c>
      <c r="R5" s="1" t="s">
        <v>149</v>
      </c>
      <c r="S5" s="18">
        <v>0.15909090909090909</v>
      </c>
      <c r="T5" s="1" t="s">
        <v>142</v>
      </c>
      <c r="U5" s="18">
        <v>0.2</v>
      </c>
      <c r="V5" s="1" t="s">
        <v>160</v>
      </c>
      <c r="W5" s="16">
        <v>0.26486486486486488</v>
      </c>
      <c r="X5" s="1" t="s">
        <v>160</v>
      </c>
      <c r="Y5" s="16">
        <v>0.23243243243243245</v>
      </c>
      <c r="Z5" s="1" t="s">
        <v>141</v>
      </c>
      <c r="AA5" s="16">
        <v>0.55421686746987953</v>
      </c>
      <c r="AB5" s="1" t="s">
        <v>142</v>
      </c>
      <c r="AC5" s="16">
        <v>0.375</v>
      </c>
      <c r="AD5" s="1" t="s">
        <v>148</v>
      </c>
      <c r="AE5" s="16">
        <v>0.41333333333333333</v>
      </c>
    </row>
    <row r="6" spans="1:31" x14ac:dyDescent="0.4">
      <c r="A6" s="7">
        <v>5</v>
      </c>
      <c r="B6" s="6" t="s">
        <v>139</v>
      </c>
      <c r="C6" s="3">
        <v>7</v>
      </c>
      <c r="D6" s="1" t="s">
        <v>137</v>
      </c>
      <c r="E6" s="3">
        <v>3.5963302752293584</v>
      </c>
      <c r="F6" s="1" t="s">
        <v>139</v>
      </c>
      <c r="G6" s="5">
        <v>2</v>
      </c>
      <c r="H6" s="1" t="s">
        <v>141</v>
      </c>
      <c r="I6" s="18">
        <v>0.28767123287671231</v>
      </c>
      <c r="J6" s="1" t="s">
        <v>149</v>
      </c>
      <c r="K6" s="16">
        <v>0.31419939577039274</v>
      </c>
      <c r="L6" s="1" t="s">
        <v>141</v>
      </c>
      <c r="M6" s="16">
        <v>0.19561243144424131</v>
      </c>
      <c r="N6" s="1" t="s">
        <v>148</v>
      </c>
      <c r="O6" s="2">
        <v>10240.25974025974</v>
      </c>
      <c r="P6" s="1" t="s">
        <v>142</v>
      </c>
      <c r="Q6" s="2">
        <v>-9747.5</v>
      </c>
      <c r="R6" s="1" t="s">
        <v>148</v>
      </c>
      <c r="S6" s="18">
        <v>0.17142857142857143</v>
      </c>
      <c r="T6" s="1" t="s">
        <v>148</v>
      </c>
      <c r="U6" s="18">
        <v>0.17142857142857143</v>
      </c>
      <c r="V6" s="1" t="s">
        <v>148</v>
      </c>
      <c r="W6" s="16">
        <v>0.19540229885057472</v>
      </c>
      <c r="X6" s="1" t="s">
        <v>137</v>
      </c>
      <c r="Y6" s="16">
        <v>0.21779141104294478</v>
      </c>
      <c r="Z6" s="1" t="s">
        <v>142</v>
      </c>
      <c r="AA6" s="16">
        <v>0.5</v>
      </c>
      <c r="AB6" s="1" t="s">
        <v>141</v>
      </c>
      <c r="AC6" s="16">
        <v>0.35416666666666669</v>
      </c>
      <c r="AD6" s="1" t="s">
        <v>160</v>
      </c>
      <c r="AE6" s="16">
        <v>0.36231884057971014</v>
      </c>
    </row>
    <row r="7" spans="1:31" x14ac:dyDescent="0.4">
      <c r="A7" s="7">
        <v>6</v>
      </c>
      <c r="B7" s="6" t="s">
        <v>145</v>
      </c>
      <c r="C7" s="3">
        <v>-40.700000000000003</v>
      </c>
      <c r="D7" s="1" t="s">
        <v>148</v>
      </c>
      <c r="E7" s="3">
        <v>-3.0314285714285716</v>
      </c>
      <c r="F7" s="1" t="s">
        <v>145</v>
      </c>
      <c r="G7" s="5">
        <v>2</v>
      </c>
      <c r="H7" s="1" t="s">
        <v>160</v>
      </c>
      <c r="I7" s="18">
        <v>0.27586206896551724</v>
      </c>
      <c r="J7" s="1" t="s">
        <v>148</v>
      </c>
      <c r="K7" s="16">
        <v>0.28102189781021897</v>
      </c>
      <c r="L7" s="1" t="s">
        <v>139</v>
      </c>
      <c r="M7" s="16">
        <v>0.2</v>
      </c>
      <c r="N7" s="1" t="s">
        <v>142</v>
      </c>
      <c r="O7" s="2">
        <v>9943</v>
      </c>
      <c r="P7" s="1" t="s">
        <v>156</v>
      </c>
      <c r="Q7" s="2">
        <v>-9927.2727272727279</v>
      </c>
      <c r="R7" s="1" t="s">
        <v>156</v>
      </c>
      <c r="S7" s="18">
        <v>0.25</v>
      </c>
      <c r="T7" s="1" t="s">
        <v>141</v>
      </c>
      <c r="U7" s="18">
        <v>0.16438356164383561</v>
      </c>
      <c r="V7" s="1" t="s">
        <v>142</v>
      </c>
      <c r="W7" s="16">
        <v>0.17391304347826086</v>
      </c>
      <c r="X7" s="1" t="s">
        <v>141</v>
      </c>
      <c r="Y7" s="16">
        <v>0.16783216783216784</v>
      </c>
      <c r="Z7" s="1" t="s">
        <v>148</v>
      </c>
      <c r="AA7" s="16">
        <v>0.41176470588235292</v>
      </c>
      <c r="AB7" s="1" t="s">
        <v>160</v>
      </c>
      <c r="AC7" s="16">
        <v>0.34883720930232559</v>
      </c>
      <c r="AD7" s="1" t="s">
        <v>142</v>
      </c>
      <c r="AE7" s="16">
        <v>0.35294117647058826</v>
      </c>
    </row>
    <row r="8" spans="1:31" x14ac:dyDescent="0.4">
      <c r="A8" s="7">
        <v>7</v>
      </c>
      <c r="B8" s="6" t="s">
        <v>148</v>
      </c>
      <c r="C8" s="3">
        <v>-106.10000000000001</v>
      </c>
      <c r="D8" s="1" t="s">
        <v>141</v>
      </c>
      <c r="E8" s="3">
        <v>-5.3917808219178074</v>
      </c>
      <c r="F8" s="1" t="s">
        <v>148</v>
      </c>
      <c r="G8" s="5">
        <v>2.1142857142857143</v>
      </c>
      <c r="H8" s="1" t="s">
        <v>148</v>
      </c>
      <c r="I8" s="18">
        <v>0.25714285714285712</v>
      </c>
      <c r="J8" s="1" t="s">
        <v>160</v>
      </c>
      <c r="K8" s="16">
        <v>0.27927927927927926</v>
      </c>
      <c r="L8" s="1" t="s">
        <v>148</v>
      </c>
      <c r="M8" s="16">
        <v>0.20072992700729927</v>
      </c>
      <c r="N8" s="1" t="s">
        <v>137</v>
      </c>
      <c r="O8" s="2">
        <v>9841.7266187050354</v>
      </c>
      <c r="P8" s="1" t="s">
        <v>137</v>
      </c>
      <c r="Q8" s="2">
        <v>-9947.2000000000007</v>
      </c>
      <c r="R8" s="1" t="s">
        <v>141</v>
      </c>
      <c r="S8" s="18">
        <v>0.27397260273972601</v>
      </c>
      <c r="T8" s="1" t="s">
        <v>160</v>
      </c>
      <c r="U8" s="18">
        <v>0.13793103448275862</v>
      </c>
      <c r="V8" s="1" t="s">
        <v>138</v>
      </c>
      <c r="W8" s="16">
        <v>0</v>
      </c>
      <c r="X8" s="1" t="s">
        <v>138</v>
      </c>
      <c r="Y8" s="16">
        <v>0</v>
      </c>
      <c r="Z8" s="1" t="s">
        <v>138</v>
      </c>
      <c r="AA8" s="16">
        <v>0</v>
      </c>
      <c r="AB8" s="1" t="s">
        <v>138</v>
      </c>
      <c r="AC8" s="16">
        <v>0</v>
      </c>
      <c r="AD8" s="1" t="s">
        <v>141</v>
      </c>
      <c r="AE8" s="16">
        <v>0.31137724550898205</v>
      </c>
    </row>
    <row r="9" spans="1:31" x14ac:dyDescent="0.4">
      <c r="A9" s="7">
        <v>8</v>
      </c>
      <c r="B9" s="6" t="s">
        <v>138</v>
      </c>
      <c r="C9" s="3">
        <v>-132.1</v>
      </c>
      <c r="D9" s="1" t="s">
        <v>160</v>
      </c>
      <c r="E9" s="3">
        <v>-8.2482758620689633</v>
      </c>
      <c r="F9" s="1" t="s">
        <v>141</v>
      </c>
      <c r="G9" s="5">
        <v>2.1506849315068495</v>
      </c>
      <c r="H9" s="1" t="s">
        <v>138</v>
      </c>
      <c r="I9" s="18">
        <v>0</v>
      </c>
      <c r="J9" s="1" t="s">
        <v>141</v>
      </c>
      <c r="K9" s="16">
        <v>0.24862888482632542</v>
      </c>
      <c r="L9" s="1" t="s">
        <v>160</v>
      </c>
      <c r="M9" s="16">
        <v>0.22072072072072071</v>
      </c>
      <c r="N9" s="1" t="s">
        <v>139</v>
      </c>
      <c r="O9" s="2">
        <v>8000</v>
      </c>
      <c r="P9" s="1" t="s">
        <v>160</v>
      </c>
      <c r="Q9" s="2">
        <v>-10040.816326530612</v>
      </c>
      <c r="R9" s="1" t="s">
        <v>160</v>
      </c>
      <c r="S9" s="18">
        <v>0.31034482758620691</v>
      </c>
      <c r="T9" s="1" t="s">
        <v>138</v>
      </c>
      <c r="U9" s="18">
        <v>0</v>
      </c>
      <c r="V9" s="1" t="s">
        <v>139</v>
      </c>
      <c r="W9" s="16">
        <v>0</v>
      </c>
      <c r="X9" s="1" t="s">
        <v>139</v>
      </c>
      <c r="Y9" s="16">
        <v>0</v>
      </c>
      <c r="Z9" s="1" t="s">
        <v>139</v>
      </c>
      <c r="AA9" s="16">
        <v>0</v>
      </c>
      <c r="AB9" s="1" t="s">
        <v>139</v>
      </c>
      <c r="AC9" s="16">
        <v>0</v>
      </c>
      <c r="AD9" s="1" t="s">
        <v>138</v>
      </c>
      <c r="AE9" s="16">
        <v>0</v>
      </c>
    </row>
    <row r="10" spans="1:31" x14ac:dyDescent="0.4">
      <c r="A10" s="7">
        <v>9</v>
      </c>
      <c r="B10" s="6" t="s">
        <v>160</v>
      </c>
      <c r="C10" s="3">
        <v>-239.19999999999993</v>
      </c>
      <c r="D10" s="1" t="s">
        <v>138</v>
      </c>
      <c r="E10" s="3">
        <v>-33.024999999999999</v>
      </c>
      <c r="F10" s="1" t="s">
        <v>160</v>
      </c>
      <c r="G10" s="5">
        <v>2.2413793103448274</v>
      </c>
      <c r="H10" s="1" t="s">
        <v>139</v>
      </c>
      <c r="I10" s="18">
        <v>0</v>
      </c>
      <c r="J10" s="1" t="s">
        <v>145</v>
      </c>
      <c r="K10" s="16">
        <v>0.16666666666666666</v>
      </c>
      <c r="L10" s="1" t="s">
        <v>145</v>
      </c>
      <c r="M10" s="16">
        <v>0.33333333333333331</v>
      </c>
      <c r="N10" s="1" t="s">
        <v>138</v>
      </c>
      <c r="O10" s="2">
        <v>7800</v>
      </c>
      <c r="P10" s="1" t="s">
        <v>141</v>
      </c>
      <c r="Q10" s="2">
        <v>-10570.093457943925</v>
      </c>
      <c r="R10" s="1" t="s">
        <v>138</v>
      </c>
      <c r="S10" s="18">
        <v>0.5</v>
      </c>
      <c r="T10" s="1" t="s">
        <v>139</v>
      </c>
      <c r="U10" s="18">
        <v>0</v>
      </c>
      <c r="V10" s="1" t="s">
        <v>145</v>
      </c>
      <c r="W10" s="16">
        <v>0</v>
      </c>
      <c r="X10" s="1" t="s">
        <v>145</v>
      </c>
      <c r="Y10" s="16">
        <v>0</v>
      </c>
      <c r="Z10" s="1" t="s">
        <v>145</v>
      </c>
      <c r="AA10" s="16">
        <v>0</v>
      </c>
      <c r="AB10" s="1" t="s">
        <v>145</v>
      </c>
      <c r="AC10" s="16">
        <v>0</v>
      </c>
      <c r="AD10" s="1" t="s">
        <v>139</v>
      </c>
      <c r="AE10" s="16">
        <v>0</v>
      </c>
    </row>
    <row r="11" spans="1:31" x14ac:dyDescent="0.4">
      <c r="A11" s="7">
        <v>10</v>
      </c>
      <c r="B11" s="6" t="s">
        <v>141</v>
      </c>
      <c r="C11" s="3">
        <v>-393.59999999999991</v>
      </c>
      <c r="D11" s="1" t="s">
        <v>145</v>
      </c>
      <c r="E11" s="3">
        <v>-40.700000000000003</v>
      </c>
      <c r="F11" s="1" t="s">
        <v>138</v>
      </c>
      <c r="G11" s="5">
        <v>3</v>
      </c>
      <c r="H11" s="1" t="s">
        <v>145</v>
      </c>
      <c r="I11" s="18">
        <v>0</v>
      </c>
      <c r="J11" s="1" t="s">
        <v>138</v>
      </c>
      <c r="K11" s="16">
        <v>0.04</v>
      </c>
      <c r="L11" s="1" t="s">
        <v>138</v>
      </c>
      <c r="M11" s="16">
        <v>0.4</v>
      </c>
      <c r="N11" s="1" t="s">
        <v>145</v>
      </c>
      <c r="O11" s="2">
        <v>1300</v>
      </c>
      <c r="P11" s="1" t="s">
        <v>139</v>
      </c>
      <c r="Q11" s="2">
        <v>-12000</v>
      </c>
      <c r="R11" s="1" t="s">
        <v>145</v>
      </c>
      <c r="S11" s="18">
        <v>1</v>
      </c>
      <c r="T11" s="1" t="s">
        <v>145</v>
      </c>
      <c r="U11" s="18">
        <v>0</v>
      </c>
      <c r="V11" s="1" t="s">
        <v>156</v>
      </c>
      <c r="W11" s="16">
        <v>0</v>
      </c>
      <c r="X11" s="1" t="s">
        <v>156</v>
      </c>
      <c r="Y11" s="16">
        <v>0</v>
      </c>
      <c r="Z11" s="1" t="s">
        <v>156</v>
      </c>
      <c r="AA11" s="16">
        <v>0</v>
      </c>
      <c r="AB11" s="1" t="s">
        <v>156</v>
      </c>
      <c r="AC11" s="16">
        <v>0</v>
      </c>
      <c r="AD11" s="1" t="s">
        <v>145</v>
      </c>
      <c r="AE11" s="16">
        <v>0</v>
      </c>
    </row>
  </sheetData>
  <sortState ref="AD2:AE25">
    <sortCondition descending="1" ref="AE1"/>
  </sortState>
  <mergeCells count="15">
    <mergeCell ref="AD1:AE1"/>
    <mergeCell ref="AB1:AC1"/>
    <mergeCell ref="D1:E1"/>
    <mergeCell ref="B1:C1"/>
    <mergeCell ref="P1:Q1"/>
    <mergeCell ref="N1:O1"/>
    <mergeCell ref="L1:M1"/>
    <mergeCell ref="J1:K1"/>
    <mergeCell ref="R1:S1"/>
    <mergeCell ref="H1:I1"/>
    <mergeCell ref="F1:G1"/>
    <mergeCell ref="V1:W1"/>
    <mergeCell ref="X1:Y1"/>
    <mergeCell ref="Z1:AA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E870E-1069-479A-9869-E7FF7ADB5E2A}">
  <sheetPr codeName="Sheet4"/>
  <dimension ref="A1:P11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88" t="s">
        <v>189</v>
      </c>
      <c r="C1" s="89"/>
      <c r="E1" s="78" t="s">
        <v>213</v>
      </c>
      <c r="F1" s="59" t="s">
        <v>122</v>
      </c>
      <c r="G1" s="74" t="s">
        <v>123</v>
      </c>
      <c r="H1" s="59" t="s">
        <v>124</v>
      </c>
      <c r="J1" s="21" t="s">
        <v>22</v>
      </c>
      <c r="K1" s="22" t="s">
        <v>127</v>
      </c>
      <c r="M1" s="21" t="s">
        <v>207</v>
      </c>
      <c r="N1" s="59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4">
        <v>109</v>
      </c>
      <c r="C2" s="85"/>
      <c r="E2" s="79" t="s">
        <v>73</v>
      </c>
      <c r="F2" s="75" t="s">
        <v>27</v>
      </c>
      <c r="G2" s="61">
        <v>114</v>
      </c>
      <c r="H2" s="24">
        <f>IF(B$25=0,0,G2/B$25)</f>
        <v>0.95798319327731096</v>
      </c>
      <c r="J2" s="23">
        <v>0</v>
      </c>
      <c r="K2" s="25">
        <v>0</v>
      </c>
      <c r="M2" s="23" t="s">
        <v>201</v>
      </c>
      <c r="N2" s="56">
        <f t="shared" ref="N2:N7" si="0">IF(P2=0,0,O2/P2)</f>
        <v>709.52380952380952</v>
      </c>
      <c r="O2" s="53">
        <v>74500</v>
      </c>
      <c r="P2" s="51">
        <v>105</v>
      </c>
    </row>
    <row r="3" spans="1:16" x14ac:dyDescent="0.4">
      <c r="A3" s="70" t="s">
        <v>8</v>
      </c>
      <c r="B3" s="90">
        <v>789</v>
      </c>
      <c r="C3" s="91"/>
      <c r="E3" s="80" t="s">
        <v>78</v>
      </c>
      <c r="F3" s="76" t="s">
        <v>31</v>
      </c>
      <c r="G3" s="62">
        <v>68</v>
      </c>
      <c r="H3" s="27">
        <f>IF(B$25=0,0,G3/B$25)</f>
        <v>0.5714285714285714</v>
      </c>
      <c r="J3" s="26">
        <v>1</v>
      </c>
      <c r="K3" s="28">
        <v>15</v>
      </c>
      <c r="M3" s="26" t="s">
        <v>202</v>
      </c>
      <c r="N3" s="57">
        <f t="shared" si="0"/>
        <v>1751.5151515151515</v>
      </c>
      <c r="O3" s="54">
        <v>173400</v>
      </c>
      <c r="P3" s="49">
        <v>99</v>
      </c>
    </row>
    <row r="4" spans="1:16" x14ac:dyDescent="0.4">
      <c r="A4" s="70" t="s">
        <v>6</v>
      </c>
      <c r="B4" s="92">
        <v>392.00000000000006</v>
      </c>
      <c r="C4" s="93"/>
      <c r="E4" s="80" t="s">
        <v>69</v>
      </c>
      <c r="F4" s="76" t="s">
        <v>23</v>
      </c>
      <c r="G4" s="62">
        <v>62</v>
      </c>
      <c r="H4" s="27">
        <f>IF(B$25=0,0,G4/B$25)</f>
        <v>0.52100840336134457</v>
      </c>
      <c r="J4" s="26">
        <v>2</v>
      </c>
      <c r="K4" s="28">
        <v>14</v>
      </c>
      <c r="M4" s="26" t="s">
        <v>203</v>
      </c>
      <c r="N4" s="57">
        <f t="shared" si="0"/>
        <v>1420.8791208791208</v>
      </c>
      <c r="O4" s="54">
        <v>129300</v>
      </c>
      <c r="P4" s="49">
        <v>91</v>
      </c>
    </row>
    <row r="5" spans="1:16" x14ac:dyDescent="0.4">
      <c r="A5" s="70" t="s">
        <v>7</v>
      </c>
      <c r="B5" s="92">
        <f>IF(B$2=0,0,B$4/B$2)</f>
        <v>3.5963302752293584</v>
      </c>
      <c r="C5" s="93"/>
      <c r="E5" s="80" t="s">
        <v>71</v>
      </c>
      <c r="F5" s="76" t="s">
        <v>25</v>
      </c>
      <c r="G5" s="62">
        <v>58</v>
      </c>
      <c r="H5" s="27">
        <f>IF(B$25=0,0,G5/B$25)</f>
        <v>0.48739495798319327</v>
      </c>
      <c r="J5" s="26">
        <v>3</v>
      </c>
      <c r="K5" s="28">
        <v>29.1</v>
      </c>
      <c r="M5" s="26" t="s">
        <v>204</v>
      </c>
      <c r="N5" s="57">
        <f t="shared" si="0"/>
        <v>552.5</v>
      </c>
      <c r="O5" s="54">
        <v>44200</v>
      </c>
      <c r="P5" s="49">
        <v>80</v>
      </c>
    </row>
    <row r="6" spans="1:16" x14ac:dyDescent="0.4">
      <c r="A6" s="70" t="s">
        <v>1</v>
      </c>
      <c r="B6" s="94">
        <f>IF(B$2=0,0,(B$7*1+B$8*2+B$9*3)/B$2)</f>
        <v>1.8899082568807339</v>
      </c>
      <c r="C6" s="95"/>
      <c r="E6" s="80" t="s">
        <v>74</v>
      </c>
      <c r="F6" s="76" t="s">
        <v>12</v>
      </c>
      <c r="G6" s="62">
        <v>32</v>
      </c>
      <c r="H6" s="27">
        <f>IF(B$25=0,0,G6/B$25)</f>
        <v>0.26890756302521007</v>
      </c>
      <c r="J6" s="26">
        <v>4</v>
      </c>
      <c r="K6" s="28">
        <v>114.30000000000001</v>
      </c>
      <c r="M6" s="26" t="s">
        <v>205</v>
      </c>
      <c r="N6" s="57">
        <f t="shared" si="0"/>
        <v>-312.5</v>
      </c>
      <c r="O6" s="54">
        <v>-20000</v>
      </c>
      <c r="P6" s="49">
        <v>64</v>
      </c>
    </row>
    <row r="7" spans="1:16" x14ac:dyDescent="0.4">
      <c r="A7" s="70" t="s">
        <v>2</v>
      </c>
      <c r="B7" s="62">
        <v>40</v>
      </c>
      <c r="C7" s="27">
        <f>IF(B$2=0,0,B7/B$2)</f>
        <v>0.3669724770642202</v>
      </c>
      <c r="E7" s="80" t="s">
        <v>72</v>
      </c>
      <c r="F7" s="76" t="s">
        <v>26</v>
      </c>
      <c r="G7" s="62">
        <v>29</v>
      </c>
      <c r="H7" s="27">
        <f>IF(B$25=0,0,G7/B$25)</f>
        <v>0.24369747899159663</v>
      </c>
      <c r="J7" s="26">
        <v>5</v>
      </c>
      <c r="K7" s="28">
        <v>145.80000000000001</v>
      </c>
      <c r="M7" s="31" t="s">
        <v>206</v>
      </c>
      <c r="N7" s="58">
        <f t="shared" si="0"/>
        <v>-1008.8888888888889</v>
      </c>
      <c r="O7" s="55">
        <v>-45400</v>
      </c>
      <c r="P7" s="50">
        <v>45</v>
      </c>
    </row>
    <row r="8" spans="1:16" x14ac:dyDescent="0.4">
      <c r="A8" s="70" t="s">
        <v>3</v>
      </c>
      <c r="B8" s="62">
        <v>41</v>
      </c>
      <c r="C8" s="27">
        <f t="shared" ref="C8:C9" si="1">IF(B$2=0,0,B8/B$2)</f>
        <v>0.37614678899082571</v>
      </c>
      <c r="E8" s="80" t="s">
        <v>75</v>
      </c>
      <c r="F8" s="76" t="s">
        <v>28</v>
      </c>
      <c r="G8" s="62">
        <v>19</v>
      </c>
      <c r="H8" s="27">
        <f>IF(B$25=0,0,G8/B$25)</f>
        <v>0.15966386554621848</v>
      </c>
      <c r="J8" s="26">
        <v>6</v>
      </c>
      <c r="K8" s="28">
        <v>97.800000000000011</v>
      </c>
    </row>
    <row r="9" spans="1:16" x14ac:dyDescent="0.4">
      <c r="A9" s="71" t="s">
        <v>4</v>
      </c>
      <c r="B9" s="63">
        <v>28</v>
      </c>
      <c r="C9" s="29">
        <f t="shared" si="1"/>
        <v>0.25688073394495414</v>
      </c>
      <c r="E9" s="80" t="s">
        <v>96</v>
      </c>
      <c r="F9" s="76" t="s">
        <v>49</v>
      </c>
      <c r="G9" s="62">
        <v>17</v>
      </c>
      <c r="H9" s="27">
        <f>IF(B$25=0,0,G9/B$25)</f>
        <v>0.14285714285714285</v>
      </c>
      <c r="J9" s="26">
        <v>7</v>
      </c>
      <c r="K9" s="28">
        <v>91.700000000000017</v>
      </c>
    </row>
    <row r="10" spans="1:16" x14ac:dyDescent="0.4">
      <c r="A10" s="71" t="s">
        <v>21</v>
      </c>
      <c r="B10" s="63">
        <v>14</v>
      </c>
      <c r="C10" s="29">
        <f>IF(B$2=0,0,B10/B$2)</f>
        <v>0.12844036697247707</v>
      </c>
      <c r="E10" s="80" t="s">
        <v>93</v>
      </c>
      <c r="F10" s="76" t="s">
        <v>46</v>
      </c>
      <c r="G10" s="62">
        <v>8</v>
      </c>
      <c r="H10" s="27">
        <f>IF(B$25=0,0,G10/B$25)</f>
        <v>6.7226890756302518E-2</v>
      </c>
      <c r="J10" s="26">
        <v>8</v>
      </c>
      <c r="K10" s="28">
        <v>55.700000000000017</v>
      </c>
    </row>
    <row r="11" spans="1:16" x14ac:dyDescent="0.4">
      <c r="A11" s="72" t="s">
        <v>211</v>
      </c>
      <c r="B11" s="64">
        <v>25</v>
      </c>
      <c r="C11" s="32">
        <f>IF(B$2=0,0,B11/B$2)</f>
        <v>0.22935779816513763</v>
      </c>
      <c r="E11" s="80" t="s">
        <v>77</v>
      </c>
      <c r="F11" s="76" t="s">
        <v>30</v>
      </c>
      <c r="G11" s="62">
        <v>7</v>
      </c>
      <c r="H11" s="27">
        <f>IF(B$25=0,0,G11/B$25)</f>
        <v>5.8823529411764705E-2</v>
      </c>
      <c r="J11" s="26">
        <v>9</v>
      </c>
      <c r="K11" s="28">
        <v>14.700000000000017</v>
      </c>
    </row>
    <row r="12" spans="1:16" x14ac:dyDescent="0.4">
      <c r="A12" s="73" t="s">
        <v>130</v>
      </c>
      <c r="B12" s="65">
        <v>92</v>
      </c>
      <c r="C12" s="35">
        <f>IF(B$24=0,0,B12/B$24)</f>
        <v>0.2822085889570552</v>
      </c>
      <c r="E12" s="80" t="s">
        <v>70</v>
      </c>
      <c r="F12" s="76" t="s">
        <v>24</v>
      </c>
      <c r="G12" s="62">
        <v>7</v>
      </c>
      <c r="H12" s="27">
        <f>IF(B$25=0,0,G12/B$25)</f>
        <v>5.8823529411764705E-2</v>
      </c>
      <c r="J12" s="26">
        <v>10</v>
      </c>
      <c r="K12" s="28">
        <v>-16.799999999999983</v>
      </c>
    </row>
    <row r="13" spans="1:16" x14ac:dyDescent="0.4">
      <c r="A13" s="70" t="s">
        <v>125</v>
      </c>
      <c r="B13" s="62">
        <v>71</v>
      </c>
      <c r="C13" s="27">
        <f>IF(B$24=0,0,B13/B$24)</f>
        <v>0.21779141104294478</v>
      </c>
      <c r="E13" s="80" t="s">
        <v>76</v>
      </c>
      <c r="F13" s="76" t="s">
        <v>29</v>
      </c>
      <c r="G13" s="62">
        <v>6</v>
      </c>
      <c r="H13" s="27">
        <f>IF(B$25=0,0,G13/B$25)</f>
        <v>5.0420168067226892E-2</v>
      </c>
      <c r="J13" s="26">
        <v>11</v>
      </c>
      <c r="K13" s="28">
        <v>1.5000000000000178</v>
      </c>
    </row>
    <row r="14" spans="1:16" x14ac:dyDescent="0.4">
      <c r="A14" s="69" t="s">
        <v>132</v>
      </c>
      <c r="B14" s="61">
        <v>65</v>
      </c>
      <c r="C14" s="24">
        <f>IF(B$12=0,0,B14/B$12)</f>
        <v>0.70652173913043481</v>
      </c>
      <c r="E14" s="80" t="s">
        <v>90</v>
      </c>
      <c r="F14" s="76" t="s">
        <v>43</v>
      </c>
      <c r="G14" s="62">
        <v>4</v>
      </c>
      <c r="H14" s="27">
        <f>IF(B$25=0,0,G14/B$25)</f>
        <v>3.3613445378151259E-2</v>
      </c>
      <c r="J14" s="26">
        <v>12</v>
      </c>
      <c r="K14" s="28">
        <v>14.300000000000018</v>
      </c>
    </row>
    <row r="15" spans="1:16" x14ac:dyDescent="0.4">
      <c r="A15" s="69" t="s">
        <v>133</v>
      </c>
      <c r="B15" s="61">
        <v>32</v>
      </c>
      <c r="C15" s="24">
        <f>IF(B$13=0,0,B15/B$13)</f>
        <v>0.45070422535211269</v>
      </c>
      <c r="E15" s="80" t="s">
        <v>88</v>
      </c>
      <c r="F15" s="76" t="s">
        <v>41</v>
      </c>
      <c r="G15" s="62">
        <v>3</v>
      </c>
      <c r="H15" s="27">
        <f>IF(B$25=0,0,G15/B$25)</f>
        <v>2.5210084033613446E-2</v>
      </c>
      <c r="J15" s="26">
        <v>13</v>
      </c>
      <c r="K15" s="28">
        <v>71.300000000000011</v>
      </c>
    </row>
    <row r="16" spans="1:16" x14ac:dyDescent="0.4">
      <c r="A16" s="69" t="s">
        <v>10</v>
      </c>
      <c r="B16" s="61">
        <f>B17+B18</f>
        <v>278</v>
      </c>
      <c r="C16" s="24">
        <f>IF(B$3=0,0,B16/B$3)</f>
        <v>0.35234474017743977</v>
      </c>
      <c r="E16" s="80" t="s">
        <v>83</v>
      </c>
      <c r="F16" s="76" t="s">
        <v>36</v>
      </c>
      <c r="G16" s="62">
        <v>2</v>
      </c>
      <c r="H16" s="27">
        <f>IF(B$25=0,0,G16/B$25)</f>
        <v>1.680672268907563E-2</v>
      </c>
      <c r="J16" s="26">
        <v>14</v>
      </c>
      <c r="K16" s="28">
        <v>27.300000000000011</v>
      </c>
    </row>
    <row r="17" spans="1:11" x14ac:dyDescent="0.4">
      <c r="A17" s="70" t="s">
        <v>11</v>
      </c>
      <c r="B17" s="62">
        <v>173</v>
      </c>
      <c r="C17" s="27">
        <f>IF(B$3=0,0,B17/B$3)</f>
        <v>0.21926489226869456</v>
      </c>
      <c r="E17" s="80" t="s">
        <v>99</v>
      </c>
      <c r="F17" s="76" t="s">
        <v>52</v>
      </c>
      <c r="G17" s="62">
        <v>2</v>
      </c>
      <c r="H17" s="27">
        <f>IF(B$25=0,0,G17/B$25)</f>
        <v>1.680672268907563E-2</v>
      </c>
      <c r="J17" s="26">
        <v>15</v>
      </c>
      <c r="K17" s="28">
        <v>-9.6999999999999886</v>
      </c>
    </row>
    <row r="18" spans="1:11" x14ac:dyDescent="0.4">
      <c r="A18" s="70" t="s">
        <v>12</v>
      </c>
      <c r="B18" s="62">
        <v>105</v>
      </c>
      <c r="C18" s="27">
        <f>IF(B$3=0,0,B18/B$3)</f>
        <v>0.13307984790874525</v>
      </c>
      <c r="E18" s="80" t="s">
        <v>85</v>
      </c>
      <c r="F18" s="76" t="s">
        <v>38</v>
      </c>
      <c r="G18" s="62">
        <v>1</v>
      </c>
      <c r="H18" s="27">
        <f>IF(B$25=0,0,G18/B$25)</f>
        <v>8.4033613445378148E-3</v>
      </c>
      <c r="J18" s="26">
        <v>16</v>
      </c>
      <c r="K18" s="28">
        <v>-8.099999999999989</v>
      </c>
    </row>
    <row r="19" spans="1:11" x14ac:dyDescent="0.4">
      <c r="A19" s="70" t="s">
        <v>13</v>
      </c>
      <c r="B19" s="62">
        <v>125</v>
      </c>
      <c r="C19" s="27">
        <f>IF(B$3=0,0,B19/B$3)</f>
        <v>0.15842839036755388</v>
      </c>
      <c r="E19" s="80" t="s">
        <v>98</v>
      </c>
      <c r="F19" s="76" t="s">
        <v>51</v>
      </c>
      <c r="G19" s="62">
        <v>1</v>
      </c>
      <c r="H19" s="27">
        <f>IF(B$25=0,0,G19/B$25)</f>
        <v>8.4033613445378148E-3</v>
      </c>
      <c r="J19" s="26">
        <v>17</v>
      </c>
      <c r="K19" s="28">
        <v>-29.499999999999986</v>
      </c>
    </row>
    <row r="20" spans="1:11" x14ac:dyDescent="0.4">
      <c r="A20" s="70" t="s">
        <v>5</v>
      </c>
      <c r="B20" s="66">
        <f>IF(B$16=0,0,C20/B$16)</f>
        <v>9841.7266187050354</v>
      </c>
      <c r="C20" s="30">
        <v>2736000</v>
      </c>
      <c r="E20" s="80" t="s">
        <v>113</v>
      </c>
      <c r="F20" s="76" t="s">
        <v>120</v>
      </c>
      <c r="G20" s="62">
        <v>1</v>
      </c>
      <c r="H20" s="27">
        <f>IF(B$25=0,0,G20/B$25)</f>
        <v>8.4033613445378148E-3</v>
      </c>
      <c r="J20" s="26">
        <v>18</v>
      </c>
      <c r="K20" s="28">
        <v>-14.599999999999985</v>
      </c>
    </row>
    <row r="21" spans="1:11" x14ac:dyDescent="0.4">
      <c r="A21" s="72" t="s">
        <v>14</v>
      </c>
      <c r="B21" s="67">
        <f>IF(B$19=0,0,C21/B$19)</f>
        <v>-9947.2000000000007</v>
      </c>
      <c r="C21" s="60">
        <v>-1243400</v>
      </c>
      <c r="E21" s="80" t="s">
        <v>79</v>
      </c>
      <c r="F21" s="76" t="s">
        <v>32</v>
      </c>
      <c r="G21" s="62">
        <v>1</v>
      </c>
      <c r="H21" s="27">
        <f>IF(B$25=0,0,G21/B$25)</f>
        <v>8.4033613445378148E-3</v>
      </c>
      <c r="J21" s="26">
        <v>19</v>
      </c>
      <c r="K21" s="28">
        <v>42.600000000000016</v>
      </c>
    </row>
    <row r="22" spans="1:11" x14ac:dyDescent="0.4">
      <c r="A22" s="69" t="s">
        <v>198</v>
      </c>
      <c r="B22" s="61">
        <v>276</v>
      </c>
      <c r="C22" s="24">
        <f>IF(B$3=0,0,B22/B$3)</f>
        <v>0.34980988593155893</v>
      </c>
      <c r="E22" s="80" t="s">
        <v>80</v>
      </c>
      <c r="F22" s="76" t="s">
        <v>33</v>
      </c>
      <c r="G22" s="62">
        <v>0</v>
      </c>
      <c r="H22" s="27">
        <f>IF(B$25=0,0,G22/B$25)</f>
        <v>0</v>
      </c>
      <c r="J22" s="26">
        <v>20</v>
      </c>
      <c r="K22" s="28">
        <v>68.800000000000011</v>
      </c>
    </row>
    <row r="23" spans="1:11" x14ac:dyDescent="0.4">
      <c r="A23" s="72" t="s">
        <v>199</v>
      </c>
      <c r="B23" s="64">
        <v>118</v>
      </c>
      <c r="C23" s="32">
        <f>IF(B$22=0,0,B23/B$22)</f>
        <v>0.42753623188405798</v>
      </c>
      <c r="E23" s="80" t="s">
        <v>81</v>
      </c>
      <c r="F23" s="76" t="s">
        <v>34</v>
      </c>
      <c r="G23" s="62">
        <v>0</v>
      </c>
      <c r="H23" s="27">
        <f>IF(B$25=0,0,G23/B$25)</f>
        <v>0</v>
      </c>
      <c r="J23" s="26">
        <v>21</v>
      </c>
      <c r="K23" s="28">
        <v>125.30000000000001</v>
      </c>
    </row>
    <row r="24" spans="1:11" x14ac:dyDescent="0.4">
      <c r="A24" s="69" t="s">
        <v>128</v>
      </c>
      <c r="B24" s="84">
        <v>326</v>
      </c>
      <c r="C24" s="85"/>
      <c r="E24" s="80" t="s">
        <v>82</v>
      </c>
      <c r="F24" s="76" t="s">
        <v>35</v>
      </c>
      <c r="G24" s="62">
        <v>0</v>
      </c>
      <c r="H24" s="27">
        <f>IF(B$25=0,0,G24/B$25)</f>
        <v>0</v>
      </c>
      <c r="J24" s="26">
        <v>22</v>
      </c>
      <c r="K24" s="28">
        <v>99.800000000000011</v>
      </c>
    </row>
    <row r="25" spans="1:11" x14ac:dyDescent="0.4">
      <c r="A25" s="72" t="s">
        <v>129</v>
      </c>
      <c r="B25" s="86">
        <v>119</v>
      </c>
      <c r="C25" s="87"/>
      <c r="E25" s="80" t="s">
        <v>84</v>
      </c>
      <c r="F25" s="76" t="s">
        <v>37</v>
      </c>
      <c r="G25" s="62">
        <v>0</v>
      </c>
      <c r="H25" s="27">
        <f>IF(B$25=0,0,G25/B$25)</f>
        <v>0</v>
      </c>
      <c r="J25" s="26">
        <v>23</v>
      </c>
      <c r="K25" s="28">
        <v>124.50000000000001</v>
      </c>
    </row>
    <row r="26" spans="1:11" x14ac:dyDescent="0.4">
      <c r="E26" s="80" t="s">
        <v>86</v>
      </c>
      <c r="F26" s="76" t="s">
        <v>39</v>
      </c>
      <c r="G26" s="62">
        <v>0</v>
      </c>
      <c r="H26" s="27">
        <f>IF(B$25=0,0,G26/B$25)</f>
        <v>0</v>
      </c>
      <c r="J26" s="26">
        <v>24</v>
      </c>
      <c r="K26" s="28">
        <v>118.00000000000001</v>
      </c>
    </row>
    <row r="27" spans="1:11" x14ac:dyDescent="0.4">
      <c r="E27" s="80" t="s">
        <v>87</v>
      </c>
      <c r="F27" s="76" t="s">
        <v>40</v>
      </c>
      <c r="G27" s="62">
        <v>0</v>
      </c>
      <c r="H27" s="27">
        <f>IF(B$25=0,0,G27/B$25)</f>
        <v>0</v>
      </c>
      <c r="J27" s="26">
        <v>25</v>
      </c>
      <c r="K27" s="28">
        <v>84.300000000000011</v>
      </c>
    </row>
    <row r="28" spans="1:11" x14ac:dyDescent="0.4">
      <c r="E28" s="80" t="s">
        <v>89</v>
      </c>
      <c r="F28" s="76" t="s">
        <v>42</v>
      </c>
      <c r="G28" s="62">
        <v>0</v>
      </c>
      <c r="H28" s="27">
        <f>IF(B$25=0,0,G28/B$25)</f>
        <v>0</v>
      </c>
      <c r="J28" s="26">
        <v>26</v>
      </c>
      <c r="K28" s="28">
        <v>108.20000000000002</v>
      </c>
    </row>
    <row r="29" spans="1:11" x14ac:dyDescent="0.4">
      <c r="E29" s="80" t="s">
        <v>91</v>
      </c>
      <c r="F29" s="76" t="s">
        <v>44</v>
      </c>
      <c r="G29" s="62">
        <v>0</v>
      </c>
      <c r="H29" s="27">
        <f>IF(B$25=0,0,G29/B$25)</f>
        <v>0</v>
      </c>
      <c r="J29" s="26">
        <v>27</v>
      </c>
      <c r="K29" s="28">
        <v>71.200000000000017</v>
      </c>
    </row>
    <row r="30" spans="1:11" x14ac:dyDescent="0.4">
      <c r="E30" s="80" t="s">
        <v>92</v>
      </c>
      <c r="F30" s="76" t="s">
        <v>45</v>
      </c>
      <c r="G30" s="62">
        <v>0</v>
      </c>
      <c r="H30" s="27">
        <f>IF(B$25=0,0,G30/B$25)</f>
        <v>0</v>
      </c>
      <c r="J30" s="26">
        <v>28</v>
      </c>
      <c r="K30" s="28">
        <v>129.20000000000002</v>
      </c>
    </row>
    <row r="31" spans="1:11" x14ac:dyDescent="0.4">
      <c r="E31" s="80" t="s">
        <v>94</v>
      </c>
      <c r="F31" s="76" t="s">
        <v>47</v>
      </c>
      <c r="G31" s="62">
        <v>0</v>
      </c>
      <c r="H31" s="27">
        <f>IF(B$25=0,0,G31/B$25)</f>
        <v>0</v>
      </c>
      <c r="J31" s="26">
        <v>29</v>
      </c>
      <c r="K31" s="28">
        <v>120.80000000000001</v>
      </c>
    </row>
    <row r="32" spans="1:11" x14ac:dyDescent="0.4">
      <c r="E32" s="80" t="s">
        <v>95</v>
      </c>
      <c r="F32" s="76" t="s">
        <v>48</v>
      </c>
      <c r="G32" s="62">
        <v>0</v>
      </c>
      <c r="H32" s="27">
        <f>IF(B$25=0,0,G32/B$25)</f>
        <v>0</v>
      </c>
      <c r="J32" s="26">
        <v>30</v>
      </c>
      <c r="K32" s="28">
        <v>112.4</v>
      </c>
    </row>
    <row r="33" spans="5:11" x14ac:dyDescent="0.4">
      <c r="E33" s="80" t="s">
        <v>97</v>
      </c>
      <c r="F33" s="76" t="s">
        <v>50</v>
      </c>
      <c r="G33" s="62">
        <v>0</v>
      </c>
      <c r="H33" s="27">
        <f>IF(B$25=0,0,G33/B$25)</f>
        <v>0</v>
      </c>
      <c r="J33" s="26">
        <v>31</v>
      </c>
      <c r="K33" s="28">
        <v>165.7</v>
      </c>
    </row>
    <row r="34" spans="5:11" x14ac:dyDescent="0.4">
      <c r="E34" s="80" t="s">
        <v>100</v>
      </c>
      <c r="F34" s="76" t="s">
        <v>53</v>
      </c>
      <c r="G34" s="62">
        <v>0</v>
      </c>
      <c r="H34" s="27">
        <f>IF(B$25=0,0,G34/B$25)</f>
        <v>0</v>
      </c>
      <c r="J34" s="26">
        <v>32</v>
      </c>
      <c r="K34" s="28">
        <v>151.69999999999999</v>
      </c>
    </row>
    <row r="35" spans="5:11" x14ac:dyDescent="0.4">
      <c r="E35" s="80" t="s">
        <v>101</v>
      </c>
      <c r="F35" s="76" t="s">
        <v>54</v>
      </c>
      <c r="G35" s="62">
        <v>0</v>
      </c>
      <c r="H35" s="27">
        <f>IF(B$25=0,0,G35/B$25)</f>
        <v>0</v>
      </c>
      <c r="J35" s="26">
        <v>33</v>
      </c>
      <c r="K35" s="28">
        <v>212.39999999999998</v>
      </c>
    </row>
    <row r="36" spans="5:11" x14ac:dyDescent="0.4">
      <c r="E36" s="80" t="s">
        <v>102</v>
      </c>
      <c r="F36" s="76" t="s">
        <v>55</v>
      </c>
      <c r="G36" s="62">
        <v>0</v>
      </c>
      <c r="H36" s="27">
        <f>IF(B$25=0,0,G36/B$25)</f>
        <v>0</v>
      </c>
      <c r="J36" s="26">
        <v>34</v>
      </c>
      <c r="K36" s="28">
        <v>262.39999999999998</v>
      </c>
    </row>
    <row r="37" spans="5:11" x14ac:dyDescent="0.4">
      <c r="E37" s="80" t="s">
        <v>103</v>
      </c>
      <c r="F37" s="76" t="s">
        <v>56</v>
      </c>
      <c r="G37" s="62">
        <v>0</v>
      </c>
      <c r="H37" s="27">
        <f>IF(B$25=0,0,G37/B$25)</f>
        <v>0</v>
      </c>
      <c r="J37" s="26">
        <v>35</v>
      </c>
      <c r="K37" s="28">
        <v>248.39999999999998</v>
      </c>
    </row>
    <row r="38" spans="5:11" x14ac:dyDescent="0.4">
      <c r="E38" s="80" t="s">
        <v>104</v>
      </c>
      <c r="F38" s="76" t="s">
        <v>57</v>
      </c>
      <c r="G38" s="62">
        <v>0</v>
      </c>
      <c r="H38" s="27">
        <f>IF(B$25=0,0,G38/B$25)</f>
        <v>0</v>
      </c>
      <c r="J38" s="26">
        <v>36</v>
      </c>
      <c r="K38" s="28">
        <v>244.99999999999997</v>
      </c>
    </row>
    <row r="39" spans="5:11" x14ac:dyDescent="0.4">
      <c r="E39" s="80" t="s">
        <v>105</v>
      </c>
      <c r="F39" s="76" t="s">
        <v>58</v>
      </c>
      <c r="G39" s="62">
        <v>0</v>
      </c>
      <c r="H39" s="27">
        <f>IF(B$25=0,0,G39/B$25)</f>
        <v>0</v>
      </c>
      <c r="J39" s="26">
        <v>37</v>
      </c>
      <c r="K39" s="28">
        <v>227.89999999999998</v>
      </c>
    </row>
    <row r="40" spans="5:11" x14ac:dyDescent="0.4">
      <c r="E40" s="80" t="s">
        <v>106</v>
      </c>
      <c r="F40" s="76" t="s">
        <v>59</v>
      </c>
      <c r="G40" s="62">
        <v>0</v>
      </c>
      <c r="H40" s="27">
        <f>IF(B$25=0,0,G40/B$25)</f>
        <v>0</v>
      </c>
      <c r="J40" s="26">
        <v>38</v>
      </c>
      <c r="K40" s="28">
        <v>248.99999999999997</v>
      </c>
    </row>
    <row r="41" spans="5:11" x14ac:dyDescent="0.4">
      <c r="E41" s="80" t="s">
        <v>107</v>
      </c>
      <c r="F41" s="76" t="s">
        <v>60</v>
      </c>
      <c r="G41" s="62">
        <v>0</v>
      </c>
      <c r="H41" s="27">
        <f>IF(B$25=0,0,G41/B$25)</f>
        <v>0</v>
      </c>
      <c r="J41" s="26">
        <v>39</v>
      </c>
      <c r="K41" s="28">
        <v>198.39999999999998</v>
      </c>
    </row>
    <row r="42" spans="5:11" x14ac:dyDescent="0.4">
      <c r="E42" s="80" t="s">
        <v>108</v>
      </c>
      <c r="F42" s="76" t="s">
        <v>61</v>
      </c>
      <c r="G42" s="62">
        <v>0</v>
      </c>
      <c r="H42" s="27">
        <f>IF(B$25=0,0,G42/B$25)</f>
        <v>0</v>
      </c>
      <c r="J42" s="26">
        <v>40</v>
      </c>
      <c r="K42" s="28">
        <v>190.2</v>
      </c>
    </row>
    <row r="43" spans="5:11" x14ac:dyDescent="0.4">
      <c r="E43" s="80" t="s">
        <v>109</v>
      </c>
      <c r="F43" s="76" t="s">
        <v>62</v>
      </c>
      <c r="G43" s="62">
        <v>0</v>
      </c>
      <c r="H43" s="27">
        <f>IF(B$25=0,0,G43/B$25)</f>
        <v>0</v>
      </c>
      <c r="J43" s="26">
        <v>41</v>
      </c>
      <c r="K43" s="28">
        <v>183.2</v>
      </c>
    </row>
    <row r="44" spans="5:11" x14ac:dyDescent="0.4">
      <c r="E44" s="80" t="s">
        <v>110</v>
      </c>
      <c r="F44" s="76" t="s">
        <v>63</v>
      </c>
      <c r="G44" s="62">
        <v>0</v>
      </c>
      <c r="H44" s="27">
        <f>IF(B$25=0,0,G44/B$25)</f>
        <v>0</v>
      </c>
      <c r="J44" s="26">
        <v>42</v>
      </c>
      <c r="K44" s="28">
        <v>146.79999999999998</v>
      </c>
    </row>
    <row r="45" spans="5:11" x14ac:dyDescent="0.4">
      <c r="E45" s="80" t="s">
        <v>111</v>
      </c>
      <c r="F45" s="76" t="s">
        <v>64</v>
      </c>
      <c r="G45" s="62">
        <v>0</v>
      </c>
      <c r="H45" s="27">
        <f>IF(B$25=0,0,G45/B$25)</f>
        <v>0</v>
      </c>
      <c r="J45" s="26">
        <v>43</v>
      </c>
      <c r="K45" s="28">
        <v>138.29999999999998</v>
      </c>
    </row>
    <row r="46" spans="5:11" x14ac:dyDescent="0.4">
      <c r="E46" s="80" t="s">
        <v>112</v>
      </c>
      <c r="F46" s="76" t="s">
        <v>119</v>
      </c>
      <c r="G46" s="62">
        <v>0</v>
      </c>
      <c r="H46" s="27">
        <f>IF(B$25=0,0,G46/B$25)</f>
        <v>0</v>
      </c>
      <c r="J46" s="26">
        <v>44</v>
      </c>
      <c r="K46" s="28">
        <v>146.69999999999999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  <c r="J47" s="26">
        <v>45</v>
      </c>
      <c r="K47" s="28">
        <v>136.29999999999998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  <c r="J48" s="26">
        <v>46</v>
      </c>
      <c r="K48" s="28">
        <v>164.2</v>
      </c>
    </row>
    <row r="49" spans="5:11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  <c r="J49" s="26">
        <v>47</v>
      </c>
      <c r="K49" s="28">
        <v>143.69999999999999</v>
      </c>
    </row>
    <row r="50" spans="5:11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  <c r="J50" s="26">
        <v>48</v>
      </c>
      <c r="K50" s="28">
        <v>112.6</v>
      </c>
    </row>
    <row r="51" spans="5:11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  <c r="J51" s="26">
        <v>49</v>
      </c>
      <c r="K51" s="28">
        <v>128.79999999999998</v>
      </c>
    </row>
    <row r="52" spans="5:11" x14ac:dyDescent="0.4">
      <c r="J52" s="26">
        <v>50</v>
      </c>
      <c r="K52" s="28">
        <v>123.89999999999998</v>
      </c>
    </row>
    <row r="53" spans="5:11" x14ac:dyDescent="0.4">
      <c r="J53" s="26">
        <v>51</v>
      </c>
      <c r="K53" s="28">
        <v>136.69999999999999</v>
      </c>
    </row>
    <row r="54" spans="5:11" x14ac:dyDescent="0.4">
      <c r="J54" s="26">
        <v>52</v>
      </c>
      <c r="K54" s="28">
        <v>137.39999999999998</v>
      </c>
    </row>
    <row r="55" spans="5:11" x14ac:dyDescent="0.4">
      <c r="J55" s="26">
        <v>53</v>
      </c>
      <c r="K55" s="28">
        <v>130.69999999999999</v>
      </c>
    </row>
    <row r="56" spans="5:11" x14ac:dyDescent="0.4">
      <c r="J56" s="26">
        <v>54</v>
      </c>
      <c r="K56" s="28">
        <v>102.69999999999999</v>
      </c>
    </row>
    <row r="57" spans="5:11" x14ac:dyDescent="0.4">
      <c r="J57" s="26">
        <v>55</v>
      </c>
      <c r="K57" s="28">
        <v>119.39999999999999</v>
      </c>
    </row>
    <row r="58" spans="5:11" x14ac:dyDescent="0.4">
      <c r="J58" s="26">
        <v>56</v>
      </c>
      <c r="K58" s="28">
        <v>112.39999999999999</v>
      </c>
    </row>
    <row r="59" spans="5:11" x14ac:dyDescent="0.4">
      <c r="J59" s="26">
        <v>57</v>
      </c>
      <c r="K59" s="28">
        <v>144</v>
      </c>
    </row>
    <row r="60" spans="5:11" x14ac:dyDescent="0.4">
      <c r="J60" s="26">
        <v>58</v>
      </c>
      <c r="K60" s="28">
        <v>159.80000000000001</v>
      </c>
    </row>
    <row r="61" spans="5:11" x14ac:dyDescent="0.4">
      <c r="J61" s="26">
        <v>59</v>
      </c>
      <c r="K61" s="28">
        <v>216.8</v>
      </c>
    </row>
    <row r="62" spans="5:11" x14ac:dyDescent="0.4">
      <c r="J62" s="26">
        <v>60</v>
      </c>
      <c r="K62" s="28">
        <v>222.10000000000002</v>
      </c>
    </row>
    <row r="63" spans="5:11" x14ac:dyDescent="0.4">
      <c r="J63" s="26">
        <v>61</v>
      </c>
      <c r="K63" s="28">
        <v>176.00000000000003</v>
      </c>
    </row>
    <row r="64" spans="5:11" x14ac:dyDescent="0.4">
      <c r="J64" s="26">
        <v>62</v>
      </c>
      <c r="K64" s="28">
        <v>197.10000000000002</v>
      </c>
    </row>
    <row r="65" spans="10:11" x14ac:dyDescent="0.4">
      <c r="J65" s="26">
        <v>63</v>
      </c>
      <c r="K65" s="28">
        <v>131.10000000000002</v>
      </c>
    </row>
    <row r="66" spans="10:11" x14ac:dyDescent="0.4">
      <c r="J66" s="26">
        <v>64</v>
      </c>
      <c r="K66" s="28">
        <v>126.10000000000002</v>
      </c>
    </row>
    <row r="67" spans="10:11" x14ac:dyDescent="0.4">
      <c r="J67" s="26">
        <v>65</v>
      </c>
      <c r="K67" s="28">
        <v>127.10000000000002</v>
      </c>
    </row>
    <row r="68" spans="10:11" x14ac:dyDescent="0.4">
      <c r="J68" s="26">
        <v>66</v>
      </c>
      <c r="K68" s="28">
        <v>158.70000000000002</v>
      </c>
    </row>
    <row r="69" spans="10:11" x14ac:dyDescent="0.4">
      <c r="J69" s="26">
        <v>67</v>
      </c>
      <c r="K69" s="28">
        <v>139.70000000000002</v>
      </c>
    </row>
    <row r="70" spans="10:11" x14ac:dyDescent="0.4">
      <c r="J70" s="26">
        <v>68</v>
      </c>
      <c r="K70" s="28">
        <v>129.80000000000001</v>
      </c>
    </row>
    <row r="71" spans="10:11" x14ac:dyDescent="0.4">
      <c r="J71" s="26">
        <v>69</v>
      </c>
      <c r="K71" s="28">
        <v>130.70000000000002</v>
      </c>
    </row>
    <row r="72" spans="10:11" x14ac:dyDescent="0.4">
      <c r="J72" s="26">
        <v>70</v>
      </c>
      <c r="K72" s="28">
        <v>163</v>
      </c>
    </row>
    <row r="73" spans="10:11" x14ac:dyDescent="0.4">
      <c r="J73" s="26">
        <v>71</v>
      </c>
      <c r="K73" s="28">
        <v>191.4</v>
      </c>
    </row>
    <row r="74" spans="10:11" x14ac:dyDescent="0.4">
      <c r="J74" s="26">
        <v>72</v>
      </c>
      <c r="K74" s="28">
        <v>184</v>
      </c>
    </row>
    <row r="75" spans="10:11" x14ac:dyDescent="0.4">
      <c r="J75" s="26">
        <v>73</v>
      </c>
      <c r="K75" s="28">
        <v>202.3</v>
      </c>
    </row>
    <row r="76" spans="10:11" x14ac:dyDescent="0.4">
      <c r="J76" s="26">
        <v>74</v>
      </c>
      <c r="K76" s="28">
        <v>188.4</v>
      </c>
    </row>
    <row r="77" spans="10:11" x14ac:dyDescent="0.4">
      <c r="J77" s="26">
        <v>75</v>
      </c>
      <c r="K77" s="28">
        <v>228.4</v>
      </c>
    </row>
    <row r="78" spans="10:11" x14ac:dyDescent="0.4">
      <c r="J78" s="26">
        <v>76</v>
      </c>
      <c r="K78" s="28">
        <v>233.6</v>
      </c>
    </row>
    <row r="79" spans="10:11" x14ac:dyDescent="0.4">
      <c r="J79" s="26">
        <v>77</v>
      </c>
      <c r="K79" s="28">
        <v>219.9</v>
      </c>
    </row>
    <row r="80" spans="10:11" x14ac:dyDescent="0.4">
      <c r="J80" s="26">
        <v>78</v>
      </c>
      <c r="K80" s="28">
        <v>225</v>
      </c>
    </row>
    <row r="81" spans="10:11" x14ac:dyDescent="0.4">
      <c r="J81" s="26">
        <v>79</v>
      </c>
      <c r="K81" s="28">
        <v>256.89999999999998</v>
      </c>
    </row>
    <row r="82" spans="10:11" x14ac:dyDescent="0.4">
      <c r="J82" s="26">
        <v>80</v>
      </c>
      <c r="K82" s="28">
        <v>296.89999999999998</v>
      </c>
    </row>
    <row r="83" spans="10:11" x14ac:dyDescent="0.4">
      <c r="J83" s="26">
        <v>81</v>
      </c>
      <c r="K83" s="28">
        <v>319.39999999999998</v>
      </c>
    </row>
    <row r="84" spans="10:11" x14ac:dyDescent="0.4">
      <c r="J84" s="26">
        <v>82</v>
      </c>
      <c r="K84" s="28">
        <v>350.9</v>
      </c>
    </row>
    <row r="85" spans="10:11" x14ac:dyDescent="0.4">
      <c r="J85" s="26">
        <v>83</v>
      </c>
      <c r="K85" s="28">
        <v>410.7</v>
      </c>
    </row>
    <row r="86" spans="10:11" x14ac:dyDescent="0.4">
      <c r="J86" s="26">
        <v>84</v>
      </c>
      <c r="K86" s="28">
        <v>421.8</v>
      </c>
    </row>
    <row r="87" spans="10:11" x14ac:dyDescent="0.4">
      <c r="J87" s="26">
        <v>85</v>
      </c>
      <c r="K87" s="28">
        <v>423.40000000000003</v>
      </c>
    </row>
    <row r="88" spans="10:11" x14ac:dyDescent="0.4">
      <c r="J88" s="26">
        <v>86</v>
      </c>
      <c r="K88" s="28">
        <v>402.00000000000006</v>
      </c>
    </row>
    <row r="89" spans="10:11" x14ac:dyDescent="0.4">
      <c r="J89" s="26">
        <v>87</v>
      </c>
      <c r="K89" s="28">
        <v>405.50000000000006</v>
      </c>
    </row>
    <row r="90" spans="10:11" x14ac:dyDescent="0.4">
      <c r="J90" s="26">
        <v>88</v>
      </c>
      <c r="K90" s="28">
        <v>360.00000000000006</v>
      </c>
    </row>
    <row r="91" spans="10:11" x14ac:dyDescent="0.4">
      <c r="J91" s="26">
        <v>89</v>
      </c>
      <c r="K91" s="28">
        <v>359.40000000000003</v>
      </c>
    </row>
    <row r="92" spans="10:11" x14ac:dyDescent="0.4">
      <c r="J92" s="26">
        <v>90</v>
      </c>
      <c r="K92" s="28">
        <v>385.8</v>
      </c>
    </row>
    <row r="93" spans="10:11" x14ac:dyDescent="0.4">
      <c r="J93" s="26">
        <v>91</v>
      </c>
      <c r="K93" s="28">
        <v>395.5</v>
      </c>
    </row>
    <row r="94" spans="10:11" x14ac:dyDescent="0.4">
      <c r="J94" s="26">
        <v>92</v>
      </c>
      <c r="K94" s="28">
        <v>416.6</v>
      </c>
    </row>
    <row r="95" spans="10:11" x14ac:dyDescent="0.4">
      <c r="J95" s="26">
        <v>93</v>
      </c>
      <c r="K95" s="28">
        <v>459.70000000000005</v>
      </c>
    </row>
    <row r="96" spans="10:11" x14ac:dyDescent="0.4">
      <c r="J96" s="26">
        <v>94</v>
      </c>
      <c r="K96" s="28">
        <v>453.70000000000005</v>
      </c>
    </row>
    <row r="97" spans="10:11" x14ac:dyDescent="0.4">
      <c r="J97" s="26">
        <v>95</v>
      </c>
      <c r="K97" s="28">
        <v>416.20000000000005</v>
      </c>
    </row>
    <row r="98" spans="10:11" x14ac:dyDescent="0.4">
      <c r="J98" s="26">
        <v>96</v>
      </c>
      <c r="K98" s="28">
        <v>376.70000000000005</v>
      </c>
    </row>
    <row r="99" spans="10:11" x14ac:dyDescent="0.4">
      <c r="J99" s="26">
        <v>97</v>
      </c>
      <c r="K99" s="28">
        <v>387.80000000000007</v>
      </c>
    </row>
    <row r="100" spans="10:11" x14ac:dyDescent="0.4">
      <c r="J100" s="26">
        <v>98</v>
      </c>
      <c r="K100" s="28">
        <v>385.80000000000007</v>
      </c>
    </row>
    <row r="101" spans="10:11" x14ac:dyDescent="0.4">
      <c r="J101" s="26">
        <v>99</v>
      </c>
      <c r="K101" s="28">
        <v>429.30000000000007</v>
      </c>
    </row>
    <row r="102" spans="10:11" x14ac:dyDescent="0.4">
      <c r="J102" s="26">
        <v>100</v>
      </c>
      <c r="K102" s="28">
        <v>423.70000000000005</v>
      </c>
    </row>
    <row r="103" spans="10:11" x14ac:dyDescent="0.4">
      <c r="J103" s="26">
        <v>101</v>
      </c>
      <c r="K103" s="28">
        <v>416.30000000000007</v>
      </c>
    </row>
    <row r="104" spans="10:11" x14ac:dyDescent="0.4">
      <c r="J104" s="26">
        <v>102</v>
      </c>
      <c r="K104" s="28">
        <v>378.30000000000007</v>
      </c>
    </row>
    <row r="105" spans="10:11" x14ac:dyDescent="0.4">
      <c r="J105" s="26">
        <v>103</v>
      </c>
      <c r="K105" s="28">
        <v>359.50000000000006</v>
      </c>
    </row>
    <row r="106" spans="10:11" x14ac:dyDescent="0.4">
      <c r="J106" s="26">
        <v>104</v>
      </c>
      <c r="K106" s="28">
        <v>386.50000000000006</v>
      </c>
    </row>
    <row r="107" spans="10:11" x14ac:dyDescent="0.4">
      <c r="J107" s="26">
        <v>105</v>
      </c>
      <c r="K107" s="28">
        <v>431.10000000000008</v>
      </c>
    </row>
    <row r="108" spans="10:11" x14ac:dyDescent="0.4">
      <c r="J108" s="26">
        <v>106</v>
      </c>
      <c r="K108" s="28">
        <v>438.10000000000008</v>
      </c>
    </row>
    <row r="109" spans="10:11" x14ac:dyDescent="0.4">
      <c r="J109" s="26">
        <v>107</v>
      </c>
      <c r="K109" s="28">
        <v>426.80000000000007</v>
      </c>
    </row>
    <row r="110" spans="10:11" x14ac:dyDescent="0.4">
      <c r="J110" s="26">
        <v>108</v>
      </c>
      <c r="K110" s="28">
        <v>411.30000000000007</v>
      </c>
    </row>
    <row r="111" spans="10:11" x14ac:dyDescent="0.4">
      <c r="J111" s="26">
        <v>109</v>
      </c>
      <c r="K111" s="28">
        <v>392.00000000000006</v>
      </c>
    </row>
  </sheetData>
  <sortState ref="E2:H11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38152-1FBC-43CB-8363-56C395C1D3DA}">
  <sheetPr codeName="Sheet5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88" t="s">
        <v>194</v>
      </c>
      <c r="C1" s="89"/>
      <c r="E1" s="78" t="s">
        <v>213</v>
      </c>
      <c r="F1" s="59" t="s">
        <v>122</v>
      </c>
      <c r="G1" s="74" t="s">
        <v>123</v>
      </c>
      <c r="H1" s="59" t="s">
        <v>124</v>
      </c>
      <c r="J1" s="21" t="s">
        <v>22</v>
      </c>
      <c r="K1" s="22" t="s">
        <v>127</v>
      </c>
      <c r="M1" s="21" t="s">
        <v>207</v>
      </c>
      <c r="N1" s="59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4">
        <v>4</v>
      </c>
      <c r="C2" s="85"/>
      <c r="E2" s="79" t="s">
        <v>69</v>
      </c>
      <c r="F2" s="75" t="s">
        <v>23</v>
      </c>
      <c r="G2" s="61">
        <v>0</v>
      </c>
      <c r="H2" s="24">
        <f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0">IF(P2=0,0,O2/P2)</f>
        <v>-9250</v>
      </c>
      <c r="O2" s="53">
        <v>-37000</v>
      </c>
      <c r="P2" s="51">
        <v>4</v>
      </c>
    </row>
    <row r="3" spans="1:16" x14ac:dyDescent="0.4">
      <c r="A3" s="70" t="s">
        <v>8</v>
      </c>
      <c r="B3" s="90">
        <v>25</v>
      </c>
      <c r="C3" s="91"/>
      <c r="E3" s="80" t="s">
        <v>70</v>
      </c>
      <c r="F3" s="76" t="s">
        <v>24</v>
      </c>
      <c r="G3" s="62">
        <v>0</v>
      </c>
      <c r="H3" s="27">
        <f>IF(B$25=0,0,G3/B$25)</f>
        <v>0</v>
      </c>
      <c r="J3" s="26">
        <v>1</v>
      </c>
      <c r="K3" s="28">
        <v>-22</v>
      </c>
      <c r="M3" s="26" t="s">
        <v>202</v>
      </c>
      <c r="N3" s="57">
        <f t="shared" si="0"/>
        <v>-7225</v>
      </c>
      <c r="O3" s="54">
        <v>-28900</v>
      </c>
      <c r="P3" s="49">
        <v>4</v>
      </c>
    </row>
    <row r="4" spans="1:16" x14ac:dyDescent="0.4">
      <c r="A4" s="70" t="s">
        <v>6</v>
      </c>
      <c r="B4" s="92">
        <v>-132.1</v>
      </c>
      <c r="C4" s="93"/>
      <c r="E4" s="80" t="s">
        <v>71</v>
      </c>
      <c r="F4" s="76" t="s">
        <v>25</v>
      </c>
      <c r="G4" s="62">
        <v>0</v>
      </c>
      <c r="H4" s="27">
        <f>IF(B$25=0,0,G4/B$25)</f>
        <v>0</v>
      </c>
      <c r="J4" s="26">
        <v>2</v>
      </c>
      <c r="K4" s="28">
        <v>-60.4</v>
      </c>
      <c r="M4" s="26" t="s">
        <v>203</v>
      </c>
      <c r="N4" s="57">
        <f t="shared" si="0"/>
        <v>-10875</v>
      </c>
      <c r="O4" s="54">
        <v>-43500</v>
      </c>
      <c r="P4" s="49">
        <v>4</v>
      </c>
    </row>
    <row r="5" spans="1:16" x14ac:dyDescent="0.4">
      <c r="A5" s="70" t="s">
        <v>7</v>
      </c>
      <c r="B5" s="92">
        <f>IF(B$2=0,0,B$4/B$2)</f>
        <v>-33.024999999999999</v>
      </c>
      <c r="C5" s="93"/>
      <c r="E5" s="80" t="s">
        <v>72</v>
      </c>
      <c r="F5" s="76" t="s">
        <v>26</v>
      </c>
      <c r="G5" s="62">
        <v>0</v>
      </c>
      <c r="H5" s="27">
        <f>IF(B$25=0,0,G5/B$25)</f>
        <v>0</v>
      </c>
      <c r="J5" s="26">
        <v>3</v>
      </c>
      <c r="K5" s="28">
        <v>-85.6</v>
      </c>
      <c r="M5" s="26" t="s">
        <v>204</v>
      </c>
      <c r="N5" s="57">
        <f t="shared" si="0"/>
        <v>-2850</v>
      </c>
      <c r="O5" s="54">
        <v>-5700</v>
      </c>
      <c r="P5" s="49">
        <v>2</v>
      </c>
    </row>
    <row r="6" spans="1:16" x14ac:dyDescent="0.4">
      <c r="A6" s="70" t="s">
        <v>1</v>
      </c>
      <c r="B6" s="94">
        <f>IF(B$2=0,0,(B$7*1+B$8*2+B$9*3)/B$2)</f>
        <v>3</v>
      </c>
      <c r="C6" s="95"/>
      <c r="E6" s="80" t="s">
        <v>73</v>
      </c>
      <c r="F6" s="76" t="s">
        <v>27</v>
      </c>
      <c r="G6" s="62">
        <v>0</v>
      </c>
      <c r="H6" s="27">
        <f>IF(B$25=0,0,G6/B$25)</f>
        <v>0</v>
      </c>
      <c r="J6" s="26">
        <v>4</v>
      </c>
      <c r="K6" s="28">
        <v>-132.1</v>
      </c>
      <c r="M6" s="26" t="s">
        <v>205</v>
      </c>
      <c r="N6" s="57">
        <f t="shared" si="0"/>
        <v>-6000</v>
      </c>
      <c r="O6" s="54">
        <v>-12000</v>
      </c>
      <c r="P6" s="49">
        <v>2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74</v>
      </c>
      <c r="F7" s="76" t="s">
        <v>12</v>
      </c>
      <c r="G7" s="62">
        <v>0</v>
      </c>
      <c r="H7" s="27">
        <f>IF(B$25=0,0,G7/B$25)</f>
        <v>0</v>
      </c>
      <c r="M7" s="31" t="s">
        <v>206</v>
      </c>
      <c r="N7" s="58">
        <f t="shared" si="0"/>
        <v>-5000</v>
      </c>
      <c r="O7" s="55">
        <v>-5000</v>
      </c>
      <c r="P7" s="50">
        <v>1</v>
      </c>
    </row>
    <row r="8" spans="1:16" x14ac:dyDescent="0.4">
      <c r="A8" s="70" t="s">
        <v>3</v>
      </c>
      <c r="B8" s="62">
        <v>0</v>
      </c>
      <c r="C8" s="27">
        <f t="shared" ref="C8:C9" si="1">IF(B$2=0,0,B8/B$2)</f>
        <v>0</v>
      </c>
      <c r="E8" s="80" t="s">
        <v>75</v>
      </c>
      <c r="F8" s="76" t="s">
        <v>28</v>
      </c>
      <c r="G8" s="62">
        <v>0</v>
      </c>
      <c r="H8" s="27">
        <f>IF(B$25=0,0,G8/B$25)</f>
        <v>0</v>
      </c>
    </row>
    <row r="9" spans="1:16" x14ac:dyDescent="0.4">
      <c r="A9" s="71" t="s">
        <v>4</v>
      </c>
      <c r="B9" s="63">
        <v>4</v>
      </c>
      <c r="C9" s="29">
        <f t="shared" si="1"/>
        <v>1</v>
      </c>
      <c r="E9" s="80" t="s">
        <v>76</v>
      </c>
      <c r="F9" s="76" t="s">
        <v>29</v>
      </c>
      <c r="G9" s="62">
        <v>0</v>
      </c>
      <c r="H9" s="27">
        <f>IF(B$25=0,0,G9/B$25)</f>
        <v>0</v>
      </c>
    </row>
    <row r="10" spans="1:16" x14ac:dyDescent="0.4">
      <c r="A10" s="71" t="s">
        <v>21</v>
      </c>
      <c r="B10" s="63">
        <v>2</v>
      </c>
      <c r="C10" s="29">
        <f>IF(B$2=0,0,B10/B$2)</f>
        <v>0.5</v>
      </c>
      <c r="E10" s="80" t="s">
        <v>77</v>
      </c>
      <c r="F10" s="76" t="s">
        <v>30</v>
      </c>
      <c r="G10" s="62">
        <v>0</v>
      </c>
      <c r="H10" s="27">
        <f>IF(B$25=0,0,G10/B$25)</f>
        <v>0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78</v>
      </c>
      <c r="F11" s="76" t="s">
        <v>31</v>
      </c>
      <c r="G11" s="62">
        <v>0</v>
      </c>
      <c r="H11" s="27">
        <f>IF(B$25=0,0,G11/B$25)</f>
        <v>0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>IF(B$25=0,0,G12/B$25)</f>
        <v>0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>IF(B$25=0,0,G13/B$25)</f>
        <v>0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>IF(B$25=0,0,G14/B$25)</f>
        <v>0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1</v>
      </c>
      <c r="C16" s="24">
        <f>IF(B$3=0,0,B16/B$3)</f>
        <v>0.04</v>
      </c>
      <c r="E16" s="80" t="s">
        <v>83</v>
      </c>
      <c r="F16" s="76" t="s">
        <v>36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0</v>
      </c>
      <c r="C17" s="27">
        <f>IF(B$3=0,0,B17/B$3)</f>
        <v>0</v>
      </c>
      <c r="E17" s="80" t="s">
        <v>84</v>
      </c>
      <c r="F17" s="76" t="s">
        <v>37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1</v>
      </c>
      <c r="C18" s="27">
        <f>IF(B$3=0,0,B18/B$3)</f>
        <v>0.04</v>
      </c>
      <c r="E18" s="80" t="s">
        <v>85</v>
      </c>
      <c r="F18" s="76" t="s">
        <v>38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10</v>
      </c>
      <c r="C19" s="27">
        <f>IF(B$3=0,0,B19/B$3)</f>
        <v>0.4</v>
      </c>
      <c r="E19" s="80" t="s">
        <v>86</v>
      </c>
      <c r="F19" s="76" t="s">
        <v>39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7800</v>
      </c>
      <c r="C20" s="30">
        <v>7800</v>
      </c>
      <c r="E20" s="80" t="s">
        <v>87</v>
      </c>
      <c r="F20" s="76" t="s">
        <v>40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-8240</v>
      </c>
      <c r="C21" s="60">
        <v>-82400</v>
      </c>
      <c r="E21" s="80" t="s">
        <v>88</v>
      </c>
      <c r="F21" s="76" t="s">
        <v>41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0</v>
      </c>
      <c r="C22" s="24">
        <f>IF(B$3=0,0,B22/B$3)</f>
        <v>0</v>
      </c>
      <c r="E22" s="80" t="s">
        <v>89</v>
      </c>
      <c r="F22" s="76" t="s">
        <v>42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0</v>
      </c>
      <c r="C23" s="32">
        <f>IF(B$22=0,0,B23/B$22)</f>
        <v>0</v>
      </c>
      <c r="E23" s="80" t="s">
        <v>90</v>
      </c>
      <c r="F23" s="76" t="s">
        <v>43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4">
        <v>0</v>
      </c>
      <c r="C24" s="85"/>
      <c r="E24" s="80" t="s">
        <v>91</v>
      </c>
      <c r="F24" s="76" t="s">
        <v>44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86">
        <v>0</v>
      </c>
      <c r="C25" s="87"/>
      <c r="E25" s="80" t="s">
        <v>92</v>
      </c>
      <c r="F25" s="76" t="s">
        <v>45</v>
      </c>
      <c r="G25" s="62">
        <v>0</v>
      </c>
      <c r="H25" s="27">
        <f>IF(B$25=0,0,G25/B$25)</f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>IF(B$25=0,0,G26/B$25)</f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>IF(B$25=0,0,G27/B$25)</f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>IF(B$25=0,0,G28/B$25)</f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151A55-0CC0-4637-B348-1DE923E99123}">
  <sheetPr codeName="Sheet6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88" t="s">
        <v>139</v>
      </c>
      <c r="C1" s="89"/>
      <c r="E1" s="78" t="s">
        <v>213</v>
      </c>
      <c r="F1" s="59" t="s">
        <v>122</v>
      </c>
      <c r="G1" s="74" t="s">
        <v>123</v>
      </c>
      <c r="H1" s="59" t="s">
        <v>124</v>
      </c>
      <c r="J1" s="21" t="s">
        <v>22</v>
      </c>
      <c r="K1" s="22" t="s">
        <v>127</v>
      </c>
      <c r="M1" s="21" t="s">
        <v>207</v>
      </c>
      <c r="N1" s="59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4">
        <v>1</v>
      </c>
      <c r="C2" s="85"/>
      <c r="E2" s="79" t="s">
        <v>69</v>
      </c>
      <c r="F2" s="75" t="s">
        <v>23</v>
      </c>
      <c r="G2" s="61">
        <v>0</v>
      </c>
      <c r="H2" s="24">
        <f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0">IF(P2=0,0,O2/P2)</f>
        <v>9000</v>
      </c>
      <c r="O2" s="53">
        <v>9000</v>
      </c>
      <c r="P2" s="51">
        <v>1</v>
      </c>
    </row>
    <row r="3" spans="1:16" x14ac:dyDescent="0.4">
      <c r="A3" s="70" t="s">
        <v>8</v>
      </c>
      <c r="B3" s="90">
        <v>5</v>
      </c>
      <c r="C3" s="91"/>
      <c r="E3" s="80" t="s">
        <v>70</v>
      </c>
      <c r="F3" s="76" t="s">
        <v>24</v>
      </c>
      <c r="G3" s="62">
        <v>0</v>
      </c>
      <c r="H3" s="27">
        <f>IF(B$25=0,0,G3/B$25)</f>
        <v>0</v>
      </c>
      <c r="J3" s="26">
        <v>1</v>
      </c>
      <c r="K3" s="28">
        <v>7</v>
      </c>
      <c r="M3" s="26" t="s">
        <v>202</v>
      </c>
      <c r="N3" s="57">
        <f t="shared" si="0"/>
        <v>0</v>
      </c>
      <c r="O3" s="54">
        <v>0</v>
      </c>
      <c r="P3" s="49">
        <v>1</v>
      </c>
    </row>
    <row r="4" spans="1:16" x14ac:dyDescent="0.4">
      <c r="A4" s="70" t="s">
        <v>6</v>
      </c>
      <c r="B4" s="92">
        <v>7</v>
      </c>
      <c r="C4" s="93"/>
      <c r="E4" s="80" t="s">
        <v>71</v>
      </c>
      <c r="F4" s="76" t="s">
        <v>25</v>
      </c>
      <c r="G4" s="62">
        <v>0</v>
      </c>
      <c r="H4" s="27">
        <f>IF(B$25=0,0,G4/B$25)</f>
        <v>0</v>
      </c>
      <c r="M4" s="26" t="s">
        <v>203</v>
      </c>
      <c r="N4" s="57">
        <f t="shared" si="0"/>
        <v>-2000</v>
      </c>
      <c r="O4" s="54">
        <v>-2000</v>
      </c>
      <c r="P4" s="49">
        <v>1</v>
      </c>
    </row>
    <row r="5" spans="1:16" x14ac:dyDescent="0.4">
      <c r="A5" s="70" t="s">
        <v>7</v>
      </c>
      <c r="B5" s="92">
        <f>IF(B$2=0,0,B$4/B$2)</f>
        <v>7</v>
      </c>
      <c r="C5" s="93"/>
      <c r="E5" s="80" t="s">
        <v>72</v>
      </c>
      <c r="F5" s="76" t="s">
        <v>26</v>
      </c>
      <c r="G5" s="62">
        <v>0</v>
      </c>
      <c r="H5" s="27">
        <f>IF(B$25=0,0,G5/B$25)</f>
        <v>0</v>
      </c>
      <c r="M5" s="26" t="s">
        <v>204</v>
      </c>
      <c r="N5" s="57">
        <f t="shared" si="0"/>
        <v>0</v>
      </c>
      <c r="O5" s="54">
        <v>0</v>
      </c>
      <c r="P5" s="49">
        <v>0</v>
      </c>
    </row>
    <row r="6" spans="1:16" x14ac:dyDescent="0.4">
      <c r="A6" s="70" t="s">
        <v>1</v>
      </c>
      <c r="B6" s="94">
        <f>IF(B$2=0,0,(B$7*1+B$8*2+B$9*3)/B$2)</f>
        <v>2</v>
      </c>
      <c r="C6" s="95"/>
      <c r="E6" s="80" t="s">
        <v>73</v>
      </c>
      <c r="F6" s="76" t="s">
        <v>27</v>
      </c>
      <c r="G6" s="62">
        <v>0</v>
      </c>
      <c r="H6" s="27">
        <f>IF(B$25=0,0,G6/B$25)</f>
        <v>0</v>
      </c>
      <c r="M6" s="26" t="s">
        <v>205</v>
      </c>
      <c r="N6" s="57">
        <f t="shared" si="0"/>
        <v>0</v>
      </c>
      <c r="O6" s="54">
        <v>0</v>
      </c>
      <c r="P6" s="49">
        <v>0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74</v>
      </c>
      <c r="F7" s="76" t="s">
        <v>12</v>
      </c>
      <c r="G7" s="62">
        <v>0</v>
      </c>
      <c r="H7" s="27">
        <f>IF(B$25=0,0,G7/B$25)</f>
        <v>0</v>
      </c>
      <c r="M7" s="31" t="s">
        <v>206</v>
      </c>
      <c r="N7" s="58">
        <f t="shared" si="0"/>
        <v>0</v>
      </c>
      <c r="O7" s="55">
        <v>0</v>
      </c>
      <c r="P7" s="50">
        <v>0</v>
      </c>
    </row>
    <row r="8" spans="1:16" x14ac:dyDescent="0.4">
      <c r="A8" s="70" t="s">
        <v>3</v>
      </c>
      <c r="B8" s="62">
        <v>1</v>
      </c>
      <c r="C8" s="27">
        <f t="shared" ref="C8:C9" si="1">IF(B$2=0,0,B8/B$2)</f>
        <v>1</v>
      </c>
      <c r="E8" s="80" t="s">
        <v>75</v>
      </c>
      <c r="F8" s="76" t="s">
        <v>28</v>
      </c>
      <c r="G8" s="62">
        <v>0</v>
      </c>
      <c r="H8" s="27">
        <f>IF(B$25=0,0,G8/B$25)</f>
        <v>0</v>
      </c>
    </row>
    <row r="9" spans="1:16" x14ac:dyDescent="0.4">
      <c r="A9" s="71" t="s">
        <v>4</v>
      </c>
      <c r="B9" s="63">
        <v>0</v>
      </c>
      <c r="C9" s="29">
        <f t="shared" si="1"/>
        <v>0</v>
      </c>
      <c r="E9" s="80" t="s">
        <v>76</v>
      </c>
      <c r="F9" s="76" t="s">
        <v>29</v>
      </c>
      <c r="G9" s="62">
        <v>0</v>
      </c>
      <c r="H9" s="27">
        <f>IF(B$25=0,0,G9/B$25)</f>
        <v>0</v>
      </c>
    </row>
    <row r="10" spans="1:16" x14ac:dyDescent="0.4">
      <c r="A10" s="71" t="s">
        <v>21</v>
      </c>
      <c r="B10" s="63">
        <v>0</v>
      </c>
      <c r="C10" s="29">
        <f>IF(B$2=0,0,B10/B$2)</f>
        <v>0</v>
      </c>
      <c r="E10" s="80" t="s">
        <v>77</v>
      </c>
      <c r="F10" s="76" t="s">
        <v>30</v>
      </c>
      <c r="G10" s="62">
        <v>0</v>
      </c>
      <c r="H10" s="27">
        <f>IF(B$25=0,0,G10/B$25)</f>
        <v>0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78</v>
      </c>
      <c r="F11" s="76" t="s">
        <v>31</v>
      </c>
      <c r="G11" s="62">
        <v>0</v>
      </c>
      <c r="H11" s="27">
        <f>IF(B$25=0,0,G11/B$25)</f>
        <v>0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>IF(B$25=0,0,G12/B$25)</f>
        <v>0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>IF(B$25=0,0,G13/B$25)</f>
        <v>0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>IF(B$25=0,0,G14/B$25)</f>
        <v>0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2</v>
      </c>
      <c r="C16" s="24">
        <f>IF(B$3=0,0,B16/B$3)</f>
        <v>0.4</v>
      </c>
      <c r="E16" s="80" t="s">
        <v>83</v>
      </c>
      <c r="F16" s="76" t="s">
        <v>36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2</v>
      </c>
      <c r="C17" s="27">
        <f>IF(B$3=0,0,B17/B$3)</f>
        <v>0.4</v>
      </c>
      <c r="E17" s="80" t="s">
        <v>84</v>
      </c>
      <c r="F17" s="76" t="s">
        <v>37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0</v>
      </c>
      <c r="C18" s="27">
        <f>IF(B$3=0,0,B18/B$3)</f>
        <v>0</v>
      </c>
      <c r="E18" s="80" t="s">
        <v>85</v>
      </c>
      <c r="F18" s="76" t="s">
        <v>38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1</v>
      </c>
      <c r="C19" s="27">
        <f>IF(B$3=0,0,B19/B$3)</f>
        <v>0.2</v>
      </c>
      <c r="E19" s="80" t="s">
        <v>86</v>
      </c>
      <c r="F19" s="76" t="s">
        <v>39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8000</v>
      </c>
      <c r="C20" s="30">
        <v>16000</v>
      </c>
      <c r="E20" s="80" t="s">
        <v>87</v>
      </c>
      <c r="F20" s="76" t="s">
        <v>40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-12000</v>
      </c>
      <c r="C21" s="60">
        <v>-12000</v>
      </c>
      <c r="E21" s="80" t="s">
        <v>88</v>
      </c>
      <c r="F21" s="76" t="s">
        <v>41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1</v>
      </c>
      <c r="C22" s="24">
        <f>IF(B$3=0,0,B22/B$3)</f>
        <v>0.2</v>
      </c>
      <c r="E22" s="80" t="s">
        <v>89</v>
      </c>
      <c r="F22" s="76" t="s">
        <v>42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0</v>
      </c>
      <c r="C23" s="32">
        <f>IF(B$22=0,0,B23/B$22)</f>
        <v>0</v>
      </c>
      <c r="E23" s="80" t="s">
        <v>90</v>
      </c>
      <c r="F23" s="76" t="s">
        <v>43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4">
        <v>0</v>
      </c>
      <c r="C24" s="85"/>
      <c r="E24" s="80" t="s">
        <v>91</v>
      </c>
      <c r="F24" s="76" t="s">
        <v>44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86">
        <v>0</v>
      </c>
      <c r="C25" s="87"/>
      <c r="E25" s="80" t="s">
        <v>92</v>
      </c>
      <c r="F25" s="76" t="s">
        <v>45</v>
      </c>
      <c r="G25" s="62">
        <v>0</v>
      </c>
      <c r="H25" s="27">
        <f>IF(B$25=0,0,G25/B$25)</f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>IF(B$25=0,0,G26/B$25)</f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>IF(B$25=0,0,G27/B$25)</f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>IF(B$25=0,0,G28/B$25)</f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E8519-737F-4CCB-B328-BB7038870E1E}">
  <sheetPr codeName="Sheet7"/>
  <dimension ref="A1:P75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88" t="s">
        <v>190</v>
      </c>
      <c r="C1" s="89"/>
      <c r="E1" s="78" t="s">
        <v>213</v>
      </c>
      <c r="F1" s="59" t="s">
        <v>122</v>
      </c>
      <c r="G1" s="74" t="s">
        <v>123</v>
      </c>
      <c r="H1" s="59" t="s">
        <v>124</v>
      </c>
      <c r="J1" s="21" t="s">
        <v>22</v>
      </c>
      <c r="K1" s="22" t="s">
        <v>127</v>
      </c>
      <c r="M1" s="21" t="s">
        <v>207</v>
      </c>
      <c r="N1" s="59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4">
        <v>73</v>
      </c>
      <c r="C2" s="85"/>
      <c r="E2" s="79" t="s">
        <v>73</v>
      </c>
      <c r="F2" s="75" t="s">
        <v>27</v>
      </c>
      <c r="G2" s="61">
        <v>55</v>
      </c>
      <c r="H2" s="24">
        <f>IF(B$25=0,0,G2/B$25)</f>
        <v>0.73333333333333328</v>
      </c>
      <c r="J2" s="23">
        <v>0</v>
      </c>
      <c r="K2" s="25">
        <v>0</v>
      </c>
      <c r="M2" s="23" t="s">
        <v>201</v>
      </c>
      <c r="N2" s="56">
        <f t="shared" ref="N2:N7" si="0">IF(P2=0,0,O2/P2)</f>
        <v>-784.50704225352115</v>
      </c>
      <c r="O2" s="53">
        <v>-55700</v>
      </c>
      <c r="P2" s="51">
        <v>71</v>
      </c>
    </row>
    <row r="3" spans="1:16" x14ac:dyDescent="0.4">
      <c r="A3" s="70" t="s">
        <v>8</v>
      </c>
      <c r="B3" s="90">
        <v>547</v>
      </c>
      <c r="C3" s="91"/>
      <c r="E3" s="80" t="s">
        <v>69</v>
      </c>
      <c r="F3" s="76" t="s">
        <v>23</v>
      </c>
      <c r="G3" s="62">
        <v>46</v>
      </c>
      <c r="H3" s="27">
        <f>IF(B$25=0,0,G3/B$25)</f>
        <v>0.61333333333333329</v>
      </c>
      <c r="J3" s="26">
        <v>1</v>
      </c>
      <c r="K3" s="28">
        <v>40.9</v>
      </c>
      <c r="M3" s="26" t="s">
        <v>202</v>
      </c>
      <c r="N3" s="57">
        <f t="shared" si="0"/>
        <v>-1935.2941176470588</v>
      </c>
      <c r="O3" s="54">
        <v>-131600</v>
      </c>
      <c r="P3" s="49">
        <v>68</v>
      </c>
    </row>
    <row r="4" spans="1:16" x14ac:dyDescent="0.4">
      <c r="A4" s="70" t="s">
        <v>6</v>
      </c>
      <c r="B4" s="92">
        <v>-393.59999999999991</v>
      </c>
      <c r="C4" s="93"/>
      <c r="E4" s="80" t="s">
        <v>71</v>
      </c>
      <c r="F4" s="76" t="s">
        <v>25</v>
      </c>
      <c r="G4" s="62">
        <v>44</v>
      </c>
      <c r="H4" s="27">
        <f>IF(B$25=0,0,G4/B$25)</f>
        <v>0.58666666666666667</v>
      </c>
      <c r="J4" s="26">
        <v>2</v>
      </c>
      <c r="K4" s="28">
        <v>-0.89999999999999858</v>
      </c>
      <c r="M4" s="26" t="s">
        <v>203</v>
      </c>
      <c r="N4" s="57">
        <f t="shared" si="0"/>
        <v>1727.2727272727273</v>
      </c>
      <c r="O4" s="54">
        <v>114000</v>
      </c>
      <c r="P4" s="49">
        <v>66</v>
      </c>
    </row>
    <row r="5" spans="1:16" x14ac:dyDescent="0.4">
      <c r="A5" s="70" t="s">
        <v>7</v>
      </c>
      <c r="B5" s="92">
        <f>IF(B$2=0,0,B$4/B$2)</f>
        <v>-5.3917808219178074</v>
      </c>
      <c r="C5" s="93"/>
      <c r="E5" s="80" t="s">
        <v>78</v>
      </c>
      <c r="F5" s="76" t="s">
        <v>31</v>
      </c>
      <c r="G5" s="62">
        <v>43</v>
      </c>
      <c r="H5" s="27">
        <f>IF(B$25=0,0,G5/B$25)</f>
        <v>0.57333333333333336</v>
      </c>
      <c r="J5" s="26">
        <v>3</v>
      </c>
      <c r="K5" s="28">
        <v>-36.4</v>
      </c>
      <c r="M5" s="26" t="s">
        <v>204</v>
      </c>
      <c r="N5" s="57">
        <f t="shared" si="0"/>
        <v>-1260.344827586207</v>
      </c>
      <c r="O5" s="54">
        <v>-73100</v>
      </c>
      <c r="P5" s="49">
        <v>58</v>
      </c>
    </row>
    <row r="6" spans="1:16" x14ac:dyDescent="0.4">
      <c r="A6" s="70" t="s">
        <v>1</v>
      </c>
      <c r="B6" s="94">
        <f>IF(B$2=0,0,(B$7*1+B$8*2+B$9*3)/B$2)</f>
        <v>2.1506849315068495</v>
      </c>
      <c r="C6" s="95"/>
      <c r="E6" s="80" t="s">
        <v>74</v>
      </c>
      <c r="F6" s="76" t="s">
        <v>12</v>
      </c>
      <c r="G6" s="62">
        <v>25</v>
      </c>
      <c r="H6" s="27">
        <f>IF(B$25=0,0,G6/B$25)</f>
        <v>0.33333333333333331</v>
      </c>
      <c r="J6" s="26">
        <v>4</v>
      </c>
      <c r="K6" s="28">
        <v>3.6000000000000014</v>
      </c>
      <c r="M6" s="26" t="s">
        <v>205</v>
      </c>
      <c r="N6" s="57">
        <f t="shared" si="0"/>
        <v>-4467.391304347826</v>
      </c>
      <c r="O6" s="54">
        <v>-205500</v>
      </c>
      <c r="P6" s="49">
        <v>46</v>
      </c>
    </row>
    <row r="7" spans="1:16" x14ac:dyDescent="0.4">
      <c r="A7" s="70" t="s">
        <v>2</v>
      </c>
      <c r="B7" s="62">
        <v>21</v>
      </c>
      <c r="C7" s="27">
        <f>IF(B$2=0,0,B7/B$2)</f>
        <v>0.28767123287671231</v>
      </c>
      <c r="E7" s="80" t="s">
        <v>72</v>
      </c>
      <c r="F7" s="76" t="s">
        <v>26</v>
      </c>
      <c r="G7" s="62">
        <v>16</v>
      </c>
      <c r="H7" s="27">
        <f>IF(B$25=0,0,G7/B$25)</f>
        <v>0.21333333333333335</v>
      </c>
      <c r="J7" s="26">
        <v>5</v>
      </c>
      <c r="K7" s="28">
        <v>14.600000000000001</v>
      </c>
      <c r="M7" s="31" t="s">
        <v>206</v>
      </c>
      <c r="N7" s="58">
        <f t="shared" si="0"/>
        <v>-2415.151515151515</v>
      </c>
      <c r="O7" s="55">
        <v>-79700</v>
      </c>
      <c r="P7" s="50">
        <v>33</v>
      </c>
    </row>
    <row r="8" spans="1:16" x14ac:dyDescent="0.4">
      <c r="A8" s="70" t="s">
        <v>3</v>
      </c>
      <c r="B8" s="62">
        <v>20</v>
      </c>
      <c r="C8" s="27">
        <f t="shared" ref="C8:C9" si="1">IF(B$2=0,0,B8/B$2)</f>
        <v>0.27397260273972601</v>
      </c>
      <c r="E8" s="80" t="s">
        <v>96</v>
      </c>
      <c r="F8" s="76" t="s">
        <v>49</v>
      </c>
      <c r="G8" s="62">
        <v>13</v>
      </c>
      <c r="H8" s="27">
        <f>IF(B$25=0,0,G8/B$25)</f>
        <v>0.17333333333333334</v>
      </c>
      <c r="J8" s="26">
        <v>6</v>
      </c>
      <c r="K8" s="28">
        <v>47.6</v>
      </c>
    </row>
    <row r="9" spans="1:16" x14ac:dyDescent="0.4">
      <c r="A9" s="71" t="s">
        <v>4</v>
      </c>
      <c r="B9" s="63">
        <v>32</v>
      </c>
      <c r="C9" s="29">
        <f t="shared" si="1"/>
        <v>0.43835616438356162</v>
      </c>
      <c r="E9" s="80" t="s">
        <v>76</v>
      </c>
      <c r="F9" s="76" t="s">
        <v>29</v>
      </c>
      <c r="G9" s="62">
        <v>12</v>
      </c>
      <c r="H9" s="27">
        <f>IF(B$25=0,0,G9/B$25)</f>
        <v>0.16</v>
      </c>
      <c r="J9" s="26">
        <v>7</v>
      </c>
      <c r="K9" s="28">
        <v>100.1</v>
      </c>
    </row>
    <row r="10" spans="1:16" x14ac:dyDescent="0.4">
      <c r="A10" s="71" t="s">
        <v>21</v>
      </c>
      <c r="B10" s="63">
        <v>20</v>
      </c>
      <c r="C10" s="29">
        <f>IF(B$2=0,0,B10/B$2)</f>
        <v>0.27397260273972601</v>
      </c>
      <c r="E10" s="80" t="s">
        <v>75</v>
      </c>
      <c r="F10" s="76" t="s">
        <v>28</v>
      </c>
      <c r="G10" s="62">
        <v>11</v>
      </c>
      <c r="H10" s="27">
        <f>IF(B$25=0,0,G10/B$25)</f>
        <v>0.14666666666666667</v>
      </c>
      <c r="J10" s="26">
        <v>8</v>
      </c>
      <c r="K10" s="28">
        <v>60.199999999999996</v>
      </c>
    </row>
    <row r="11" spans="1:16" x14ac:dyDescent="0.4">
      <c r="A11" s="72" t="s">
        <v>211</v>
      </c>
      <c r="B11" s="64">
        <v>12</v>
      </c>
      <c r="C11" s="32">
        <f>IF(B$2=0,0,B11/B$2)</f>
        <v>0.16438356164383561</v>
      </c>
      <c r="E11" s="80" t="s">
        <v>93</v>
      </c>
      <c r="F11" s="76" t="s">
        <v>46</v>
      </c>
      <c r="G11" s="62">
        <v>9</v>
      </c>
      <c r="H11" s="27">
        <f>IF(B$25=0,0,G11/B$25)</f>
        <v>0.12</v>
      </c>
      <c r="J11" s="26">
        <v>9</v>
      </c>
      <c r="K11" s="28">
        <v>24.4</v>
      </c>
    </row>
    <row r="12" spans="1:16" x14ac:dyDescent="0.4">
      <c r="A12" s="73" t="s">
        <v>130</v>
      </c>
      <c r="B12" s="65">
        <v>83</v>
      </c>
      <c r="C12" s="35">
        <f>IF(B$24=0,0,B12/B$24)</f>
        <v>0.29020979020979021</v>
      </c>
      <c r="E12" s="80" t="s">
        <v>70</v>
      </c>
      <c r="F12" s="76" t="s">
        <v>24</v>
      </c>
      <c r="G12" s="62">
        <v>9</v>
      </c>
      <c r="H12" s="27">
        <f>IF(B$25=0,0,G12/B$25)</f>
        <v>0.12</v>
      </c>
      <c r="J12" s="26">
        <v>10</v>
      </c>
      <c r="K12" s="28">
        <v>-20.100000000000001</v>
      </c>
    </row>
    <row r="13" spans="1:16" x14ac:dyDescent="0.4">
      <c r="A13" s="70" t="s">
        <v>125</v>
      </c>
      <c r="B13" s="62">
        <v>48</v>
      </c>
      <c r="C13" s="27">
        <f>IF(B$24=0,0,B13/B$24)</f>
        <v>0.16783216783216784</v>
      </c>
      <c r="E13" s="80" t="s">
        <v>90</v>
      </c>
      <c r="F13" s="76" t="s">
        <v>43</v>
      </c>
      <c r="G13" s="62">
        <v>6</v>
      </c>
      <c r="H13" s="27">
        <f>IF(B$25=0,0,G13/B$25)</f>
        <v>0.08</v>
      </c>
      <c r="J13" s="26">
        <v>11</v>
      </c>
      <c r="K13" s="28">
        <v>-3.6000000000000014</v>
      </c>
    </row>
    <row r="14" spans="1:16" x14ac:dyDescent="0.4">
      <c r="A14" s="69" t="s">
        <v>132</v>
      </c>
      <c r="B14" s="61">
        <v>46</v>
      </c>
      <c r="C14" s="24">
        <f>IF(B$12=0,0,B14/B$12)</f>
        <v>0.55421686746987953</v>
      </c>
      <c r="E14" s="80" t="s">
        <v>98</v>
      </c>
      <c r="F14" s="76" t="s">
        <v>51</v>
      </c>
      <c r="G14" s="62">
        <v>3</v>
      </c>
      <c r="H14" s="27">
        <f>IF(B$25=0,0,G14/B$25)</f>
        <v>0.04</v>
      </c>
      <c r="J14" s="26">
        <v>12</v>
      </c>
      <c r="K14" s="28">
        <v>-12.000000000000002</v>
      </c>
    </row>
    <row r="15" spans="1:16" x14ac:dyDescent="0.4">
      <c r="A15" s="69" t="s">
        <v>133</v>
      </c>
      <c r="B15" s="61">
        <v>17</v>
      </c>
      <c r="C15" s="24">
        <f>IF(B$13=0,0,B15/B$13)</f>
        <v>0.35416666666666669</v>
      </c>
      <c r="E15" s="80" t="s">
        <v>88</v>
      </c>
      <c r="F15" s="76" t="s">
        <v>41</v>
      </c>
      <c r="G15" s="62">
        <v>3</v>
      </c>
      <c r="H15" s="27">
        <f>IF(B$25=0,0,G15/B$25)</f>
        <v>0.04</v>
      </c>
      <c r="J15" s="26">
        <v>13</v>
      </c>
      <c r="K15" s="28">
        <v>49.5</v>
      </c>
    </row>
    <row r="16" spans="1:16" x14ac:dyDescent="0.4">
      <c r="A16" s="69" t="s">
        <v>10</v>
      </c>
      <c r="B16" s="61">
        <f>B17+B18</f>
        <v>136</v>
      </c>
      <c r="C16" s="24">
        <f>IF(B$3=0,0,B16/B$3)</f>
        <v>0.24862888482632542</v>
      </c>
      <c r="E16" s="80" t="s">
        <v>77</v>
      </c>
      <c r="F16" s="76" t="s">
        <v>30</v>
      </c>
      <c r="G16" s="62">
        <v>2</v>
      </c>
      <c r="H16" s="27">
        <f>IF(B$25=0,0,G16/B$25)</f>
        <v>2.6666666666666668E-2</v>
      </c>
      <c r="J16" s="26">
        <v>14</v>
      </c>
      <c r="K16" s="28">
        <v>33</v>
      </c>
    </row>
    <row r="17" spans="1:11" x14ac:dyDescent="0.4">
      <c r="A17" s="70" t="s">
        <v>11</v>
      </c>
      <c r="B17" s="62">
        <v>81</v>
      </c>
      <c r="C17" s="27">
        <f>IF(B$3=0,0,B17/B$3)</f>
        <v>0.14808043875685559</v>
      </c>
      <c r="E17" s="80" t="s">
        <v>99</v>
      </c>
      <c r="F17" s="76" t="s">
        <v>52</v>
      </c>
      <c r="G17" s="62">
        <v>2</v>
      </c>
      <c r="H17" s="27">
        <f>IF(B$25=0,0,G17/B$25)</f>
        <v>2.6666666666666668E-2</v>
      </c>
      <c r="J17" s="26">
        <v>15</v>
      </c>
      <c r="K17" s="28">
        <v>38.5</v>
      </c>
    </row>
    <row r="18" spans="1:11" x14ac:dyDescent="0.4">
      <c r="A18" s="70" t="s">
        <v>12</v>
      </c>
      <c r="B18" s="62">
        <v>55</v>
      </c>
      <c r="C18" s="27">
        <f>IF(B$3=0,0,B18/B$3)</f>
        <v>0.10054844606946983</v>
      </c>
      <c r="E18" s="80" t="s">
        <v>84</v>
      </c>
      <c r="F18" s="76" t="s">
        <v>37</v>
      </c>
      <c r="G18" s="62">
        <v>2</v>
      </c>
      <c r="H18" s="27">
        <f>IF(B$25=0,0,G18/B$25)</f>
        <v>2.6666666666666668E-2</v>
      </c>
      <c r="J18" s="26">
        <v>16</v>
      </c>
      <c r="K18" s="28">
        <v>14.600000000000001</v>
      </c>
    </row>
    <row r="19" spans="1:11" x14ac:dyDescent="0.4">
      <c r="A19" s="70" t="s">
        <v>13</v>
      </c>
      <c r="B19" s="62">
        <v>107</v>
      </c>
      <c r="C19" s="27">
        <f>IF(B$3=0,0,B19/B$3)</f>
        <v>0.19561243144424131</v>
      </c>
      <c r="E19" s="80" t="s">
        <v>85</v>
      </c>
      <c r="F19" s="76" t="s">
        <v>38</v>
      </c>
      <c r="G19" s="62">
        <v>2</v>
      </c>
      <c r="H19" s="27">
        <f>IF(B$25=0,0,G19/B$25)</f>
        <v>2.6666666666666668E-2</v>
      </c>
      <c r="J19" s="26">
        <v>17</v>
      </c>
      <c r="K19" s="28">
        <v>13.900000000000002</v>
      </c>
    </row>
    <row r="20" spans="1:11" x14ac:dyDescent="0.4">
      <c r="A20" s="70" t="s">
        <v>5</v>
      </c>
      <c r="B20" s="66">
        <f>IF(B$16=0,0,C20/B$16)</f>
        <v>11420.588235294117</v>
      </c>
      <c r="C20" s="30">
        <v>1553200</v>
      </c>
      <c r="E20" s="80" t="s">
        <v>91</v>
      </c>
      <c r="F20" s="76" t="s">
        <v>44</v>
      </c>
      <c r="G20" s="62">
        <v>1</v>
      </c>
      <c r="H20" s="27">
        <f>IF(B$25=0,0,G20/B$25)</f>
        <v>1.3333333333333334E-2</v>
      </c>
      <c r="J20" s="26">
        <v>18</v>
      </c>
      <c r="K20" s="28">
        <v>-21.999999999999996</v>
      </c>
    </row>
    <row r="21" spans="1:11" x14ac:dyDescent="0.4">
      <c r="A21" s="72" t="s">
        <v>14</v>
      </c>
      <c r="B21" s="67">
        <f>IF(B$19=0,0,C21/B$19)</f>
        <v>-10570.093457943925</v>
      </c>
      <c r="C21" s="60">
        <v>-1131000</v>
      </c>
      <c r="E21" s="80" t="s">
        <v>92</v>
      </c>
      <c r="F21" s="76" t="s">
        <v>45</v>
      </c>
      <c r="G21" s="62">
        <v>1</v>
      </c>
      <c r="H21" s="27">
        <f>IF(B$25=0,0,G21/B$25)</f>
        <v>1.3333333333333334E-2</v>
      </c>
      <c r="J21" s="26">
        <v>19</v>
      </c>
      <c r="K21" s="28">
        <v>-26.699999999999996</v>
      </c>
    </row>
    <row r="22" spans="1:11" x14ac:dyDescent="0.4">
      <c r="A22" s="69" t="s">
        <v>198</v>
      </c>
      <c r="B22" s="61">
        <v>167</v>
      </c>
      <c r="C22" s="24">
        <f>IF(B$3=0,0,B22/B$3)</f>
        <v>0.30530164533820842</v>
      </c>
      <c r="E22" s="80" t="s">
        <v>94</v>
      </c>
      <c r="F22" s="76" t="s">
        <v>47</v>
      </c>
      <c r="G22" s="62">
        <v>1</v>
      </c>
      <c r="H22" s="27">
        <f>IF(B$25=0,0,G22/B$25)</f>
        <v>1.3333333333333334E-2</v>
      </c>
      <c r="J22" s="26">
        <v>20</v>
      </c>
      <c r="K22" s="28">
        <v>-57.899999999999991</v>
      </c>
    </row>
    <row r="23" spans="1:11" x14ac:dyDescent="0.4">
      <c r="A23" s="72" t="s">
        <v>199</v>
      </c>
      <c r="B23" s="64">
        <v>52</v>
      </c>
      <c r="C23" s="32">
        <f>IF(B$22=0,0,B23/B$22)</f>
        <v>0.31137724550898205</v>
      </c>
      <c r="E23" s="80" t="s">
        <v>95</v>
      </c>
      <c r="F23" s="76" t="s">
        <v>48</v>
      </c>
      <c r="G23" s="62">
        <v>1</v>
      </c>
      <c r="H23" s="27">
        <f>IF(B$25=0,0,G23/B$25)</f>
        <v>1.3333333333333334E-2</v>
      </c>
      <c r="J23" s="26">
        <v>21</v>
      </c>
      <c r="K23" s="28">
        <v>-82.699999999999989</v>
      </c>
    </row>
    <row r="24" spans="1:11" x14ac:dyDescent="0.4">
      <c r="A24" s="69" t="s">
        <v>128</v>
      </c>
      <c r="B24" s="84">
        <v>286</v>
      </c>
      <c r="C24" s="85"/>
      <c r="E24" s="80" t="s">
        <v>87</v>
      </c>
      <c r="F24" s="76" t="s">
        <v>40</v>
      </c>
      <c r="G24" s="62">
        <v>1</v>
      </c>
      <c r="H24" s="27">
        <f>IF(B$25=0,0,G24/B$25)</f>
        <v>1.3333333333333334E-2</v>
      </c>
      <c r="J24" s="26">
        <v>22</v>
      </c>
      <c r="K24" s="28">
        <v>-94.6</v>
      </c>
    </row>
    <row r="25" spans="1:11" x14ac:dyDescent="0.4">
      <c r="A25" s="72" t="s">
        <v>129</v>
      </c>
      <c r="B25" s="86">
        <v>75</v>
      </c>
      <c r="C25" s="87"/>
      <c r="E25" s="80" t="s">
        <v>79</v>
      </c>
      <c r="F25" s="76" t="s">
        <v>32</v>
      </c>
      <c r="G25" s="62">
        <v>0</v>
      </c>
      <c r="H25" s="27">
        <f>IF(B$25=0,0,G25/B$25)</f>
        <v>0</v>
      </c>
      <c r="J25" s="26">
        <v>23</v>
      </c>
      <c r="K25" s="28">
        <v>-111.3</v>
      </c>
    </row>
    <row r="26" spans="1:11" x14ac:dyDescent="0.4">
      <c r="E26" s="80" t="s">
        <v>80</v>
      </c>
      <c r="F26" s="76" t="s">
        <v>33</v>
      </c>
      <c r="G26" s="62">
        <v>0</v>
      </c>
      <c r="H26" s="27">
        <f>IF(B$25=0,0,G26/B$25)</f>
        <v>0</v>
      </c>
      <c r="J26" s="26">
        <v>24</v>
      </c>
      <c r="K26" s="28">
        <v>-68.099999999999994</v>
      </c>
    </row>
    <row r="27" spans="1:11" x14ac:dyDescent="0.4">
      <c r="E27" s="80" t="s">
        <v>81</v>
      </c>
      <c r="F27" s="76" t="s">
        <v>34</v>
      </c>
      <c r="G27" s="62">
        <v>0</v>
      </c>
      <c r="H27" s="27">
        <f>IF(B$25=0,0,G27/B$25)</f>
        <v>0</v>
      </c>
      <c r="J27" s="26">
        <v>25</v>
      </c>
      <c r="K27" s="28">
        <v>-70.899999999999991</v>
      </c>
    </row>
    <row r="28" spans="1:11" x14ac:dyDescent="0.4">
      <c r="E28" s="80" t="s">
        <v>82</v>
      </c>
      <c r="F28" s="76" t="s">
        <v>35</v>
      </c>
      <c r="G28" s="62">
        <v>0</v>
      </c>
      <c r="H28" s="27">
        <f>IF(B$25=0,0,G28/B$25)</f>
        <v>0</v>
      </c>
      <c r="J28" s="26">
        <v>26</v>
      </c>
      <c r="K28" s="28">
        <v>-125.89999999999999</v>
      </c>
    </row>
    <row r="29" spans="1:11" x14ac:dyDescent="0.4">
      <c r="E29" s="80" t="s">
        <v>83</v>
      </c>
      <c r="F29" s="76" t="s">
        <v>36</v>
      </c>
      <c r="G29" s="62">
        <v>0</v>
      </c>
      <c r="H29" s="27">
        <f>IF(B$25=0,0,G29/B$25)</f>
        <v>0</v>
      </c>
      <c r="J29" s="26">
        <v>27</v>
      </c>
      <c r="K29" s="28">
        <v>-163.6</v>
      </c>
    </row>
    <row r="30" spans="1:11" x14ac:dyDescent="0.4">
      <c r="E30" s="80" t="s">
        <v>86</v>
      </c>
      <c r="F30" s="76" t="s">
        <v>39</v>
      </c>
      <c r="G30" s="62">
        <v>0</v>
      </c>
      <c r="H30" s="27">
        <f>IF(B$25=0,0,G30/B$25)</f>
        <v>0</v>
      </c>
      <c r="J30" s="26">
        <v>28</v>
      </c>
      <c r="K30" s="28">
        <v>-169.5</v>
      </c>
    </row>
    <row r="31" spans="1:11" x14ac:dyDescent="0.4">
      <c r="E31" s="80" t="s">
        <v>89</v>
      </c>
      <c r="F31" s="76" t="s">
        <v>42</v>
      </c>
      <c r="G31" s="62">
        <v>0</v>
      </c>
      <c r="H31" s="27">
        <f>IF(B$25=0,0,G31/B$25)</f>
        <v>0</v>
      </c>
      <c r="J31" s="26">
        <v>29</v>
      </c>
      <c r="K31" s="28">
        <v>-163.30000000000001</v>
      </c>
    </row>
    <row r="32" spans="1:11" x14ac:dyDescent="0.4">
      <c r="E32" s="80" t="s">
        <v>97</v>
      </c>
      <c r="F32" s="76" t="s">
        <v>50</v>
      </c>
      <c r="G32" s="62">
        <v>0</v>
      </c>
      <c r="H32" s="27">
        <f>IF(B$25=0,0,G32/B$25)</f>
        <v>0</v>
      </c>
      <c r="J32" s="26">
        <v>30</v>
      </c>
      <c r="K32" s="28">
        <v>-209.4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  <c r="J33" s="26">
        <v>31</v>
      </c>
      <c r="K33" s="28">
        <v>-259.89999999999998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-253.59999999999997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-234.89999999999998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-229.79999999999998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-254.29999999999998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  <c r="J38" s="26">
        <v>36</v>
      </c>
      <c r="K38" s="28">
        <v>-204.29999999999998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  <c r="J39" s="26">
        <v>37</v>
      </c>
      <c r="K39" s="28">
        <v>-249.29999999999998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  <c r="J40" s="26">
        <v>38</v>
      </c>
      <c r="K40" s="28">
        <v>-242.49999999999997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  <c r="J41" s="26">
        <v>39</v>
      </c>
      <c r="K41" s="28">
        <v>-244.59999999999997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  <c r="J42" s="26">
        <v>40</v>
      </c>
      <c r="K42" s="28">
        <v>-279.7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  <c r="J43" s="26">
        <v>41</v>
      </c>
      <c r="K43" s="28">
        <v>-320.09999999999997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  <c r="J44" s="26">
        <v>42</v>
      </c>
      <c r="K44" s="28">
        <v>-314.29999999999995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  <c r="J45" s="26">
        <v>43</v>
      </c>
      <c r="K45" s="28">
        <v>-284.79999999999995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  <c r="J46" s="26">
        <v>44</v>
      </c>
      <c r="K46" s="28">
        <v>-239.89999999999995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  <c r="J47" s="26">
        <v>45</v>
      </c>
      <c r="K47" s="28">
        <v>-256.29999999999995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  <c r="J48" s="26">
        <v>46</v>
      </c>
      <c r="K48" s="28">
        <v>-280.59999999999997</v>
      </c>
    </row>
    <row r="49" spans="5:11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  <c r="J49" s="26">
        <v>47</v>
      </c>
      <c r="K49" s="28">
        <v>-264.59999999999997</v>
      </c>
    </row>
    <row r="50" spans="5:11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  <c r="J50" s="26">
        <v>48</v>
      </c>
      <c r="K50" s="28">
        <v>-288.79999999999995</v>
      </c>
    </row>
    <row r="51" spans="5:11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  <c r="J51" s="26">
        <v>49</v>
      </c>
      <c r="K51" s="28">
        <v>-282.99999999999994</v>
      </c>
    </row>
    <row r="52" spans="5:11" x14ac:dyDescent="0.4">
      <c r="J52" s="26">
        <v>50</v>
      </c>
      <c r="K52" s="28">
        <v>-287.09999999999997</v>
      </c>
    </row>
    <row r="53" spans="5:11" x14ac:dyDescent="0.4">
      <c r="J53" s="26">
        <v>51</v>
      </c>
      <c r="K53" s="28">
        <v>-269.59999999999997</v>
      </c>
    </row>
    <row r="54" spans="5:11" x14ac:dyDescent="0.4">
      <c r="J54" s="26">
        <v>52</v>
      </c>
      <c r="K54" s="28">
        <v>-308.09999999999997</v>
      </c>
    </row>
    <row r="55" spans="5:11" x14ac:dyDescent="0.4">
      <c r="J55" s="26">
        <v>53</v>
      </c>
      <c r="K55" s="28">
        <v>-336.49999999999994</v>
      </c>
    </row>
    <row r="56" spans="5:11" x14ac:dyDescent="0.4">
      <c r="J56" s="26">
        <v>54</v>
      </c>
      <c r="K56" s="28">
        <v>-378.89999999999992</v>
      </c>
    </row>
    <row r="57" spans="5:11" x14ac:dyDescent="0.4">
      <c r="J57" s="26">
        <v>55</v>
      </c>
      <c r="K57" s="28">
        <v>-364.2999999999999</v>
      </c>
    </row>
    <row r="58" spans="5:11" x14ac:dyDescent="0.4">
      <c r="J58" s="26">
        <v>56</v>
      </c>
      <c r="K58" s="28">
        <v>-316.2999999999999</v>
      </c>
    </row>
    <row r="59" spans="5:11" x14ac:dyDescent="0.4">
      <c r="J59" s="26">
        <v>57</v>
      </c>
      <c r="K59" s="28">
        <v>-312.49999999999989</v>
      </c>
    </row>
    <row r="60" spans="5:11" x14ac:dyDescent="0.4">
      <c r="J60" s="26">
        <v>58</v>
      </c>
      <c r="K60" s="28">
        <v>-254.59999999999988</v>
      </c>
    </row>
    <row r="61" spans="5:11" x14ac:dyDescent="0.4">
      <c r="J61" s="26">
        <v>59</v>
      </c>
      <c r="K61" s="28">
        <v>-205.09999999999988</v>
      </c>
    </row>
    <row r="62" spans="5:11" x14ac:dyDescent="0.4">
      <c r="J62" s="26">
        <v>60</v>
      </c>
      <c r="K62" s="28">
        <v>-214.59999999999988</v>
      </c>
    </row>
    <row r="63" spans="5:11" x14ac:dyDescent="0.4">
      <c r="J63" s="26">
        <v>61</v>
      </c>
      <c r="K63" s="28">
        <v>-211.89999999999989</v>
      </c>
    </row>
    <row r="64" spans="5:11" x14ac:dyDescent="0.4">
      <c r="J64" s="26">
        <v>62</v>
      </c>
      <c r="K64" s="28">
        <v>-250.89999999999989</v>
      </c>
    </row>
    <row r="65" spans="10:11" x14ac:dyDescent="0.4">
      <c r="J65" s="26">
        <v>63</v>
      </c>
      <c r="K65" s="28">
        <v>-290.99999999999989</v>
      </c>
    </row>
    <row r="66" spans="10:11" x14ac:dyDescent="0.4">
      <c r="J66" s="26">
        <v>64</v>
      </c>
      <c r="K66" s="28">
        <v>-356.99999999999989</v>
      </c>
    </row>
    <row r="67" spans="10:11" x14ac:dyDescent="0.4">
      <c r="J67" s="26">
        <v>65</v>
      </c>
      <c r="K67" s="28">
        <v>-381.09999999999991</v>
      </c>
    </row>
    <row r="68" spans="10:11" x14ac:dyDescent="0.4">
      <c r="J68" s="26">
        <v>66</v>
      </c>
      <c r="K68" s="28">
        <v>-378.49999999999989</v>
      </c>
    </row>
    <row r="69" spans="10:11" x14ac:dyDescent="0.4">
      <c r="J69" s="26">
        <v>67</v>
      </c>
      <c r="K69" s="28">
        <v>-371.19999999999987</v>
      </c>
    </row>
    <row r="70" spans="10:11" x14ac:dyDescent="0.4">
      <c r="J70" s="26">
        <v>68</v>
      </c>
      <c r="K70" s="28">
        <v>-407.2999999999999</v>
      </c>
    </row>
    <row r="71" spans="10:11" x14ac:dyDescent="0.4">
      <c r="J71" s="26">
        <v>69</v>
      </c>
      <c r="K71" s="28">
        <v>-412.49999999999989</v>
      </c>
    </row>
    <row r="72" spans="10:11" x14ac:dyDescent="0.4">
      <c r="J72" s="26">
        <v>70</v>
      </c>
      <c r="K72" s="28">
        <v>-379.49999999999989</v>
      </c>
    </row>
    <row r="73" spans="10:11" x14ac:dyDescent="0.4">
      <c r="J73" s="26">
        <v>71</v>
      </c>
      <c r="K73" s="28">
        <v>-374.2999999999999</v>
      </c>
    </row>
    <row r="74" spans="10:11" x14ac:dyDescent="0.4">
      <c r="J74" s="26">
        <v>72</v>
      </c>
      <c r="K74" s="28">
        <v>-409.7999999999999</v>
      </c>
    </row>
    <row r="75" spans="10:11" x14ac:dyDescent="0.4">
      <c r="J75" s="26">
        <v>73</v>
      </c>
      <c r="K75" s="28">
        <v>-393.59999999999991</v>
      </c>
    </row>
  </sheetData>
  <sortState ref="E2:H75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0002E9-A21F-4A38-B498-D4F73EEF8BC4}">
  <sheetPr codeName="Sheet8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88" t="s">
        <v>191</v>
      </c>
      <c r="C1" s="89"/>
      <c r="E1" s="78" t="s">
        <v>213</v>
      </c>
      <c r="F1" s="59" t="s">
        <v>122</v>
      </c>
      <c r="G1" s="74" t="s">
        <v>123</v>
      </c>
      <c r="H1" s="59" t="s">
        <v>124</v>
      </c>
      <c r="J1" s="21" t="s">
        <v>22</v>
      </c>
      <c r="K1" s="22" t="s">
        <v>127</v>
      </c>
      <c r="M1" s="21" t="s">
        <v>207</v>
      </c>
      <c r="N1" s="59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4">
        <v>40</v>
      </c>
      <c r="C2" s="85"/>
      <c r="E2" s="79" t="s">
        <v>71</v>
      </c>
      <c r="F2" s="75" t="s">
        <v>25</v>
      </c>
      <c r="G2" s="61">
        <v>14</v>
      </c>
      <c r="H2" s="24">
        <f>IF(B$25=0,0,G2/B$25)</f>
        <v>1.0769230769230769</v>
      </c>
      <c r="J2" s="23">
        <v>0</v>
      </c>
      <c r="K2" s="25">
        <v>0</v>
      </c>
      <c r="M2" s="23" t="s">
        <v>201</v>
      </c>
      <c r="N2" s="56">
        <f t="shared" ref="N2:N7" si="0">IF(P2=0,0,O2/P2)</f>
        <v>-867.5</v>
      </c>
      <c r="O2" s="53">
        <v>-34700</v>
      </c>
      <c r="P2" s="51">
        <v>40</v>
      </c>
    </row>
    <row r="3" spans="1:16" x14ac:dyDescent="0.4">
      <c r="A3" s="70" t="s">
        <v>8</v>
      </c>
      <c r="B3" s="90">
        <v>284</v>
      </c>
      <c r="C3" s="91"/>
      <c r="E3" s="80" t="s">
        <v>73</v>
      </c>
      <c r="F3" s="76" t="s">
        <v>27</v>
      </c>
      <c r="G3" s="62">
        <v>12</v>
      </c>
      <c r="H3" s="27">
        <f>IF(B$25=0,0,G3/B$25)</f>
        <v>0.92307692307692313</v>
      </c>
      <c r="J3" s="26">
        <v>1</v>
      </c>
      <c r="K3" s="28">
        <v>-39.9</v>
      </c>
      <c r="M3" s="26" t="s">
        <v>202</v>
      </c>
      <c r="N3" s="57">
        <f t="shared" si="0"/>
        <v>3084.2105263157896</v>
      </c>
      <c r="O3" s="54">
        <v>117200</v>
      </c>
      <c r="P3" s="49">
        <v>38</v>
      </c>
    </row>
    <row r="4" spans="1:16" x14ac:dyDescent="0.4">
      <c r="A4" s="70" t="s">
        <v>6</v>
      </c>
      <c r="B4" s="92">
        <v>236.10000000000002</v>
      </c>
      <c r="C4" s="93"/>
      <c r="E4" s="80" t="s">
        <v>78</v>
      </c>
      <c r="F4" s="76" t="s">
        <v>31</v>
      </c>
      <c r="G4" s="62">
        <v>12</v>
      </c>
      <c r="H4" s="27">
        <f>IF(B$25=0,0,G4/B$25)</f>
        <v>0.92307692307692313</v>
      </c>
      <c r="J4" s="26">
        <v>2</v>
      </c>
      <c r="K4" s="28">
        <v>-13.2</v>
      </c>
      <c r="M4" s="26" t="s">
        <v>203</v>
      </c>
      <c r="N4" s="57">
        <f t="shared" si="0"/>
        <v>-1480.5555555555557</v>
      </c>
      <c r="O4" s="54">
        <v>-53300</v>
      </c>
      <c r="P4" s="49">
        <v>36</v>
      </c>
    </row>
    <row r="5" spans="1:16" x14ac:dyDescent="0.4">
      <c r="A5" s="70" t="s">
        <v>7</v>
      </c>
      <c r="B5" s="92">
        <f>IF(B$2=0,0,B$4/B$2)</f>
        <v>5.9025000000000007</v>
      </c>
      <c r="C5" s="93"/>
      <c r="E5" s="80" t="s">
        <v>69</v>
      </c>
      <c r="F5" s="76" t="s">
        <v>23</v>
      </c>
      <c r="G5" s="62">
        <v>4</v>
      </c>
      <c r="H5" s="27">
        <f>IF(B$25=0,0,G5/B$25)</f>
        <v>0.30769230769230771</v>
      </c>
      <c r="J5" s="26">
        <v>3</v>
      </c>
      <c r="K5" s="28">
        <v>-57.7</v>
      </c>
      <c r="M5" s="26" t="s">
        <v>204</v>
      </c>
      <c r="N5" s="57">
        <f t="shared" si="0"/>
        <v>-1212.9032258064517</v>
      </c>
      <c r="O5" s="54">
        <v>-37600</v>
      </c>
      <c r="P5" s="49">
        <v>31</v>
      </c>
    </row>
    <row r="6" spans="1:16" x14ac:dyDescent="0.4">
      <c r="A6" s="70" t="s">
        <v>1</v>
      </c>
      <c r="B6" s="94">
        <f>IF(B$2=0,0,(B$7*1+B$8*2+B$9*3)/B$2)</f>
        <v>1.85</v>
      </c>
      <c r="C6" s="95"/>
      <c r="E6" s="80" t="s">
        <v>72</v>
      </c>
      <c r="F6" s="76" t="s">
        <v>26</v>
      </c>
      <c r="G6" s="62">
        <v>4</v>
      </c>
      <c r="H6" s="27">
        <f>IF(B$25=0,0,G6/B$25)</f>
        <v>0.30769230769230771</v>
      </c>
      <c r="J6" s="26">
        <v>4</v>
      </c>
      <c r="K6" s="28">
        <v>-53.7</v>
      </c>
      <c r="M6" s="26" t="s">
        <v>205</v>
      </c>
      <c r="N6" s="57">
        <f t="shared" si="0"/>
        <v>8588</v>
      </c>
      <c r="O6" s="54">
        <v>214700</v>
      </c>
      <c r="P6" s="49">
        <v>25</v>
      </c>
    </row>
    <row r="7" spans="1:16" x14ac:dyDescent="0.4">
      <c r="A7" s="70" t="s">
        <v>2</v>
      </c>
      <c r="B7" s="62">
        <v>14</v>
      </c>
      <c r="C7" s="27">
        <f>IF(B$2=0,0,B7/B$2)</f>
        <v>0.35</v>
      </c>
      <c r="E7" s="80" t="s">
        <v>74</v>
      </c>
      <c r="F7" s="76" t="s">
        <v>12</v>
      </c>
      <c r="G7" s="62">
        <v>3</v>
      </c>
      <c r="H7" s="27">
        <f>IF(B$25=0,0,G7/B$25)</f>
        <v>0.23076923076923078</v>
      </c>
      <c r="J7" s="26">
        <v>5</v>
      </c>
      <c r="K7" s="28">
        <v>-45.7</v>
      </c>
      <c r="M7" s="31" t="s">
        <v>206</v>
      </c>
      <c r="N7" s="58">
        <f t="shared" si="0"/>
        <v>2146.6666666666665</v>
      </c>
      <c r="O7" s="55">
        <v>32200</v>
      </c>
      <c r="P7" s="50">
        <v>15</v>
      </c>
    </row>
    <row r="8" spans="1:16" x14ac:dyDescent="0.4">
      <c r="A8" s="70" t="s">
        <v>3</v>
      </c>
      <c r="B8" s="62">
        <v>18</v>
      </c>
      <c r="C8" s="27">
        <f t="shared" ref="C8:C9" si="1">IF(B$2=0,0,B8/B$2)</f>
        <v>0.45</v>
      </c>
      <c r="E8" s="80" t="s">
        <v>90</v>
      </c>
      <c r="F8" s="76" t="s">
        <v>43</v>
      </c>
      <c r="G8" s="62">
        <v>3</v>
      </c>
      <c r="H8" s="27">
        <f>IF(B$25=0,0,G8/B$25)</f>
        <v>0.23076923076923078</v>
      </c>
      <c r="J8" s="26">
        <v>6</v>
      </c>
      <c r="K8" s="28">
        <v>-50.6</v>
      </c>
    </row>
    <row r="9" spans="1:16" x14ac:dyDescent="0.4">
      <c r="A9" s="71" t="s">
        <v>4</v>
      </c>
      <c r="B9" s="63">
        <v>8</v>
      </c>
      <c r="C9" s="29">
        <f t="shared" si="1"/>
        <v>0.2</v>
      </c>
      <c r="E9" s="80" t="s">
        <v>75</v>
      </c>
      <c r="F9" s="76" t="s">
        <v>28</v>
      </c>
      <c r="G9" s="62">
        <v>2</v>
      </c>
      <c r="H9" s="27">
        <f>IF(B$25=0,0,G9/B$25)</f>
        <v>0.15384615384615385</v>
      </c>
      <c r="J9" s="26">
        <v>7</v>
      </c>
      <c r="K9" s="28">
        <v>-47.6</v>
      </c>
    </row>
    <row r="10" spans="1:16" x14ac:dyDescent="0.4">
      <c r="A10" s="71" t="s">
        <v>21</v>
      </c>
      <c r="B10" s="63">
        <v>5</v>
      </c>
      <c r="C10" s="29">
        <f>IF(B$2=0,0,B10/B$2)</f>
        <v>0.125</v>
      </c>
      <c r="E10" s="80" t="s">
        <v>88</v>
      </c>
      <c r="F10" s="76" t="s">
        <v>41</v>
      </c>
      <c r="G10" s="62">
        <v>2</v>
      </c>
      <c r="H10" s="27">
        <f>IF(B$25=0,0,G10/B$25)</f>
        <v>0.15384615384615385</v>
      </c>
      <c r="J10" s="26">
        <v>8</v>
      </c>
      <c r="K10" s="28">
        <v>-59.1</v>
      </c>
    </row>
    <row r="11" spans="1:16" x14ac:dyDescent="0.4">
      <c r="A11" s="72" t="s">
        <v>211</v>
      </c>
      <c r="B11" s="64">
        <v>8</v>
      </c>
      <c r="C11" s="32">
        <f>IF(B$2=0,0,B11/B$2)</f>
        <v>0.2</v>
      </c>
      <c r="E11" s="80" t="s">
        <v>70</v>
      </c>
      <c r="F11" s="76" t="s">
        <v>24</v>
      </c>
      <c r="G11" s="62">
        <v>1</v>
      </c>
      <c r="H11" s="27">
        <f>IF(B$25=0,0,G11/B$25)</f>
        <v>7.6923076923076927E-2</v>
      </c>
      <c r="J11" s="26">
        <v>9</v>
      </c>
      <c r="K11" s="28">
        <v>-77.900000000000006</v>
      </c>
    </row>
    <row r="12" spans="1:16" x14ac:dyDescent="0.4">
      <c r="A12" s="73" t="s">
        <v>130</v>
      </c>
      <c r="B12" s="65">
        <v>8</v>
      </c>
      <c r="C12" s="35">
        <f>IF(B$24=0,0,B12/B$24)</f>
        <v>0.17391304347826086</v>
      </c>
      <c r="E12" s="80" t="s">
        <v>96</v>
      </c>
      <c r="F12" s="76" t="s">
        <v>49</v>
      </c>
      <c r="G12" s="62">
        <v>1</v>
      </c>
      <c r="H12" s="27">
        <f>IF(B$25=0,0,G12/B$25)</f>
        <v>7.6923076923076927E-2</v>
      </c>
      <c r="J12" s="26">
        <v>10</v>
      </c>
      <c r="K12" s="28">
        <v>-78.900000000000006</v>
      </c>
    </row>
    <row r="13" spans="1:16" x14ac:dyDescent="0.4">
      <c r="A13" s="70" t="s">
        <v>125</v>
      </c>
      <c r="B13" s="62">
        <v>16</v>
      </c>
      <c r="C13" s="27">
        <f>IF(B$24=0,0,B13/B$24)</f>
        <v>0.34782608695652173</v>
      </c>
      <c r="E13" s="80" t="s">
        <v>76</v>
      </c>
      <c r="F13" s="76" t="s">
        <v>29</v>
      </c>
      <c r="G13" s="62">
        <v>0</v>
      </c>
      <c r="H13" s="27">
        <f>IF(B$25=0,0,G13/B$25)</f>
        <v>0</v>
      </c>
      <c r="J13" s="26">
        <v>11</v>
      </c>
      <c r="K13" s="28">
        <v>-88.9</v>
      </c>
    </row>
    <row r="14" spans="1:16" x14ac:dyDescent="0.4">
      <c r="A14" s="69" t="s">
        <v>132</v>
      </c>
      <c r="B14" s="61">
        <v>4</v>
      </c>
      <c r="C14" s="24">
        <f>IF(B$12=0,0,B14/B$12)</f>
        <v>0.5</v>
      </c>
      <c r="E14" s="80" t="s">
        <v>77</v>
      </c>
      <c r="F14" s="76" t="s">
        <v>30</v>
      </c>
      <c r="G14" s="62">
        <v>0</v>
      </c>
      <c r="H14" s="27">
        <f>IF(B$25=0,0,G14/B$25)</f>
        <v>0</v>
      </c>
      <c r="J14" s="26">
        <v>12</v>
      </c>
      <c r="K14" s="28">
        <v>-23.5</v>
      </c>
    </row>
    <row r="15" spans="1:16" x14ac:dyDescent="0.4">
      <c r="A15" s="69" t="s">
        <v>133</v>
      </c>
      <c r="B15" s="61">
        <v>6</v>
      </c>
      <c r="C15" s="24">
        <f>IF(B$13=0,0,B15/B$13)</f>
        <v>0.375</v>
      </c>
      <c r="E15" s="80" t="s">
        <v>79</v>
      </c>
      <c r="F15" s="76" t="s">
        <v>32</v>
      </c>
      <c r="G15" s="62">
        <v>0</v>
      </c>
      <c r="H15" s="27">
        <f>IF(B$25=0,0,G15/B$25)</f>
        <v>0</v>
      </c>
      <c r="J15" s="26">
        <v>13</v>
      </c>
      <c r="K15" s="28">
        <v>-12.4</v>
      </c>
    </row>
    <row r="16" spans="1:16" x14ac:dyDescent="0.4">
      <c r="A16" s="69" t="s">
        <v>10</v>
      </c>
      <c r="B16" s="61">
        <f>B17+B18</f>
        <v>100</v>
      </c>
      <c r="C16" s="24">
        <f>IF(B$3=0,0,B16/B$3)</f>
        <v>0.352112676056338</v>
      </c>
      <c r="E16" s="80" t="s">
        <v>80</v>
      </c>
      <c r="F16" s="76" t="s">
        <v>33</v>
      </c>
      <c r="G16" s="62">
        <v>0</v>
      </c>
      <c r="H16" s="27">
        <f>IF(B$25=0,0,G16/B$25)</f>
        <v>0</v>
      </c>
      <c r="J16" s="26">
        <v>14</v>
      </c>
      <c r="K16" s="28">
        <v>38.6</v>
      </c>
    </row>
    <row r="17" spans="1:11" x14ac:dyDescent="0.4">
      <c r="A17" s="70" t="s">
        <v>11</v>
      </c>
      <c r="B17" s="62">
        <v>53</v>
      </c>
      <c r="C17" s="27">
        <f>IF(B$3=0,0,B17/B$3)</f>
        <v>0.18661971830985916</v>
      </c>
      <c r="E17" s="80" t="s">
        <v>81</v>
      </c>
      <c r="F17" s="76" t="s">
        <v>34</v>
      </c>
      <c r="G17" s="62">
        <v>0</v>
      </c>
      <c r="H17" s="27">
        <f>IF(B$25=0,0,G17/B$25)</f>
        <v>0</v>
      </c>
      <c r="J17" s="26">
        <v>15</v>
      </c>
      <c r="K17" s="28">
        <v>55.8</v>
      </c>
    </row>
    <row r="18" spans="1:11" x14ac:dyDescent="0.4">
      <c r="A18" s="70" t="s">
        <v>12</v>
      </c>
      <c r="B18" s="62">
        <v>47</v>
      </c>
      <c r="C18" s="27">
        <f>IF(B$3=0,0,B18/B$3)</f>
        <v>0.16549295774647887</v>
      </c>
      <c r="E18" s="80" t="s">
        <v>82</v>
      </c>
      <c r="F18" s="76" t="s">
        <v>35</v>
      </c>
      <c r="G18" s="62">
        <v>0</v>
      </c>
      <c r="H18" s="27">
        <f>IF(B$25=0,0,G18/B$25)</f>
        <v>0</v>
      </c>
      <c r="J18" s="26">
        <v>16</v>
      </c>
      <c r="K18" s="28">
        <v>40.299999999999997</v>
      </c>
    </row>
    <row r="19" spans="1:11" x14ac:dyDescent="0.4">
      <c r="A19" s="70" t="s">
        <v>13</v>
      </c>
      <c r="B19" s="62">
        <v>40</v>
      </c>
      <c r="C19" s="27">
        <f>IF(B$3=0,0,B19/B$3)</f>
        <v>0.14084507042253522</v>
      </c>
      <c r="E19" s="80" t="s">
        <v>83</v>
      </c>
      <c r="F19" s="76" t="s">
        <v>36</v>
      </c>
      <c r="G19" s="62">
        <v>0</v>
      </c>
      <c r="H19" s="27">
        <f>IF(B$25=0,0,G19/B$25)</f>
        <v>0</v>
      </c>
      <c r="J19" s="26">
        <v>17</v>
      </c>
      <c r="K19" s="28">
        <v>15.799999999999997</v>
      </c>
    </row>
    <row r="20" spans="1:11" x14ac:dyDescent="0.4">
      <c r="A20" s="70" t="s">
        <v>5</v>
      </c>
      <c r="B20" s="66">
        <f>IF(B$16=0,0,C20/B$16)</f>
        <v>9943</v>
      </c>
      <c r="C20" s="30">
        <v>994300</v>
      </c>
      <c r="E20" s="80" t="s">
        <v>84</v>
      </c>
      <c r="F20" s="76" t="s">
        <v>37</v>
      </c>
      <c r="G20" s="62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">
      <c r="A21" s="72" t="s">
        <v>14</v>
      </c>
      <c r="B21" s="67">
        <f>IF(B$19=0,0,C21/B$19)</f>
        <v>-9747.5</v>
      </c>
      <c r="C21" s="60">
        <v>-389900</v>
      </c>
      <c r="E21" s="80" t="s">
        <v>85</v>
      </c>
      <c r="F21" s="76" t="s">
        <v>38</v>
      </c>
      <c r="G21" s="62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">
      <c r="A22" s="69" t="s">
        <v>198</v>
      </c>
      <c r="B22" s="61">
        <v>102</v>
      </c>
      <c r="C22" s="24">
        <f>IF(B$3=0,0,B22/B$3)</f>
        <v>0.35915492957746481</v>
      </c>
      <c r="E22" s="80" t="s">
        <v>86</v>
      </c>
      <c r="F22" s="76" t="s">
        <v>39</v>
      </c>
      <c r="G22" s="62">
        <v>0</v>
      </c>
      <c r="H22" s="27">
        <f>IF(B$25=0,0,G22/B$25)</f>
        <v>0</v>
      </c>
      <c r="J22" s="26">
        <v>20</v>
      </c>
      <c r="K22" s="28">
        <v>7.4999999999999964</v>
      </c>
    </row>
    <row r="23" spans="1:11" x14ac:dyDescent="0.4">
      <c r="A23" s="72" t="s">
        <v>199</v>
      </c>
      <c r="B23" s="64">
        <v>36</v>
      </c>
      <c r="C23" s="32">
        <f>IF(B$22=0,0,B23/B$22)</f>
        <v>0.35294117647058826</v>
      </c>
      <c r="E23" s="80" t="s">
        <v>87</v>
      </c>
      <c r="F23" s="76" t="s">
        <v>40</v>
      </c>
      <c r="G23" s="62">
        <v>0</v>
      </c>
      <c r="H23" s="27">
        <f>IF(B$25=0,0,G23/B$25)</f>
        <v>0</v>
      </c>
      <c r="J23" s="26">
        <v>21</v>
      </c>
      <c r="K23" s="28">
        <v>69.8</v>
      </c>
    </row>
    <row r="24" spans="1:11" x14ac:dyDescent="0.4">
      <c r="A24" s="69" t="s">
        <v>128</v>
      </c>
      <c r="B24" s="84">
        <v>46</v>
      </c>
      <c r="C24" s="85"/>
      <c r="E24" s="80" t="s">
        <v>89</v>
      </c>
      <c r="F24" s="76" t="s">
        <v>42</v>
      </c>
      <c r="G24" s="62">
        <v>0</v>
      </c>
      <c r="H24" s="27">
        <f>IF(B$25=0,0,G24/B$25)</f>
        <v>0</v>
      </c>
      <c r="J24" s="26">
        <v>22</v>
      </c>
      <c r="K24" s="28">
        <v>78.399999999999991</v>
      </c>
    </row>
    <row r="25" spans="1:11" x14ac:dyDescent="0.4">
      <c r="A25" s="72" t="s">
        <v>129</v>
      </c>
      <c r="B25" s="86">
        <v>13</v>
      </c>
      <c r="C25" s="87"/>
      <c r="E25" s="80" t="s">
        <v>91</v>
      </c>
      <c r="F25" s="76" t="s">
        <v>44</v>
      </c>
      <c r="G25" s="62">
        <v>0</v>
      </c>
      <c r="H25" s="27">
        <f>IF(B$25=0,0,G25/B$25)</f>
        <v>0</v>
      </c>
      <c r="J25" s="26">
        <v>23</v>
      </c>
      <c r="K25" s="28">
        <v>93.199999999999989</v>
      </c>
    </row>
    <row r="26" spans="1:11" x14ac:dyDescent="0.4">
      <c r="E26" s="80" t="s">
        <v>92</v>
      </c>
      <c r="F26" s="76" t="s">
        <v>45</v>
      </c>
      <c r="G26" s="62">
        <v>0</v>
      </c>
      <c r="H26" s="27">
        <f>IF(B$25=0,0,G26/B$25)</f>
        <v>0</v>
      </c>
      <c r="J26" s="26">
        <v>24</v>
      </c>
      <c r="K26" s="28">
        <v>49.29999999999999</v>
      </c>
    </row>
    <row r="27" spans="1:11" x14ac:dyDescent="0.4">
      <c r="E27" s="80" t="s">
        <v>93</v>
      </c>
      <c r="F27" s="76" t="s">
        <v>46</v>
      </c>
      <c r="G27" s="62">
        <v>0</v>
      </c>
      <c r="H27" s="27">
        <f>IF(B$25=0,0,G27/B$25)</f>
        <v>0</v>
      </c>
      <c r="J27" s="26">
        <v>25</v>
      </c>
      <c r="K27" s="28">
        <v>58.79999999999999</v>
      </c>
    </row>
    <row r="28" spans="1:11" x14ac:dyDescent="0.4">
      <c r="E28" s="80" t="s">
        <v>94</v>
      </c>
      <c r="F28" s="76" t="s">
        <v>47</v>
      </c>
      <c r="G28" s="62">
        <v>0</v>
      </c>
      <c r="H28" s="27">
        <f>IF(B$25=0,0,G28/B$25)</f>
        <v>0</v>
      </c>
      <c r="J28" s="26">
        <v>26</v>
      </c>
      <c r="K28" s="28">
        <v>141.79999999999998</v>
      </c>
    </row>
    <row r="29" spans="1:11" x14ac:dyDescent="0.4">
      <c r="E29" s="80" t="s">
        <v>95</v>
      </c>
      <c r="F29" s="76" t="s">
        <v>48</v>
      </c>
      <c r="G29" s="62">
        <v>0</v>
      </c>
      <c r="H29" s="27">
        <f>IF(B$25=0,0,G29/B$25)</f>
        <v>0</v>
      </c>
      <c r="J29" s="26">
        <v>27</v>
      </c>
      <c r="K29" s="28">
        <v>162.79999999999998</v>
      </c>
    </row>
    <row r="30" spans="1:11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  <c r="J30" s="26">
        <v>28</v>
      </c>
      <c r="K30" s="28">
        <v>174.7</v>
      </c>
    </row>
    <row r="31" spans="1:11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  <c r="J31" s="26">
        <v>29</v>
      </c>
      <c r="K31" s="28">
        <v>205</v>
      </c>
    </row>
    <row r="32" spans="1:11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  <c r="J32" s="26">
        <v>30</v>
      </c>
      <c r="K32" s="28">
        <v>198.5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  <c r="J33" s="26">
        <v>31</v>
      </c>
      <c r="K33" s="28">
        <v>186.9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204.4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245.4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234.9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188.9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  <c r="J38" s="26">
        <v>36</v>
      </c>
      <c r="K38" s="28">
        <v>236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  <c r="J39" s="26">
        <v>37</v>
      </c>
      <c r="K39" s="28">
        <v>250.8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  <c r="J40" s="26">
        <v>38</v>
      </c>
      <c r="K40" s="28">
        <v>232.60000000000002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  <c r="J41" s="26">
        <v>39</v>
      </c>
      <c r="K41" s="28">
        <v>233.00000000000003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  <c r="J42" s="26">
        <v>40</v>
      </c>
      <c r="K42" s="28">
        <v>236.10000000000002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B32B3-496E-464F-B59B-BB3C4CF57DAB}">
  <sheetPr codeName="Sheet9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88" t="s">
        <v>145</v>
      </c>
      <c r="C1" s="89"/>
      <c r="E1" s="78" t="s">
        <v>213</v>
      </c>
      <c r="F1" s="59" t="s">
        <v>122</v>
      </c>
      <c r="G1" s="74" t="s">
        <v>123</v>
      </c>
      <c r="H1" s="59" t="s">
        <v>124</v>
      </c>
      <c r="J1" s="21" t="s">
        <v>22</v>
      </c>
      <c r="K1" s="22" t="s">
        <v>127</v>
      </c>
      <c r="M1" s="21" t="s">
        <v>207</v>
      </c>
      <c r="N1" s="59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4">
        <v>1</v>
      </c>
      <c r="C2" s="85"/>
      <c r="E2" s="79" t="s">
        <v>69</v>
      </c>
      <c r="F2" s="75" t="s">
        <v>23</v>
      </c>
      <c r="G2" s="61">
        <v>0</v>
      </c>
      <c r="H2" s="24">
        <f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0">IF(P2=0,0,O2/P2)</f>
        <v>300</v>
      </c>
      <c r="O2" s="53">
        <v>300</v>
      </c>
      <c r="P2" s="51">
        <v>1</v>
      </c>
    </row>
    <row r="3" spans="1:16" x14ac:dyDescent="0.4">
      <c r="A3" s="70" t="s">
        <v>8</v>
      </c>
      <c r="B3" s="90">
        <v>6</v>
      </c>
      <c r="C3" s="91"/>
      <c r="E3" s="80" t="s">
        <v>70</v>
      </c>
      <c r="F3" s="76" t="s">
        <v>24</v>
      </c>
      <c r="G3" s="62">
        <v>0</v>
      </c>
      <c r="H3" s="27">
        <f>IF(B$25=0,0,G3/B$25)</f>
        <v>0</v>
      </c>
      <c r="J3" s="26">
        <v>1</v>
      </c>
      <c r="K3" s="28">
        <v>-40.700000000000003</v>
      </c>
      <c r="M3" s="26" t="s">
        <v>202</v>
      </c>
      <c r="N3" s="57">
        <f t="shared" si="0"/>
        <v>-16000</v>
      </c>
      <c r="O3" s="54">
        <v>-16000</v>
      </c>
      <c r="P3" s="49">
        <v>1</v>
      </c>
    </row>
    <row r="4" spans="1:16" x14ac:dyDescent="0.4">
      <c r="A4" s="70" t="s">
        <v>6</v>
      </c>
      <c r="B4" s="92">
        <v>-40.700000000000003</v>
      </c>
      <c r="C4" s="93"/>
      <c r="E4" s="80" t="s">
        <v>71</v>
      </c>
      <c r="F4" s="76" t="s">
        <v>25</v>
      </c>
      <c r="G4" s="62">
        <v>0</v>
      </c>
      <c r="H4" s="27">
        <f>IF(B$25=0,0,G4/B$25)</f>
        <v>0</v>
      </c>
      <c r="M4" s="26" t="s">
        <v>203</v>
      </c>
      <c r="N4" s="57">
        <f t="shared" si="0"/>
        <v>-1000</v>
      </c>
      <c r="O4" s="54">
        <v>-1000</v>
      </c>
      <c r="P4" s="49">
        <v>1</v>
      </c>
    </row>
    <row r="5" spans="1:16" x14ac:dyDescent="0.4">
      <c r="A5" s="70" t="s">
        <v>7</v>
      </c>
      <c r="B5" s="92">
        <f>IF(B$2=0,0,B$4/B$2)</f>
        <v>-40.700000000000003</v>
      </c>
      <c r="C5" s="93"/>
      <c r="E5" s="80" t="s">
        <v>72</v>
      </c>
      <c r="F5" s="76" t="s">
        <v>26</v>
      </c>
      <c r="G5" s="62">
        <v>0</v>
      </c>
      <c r="H5" s="27">
        <f>IF(B$25=0,0,G5/B$25)</f>
        <v>0</v>
      </c>
      <c r="M5" s="26" t="s">
        <v>204</v>
      </c>
      <c r="N5" s="57">
        <f t="shared" si="0"/>
        <v>-24000</v>
      </c>
      <c r="O5" s="54">
        <v>-24000</v>
      </c>
      <c r="P5" s="49">
        <v>1</v>
      </c>
    </row>
    <row r="6" spans="1:16" x14ac:dyDescent="0.4">
      <c r="A6" s="70" t="s">
        <v>1</v>
      </c>
      <c r="B6" s="94">
        <f>IF(B$2=0,0,(B$7*1+B$8*2+B$9*3)/B$2)</f>
        <v>2</v>
      </c>
      <c r="C6" s="95"/>
      <c r="E6" s="80" t="s">
        <v>73</v>
      </c>
      <c r="F6" s="76" t="s">
        <v>27</v>
      </c>
      <c r="G6" s="62">
        <v>0</v>
      </c>
      <c r="H6" s="27">
        <f>IF(B$25=0,0,G6/B$25)</f>
        <v>0</v>
      </c>
      <c r="M6" s="26" t="s">
        <v>205</v>
      </c>
      <c r="N6" s="57">
        <f t="shared" si="0"/>
        <v>0</v>
      </c>
      <c r="O6" s="54">
        <v>0</v>
      </c>
      <c r="P6" s="49">
        <v>0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74</v>
      </c>
      <c r="F7" s="76" t="s">
        <v>12</v>
      </c>
      <c r="G7" s="62">
        <v>0</v>
      </c>
      <c r="H7" s="27">
        <f>IF(B$25=0,0,G7/B$25)</f>
        <v>0</v>
      </c>
      <c r="M7" s="31" t="s">
        <v>206</v>
      </c>
      <c r="N7" s="58">
        <f t="shared" si="0"/>
        <v>0</v>
      </c>
      <c r="O7" s="55">
        <v>0</v>
      </c>
      <c r="P7" s="50">
        <v>0</v>
      </c>
    </row>
    <row r="8" spans="1:16" x14ac:dyDescent="0.4">
      <c r="A8" s="70" t="s">
        <v>3</v>
      </c>
      <c r="B8" s="62">
        <v>1</v>
      </c>
      <c r="C8" s="27">
        <f t="shared" ref="C8:C9" si="1">IF(B$2=0,0,B8/B$2)</f>
        <v>1</v>
      </c>
      <c r="E8" s="80" t="s">
        <v>75</v>
      </c>
      <c r="F8" s="76" t="s">
        <v>28</v>
      </c>
      <c r="G8" s="62">
        <v>0</v>
      </c>
      <c r="H8" s="27">
        <f>IF(B$25=0,0,G8/B$25)</f>
        <v>0</v>
      </c>
    </row>
    <row r="9" spans="1:16" x14ac:dyDescent="0.4">
      <c r="A9" s="71" t="s">
        <v>4</v>
      </c>
      <c r="B9" s="63">
        <v>0</v>
      </c>
      <c r="C9" s="29">
        <f t="shared" si="1"/>
        <v>0</v>
      </c>
      <c r="E9" s="80" t="s">
        <v>76</v>
      </c>
      <c r="F9" s="76" t="s">
        <v>29</v>
      </c>
      <c r="G9" s="62">
        <v>0</v>
      </c>
      <c r="H9" s="27">
        <f>IF(B$25=0,0,G9/B$25)</f>
        <v>0</v>
      </c>
    </row>
    <row r="10" spans="1:16" x14ac:dyDescent="0.4">
      <c r="A10" s="71" t="s">
        <v>21</v>
      </c>
      <c r="B10" s="63">
        <v>1</v>
      </c>
      <c r="C10" s="29">
        <f>IF(B$2=0,0,B10/B$2)</f>
        <v>1</v>
      </c>
      <c r="E10" s="80" t="s">
        <v>77</v>
      </c>
      <c r="F10" s="76" t="s">
        <v>30</v>
      </c>
      <c r="G10" s="62">
        <v>0</v>
      </c>
      <c r="H10" s="27">
        <f>IF(B$25=0,0,G10/B$25)</f>
        <v>0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78</v>
      </c>
      <c r="F11" s="76" t="s">
        <v>31</v>
      </c>
      <c r="G11" s="62">
        <v>0</v>
      </c>
      <c r="H11" s="27">
        <f>IF(B$25=0,0,G11/B$25)</f>
        <v>0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>IF(B$25=0,0,G12/B$25)</f>
        <v>0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>IF(B$25=0,0,G13/B$25)</f>
        <v>0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>IF(B$25=0,0,G14/B$25)</f>
        <v>0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1</v>
      </c>
      <c r="C16" s="24">
        <f>IF(B$3=0,0,B16/B$3)</f>
        <v>0.16666666666666666</v>
      </c>
      <c r="E16" s="80" t="s">
        <v>83</v>
      </c>
      <c r="F16" s="76" t="s">
        <v>36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1</v>
      </c>
      <c r="C17" s="27">
        <f>IF(B$3=0,0,B17/B$3)</f>
        <v>0.16666666666666666</v>
      </c>
      <c r="E17" s="80" t="s">
        <v>84</v>
      </c>
      <c r="F17" s="76" t="s">
        <v>37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0</v>
      </c>
      <c r="C18" s="27">
        <f>IF(B$3=0,0,B18/B$3)</f>
        <v>0</v>
      </c>
      <c r="E18" s="80" t="s">
        <v>85</v>
      </c>
      <c r="F18" s="76" t="s">
        <v>38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2</v>
      </c>
      <c r="C19" s="27">
        <f>IF(B$3=0,0,B19/B$3)</f>
        <v>0.33333333333333331</v>
      </c>
      <c r="E19" s="80" t="s">
        <v>86</v>
      </c>
      <c r="F19" s="76" t="s">
        <v>39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1300</v>
      </c>
      <c r="C20" s="30">
        <v>1300</v>
      </c>
      <c r="E20" s="80" t="s">
        <v>87</v>
      </c>
      <c r="F20" s="76" t="s">
        <v>40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-8500</v>
      </c>
      <c r="C21" s="60">
        <v>-17000</v>
      </c>
      <c r="E21" s="80" t="s">
        <v>88</v>
      </c>
      <c r="F21" s="76" t="s">
        <v>41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1</v>
      </c>
      <c r="C22" s="24">
        <f>IF(B$3=0,0,B22/B$3)</f>
        <v>0.16666666666666666</v>
      </c>
      <c r="E22" s="80" t="s">
        <v>89</v>
      </c>
      <c r="F22" s="76" t="s">
        <v>42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0</v>
      </c>
      <c r="C23" s="32">
        <f>IF(B$22=0,0,B23/B$22)</f>
        <v>0</v>
      </c>
      <c r="E23" s="80" t="s">
        <v>90</v>
      </c>
      <c r="F23" s="76" t="s">
        <v>43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4">
        <v>0</v>
      </c>
      <c r="C24" s="85"/>
      <c r="E24" s="80" t="s">
        <v>91</v>
      </c>
      <c r="F24" s="76" t="s">
        <v>44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86">
        <v>0</v>
      </c>
      <c r="C25" s="87"/>
      <c r="E25" s="80" t="s">
        <v>92</v>
      </c>
      <c r="F25" s="76" t="s">
        <v>45</v>
      </c>
      <c r="G25" s="62">
        <v>0</v>
      </c>
      <c r="H25" s="27">
        <f>IF(B$25=0,0,G25/B$25)</f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>IF(B$25=0,0,G26/B$25)</f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>IF(B$25=0,0,G27/B$25)</f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>IF(B$25=0,0,G28/B$25)</f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DE35F-8677-438B-A167-D0E747804815}">
  <sheetPr codeName="Sheet10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88" t="s">
        <v>192</v>
      </c>
      <c r="C1" s="89"/>
      <c r="E1" s="78" t="s">
        <v>213</v>
      </c>
      <c r="F1" s="59" t="s">
        <v>122</v>
      </c>
      <c r="G1" s="74" t="s">
        <v>123</v>
      </c>
      <c r="H1" s="59" t="s">
        <v>124</v>
      </c>
      <c r="J1" s="21" t="s">
        <v>22</v>
      </c>
      <c r="K1" s="22" t="s">
        <v>127</v>
      </c>
      <c r="M1" s="21" t="s">
        <v>207</v>
      </c>
      <c r="N1" s="59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4">
        <v>35</v>
      </c>
      <c r="C2" s="85"/>
      <c r="E2" s="79" t="s">
        <v>73</v>
      </c>
      <c r="F2" s="75" t="s">
        <v>27</v>
      </c>
      <c r="G2" s="61">
        <v>22</v>
      </c>
      <c r="H2" s="24">
        <f>IF(B$25=0,0,G2/B$25)</f>
        <v>0.95652173913043481</v>
      </c>
      <c r="J2" s="23">
        <v>0</v>
      </c>
      <c r="K2" s="25">
        <v>0</v>
      </c>
      <c r="M2" s="23" t="s">
        <v>201</v>
      </c>
      <c r="N2" s="56">
        <f t="shared" ref="N2:N7" si="0">IF(P2=0,0,O2/P2)</f>
        <v>-1391.4285714285713</v>
      </c>
      <c r="O2" s="53">
        <v>-48700</v>
      </c>
      <c r="P2" s="51">
        <v>35</v>
      </c>
    </row>
    <row r="3" spans="1:16" x14ac:dyDescent="0.4">
      <c r="A3" s="70" t="s">
        <v>8</v>
      </c>
      <c r="B3" s="90">
        <v>274</v>
      </c>
      <c r="C3" s="91"/>
      <c r="E3" s="80" t="s">
        <v>71</v>
      </c>
      <c r="F3" s="76" t="s">
        <v>25</v>
      </c>
      <c r="G3" s="62">
        <v>17</v>
      </c>
      <c r="H3" s="27">
        <f>IF(B$25=0,0,G3/B$25)</f>
        <v>0.73913043478260865</v>
      </c>
      <c r="J3" s="26">
        <v>1</v>
      </c>
      <c r="K3" s="28">
        <v>68.2</v>
      </c>
      <c r="M3" s="26" t="s">
        <v>202</v>
      </c>
      <c r="N3" s="57">
        <f t="shared" si="0"/>
        <v>-2903.125</v>
      </c>
      <c r="O3" s="54">
        <v>-92900</v>
      </c>
      <c r="P3" s="49">
        <v>32</v>
      </c>
    </row>
    <row r="4" spans="1:16" x14ac:dyDescent="0.4">
      <c r="A4" s="70" t="s">
        <v>6</v>
      </c>
      <c r="B4" s="92">
        <v>-106.10000000000001</v>
      </c>
      <c r="C4" s="93"/>
      <c r="E4" s="80" t="s">
        <v>78</v>
      </c>
      <c r="F4" s="76" t="s">
        <v>31</v>
      </c>
      <c r="G4" s="62">
        <v>15</v>
      </c>
      <c r="H4" s="27">
        <f>IF(B$25=0,0,G4/B$25)</f>
        <v>0.65217391304347827</v>
      </c>
      <c r="J4" s="26">
        <v>2</v>
      </c>
      <c r="K4" s="28">
        <v>58.5</v>
      </c>
      <c r="M4" s="26" t="s">
        <v>203</v>
      </c>
      <c r="N4" s="57">
        <f t="shared" si="0"/>
        <v>-2534.6153846153848</v>
      </c>
      <c r="O4" s="54">
        <v>-65900</v>
      </c>
      <c r="P4" s="49">
        <v>26</v>
      </c>
    </row>
    <row r="5" spans="1:16" x14ac:dyDescent="0.4">
      <c r="A5" s="70" t="s">
        <v>7</v>
      </c>
      <c r="B5" s="92">
        <f>IF(B$2=0,0,B$4/B$2)</f>
        <v>-3.0314285714285716</v>
      </c>
      <c r="C5" s="93"/>
      <c r="E5" s="80" t="s">
        <v>69</v>
      </c>
      <c r="F5" s="76" t="s">
        <v>23</v>
      </c>
      <c r="G5" s="62">
        <v>7</v>
      </c>
      <c r="H5" s="27">
        <f>IF(B$25=0,0,G5/B$25)</f>
        <v>0.30434782608695654</v>
      </c>
      <c r="J5" s="26">
        <v>3</v>
      </c>
      <c r="K5" s="28">
        <v>82.1</v>
      </c>
      <c r="M5" s="26" t="s">
        <v>204</v>
      </c>
      <c r="N5" s="57">
        <f t="shared" si="0"/>
        <v>4156</v>
      </c>
      <c r="O5" s="54">
        <v>103900</v>
      </c>
      <c r="P5" s="49">
        <v>25</v>
      </c>
    </row>
    <row r="6" spans="1:16" x14ac:dyDescent="0.4">
      <c r="A6" s="70" t="s">
        <v>1</v>
      </c>
      <c r="B6" s="94">
        <f>IF(B$2=0,0,(B$7*1+B$8*2+B$9*3)/B$2)</f>
        <v>2.1142857142857143</v>
      </c>
      <c r="C6" s="95"/>
      <c r="E6" s="80" t="s">
        <v>70</v>
      </c>
      <c r="F6" s="76" t="s">
        <v>24</v>
      </c>
      <c r="G6" s="62">
        <v>3</v>
      </c>
      <c r="H6" s="27">
        <f>IF(B$25=0,0,G6/B$25)</f>
        <v>0.13043478260869565</v>
      </c>
      <c r="J6" s="26">
        <v>4</v>
      </c>
      <c r="K6" s="28">
        <v>58.199999999999996</v>
      </c>
      <c r="M6" s="26" t="s">
        <v>205</v>
      </c>
      <c r="N6" s="57">
        <f t="shared" si="0"/>
        <v>-626.31578947368416</v>
      </c>
      <c r="O6" s="54">
        <v>-11900</v>
      </c>
      <c r="P6" s="49">
        <v>19</v>
      </c>
    </row>
    <row r="7" spans="1:16" x14ac:dyDescent="0.4">
      <c r="A7" s="70" t="s">
        <v>2</v>
      </c>
      <c r="B7" s="62">
        <v>9</v>
      </c>
      <c r="C7" s="27">
        <f>IF(B$2=0,0,B7/B$2)</f>
        <v>0.25714285714285712</v>
      </c>
      <c r="E7" s="80" t="s">
        <v>74</v>
      </c>
      <c r="F7" s="76" t="s">
        <v>12</v>
      </c>
      <c r="G7" s="62">
        <v>3</v>
      </c>
      <c r="H7" s="27">
        <f>IF(B$25=0,0,G7/B$25)</f>
        <v>0.13043478260869565</v>
      </c>
      <c r="J7" s="26">
        <v>5</v>
      </c>
      <c r="K7" s="28">
        <v>124.19999999999999</v>
      </c>
      <c r="M7" s="31" t="s">
        <v>206</v>
      </c>
      <c r="N7" s="58">
        <f t="shared" si="0"/>
        <v>587.5</v>
      </c>
      <c r="O7" s="55">
        <v>9400</v>
      </c>
      <c r="P7" s="50">
        <v>16</v>
      </c>
    </row>
    <row r="8" spans="1:16" x14ac:dyDescent="0.4">
      <c r="A8" s="70" t="s">
        <v>3</v>
      </c>
      <c r="B8" s="62">
        <v>13</v>
      </c>
      <c r="C8" s="27">
        <f t="shared" ref="C8:C9" si="1">IF(B$2=0,0,B8/B$2)</f>
        <v>0.37142857142857144</v>
      </c>
      <c r="E8" s="80" t="s">
        <v>96</v>
      </c>
      <c r="F8" s="76" t="s">
        <v>49</v>
      </c>
      <c r="G8" s="62">
        <v>3</v>
      </c>
      <c r="H8" s="27">
        <f>IF(B$25=0,0,G8/B$25)</f>
        <v>0.13043478260869565</v>
      </c>
      <c r="J8" s="26">
        <v>6</v>
      </c>
      <c r="K8" s="28">
        <v>125.69999999999999</v>
      </c>
    </row>
    <row r="9" spans="1:16" x14ac:dyDescent="0.4">
      <c r="A9" s="71" t="s">
        <v>4</v>
      </c>
      <c r="B9" s="63">
        <v>13</v>
      </c>
      <c r="C9" s="29">
        <f t="shared" si="1"/>
        <v>0.37142857142857144</v>
      </c>
      <c r="E9" s="80" t="s">
        <v>85</v>
      </c>
      <c r="F9" s="76" t="s">
        <v>38</v>
      </c>
      <c r="G9" s="62">
        <v>2</v>
      </c>
      <c r="H9" s="27">
        <f>IF(B$25=0,0,G9/B$25)</f>
        <v>8.6956521739130432E-2</v>
      </c>
      <c r="J9" s="26">
        <v>7</v>
      </c>
      <c r="K9" s="28">
        <v>129.5</v>
      </c>
    </row>
    <row r="10" spans="1:16" x14ac:dyDescent="0.4">
      <c r="A10" s="71" t="s">
        <v>21</v>
      </c>
      <c r="B10" s="63">
        <v>6</v>
      </c>
      <c r="C10" s="29">
        <f>IF(B$2=0,0,B10/B$2)</f>
        <v>0.17142857142857143</v>
      </c>
      <c r="E10" s="80" t="s">
        <v>93</v>
      </c>
      <c r="F10" s="76" t="s">
        <v>46</v>
      </c>
      <c r="G10" s="62">
        <v>2</v>
      </c>
      <c r="H10" s="27">
        <f>IF(B$25=0,0,G10/B$25)</f>
        <v>8.6956521739130432E-2</v>
      </c>
      <c r="J10" s="26">
        <v>8</v>
      </c>
      <c r="K10" s="28">
        <v>97</v>
      </c>
    </row>
    <row r="11" spans="1:16" x14ac:dyDescent="0.4">
      <c r="A11" s="72" t="s">
        <v>211</v>
      </c>
      <c r="B11" s="64">
        <v>6</v>
      </c>
      <c r="C11" s="32">
        <f>IF(B$2=0,0,B11/B$2)</f>
        <v>0.17142857142857143</v>
      </c>
      <c r="E11" s="80" t="s">
        <v>75</v>
      </c>
      <c r="F11" s="76" t="s">
        <v>28</v>
      </c>
      <c r="G11" s="62">
        <v>1</v>
      </c>
      <c r="H11" s="27">
        <f>IF(B$25=0,0,G11/B$25)</f>
        <v>4.3478260869565216E-2</v>
      </c>
      <c r="J11" s="26">
        <v>9</v>
      </c>
      <c r="K11" s="28">
        <v>83.3</v>
      </c>
    </row>
    <row r="12" spans="1:16" x14ac:dyDescent="0.4">
      <c r="A12" s="73" t="s">
        <v>130</v>
      </c>
      <c r="B12" s="65">
        <v>17</v>
      </c>
      <c r="C12" s="35">
        <f>IF(B$24=0,0,B12/B$24)</f>
        <v>0.19540229885057472</v>
      </c>
      <c r="E12" s="80" t="s">
        <v>76</v>
      </c>
      <c r="F12" s="76" t="s">
        <v>29</v>
      </c>
      <c r="G12" s="62">
        <v>1</v>
      </c>
      <c r="H12" s="27">
        <f>IF(B$25=0,0,G12/B$25)</f>
        <v>4.3478260869565216E-2</v>
      </c>
      <c r="J12" s="26">
        <v>10</v>
      </c>
      <c r="K12" s="28">
        <v>111</v>
      </c>
    </row>
    <row r="13" spans="1:16" x14ac:dyDescent="0.4">
      <c r="A13" s="70" t="s">
        <v>125</v>
      </c>
      <c r="B13" s="62">
        <v>25</v>
      </c>
      <c r="C13" s="27">
        <f>IF(B$24=0,0,B13/B$24)</f>
        <v>0.28735632183908044</v>
      </c>
      <c r="E13" s="80" t="s">
        <v>81</v>
      </c>
      <c r="F13" s="76" t="s">
        <v>34</v>
      </c>
      <c r="G13" s="62">
        <v>1</v>
      </c>
      <c r="H13" s="27">
        <f>IF(B$25=0,0,G13/B$25)</f>
        <v>4.3478260869565216E-2</v>
      </c>
      <c r="J13" s="26">
        <v>11</v>
      </c>
      <c r="K13" s="28">
        <v>138.69999999999999</v>
      </c>
    </row>
    <row r="14" spans="1:16" x14ac:dyDescent="0.4">
      <c r="A14" s="69" t="s">
        <v>132</v>
      </c>
      <c r="B14" s="61">
        <v>7</v>
      </c>
      <c r="C14" s="24">
        <f>IF(B$12=0,0,B14/B$12)</f>
        <v>0.41176470588235292</v>
      </c>
      <c r="E14" s="80" t="s">
        <v>84</v>
      </c>
      <c r="F14" s="76" t="s">
        <v>37</v>
      </c>
      <c r="G14" s="62">
        <v>1</v>
      </c>
      <c r="H14" s="27">
        <f>IF(B$25=0,0,G14/B$25)</f>
        <v>4.3478260869565216E-2</v>
      </c>
      <c r="J14" s="26">
        <v>12</v>
      </c>
      <c r="K14" s="28">
        <v>99.799999999999983</v>
      </c>
    </row>
    <row r="15" spans="1:16" x14ac:dyDescent="0.4">
      <c r="A15" s="69" t="s">
        <v>133</v>
      </c>
      <c r="B15" s="61">
        <v>10</v>
      </c>
      <c r="C15" s="24">
        <f>IF(B$13=0,0,B15/B$13)</f>
        <v>0.4</v>
      </c>
      <c r="E15" s="80" t="s">
        <v>88</v>
      </c>
      <c r="F15" s="76" t="s">
        <v>41</v>
      </c>
      <c r="G15" s="62">
        <v>1</v>
      </c>
      <c r="H15" s="27">
        <f>IF(B$25=0,0,G15/B$25)</f>
        <v>4.3478260869565216E-2</v>
      </c>
      <c r="J15" s="26">
        <v>13</v>
      </c>
      <c r="K15" s="28">
        <v>61.799999999999983</v>
      </c>
    </row>
    <row r="16" spans="1:16" x14ac:dyDescent="0.4">
      <c r="A16" s="69" t="s">
        <v>10</v>
      </c>
      <c r="B16" s="61">
        <f>B17+B18</f>
        <v>77</v>
      </c>
      <c r="C16" s="24">
        <f>IF(B$3=0,0,B16/B$3)</f>
        <v>0.28102189781021897</v>
      </c>
      <c r="E16" s="80" t="s">
        <v>90</v>
      </c>
      <c r="F16" s="76" t="s">
        <v>43</v>
      </c>
      <c r="G16" s="62">
        <v>1</v>
      </c>
      <c r="H16" s="27">
        <f>IF(B$25=0,0,G16/B$25)</f>
        <v>4.3478260869565216E-2</v>
      </c>
      <c r="J16" s="26">
        <v>14</v>
      </c>
      <c r="K16" s="28">
        <v>41.499999999999986</v>
      </c>
    </row>
    <row r="17" spans="1:11" x14ac:dyDescent="0.4">
      <c r="A17" s="70" t="s">
        <v>11</v>
      </c>
      <c r="B17" s="62">
        <v>46</v>
      </c>
      <c r="C17" s="27">
        <f>IF(B$3=0,0,B17/B$3)</f>
        <v>0.16788321167883211</v>
      </c>
      <c r="E17" s="80" t="s">
        <v>72</v>
      </c>
      <c r="F17" s="76" t="s">
        <v>26</v>
      </c>
      <c r="G17" s="62">
        <v>0</v>
      </c>
      <c r="H17" s="27">
        <f>IF(B$25=0,0,G17/B$25)</f>
        <v>0</v>
      </c>
      <c r="J17" s="26">
        <v>15</v>
      </c>
      <c r="K17" s="28">
        <v>32.999999999999986</v>
      </c>
    </row>
    <row r="18" spans="1:11" x14ac:dyDescent="0.4">
      <c r="A18" s="70" t="s">
        <v>12</v>
      </c>
      <c r="B18" s="62">
        <v>31</v>
      </c>
      <c r="C18" s="27">
        <f>IF(B$3=0,0,B18/B$3)</f>
        <v>0.11313868613138686</v>
      </c>
      <c r="E18" s="80" t="s">
        <v>77</v>
      </c>
      <c r="F18" s="76" t="s">
        <v>30</v>
      </c>
      <c r="G18" s="62">
        <v>0</v>
      </c>
      <c r="H18" s="27">
        <f>IF(B$25=0,0,G18/B$25)</f>
        <v>0</v>
      </c>
      <c r="J18" s="26">
        <v>16</v>
      </c>
      <c r="K18" s="28">
        <v>-5.5000000000000142</v>
      </c>
    </row>
    <row r="19" spans="1:11" x14ac:dyDescent="0.4">
      <c r="A19" s="70" t="s">
        <v>13</v>
      </c>
      <c r="B19" s="62">
        <v>55</v>
      </c>
      <c r="C19" s="27">
        <f>IF(B$3=0,0,B19/B$3)</f>
        <v>0.20072992700729927</v>
      </c>
      <c r="E19" s="80" t="s">
        <v>79</v>
      </c>
      <c r="F19" s="76" t="s">
        <v>32</v>
      </c>
      <c r="G19" s="62">
        <v>0</v>
      </c>
      <c r="H19" s="27">
        <f>IF(B$25=0,0,G19/B$25)</f>
        <v>0</v>
      </c>
      <c r="J19" s="26">
        <v>17</v>
      </c>
      <c r="K19" s="28">
        <v>-17.100000000000016</v>
      </c>
    </row>
    <row r="20" spans="1:11" x14ac:dyDescent="0.4">
      <c r="A20" s="70" t="s">
        <v>5</v>
      </c>
      <c r="B20" s="66">
        <f>IF(B$16=0,0,C20/B$16)</f>
        <v>10240.25974025974</v>
      </c>
      <c r="C20" s="30">
        <v>788500</v>
      </c>
      <c r="E20" s="80" t="s">
        <v>80</v>
      </c>
      <c r="F20" s="76" t="s">
        <v>33</v>
      </c>
      <c r="G20" s="62">
        <v>0</v>
      </c>
      <c r="H20" s="27">
        <f>IF(B$25=0,0,G20/B$25)</f>
        <v>0</v>
      </c>
      <c r="J20" s="26">
        <v>18</v>
      </c>
      <c r="K20" s="28">
        <v>-16.800000000000015</v>
      </c>
    </row>
    <row r="21" spans="1:11" x14ac:dyDescent="0.4">
      <c r="A21" s="72" t="s">
        <v>14</v>
      </c>
      <c r="B21" s="67">
        <f>IF(B$19=0,0,C21/B$19)</f>
        <v>-8287.2727272727279</v>
      </c>
      <c r="C21" s="60">
        <v>-455800</v>
      </c>
      <c r="E21" s="80" t="s">
        <v>82</v>
      </c>
      <c r="F21" s="76" t="s">
        <v>35</v>
      </c>
      <c r="G21" s="62">
        <v>0</v>
      </c>
      <c r="H21" s="27">
        <f>IF(B$25=0,0,G21/B$25)</f>
        <v>0</v>
      </c>
      <c r="J21" s="26">
        <v>19</v>
      </c>
      <c r="K21" s="28">
        <v>-2.1000000000000156</v>
      </c>
    </row>
    <row r="22" spans="1:11" x14ac:dyDescent="0.4">
      <c r="A22" s="69" t="s">
        <v>198</v>
      </c>
      <c r="B22" s="61">
        <v>75</v>
      </c>
      <c r="C22" s="24">
        <f>IF(B$3=0,0,B22/B$3)</f>
        <v>0.27372262773722628</v>
      </c>
      <c r="E22" s="80" t="s">
        <v>83</v>
      </c>
      <c r="F22" s="76" t="s">
        <v>36</v>
      </c>
      <c r="G22" s="62">
        <v>0</v>
      </c>
      <c r="H22" s="27">
        <f>IF(B$25=0,0,G22/B$25)</f>
        <v>0</v>
      </c>
      <c r="J22" s="26">
        <v>20</v>
      </c>
      <c r="K22" s="28">
        <v>45.899999999999984</v>
      </c>
    </row>
    <row r="23" spans="1:11" x14ac:dyDescent="0.4">
      <c r="A23" s="72" t="s">
        <v>199</v>
      </c>
      <c r="B23" s="64">
        <v>31</v>
      </c>
      <c r="C23" s="32">
        <f>IF(B$22=0,0,B23/B$22)</f>
        <v>0.41333333333333333</v>
      </c>
      <c r="E23" s="80" t="s">
        <v>86</v>
      </c>
      <c r="F23" s="76" t="s">
        <v>39</v>
      </c>
      <c r="G23" s="62">
        <v>0</v>
      </c>
      <c r="H23" s="27">
        <f>IF(B$25=0,0,G23/B$25)</f>
        <v>0</v>
      </c>
      <c r="J23" s="26">
        <v>21</v>
      </c>
      <c r="K23" s="28">
        <v>4.0999999999999872</v>
      </c>
    </row>
    <row r="24" spans="1:11" x14ac:dyDescent="0.4">
      <c r="A24" s="69" t="s">
        <v>128</v>
      </c>
      <c r="B24" s="84">
        <v>87</v>
      </c>
      <c r="C24" s="85"/>
      <c r="E24" s="80" t="s">
        <v>87</v>
      </c>
      <c r="F24" s="76" t="s">
        <v>40</v>
      </c>
      <c r="G24" s="62">
        <v>0</v>
      </c>
      <c r="H24" s="27">
        <f>IF(B$25=0,0,G24/B$25)</f>
        <v>0</v>
      </c>
      <c r="J24" s="26">
        <v>22</v>
      </c>
      <c r="K24" s="28">
        <v>-1.4000000000000128</v>
      </c>
    </row>
    <row r="25" spans="1:11" x14ac:dyDescent="0.4">
      <c r="A25" s="72" t="s">
        <v>129</v>
      </c>
      <c r="B25" s="86">
        <v>23</v>
      </c>
      <c r="C25" s="87"/>
      <c r="E25" s="80" t="s">
        <v>89</v>
      </c>
      <c r="F25" s="76" t="s">
        <v>42</v>
      </c>
      <c r="G25" s="62">
        <v>0</v>
      </c>
      <c r="H25" s="27">
        <f>IF(B$25=0,0,G25/B$25)</f>
        <v>0</v>
      </c>
      <c r="J25" s="26">
        <v>23</v>
      </c>
      <c r="K25" s="28">
        <v>23.499999999999986</v>
      </c>
    </row>
    <row r="26" spans="1:11" x14ac:dyDescent="0.4">
      <c r="E26" s="80" t="s">
        <v>91</v>
      </c>
      <c r="F26" s="76" t="s">
        <v>44</v>
      </c>
      <c r="G26" s="62">
        <v>0</v>
      </c>
      <c r="H26" s="27">
        <f>IF(B$25=0,0,G26/B$25)</f>
        <v>0</v>
      </c>
      <c r="J26" s="26">
        <v>24</v>
      </c>
      <c r="K26" s="28">
        <v>9.5999999999999854</v>
      </c>
    </row>
    <row r="27" spans="1:11" x14ac:dyDescent="0.4">
      <c r="E27" s="80" t="s">
        <v>92</v>
      </c>
      <c r="F27" s="76" t="s">
        <v>45</v>
      </c>
      <c r="G27" s="62">
        <v>0</v>
      </c>
      <c r="H27" s="27">
        <f>IF(B$25=0,0,G27/B$25)</f>
        <v>0</v>
      </c>
      <c r="J27" s="26">
        <v>25</v>
      </c>
      <c r="K27" s="28">
        <v>1.2999999999999847</v>
      </c>
    </row>
    <row r="28" spans="1:11" x14ac:dyDescent="0.4">
      <c r="E28" s="80" t="s">
        <v>94</v>
      </c>
      <c r="F28" s="76" t="s">
        <v>47</v>
      </c>
      <c r="G28" s="62">
        <v>0</v>
      </c>
      <c r="H28" s="27">
        <f>IF(B$25=0,0,G28/B$25)</f>
        <v>0</v>
      </c>
      <c r="J28" s="26">
        <v>26</v>
      </c>
      <c r="K28" s="28">
        <v>-9.7000000000000153</v>
      </c>
    </row>
    <row r="29" spans="1:11" x14ac:dyDescent="0.4">
      <c r="E29" s="80" t="s">
        <v>95</v>
      </c>
      <c r="F29" s="76" t="s">
        <v>48</v>
      </c>
      <c r="G29" s="62">
        <v>0</v>
      </c>
      <c r="H29" s="27">
        <f>IF(B$25=0,0,G29/B$25)</f>
        <v>0</v>
      </c>
      <c r="J29" s="26">
        <v>27</v>
      </c>
      <c r="K29" s="28">
        <v>-31.600000000000016</v>
      </c>
    </row>
    <row r="30" spans="1:11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  <c r="J30" s="26">
        <v>28</v>
      </c>
      <c r="K30" s="28">
        <v>-25.500000000000014</v>
      </c>
    </row>
    <row r="31" spans="1:11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  <c r="J31" s="26">
        <v>29</v>
      </c>
      <c r="K31" s="28">
        <v>-24.900000000000013</v>
      </c>
    </row>
    <row r="32" spans="1:11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  <c r="J32" s="26">
        <v>30</v>
      </c>
      <c r="K32" s="28">
        <v>15.29999999999999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  <c r="J33" s="26">
        <v>31</v>
      </c>
      <c r="K33" s="28">
        <v>-20.400000000000013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-36.400000000000013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-42.20000000000001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-94.100000000000009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-106.10000000000001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7E3F6-314F-413B-AD47-5FA983D8C1FD}">
  <sheetPr codeName="Sheet11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88" t="s">
        <v>193</v>
      </c>
      <c r="C1" s="89"/>
      <c r="E1" s="78" t="s">
        <v>213</v>
      </c>
      <c r="F1" s="59" t="s">
        <v>122</v>
      </c>
      <c r="G1" s="74" t="s">
        <v>123</v>
      </c>
      <c r="H1" s="59" t="s">
        <v>124</v>
      </c>
      <c r="J1" s="21" t="s">
        <v>22</v>
      </c>
      <c r="K1" s="22" t="s">
        <v>127</v>
      </c>
      <c r="M1" s="21" t="s">
        <v>207</v>
      </c>
      <c r="N1" s="59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4">
        <v>44</v>
      </c>
      <c r="C2" s="85"/>
      <c r="E2" s="79" t="s">
        <v>71</v>
      </c>
      <c r="F2" s="75" t="s">
        <v>25</v>
      </c>
      <c r="G2" s="61">
        <v>68</v>
      </c>
      <c r="H2" s="24">
        <f>IF(B$25=0,0,G2/B$25)</f>
        <v>1.0303030303030303</v>
      </c>
      <c r="J2" s="23">
        <v>0</v>
      </c>
      <c r="K2" s="25">
        <v>0</v>
      </c>
      <c r="M2" s="23" t="s">
        <v>201</v>
      </c>
      <c r="N2" s="56">
        <f t="shared" ref="N2:N7" si="0">IF(P2=0,0,O2/P2)</f>
        <v>3242.8571428571427</v>
      </c>
      <c r="O2" s="53">
        <v>136200</v>
      </c>
      <c r="P2" s="51">
        <v>42</v>
      </c>
    </row>
    <row r="3" spans="1:16" x14ac:dyDescent="0.4">
      <c r="A3" s="70" t="s">
        <v>8</v>
      </c>
      <c r="B3" s="90">
        <v>331</v>
      </c>
      <c r="C3" s="91"/>
      <c r="E3" s="80" t="s">
        <v>73</v>
      </c>
      <c r="F3" s="76" t="s">
        <v>27</v>
      </c>
      <c r="G3" s="62">
        <v>59</v>
      </c>
      <c r="H3" s="27">
        <f>IF(B$25=0,0,G3/B$25)</f>
        <v>0.89393939393939392</v>
      </c>
      <c r="J3" s="26">
        <v>1</v>
      </c>
      <c r="K3" s="28">
        <v>-36.700000000000003</v>
      </c>
      <c r="M3" s="26" t="s">
        <v>202</v>
      </c>
      <c r="N3" s="57">
        <f t="shared" si="0"/>
        <v>-192.30769230769232</v>
      </c>
      <c r="O3" s="54">
        <v>-7500</v>
      </c>
      <c r="P3" s="49">
        <v>39</v>
      </c>
    </row>
    <row r="4" spans="1:16" x14ac:dyDescent="0.4">
      <c r="A4" s="70" t="s">
        <v>6</v>
      </c>
      <c r="B4" s="92">
        <v>193.79999999999995</v>
      </c>
      <c r="C4" s="93"/>
      <c r="E4" s="80" t="s">
        <v>69</v>
      </c>
      <c r="F4" s="76" t="s">
        <v>23</v>
      </c>
      <c r="G4" s="62">
        <v>40</v>
      </c>
      <c r="H4" s="27">
        <f>IF(B$25=0,0,G4/B$25)</f>
        <v>0.60606060606060608</v>
      </c>
      <c r="J4" s="26">
        <v>2</v>
      </c>
      <c r="K4" s="28">
        <v>-45.300000000000004</v>
      </c>
      <c r="M4" s="26" t="s">
        <v>203</v>
      </c>
      <c r="N4" s="57">
        <f t="shared" si="0"/>
        <v>-791.42857142857144</v>
      </c>
      <c r="O4" s="54">
        <v>-27700</v>
      </c>
      <c r="P4" s="49">
        <v>35</v>
      </c>
    </row>
    <row r="5" spans="1:16" x14ac:dyDescent="0.4">
      <c r="A5" s="70" t="s">
        <v>7</v>
      </c>
      <c r="B5" s="92">
        <f>IF(B$2=0,0,B$4/B$2)</f>
        <v>4.4045454545454534</v>
      </c>
      <c r="C5" s="93"/>
      <c r="E5" s="80" t="s">
        <v>78</v>
      </c>
      <c r="F5" s="76" t="s">
        <v>31</v>
      </c>
      <c r="G5" s="62">
        <v>40</v>
      </c>
      <c r="H5" s="27">
        <f>IF(B$25=0,0,G5/B$25)</f>
        <v>0.60606060606060608</v>
      </c>
      <c r="J5" s="26">
        <v>3</v>
      </c>
      <c r="K5" s="28">
        <v>-81.7</v>
      </c>
      <c r="M5" s="26" t="s">
        <v>204</v>
      </c>
      <c r="N5" s="57">
        <f t="shared" si="0"/>
        <v>-1353.125</v>
      </c>
      <c r="O5" s="54">
        <v>-43300</v>
      </c>
      <c r="P5" s="49">
        <v>32</v>
      </c>
    </row>
    <row r="6" spans="1:16" x14ac:dyDescent="0.4">
      <c r="A6" s="70" t="s">
        <v>1</v>
      </c>
      <c r="B6" s="94">
        <f>IF(B$2=0,0,(B$7*1+B$8*2+B$9*3)/B$2)</f>
        <v>1.8863636363636365</v>
      </c>
      <c r="C6" s="95"/>
      <c r="E6" s="80" t="s">
        <v>72</v>
      </c>
      <c r="F6" s="76" t="s">
        <v>26</v>
      </c>
      <c r="G6" s="62">
        <v>22</v>
      </c>
      <c r="H6" s="27">
        <f>IF(B$25=0,0,G6/B$25)</f>
        <v>0.33333333333333331</v>
      </c>
      <c r="J6" s="26">
        <v>4</v>
      </c>
      <c r="K6" s="28">
        <v>-113.80000000000001</v>
      </c>
      <c r="M6" s="26" t="s">
        <v>205</v>
      </c>
      <c r="N6" s="57">
        <f t="shared" si="0"/>
        <v>3000</v>
      </c>
      <c r="O6" s="54">
        <v>72000</v>
      </c>
      <c r="P6" s="49">
        <v>24</v>
      </c>
    </row>
    <row r="7" spans="1:16" x14ac:dyDescent="0.4">
      <c r="A7" s="70" t="s">
        <v>2</v>
      </c>
      <c r="B7" s="62">
        <v>18</v>
      </c>
      <c r="C7" s="27">
        <f>IF(B$2=0,0,B7/B$2)</f>
        <v>0.40909090909090912</v>
      </c>
      <c r="E7" s="80" t="s">
        <v>74</v>
      </c>
      <c r="F7" s="76" t="s">
        <v>12</v>
      </c>
      <c r="G7" s="62">
        <v>20</v>
      </c>
      <c r="H7" s="27">
        <f>IF(B$25=0,0,G7/B$25)</f>
        <v>0.30303030303030304</v>
      </c>
      <c r="J7" s="26">
        <v>5</v>
      </c>
      <c r="K7" s="28">
        <v>-135.80000000000001</v>
      </c>
      <c r="M7" s="31" t="s">
        <v>206</v>
      </c>
      <c r="N7" s="58">
        <f t="shared" si="0"/>
        <v>1114.2857142857142</v>
      </c>
      <c r="O7" s="55">
        <v>23400</v>
      </c>
      <c r="P7" s="50">
        <v>21</v>
      </c>
    </row>
    <row r="8" spans="1:16" x14ac:dyDescent="0.4">
      <c r="A8" s="70" t="s">
        <v>3</v>
      </c>
      <c r="B8" s="62">
        <v>13</v>
      </c>
      <c r="C8" s="27">
        <f t="shared" ref="C8:C9" si="1">IF(B$2=0,0,B8/B$2)</f>
        <v>0.29545454545454547</v>
      </c>
      <c r="E8" s="80" t="s">
        <v>75</v>
      </c>
      <c r="F8" s="76" t="s">
        <v>28</v>
      </c>
      <c r="G8" s="62">
        <v>11</v>
      </c>
      <c r="H8" s="27">
        <f>IF(B$25=0,0,G8/B$25)</f>
        <v>0.16666666666666666</v>
      </c>
      <c r="J8" s="26">
        <v>6</v>
      </c>
      <c r="K8" s="28">
        <v>-100.30000000000001</v>
      </c>
    </row>
    <row r="9" spans="1:16" x14ac:dyDescent="0.4">
      <c r="A9" s="71" t="s">
        <v>4</v>
      </c>
      <c r="B9" s="63">
        <v>13</v>
      </c>
      <c r="C9" s="29">
        <f t="shared" si="1"/>
        <v>0.29545454545454547</v>
      </c>
      <c r="E9" s="80" t="s">
        <v>96</v>
      </c>
      <c r="F9" s="76" t="s">
        <v>49</v>
      </c>
      <c r="G9" s="62">
        <v>10</v>
      </c>
      <c r="H9" s="27">
        <f>IF(B$25=0,0,G9/B$25)</f>
        <v>0.15151515151515152</v>
      </c>
      <c r="J9" s="26">
        <v>7</v>
      </c>
      <c r="K9" s="28">
        <v>-105.70000000000002</v>
      </c>
    </row>
    <row r="10" spans="1:16" x14ac:dyDescent="0.4">
      <c r="A10" s="71" t="s">
        <v>21</v>
      </c>
      <c r="B10" s="63">
        <v>7</v>
      </c>
      <c r="C10" s="29">
        <f>IF(B$2=0,0,B10/B$2)</f>
        <v>0.15909090909090909</v>
      </c>
      <c r="E10" s="80" t="s">
        <v>70</v>
      </c>
      <c r="F10" s="76" t="s">
        <v>24</v>
      </c>
      <c r="G10" s="62">
        <v>7</v>
      </c>
      <c r="H10" s="27">
        <f>IF(B$25=0,0,G10/B$25)</f>
        <v>0.10606060606060606</v>
      </c>
      <c r="J10" s="26">
        <v>8</v>
      </c>
      <c r="K10" s="28">
        <v>-51.800000000000018</v>
      </c>
    </row>
    <row r="11" spans="1:16" x14ac:dyDescent="0.4">
      <c r="A11" s="72" t="s">
        <v>211</v>
      </c>
      <c r="B11" s="64">
        <v>9</v>
      </c>
      <c r="C11" s="32">
        <f>IF(B$2=0,0,B11/B$2)</f>
        <v>0.20454545454545456</v>
      </c>
      <c r="E11" s="80" t="s">
        <v>76</v>
      </c>
      <c r="F11" s="76" t="s">
        <v>29</v>
      </c>
      <c r="G11" s="62">
        <v>6</v>
      </c>
      <c r="H11" s="27">
        <f>IF(B$25=0,0,G11/B$25)</f>
        <v>9.0909090909090912E-2</v>
      </c>
      <c r="J11" s="26">
        <v>9</v>
      </c>
      <c r="K11" s="28">
        <v>-53.000000000000021</v>
      </c>
    </row>
    <row r="12" spans="1:16" x14ac:dyDescent="0.4">
      <c r="A12" s="73" t="s">
        <v>130</v>
      </c>
      <c r="B12" s="65">
        <v>67</v>
      </c>
      <c r="C12" s="35">
        <f>IF(B$24=0,0,B12/B$24)</f>
        <v>0.3383838383838384</v>
      </c>
      <c r="E12" s="80" t="s">
        <v>77</v>
      </c>
      <c r="F12" s="76" t="s">
        <v>30</v>
      </c>
      <c r="G12" s="62">
        <v>5</v>
      </c>
      <c r="H12" s="27">
        <f>IF(B$25=0,0,G12/B$25)</f>
        <v>7.575757575757576E-2</v>
      </c>
      <c r="J12" s="26">
        <v>10</v>
      </c>
      <c r="K12" s="28">
        <v>-72.300000000000026</v>
      </c>
    </row>
    <row r="13" spans="1:16" x14ac:dyDescent="0.4">
      <c r="A13" s="70" t="s">
        <v>125</v>
      </c>
      <c r="B13" s="62">
        <v>50</v>
      </c>
      <c r="C13" s="27">
        <f>IF(B$24=0,0,B13/B$24)</f>
        <v>0.25252525252525254</v>
      </c>
      <c r="E13" s="80" t="s">
        <v>93</v>
      </c>
      <c r="F13" s="76" t="s">
        <v>46</v>
      </c>
      <c r="G13" s="62">
        <v>5</v>
      </c>
      <c r="H13" s="27">
        <f>IF(B$25=0,0,G13/B$25)</f>
        <v>7.575757575757576E-2</v>
      </c>
      <c r="J13" s="26">
        <v>11</v>
      </c>
      <c r="K13" s="28">
        <v>-91.600000000000023</v>
      </c>
    </row>
    <row r="14" spans="1:16" x14ac:dyDescent="0.4">
      <c r="A14" s="69" t="s">
        <v>132</v>
      </c>
      <c r="B14" s="61">
        <v>41</v>
      </c>
      <c r="C14" s="24">
        <f>IF(B$12=0,0,B14/B$12)</f>
        <v>0.61194029850746268</v>
      </c>
      <c r="E14" s="80" t="s">
        <v>84</v>
      </c>
      <c r="F14" s="76" t="s">
        <v>37</v>
      </c>
      <c r="G14" s="62">
        <v>2</v>
      </c>
      <c r="H14" s="27">
        <f>IF(B$25=0,0,G14/B$25)</f>
        <v>3.0303030303030304E-2</v>
      </c>
      <c r="J14" s="26">
        <v>12</v>
      </c>
      <c r="K14" s="28">
        <v>-88.600000000000023</v>
      </c>
    </row>
    <row r="15" spans="1:16" x14ac:dyDescent="0.4">
      <c r="A15" s="69" t="s">
        <v>133</v>
      </c>
      <c r="B15" s="61">
        <v>19</v>
      </c>
      <c r="C15" s="24">
        <f>IF(B$13=0,0,B15/B$13)</f>
        <v>0.38</v>
      </c>
      <c r="E15" s="80" t="s">
        <v>80</v>
      </c>
      <c r="F15" s="76" t="s">
        <v>33</v>
      </c>
      <c r="G15" s="62">
        <v>1</v>
      </c>
      <c r="H15" s="27">
        <f>IF(B$25=0,0,G15/B$25)</f>
        <v>1.5151515151515152E-2</v>
      </c>
      <c r="J15" s="26">
        <v>13</v>
      </c>
      <c r="K15" s="28">
        <v>-73.100000000000023</v>
      </c>
    </row>
    <row r="16" spans="1:16" x14ac:dyDescent="0.4">
      <c r="A16" s="69" t="s">
        <v>10</v>
      </c>
      <c r="B16" s="61">
        <f>B17+B18</f>
        <v>104</v>
      </c>
      <c r="C16" s="24">
        <f>IF(B$3=0,0,B16/B$3)</f>
        <v>0.31419939577039274</v>
      </c>
      <c r="E16" s="80" t="s">
        <v>88</v>
      </c>
      <c r="F16" s="76" t="s">
        <v>41</v>
      </c>
      <c r="G16" s="62">
        <v>1</v>
      </c>
      <c r="H16" s="27">
        <f>IF(B$25=0,0,G16/B$25)</f>
        <v>1.5151515151515152E-2</v>
      </c>
      <c r="J16" s="26">
        <v>14</v>
      </c>
      <c r="K16" s="28">
        <v>-62.000000000000021</v>
      </c>
    </row>
    <row r="17" spans="1:11" x14ac:dyDescent="0.4">
      <c r="A17" s="70" t="s">
        <v>11</v>
      </c>
      <c r="B17" s="62">
        <v>62</v>
      </c>
      <c r="C17" s="27">
        <f>IF(B$3=0,0,B17/B$3)</f>
        <v>0.18731117824773413</v>
      </c>
      <c r="E17" s="80" t="s">
        <v>90</v>
      </c>
      <c r="F17" s="76" t="s">
        <v>43</v>
      </c>
      <c r="G17" s="62">
        <v>1</v>
      </c>
      <c r="H17" s="27">
        <f>IF(B$25=0,0,G17/B$25)</f>
        <v>1.5151515151515152E-2</v>
      </c>
      <c r="J17" s="26">
        <v>15</v>
      </c>
      <c r="K17" s="28">
        <v>-69.200000000000017</v>
      </c>
    </row>
    <row r="18" spans="1:11" x14ac:dyDescent="0.4">
      <c r="A18" s="70" t="s">
        <v>12</v>
      </c>
      <c r="B18" s="62">
        <v>42</v>
      </c>
      <c r="C18" s="27">
        <f>IF(B$3=0,0,B18/B$3)</f>
        <v>0.12688821752265861</v>
      </c>
      <c r="E18" s="80" t="s">
        <v>98</v>
      </c>
      <c r="F18" s="76" t="s">
        <v>51</v>
      </c>
      <c r="G18" s="62">
        <v>1</v>
      </c>
      <c r="H18" s="27">
        <f>IF(B$25=0,0,G18/B$25)</f>
        <v>1.5151515151515152E-2</v>
      </c>
      <c r="J18" s="26">
        <v>16</v>
      </c>
      <c r="K18" s="28">
        <v>5.0999999999999801</v>
      </c>
    </row>
    <row r="19" spans="1:11" x14ac:dyDescent="0.4">
      <c r="A19" s="70" t="s">
        <v>13</v>
      </c>
      <c r="B19" s="62">
        <v>52</v>
      </c>
      <c r="C19" s="27">
        <f>IF(B$3=0,0,B19/B$3)</f>
        <v>0.15709969788519637</v>
      </c>
      <c r="E19" s="80" t="s">
        <v>79</v>
      </c>
      <c r="F19" s="76" t="s">
        <v>32</v>
      </c>
      <c r="G19" s="62">
        <v>0</v>
      </c>
      <c r="H19" s="27">
        <f>IF(B$25=0,0,G19/B$25)</f>
        <v>0</v>
      </c>
      <c r="J19" s="26">
        <v>17</v>
      </c>
      <c r="K19" s="28">
        <v>40.09999999999998</v>
      </c>
    </row>
    <row r="20" spans="1:11" x14ac:dyDescent="0.4">
      <c r="A20" s="70" t="s">
        <v>5</v>
      </c>
      <c r="B20" s="66">
        <f>IF(B$16=0,0,C20/B$16)</f>
        <v>11229.807692307691</v>
      </c>
      <c r="C20" s="30">
        <v>1167900</v>
      </c>
      <c r="E20" s="80" t="s">
        <v>81</v>
      </c>
      <c r="F20" s="76" t="s">
        <v>34</v>
      </c>
      <c r="G20" s="62">
        <v>0</v>
      </c>
      <c r="H20" s="27">
        <f>IF(B$25=0,0,G20/B$25)</f>
        <v>0</v>
      </c>
      <c r="J20" s="26">
        <v>18</v>
      </c>
      <c r="K20" s="28">
        <v>39.799999999999983</v>
      </c>
    </row>
    <row r="21" spans="1:11" x14ac:dyDescent="0.4">
      <c r="A21" s="72" t="s">
        <v>14</v>
      </c>
      <c r="B21" s="67">
        <f>IF(B$19=0,0,C21/B$19)</f>
        <v>-9665.3846153846152</v>
      </c>
      <c r="C21" s="60">
        <v>-502600</v>
      </c>
      <c r="E21" s="80" t="s">
        <v>82</v>
      </c>
      <c r="F21" s="76" t="s">
        <v>35</v>
      </c>
      <c r="G21" s="62">
        <v>0</v>
      </c>
      <c r="H21" s="27">
        <f>IF(B$25=0,0,G21/B$25)</f>
        <v>0</v>
      </c>
      <c r="J21" s="26">
        <v>19</v>
      </c>
      <c r="K21" s="28">
        <v>103.79999999999998</v>
      </c>
    </row>
    <row r="22" spans="1:11" x14ac:dyDescent="0.4">
      <c r="A22" s="69" t="s">
        <v>198</v>
      </c>
      <c r="B22" s="61">
        <v>124</v>
      </c>
      <c r="C22" s="24">
        <f>IF(B$3=0,0,B22/B$3)</f>
        <v>0.37462235649546827</v>
      </c>
      <c r="E22" s="80" t="s">
        <v>83</v>
      </c>
      <c r="F22" s="76" t="s">
        <v>36</v>
      </c>
      <c r="G22" s="62">
        <v>0</v>
      </c>
      <c r="H22" s="27">
        <f>IF(B$25=0,0,G22/B$25)</f>
        <v>0</v>
      </c>
      <c r="J22" s="26">
        <v>20</v>
      </c>
      <c r="K22" s="28">
        <v>106.89999999999998</v>
      </c>
    </row>
    <row r="23" spans="1:11" x14ac:dyDescent="0.4">
      <c r="A23" s="72" t="s">
        <v>199</v>
      </c>
      <c r="B23" s="64">
        <v>52</v>
      </c>
      <c r="C23" s="32">
        <f>IF(B$22=0,0,B23/B$22)</f>
        <v>0.41935483870967744</v>
      </c>
      <c r="E23" s="80" t="s">
        <v>85</v>
      </c>
      <c r="F23" s="76" t="s">
        <v>38</v>
      </c>
      <c r="G23" s="62">
        <v>0</v>
      </c>
      <c r="H23" s="27">
        <f>IF(B$25=0,0,G23/B$25)</f>
        <v>0</v>
      </c>
      <c r="J23" s="26">
        <v>21</v>
      </c>
      <c r="K23" s="28">
        <v>108.09999999999998</v>
      </c>
    </row>
    <row r="24" spans="1:11" x14ac:dyDescent="0.4">
      <c r="A24" s="69" t="s">
        <v>128</v>
      </c>
      <c r="B24" s="84">
        <v>198</v>
      </c>
      <c r="C24" s="85"/>
      <c r="E24" s="80" t="s">
        <v>86</v>
      </c>
      <c r="F24" s="76" t="s">
        <v>39</v>
      </c>
      <c r="G24" s="62">
        <v>0</v>
      </c>
      <c r="H24" s="27">
        <f>IF(B$25=0,0,G24/B$25)</f>
        <v>0</v>
      </c>
      <c r="J24" s="26">
        <v>22</v>
      </c>
      <c r="K24" s="28">
        <v>110.89999999999998</v>
      </c>
    </row>
    <row r="25" spans="1:11" x14ac:dyDescent="0.4">
      <c r="A25" s="72" t="s">
        <v>129</v>
      </c>
      <c r="B25" s="86">
        <v>66</v>
      </c>
      <c r="C25" s="87"/>
      <c r="E25" s="80" t="s">
        <v>87</v>
      </c>
      <c r="F25" s="76" t="s">
        <v>40</v>
      </c>
      <c r="G25" s="62">
        <v>0</v>
      </c>
      <c r="H25" s="27">
        <f>IF(B$25=0,0,G25/B$25)</f>
        <v>0</v>
      </c>
      <c r="J25" s="26">
        <v>23</v>
      </c>
      <c r="K25" s="28">
        <v>155.49999999999997</v>
      </c>
    </row>
    <row r="26" spans="1:11" x14ac:dyDescent="0.4">
      <c r="E26" s="80" t="s">
        <v>89</v>
      </c>
      <c r="F26" s="76" t="s">
        <v>42</v>
      </c>
      <c r="G26" s="62">
        <v>0</v>
      </c>
      <c r="H26" s="27">
        <f>IF(B$25=0,0,G26/B$25)</f>
        <v>0</v>
      </c>
      <c r="J26" s="26">
        <v>24</v>
      </c>
      <c r="K26" s="28">
        <v>154.09999999999997</v>
      </c>
    </row>
    <row r="27" spans="1:11" x14ac:dyDescent="0.4">
      <c r="E27" s="80" t="s">
        <v>91</v>
      </c>
      <c r="F27" s="76" t="s">
        <v>44</v>
      </c>
      <c r="G27" s="62">
        <v>0</v>
      </c>
      <c r="H27" s="27">
        <f>IF(B$25=0,0,G27/B$25)</f>
        <v>0</v>
      </c>
      <c r="J27" s="26">
        <v>25</v>
      </c>
      <c r="K27" s="28">
        <v>114.39999999999996</v>
      </c>
    </row>
    <row r="28" spans="1:11" x14ac:dyDescent="0.4">
      <c r="E28" s="80" t="s">
        <v>92</v>
      </c>
      <c r="F28" s="76" t="s">
        <v>45</v>
      </c>
      <c r="G28" s="62">
        <v>0</v>
      </c>
      <c r="H28" s="27">
        <f>IF(B$25=0,0,G28/B$25)</f>
        <v>0</v>
      </c>
      <c r="J28" s="26">
        <v>26</v>
      </c>
      <c r="K28" s="28">
        <v>98.599999999999966</v>
      </c>
    </row>
    <row r="29" spans="1:11" x14ac:dyDescent="0.4">
      <c r="E29" s="80" t="s">
        <v>94</v>
      </c>
      <c r="F29" s="76" t="s">
        <v>47</v>
      </c>
      <c r="G29" s="62">
        <v>0</v>
      </c>
      <c r="H29" s="27">
        <f>IF(B$25=0,0,G29/B$25)</f>
        <v>0</v>
      </c>
      <c r="J29" s="26">
        <v>27</v>
      </c>
      <c r="K29" s="28">
        <v>109.89999999999996</v>
      </c>
    </row>
    <row r="30" spans="1:11" x14ac:dyDescent="0.4">
      <c r="E30" s="80" t="s">
        <v>95</v>
      </c>
      <c r="F30" s="76" t="s">
        <v>48</v>
      </c>
      <c r="G30" s="62">
        <v>0</v>
      </c>
      <c r="H30" s="27">
        <f>IF(B$25=0,0,G30/B$25)</f>
        <v>0</v>
      </c>
      <c r="J30" s="26">
        <v>28</v>
      </c>
      <c r="K30" s="28">
        <v>65.899999999999963</v>
      </c>
    </row>
    <row r="31" spans="1:11" x14ac:dyDescent="0.4">
      <c r="E31" s="80" t="s">
        <v>97</v>
      </c>
      <c r="F31" s="76" t="s">
        <v>50</v>
      </c>
      <c r="G31" s="62">
        <v>0</v>
      </c>
      <c r="H31" s="27">
        <f>IF(B$25=0,0,G31/B$25)</f>
        <v>0</v>
      </c>
      <c r="J31" s="26">
        <v>29</v>
      </c>
      <c r="K31" s="28">
        <v>24.899999999999963</v>
      </c>
    </row>
    <row r="32" spans="1:11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  <c r="J32" s="26">
        <v>30</v>
      </c>
      <c r="K32" s="28">
        <v>14.099999999999962</v>
      </c>
    </row>
    <row r="33" spans="5:11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  <c r="J33" s="26">
        <v>31</v>
      </c>
      <c r="K33" s="28">
        <v>29.69999999999996</v>
      </c>
    </row>
    <row r="34" spans="5:11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  <c r="J34" s="26">
        <v>32</v>
      </c>
      <c r="K34" s="28">
        <v>-13.700000000000038</v>
      </c>
    </row>
    <row r="35" spans="5:11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  <c r="J35" s="26">
        <v>33</v>
      </c>
      <c r="K35" s="28">
        <v>-13.000000000000039</v>
      </c>
    </row>
    <row r="36" spans="5:11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  <c r="J36" s="26">
        <v>34</v>
      </c>
      <c r="K36" s="28">
        <v>-0.80000000000003979</v>
      </c>
    </row>
    <row r="37" spans="5:11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  <c r="J37" s="26">
        <v>35</v>
      </c>
      <c r="K37" s="28">
        <v>-38.100000000000037</v>
      </c>
    </row>
    <row r="38" spans="5:11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  <c r="J38" s="26">
        <v>36</v>
      </c>
      <c r="K38" s="28">
        <v>10.899999999999963</v>
      </c>
    </row>
    <row r="39" spans="5:11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  <c r="J39" s="26">
        <v>37</v>
      </c>
      <c r="K39" s="28">
        <v>-2.9000000000000377</v>
      </c>
    </row>
    <row r="40" spans="5:11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  <c r="J40" s="26">
        <v>38</v>
      </c>
      <c r="K40" s="28">
        <v>38.099999999999966</v>
      </c>
    </row>
    <row r="41" spans="5:11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  <c r="J41" s="26">
        <v>39</v>
      </c>
      <c r="K41" s="28">
        <v>34.699999999999967</v>
      </c>
    </row>
    <row r="42" spans="5:11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  <c r="J42" s="26">
        <v>40</v>
      </c>
      <c r="K42" s="28">
        <v>106.29999999999995</v>
      </c>
    </row>
    <row r="43" spans="5:11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  <c r="J43" s="26">
        <v>41</v>
      </c>
      <c r="K43" s="28">
        <v>137.79999999999995</v>
      </c>
    </row>
    <row r="44" spans="5:11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  <c r="J44" s="26">
        <v>42</v>
      </c>
      <c r="K44" s="28">
        <v>173.19999999999996</v>
      </c>
    </row>
    <row r="45" spans="5:11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  <c r="J45" s="26">
        <v>43</v>
      </c>
      <c r="K45" s="28">
        <v>184.69999999999996</v>
      </c>
    </row>
    <row r="46" spans="5:11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  <c r="J46" s="26">
        <v>44</v>
      </c>
      <c r="K46" s="28">
        <v>193.79999999999995</v>
      </c>
    </row>
    <row r="47" spans="5:11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11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B07766-CDC5-4FF5-8EEA-43A54FB777DF}">
  <sheetPr codeName="Sheet12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88" t="s">
        <v>195</v>
      </c>
      <c r="C1" s="89"/>
      <c r="E1" s="78" t="s">
        <v>213</v>
      </c>
      <c r="F1" s="59" t="s">
        <v>122</v>
      </c>
      <c r="G1" s="74" t="s">
        <v>123</v>
      </c>
      <c r="H1" s="59" t="s">
        <v>124</v>
      </c>
      <c r="J1" s="21" t="s">
        <v>22</v>
      </c>
      <c r="K1" s="22" t="s">
        <v>127</v>
      </c>
      <c r="M1" s="21" t="s">
        <v>207</v>
      </c>
      <c r="N1" s="59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4">
        <v>12</v>
      </c>
      <c r="C2" s="85"/>
      <c r="E2" s="79" t="s">
        <v>69</v>
      </c>
      <c r="F2" s="75" t="s">
        <v>23</v>
      </c>
      <c r="G2" s="61">
        <v>0</v>
      </c>
      <c r="H2" s="24">
        <f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0">IF(P2=0,0,O2/P2)</f>
        <v>2608.3333333333335</v>
      </c>
      <c r="O2" s="53">
        <v>31300</v>
      </c>
      <c r="P2" s="51">
        <v>12</v>
      </c>
    </row>
    <row r="3" spans="1:16" x14ac:dyDescent="0.4">
      <c r="A3" s="70" t="s">
        <v>8</v>
      </c>
      <c r="B3" s="90">
        <v>82</v>
      </c>
      <c r="C3" s="91"/>
      <c r="E3" s="80" t="s">
        <v>70</v>
      </c>
      <c r="F3" s="76" t="s">
        <v>24</v>
      </c>
      <c r="G3" s="62">
        <v>0</v>
      </c>
      <c r="H3" s="27">
        <f>IF(B$25=0,0,G3/B$25)</f>
        <v>0</v>
      </c>
      <c r="J3" s="26">
        <v>1</v>
      </c>
      <c r="K3" s="28">
        <v>-14.4</v>
      </c>
      <c r="M3" s="26" t="s">
        <v>202</v>
      </c>
      <c r="N3" s="57">
        <f t="shared" si="0"/>
        <v>2650</v>
      </c>
      <c r="O3" s="54">
        <v>26500</v>
      </c>
      <c r="P3" s="49">
        <v>10</v>
      </c>
    </row>
    <row r="4" spans="1:16" x14ac:dyDescent="0.4">
      <c r="A4" s="70" t="s">
        <v>6</v>
      </c>
      <c r="B4" s="92">
        <v>80.800000000000011</v>
      </c>
      <c r="C4" s="93"/>
      <c r="E4" s="80" t="s">
        <v>71</v>
      </c>
      <c r="F4" s="76" t="s">
        <v>25</v>
      </c>
      <c r="G4" s="62">
        <v>0</v>
      </c>
      <c r="H4" s="27">
        <f>IF(B$25=0,0,G4/B$25)</f>
        <v>0</v>
      </c>
      <c r="J4" s="26">
        <v>2</v>
      </c>
      <c r="K4" s="28">
        <v>37.6</v>
      </c>
      <c r="M4" s="26" t="s">
        <v>203</v>
      </c>
      <c r="N4" s="57">
        <f t="shared" si="0"/>
        <v>-900</v>
      </c>
      <c r="O4" s="54">
        <v>-7200</v>
      </c>
      <c r="P4" s="49">
        <v>8</v>
      </c>
    </row>
    <row r="5" spans="1:16" x14ac:dyDescent="0.4">
      <c r="A5" s="70" t="s">
        <v>7</v>
      </c>
      <c r="B5" s="92">
        <f>IF(B$2=0,0,B$4/B$2)</f>
        <v>6.7333333333333343</v>
      </c>
      <c r="C5" s="93"/>
      <c r="E5" s="80" t="s">
        <v>72</v>
      </c>
      <c r="F5" s="76" t="s">
        <v>26</v>
      </c>
      <c r="G5" s="62">
        <v>0</v>
      </c>
      <c r="H5" s="27">
        <f>IF(B$25=0,0,G5/B$25)</f>
        <v>0</v>
      </c>
      <c r="J5" s="26">
        <v>3</v>
      </c>
      <c r="K5" s="28">
        <v>-2.7999999999999972</v>
      </c>
      <c r="M5" s="26" t="s">
        <v>204</v>
      </c>
      <c r="N5" s="57">
        <f t="shared" si="0"/>
        <v>2062.5</v>
      </c>
      <c r="O5" s="54">
        <v>16500</v>
      </c>
      <c r="P5" s="49">
        <v>8</v>
      </c>
    </row>
    <row r="6" spans="1:16" x14ac:dyDescent="0.4">
      <c r="A6" s="70" t="s">
        <v>1</v>
      </c>
      <c r="B6" s="94">
        <f>IF(B$2=0,0,(B$7*1+B$8*2+B$9*3)/B$2)</f>
        <v>1.75</v>
      </c>
      <c r="C6" s="95"/>
      <c r="E6" s="80" t="s">
        <v>73</v>
      </c>
      <c r="F6" s="76" t="s">
        <v>27</v>
      </c>
      <c r="G6" s="62">
        <v>0</v>
      </c>
      <c r="H6" s="27">
        <f>IF(B$25=0,0,G6/B$25)</f>
        <v>0</v>
      </c>
      <c r="J6" s="26">
        <v>4</v>
      </c>
      <c r="K6" s="28">
        <v>-44.3</v>
      </c>
      <c r="M6" s="26" t="s">
        <v>205</v>
      </c>
      <c r="N6" s="57">
        <f t="shared" si="0"/>
        <v>-1266.6666666666667</v>
      </c>
      <c r="O6" s="54">
        <v>-7600</v>
      </c>
      <c r="P6" s="49">
        <v>6</v>
      </c>
    </row>
    <row r="7" spans="1:16" x14ac:dyDescent="0.4">
      <c r="A7" s="70" t="s">
        <v>2</v>
      </c>
      <c r="B7" s="62">
        <v>6</v>
      </c>
      <c r="C7" s="27">
        <f>IF(B$2=0,0,B7/B$2)</f>
        <v>0.5</v>
      </c>
      <c r="E7" s="80" t="s">
        <v>74</v>
      </c>
      <c r="F7" s="76" t="s">
        <v>12</v>
      </c>
      <c r="G7" s="62">
        <v>0</v>
      </c>
      <c r="H7" s="27">
        <f>IF(B$25=0,0,G7/B$25)</f>
        <v>0</v>
      </c>
      <c r="J7" s="26">
        <v>5</v>
      </c>
      <c r="K7" s="28">
        <v>8.2000000000000028</v>
      </c>
      <c r="M7" s="31" t="s">
        <v>206</v>
      </c>
      <c r="N7" s="58">
        <f t="shared" si="0"/>
        <v>5325</v>
      </c>
      <c r="O7" s="55">
        <v>21300</v>
      </c>
      <c r="P7" s="50">
        <v>4</v>
      </c>
    </row>
    <row r="8" spans="1:16" x14ac:dyDescent="0.4">
      <c r="A8" s="70" t="s">
        <v>3</v>
      </c>
      <c r="B8" s="62">
        <v>3</v>
      </c>
      <c r="C8" s="27">
        <f t="shared" ref="C8:C9" si="1">IF(B$2=0,0,B8/B$2)</f>
        <v>0.25</v>
      </c>
      <c r="E8" s="80" t="s">
        <v>75</v>
      </c>
      <c r="F8" s="76" t="s">
        <v>28</v>
      </c>
      <c r="G8" s="62">
        <v>0</v>
      </c>
      <c r="H8" s="27">
        <f>IF(B$25=0,0,G8/B$25)</f>
        <v>0</v>
      </c>
      <c r="J8" s="26">
        <v>6</v>
      </c>
      <c r="K8" s="28">
        <v>23.200000000000003</v>
      </c>
    </row>
    <row r="9" spans="1:16" x14ac:dyDescent="0.4">
      <c r="A9" s="71" t="s">
        <v>4</v>
      </c>
      <c r="B9" s="63">
        <v>3</v>
      </c>
      <c r="C9" s="29">
        <f t="shared" si="1"/>
        <v>0.25</v>
      </c>
      <c r="E9" s="80" t="s">
        <v>76</v>
      </c>
      <c r="F9" s="76" t="s">
        <v>29</v>
      </c>
      <c r="G9" s="62">
        <v>0</v>
      </c>
      <c r="H9" s="27">
        <f>IF(B$25=0,0,G9/B$25)</f>
        <v>0</v>
      </c>
      <c r="J9" s="26">
        <v>7</v>
      </c>
      <c r="K9" s="28">
        <v>40</v>
      </c>
    </row>
    <row r="10" spans="1:16" x14ac:dyDescent="0.4">
      <c r="A10" s="71" t="s">
        <v>21</v>
      </c>
      <c r="B10" s="63">
        <v>3</v>
      </c>
      <c r="C10" s="29">
        <f>IF(B$2=0,0,B10/B$2)</f>
        <v>0.25</v>
      </c>
      <c r="E10" s="80" t="s">
        <v>77</v>
      </c>
      <c r="F10" s="76" t="s">
        <v>30</v>
      </c>
      <c r="G10" s="62">
        <v>0</v>
      </c>
      <c r="H10" s="27">
        <f>IF(B$25=0,0,G10/B$25)</f>
        <v>0</v>
      </c>
      <c r="J10" s="26">
        <v>8</v>
      </c>
      <c r="K10" s="28">
        <v>4.2000000000000028</v>
      </c>
    </row>
    <row r="11" spans="1:16" x14ac:dyDescent="0.4">
      <c r="A11" s="72" t="s">
        <v>211</v>
      </c>
      <c r="B11" s="64">
        <v>3</v>
      </c>
      <c r="C11" s="32">
        <f>IF(B$2=0,0,B11/B$2)</f>
        <v>0.25</v>
      </c>
      <c r="E11" s="80" t="s">
        <v>78</v>
      </c>
      <c r="F11" s="76" t="s">
        <v>31</v>
      </c>
      <c r="G11" s="62">
        <v>0</v>
      </c>
      <c r="H11" s="27">
        <f>IF(B$25=0,0,G11/B$25)</f>
        <v>0</v>
      </c>
      <c r="J11" s="26">
        <v>9</v>
      </c>
      <c r="K11" s="28">
        <v>6.8000000000000025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>IF(B$25=0,0,G12/B$25)</f>
        <v>0</v>
      </c>
      <c r="J12" s="26">
        <v>10</v>
      </c>
      <c r="K12" s="28">
        <v>56.800000000000004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>IF(B$25=0,0,G13/B$25)</f>
        <v>0</v>
      </c>
      <c r="J13" s="26">
        <v>11</v>
      </c>
      <c r="K13" s="28">
        <v>69.300000000000011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>IF(B$25=0,0,G14/B$25)</f>
        <v>0</v>
      </c>
      <c r="J14" s="26">
        <v>12</v>
      </c>
      <c r="K14" s="28">
        <v>80.800000000000011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>IF(B$25=0,0,G15/B$25)</f>
        <v>0</v>
      </c>
    </row>
    <row r="16" spans="1:16" x14ac:dyDescent="0.4">
      <c r="A16" s="69" t="s">
        <v>10</v>
      </c>
      <c r="B16" s="61">
        <f>B17+B18</f>
        <v>28</v>
      </c>
      <c r="C16" s="24">
        <f>IF(B$3=0,0,B16/B$3)</f>
        <v>0.34146341463414637</v>
      </c>
      <c r="E16" s="80" t="s">
        <v>83</v>
      </c>
      <c r="F16" s="76" t="s">
        <v>36</v>
      </c>
      <c r="G16" s="62">
        <v>0</v>
      </c>
      <c r="H16" s="27">
        <f>IF(B$25=0,0,G16/B$25)</f>
        <v>0</v>
      </c>
    </row>
    <row r="17" spans="1:8" x14ac:dyDescent="0.4">
      <c r="A17" s="70" t="s">
        <v>11</v>
      </c>
      <c r="B17" s="62">
        <v>15</v>
      </c>
      <c r="C17" s="27">
        <f>IF(B$3=0,0,B17/B$3)</f>
        <v>0.18292682926829268</v>
      </c>
      <c r="E17" s="80" t="s">
        <v>84</v>
      </c>
      <c r="F17" s="76" t="s">
        <v>37</v>
      </c>
      <c r="G17" s="62">
        <v>0</v>
      </c>
      <c r="H17" s="27">
        <f>IF(B$25=0,0,G17/B$25)</f>
        <v>0</v>
      </c>
    </row>
    <row r="18" spans="1:8" x14ac:dyDescent="0.4">
      <c r="A18" s="70" t="s">
        <v>12</v>
      </c>
      <c r="B18" s="62">
        <v>13</v>
      </c>
      <c r="C18" s="27">
        <f>IF(B$3=0,0,B18/B$3)</f>
        <v>0.15853658536585366</v>
      </c>
      <c r="E18" s="80" t="s">
        <v>85</v>
      </c>
      <c r="F18" s="76" t="s">
        <v>38</v>
      </c>
      <c r="G18" s="62">
        <v>0</v>
      </c>
      <c r="H18" s="27">
        <f>IF(B$25=0,0,G18/B$25)</f>
        <v>0</v>
      </c>
    </row>
    <row r="19" spans="1:8" x14ac:dyDescent="0.4">
      <c r="A19" s="70" t="s">
        <v>13</v>
      </c>
      <c r="B19" s="62">
        <v>11</v>
      </c>
      <c r="C19" s="27">
        <f>IF(B$3=0,0,B19/B$3)</f>
        <v>0.13414634146341464</v>
      </c>
      <c r="E19" s="80" t="s">
        <v>86</v>
      </c>
      <c r="F19" s="76" t="s">
        <v>39</v>
      </c>
      <c r="G19" s="62">
        <v>0</v>
      </c>
      <c r="H19" s="27">
        <f>IF(B$25=0,0,G19/B$25)</f>
        <v>0</v>
      </c>
    </row>
    <row r="20" spans="1:8" x14ac:dyDescent="0.4">
      <c r="A20" s="70" t="s">
        <v>5</v>
      </c>
      <c r="B20" s="66">
        <f>IF(B$16=0,0,C20/B$16)</f>
        <v>10857.142857142857</v>
      </c>
      <c r="C20" s="30">
        <v>304000</v>
      </c>
      <c r="E20" s="80" t="s">
        <v>87</v>
      </c>
      <c r="F20" s="76" t="s">
        <v>40</v>
      </c>
      <c r="G20" s="62">
        <v>0</v>
      </c>
      <c r="H20" s="27">
        <f>IF(B$25=0,0,G20/B$25)</f>
        <v>0</v>
      </c>
    </row>
    <row r="21" spans="1:8" x14ac:dyDescent="0.4">
      <c r="A21" s="72" t="s">
        <v>14</v>
      </c>
      <c r="B21" s="67">
        <f>IF(B$19=0,0,C21/B$19)</f>
        <v>-9927.2727272727279</v>
      </c>
      <c r="C21" s="60">
        <v>-109200</v>
      </c>
      <c r="E21" s="80" t="s">
        <v>88</v>
      </c>
      <c r="F21" s="76" t="s">
        <v>41</v>
      </c>
      <c r="G21" s="62">
        <v>0</v>
      </c>
      <c r="H21" s="27">
        <f>IF(B$25=0,0,G21/B$25)</f>
        <v>0</v>
      </c>
    </row>
    <row r="22" spans="1:8" x14ac:dyDescent="0.4">
      <c r="A22" s="69" t="s">
        <v>198</v>
      </c>
      <c r="B22" s="61">
        <v>33</v>
      </c>
      <c r="C22" s="24">
        <f>IF(B$3=0,0,B22/B$3)</f>
        <v>0.40243902439024393</v>
      </c>
      <c r="E22" s="80" t="s">
        <v>89</v>
      </c>
      <c r="F22" s="76" t="s">
        <v>42</v>
      </c>
      <c r="G22" s="62">
        <v>0</v>
      </c>
      <c r="H22" s="27">
        <f>IF(B$25=0,0,G22/B$25)</f>
        <v>0</v>
      </c>
    </row>
    <row r="23" spans="1:8" x14ac:dyDescent="0.4">
      <c r="A23" s="72" t="s">
        <v>199</v>
      </c>
      <c r="B23" s="64">
        <v>15</v>
      </c>
      <c r="C23" s="32">
        <f>IF(B$22=0,0,B23/B$22)</f>
        <v>0.45454545454545453</v>
      </c>
      <c r="E23" s="80" t="s">
        <v>90</v>
      </c>
      <c r="F23" s="76" t="s">
        <v>43</v>
      </c>
      <c r="G23" s="62">
        <v>0</v>
      </c>
      <c r="H23" s="27">
        <f>IF(B$25=0,0,G23/B$25)</f>
        <v>0</v>
      </c>
    </row>
    <row r="24" spans="1:8" x14ac:dyDescent="0.4">
      <c r="A24" s="69" t="s">
        <v>128</v>
      </c>
      <c r="B24" s="84">
        <v>0</v>
      </c>
      <c r="C24" s="85"/>
      <c r="E24" s="80" t="s">
        <v>91</v>
      </c>
      <c r="F24" s="76" t="s">
        <v>44</v>
      </c>
      <c r="G24" s="62">
        <v>0</v>
      </c>
      <c r="H24" s="27">
        <f>IF(B$25=0,0,G24/B$25)</f>
        <v>0</v>
      </c>
    </row>
    <row r="25" spans="1:8" x14ac:dyDescent="0.4">
      <c r="A25" s="72" t="s">
        <v>129</v>
      </c>
      <c r="B25" s="86">
        <v>0</v>
      </c>
      <c r="C25" s="87"/>
      <c r="E25" s="80" t="s">
        <v>92</v>
      </c>
      <c r="F25" s="76" t="s">
        <v>45</v>
      </c>
      <c r="G25" s="62">
        <v>0</v>
      </c>
      <c r="H25" s="27">
        <f>IF(B$25=0,0,G25/B$25)</f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>IF(B$25=0,0,G26/B$25)</f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>IF(B$25=0,0,G27/B$25)</f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>IF(B$25=0,0,G28/B$25)</f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>IF(B$25=0,0,G29/B$25)</f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>IF(B$25=0,0,G30/B$25)</f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>IF(B$25=0,0,G31/B$25)</f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>IF(B$25=0,0,G32/B$25)</f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7A3C9B-B4E9-4DAD-8031-FFFB9280C5BF}">
  <sheetPr codeName="Sheet13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88" t="s">
        <v>196</v>
      </c>
      <c r="C1" s="89"/>
      <c r="E1" s="78" t="s">
        <v>213</v>
      </c>
      <c r="F1" s="59" t="s">
        <v>122</v>
      </c>
      <c r="G1" s="74" t="s">
        <v>123</v>
      </c>
      <c r="H1" s="59" t="s">
        <v>124</v>
      </c>
      <c r="J1" s="21" t="s">
        <v>22</v>
      </c>
      <c r="K1" s="22" t="s">
        <v>127</v>
      </c>
      <c r="M1" s="21" t="s">
        <v>207</v>
      </c>
      <c r="N1" s="59" t="s">
        <v>209</v>
      </c>
      <c r="O1" s="52" t="s">
        <v>210</v>
      </c>
      <c r="P1" s="48" t="s">
        <v>123</v>
      </c>
    </row>
    <row r="2" spans="1:16" x14ac:dyDescent="0.4">
      <c r="A2" s="69" t="s">
        <v>9</v>
      </c>
      <c r="B2" s="84">
        <v>29</v>
      </c>
      <c r="C2" s="85"/>
      <c r="E2" s="79" t="s">
        <v>73</v>
      </c>
      <c r="F2" s="75" t="s">
        <v>27</v>
      </c>
      <c r="G2" s="61">
        <v>48</v>
      </c>
      <c r="H2" s="24">
        <f>IF(B$25=0,0,G2/B$25)</f>
        <v>0.92307692307692313</v>
      </c>
      <c r="J2" s="23">
        <v>0</v>
      </c>
      <c r="K2" s="25">
        <v>0</v>
      </c>
      <c r="M2" s="23" t="s">
        <v>201</v>
      </c>
      <c r="N2" s="56">
        <f t="shared" ref="N2:N7" si="0">IF(P2=0,0,O2/P2)</f>
        <v>-3248</v>
      </c>
      <c r="O2" s="53">
        <v>-81200</v>
      </c>
      <c r="P2" s="51">
        <v>25</v>
      </c>
    </row>
    <row r="3" spans="1:16" x14ac:dyDescent="0.4">
      <c r="A3" s="70" t="s">
        <v>8</v>
      </c>
      <c r="B3" s="90">
        <v>222</v>
      </c>
      <c r="C3" s="91"/>
      <c r="E3" s="80" t="s">
        <v>78</v>
      </c>
      <c r="F3" s="76" t="s">
        <v>31</v>
      </c>
      <c r="G3" s="62">
        <v>43</v>
      </c>
      <c r="H3" s="27">
        <f>IF(B$25=0,0,G3/B$25)</f>
        <v>0.82692307692307687</v>
      </c>
      <c r="J3" s="26">
        <v>1</v>
      </c>
      <c r="K3" s="28">
        <v>3.9</v>
      </c>
      <c r="M3" s="26" t="s">
        <v>202</v>
      </c>
      <c r="N3" s="57">
        <f t="shared" si="0"/>
        <v>-1546.1538461538462</v>
      </c>
      <c r="O3" s="54">
        <v>-40200</v>
      </c>
      <c r="P3" s="49">
        <v>26</v>
      </c>
    </row>
    <row r="4" spans="1:16" x14ac:dyDescent="0.4">
      <c r="A4" s="70" t="s">
        <v>6</v>
      </c>
      <c r="B4" s="92">
        <v>-239.19999999999993</v>
      </c>
      <c r="C4" s="93"/>
      <c r="E4" s="80" t="s">
        <v>71</v>
      </c>
      <c r="F4" s="76" t="s">
        <v>25</v>
      </c>
      <c r="G4" s="62">
        <v>32</v>
      </c>
      <c r="H4" s="27">
        <f>IF(B$25=0,0,G4/B$25)</f>
        <v>0.61538461538461542</v>
      </c>
      <c r="J4" s="26">
        <v>2</v>
      </c>
      <c r="K4" s="28">
        <v>-33.9</v>
      </c>
      <c r="M4" s="26" t="s">
        <v>203</v>
      </c>
      <c r="N4" s="57">
        <f t="shared" si="0"/>
        <v>-1450</v>
      </c>
      <c r="O4" s="54">
        <v>-37700</v>
      </c>
      <c r="P4" s="49">
        <v>26</v>
      </c>
    </row>
    <row r="5" spans="1:16" x14ac:dyDescent="0.4">
      <c r="A5" s="70" t="s">
        <v>7</v>
      </c>
      <c r="B5" s="92">
        <f>IF(B$2=0,0,B$4/B$2)</f>
        <v>-8.2482758620689633</v>
      </c>
      <c r="C5" s="93"/>
      <c r="E5" s="80" t="s">
        <v>69</v>
      </c>
      <c r="F5" s="76" t="s">
        <v>23</v>
      </c>
      <c r="G5" s="62">
        <v>30</v>
      </c>
      <c r="H5" s="27">
        <f>IF(B$25=0,0,G5/B$25)</f>
        <v>0.57692307692307687</v>
      </c>
      <c r="J5" s="26">
        <v>3</v>
      </c>
      <c r="K5" s="28">
        <v>-70.099999999999994</v>
      </c>
      <c r="M5" s="26" t="s">
        <v>204</v>
      </c>
      <c r="N5" s="57">
        <f t="shared" si="0"/>
        <v>837.5</v>
      </c>
      <c r="O5" s="54">
        <v>20100</v>
      </c>
      <c r="P5" s="49">
        <v>24</v>
      </c>
    </row>
    <row r="6" spans="1:16" x14ac:dyDescent="0.4">
      <c r="A6" s="70" t="s">
        <v>1</v>
      </c>
      <c r="B6" s="94">
        <f>IF(B$2=0,0,(B$7*1+B$8*2+B$9*3)/B$2)</f>
        <v>2.2413793103448274</v>
      </c>
      <c r="C6" s="95"/>
      <c r="E6" s="80" t="s">
        <v>74</v>
      </c>
      <c r="F6" s="76" t="s">
        <v>12</v>
      </c>
      <c r="G6" s="62">
        <v>20</v>
      </c>
      <c r="H6" s="27">
        <f>IF(B$25=0,0,G6/B$25)</f>
        <v>0.38461538461538464</v>
      </c>
      <c r="J6" s="26">
        <v>4</v>
      </c>
      <c r="K6" s="28">
        <v>-35.099999999999994</v>
      </c>
      <c r="M6" s="26" t="s">
        <v>205</v>
      </c>
      <c r="N6" s="57">
        <f t="shared" si="0"/>
        <v>-1461.9047619047619</v>
      </c>
      <c r="O6" s="54">
        <v>-30700</v>
      </c>
      <c r="P6" s="49">
        <v>21</v>
      </c>
    </row>
    <row r="7" spans="1:16" x14ac:dyDescent="0.4">
      <c r="A7" s="70" t="s">
        <v>2</v>
      </c>
      <c r="B7" s="62">
        <v>8</v>
      </c>
      <c r="C7" s="27">
        <f>IF(B$2=0,0,B7/B$2)</f>
        <v>0.27586206896551724</v>
      </c>
      <c r="E7" s="80" t="s">
        <v>72</v>
      </c>
      <c r="F7" s="76" t="s">
        <v>26</v>
      </c>
      <c r="G7" s="62">
        <v>20</v>
      </c>
      <c r="H7" s="27">
        <f>IF(B$25=0,0,G7/B$25)</f>
        <v>0.38461538461538464</v>
      </c>
      <c r="J7" s="26">
        <v>5</v>
      </c>
      <c r="K7" s="28">
        <v>-80.099999999999994</v>
      </c>
      <c r="M7" s="31" t="s">
        <v>206</v>
      </c>
      <c r="N7" s="58">
        <f t="shared" si="0"/>
        <v>3566.6666666666665</v>
      </c>
      <c r="O7" s="55">
        <v>42800</v>
      </c>
      <c r="P7" s="50">
        <v>12</v>
      </c>
    </row>
    <row r="8" spans="1:16" x14ac:dyDescent="0.4">
      <c r="A8" s="70" t="s">
        <v>3</v>
      </c>
      <c r="B8" s="62">
        <v>6</v>
      </c>
      <c r="C8" s="27">
        <f t="shared" ref="C8:C9" si="1">IF(B$2=0,0,B8/B$2)</f>
        <v>0.20689655172413793</v>
      </c>
      <c r="E8" s="80" t="s">
        <v>96</v>
      </c>
      <c r="F8" s="76" t="s">
        <v>49</v>
      </c>
      <c r="G8" s="62">
        <v>10</v>
      </c>
      <c r="H8" s="27">
        <f>IF(B$25=0,0,G8/B$25)</f>
        <v>0.19230769230769232</v>
      </c>
      <c r="J8" s="26">
        <v>6</v>
      </c>
      <c r="K8" s="28">
        <v>-116.1</v>
      </c>
    </row>
    <row r="9" spans="1:16" x14ac:dyDescent="0.4">
      <c r="A9" s="71" t="s">
        <v>4</v>
      </c>
      <c r="B9" s="63">
        <v>15</v>
      </c>
      <c r="C9" s="29">
        <f t="shared" si="1"/>
        <v>0.51724137931034486</v>
      </c>
      <c r="E9" s="80" t="s">
        <v>75</v>
      </c>
      <c r="F9" s="76" t="s">
        <v>28</v>
      </c>
      <c r="G9" s="62">
        <v>8</v>
      </c>
      <c r="H9" s="27">
        <f>IF(B$25=0,0,G9/B$25)</f>
        <v>0.15384615384615385</v>
      </c>
      <c r="J9" s="26">
        <v>7</v>
      </c>
      <c r="K9" s="28">
        <v>-147.4</v>
      </c>
    </row>
    <row r="10" spans="1:16" x14ac:dyDescent="0.4">
      <c r="A10" s="71" t="s">
        <v>21</v>
      </c>
      <c r="B10" s="63">
        <v>9</v>
      </c>
      <c r="C10" s="29">
        <f>IF(B$2=0,0,B10/B$2)</f>
        <v>0.31034482758620691</v>
      </c>
      <c r="E10" s="80" t="s">
        <v>84</v>
      </c>
      <c r="F10" s="76" t="s">
        <v>37</v>
      </c>
      <c r="G10" s="62">
        <v>5</v>
      </c>
      <c r="H10" s="27">
        <f>IF(B$25=0,0,G10/B$25)</f>
        <v>9.6153846153846159E-2</v>
      </c>
      <c r="J10" s="26">
        <v>8</v>
      </c>
      <c r="K10" s="28">
        <v>-146</v>
      </c>
    </row>
    <row r="11" spans="1:16" x14ac:dyDescent="0.4">
      <c r="A11" s="72" t="s">
        <v>211</v>
      </c>
      <c r="B11" s="64">
        <v>4</v>
      </c>
      <c r="C11" s="32">
        <f>IF(B$2=0,0,B11/B$2)</f>
        <v>0.13793103448275862</v>
      </c>
      <c r="E11" s="80" t="s">
        <v>76</v>
      </c>
      <c r="F11" s="76" t="s">
        <v>29</v>
      </c>
      <c r="G11" s="62">
        <v>5</v>
      </c>
      <c r="H11" s="27">
        <f>IF(B$25=0,0,G11/B$25)</f>
        <v>9.6153846153846159E-2</v>
      </c>
      <c r="J11" s="26">
        <v>9</v>
      </c>
      <c r="K11" s="28">
        <v>-173</v>
      </c>
    </row>
    <row r="12" spans="1:16" x14ac:dyDescent="0.4">
      <c r="A12" s="73" t="s">
        <v>130</v>
      </c>
      <c r="B12" s="65">
        <v>49</v>
      </c>
      <c r="C12" s="35">
        <f>IF(B$24=0,0,B12/B$24)</f>
        <v>0.26486486486486488</v>
      </c>
      <c r="E12" s="80" t="s">
        <v>70</v>
      </c>
      <c r="F12" s="76" t="s">
        <v>24</v>
      </c>
      <c r="G12" s="62">
        <v>3</v>
      </c>
      <c r="H12" s="27">
        <f>IF(B$25=0,0,G12/B$25)</f>
        <v>5.7692307692307696E-2</v>
      </c>
      <c r="J12" s="26">
        <v>10</v>
      </c>
      <c r="K12" s="28">
        <v>-206.1</v>
      </c>
    </row>
    <row r="13" spans="1:16" x14ac:dyDescent="0.4">
      <c r="A13" s="70" t="s">
        <v>125</v>
      </c>
      <c r="B13" s="62">
        <v>43</v>
      </c>
      <c r="C13" s="27">
        <f>IF(B$24=0,0,B13/B$24)</f>
        <v>0.23243243243243245</v>
      </c>
      <c r="E13" s="80" t="s">
        <v>90</v>
      </c>
      <c r="F13" s="76" t="s">
        <v>43</v>
      </c>
      <c r="G13" s="62">
        <v>3</v>
      </c>
      <c r="H13" s="27">
        <f>IF(B$25=0,0,G13/B$25)</f>
        <v>5.7692307692307696E-2</v>
      </c>
      <c r="J13" s="26">
        <v>11</v>
      </c>
      <c r="K13" s="28">
        <v>-174</v>
      </c>
    </row>
    <row r="14" spans="1:16" x14ac:dyDescent="0.4">
      <c r="A14" s="69" t="s">
        <v>132</v>
      </c>
      <c r="B14" s="61">
        <v>31</v>
      </c>
      <c r="C14" s="24">
        <f>IF(B$12=0,0,B14/B$12)</f>
        <v>0.63265306122448983</v>
      </c>
      <c r="E14" s="80" t="s">
        <v>79</v>
      </c>
      <c r="F14" s="76" t="s">
        <v>32</v>
      </c>
      <c r="G14" s="62">
        <v>2</v>
      </c>
      <c r="H14" s="27">
        <f>IF(B$25=0,0,G14/B$25)</f>
        <v>3.8461538461538464E-2</v>
      </c>
      <c r="J14" s="26">
        <v>12</v>
      </c>
      <c r="K14" s="28">
        <v>-197</v>
      </c>
    </row>
    <row r="15" spans="1:16" x14ac:dyDescent="0.4">
      <c r="A15" s="69" t="s">
        <v>133</v>
      </c>
      <c r="B15" s="61">
        <v>15</v>
      </c>
      <c r="C15" s="24">
        <f>IF(B$13=0,0,B15/B$13)</f>
        <v>0.34883720930232559</v>
      </c>
      <c r="E15" s="80" t="s">
        <v>88</v>
      </c>
      <c r="F15" s="76" t="s">
        <v>41</v>
      </c>
      <c r="G15" s="62">
        <v>2</v>
      </c>
      <c r="H15" s="27">
        <f>IF(B$25=0,0,G15/B$25)</f>
        <v>3.8461538461538464E-2</v>
      </c>
      <c r="J15" s="26">
        <v>13</v>
      </c>
      <c r="K15" s="28">
        <v>-235</v>
      </c>
    </row>
    <row r="16" spans="1:16" x14ac:dyDescent="0.4">
      <c r="A16" s="69" t="s">
        <v>10</v>
      </c>
      <c r="B16" s="61">
        <f>B17+B18</f>
        <v>62</v>
      </c>
      <c r="C16" s="24">
        <f>IF(B$3=0,0,B16/B$3)</f>
        <v>0.27927927927927926</v>
      </c>
      <c r="E16" s="80" t="s">
        <v>93</v>
      </c>
      <c r="F16" s="76" t="s">
        <v>46</v>
      </c>
      <c r="G16" s="62">
        <v>2</v>
      </c>
      <c r="H16" s="27">
        <f>IF(B$25=0,0,G16/B$25)</f>
        <v>3.8461538461538464E-2</v>
      </c>
      <c r="J16" s="26">
        <v>14</v>
      </c>
      <c r="K16" s="28">
        <v>-231</v>
      </c>
    </row>
    <row r="17" spans="1:11" x14ac:dyDescent="0.4">
      <c r="A17" s="70" t="s">
        <v>11</v>
      </c>
      <c r="B17" s="62">
        <v>31</v>
      </c>
      <c r="C17" s="27">
        <f>IF(B$3=0,0,B17/B$3)</f>
        <v>0.13963963963963963</v>
      </c>
      <c r="E17" s="80" t="s">
        <v>81</v>
      </c>
      <c r="F17" s="76" t="s">
        <v>34</v>
      </c>
      <c r="G17" s="62">
        <v>1</v>
      </c>
      <c r="H17" s="27">
        <f>IF(B$25=0,0,G17/B$25)</f>
        <v>1.9230769230769232E-2</v>
      </c>
      <c r="J17" s="26">
        <v>15</v>
      </c>
      <c r="K17" s="28">
        <v>-212.5</v>
      </c>
    </row>
    <row r="18" spans="1:11" x14ac:dyDescent="0.4">
      <c r="A18" s="70" t="s">
        <v>12</v>
      </c>
      <c r="B18" s="62">
        <v>31</v>
      </c>
      <c r="C18" s="27">
        <f>IF(B$3=0,0,B18/B$3)</f>
        <v>0.13963963963963963</v>
      </c>
      <c r="E18" s="80" t="s">
        <v>100</v>
      </c>
      <c r="F18" s="76" t="s">
        <v>53</v>
      </c>
      <c r="G18" s="62">
        <v>1</v>
      </c>
      <c r="H18" s="27">
        <f>IF(B$25=0,0,G18/B$25)</f>
        <v>1.9230769230769232E-2</v>
      </c>
      <c r="J18" s="26">
        <v>16</v>
      </c>
      <c r="K18" s="28">
        <v>-233.2</v>
      </c>
    </row>
    <row r="19" spans="1:11" x14ac:dyDescent="0.4">
      <c r="A19" s="70" t="s">
        <v>13</v>
      </c>
      <c r="B19" s="62">
        <v>49</v>
      </c>
      <c r="C19" s="27">
        <f>IF(B$3=0,0,B19/B$3)</f>
        <v>0.22072072072072071</v>
      </c>
      <c r="E19" s="80" t="s">
        <v>77</v>
      </c>
      <c r="F19" s="76" t="s">
        <v>30</v>
      </c>
      <c r="G19" s="62">
        <v>0</v>
      </c>
      <c r="H19" s="27">
        <f>IF(B$25=0,0,G19/B$25)</f>
        <v>0</v>
      </c>
      <c r="J19" s="26">
        <v>17</v>
      </c>
      <c r="K19" s="28">
        <v>-268.7</v>
      </c>
    </row>
    <row r="20" spans="1:11" x14ac:dyDescent="0.4">
      <c r="A20" s="70" t="s">
        <v>5</v>
      </c>
      <c r="B20" s="66">
        <f>IF(B$16=0,0,C20/B$16)</f>
        <v>11087.096774193549</v>
      </c>
      <c r="C20" s="30">
        <v>687400</v>
      </c>
      <c r="E20" s="80" t="s">
        <v>80</v>
      </c>
      <c r="F20" s="76" t="s">
        <v>33</v>
      </c>
      <c r="G20" s="62">
        <v>0</v>
      </c>
      <c r="H20" s="27">
        <f>IF(B$25=0,0,G20/B$25)</f>
        <v>0</v>
      </c>
      <c r="J20" s="26">
        <v>18</v>
      </c>
      <c r="K20" s="28">
        <v>-295.8</v>
      </c>
    </row>
    <row r="21" spans="1:11" x14ac:dyDescent="0.4">
      <c r="A21" s="72" t="s">
        <v>14</v>
      </c>
      <c r="B21" s="67">
        <f>IF(B$19=0,0,C21/B$19)</f>
        <v>-10040.816326530612</v>
      </c>
      <c r="C21" s="60">
        <v>-492000</v>
      </c>
      <c r="E21" s="80" t="s">
        <v>82</v>
      </c>
      <c r="F21" s="76" t="s">
        <v>35</v>
      </c>
      <c r="G21" s="62">
        <v>0</v>
      </c>
      <c r="H21" s="27">
        <f>IF(B$25=0,0,G21/B$25)</f>
        <v>0</v>
      </c>
      <c r="J21" s="26">
        <v>19</v>
      </c>
      <c r="K21" s="28">
        <v>-273.2</v>
      </c>
    </row>
    <row r="22" spans="1:11" x14ac:dyDescent="0.4">
      <c r="A22" s="69" t="s">
        <v>198</v>
      </c>
      <c r="B22" s="61">
        <v>69</v>
      </c>
      <c r="C22" s="24">
        <f>IF(B$3=0,0,B22/B$3)</f>
        <v>0.3108108108108108</v>
      </c>
      <c r="E22" s="80" t="s">
        <v>83</v>
      </c>
      <c r="F22" s="76" t="s">
        <v>36</v>
      </c>
      <c r="G22" s="62">
        <v>0</v>
      </c>
      <c r="H22" s="27">
        <f>IF(B$25=0,0,G22/B$25)</f>
        <v>0</v>
      </c>
      <c r="J22" s="26">
        <v>20</v>
      </c>
      <c r="K22" s="28">
        <v>-270</v>
      </c>
    </row>
    <row r="23" spans="1:11" x14ac:dyDescent="0.4">
      <c r="A23" s="72" t="s">
        <v>199</v>
      </c>
      <c r="B23" s="64">
        <v>25</v>
      </c>
      <c r="C23" s="32">
        <f>IF(B$22=0,0,B23/B$22)</f>
        <v>0.36231884057971014</v>
      </c>
      <c r="E23" s="80" t="s">
        <v>85</v>
      </c>
      <c r="F23" s="76" t="s">
        <v>38</v>
      </c>
      <c r="G23" s="62">
        <v>0</v>
      </c>
      <c r="H23" s="27">
        <f>IF(B$25=0,0,G23/B$25)</f>
        <v>0</v>
      </c>
      <c r="J23" s="26">
        <v>21</v>
      </c>
      <c r="K23" s="28">
        <v>-242</v>
      </c>
    </row>
    <row r="24" spans="1:11" x14ac:dyDescent="0.4">
      <c r="A24" s="69" t="s">
        <v>128</v>
      </c>
      <c r="B24" s="84">
        <v>185</v>
      </c>
      <c r="C24" s="85"/>
      <c r="E24" s="80" t="s">
        <v>86</v>
      </c>
      <c r="F24" s="76" t="s">
        <v>39</v>
      </c>
      <c r="G24" s="62">
        <v>0</v>
      </c>
      <c r="H24" s="27">
        <f>IF(B$25=0,0,G24/B$25)</f>
        <v>0</v>
      </c>
      <c r="J24" s="26">
        <v>22</v>
      </c>
      <c r="K24" s="28">
        <v>-202.9</v>
      </c>
    </row>
    <row r="25" spans="1:11" x14ac:dyDescent="0.4">
      <c r="A25" s="72" t="s">
        <v>129</v>
      </c>
      <c r="B25" s="86">
        <v>52</v>
      </c>
      <c r="C25" s="87"/>
      <c r="E25" s="80" t="s">
        <v>87</v>
      </c>
      <c r="F25" s="76" t="s">
        <v>40</v>
      </c>
      <c r="G25" s="62">
        <v>0</v>
      </c>
      <c r="H25" s="27">
        <f>IF(B$25=0,0,G25/B$25)</f>
        <v>0</v>
      </c>
      <c r="J25" s="26">
        <v>23</v>
      </c>
      <c r="K25" s="28">
        <v>-200.9</v>
      </c>
    </row>
    <row r="26" spans="1:11" x14ac:dyDescent="0.4">
      <c r="E26" s="80" t="s">
        <v>89</v>
      </c>
      <c r="F26" s="76" t="s">
        <v>42</v>
      </c>
      <c r="G26" s="62">
        <v>0</v>
      </c>
      <c r="H26" s="27">
        <f>IF(B$25=0,0,G26/B$25)</f>
        <v>0</v>
      </c>
      <c r="J26" s="26">
        <v>24</v>
      </c>
      <c r="K26" s="28">
        <v>-168.2</v>
      </c>
    </row>
    <row r="27" spans="1:11" x14ac:dyDescent="0.4">
      <c r="E27" s="80" t="s">
        <v>91</v>
      </c>
      <c r="F27" s="76" t="s">
        <v>44</v>
      </c>
      <c r="G27" s="62">
        <v>0</v>
      </c>
      <c r="H27" s="27">
        <f>IF(B$25=0,0,G27/B$25)</f>
        <v>0</v>
      </c>
      <c r="J27" s="26">
        <v>25</v>
      </c>
      <c r="K27" s="28">
        <v>-216.89999999999998</v>
      </c>
    </row>
    <row r="28" spans="1:11" x14ac:dyDescent="0.4">
      <c r="E28" s="80" t="s">
        <v>92</v>
      </c>
      <c r="F28" s="76" t="s">
        <v>45</v>
      </c>
      <c r="G28" s="62">
        <v>0</v>
      </c>
      <c r="H28" s="27">
        <f>IF(B$25=0,0,G28/B$25)</f>
        <v>0</v>
      </c>
      <c r="J28" s="26">
        <v>26</v>
      </c>
      <c r="K28" s="28">
        <v>-256.29999999999995</v>
      </c>
    </row>
    <row r="29" spans="1:11" x14ac:dyDescent="0.4">
      <c r="E29" s="80" t="s">
        <v>94</v>
      </c>
      <c r="F29" s="76" t="s">
        <v>47</v>
      </c>
      <c r="G29" s="62">
        <v>0</v>
      </c>
      <c r="H29" s="27">
        <f>IF(B$25=0,0,G29/B$25)</f>
        <v>0</v>
      </c>
      <c r="J29" s="26">
        <v>27</v>
      </c>
      <c r="K29" s="28">
        <v>-296.29999999999995</v>
      </c>
    </row>
    <row r="30" spans="1:11" x14ac:dyDescent="0.4">
      <c r="E30" s="80" t="s">
        <v>95</v>
      </c>
      <c r="F30" s="76" t="s">
        <v>48</v>
      </c>
      <c r="G30" s="62">
        <v>0</v>
      </c>
      <c r="H30" s="27">
        <f>IF(B$25=0,0,G30/B$25)</f>
        <v>0</v>
      </c>
      <c r="J30" s="26">
        <v>28</v>
      </c>
      <c r="K30" s="28">
        <v>-290.19999999999993</v>
      </c>
    </row>
    <row r="31" spans="1:11" x14ac:dyDescent="0.4">
      <c r="E31" s="80" t="s">
        <v>97</v>
      </c>
      <c r="F31" s="76" t="s">
        <v>50</v>
      </c>
      <c r="G31" s="62">
        <v>0</v>
      </c>
      <c r="H31" s="27">
        <f>IF(B$25=0,0,G31/B$25)</f>
        <v>0</v>
      </c>
      <c r="J31" s="26">
        <v>29</v>
      </c>
      <c r="K31" s="28">
        <v>-239.19999999999993</v>
      </c>
    </row>
    <row r="32" spans="1:11" x14ac:dyDescent="0.4">
      <c r="E32" s="80" t="s">
        <v>98</v>
      </c>
      <c r="F32" s="76" t="s">
        <v>51</v>
      </c>
      <c r="G32" s="62">
        <v>0</v>
      </c>
      <c r="H32" s="27">
        <f>IF(B$25=0,0,G32/B$25)</f>
        <v>0</v>
      </c>
    </row>
    <row r="33" spans="5:8" x14ac:dyDescent="0.4">
      <c r="E33" s="80" t="s">
        <v>99</v>
      </c>
      <c r="F33" s="76" t="s">
        <v>52</v>
      </c>
      <c r="G33" s="62">
        <v>0</v>
      </c>
      <c r="H33" s="27">
        <f>IF(B$25=0,0,G33/B$25)</f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>IF(B$25=0,0,G35/B$25)</f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>IF(B$25=0,0,G36/B$25)</f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>IF(B$25=0,0,G37/B$25)</f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>IF(B$25=0,0,G38/B$25)</f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>IF(B$25=0,0,G39/B$25)</f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>IF(B$25=0,0,G40/B$25)</f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>IF(B$25=0,0,G41/B$25)</f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>IF(B$25=0,0,G42/B$25)</f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>IF(B$25=0,0,G43/B$25)</f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>IF(B$25=0,0,G44/B$25)</f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>IF(B$25=0,0,G45/B$25)</f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>IF(B$25=0,0,G46/B$25)</f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>IF(B$25=0,0,G47/B$25)</f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>IF(B$25=0,0,G48/B$25)</f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>IF(B$25=0,0,G49/B$25)</f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>IF(B$25=0,0,G50/B$25)</f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68" t="s">
        <v>0</v>
      </c>
      <c r="B1" s="88"/>
      <c r="C1" s="89"/>
      <c r="E1" s="78" t="s">
        <v>213</v>
      </c>
      <c r="F1" s="59" t="s">
        <v>122</v>
      </c>
      <c r="G1" s="74" t="s">
        <v>123</v>
      </c>
      <c r="H1" s="20" t="s">
        <v>124</v>
      </c>
      <c r="J1" s="21" t="s">
        <v>22</v>
      </c>
      <c r="K1" s="22" t="s">
        <v>127</v>
      </c>
      <c r="M1" s="21" t="s">
        <v>207</v>
      </c>
      <c r="N1" s="20" t="s">
        <v>209</v>
      </c>
      <c r="O1" s="52" t="s">
        <v>210</v>
      </c>
      <c r="P1" s="48" t="s">
        <v>208</v>
      </c>
    </row>
    <row r="2" spans="1:16" x14ac:dyDescent="0.4">
      <c r="A2" s="69" t="s">
        <v>9</v>
      </c>
      <c r="B2" s="84">
        <v>0</v>
      </c>
      <c r="C2" s="85"/>
      <c r="E2" s="79" t="s">
        <v>69</v>
      </c>
      <c r="F2" s="75" t="s">
        <v>23</v>
      </c>
      <c r="G2" s="61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201</v>
      </c>
      <c r="N2" s="56">
        <f t="shared" ref="N2:N7" si="1">IF(P2=0,0,O2/P2)</f>
        <v>0</v>
      </c>
      <c r="O2" s="53">
        <v>0</v>
      </c>
      <c r="P2" s="51">
        <v>0</v>
      </c>
    </row>
    <row r="3" spans="1:16" x14ac:dyDescent="0.4">
      <c r="A3" s="70" t="s">
        <v>8</v>
      </c>
      <c r="B3" s="90">
        <v>0</v>
      </c>
      <c r="C3" s="91"/>
      <c r="E3" s="80" t="s">
        <v>70</v>
      </c>
      <c r="F3" s="76" t="s">
        <v>24</v>
      </c>
      <c r="G3" s="62">
        <v>0</v>
      </c>
      <c r="H3" s="27">
        <f t="shared" si="0"/>
        <v>0</v>
      </c>
      <c r="M3" s="26" t="s">
        <v>202</v>
      </c>
      <c r="N3" s="57">
        <f t="shared" si="1"/>
        <v>0</v>
      </c>
      <c r="O3" s="54">
        <v>0</v>
      </c>
      <c r="P3" s="49">
        <v>0</v>
      </c>
    </row>
    <row r="4" spans="1:16" x14ac:dyDescent="0.4">
      <c r="A4" s="70" t="s">
        <v>6</v>
      </c>
      <c r="B4" s="92">
        <v>0</v>
      </c>
      <c r="C4" s="93"/>
      <c r="E4" s="80" t="s">
        <v>71</v>
      </c>
      <c r="F4" s="76" t="s">
        <v>25</v>
      </c>
      <c r="G4" s="62">
        <v>0</v>
      </c>
      <c r="H4" s="27">
        <f t="shared" si="0"/>
        <v>0</v>
      </c>
      <c r="M4" s="26" t="s">
        <v>203</v>
      </c>
      <c r="N4" s="57">
        <f t="shared" si="1"/>
        <v>0</v>
      </c>
      <c r="O4" s="54">
        <v>0</v>
      </c>
      <c r="P4" s="49">
        <v>0</v>
      </c>
    </row>
    <row r="5" spans="1:16" x14ac:dyDescent="0.4">
      <c r="A5" s="70" t="s">
        <v>7</v>
      </c>
      <c r="B5" s="92">
        <f>IF(B$2=0,0,B$4/B$2)</f>
        <v>0</v>
      </c>
      <c r="C5" s="93"/>
      <c r="E5" s="80" t="s">
        <v>72</v>
      </c>
      <c r="F5" s="76" t="s">
        <v>26</v>
      </c>
      <c r="G5" s="62">
        <v>0</v>
      </c>
      <c r="H5" s="27">
        <f t="shared" si="0"/>
        <v>0</v>
      </c>
      <c r="M5" s="26" t="s">
        <v>204</v>
      </c>
      <c r="N5" s="57">
        <f t="shared" si="1"/>
        <v>0</v>
      </c>
      <c r="O5" s="54">
        <v>0</v>
      </c>
      <c r="P5" s="49">
        <v>0</v>
      </c>
    </row>
    <row r="6" spans="1:16" x14ac:dyDescent="0.4">
      <c r="A6" s="70" t="s">
        <v>1</v>
      </c>
      <c r="B6" s="94">
        <f>IF(B$2=0,0,(B$7*1+B$8*2+B$9*3)/B$2)</f>
        <v>0</v>
      </c>
      <c r="C6" s="95"/>
      <c r="E6" s="80" t="s">
        <v>73</v>
      </c>
      <c r="F6" s="76" t="s">
        <v>27</v>
      </c>
      <c r="G6" s="62">
        <v>0</v>
      </c>
      <c r="H6" s="27">
        <f t="shared" si="0"/>
        <v>0</v>
      </c>
      <c r="M6" s="26" t="s">
        <v>205</v>
      </c>
      <c r="N6" s="57">
        <f t="shared" si="1"/>
        <v>0</v>
      </c>
      <c r="O6" s="54">
        <v>0</v>
      </c>
      <c r="P6" s="49">
        <v>0</v>
      </c>
    </row>
    <row r="7" spans="1:16" x14ac:dyDescent="0.4">
      <c r="A7" s="70" t="s">
        <v>2</v>
      </c>
      <c r="B7" s="62">
        <v>0</v>
      </c>
      <c r="C7" s="27">
        <f>IF(B$2=0,0,B7/B$2)</f>
        <v>0</v>
      </c>
      <c r="E7" s="80" t="s">
        <v>74</v>
      </c>
      <c r="F7" s="76" t="s">
        <v>12</v>
      </c>
      <c r="G7" s="62">
        <v>0</v>
      </c>
      <c r="H7" s="27">
        <f t="shared" si="0"/>
        <v>0</v>
      </c>
      <c r="M7" s="31" t="s">
        <v>206</v>
      </c>
      <c r="N7" s="58">
        <f t="shared" si="1"/>
        <v>0</v>
      </c>
      <c r="O7" s="55">
        <v>0</v>
      </c>
      <c r="P7" s="50">
        <v>0</v>
      </c>
    </row>
    <row r="8" spans="1:16" x14ac:dyDescent="0.4">
      <c r="A8" s="70" t="s">
        <v>3</v>
      </c>
      <c r="B8" s="62">
        <v>0</v>
      </c>
      <c r="C8" s="27">
        <f t="shared" ref="C8:C9" si="2">IF(B$2=0,0,B8/B$2)</f>
        <v>0</v>
      </c>
      <c r="E8" s="80" t="s">
        <v>75</v>
      </c>
      <c r="F8" s="76" t="s">
        <v>28</v>
      </c>
      <c r="G8" s="62">
        <v>0</v>
      </c>
      <c r="H8" s="27">
        <f t="shared" si="0"/>
        <v>0</v>
      </c>
    </row>
    <row r="9" spans="1:16" x14ac:dyDescent="0.4">
      <c r="A9" s="71" t="s">
        <v>4</v>
      </c>
      <c r="B9" s="63">
        <v>0</v>
      </c>
      <c r="C9" s="29">
        <f t="shared" si="2"/>
        <v>0</v>
      </c>
      <c r="E9" s="80" t="s">
        <v>76</v>
      </c>
      <c r="F9" s="76" t="s">
        <v>29</v>
      </c>
      <c r="G9" s="62">
        <v>0</v>
      </c>
      <c r="H9" s="27">
        <f t="shared" si="0"/>
        <v>0</v>
      </c>
    </row>
    <row r="10" spans="1:16" x14ac:dyDescent="0.4">
      <c r="A10" s="71" t="s">
        <v>21</v>
      </c>
      <c r="B10" s="63">
        <v>0</v>
      </c>
      <c r="C10" s="29">
        <f>IF(B$2=0,0,B10/B$2)</f>
        <v>0</v>
      </c>
      <c r="E10" s="80" t="s">
        <v>77</v>
      </c>
      <c r="F10" s="76" t="s">
        <v>30</v>
      </c>
      <c r="G10" s="62">
        <v>0</v>
      </c>
      <c r="H10" s="27">
        <f t="shared" si="0"/>
        <v>0</v>
      </c>
    </row>
    <row r="11" spans="1:16" x14ac:dyDescent="0.4">
      <c r="A11" s="72" t="s">
        <v>211</v>
      </c>
      <c r="B11" s="64">
        <v>0</v>
      </c>
      <c r="C11" s="32">
        <f>IF(B$2=0,0,B11/B$2)</f>
        <v>0</v>
      </c>
      <c r="E11" s="80" t="s">
        <v>78</v>
      </c>
      <c r="F11" s="76" t="s">
        <v>31</v>
      </c>
      <c r="G11" s="62">
        <v>0</v>
      </c>
      <c r="H11" s="27">
        <f t="shared" si="0"/>
        <v>0</v>
      </c>
    </row>
    <row r="12" spans="1:16" x14ac:dyDescent="0.4">
      <c r="A12" s="73" t="s">
        <v>130</v>
      </c>
      <c r="B12" s="65">
        <v>0</v>
      </c>
      <c r="C12" s="35">
        <f>IF(B$24=0,0,B12/B$24)</f>
        <v>0</v>
      </c>
      <c r="E12" s="80" t="s">
        <v>79</v>
      </c>
      <c r="F12" s="76" t="s">
        <v>32</v>
      </c>
      <c r="G12" s="62">
        <v>0</v>
      </c>
      <c r="H12" s="27">
        <f t="shared" si="0"/>
        <v>0</v>
      </c>
    </row>
    <row r="13" spans="1:16" x14ac:dyDescent="0.4">
      <c r="A13" s="70" t="s">
        <v>125</v>
      </c>
      <c r="B13" s="62">
        <v>0</v>
      </c>
      <c r="C13" s="27">
        <f>IF(B$24=0,0,B13/B$24)</f>
        <v>0</v>
      </c>
      <c r="E13" s="80" t="s">
        <v>80</v>
      </c>
      <c r="F13" s="76" t="s">
        <v>33</v>
      </c>
      <c r="G13" s="62">
        <v>0</v>
      </c>
      <c r="H13" s="27">
        <f t="shared" si="0"/>
        <v>0</v>
      </c>
    </row>
    <row r="14" spans="1:16" x14ac:dyDescent="0.4">
      <c r="A14" s="69" t="s">
        <v>132</v>
      </c>
      <c r="B14" s="61">
        <v>0</v>
      </c>
      <c r="C14" s="24">
        <f>IF(B$12=0,0,B14/B$12)</f>
        <v>0</v>
      </c>
      <c r="E14" s="80" t="s">
        <v>81</v>
      </c>
      <c r="F14" s="76" t="s">
        <v>34</v>
      </c>
      <c r="G14" s="62">
        <v>0</v>
      </c>
      <c r="H14" s="27">
        <f t="shared" si="0"/>
        <v>0</v>
      </c>
    </row>
    <row r="15" spans="1:16" x14ac:dyDescent="0.4">
      <c r="A15" s="69" t="s">
        <v>133</v>
      </c>
      <c r="B15" s="61">
        <v>0</v>
      </c>
      <c r="C15" s="24">
        <f>IF(B$13=0,0,B15/B$13)</f>
        <v>0</v>
      </c>
      <c r="E15" s="80" t="s">
        <v>82</v>
      </c>
      <c r="F15" s="76" t="s">
        <v>35</v>
      </c>
      <c r="G15" s="62">
        <v>0</v>
      </c>
      <c r="H15" s="27">
        <f t="shared" si="0"/>
        <v>0</v>
      </c>
    </row>
    <row r="16" spans="1:16" x14ac:dyDescent="0.4">
      <c r="A16" s="69" t="s">
        <v>10</v>
      </c>
      <c r="B16" s="61">
        <f>B17+B18</f>
        <v>0</v>
      </c>
      <c r="C16" s="24">
        <f>IF(B$3=0,0,B16/B$3)</f>
        <v>0</v>
      </c>
      <c r="E16" s="80" t="s">
        <v>83</v>
      </c>
      <c r="F16" s="76" t="s">
        <v>36</v>
      </c>
      <c r="G16" s="62">
        <v>0</v>
      </c>
      <c r="H16" s="27">
        <f t="shared" si="0"/>
        <v>0</v>
      </c>
    </row>
    <row r="17" spans="1:8" x14ac:dyDescent="0.4">
      <c r="A17" s="70" t="s">
        <v>11</v>
      </c>
      <c r="B17" s="62">
        <v>0</v>
      </c>
      <c r="C17" s="27">
        <f>IF(B$3=0,0,B17/B$3)</f>
        <v>0</v>
      </c>
      <c r="E17" s="80" t="s">
        <v>84</v>
      </c>
      <c r="F17" s="76" t="s">
        <v>37</v>
      </c>
      <c r="G17" s="62">
        <v>0</v>
      </c>
      <c r="H17" s="27">
        <f t="shared" si="0"/>
        <v>0</v>
      </c>
    </row>
    <row r="18" spans="1:8" x14ac:dyDescent="0.4">
      <c r="A18" s="70" t="s">
        <v>12</v>
      </c>
      <c r="B18" s="62">
        <v>0</v>
      </c>
      <c r="C18" s="27">
        <f>IF(B$3=0,0,B18/B$3)</f>
        <v>0</v>
      </c>
      <c r="E18" s="80" t="s">
        <v>85</v>
      </c>
      <c r="F18" s="76" t="s">
        <v>38</v>
      </c>
      <c r="G18" s="62">
        <v>0</v>
      </c>
      <c r="H18" s="27">
        <f t="shared" si="0"/>
        <v>0</v>
      </c>
    </row>
    <row r="19" spans="1:8" x14ac:dyDescent="0.4">
      <c r="A19" s="70" t="s">
        <v>13</v>
      </c>
      <c r="B19" s="62">
        <v>0</v>
      </c>
      <c r="C19" s="27">
        <f>IF(B$3=0,0,B19/B$3)</f>
        <v>0</v>
      </c>
      <c r="E19" s="80" t="s">
        <v>86</v>
      </c>
      <c r="F19" s="76" t="s">
        <v>39</v>
      </c>
      <c r="G19" s="62">
        <v>0</v>
      </c>
      <c r="H19" s="27">
        <f t="shared" si="0"/>
        <v>0</v>
      </c>
    </row>
    <row r="20" spans="1:8" x14ac:dyDescent="0.4">
      <c r="A20" s="70" t="s">
        <v>5</v>
      </c>
      <c r="B20" s="66">
        <f>IF(B$16=0,0,C20/B$16)</f>
        <v>0</v>
      </c>
      <c r="C20" s="30">
        <v>0</v>
      </c>
      <c r="E20" s="80" t="s">
        <v>87</v>
      </c>
      <c r="F20" s="76" t="s">
        <v>40</v>
      </c>
      <c r="G20" s="62">
        <v>0</v>
      </c>
      <c r="H20" s="27">
        <f t="shared" si="0"/>
        <v>0</v>
      </c>
    </row>
    <row r="21" spans="1:8" x14ac:dyDescent="0.4">
      <c r="A21" s="72" t="s">
        <v>14</v>
      </c>
      <c r="B21" s="67">
        <f>IF(B$19=0,0,C21/B$19)</f>
        <v>0</v>
      </c>
      <c r="C21" s="60">
        <v>0</v>
      </c>
      <c r="E21" s="80" t="s">
        <v>88</v>
      </c>
      <c r="F21" s="76" t="s">
        <v>41</v>
      </c>
      <c r="G21" s="62">
        <v>0</v>
      </c>
      <c r="H21" s="27">
        <f t="shared" si="0"/>
        <v>0</v>
      </c>
    </row>
    <row r="22" spans="1:8" x14ac:dyDescent="0.4">
      <c r="A22" s="69" t="s">
        <v>198</v>
      </c>
      <c r="B22" s="61">
        <v>0</v>
      </c>
      <c r="C22" s="24">
        <f>IF(B$3=0,0,B22/B$3)</f>
        <v>0</v>
      </c>
      <c r="E22" s="80" t="s">
        <v>89</v>
      </c>
      <c r="F22" s="76" t="s">
        <v>42</v>
      </c>
      <c r="G22" s="62">
        <v>0</v>
      </c>
      <c r="H22" s="27">
        <f t="shared" si="0"/>
        <v>0</v>
      </c>
    </row>
    <row r="23" spans="1:8" x14ac:dyDescent="0.4">
      <c r="A23" s="72" t="s">
        <v>199</v>
      </c>
      <c r="B23" s="64">
        <v>0</v>
      </c>
      <c r="C23" s="32">
        <f>IF(B$22=0,0,B23/B$22)</f>
        <v>0</v>
      </c>
      <c r="E23" s="80" t="s">
        <v>90</v>
      </c>
      <c r="F23" s="76" t="s">
        <v>43</v>
      </c>
      <c r="G23" s="62">
        <v>0</v>
      </c>
      <c r="H23" s="27">
        <f t="shared" si="0"/>
        <v>0</v>
      </c>
    </row>
    <row r="24" spans="1:8" x14ac:dyDescent="0.4">
      <c r="A24" s="69" t="s">
        <v>128</v>
      </c>
      <c r="B24" s="84">
        <v>0</v>
      </c>
      <c r="C24" s="85"/>
      <c r="E24" s="80" t="s">
        <v>91</v>
      </c>
      <c r="F24" s="76" t="s">
        <v>44</v>
      </c>
      <c r="G24" s="62">
        <v>0</v>
      </c>
      <c r="H24" s="27">
        <f t="shared" si="0"/>
        <v>0</v>
      </c>
    </row>
    <row r="25" spans="1:8" x14ac:dyDescent="0.4">
      <c r="A25" s="72" t="s">
        <v>129</v>
      </c>
      <c r="B25" s="86">
        <v>0</v>
      </c>
      <c r="C25" s="87"/>
      <c r="E25" s="80" t="s">
        <v>92</v>
      </c>
      <c r="F25" s="76" t="s">
        <v>45</v>
      </c>
      <c r="G25" s="62">
        <v>0</v>
      </c>
      <c r="H25" s="27">
        <f t="shared" si="0"/>
        <v>0</v>
      </c>
    </row>
    <row r="26" spans="1:8" x14ac:dyDescent="0.4">
      <c r="E26" s="80" t="s">
        <v>93</v>
      </c>
      <c r="F26" s="76" t="s">
        <v>46</v>
      </c>
      <c r="G26" s="62">
        <v>0</v>
      </c>
      <c r="H26" s="27">
        <f t="shared" si="0"/>
        <v>0</v>
      </c>
    </row>
    <row r="27" spans="1:8" x14ac:dyDescent="0.4">
      <c r="E27" s="80" t="s">
        <v>94</v>
      </c>
      <c r="F27" s="76" t="s">
        <v>47</v>
      </c>
      <c r="G27" s="62">
        <v>0</v>
      </c>
      <c r="H27" s="27">
        <f t="shared" si="0"/>
        <v>0</v>
      </c>
    </row>
    <row r="28" spans="1:8" x14ac:dyDescent="0.4">
      <c r="E28" s="80" t="s">
        <v>95</v>
      </c>
      <c r="F28" s="76" t="s">
        <v>48</v>
      </c>
      <c r="G28" s="62">
        <v>0</v>
      </c>
      <c r="H28" s="27">
        <f t="shared" si="0"/>
        <v>0</v>
      </c>
    </row>
    <row r="29" spans="1:8" x14ac:dyDescent="0.4">
      <c r="E29" s="80" t="s">
        <v>96</v>
      </c>
      <c r="F29" s="76" t="s">
        <v>49</v>
      </c>
      <c r="G29" s="62">
        <v>0</v>
      </c>
      <c r="H29" s="27">
        <f t="shared" si="0"/>
        <v>0</v>
      </c>
    </row>
    <row r="30" spans="1:8" x14ac:dyDescent="0.4">
      <c r="E30" s="80" t="s">
        <v>97</v>
      </c>
      <c r="F30" s="76" t="s">
        <v>50</v>
      </c>
      <c r="G30" s="62">
        <v>0</v>
      </c>
      <c r="H30" s="27">
        <f t="shared" si="0"/>
        <v>0</v>
      </c>
    </row>
    <row r="31" spans="1:8" x14ac:dyDescent="0.4">
      <c r="E31" s="80" t="s">
        <v>98</v>
      </c>
      <c r="F31" s="76" t="s">
        <v>51</v>
      </c>
      <c r="G31" s="62">
        <v>0</v>
      </c>
      <c r="H31" s="27">
        <f t="shared" si="0"/>
        <v>0</v>
      </c>
    </row>
    <row r="32" spans="1:8" x14ac:dyDescent="0.4">
      <c r="E32" s="80" t="s">
        <v>99</v>
      </c>
      <c r="F32" s="76" t="s">
        <v>52</v>
      </c>
      <c r="G32" s="62">
        <v>0</v>
      </c>
      <c r="H32" s="27">
        <f t="shared" si="0"/>
        <v>0</v>
      </c>
    </row>
    <row r="33" spans="5:8" x14ac:dyDescent="0.4">
      <c r="E33" s="80" t="s">
        <v>100</v>
      </c>
      <c r="F33" s="76" t="s">
        <v>53</v>
      </c>
      <c r="G33" s="62">
        <v>0</v>
      </c>
      <c r="H33" s="27">
        <f t="shared" si="0"/>
        <v>0</v>
      </c>
    </row>
    <row r="34" spans="5:8" x14ac:dyDescent="0.4">
      <c r="E34" s="80" t="s">
        <v>101</v>
      </c>
      <c r="F34" s="76" t="s">
        <v>54</v>
      </c>
      <c r="G34" s="62">
        <v>0</v>
      </c>
      <c r="H34" s="27">
        <f t="shared" ref="H34:H51" si="3">IF(B$25=0,0,G34/B$25)</f>
        <v>0</v>
      </c>
    </row>
    <row r="35" spans="5:8" x14ac:dyDescent="0.4">
      <c r="E35" s="80" t="s">
        <v>102</v>
      </c>
      <c r="F35" s="76" t="s">
        <v>55</v>
      </c>
      <c r="G35" s="62">
        <v>0</v>
      </c>
      <c r="H35" s="27">
        <f t="shared" si="3"/>
        <v>0</v>
      </c>
    </row>
    <row r="36" spans="5:8" x14ac:dyDescent="0.4">
      <c r="E36" s="80" t="s">
        <v>103</v>
      </c>
      <c r="F36" s="76" t="s">
        <v>56</v>
      </c>
      <c r="G36" s="62">
        <v>0</v>
      </c>
      <c r="H36" s="27">
        <f t="shared" si="3"/>
        <v>0</v>
      </c>
    </row>
    <row r="37" spans="5:8" x14ac:dyDescent="0.4">
      <c r="E37" s="80" t="s">
        <v>104</v>
      </c>
      <c r="F37" s="76" t="s">
        <v>57</v>
      </c>
      <c r="G37" s="62">
        <v>0</v>
      </c>
      <c r="H37" s="27">
        <f t="shared" si="3"/>
        <v>0</v>
      </c>
    </row>
    <row r="38" spans="5:8" x14ac:dyDescent="0.4">
      <c r="E38" s="80" t="s">
        <v>105</v>
      </c>
      <c r="F38" s="76" t="s">
        <v>58</v>
      </c>
      <c r="G38" s="62">
        <v>0</v>
      </c>
      <c r="H38" s="27">
        <f t="shared" si="3"/>
        <v>0</v>
      </c>
    </row>
    <row r="39" spans="5:8" x14ac:dyDescent="0.4">
      <c r="E39" s="80" t="s">
        <v>106</v>
      </c>
      <c r="F39" s="76" t="s">
        <v>59</v>
      </c>
      <c r="G39" s="62">
        <v>0</v>
      </c>
      <c r="H39" s="27">
        <f t="shared" si="3"/>
        <v>0</v>
      </c>
    </row>
    <row r="40" spans="5:8" x14ac:dyDescent="0.4">
      <c r="E40" s="80" t="s">
        <v>107</v>
      </c>
      <c r="F40" s="76" t="s">
        <v>60</v>
      </c>
      <c r="G40" s="62">
        <v>0</v>
      </c>
      <c r="H40" s="27">
        <f t="shared" si="3"/>
        <v>0</v>
      </c>
    </row>
    <row r="41" spans="5:8" x14ac:dyDescent="0.4">
      <c r="E41" s="80" t="s">
        <v>108</v>
      </c>
      <c r="F41" s="76" t="s">
        <v>61</v>
      </c>
      <c r="G41" s="62">
        <v>0</v>
      </c>
      <c r="H41" s="27">
        <f t="shared" si="3"/>
        <v>0</v>
      </c>
    </row>
    <row r="42" spans="5:8" x14ac:dyDescent="0.4">
      <c r="E42" s="80" t="s">
        <v>109</v>
      </c>
      <c r="F42" s="76" t="s">
        <v>62</v>
      </c>
      <c r="G42" s="62">
        <v>0</v>
      </c>
      <c r="H42" s="27">
        <f t="shared" si="3"/>
        <v>0</v>
      </c>
    </row>
    <row r="43" spans="5:8" x14ac:dyDescent="0.4">
      <c r="E43" s="80" t="s">
        <v>110</v>
      </c>
      <c r="F43" s="76" t="s">
        <v>63</v>
      </c>
      <c r="G43" s="62">
        <v>0</v>
      </c>
      <c r="H43" s="27">
        <f t="shared" si="3"/>
        <v>0</v>
      </c>
    </row>
    <row r="44" spans="5:8" x14ac:dyDescent="0.4">
      <c r="E44" s="80" t="s">
        <v>111</v>
      </c>
      <c r="F44" s="76" t="s">
        <v>64</v>
      </c>
      <c r="G44" s="62">
        <v>0</v>
      </c>
      <c r="H44" s="27">
        <f t="shared" si="3"/>
        <v>0</v>
      </c>
    </row>
    <row r="45" spans="5:8" x14ac:dyDescent="0.4">
      <c r="E45" s="80" t="s">
        <v>112</v>
      </c>
      <c r="F45" s="76" t="s">
        <v>119</v>
      </c>
      <c r="G45" s="62">
        <v>0</v>
      </c>
      <c r="H45" s="27">
        <f t="shared" si="3"/>
        <v>0</v>
      </c>
    </row>
    <row r="46" spans="5:8" x14ac:dyDescent="0.4">
      <c r="E46" s="80" t="s">
        <v>113</v>
      </c>
      <c r="F46" s="76" t="s">
        <v>120</v>
      </c>
      <c r="G46" s="62">
        <v>0</v>
      </c>
      <c r="H46" s="27">
        <f t="shared" si="3"/>
        <v>0</v>
      </c>
    </row>
    <row r="47" spans="5:8" x14ac:dyDescent="0.4">
      <c r="E47" s="80" t="s">
        <v>114</v>
      </c>
      <c r="F47" s="76" t="s">
        <v>121</v>
      </c>
      <c r="G47" s="62">
        <v>0</v>
      </c>
      <c r="H47" s="27">
        <f t="shared" si="3"/>
        <v>0</v>
      </c>
    </row>
    <row r="48" spans="5:8" x14ac:dyDescent="0.4">
      <c r="E48" s="80" t="s">
        <v>115</v>
      </c>
      <c r="F48" s="76" t="s">
        <v>65</v>
      </c>
      <c r="G48" s="62">
        <v>0</v>
      </c>
      <c r="H48" s="27">
        <f t="shared" si="3"/>
        <v>0</v>
      </c>
    </row>
    <row r="49" spans="5:8" x14ac:dyDescent="0.4">
      <c r="E49" s="80" t="s">
        <v>116</v>
      </c>
      <c r="F49" s="76" t="s">
        <v>66</v>
      </c>
      <c r="G49" s="62">
        <v>0</v>
      </c>
      <c r="H49" s="27">
        <f t="shared" si="3"/>
        <v>0</v>
      </c>
    </row>
    <row r="50" spans="5:8" x14ac:dyDescent="0.4">
      <c r="E50" s="80" t="s">
        <v>117</v>
      </c>
      <c r="F50" s="76" t="s">
        <v>67</v>
      </c>
      <c r="G50" s="62">
        <v>0</v>
      </c>
      <c r="H50" s="27">
        <f t="shared" si="3"/>
        <v>0</v>
      </c>
    </row>
    <row r="51" spans="5:8" x14ac:dyDescent="0.4">
      <c r="E51" s="81" t="s">
        <v>118</v>
      </c>
      <c r="F51" s="77" t="s">
        <v>68</v>
      </c>
      <c r="G51" s="64">
        <v>0</v>
      </c>
      <c r="H51" s="32">
        <f t="shared" si="3"/>
        <v>0</v>
      </c>
    </row>
  </sheetData>
  <mergeCells count="8"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32"/>
  <sheetViews>
    <sheetView workbookViewId="0"/>
  </sheetViews>
  <sheetFormatPr defaultRowHeight="18.75" x14ac:dyDescent="0.4"/>
  <cols>
    <col min="1" max="1" width="16.375" style="41" bestFit="1" customWidth="1"/>
    <col min="2" max="2" width="16.875" style="44" bestFit="1" customWidth="1"/>
    <col min="3" max="3" width="9" style="47"/>
    <col min="4" max="16384" width="9" style="36"/>
  </cols>
  <sheetData>
    <row r="1" spans="1:14" s="38" customFormat="1" x14ac:dyDescent="0.4">
      <c r="A1" s="39" t="s">
        <v>186</v>
      </c>
      <c r="B1" s="42" t="s">
        <v>187</v>
      </c>
      <c r="C1" s="45" t="s">
        <v>188</v>
      </c>
    </row>
    <row r="2" spans="1:14" s="37" customFormat="1" x14ac:dyDescent="0.4">
      <c r="A2" s="40" t="s">
        <v>136</v>
      </c>
      <c r="B2" s="43">
        <v>43454.62740740741</v>
      </c>
      <c r="C2" s="46" t="s">
        <v>174</v>
      </c>
    </row>
    <row r="3" spans="1:14" x14ac:dyDescent="0.4">
      <c r="A3" s="41" t="s">
        <v>140</v>
      </c>
      <c r="B3" s="44">
        <v>43454.62740740741</v>
      </c>
      <c r="C3" s="47" t="s">
        <v>174</v>
      </c>
    </row>
    <row r="4" spans="1:14" x14ac:dyDescent="0.4">
      <c r="A4" s="41" t="s">
        <v>143</v>
      </c>
      <c r="B4" s="44">
        <v>43454.62740740741</v>
      </c>
      <c r="C4" s="47" t="s">
        <v>174</v>
      </c>
    </row>
    <row r="5" spans="1:14" x14ac:dyDescent="0.4">
      <c r="A5" s="41" t="s">
        <v>144</v>
      </c>
      <c r="B5" s="44">
        <v>43454.62740740741</v>
      </c>
      <c r="C5" s="47" t="s">
        <v>174</v>
      </c>
      <c r="D5" s="36" t="s">
        <v>175</v>
      </c>
      <c r="E5" s="36" t="s">
        <v>176</v>
      </c>
      <c r="F5" s="36" t="s">
        <v>177</v>
      </c>
      <c r="G5" s="36" t="s">
        <v>178</v>
      </c>
    </row>
    <row r="6" spans="1:14" x14ac:dyDescent="0.4">
      <c r="A6" s="41" t="s">
        <v>146</v>
      </c>
      <c r="B6" s="44">
        <v>43454.62740740741</v>
      </c>
      <c r="C6" s="47" t="s">
        <v>174</v>
      </c>
    </row>
    <row r="7" spans="1:14" x14ac:dyDescent="0.4">
      <c r="A7" s="41" t="s">
        <v>147</v>
      </c>
      <c r="B7" s="44">
        <v>43454.62740740741</v>
      </c>
      <c r="C7" s="47" t="s">
        <v>174</v>
      </c>
      <c r="D7" s="36" t="s">
        <v>175</v>
      </c>
      <c r="E7" s="36" t="s">
        <v>176</v>
      </c>
    </row>
    <row r="8" spans="1:14" x14ac:dyDescent="0.4">
      <c r="A8" s="41" t="s">
        <v>150</v>
      </c>
      <c r="B8" s="44">
        <v>43454.62740740741</v>
      </c>
      <c r="C8" s="47" t="s">
        <v>174</v>
      </c>
      <c r="D8" s="36" t="s">
        <v>175</v>
      </c>
    </row>
    <row r="9" spans="1:14" x14ac:dyDescent="0.4">
      <c r="A9" s="41" t="s">
        <v>151</v>
      </c>
      <c r="B9" s="44">
        <v>43454.62740740741</v>
      </c>
      <c r="C9" s="47" t="s">
        <v>174</v>
      </c>
      <c r="D9" s="36" t="s">
        <v>175</v>
      </c>
      <c r="E9" s="36" t="s">
        <v>176</v>
      </c>
      <c r="F9" s="36" t="s">
        <v>177</v>
      </c>
    </row>
    <row r="10" spans="1:14" x14ac:dyDescent="0.4">
      <c r="A10" s="41" t="s">
        <v>152</v>
      </c>
      <c r="B10" s="44">
        <v>43454.62740740741</v>
      </c>
      <c r="C10" s="47" t="s">
        <v>174</v>
      </c>
      <c r="D10" s="36" t="s">
        <v>175</v>
      </c>
      <c r="E10" s="36" t="s">
        <v>176</v>
      </c>
    </row>
    <row r="11" spans="1:14" x14ac:dyDescent="0.4">
      <c r="A11" s="41" t="s">
        <v>153</v>
      </c>
      <c r="B11" s="44">
        <v>43454.62740740741</v>
      </c>
      <c r="C11" s="47" t="s">
        <v>174</v>
      </c>
      <c r="D11" s="36" t="s">
        <v>175</v>
      </c>
      <c r="E11" s="36" t="s">
        <v>176</v>
      </c>
      <c r="F11" s="36" t="s">
        <v>177</v>
      </c>
      <c r="G11" s="36" t="s">
        <v>178</v>
      </c>
      <c r="H11" s="36" t="s">
        <v>179</v>
      </c>
      <c r="I11" s="36" t="s">
        <v>180</v>
      </c>
    </row>
    <row r="12" spans="1:14" x14ac:dyDescent="0.4">
      <c r="A12" s="41" t="s">
        <v>154</v>
      </c>
      <c r="B12" s="44">
        <v>43454.62740740741</v>
      </c>
      <c r="C12" s="47" t="s">
        <v>174</v>
      </c>
      <c r="D12" s="36" t="s">
        <v>175</v>
      </c>
    </row>
    <row r="13" spans="1:14" x14ac:dyDescent="0.4">
      <c r="A13" s="41" t="s">
        <v>155</v>
      </c>
      <c r="B13" s="44">
        <v>43454.62740740741</v>
      </c>
      <c r="C13" s="47" t="s">
        <v>174</v>
      </c>
      <c r="D13" s="36" t="s">
        <v>175</v>
      </c>
      <c r="E13" s="36" t="s">
        <v>176</v>
      </c>
      <c r="F13" s="36" t="s">
        <v>177</v>
      </c>
      <c r="G13" s="36" t="s">
        <v>178</v>
      </c>
      <c r="H13" s="36" t="s">
        <v>179</v>
      </c>
      <c r="I13" s="36" t="s">
        <v>180</v>
      </c>
      <c r="J13" s="36" t="s">
        <v>181</v>
      </c>
      <c r="K13" s="36" t="s">
        <v>182</v>
      </c>
      <c r="L13" s="36" t="s">
        <v>183</v>
      </c>
      <c r="M13" s="36" t="s">
        <v>184</v>
      </c>
      <c r="N13" s="36" t="s">
        <v>185</v>
      </c>
    </row>
    <row r="14" spans="1:14" x14ac:dyDescent="0.4">
      <c r="A14" s="41" t="s">
        <v>157</v>
      </c>
      <c r="B14" s="44">
        <v>43454.62740740741</v>
      </c>
      <c r="C14" s="47" t="s">
        <v>174</v>
      </c>
      <c r="D14" s="36" t="s">
        <v>175</v>
      </c>
      <c r="E14" s="36" t="s">
        <v>176</v>
      </c>
    </row>
    <row r="15" spans="1:14" x14ac:dyDescent="0.4">
      <c r="A15" s="41" t="s">
        <v>158</v>
      </c>
      <c r="B15" s="44">
        <v>43454.62740740741</v>
      </c>
      <c r="C15" s="47" t="s">
        <v>174</v>
      </c>
      <c r="D15" s="36" t="s">
        <v>175</v>
      </c>
      <c r="E15" s="36" t="s">
        <v>176</v>
      </c>
    </row>
    <row r="16" spans="1:14" x14ac:dyDescent="0.4">
      <c r="A16" s="41" t="s">
        <v>159</v>
      </c>
      <c r="B16" s="44">
        <v>43454.62740740741</v>
      </c>
      <c r="C16" s="47" t="s">
        <v>174</v>
      </c>
      <c r="D16" s="36" t="s">
        <v>175</v>
      </c>
      <c r="E16" s="36" t="s">
        <v>176</v>
      </c>
    </row>
    <row r="17" spans="1:9" x14ac:dyDescent="0.4">
      <c r="A17" s="41" t="s">
        <v>161</v>
      </c>
      <c r="B17" s="44">
        <v>43471.701018518521</v>
      </c>
      <c r="C17" s="47" t="s">
        <v>174</v>
      </c>
      <c r="D17" s="36" t="s">
        <v>175</v>
      </c>
      <c r="E17" s="36" t="s">
        <v>176</v>
      </c>
      <c r="F17" s="36" t="s">
        <v>177</v>
      </c>
      <c r="G17" s="36" t="s">
        <v>178</v>
      </c>
      <c r="H17" s="36" t="s">
        <v>179</v>
      </c>
    </row>
    <row r="18" spans="1:9" x14ac:dyDescent="0.4">
      <c r="A18" s="41" t="s">
        <v>162</v>
      </c>
      <c r="B18" s="44">
        <v>43454.62740740741</v>
      </c>
      <c r="C18" s="47" t="s">
        <v>174</v>
      </c>
      <c r="D18" s="36" t="s">
        <v>175</v>
      </c>
      <c r="E18" s="36" t="s">
        <v>176</v>
      </c>
      <c r="F18" s="36" t="s">
        <v>177</v>
      </c>
      <c r="G18" s="36" t="s">
        <v>178</v>
      </c>
      <c r="H18" s="36" t="s">
        <v>179</v>
      </c>
    </row>
    <row r="19" spans="1:9" x14ac:dyDescent="0.4">
      <c r="A19" s="41" t="s">
        <v>163</v>
      </c>
      <c r="B19" s="44">
        <v>43454.62740740741</v>
      </c>
      <c r="C19" s="47" t="s">
        <v>174</v>
      </c>
      <c r="D19" s="36" t="s">
        <v>175</v>
      </c>
    </row>
    <row r="20" spans="1:9" x14ac:dyDescent="0.4">
      <c r="A20" s="41" t="s">
        <v>164</v>
      </c>
      <c r="B20" s="44">
        <v>43471.701018518521</v>
      </c>
      <c r="C20" s="47" t="s">
        <v>174</v>
      </c>
      <c r="D20" s="36" t="s">
        <v>175</v>
      </c>
      <c r="E20" s="36" t="s">
        <v>176</v>
      </c>
    </row>
    <row r="21" spans="1:9" x14ac:dyDescent="0.4">
      <c r="A21" s="41" t="s">
        <v>165</v>
      </c>
      <c r="B21" s="44">
        <v>43454.62740740741</v>
      </c>
      <c r="C21" s="47" t="s">
        <v>174</v>
      </c>
      <c r="D21" s="36" t="s">
        <v>175</v>
      </c>
      <c r="E21" s="36" t="s">
        <v>176</v>
      </c>
      <c r="F21" s="36" t="s">
        <v>177</v>
      </c>
    </row>
    <row r="22" spans="1:9" x14ac:dyDescent="0.4">
      <c r="A22" s="41" t="s">
        <v>166</v>
      </c>
      <c r="B22" s="44">
        <v>43454.62740740741</v>
      </c>
      <c r="C22" s="47" t="s">
        <v>174</v>
      </c>
      <c r="D22" s="36" t="s">
        <v>175</v>
      </c>
      <c r="E22" s="36" t="s">
        <v>176</v>
      </c>
      <c r="F22" s="36" t="s">
        <v>177</v>
      </c>
    </row>
    <row r="23" spans="1:9" x14ac:dyDescent="0.4">
      <c r="A23" s="41" t="s">
        <v>167</v>
      </c>
      <c r="B23" s="44">
        <v>43454.62740740741</v>
      </c>
      <c r="C23" s="47" t="s">
        <v>174</v>
      </c>
      <c r="D23" s="36" t="s">
        <v>175</v>
      </c>
      <c r="E23" s="36" t="s">
        <v>176</v>
      </c>
      <c r="F23" s="36" t="s">
        <v>177</v>
      </c>
      <c r="G23" s="36" t="s">
        <v>178</v>
      </c>
      <c r="H23" s="36" t="s">
        <v>179</v>
      </c>
      <c r="I23" s="36" t="s">
        <v>180</v>
      </c>
    </row>
    <row r="24" spans="1:9" x14ac:dyDescent="0.4">
      <c r="A24" s="41" t="s">
        <v>168</v>
      </c>
      <c r="B24" s="44">
        <v>43454.62740740741</v>
      </c>
      <c r="C24" s="47" t="s">
        <v>174</v>
      </c>
      <c r="D24" s="36" t="s">
        <v>175</v>
      </c>
      <c r="E24" s="36" t="s">
        <v>176</v>
      </c>
    </row>
    <row r="25" spans="1:9" x14ac:dyDescent="0.4">
      <c r="A25" s="41" t="s">
        <v>169</v>
      </c>
      <c r="B25" s="44">
        <v>43454.62740740741</v>
      </c>
      <c r="C25" s="47" t="s">
        <v>174</v>
      </c>
      <c r="D25" s="36" t="s">
        <v>175</v>
      </c>
      <c r="E25" s="36" t="s">
        <v>176</v>
      </c>
      <c r="F25" s="36" t="s">
        <v>177</v>
      </c>
      <c r="G25" s="36" t="s">
        <v>178</v>
      </c>
      <c r="H25" s="36" t="s">
        <v>179</v>
      </c>
    </row>
    <row r="26" spans="1:9" x14ac:dyDescent="0.4">
      <c r="A26" s="41" t="s">
        <v>170</v>
      </c>
      <c r="B26" s="44">
        <v>43454.62740740741</v>
      </c>
      <c r="C26" s="47" t="s">
        <v>174</v>
      </c>
      <c r="D26" s="36" t="s">
        <v>175</v>
      </c>
    </row>
    <row r="27" spans="1:9" x14ac:dyDescent="0.4">
      <c r="A27" s="41" t="s">
        <v>171</v>
      </c>
      <c r="B27" s="44">
        <v>43454.62740740741</v>
      </c>
      <c r="C27" s="47" t="s">
        <v>174</v>
      </c>
      <c r="D27" s="36" t="s">
        <v>175</v>
      </c>
    </row>
    <row r="28" spans="1:9" x14ac:dyDescent="0.4">
      <c r="A28" s="41" t="s">
        <v>172</v>
      </c>
      <c r="B28" s="44">
        <v>43454.62740740741</v>
      </c>
      <c r="C28" s="47" t="s">
        <v>174</v>
      </c>
      <c r="D28" s="36" t="s">
        <v>175</v>
      </c>
      <c r="E28" s="36" t="s">
        <v>176</v>
      </c>
      <c r="F28" s="36" t="s">
        <v>177</v>
      </c>
    </row>
    <row r="29" spans="1:9" x14ac:dyDescent="0.4">
      <c r="A29" s="41" t="s">
        <v>173</v>
      </c>
      <c r="B29" s="44">
        <v>43455.084918981483</v>
      </c>
      <c r="C29" s="47" t="s">
        <v>174</v>
      </c>
      <c r="D29" s="36" t="s">
        <v>175</v>
      </c>
      <c r="E29" s="36" t="s">
        <v>176</v>
      </c>
      <c r="F29" s="36" t="s">
        <v>177</v>
      </c>
      <c r="G29" s="36" t="s">
        <v>178</v>
      </c>
      <c r="H29" s="36" t="s">
        <v>179</v>
      </c>
    </row>
    <row r="30" spans="1:9" x14ac:dyDescent="0.4">
      <c r="A30" s="41" t="s">
        <v>197</v>
      </c>
      <c r="B30" s="44">
        <v>43456.147789351853</v>
      </c>
      <c r="C30" s="47" t="s">
        <v>174</v>
      </c>
      <c r="D30" s="36" t="s">
        <v>175</v>
      </c>
      <c r="E30" s="36" t="s">
        <v>176</v>
      </c>
      <c r="F30" s="36" t="s">
        <v>177</v>
      </c>
      <c r="G30" s="36" t="s">
        <v>178</v>
      </c>
    </row>
    <row r="31" spans="1:9" x14ac:dyDescent="0.4">
      <c r="A31" s="41" t="s">
        <v>214</v>
      </c>
      <c r="B31" s="44">
        <v>43471.8909375</v>
      </c>
      <c r="C31" s="47" t="s">
        <v>174</v>
      </c>
      <c r="D31" s="36" t="s">
        <v>175</v>
      </c>
      <c r="E31" s="36" t="s">
        <v>176</v>
      </c>
      <c r="F31" s="36" t="s">
        <v>177</v>
      </c>
    </row>
    <row r="32" spans="1:9" x14ac:dyDescent="0.4">
      <c r="A32" s="41" t="s">
        <v>215</v>
      </c>
      <c r="B32" s="44">
        <v>43475.056238425925</v>
      </c>
      <c r="C32" s="47" t="s">
        <v>174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ランキング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2019-01-09T16:21:09Z</dcterms:modified>
</cp:coreProperties>
</file>