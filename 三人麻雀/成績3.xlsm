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7F3642C2-2815-4BE1-AF83-0C85DCB49CAF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380" r:id="rId2"/>
    <sheet name="かこたろう" sheetId="2381" r:id="rId3"/>
    <sheet name="ともき" sheetId="2382" r:id="rId4"/>
    <sheet name="りくと" sheetId="2383" r:id="rId5"/>
    <sheet name="いっしー" sheetId="2384" r:id="rId6"/>
    <sheet name="がくと" sheetId="2385" r:id="rId7"/>
    <sheet name="たかの" sheetId="2386" r:id="rId8"/>
    <sheet name="ただ" sheetId="2387" r:id="rId9"/>
    <sheet name="やがさき" sheetId="2388" r:id="rId10"/>
    <sheet name="れんたろう" sheetId="2389" r:id="rId11"/>
    <sheet name="あさひ" sheetId="2390" r:id="rId12"/>
    <sheet name="まっつん" sheetId="2391" r:id="rId13"/>
    <sheet name="Template" sheetId="2228" state="hidden" r:id="rId14"/>
    <sheet name="Cache" sheetId="2227" state="hidden" r:id="rId15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391" l="1"/>
  <c r="H50" i="2391"/>
  <c r="H49" i="2391"/>
  <c r="H48" i="2391"/>
  <c r="H47" i="2391"/>
  <c r="H46" i="2391"/>
  <c r="H45" i="2391"/>
  <c r="H44" i="2391"/>
  <c r="H43" i="2391"/>
  <c r="H42" i="2391"/>
  <c r="H41" i="2391"/>
  <c r="H40" i="2391"/>
  <c r="H39" i="2391"/>
  <c r="H38" i="2391"/>
  <c r="H37" i="2391"/>
  <c r="H36" i="2391"/>
  <c r="H35" i="2391"/>
  <c r="H34" i="2391"/>
  <c r="H33" i="2391"/>
  <c r="H32" i="2391"/>
  <c r="H31" i="2391"/>
  <c r="H30" i="2391"/>
  <c r="H29" i="2391"/>
  <c r="H28" i="2391"/>
  <c r="H27" i="2391"/>
  <c r="H26" i="2391"/>
  <c r="H25" i="2391"/>
  <c r="H24" i="2391"/>
  <c r="H23" i="2391"/>
  <c r="C23" i="2391"/>
  <c r="H22" i="2391"/>
  <c r="C22" i="2391"/>
  <c r="H21" i="2391"/>
  <c r="B21" i="2391"/>
  <c r="H20" i="2391"/>
  <c r="H19" i="2391"/>
  <c r="C19" i="2391"/>
  <c r="H18" i="2391"/>
  <c r="C18" i="2391"/>
  <c r="H17" i="2391"/>
  <c r="C17" i="2391"/>
  <c r="H16" i="2391"/>
  <c r="B16" i="2391"/>
  <c r="B20" i="2391" s="1"/>
  <c r="H15" i="2391"/>
  <c r="C15" i="2391"/>
  <c r="H14" i="2391"/>
  <c r="C14" i="2391"/>
  <c r="H13" i="2391"/>
  <c r="C13" i="2391"/>
  <c r="H12" i="2391"/>
  <c r="C12" i="2391"/>
  <c r="H4" i="2391"/>
  <c r="C11" i="2391"/>
  <c r="H11" i="2391"/>
  <c r="C10" i="2391"/>
  <c r="H10" i="2391"/>
  <c r="C9" i="2391"/>
  <c r="H9" i="2391"/>
  <c r="C8" i="2391"/>
  <c r="N7" i="2391"/>
  <c r="H8" i="2391"/>
  <c r="C7" i="2391"/>
  <c r="N6" i="2391"/>
  <c r="H2" i="2391"/>
  <c r="B6" i="2391"/>
  <c r="N5" i="2391"/>
  <c r="H7" i="2391"/>
  <c r="B5" i="2391"/>
  <c r="N4" i="2391"/>
  <c r="H3" i="2391"/>
  <c r="N3" i="2391"/>
  <c r="H6" i="2391"/>
  <c r="N2" i="2391"/>
  <c r="H5" i="2391"/>
  <c r="C16" i="2391" l="1"/>
  <c r="H51" i="2390" l="1"/>
  <c r="H50" i="2390"/>
  <c r="H49" i="2390"/>
  <c r="H48" i="2390"/>
  <c r="H47" i="2390"/>
  <c r="H46" i="2390"/>
  <c r="H45" i="2390"/>
  <c r="H44" i="2390"/>
  <c r="H43" i="2390"/>
  <c r="H42" i="2390"/>
  <c r="H41" i="2390"/>
  <c r="H40" i="2390"/>
  <c r="H39" i="2390"/>
  <c r="H38" i="2390"/>
  <c r="H37" i="2390"/>
  <c r="H36" i="2390"/>
  <c r="H35" i="2390"/>
  <c r="H34" i="2390"/>
  <c r="H33" i="2390"/>
  <c r="H32" i="2390"/>
  <c r="H14" i="2390"/>
  <c r="H31" i="2390"/>
  <c r="H9" i="2390"/>
  <c r="H30" i="2390"/>
  <c r="H29" i="2390"/>
  <c r="H8" i="2390"/>
  <c r="H28" i="2390"/>
  <c r="H27" i="2390"/>
  <c r="H26" i="2390"/>
  <c r="C23" i="2390"/>
  <c r="H25" i="2390"/>
  <c r="C22" i="2390"/>
  <c r="H24" i="2390"/>
  <c r="B21" i="2390"/>
  <c r="H23" i="2390"/>
  <c r="B20" i="2390"/>
  <c r="H22" i="2390"/>
  <c r="C19" i="2390"/>
  <c r="H21" i="2390"/>
  <c r="C18" i="2390"/>
  <c r="H20" i="2390"/>
  <c r="C17" i="2390"/>
  <c r="H19" i="2390"/>
  <c r="C16" i="2390"/>
  <c r="B16" i="2390"/>
  <c r="H18" i="2390"/>
  <c r="C15" i="2390"/>
  <c r="H17" i="2390"/>
  <c r="C14" i="2390"/>
  <c r="H16" i="2390"/>
  <c r="C13" i="2390"/>
  <c r="H15" i="2390"/>
  <c r="C12" i="2390"/>
  <c r="H6" i="2390"/>
  <c r="C11" i="2390"/>
  <c r="H13" i="2390"/>
  <c r="C10" i="2390"/>
  <c r="H7" i="2390"/>
  <c r="C9" i="2390"/>
  <c r="H10" i="2390"/>
  <c r="C8" i="2390"/>
  <c r="N7" i="2390"/>
  <c r="H12" i="2390"/>
  <c r="C7" i="2390"/>
  <c r="N6" i="2390"/>
  <c r="H3" i="2390"/>
  <c r="B6" i="2390"/>
  <c r="N5" i="2390"/>
  <c r="H4" i="2390"/>
  <c r="B5" i="2390"/>
  <c r="N4" i="2390"/>
  <c r="H5" i="2390"/>
  <c r="N3" i="2390"/>
  <c r="H11" i="2390"/>
  <c r="N2" i="2390"/>
  <c r="H2" i="2390"/>
  <c r="H51" i="2389" l="1"/>
  <c r="H50" i="2389"/>
  <c r="H49" i="2389"/>
  <c r="H48" i="2389"/>
  <c r="H47" i="2389"/>
  <c r="H46" i="2389"/>
  <c r="H45" i="2389"/>
  <c r="H44" i="2389"/>
  <c r="H43" i="2389"/>
  <c r="H42" i="2389"/>
  <c r="H41" i="2389"/>
  <c r="H40" i="2389"/>
  <c r="H39" i="2389"/>
  <c r="H38" i="2389"/>
  <c r="H37" i="2389"/>
  <c r="H36" i="2389"/>
  <c r="H35" i="2389"/>
  <c r="H34" i="2389"/>
  <c r="H18" i="2389"/>
  <c r="H33" i="2389"/>
  <c r="H32" i="2389"/>
  <c r="H31" i="2389"/>
  <c r="H8" i="2389"/>
  <c r="H30" i="2389"/>
  <c r="H29" i="2389"/>
  <c r="H14" i="2389"/>
  <c r="H28" i="2389"/>
  <c r="H27" i="2389"/>
  <c r="H13" i="2389"/>
  <c r="C23" i="2389"/>
  <c r="H26" i="2389"/>
  <c r="C22" i="2389"/>
  <c r="H16" i="2389"/>
  <c r="B21" i="2389"/>
  <c r="H25" i="2389"/>
  <c r="H24" i="2389"/>
  <c r="C19" i="2389"/>
  <c r="H23" i="2389"/>
  <c r="C18" i="2389"/>
  <c r="H11" i="2389"/>
  <c r="C17" i="2389"/>
  <c r="H22" i="2389"/>
  <c r="B16" i="2389"/>
  <c r="B20" i="2389" s="1"/>
  <c r="H21" i="2389"/>
  <c r="C15" i="2389"/>
  <c r="H17" i="2389"/>
  <c r="C14" i="2389"/>
  <c r="H20" i="2389"/>
  <c r="C13" i="2389"/>
  <c r="H15" i="2389"/>
  <c r="C12" i="2389"/>
  <c r="H3" i="2389"/>
  <c r="C11" i="2389"/>
  <c r="H19" i="2389"/>
  <c r="C10" i="2389"/>
  <c r="H10" i="2389"/>
  <c r="C9" i="2389"/>
  <c r="H9" i="2389"/>
  <c r="C8" i="2389"/>
  <c r="N7" i="2389"/>
  <c r="H7" i="2389"/>
  <c r="C7" i="2389"/>
  <c r="N6" i="2389"/>
  <c r="H2" i="2389"/>
  <c r="B6" i="2389"/>
  <c r="N5" i="2389"/>
  <c r="H6" i="2389"/>
  <c r="B5" i="2389"/>
  <c r="N4" i="2389"/>
  <c r="H4" i="2389"/>
  <c r="N3" i="2389"/>
  <c r="H12" i="2389"/>
  <c r="N2" i="2389"/>
  <c r="H5" i="2389"/>
  <c r="C16" i="2389" l="1"/>
  <c r="H51" i="2388" l="1"/>
  <c r="H50" i="2388"/>
  <c r="H49" i="2388"/>
  <c r="H48" i="2388"/>
  <c r="H47" i="2388"/>
  <c r="H46" i="2388"/>
  <c r="H45" i="2388"/>
  <c r="H44" i="2388"/>
  <c r="H43" i="2388"/>
  <c r="H42" i="2388"/>
  <c r="H41" i="2388"/>
  <c r="H40" i="2388"/>
  <c r="H39" i="2388"/>
  <c r="H38" i="2388"/>
  <c r="H37" i="2388"/>
  <c r="H36" i="2388"/>
  <c r="H35" i="2388"/>
  <c r="H34" i="2388"/>
  <c r="H33" i="2388"/>
  <c r="H32" i="2388"/>
  <c r="H31" i="2388"/>
  <c r="H30" i="2388"/>
  <c r="H29" i="2388"/>
  <c r="H28" i="2388"/>
  <c r="H27" i="2388"/>
  <c r="H26" i="2388"/>
  <c r="H25" i="2388"/>
  <c r="H24" i="2388"/>
  <c r="H23" i="2388"/>
  <c r="C23" i="2388"/>
  <c r="H22" i="2388"/>
  <c r="C22" i="2388"/>
  <c r="H21" i="2388"/>
  <c r="B21" i="2388"/>
  <c r="H20" i="2388"/>
  <c r="H19" i="2388"/>
  <c r="C19" i="2388"/>
  <c r="H18" i="2388"/>
  <c r="C18" i="2388"/>
  <c r="H17" i="2388"/>
  <c r="C17" i="2388"/>
  <c r="H16" i="2388"/>
  <c r="B16" i="2388"/>
  <c r="B20" i="2388" s="1"/>
  <c r="H15" i="2388"/>
  <c r="C15" i="2388"/>
  <c r="H14" i="2388"/>
  <c r="C14" i="2388"/>
  <c r="H13" i="2388"/>
  <c r="C13" i="2388"/>
  <c r="H12" i="2388"/>
  <c r="C12" i="2388"/>
  <c r="H11" i="2388"/>
  <c r="C11" i="2388"/>
  <c r="H10" i="2388"/>
  <c r="C10" i="2388"/>
  <c r="H9" i="2388"/>
  <c r="C9" i="2388"/>
  <c r="H8" i="2388"/>
  <c r="C8" i="2388"/>
  <c r="N7" i="2388"/>
  <c r="H7" i="2388"/>
  <c r="C7" i="2388"/>
  <c r="N6" i="2388"/>
  <c r="H6" i="2388"/>
  <c r="B6" i="2388"/>
  <c r="N5" i="2388"/>
  <c r="H5" i="2388"/>
  <c r="B5" i="2388"/>
  <c r="N4" i="2388"/>
  <c r="H4" i="2388"/>
  <c r="N3" i="2388"/>
  <c r="H3" i="2388"/>
  <c r="N2" i="2388"/>
  <c r="H2" i="2388"/>
  <c r="C16" i="2388" l="1"/>
  <c r="H51" i="2387" l="1"/>
  <c r="H50" i="2387"/>
  <c r="H49" i="2387"/>
  <c r="H48" i="2387"/>
  <c r="H47" i="2387"/>
  <c r="H46" i="2387"/>
  <c r="H45" i="2387"/>
  <c r="H44" i="2387"/>
  <c r="H43" i="2387"/>
  <c r="H42" i="2387"/>
  <c r="H41" i="2387"/>
  <c r="H40" i="2387"/>
  <c r="H39" i="2387"/>
  <c r="H38" i="2387"/>
  <c r="H37" i="2387"/>
  <c r="H36" i="2387"/>
  <c r="H35" i="2387"/>
  <c r="H34" i="2387"/>
  <c r="H33" i="2387"/>
  <c r="H32" i="2387"/>
  <c r="H18" i="2387"/>
  <c r="H31" i="2387"/>
  <c r="H10" i="2387"/>
  <c r="H30" i="2387"/>
  <c r="H29" i="2387"/>
  <c r="H13" i="2387"/>
  <c r="H28" i="2387"/>
  <c r="H27" i="2387"/>
  <c r="H17" i="2387"/>
  <c r="C23" i="2387"/>
  <c r="H26" i="2387"/>
  <c r="C22" i="2387"/>
  <c r="H16" i="2387"/>
  <c r="B21" i="2387"/>
  <c r="H25" i="2387"/>
  <c r="H24" i="2387"/>
  <c r="C19" i="2387"/>
  <c r="H23" i="2387"/>
  <c r="C18" i="2387"/>
  <c r="H14" i="2387"/>
  <c r="C17" i="2387"/>
  <c r="H22" i="2387"/>
  <c r="B16" i="2387"/>
  <c r="B20" i="2387" s="1"/>
  <c r="H21" i="2387"/>
  <c r="C15" i="2387"/>
  <c r="H20" i="2387"/>
  <c r="C14" i="2387"/>
  <c r="H15" i="2387"/>
  <c r="C13" i="2387"/>
  <c r="H19" i="2387"/>
  <c r="C12" i="2387"/>
  <c r="H5" i="2387"/>
  <c r="C11" i="2387"/>
  <c r="H12" i="2387"/>
  <c r="C10" i="2387"/>
  <c r="H11" i="2387"/>
  <c r="C9" i="2387"/>
  <c r="H8" i="2387"/>
  <c r="C8" i="2387"/>
  <c r="N7" i="2387"/>
  <c r="H7" i="2387"/>
  <c r="C7" i="2387"/>
  <c r="N6" i="2387"/>
  <c r="H3" i="2387"/>
  <c r="B6" i="2387"/>
  <c r="N5" i="2387"/>
  <c r="H6" i="2387"/>
  <c r="B5" i="2387"/>
  <c r="N4" i="2387"/>
  <c r="H2" i="2387"/>
  <c r="N3" i="2387"/>
  <c r="H9" i="2387"/>
  <c r="N2" i="2387"/>
  <c r="H4" i="2387"/>
  <c r="H51" i="2386"/>
  <c r="H50" i="2386"/>
  <c r="H49" i="2386"/>
  <c r="H48" i="2386"/>
  <c r="H47" i="2386"/>
  <c r="H46" i="2386"/>
  <c r="H45" i="2386"/>
  <c r="H44" i="2386"/>
  <c r="H43" i="2386"/>
  <c r="H42" i="2386"/>
  <c r="H41" i="2386"/>
  <c r="H40" i="2386"/>
  <c r="H39" i="2386"/>
  <c r="H38" i="2386"/>
  <c r="H37" i="2386"/>
  <c r="H36" i="2386"/>
  <c r="H35" i="2386"/>
  <c r="H34" i="2386"/>
  <c r="H33" i="2386"/>
  <c r="H32" i="2386"/>
  <c r="H31" i="2386"/>
  <c r="H30" i="2386"/>
  <c r="H8" i="2386"/>
  <c r="H29" i="2386"/>
  <c r="H28" i="2386"/>
  <c r="H12" i="2386"/>
  <c r="H27" i="2386"/>
  <c r="H26" i="2386"/>
  <c r="H17" i="2386"/>
  <c r="C23" i="2386"/>
  <c r="H25" i="2386"/>
  <c r="C22" i="2386"/>
  <c r="H16" i="2386"/>
  <c r="B21" i="2386"/>
  <c r="H24" i="2386"/>
  <c r="H23" i="2386"/>
  <c r="C19" i="2386"/>
  <c r="H11" i="2386"/>
  <c r="C18" i="2386"/>
  <c r="H13" i="2386"/>
  <c r="C17" i="2386"/>
  <c r="H22" i="2386"/>
  <c r="B16" i="2386"/>
  <c r="B20" i="2386" s="1"/>
  <c r="H21" i="2386"/>
  <c r="C15" i="2386"/>
  <c r="H15" i="2386"/>
  <c r="C14" i="2386"/>
  <c r="H20" i="2386"/>
  <c r="C13" i="2386"/>
  <c r="H19" i="2386"/>
  <c r="C12" i="2386"/>
  <c r="H3" i="2386"/>
  <c r="C11" i="2386"/>
  <c r="H18" i="2386"/>
  <c r="C10" i="2386"/>
  <c r="H14" i="2386"/>
  <c r="C9" i="2386"/>
  <c r="H9" i="2386"/>
  <c r="C8" i="2386"/>
  <c r="N7" i="2386"/>
  <c r="H7" i="2386"/>
  <c r="C7" i="2386"/>
  <c r="N6" i="2386"/>
  <c r="H2" i="2386"/>
  <c r="B6" i="2386"/>
  <c r="N5" i="2386"/>
  <c r="H10" i="2386"/>
  <c r="B5" i="2386"/>
  <c r="N4" i="2386"/>
  <c r="H4" i="2386"/>
  <c r="N3" i="2386"/>
  <c r="H6" i="2386"/>
  <c r="N2" i="2386"/>
  <c r="H5" i="2386"/>
  <c r="C16" i="2387" l="1"/>
  <c r="C16" i="2386"/>
  <c r="H51" i="2385" l="1"/>
  <c r="H50" i="2385"/>
  <c r="H49" i="2385"/>
  <c r="H48" i="2385"/>
  <c r="H47" i="2385"/>
  <c r="H46" i="2385"/>
  <c r="H45" i="2385"/>
  <c r="H44" i="2385"/>
  <c r="H43" i="2385"/>
  <c r="H42" i="2385"/>
  <c r="H41" i="2385"/>
  <c r="H40" i="2385"/>
  <c r="H39" i="2385"/>
  <c r="H38" i="2385"/>
  <c r="H37" i="2385"/>
  <c r="H36" i="2385"/>
  <c r="H35" i="2385"/>
  <c r="H34" i="2385"/>
  <c r="H33" i="2385"/>
  <c r="H32" i="2385"/>
  <c r="H31" i="2385"/>
  <c r="H30" i="2385"/>
  <c r="H29" i="2385"/>
  <c r="H28" i="2385"/>
  <c r="H27" i="2385"/>
  <c r="H26" i="2385"/>
  <c r="H25" i="2385"/>
  <c r="H24" i="2385"/>
  <c r="H23" i="2385"/>
  <c r="C23" i="2385"/>
  <c r="H22" i="2385"/>
  <c r="C22" i="2385"/>
  <c r="H21" i="2385"/>
  <c r="B21" i="2385"/>
  <c r="H20" i="2385"/>
  <c r="H19" i="2385"/>
  <c r="C19" i="2385"/>
  <c r="H18" i="2385"/>
  <c r="C18" i="2385"/>
  <c r="H17" i="2385"/>
  <c r="C17" i="2385"/>
  <c r="H16" i="2385"/>
  <c r="B16" i="2385"/>
  <c r="B20" i="2385" s="1"/>
  <c r="H15" i="2385"/>
  <c r="C15" i="2385"/>
  <c r="H14" i="2385"/>
  <c r="C14" i="2385"/>
  <c r="H13" i="2385"/>
  <c r="C13" i="2385"/>
  <c r="H12" i="2385"/>
  <c r="C12" i="2385"/>
  <c r="H8" i="2385"/>
  <c r="C11" i="2385"/>
  <c r="H11" i="2385"/>
  <c r="C10" i="2385"/>
  <c r="H10" i="2385"/>
  <c r="C9" i="2385"/>
  <c r="H9" i="2385"/>
  <c r="C8" i="2385"/>
  <c r="N7" i="2385"/>
  <c r="H5" i="2385"/>
  <c r="C7" i="2385"/>
  <c r="N6" i="2385"/>
  <c r="H4" i="2385"/>
  <c r="B6" i="2385"/>
  <c r="N5" i="2385"/>
  <c r="H7" i="2385"/>
  <c r="B5" i="2385"/>
  <c r="N4" i="2385"/>
  <c r="H6" i="2385"/>
  <c r="N3" i="2385"/>
  <c r="H3" i="2385"/>
  <c r="N2" i="2385"/>
  <c r="H2" i="2385"/>
  <c r="C16" i="2385" l="1"/>
  <c r="H51" i="2384" l="1"/>
  <c r="H50" i="2384"/>
  <c r="H49" i="2384"/>
  <c r="H48" i="2384"/>
  <c r="H47" i="2384"/>
  <c r="H46" i="2384"/>
  <c r="H45" i="2384"/>
  <c r="H44" i="2384"/>
  <c r="H43" i="2384"/>
  <c r="H42" i="2384"/>
  <c r="H41" i="2384"/>
  <c r="H40" i="2384"/>
  <c r="H39" i="2384"/>
  <c r="H38" i="2384"/>
  <c r="H37" i="2384"/>
  <c r="H36" i="2384"/>
  <c r="H35" i="2384"/>
  <c r="H34" i="2384"/>
  <c r="H33" i="2384"/>
  <c r="H32" i="2384"/>
  <c r="H31" i="2384"/>
  <c r="H30" i="2384"/>
  <c r="H13" i="2384"/>
  <c r="H29" i="2384"/>
  <c r="H28" i="2384"/>
  <c r="H27" i="2384"/>
  <c r="H26" i="2384"/>
  <c r="H25" i="2384"/>
  <c r="H8" i="2384"/>
  <c r="C23" i="2384"/>
  <c r="H24" i="2384"/>
  <c r="C22" i="2384"/>
  <c r="H11" i="2384"/>
  <c r="B21" i="2384"/>
  <c r="H23" i="2384"/>
  <c r="H22" i="2384"/>
  <c r="C19" i="2384"/>
  <c r="H21" i="2384"/>
  <c r="C18" i="2384"/>
  <c r="H14" i="2384"/>
  <c r="C17" i="2384"/>
  <c r="H20" i="2384"/>
  <c r="B16" i="2384"/>
  <c r="B20" i="2384" s="1"/>
  <c r="H19" i="2384"/>
  <c r="C15" i="2384"/>
  <c r="H18" i="2384"/>
  <c r="C14" i="2384"/>
  <c r="H17" i="2384"/>
  <c r="C13" i="2384"/>
  <c r="H16" i="2384"/>
  <c r="C12" i="2384"/>
  <c r="H4" i="2384"/>
  <c r="C11" i="2384"/>
  <c r="H15" i="2384"/>
  <c r="C10" i="2384"/>
  <c r="H12" i="2384"/>
  <c r="C9" i="2384"/>
  <c r="H10" i="2384"/>
  <c r="C8" i="2384"/>
  <c r="N7" i="2384"/>
  <c r="H7" i="2384"/>
  <c r="C7" i="2384"/>
  <c r="N6" i="2384"/>
  <c r="H3" i="2384"/>
  <c r="B6" i="2384"/>
  <c r="N5" i="2384"/>
  <c r="H5" i="2384"/>
  <c r="B5" i="2384"/>
  <c r="N4" i="2384"/>
  <c r="H2" i="2384"/>
  <c r="N3" i="2384"/>
  <c r="H9" i="2384"/>
  <c r="N2" i="2384"/>
  <c r="H6" i="2384"/>
  <c r="H51" i="2383"/>
  <c r="H50" i="2383"/>
  <c r="H49" i="2383"/>
  <c r="H48" i="2383"/>
  <c r="H47" i="2383"/>
  <c r="H46" i="2383"/>
  <c r="H45" i="2383"/>
  <c r="H44" i="2383"/>
  <c r="H43" i="2383"/>
  <c r="H42" i="2383"/>
  <c r="H41" i="2383"/>
  <c r="H40" i="2383"/>
  <c r="H39" i="2383"/>
  <c r="H38" i="2383"/>
  <c r="H37" i="2383"/>
  <c r="H36" i="2383"/>
  <c r="H35" i="2383"/>
  <c r="H34" i="2383"/>
  <c r="H33" i="2383"/>
  <c r="H19" i="2383"/>
  <c r="H14" i="2383"/>
  <c r="H32" i="2383"/>
  <c r="H9" i="2383"/>
  <c r="H24" i="2383"/>
  <c r="H23" i="2383"/>
  <c r="H12" i="2383"/>
  <c r="H22" i="2383"/>
  <c r="H21" i="2383"/>
  <c r="H13" i="2383"/>
  <c r="C23" i="2383"/>
  <c r="H31" i="2383"/>
  <c r="C22" i="2383"/>
  <c r="H15" i="2383"/>
  <c r="B21" i="2383"/>
  <c r="H20" i="2383"/>
  <c r="H30" i="2383"/>
  <c r="C19" i="2383"/>
  <c r="H18" i="2383"/>
  <c r="C18" i="2383"/>
  <c r="H17" i="2383"/>
  <c r="C17" i="2383"/>
  <c r="H29" i="2383"/>
  <c r="B16" i="2383"/>
  <c r="B20" i="2383" s="1"/>
  <c r="H28" i="2383"/>
  <c r="C15" i="2383"/>
  <c r="H27" i="2383"/>
  <c r="C14" i="2383"/>
  <c r="H26" i="2383"/>
  <c r="C13" i="2383"/>
  <c r="H25" i="2383"/>
  <c r="C12" i="2383"/>
  <c r="H5" i="2383"/>
  <c r="C11" i="2383"/>
  <c r="H16" i="2383"/>
  <c r="C10" i="2383"/>
  <c r="H8" i="2383"/>
  <c r="C9" i="2383"/>
  <c r="H10" i="2383"/>
  <c r="C8" i="2383"/>
  <c r="N7" i="2383"/>
  <c r="H6" i="2383"/>
  <c r="C7" i="2383"/>
  <c r="N6" i="2383"/>
  <c r="H2" i="2383"/>
  <c r="B6" i="2383"/>
  <c r="N5" i="2383"/>
  <c r="H7" i="2383"/>
  <c r="B5" i="2383"/>
  <c r="N4" i="2383"/>
  <c r="H3" i="2383"/>
  <c r="N3" i="2383"/>
  <c r="H11" i="2383"/>
  <c r="N2" i="2383"/>
  <c r="H4" i="2383"/>
  <c r="C16" i="2384" l="1"/>
  <c r="C16" i="2383"/>
  <c r="H51" i="2382" l="1"/>
  <c r="H50" i="2382"/>
  <c r="H49" i="2382"/>
  <c r="H48" i="2382"/>
  <c r="H47" i="2382"/>
  <c r="H46" i="2382"/>
  <c r="H45" i="2382"/>
  <c r="H44" i="2382"/>
  <c r="H43" i="2382"/>
  <c r="H42" i="2382"/>
  <c r="H41" i="2382"/>
  <c r="H40" i="2382"/>
  <c r="H39" i="2382"/>
  <c r="H38" i="2382"/>
  <c r="H37" i="2382"/>
  <c r="H36" i="2382"/>
  <c r="H35" i="2382"/>
  <c r="H34" i="2382"/>
  <c r="H33" i="2382"/>
  <c r="H32" i="2382"/>
  <c r="H31" i="2382"/>
  <c r="H30" i="2382"/>
  <c r="H29" i="2382"/>
  <c r="H28" i="2382"/>
  <c r="H27" i="2382"/>
  <c r="H26" i="2382"/>
  <c r="H25" i="2382"/>
  <c r="H24" i="2382"/>
  <c r="H23" i="2382"/>
  <c r="C23" i="2382"/>
  <c r="H22" i="2382"/>
  <c r="C22" i="2382"/>
  <c r="H21" i="2382"/>
  <c r="B21" i="2382"/>
  <c r="H20" i="2382"/>
  <c r="B20" i="2382"/>
  <c r="H19" i="2382"/>
  <c r="C19" i="2382"/>
  <c r="H18" i="2382"/>
  <c r="C18" i="2382"/>
  <c r="H17" i="2382"/>
  <c r="C17" i="2382"/>
  <c r="H16" i="2382"/>
  <c r="C16" i="2382"/>
  <c r="B16" i="2382"/>
  <c r="H15" i="2382"/>
  <c r="C15" i="2382"/>
  <c r="H14" i="2382"/>
  <c r="C14" i="2382"/>
  <c r="H13" i="2382"/>
  <c r="C13" i="2382"/>
  <c r="H12" i="2382"/>
  <c r="C12" i="2382"/>
  <c r="H11" i="2382"/>
  <c r="C11" i="2382"/>
  <c r="H10" i="2382"/>
  <c r="C10" i="2382"/>
  <c r="H9" i="2382"/>
  <c r="C9" i="2382"/>
  <c r="H8" i="2382"/>
  <c r="C8" i="2382"/>
  <c r="N7" i="2382"/>
  <c r="H7" i="2382"/>
  <c r="C7" i="2382"/>
  <c r="N6" i="2382"/>
  <c r="H6" i="2382"/>
  <c r="B6" i="2382"/>
  <c r="N5" i="2382"/>
  <c r="H5" i="2382"/>
  <c r="B5" i="2382"/>
  <c r="N4" i="2382"/>
  <c r="H4" i="2382"/>
  <c r="N3" i="2382"/>
  <c r="H3" i="2382"/>
  <c r="N2" i="2382"/>
  <c r="H2" i="2382"/>
  <c r="H51" i="2381"/>
  <c r="H50" i="2381"/>
  <c r="H49" i="2381"/>
  <c r="H48" i="2381"/>
  <c r="H47" i="2381"/>
  <c r="H46" i="2381"/>
  <c r="H45" i="2381"/>
  <c r="H44" i="2381"/>
  <c r="H43" i="2381"/>
  <c r="H42" i="2381"/>
  <c r="H41" i="2381"/>
  <c r="H40" i="2381"/>
  <c r="H39" i="2381"/>
  <c r="H38" i="2381"/>
  <c r="H37" i="2381"/>
  <c r="H36" i="2381"/>
  <c r="H35" i="2381"/>
  <c r="H34" i="2381"/>
  <c r="H33" i="2381"/>
  <c r="H32" i="2381"/>
  <c r="H31" i="2381"/>
  <c r="H30" i="2381"/>
  <c r="H29" i="2381"/>
  <c r="H28" i="2381"/>
  <c r="H27" i="2381"/>
  <c r="H26" i="2381"/>
  <c r="H25" i="2381"/>
  <c r="H24" i="2381"/>
  <c r="H23" i="2381"/>
  <c r="C23" i="2381"/>
  <c r="H22" i="2381"/>
  <c r="C22" i="2381"/>
  <c r="H21" i="2381"/>
  <c r="B21" i="2381"/>
  <c r="H20" i="2381"/>
  <c r="B20" i="2381"/>
  <c r="H19" i="2381"/>
  <c r="C19" i="2381"/>
  <c r="H18" i="2381"/>
  <c r="C18" i="2381"/>
  <c r="H17" i="2381"/>
  <c r="C17" i="2381"/>
  <c r="H16" i="2381"/>
  <c r="C16" i="2381"/>
  <c r="B16" i="2381"/>
  <c r="H15" i="2381"/>
  <c r="C15" i="2381"/>
  <c r="H14" i="2381"/>
  <c r="C14" i="2381"/>
  <c r="H13" i="2381"/>
  <c r="C13" i="2381"/>
  <c r="H12" i="2381"/>
  <c r="C12" i="2381"/>
  <c r="H11" i="2381"/>
  <c r="C11" i="2381"/>
  <c r="H10" i="2381"/>
  <c r="C10" i="2381"/>
  <c r="H9" i="2381"/>
  <c r="C9" i="2381"/>
  <c r="H8" i="2381"/>
  <c r="C8" i="2381"/>
  <c r="N7" i="2381"/>
  <c r="H7" i="2381"/>
  <c r="C7" i="2381"/>
  <c r="N6" i="2381"/>
  <c r="H6" i="2381"/>
  <c r="B6" i="2381"/>
  <c r="N5" i="2381"/>
  <c r="H5" i="2381"/>
  <c r="B5" i="2381"/>
  <c r="N4" i="2381"/>
  <c r="H4" i="2381"/>
  <c r="N3" i="2381"/>
  <c r="H3" i="2381"/>
  <c r="N2" i="2381"/>
  <c r="H2" i="2381"/>
  <c r="H51" i="2380"/>
  <c r="H50" i="2380"/>
  <c r="H49" i="2380"/>
  <c r="H48" i="2380"/>
  <c r="H47" i="2380"/>
  <c r="H21" i="2380"/>
  <c r="H46" i="2380"/>
  <c r="H45" i="2380"/>
  <c r="H44" i="2380"/>
  <c r="H43" i="2380"/>
  <c r="H42" i="2380"/>
  <c r="H41" i="2380"/>
  <c r="H40" i="2380"/>
  <c r="H39" i="2380"/>
  <c r="H38" i="2380"/>
  <c r="H37" i="2380"/>
  <c r="H36" i="2380"/>
  <c r="H35" i="2380"/>
  <c r="H34" i="2380"/>
  <c r="H17" i="2380"/>
  <c r="H20" i="2380"/>
  <c r="H33" i="2380"/>
  <c r="H9" i="2380"/>
  <c r="H32" i="2380"/>
  <c r="H31" i="2380"/>
  <c r="H11" i="2380"/>
  <c r="H23" i="2380"/>
  <c r="H30" i="2380"/>
  <c r="H14" i="2380"/>
  <c r="C23" i="2380"/>
  <c r="H29" i="2380"/>
  <c r="C22" i="2380"/>
  <c r="H15" i="2380"/>
  <c r="B21" i="2380"/>
  <c r="H28" i="2380"/>
  <c r="H27" i="2380"/>
  <c r="C19" i="2380"/>
  <c r="H19" i="2380"/>
  <c r="C18" i="2380"/>
  <c r="H22" i="2380"/>
  <c r="C17" i="2380"/>
  <c r="H16" i="2380"/>
  <c r="B16" i="2380"/>
  <c r="B20" i="2380" s="1"/>
  <c r="H26" i="2380"/>
  <c r="C15" i="2380"/>
  <c r="H25" i="2380"/>
  <c r="C14" i="2380"/>
  <c r="H24" i="2380"/>
  <c r="C13" i="2380"/>
  <c r="H18" i="2380"/>
  <c r="C12" i="2380"/>
  <c r="H3" i="2380"/>
  <c r="C11" i="2380"/>
  <c r="H12" i="2380"/>
  <c r="C10" i="2380"/>
  <c r="H13" i="2380"/>
  <c r="C9" i="2380"/>
  <c r="H8" i="2380"/>
  <c r="C8" i="2380"/>
  <c r="N7" i="2380"/>
  <c r="H6" i="2380"/>
  <c r="C7" i="2380"/>
  <c r="N6" i="2380"/>
  <c r="H2" i="2380"/>
  <c r="B6" i="2380"/>
  <c r="N5" i="2380"/>
  <c r="H7" i="2380"/>
  <c r="B5" i="2380"/>
  <c r="N4" i="2380"/>
  <c r="H4" i="2380"/>
  <c r="N3" i="2380"/>
  <c r="H10" i="2380"/>
  <c r="N2" i="2380"/>
  <c r="H5" i="2380"/>
  <c r="C16" i="2380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<sst xmlns="http://schemas.openxmlformats.org/spreadsheetml/2006/main" count="2203" uniqueCount="224">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</sst>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 shrinkToFit="1"/>
    </xf>
    <xf numFmtId="178" fontId="0" fillId="0" borderId="42" xfId="0" applyNumberFormat="1" applyBorder="1" applyAlignment="1">
      <alignment horizontal="center" vertical="center" shrinkToFit="1"/>
    </xf>
    <xf numFmtId="180" fontId="0" fillId="0" borderId="41" xfId="0" applyNumberFormat="1" applyBorder="1" applyAlignment="1">
      <alignment horizontal="center" vertical="center" shrinkToFit="1"/>
    </xf>
    <xf numFmtId="180" fontId="0" fillId="0" borderId="42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だいち!$K$2:$K$116</c:f>
              <c:numCache>
                <c:formatCode>\+0;\-0;\±0</c:formatCode>
                <c:ptCount val="11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9-4E60-A388-BB191B8BA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854.5454545454545</c:v>
                </c:pt>
                <c:pt idx="1">
                  <c:v>1668.2692307692307</c:v>
                </c:pt>
                <c:pt idx="2">
                  <c:v>1034.375</c:v>
                </c:pt>
                <c:pt idx="3">
                  <c:v>675</c:v>
                </c:pt>
                <c:pt idx="4">
                  <c:v>30.882352941176471</c:v>
                </c:pt>
                <c:pt idx="5">
                  <c:v>-375.51020408163265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1-42C2-8B82-F07F93C02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F-4224-B434-BA424923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C-426C-A9C7-52B4CD952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4-46C0-B8C3-88C39F500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5-43A8-BC23-EFF577376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りくと!$K$2:$K$81</c:f>
              <c:numCache>
                <c:formatCode>\+0;\-0;\±0</c:formatCode>
                <c:ptCount val="8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B-426F-B88F-7332923B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-88.311688311688314</c:v>
                </c:pt>
                <c:pt idx="1">
                  <c:v>-2173.972602739726</c:v>
                </c:pt>
                <c:pt idx="2">
                  <c:v>2112.676056338028</c:v>
                </c:pt>
                <c:pt idx="3">
                  <c:v>-1529.0322580645161</c:v>
                </c:pt>
                <c:pt idx="4">
                  <c:v>-3830</c:v>
                </c:pt>
                <c:pt idx="5">
                  <c:v>-2654.0540540540542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1-4780-A86E-15F5DECD9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いっしー!$K$2:$K$44</c:f>
              <c:numCache>
                <c:formatCode>\+0;\-0;\±0</c:formatCode>
                <c:ptCount val="43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B-4D1A-9C1E-BF6325D14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-1211.9047619047619</c:v>
                </c:pt>
                <c:pt idx="1">
                  <c:v>3705</c:v>
                </c:pt>
                <c:pt idx="2">
                  <c:v>-1086.8421052631579</c:v>
                </c:pt>
                <c:pt idx="3">
                  <c:v>-1425</c:v>
                </c:pt>
                <c:pt idx="4">
                  <c:v>8215.3846153846152</c:v>
                </c:pt>
                <c:pt idx="5">
                  <c:v>2106.25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0-4A52-A473-5D5523E66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がくと!$K$2:$K$5</c:f>
              <c:numCache>
                <c:formatCode>\+0;\-0;\±0</c:formatCode>
                <c:ptCount val="4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93-4868-A61F-9A4C43E98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-4233.333333333333</c:v>
                </c:pt>
                <c:pt idx="1">
                  <c:v>-6766.666666666667</c:v>
                </c:pt>
                <c:pt idx="2">
                  <c:v>-8333.3333333333339</c:v>
                </c:pt>
                <c:pt idx="3">
                  <c:v>-12000</c:v>
                </c:pt>
                <c:pt idx="4">
                  <c:v>3100</c:v>
                </c:pt>
                <c:pt idx="5">
                  <c:v>-10000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D-479C-8B56-05AA45D68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たかの!$K$2:$K$40</c:f>
              <c:numCache>
                <c:formatCode>\+0;\-0;\±0</c:formatCode>
                <c:ptCount val="3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F-467A-9501-1111D6D1A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-1723.6842105263158</c:v>
                </c:pt>
                <c:pt idx="1">
                  <c:v>-2682.8571428571427</c:v>
                </c:pt>
                <c:pt idx="2">
                  <c:v>-1196.5517241379309</c:v>
                </c:pt>
                <c:pt idx="3">
                  <c:v>3482.1428571428573</c:v>
                </c:pt>
                <c:pt idx="4">
                  <c:v>-861.90476190476193</c:v>
                </c:pt>
                <c:pt idx="5">
                  <c:v>552.94117647058829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22-46B5-AD2A-FDF1639FB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ただ!$K$2:$K$49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E-4746-8334-11AE8FE20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3860</c:v>
                </c:pt>
                <c:pt idx="1">
                  <c:v>-307.14285714285717</c:v>
                </c:pt>
                <c:pt idx="2">
                  <c:v>-989.47368421052636</c:v>
                </c:pt>
                <c:pt idx="3">
                  <c:v>-1474.2857142857142</c:v>
                </c:pt>
                <c:pt idx="4">
                  <c:v>3192.3076923076924</c:v>
                </c:pt>
                <c:pt idx="5">
                  <c:v>222.72727272727272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8-4064-90D6-52F897937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30-4D68-971E-85B320457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88-44E1-A0B0-25A47F3B1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れんたろう!$K$2:$K$37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D-428A-841D-5461172A1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-4603.2258064516127</c:v>
                </c:pt>
                <c:pt idx="1">
                  <c:v>-116.12903225806451</c:v>
                </c:pt>
                <c:pt idx="2">
                  <c:v>-1893.5483870967741</c:v>
                </c:pt>
                <c:pt idx="3">
                  <c:v>471.42857142857144</c:v>
                </c:pt>
                <c:pt idx="4">
                  <c:v>-1952</c:v>
                </c:pt>
                <c:pt idx="5">
                  <c:v>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9-4794-A6DB-B6F7182EA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あさひ!$K$2:$K$5</c:f>
              <c:numCache>
                <c:formatCode>\+0;\-0;\±0</c:formatCode>
                <c:ptCount val="4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F-40DB-9486-5E78CE20B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16433.333333333332</c:v>
                </c:pt>
                <c:pt idx="1">
                  <c:v>-11566.666666666666</c:v>
                </c:pt>
                <c:pt idx="2">
                  <c:v>6666.666666666667</c:v>
                </c:pt>
                <c:pt idx="3">
                  <c:v>9800</c:v>
                </c:pt>
                <c:pt idx="4">
                  <c:v>-3500</c:v>
                </c:pt>
                <c:pt idx="5">
                  <c:v>5050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7-48A0-B33D-D9977F6E4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まっつん!$K$2:$K$4</c:f>
              <c:numCache>
                <c:formatCode>\+0;\-0;\±0</c:formatCode>
                <c:ptCount val="3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B-4F4D-AF60-272669F14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-8100</c:v>
                </c:pt>
                <c:pt idx="1">
                  <c:v>1900</c:v>
                </c:pt>
                <c:pt idx="2">
                  <c:v>-6650</c:v>
                </c:pt>
                <c:pt idx="3">
                  <c:v>9600</c:v>
                </c:pt>
                <c:pt idx="4">
                  <c:v>-17800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9-49AE-A609-5339E2302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86" t="s">
        <v>6</v>
      </c>
      <c r="C1" s="87"/>
      <c r="D1" s="86" t="s">
        <v>7</v>
      </c>
      <c r="E1" s="87"/>
      <c r="F1" s="86" t="s">
        <v>16</v>
      </c>
      <c r="G1" s="87"/>
      <c r="H1" s="86" t="s">
        <v>15</v>
      </c>
      <c r="I1" s="87"/>
      <c r="J1" s="86" t="s">
        <v>17</v>
      </c>
      <c r="K1" s="87"/>
      <c r="L1" s="86" t="s">
        <v>18</v>
      </c>
      <c r="M1" s="87"/>
      <c r="N1" s="86" t="s">
        <v>5</v>
      </c>
      <c r="O1" s="87"/>
      <c r="P1" s="86" t="s">
        <v>19</v>
      </c>
      <c r="Q1" s="87"/>
      <c r="R1" s="86" t="s">
        <v>20</v>
      </c>
      <c r="S1" s="87"/>
      <c r="T1" s="86" t="s">
        <v>212</v>
      </c>
      <c r="U1" s="87"/>
      <c r="V1" s="86" t="s">
        <v>131</v>
      </c>
      <c r="W1" s="87"/>
      <c r="X1" s="86" t="s">
        <v>126</v>
      </c>
      <c r="Y1" s="87"/>
      <c r="Z1" s="86" t="s">
        <v>134</v>
      </c>
      <c r="AA1" s="87"/>
      <c r="AB1" s="86" t="s">
        <v>135</v>
      </c>
      <c r="AC1" s="87"/>
      <c r="AD1" s="86" t="s">
        <v>200</v>
      </c>
      <c r="AE1" s="87"/>
    </row>
    <row r="2" spans="1:31" x14ac:dyDescent="0.4">
      <c r="A2" s="8">
        <v>1</v>
      </c>
      <c r="B2" s="9" t="s">
        <v>137</v>
      </c>
      <c r="C2" s="11">
        <v>503.2000000000001</v>
      </c>
      <c r="D2" s="10" t="s">
        <v>217</v>
      </c>
      <c r="E2" s="11">
        <v>19.099999999999998</v>
      </c>
      <c r="F2" s="10" t="s">
        <v>217</v>
      </c>
      <c r="G2" s="12">
        <v>1.6666666666666667</v>
      </c>
      <c r="H2" s="10" t="s">
        <v>217</v>
      </c>
      <c r="I2" s="17">
        <v>0.66666666666666663</v>
      </c>
      <c r="J2" s="10" t="s">
        <v>217</v>
      </c>
      <c r="K2" s="15">
        <v>0.40740740740740738</v>
      </c>
      <c r="L2" s="10" t="s">
        <v>217</v>
      </c>
      <c r="M2" s="15">
        <v>7.407407407407407E-2</v>
      </c>
      <c r="N2" s="10" t="s">
        <v>222</v>
      </c>
      <c r="O2" s="13">
        <v>13000</v>
      </c>
      <c r="P2" s="10" t="s">
        <v>217</v>
      </c>
      <c r="Q2" s="13">
        <v>-6600</v>
      </c>
      <c r="R2" s="10" t="s">
        <v>139</v>
      </c>
      <c r="S2" s="17">
        <v>0</v>
      </c>
      <c r="T2" s="10" t="s">
        <v>217</v>
      </c>
      <c r="U2" s="17">
        <v>0.33333333333333331</v>
      </c>
      <c r="V2" s="10" t="s">
        <v>139</v>
      </c>
      <c r="W2" s="15">
        <v>0.5</v>
      </c>
      <c r="X2" s="10" t="s">
        <v>222</v>
      </c>
      <c r="Y2" s="15">
        <v>0.5</v>
      </c>
      <c r="Z2" s="10" t="s">
        <v>145</v>
      </c>
      <c r="AA2" s="15">
        <v>0.75</v>
      </c>
      <c r="AB2" s="10" t="s">
        <v>137</v>
      </c>
      <c r="AC2" s="15">
        <v>0.46153846153846156</v>
      </c>
      <c r="AD2" s="10" t="s">
        <v>217</v>
      </c>
      <c r="AE2" s="15">
        <v>0.54545454545454541</v>
      </c>
    </row>
    <row r="3" spans="1:31" x14ac:dyDescent="0.4">
      <c r="A3" s="7">
        <v>2</v>
      </c>
      <c r="B3" s="6" t="s">
        <v>142</v>
      </c>
      <c r="C3" s="3">
        <v>255.3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0.35393939393939394</v>
      </c>
      <c r="L3" s="1" t="s">
        <v>156</v>
      </c>
      <c r="M3" s="16">
        <v>0.13414634146341464</v>
      </c>
      <c r="N3" s="1" t="s">
        <v>141</v>
      </c>
      <c r="O3" s="2">
        <v>11396.666666666666</v>
      </c>
      <c r="P3" s="1" t="s">
        <v>222</v>
      </c>
      <c r="Q3" s="2">
        <v>-8000</v>
      </c>
      <c r="R3" s="1" t="s">
        <v>217</v>
      </c>
      <c r="S3" s="18">
        <v>0</v>
      </c>
      <c r="T3" s="1" t="s">
        <v>156</v>
      </c>
      <c r="U3" s="18">
        <v>0.25</v>
      </c>
      <c r="V3" s="1" t="s">
        <v>217</v>
      </c>
      <c r="W3" s="16">
        <v>0.48148148148148145</v>
      </c>
      <c r="X3" s="1" t="s">
        <v>142</v>
      </c>
      <c r="Y3" s="16">
        <v>0.32258064516129031</v>
      </c>
      <c r="Z3" s="1" t="s">
        <v>137</v>
      </c>
      <c r="AA3" s="16">
        <v>0.70476190476190481</v>
      </c>
      <c r="AB3" s="1" t="s">
        <v>148</v>
      </c>
      <c r="AC3" s="16">
        <v>0.44117647058823528</v>
      </c>
      <c r="AD3" s="1" t="s">
        <v>156</v>
      </c>
      <c r="AE3" s="16">
        <v>0.45454545454545453</v>
      </c>
    </row>
    <row r="4" spans="1:31" x14ac:dyDescent="0.4">
      <c r="A4" s="7">
        <v>3</v>
      </c>
      <c r="B4" s="6" t="s">
        <v>149</v>
      </c>
      <c r="C4" s="3">
        <v>200.19999999999996</v>
      </c>
      <c r="D4" s="1" t="s">
        <v>142</v>
      </c>
      <c r="E4" s="3">
        <v>6.0785714285714292</v>
      </c>
      <c r="F4" s="1" t="s">
        <v>142</v>
      </c>
      <c r="G4" s="5">
        <v>1.8333333333333333</v>
      </c>
      <c r="H4" s="1" t="s">
        <v>149</v>
      </c>
      <c r="I4" s="18">
        <v>0.40425531914893614</v>
      </c>
      <c r="J4" s="1" t="s">
        <v>142</v>
      </c>
      <c r="K4" s="16">
        <v>0.35</v>
      </c>
      <c r="L4" s="1" t="s">
        <v>142</v>
      </c>
      <c r="M4" s="16">
        <v>0.14333333333333334</v>
      </c>
      <c r="N4" s="1" t="s">
        <v>160</v>
      </c>
      <c r="O4" s="2">
        <v>11179.710144927536</v>
      </c>
      <c r="P4" s="1" t="s">
        <v>138</v>
      </c>
      <c r="Q4" s="2">
        <v>-8240</v>
      </c>
      <c r="R4" s="1" t="s">
        <v>142</v>
      </c>
      <c r="S4" s="18">
        <v>0.11904761904761904</v>
      </c>
      <c r="T4" s="1" t="s">
        <v>137</v>
      </c>
      <c r="U4" s="18">
        <v>0.22807017543859648</v>
      </c>
      <c r="V4" s="1" t="s">
        <v>149</v>
      </c>
      <c r="W4" s="16">
        <v>0.35</v>
      </c>
      <c r="X4" s="1" t="s">
        <v>148</v>
      </c>
      <c r="Y4" s="16">
        <v>0.31192660550458717</v>
      </c>
      <c r="Z4" s="1" t="s">
        <v>217</v>
      </c>
      <c r="AA4" s="16">
        <v>0.69230769230769229</v>
      </c>
      <c r="AB4" s="1" t="s">
        <v>141</v>
      </c>
      <c r="AC4" s="16">
        <v>0.40350877192982454</v>
      </c>
      <c r="AD4" s="1" t="s">
        <v>137</v>
      </c>
      <c r="AE4" s="16">
        <v>0.42268041237113402</v>
      </c>
    </row>
    <row r="5" spans="1:31" x14ac:dyDescent="0.4">
      <c r="A5" s="7">
        <v>4</v>
      </c>
      <c r="B5" s="6" t="s">
        <v>156</v>
      </c>
      <c r="C5" s="3">
        <v>80.800000000000011</v>
      </c>
      <c r="D5" s="1" t="s">
        <v>137</v>
      </c>
      <c r="E5" s="3">
        <v>4.4140350877192995</v>
      </c>
      <c r="F5" s="1" t="s">
        <v>137</v>
      </c>
      <c r="G5" s="5">
        <v>1.8596491228070176</v>
      </c>
      <c r="H5" s="1" t="s">
        <v>137</v>
      </c>
      <c r="I5" s="18">
        <v>0.38596491228070173</v>
      </c>
      <c r="J5" s="1" t="s">
        <v>156</v>
      </c>
      <c r="K5" s="16">
        <v>0.34146341463414637</v>
      </c>
      <c r="L5" s="1" t="s">
        <v>137</v>
      </c>
      <c r="M5" s="16">
        <v>0.15515151515151515</v>
      </c>
      <c r="N5" s="1" t="s">
        <v>149</v>
      </c>
      <c r="O5" s="2">
        <v>11019.469026548673</v>
      </c>
      <c r="P5" s="1" t="s">
        <v>148</v>
      </c>
      <c r="Q5" s="2">
        <v>-8242.105263157895</v>
      </c>
      <c r="R5" s="1" t="s">
        <v>137</v>
      </c>
      <c r="S5" s="18">
        <v>0.12280701754385964</v>
      </c>
      <c r="T5" s="1" t="s">
        <v>149</v>
      </c>
      <c r="U5" s="18">
        <v>0.21276595744680851</v>
      </c>
      <c r="V5" s="1" t="s">
        <v>141</v>
      </c>
      <c r="W5" s="16">
        <v>0.29051987767584098</v>
      </c>
      <c r="X5" s="1" t="s">
        <v>145</v>
      </c>
      <c r="Y5" s="16">
        <v>0.25</v>
      </c>
      <c r="Z5" s="1" t="s">
        <v>149</v>
      </c>
      <c r="AA5" s="16">
        <v>0.62337662337662336</v>
      </c>
      <c r="AB5" s="1" t="s">
        <v>149</v>
      </c>
      <c r="AC5" s="16">
        <v>0.39215686274509803</v>
      </c>
      <c r="AD5" s="1" t="s">
        <v>148</v>
      </c>
      <c r="AE5" s="16">
        <v>0.42168674698795183</v>
      </c>
    </row>
    <row r="6" spans="1:31" x14ac:dyDescent="0.4">
      <c r="A6" s="7">
        <v>5</v>
      </c>
      <c r="B6" s="6" t="s">
        <v>217</v>
      </c>
      <c r="C6" s="3">
        <v>57.3</v>
      </c>
      <c r="D6" s="1" t="s">
        <v>149</v>
      </c>
      <c r="E6" s="3">
        <v>4.2595744680851055</v>
      </c>
      <c r="F6" s="1" t="s">
        <v>149</v>
      </c>
      <c r="G6" s="5">
        <v>1.8936170212765957</v>
      </c>
      <c r="H6" s="1" t="s">
        <v>142</v>
      </c>
      <c r="I6" s="18">
        <v>0.35714285714285715</v>
      </c>
      <c r="J6" s="1" t="s">
        <v>149</v>
      </c>
      <c r="K6" s="16">
        <v>0.32011331444759206</v>
      </c>
      <c r="L6" s="1" t="s">
        <v>149</v>
      </c>
      <c r="M6" s="16">
        <v>0.16147308781869688</v>
      </c>
      <c r="N6" s="1" t="s">
        <v>156</v>
      </c>
      <c r="O6" s="2">
        <v>10857.142857142857</v>
      </c>
      <c r="P6" s="1" t="s">
        <v>142</v>
      </c>
      <c r="Q6" s="2">
        <v>-9420.9302325581393</v>
      </c>
      <c r="R6" s="1" t="s">
        <v>148</v>
      </c>
      <c r="S6" s="18">
        <v>0.15789473684210525</v>
      </c>
      <c r="T6" s="1" t="s">
        <v>142</v>
      </c>
      <c r="U6" s="18">
        <v>0.19047619047619047</v>
      </c>
      <c r="V6" s="1" t="s">
        <v>137</v>
      </c>
      <c r="W6" s="16">
        <v>0.29005524861878451</v>
      </c>
      <c r="X6" s="1" t="s">
        <v>149</v>
      </c>
      <c r="Y6" s="16">
        <v>0.23181818181818181</v>
      </c>
      <c r="Z6" s="1" t="s">
        <v>160</v>
      </c>
      <c r="AA6" s="16">
        <v>0.61016949152542377</v>
      </c>
      <c r="AB6" s="1" t="s">
        <v>142</v>
      </c>
      <c r="AC6" s="16">
        <v>0.35</v>
      </c>
      <c r="AD6" s="1" t="s">
        <v>149</v>
      </c>
      <c r="AE6" s="16">
        <v>0.41221374045801529</v>
      </c>
    </row>
    <row r="7" spans="1:31" x14ac:dyDescent="0.4">
      <c r="A7" s="7">
        <v>6</v>
      </c>
      <c r="B7" s="6" t="s">
        <v>222</v>
      </c>
      <c r="C7" s="3">
        <v>-24.299999999999997</v>
      </c>
      <c r="D7" s="1" t="s">
        <v>148</v>
      </c>
      <c r="E7" s="3">
        <v>-2.7710526315789479</v>
      </c>
      <c r="F7" s="1" t="s">
        <v>148</v>
      </c>
      <c r="G7" s="5">
        <v>2.1052631578947367</v>
      </c>
      <c r="H7" s="1" t="s">
        <v>141</v>
      </c>
      <c r="I7" s="18">
        <v>0.29113924050632911</v>
      </c>
      <c r="J7" s="1" t="s">
        <v>139</v>
      </c>
      <c r="K7" s="16">
        <v>0.2857142857142857</v>
      </c>
      <c r="L7" s="1" t="s">
        <v>148</v>
      </c>
      <c r="M7" s="16">
        <v>0.19256756756756757</v>
      </c>
      <c r="N7" s="1" t="s">
        <v>217</v>
      </c>
      <c r="O7" s="2">
        <v>10181.818181818182</v>
      </c>
      <c r="P7" s="1" t="s">
        <v>149</v>
      </c>
      <c r="Q7" s="2">
        <v>-9740.3508771929828</v>
      </c>
      <c r="R7" s="1" t="s">
        <v>149</v>
      </c>
      <c r="S7" s="18">
        <v>0.1702127659574468</v>
      </c>
      <c r="T7" s="1" t="s">
        <v>148</v>
      </c>
      <c r="U7" s="18">
        <v>0.18421052631578946</v>
      </c>
      <c r="V7" s="1" t="s">
        <v>160</v>
      </c>
      <c r="W7" s="16">
        <v>0.26106194690265488</v>
      </c>
      <c r="X7" s="1" t="s">
        <v>137</v>
      </c>
      <c r="Y7" s="16">
        <v>0.21546961325966851</v>
      </c>
      <c r="Z7" s="1" t="s">
        <v>142</v>
      </c>
      <c r="AA7" s="16">
        <v>0.53846153846153844</v>
      </c>
      <c r="AB7" s="1" t="s">
        <v>160</v>
      </c>
      <c r="AC7" s="16">
        <v>0.33333333333333331</v>
      </c>
      <c r="AD7" s="1" t="s">
        <v>142</v>
      </c>
      <c r="AE7" s="16">
        <v>0.3577981651376147</v>
      </c>
    </row>
    <row r="8" spans="1:31" x14ac:dyDescent="0.4">
      <c r="A8" s="7">
        <v>7</v>
      </c>
      <c r="B8" s="6" t="s">
        <v>139</v>
      </c>
      <c r="C8" s="3">
        <v>-24.5</v>
      </c>
      <c r="D8" s="1" t="s">
        <v>141</v>
      </c>
      <c r="E8" s="3">
        <v>-4.8607594936708844</v>
      </c>
      <c r="F8" s="1" t="s">
        <v>141</v>
      </c>
      <c r="G8" s="5">
        <v>2.1392405063291138</v>
      </c>
      <c r="H8" s="1" t="s">
        <v>148</v>
      </c>
      <c r="I8" s="18">
        <v>0.26315789473684209</v>
      </c>
      <c r="J8" s="1" t="s">
        <v>148</v>
      </c>
      <c r="K8" s="16">
        <v>0.28378378378378377</v>
      </c>
      <c r="L8" s="1" t="s">
        <v>141</v>
      </c>
      <c r="M8" s="16">
        <v>0.19897959183673469</v>
      </c>
      <c r="N8" s="1" t="s">
        <v>142</v>
      </c>
      <c r="O8" s="2">
        <v>9973.3333333333339</v>
      </c>
      <c r="P8" s="1" t="s">
        <v>137</v>
      </c>
      <c r="Q8" s="2">
        <v>-9900.78125</v>
      </c>
      <c r="R8" s="1" t="s">
        <v>156</v>
      </c>
      <c r="S8" s="18">
        <v>0.25</v>
      </c>
      <c r="T8" s="1" t="s">
        <v>141</v>
      </c>
      <c r="U8" s="18">
        <v>0.15189873417721519</v>
      </c>
      <c r="V8" s="1" t="s">
        <v>145</v>
      </c>
      <c r="W8" s="16">
        <v>0.25</v>
      </c>
      <c r="X8" s="1" t="s">
        <v>160</v>
      </c>
      <c r="Y8" s="16">
        <v>0.21238938053097345</v>
      </c>
      <c r="Z8" s="1" t="s">
        <v>141</v>
      </c>
      <c r="AA8" s="16">
        <v>0.5368421052631579</v>
      </c>
      <c r="AB8" s="1" t="s">
        <v>222</v>
      </c>
      <c r="AC8" s="16">
        <v>0.2857142857142857</v>
      </c>
      <c r="AD8" s="1" t="s">
        <v>222</v>
      </c>
      <c r="AE8" s="16">
        <v>0.33333333333333331</v>
      </c>
    </row>
    <row r="9" spans="1:31" x14ac:dyDescent="0.4">
      <c r="A9" s="7">
        <v>8</v>
      </c>
      <c r="B9" s="6" t="s">
        <v>145</v>
      </c>
      <c r="C9" s="3">
        <v>-88.9</v>
      </c>
      <c r="D9" s="1" t="s">
        <v>160</v>
      </c>
      <c r="E9" s="3">
        <v>-9.7057142857142846</v>
      </c>
      <c r="F9" s="1" t="s">
        <v>160</v>
      </c>
      <c r="G9" s="5">
        <v>2.2857142857142856</v>
      </c>
      <c r="H9" s="1" t="s">
        <v>160</v>
      </c>
      <c r="I9" s="18">
        <v>0.22857142857142856</v>
      </c>
      <c r="J9" s="1" t="s">
        <v>160</v>
      </c>
      <c r="K9" s="16">
        <v>0.26235741444866922</v>
      </c>
      <c r="L9" s="1" t="s">
        <v>222</v>
      </c>
      <c r="M9" s="16">
        <v>0.21428571428571427</v>
      </c>
      <c r="N9" s="1" t="s">
        <v>137</v>
      </c>
      <c r="O9" s="2">
        <v>9906.1643835616433</v>
      </c>
      <c r="P9" s="1" t="s">
        <v>156</v>
      </c>
      <c r="Q9" s="2">
        <v>-9927.2727272727279</v>
      </c>
      <c r="R9" s="1" t="s">
        <v>141</v>
      </c>
      <c r="S9" s="18">
        <v>0.25316455696202533</v>
      </c>
      <c r="T9" s="1" t="s">
        <v>160</v>
      </c>
      <c r="U9" s="18">
        <v>0.11428571428571428</v>
      </c>
      <c r="V9" s="1" t="s">
        <v>148</v>
      </c>
      <c r="W9" s="16">
        <v>0.21100917431192662</v>
      </c>
      <c r="X9" s="1" t="s">
        <v>141</v>
      </c>
      <c r="Y9" s="16">
        <v>0.1743119266055046</v>
      </c>
      <c r="Z9" s="1" t="s">
        <v>148</v>
      </c>
      <c r="AA9" s="16">
        <v>0.39130434782608697</v>
      </c>
      <c r="AB9" s="1" t="s">
        <v>145</v>
      </c>
      <c r="AC9" s="16">
        <v>0.25</v>
      </c>
      <c r="AD9" s="1" t="s">
        <v>160</v>
      </c>
      <c r="AE9" s="16">
        <v>0.32911392405063289</v>
      </c>
    </row>
    <row r="10" spans="1:31" x14ac:dyDescent="0.4">
      <c r="A10" s="7">
        <v>9</v>
      </c>
      <c r="B10" s="6" t="s">
        <v>148</v>
      </c>
      <c r="C10" s="3">
        <v>-105.30000000000001</v>
      </c>
      <c r="D10" s="1" t="s">
        <v>222</v>
      </c>
      <c r="E10" s="3">
        <v>-12.149999999999999</v>
      </c>
      <c r="F10" s="1" t="s">
        <v>145</v>
      </c>
      <c r="G10" s="5">
        <v>2.3333333333333335</v>
      </c>
      <c r="H10" s="1" t="s">
        <v>138</v>
      </c>
      <c r="I10" s="18">
        <v>0</v>
      </c>
      <c r="J10" s="1" t="s">
        <v>141</v>
      </c>
      <c r="K10" s="16">
        <v>0.25510204081632654</v>
      </c>
      <c r="L10" s="1" t="s">
        <v>160</v>
      </c>
      <c r="M10" s="16">
        <v>0.22813688212927757</v>
      </c>
      <c r="N10" s="1" t="s">
        <v>148</v>
      </c>
      <c r="O10" s="2">
        <v>9900</v>
      </c>
      <c r="P10" s="1" t="s">
        <v>160</v>
      </c>
      <c r="Q10" s="2">
        <v>-9966.6666666666661</v>
      </c>
      <c r="R10" s="1" t="s">
        <v>160</v>
      </c>
      <c r="S10" s="18">
        <v>0.2857142857142857</v>
      </c>
      <c r="T10" s="1" t="s">
        <v>138</v>
      </c>
      <c r="U10" s="18">
        <v>0</v>
      </c>
      <c r="V10" s="1" t="s">
        <v>142</v>
      </c>
      <c r="W10" s="16">
        <v>0.20967741935483872</v>
      </c>
      <c r="X10" s="1" t="s">
        <v>217</v>
      </c>
      <c r="Y10" s="16">
        <v>0.14814814814814814</v>
      </c>
      <c r="Z10" s="1" t="s">
        <v>138</v>
      </c>
      <c r="AA10" s="16">
        <v>0</v>
      </c>
      <c r="AB10" s="1" t="s">
        <v>217</v>
      </c>
      <c r="AC10" s="16">
        <v>0.25</v>
      </c>
      <c r="AD10" s="1" t="s">
        <v>141</v>
      </c>
      <c r="AE10" s="16">
        <v>0.30939226519337015</v>
      </c>
    </row>
    <row r="11" spans="1:31" x14ac:dyDescent="0.4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139</v>
      </c>
      <c r="G11" s="5">
        <v>2.5</v>
      </c>
      <c r="H11" s="1" t="s">
        <v>139</v>
      </c>
      <c r="I11" s="18">
        <v>0</v>
      </c>
      <c r="J11" s="1" t="s">
        <v>145</v>
      </c>
      <c r="K11" s="16">
        <v>0.22727272727272727</v>
      </c>
      <c r="L11" s="1" t="s">
        <v>145</v>
      </c>
      <c r="M11" s="16">
        <v>0.27272727272727271</v>
      </c>
      <c r="N11" s="1" t="s">
        <v>139</v>
      </c>
      <c r="O11" s="2">
        <v>8000</v>
      </c>
      <c r="P11" s="1" t="s">
        <v>141</v>
      </c>
      <c r="Q11" s="2">
        <v>-10582.905982905982</v>
      </c>
      <c r="R11" s="1" t="s">
        <v>138</v>
      </c>
      <c r="S11" s="18">
        <v>0.5</v>
      </c>
      <c r="T11" s="1" t="s">
        <v>139</v>
      </c>
      <c r="U11" s="18">
        <v>0</v>
      </c>
      <c r="V11" s="1" t="s">
        <v>138</v>
      </c>
      <c r="W11" s="16">
        <v>0</v>
      </c>
      <c r="X11" s="1" t="s">
        <v>138</v>
      </c>
      <c r="Y11" s="16">
        <v>0</v>
      </c>
      <c r="Z11" s="1" t="s">
        <v>139</v>
      </c>
      <c r="AA11" s="16">
        <v>0</v>
      </c>
      <c r="AB11" s="1" t="s">
        <v>138</v>
      </c>
      <c r="AC11" s="16">
        <v>0</v>
      </c>
      <c r="AD11" s="1" t="s">
        <v>145</v>
      </c>
      <c r="AE11" s="16">
        <v>0.2</v>
      </c>
    </row>
    <row r="12" spans="1:31" x14ac:dyDescent="0.4">
      <c r="A12" s="7">
        <v>11</v>
      </c>
      <c r="B12" s="6" t="s">
        <v>160</v>
      </c>
      <c r="C12" s="3">
        <v>-339.69999999999993</v>
      </c>
      <c r="D12" s="1" t="s">
        <v>145</v>
      </c>
      <c r="E12" s="3">
        <v>-29.633333333333336</v>
      </c>
      <c r="F12" s="1" t="s">
        <v>222</v>
      </c>
      <c r="G12" s="5">
        <v>2.5</v>
      </c>
      <c r="H12" s="1" t="s">
        <v>145</v>
      </c>
      <c r="I12" s="18">
        <v>0</v>
      </c>
      <c r="J12" s="1" t="s">
        <v>222</v>
      </c>
      <c r="K12" s="16">
        <v>0.14285714285714285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222</v>
      </c>
      <c r="S12" s="18">
        <v>0.5</v>
      </c>
      <c r="T12" s="1" t="s">
        <v>145</v>
      </c>
      <c r="U12" s="18">
        <v>0</v>
      </c>
      <c r="V12" s="1" t="s">
        <v>156</v>
      </c>
      <c r="W12" s="16">
        <v>0</v>
      </c>
      <c r="X12" s="1" t="s">
        <v>139</v>
      </c>
      <c r="Y12" s="16">
        <v>0</v>
      </c>
      <c r="Z12" s="1" t="s">
        <v>156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">
      <c r="A13" s="7">
        <v>12</v>
      </c>
      <c r="B13" s="6" t="s">
        <v>141</v>
      </c>
      <c r="C13" s="3">
        <v>-383.99999999999989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222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6100</v>
      </c>
      <c r="P13" s="1" t="s">
        <v>145</v>
      </c>
      <c r="Q13" s="2">
        <v>-12650</v>
      </c>
      <c r="R13" s="1" t="s">
        <v>145</v>
      </c>
      <c r="S13" s="18">
        <v>0.66666666666666663</v>
      </c>
      <c r="T13" s="1" t="s">
        <v>222</v>
      </c>
      <c r="U13" s="18">
        <v>0</v>
      </c>
      <c r="V13" s="1" t="s">
        <v>222</v>
      </c>
      <c r="W13" s="16">
        <v>0</v>
      </c>
      <c r="X13" s="1" t="s">
        <v>156</v>
      </c>
      <c r="Y13" s="16">
        <v>0</v>
      </c>
      <c r="Z13" s="1" t="s">
        <v>222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E569-63DD-46C6-B372-721A6A3ECC12}">
  <sheetPr codeName="Sheet4"/>
  <dimension ref="A1:P116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189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114</v>
      </c>
      <c r="C2" s="89"/>
      <c r="E2" s="79" t="s">
        <v>73</v>
      </c>
      <c r="F2" s="75" t="s">
        <v>27</v>
      </c>
      <c r="G2" s="61">
        <v>129</v>
      </c>
      <c r="H2" s="24">
        <f>IF(B$25=0,0,G2/B$25)</f>
        <v>0.96992481203007519</v>
      </c>
      <c r="J2" s="23">
        <v>0</v>
      </c>
      <c r="K2" s="25">
        <v>0</v>
      </c>
      <c r="M2" s="23" t="s">
        <v>201</v>
      </c>
      <c r="N2" s="56">
        <f t="shared" ref="N2:N7" si="0">IF(P2=0,0,O2/P2)</f>
        <v>854.5454545454545</v>
      </c>
      <c r="O2" s="53">
        <v>94000</v>
      </c>
      <c r="P2" s="51">
        <v>110</v>
      </c>
    </row>
    <row r="3" spans="1:16" x14ac:dyDescent="0.4">
      <c r="A3" s="70" t="s">
        <v>8</v>
      </c>
      <c r="B3" s="94">
        <v>825</v>
      </c>
      <c r="C3" s="95"/>
      <c r="E3" s="80" t="s">
        <v>78</v>
      </c>
      <c r="F3" s="76" t="s">
        <v>31</v>
      </c>
      <c r="G3" s="62">
        <v>75</v>
      </c>
      <c r="H3" s="27">
        <f>IF(B$25=0,0,G3/B$25)</f>
        <v>0.56390977443609025</v>
      </c>
      <c r="J3" s="26">
        <v>1</v>
      </c>
      <c r="K3" s="28">
        <v>15</v>
      </c>
      <c r="M3" s="26" t="s">
        <v>202</v>
      </c>
      <c r="N3" s="57">
        <f t="shared" si="0"/>
        <v>1668.2692307692307</v>
      </c>
      <c r="O3" s="54">
        <v>173500</v>
      </c>
      <c r="P3" s="49">
        <v>104</v>
      </c>
    </row>
    <row r="4" spans="1:16" x14ac:dyDescent="0.4">
      <c r="A4" s="70" t="s">
        <v>6</v>
      </c>
      <c r="B4" s="96">
        <v>503.2000000000001</v>
      </c>
      <c r="C4" s="97"/>
      <c r="E4" s="80" t="s">
        <v>71</v>
      </c>
      <c r="F4" s="76" t="s">
        <v>25</v>
      </c>
      <c r="G4" s="62">
        <v>72</v>
      </c>
      <c r="H4" s="27">
        <f>IF(B$25=0,0,G4/B$25)</f>
        <v>0.54135338345864659</v>
      </c>
      <c r="J4" s="26">
        <v>2</v>
      </c>
      <c r="K4" s="28">
        <v>14</v>
      </c>
      <c r="M4" s="26" t="s">
        <v>203</v>
      </c>
      <c r="N4" s="57">
        <f t="shared" si="0"/>
        <v>1034.375</v>
      </c>
      <c r="O4" s="54">
        <v>99300</v>
      </c>
      <c r="P4" s="49">
        <v>96</v>
      </c>
    </row>
    <row r="5" spans="1:16" x14ac:dyDescent="0.4">
      <c r="A5" s="70" t="s">
        <v>7</v>
      </c>
      <c r="B5" s="96">
        <f>IF(B$2=0,0,B$4/B$2)</f>
        <v>4.4140350877192995</v>
      </c>
      <c r="C5" s="97"/>
      <c r="E5" s="80" t="s">
        <v>69</v>
      </c>
      <c r="F5" s="76" t="s">
        <v>23</v>
      </c>
      <c r="G5" s="62">
        <v>71</v>
      </c>
      <c r="H5" s="27">
        <f>IF(B$25=0,0,G5/B$25)</f>
        <v>0.53383458646616544</v>
      </c>
      <c r="J5" s="26">
        <v>3</v>
      </c>
      <c r="K5" s="28">
        <v>29.1</v>
      </c>
      <c r="M5" s="26" t="s">
        <v>204</v>
      </c>
      <c r="N5" s="57">
        <f t="shared" si="0"/>
        <v>675</v>
      </c>
      <c r="O5" s="54">
        <v>56700</v>
      </c>
      <c r="P5" s="49">
        <v>84</v>
      </c>
    </row>
    <row r="6" spans="1:16" x14ac:dyDescent="0.4">
      <c r="A6" s="70" t="s">
        <v>1</v>
      </c>
      <c r="B6" s="98">
        <f>IF(B$2=0,0,(B$7*1+B$8*2+B$9*3)/B$2)</f>
        <v>1.8596491228070176</v>
      </c>
      <c r="C6" s="99"/>
      <c r="E6" s="80" t="s">
        <v>74</v>
      </c>
      <c r="F6" s="76" t="s">
        <v>12</v>
      </c>
      <c r="G6" s="62">
        <v>36</v>
      </c>
      <c r="H6" s="27">
        <f>IF(B$25=0,0,G6/B$25)</f>
        <v>0.27067669172932329</v>
      </c>
      <c r="J6" s="26">
        <v>4</v>
      </c>
      <c r="K6" s="28">
        <v>114.30000000000001</v>
      </c>
      <c r="M6" s="26" t="s">
        <v>205</v>
      </c>
      <c r="N6" s="57">
        <f t="shared" si="0"/>
        <v>30.882352941176471</v>
      </c>
      <c r="O6" s="54">
        <v>2100</v>
      </c>
      <c r="P6" s="49">
        <v>68</v>
      </c>
    </row>
    <row r="7" spans="1:16" x14ac:dyDescent="0.4">
      <c r="A7" s="70" t="s">
        <v>2</v>
      </c>
      <c r="B7" s="62">
        <v>44</v>
      </c>
      <c r="C7" s="27">
        <f>IF(B$2=0,0,B7/B$2)</f>
        <v>0.38596491228070173</v>
      </c>
      <c r="E7" s="80" t="s">
        <v>72</v>
      </c>
      <c r="F7" s="76" t="s">
        <v>26</v>
      </c>
      <c r="G7" s="62">
        <v>33</v>
      </c>
      <c r="H7" s="27">
        <f>IF(B$25=0,0,G7/B$25)</f>
        <v>0.24812030075187969</v>
      </c>
      <c r="J7" s="26">
        <v>5</v>
      </c>
      <c r="K7" s="28">
        <v>145.80000000000001</v>
      </c>
      <c r="M7" s="31" t="s">
        <v>206</v>
      </c>
      <c r="N7" s="58">
        <f t="shared" si="0"/>
        <v>-375.51020408163265</v>
      </c>
      <c r="O7" s="55">
        <v>-18400</v>
      </c>
      <c r="P7" s="50">
        <v>49</v>
      </c>
    </row>
    <row r="8" spans="1:16" x14ac:dyDescent="0.4">
      <c r="A8" s="70" t="s">
        <v>3</v>
      </c>
      <c r="B8" s="62">
        <v>42</v>
      </c>
      <c r="C8" s="27">
        <f t="shared" ref="C8:C9" si="1">IF(B$2=0,0,B8/B$2)</f>
        <v>0.36842105263157893</v>
      </c>
      <c r="E8" s="80" t="s">
        <v>75</v>
      </c>
      <c r="F8" s="76" t="s">
        <v>28</v>
      </c>
      <c r="G8" s="62">
        <v>22</v>
      </c>
      <c r="H8" s="27">
        <f>IF(B$25=0,0,G8/B$25)</f>
        <v>0.16541353383458646</v>
      </c>
      <c r="J8" s="26">
        <v>6</v>
      </c>
      <c r="K8" s="28">
        <v>97.800000000000011</v>
      </c>
    </row>
    <row r="9" spans="1:16" x14ac:dyDescent="0.4">
      <c r="A9" s="71" t="s">
        <v>4</v>
      </c>
      <c r="B9" s="63">
        <v>28</v>
      </c>
      <c r="C9" s="29">
        <f t="shared" si="1"/>
        <v>0.24561403508771928</v>
      </c>
      <c r="E9" s="80" t="s">
        <v>96</v>
      </c>
      <c r="F9" s="76" t="s">
        <v>49</v>
      </c>
      <c r="G9" s="62">
        <v>20</v>
      </c>
      <c r="H9" s="27">
        <f>IF(B$25=0,0,G9/B$25)</f>
        <v>0.15037593984962405</v>
      </c>
      <c r="J9" s="26">
        <v>7</v>
      </c>
      <c r="K9" s="28">
        <v>91.700000000000017</v>
      </c>
    </row>
    <row r="10" spans="1:16" x14ac:dyDescent="0.4">
      <c r="A10" s="71" t="s">
        <v>21</v>
      </c>
      <c r="B10" s="63">
        <v>14</v>
      </c>
      <c r="C10" s="29">
        <f>IF(B$2=0,0,B10/B$2)</f>
        <v>0.12280701754385964</v>
      </c>
      <c r="E10" s="80" t="s">
        <v>70</v>
      </c>
      <c r="F10" s="76" t="s">
        <v>24</v>
      </c>
      <c r="G10" s="62">
        <v>8</v>
      </c>
      <c r="H10" s="27">
        <f>IF(B$25=0,0,G10/B$25)</f>
        <v>6.0150375939849621E-2</v>
      </c>
      <c r="J10" s="26">
        <v>8</v>
      </c>
      <c r="K10" s="28">
        <v>55.700000000000017</v>
      </c>
    </row>
    <row r="11" spans="1:16" x14ac:dyDescent="0.4">
      <c r="A11" s="72" t="s">
        <v>211</v>
      </c>
      <c r="B11" s="64">
        <v>26</v>
      </c>
      <c r="C11" s="32">
        <f>IF(B$2=0,0,B11/B$2)</f>
        <v>0.22807017543859648</v>
      </c>
      <c r="E11" s="80" t="s">
        <v>93</v>
      </c>
      <c r="F11" s="76" t="s">
        <v>46</v>
      </c>
      <c r="G11" s="62">
        <v>8</v>
      </c>
      <c r="H11" s="27">
        <f>IF(B$25=0,0,G11/B$25)</f>
        <v>6.0150375939849621E-2</v>
      </c>
      <c r="J11" s="26">
        <v>9</v>
      </c>
      <c r="K11" s="28">
        <v>14.700000000000017</v>
      </c>
    </row>
    <row r="12" spans="1:16" x14ac:dyDescent="0.4">
      <c r="A12" s="73" t="s">
        <v>130</v>
      </c>
      <c r="B12" s="65">
        <v>105</v>
      </c>
      <c r="C12" s="35">
        <f>IF(B$24=0,0,B12/B$24)</f>
        <v>0.29005524861878451</v>
      </c>
      <c r="E12" s="80" t="s">
        <v>77</v>
      </c>
      <c r="F12" s="76" t="s">
        <v>30</v>
      </c>
      <c r="G12" s="62">
        <v>8</v>
      </c>
      <c r="H12" s="27">
        <f>IF(B$25=0,0,G12/B$25)</f>
        <v>6.0150375939849621E-2</v>
      </c>
      <c r="J12" s="26">
        <v>10</v>
      </c>
      <c r="K12" s="28">
        <v>-16.799999999999983</v>
      </c>
    </row>
    <row r="13" spans="1:16" x14ac:dyDescent="0.4">
      <c r="A13" s="70" t="s">
        <v>125</v>
      </c>
      <c r="B13" s="62">
        <v>78</v>
      </c>
      <c r="C13" s="27">
        <f>IF(B$24=0,0,B13/B$24)</f>
        <v>0.21546961325966851</v>
      </c>
      <c r="E13" s="80" t="s">
        <v>76</v>
      </c>
      <c r="F13" s="76" t="s">
        <v>29</v>
      </c>
      <c r="G13" s="62">
        <v>7</v>
      </c>
      <c r="H13" s="27">
        <f>IF(B$25=0,0,G13/B$25)</f>
        <v>5.2631578947368418E-2</v>
      </c>
      <c r="J13" s="26">
        <v>11</v>
      </c>
      <c r="K13" s="28">
        <v>1.5000000000000178</v>
      </c>
    </row>
    <row r="14" spans="1:16" x14ac:dyDescent="0.4">
      <c r="A14" s="69" t="s">
        <v>132</v>
      </c>
      <c r="B14" s="61">
        <v>74</v>
      </c>
      <c r="C14" s="24">
        <f>IF(B$12=0,0,B14/B$12)</f>
        <v>0.70476190476190481</v>
      </c>
      <c r="E14" s="80" t="s">
        <v>90</v>
      </c>
      <c r="F14" s="76" t="s">
        <v>43</v>
      </c>
      <c r="G14" s="62">
        <v>5</v>
      </c>
      <c r="H14" s="27">
        <f>IF(B$25=0,0,G14/B$25)</f>
        <v>3.7593984962406013E-2</v>
      </c>
      <c r="J14" s="26">
        <v>12</v>
      </c>
      <c r="K14" s="28">
        <v>14.300000000000018</v>
      </c>
    </row>
    <row r="15" spans="1:16" x14ac:dyDescent="0.4">
      <c r="A15" s="69" t="s">
        <v>133</v>
      </c>
      <c r="B15" s="61">
        <v>36</v>
      </c>
      <c r="C15" s="24">
        <f>IF(B$13=0,0,B15/B$13)</f>
        <v>0.46153846153846156</v>
      </c>
      <c r="E15" s="80" t="s">
        <v>88</v>
      </c>
      <c r="F15" s="76" t="s">
        <v>41</v>
      </c>
      <c r="G15" s="62">
        <v>3</v>
      </c>
      <c r="H15" s="27">
        <f>IF(B$25=0,0,G15/B$25)</f>
        <v>2.2556390977443608E-2</v>
      </c>
      <c r="J15" s="26">
        <v>13</v>
      </c>
      <c r="K15" s="28">
        <v>71.300000000000011</v>
      </c>
    </row>
    <row r="16" spans="1:16" x14ac:dyDescent="0.4">
      <c r="A16" s="69" t="s">
        <v>10</v>
      </c>
      <c r="B16" s="61">
        <f>B17+B18</f>
        <v>292</v>
      </c>
      <c r="C16" s="24">
        <f>IF(B$3=0,0,B16/B$3)</f>
        <v>0.35393939393939394</v>
      </c>
      <c r="E16" s="80" t="s">
        <v>83</v>
      </c>
      <c r="F16" s="76" t="s">
        <v>36</v>
      </c>
      <c r="G16" s="62">
        <v>2</v>
      </c>
      <c r="H16" s="27">
        <f>IF(B$25=0,0,G16/B$25)</f>
        <v>1.5037593984962405E-2</v>
      </c>
      <c r="J16" s="26">
        <v>14</v>
      </c>
      <c r="K16" s="28">
        <v>27.300000000000011</v>
      </c>
    </row>
    <row r="17" spans="1:11" x14ac:dyDescent="0.4">
      <c r="A17" s="70" t="s">
        <v>11</v>
      </c>
      <c r="B17" s="62">
        <v>183</v>
      </c>
      <c r="C17" s="27">
        <f>IF(B$3=0,0,B17/B$3)</f>
        <v>0.22181818181818183</v>
      </c>
      <c r="E17" s="80" t="s">
        <v>99</v>
      </c>
      <c r="F17" s="76" t="s">
        <v>52</v>
      </c>
      <c r="G17" s="62">
        <v>2</v>
      </c>
      <c r="H17" s="27">
        <f>IF(B$25=0,0,G17/B$25)</f>
        <v>1.5037593984962405E-2</v>
      </c>
      <c r="J17" s="26">
        <v>15</v>
      </c>
      <c r="K17" s="28">
        <v>-9.6999999999999886</v>
      </c>
    </row>
    <row r="18" spans="1:11" x14ac:dyDescent="0.4">
      <c r="A18" s="70" t="s">
        <v>12</v>
      </c>
      <c r="B18" s="62">
        <v>109</v>
      </c>
      <c r="C18" s="27">
        <f>IF(B$3=0,0,B18/B$3)</f>
        <v>0.13212121212121211</v>
      </c>
      <c r="E18" s="80" t="s">
        <v>79</v>
      </c>
      <c r="F18" s="76" t="s">
        <v>32</v>
      </c>
      <c r="G18" s="62">
        <v>2</v>
      </c>
      <c r="H18" s="27">
        <f>IF(B$25=0,0,G18/B$25)</f>
        <v>1.5037593984962405E-2</v>
      </c>
      <c r="J18" s="26">
        <v>16</v>
      </c>
      <c r="K18" s="28">
        <v>-8.099999999999989</v>
      </c>
    </row>
    <row r="19" spans="1:11" x14ac:dyDescent="0.4">
      <c r="A19" s="70" t="s">
        <v>13</v>
      </c>
      <c r="B19" s="62">
        <v>128</v>
      </c>
      <c r="C19" s="27">
        <f>IF(B$3=0,0,B19/B$3)</f>
        <v>0.15515151515151515</v>
      </c>
      <c r="E19" s="80" t="s">
        <v>85</v>
      </c>
      <c r="F19" s="76" t="s">
        <v>38</v>
      </c>
      <c r="G19" s="62">
        <v>1</v>
      </c>
      <c r="H19" s="27">
        <f>IF(B$25=0,0,G19/B$25)</f>
        <v>7.5187969924812026E-3</v>
      </c>
      <c r="J19" s="26">
        <v>17</v>
      </c>
      <c r="K19" s="28">
        <v>-29.499999999999986</v>
      </c>
    </row>
    <row r="20" spans="1:11" x14ac:dyDescent="0.4">
      <c r="A20" s="70" t="s">
        <v>5</v>
      </c>
      <c r="B20" s="66">
        <f>IF(B$16=0,0,C20/B$16)</f>
        <v>9906.1643835616433</v>
      </c>
      <c r="C20" s="30">
        <v>2892600</v>
      </c>
      <c r="E20" s="80" t="s">
        <v>98</v>
      </c>
      <c r="F20" s="76" t="s">
        <v>51</v>
      </c>
      <c r="G20" s="62">
        <v>1</v>
      </c>
      <c r="H20" s="27">
        <f>IF(B$25=0,0,G20/B$25)</f>
        <v>7.5187969924812026E-3</v>
      </c>
      <c r="J20" s="26">
        <v>18</v>
      </c>
      <c r="K20" s="28">
        <v>-14.599999999999985</v>
      </c>
    </row>
    <row r="21" spans="1:11" x14ac:dyDescent="0.4">
      <c r="A21" s="72" t="s">
        <v>14</v>
      </c>
      <c r="B21" s="67">
        <f>IF(B$19=0,0,C21/B$19)</f>
        <v>-9900.78125</v>
      </c>
      <c r="C21" s="60">
        <v>-1267300</v>
      </c>
      <c r="E21" s="80" t="s">
        <v>113</v>
      </c>
      <c r="F21" s="76" t="s">
        <v>120</v>
      </c>
      <c r="G21" s="62">
        <v>1</v>
      </c>
      <c r="H21" s="27">
        <f>IF(B$25=0,0,G21/B$25)</f>
        <v>7.5187969924812026E-3</v>
      </c>
      <c r="J21" s="26">
        <v>19</v>
      </c>
      <c r="K21" s="28">
        <v>42.600000000000016</v>
      </c>
    </row>
    <row r="22" spans="1:11" x14ac:dyDescent="0.4">
      <c r="A22" s="69" t="s">
        <v>198</v>
      </c>
      <c r="B22" s="61">
        <v>291</v>
      </c>
      <c r="C22" s="24">
        <f>IF(B$3=0,0,B22/B$3)</f>
        <v>0.35272727272727272</v>
      </c>
      <c r="E22" s="80" t="s">
        <v>84</v>
      </c>
      <c r="F22" s="76" t="s">
        <v>37</v>
      </c>
      <c r="G22" s="62">
        <v>1</v>
      </c>
      <c r="H22" s="27">
        <f>IF(B$25=0,0,G22/B$25)</f>
        <v>7.5187969924812026E-3</v>
      </c>
      <c r="J22" s="26">
        <v>20</v>
      </c>
      <c r="K22" s="28">
        <v>68.800000000000011</v>
      </c>
    </row>
    <row r="23" spans="1:11" x14ac:dyDescent="0.4">
      <c r="A23" s="72" t="s">
        <v>199</v>
      </c>
      <c r="B23" s="64">
        <v>123</v>
      </c>
      <c r="C23" s="32">
        <f>IF(B$22=0,0,B23/B$22)</f>
        <v>0.42268041237113402</v>
      </c>
      <c r="E23" s="80" t="s">
        <v>92</v>
      </c>
      <c r="F23" s="76" t="s">
        <v>45</v>
      </c>
      <c r="G23" s="62">
        <v>1</v>
      </c>
      <c r="H23" s="27">
        <f>IF(B$25=0,0,G23/B$25)</f>
        <v>7.5187969924812026E-3</v>
      </c>
      <c r="J23" s="26">
        <v>21</v>
      </c>
      <c r="K23" s="28">
        <v>125.30000000000001</v>
      </c>
    </row>
    <row r="24" spans="1:11" x14ac:dyDescent="0.4">
      <c r="A24" s="69" t="s">
        <v>128</v>
      </c>
      <c r="B24" s="88">
        <v>362</v>
      </c>
      <c r="C24" s="89"/>
      <c r="E24" s="80" t="s">
        <v>80</v>
      </c>
      <c r="F24" s="76" t="s">
        <v>33</v>
      </c>
      <c r="G24" s="62">
        <v>0</v>
      </c>
      <c r="H24" s="27">
        <f>IF(B$25=0,0,G24/B$25)</f>
        <v>0</v>
      </c>
      <c r="J24" s="26">
        <v>22</v>
      </c>
      <c r="K24" s="28">
        <v>99.800000000000011</v>
      </c>
    </row>
    <row r="25" spans="1:11" x14ac:dyDescent="0.4">
      <c r="A25" s="72" t="s">
        <v>129</v>
      </c>
      <c r="B25" s="90">
        <v>133</v>
      </c>
      <c r="C25" s="91"/>
      <c r="E25" s="80" t="s">
        <v>81</v>
      </c>
      <c r="F25" s="76" t="s">
        <v>34</v>
      </c>
      <c r="G25" s="62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">
      <c r="E26" s="80" t="s">
        <v>82</v>
      </c>
      <c r="F26" s="76" t="s">
        <v>35</v>
      </c>
      <c r="G26" s="62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80" t="s">
        <v>86</v>
      </c>
      <c r="F27" s="76" t="s">
        <v>39</v>
      </c>
      <c r="G27" s="62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80" t="s">
        <v>87</v>
      </c>
      <c r="F28" s="76" t="s">
        <v>40</v>
      </c>
      <c r="G28" s="62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80" t="s">
        <v>89</v>
      </c>
      <c r="F29" s="76" t="s">
        <v>42</v>
      </c>
      <c r="G29" s="62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80" t="s">
        <v>91</v>
      </c>
      <c r="F30" s="76" t="s">
        <v>44</v>
      </c>
      <c r="G30" s="62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80" t="s">
        <v>94</v>
      </c>
      <c r="F31" s="76" t="s">
        <v>47</v>
      </c>
      <c r="G31" s="62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80" t="s">
        <v>95</v>
      </c>
      <c r="F32" s="76" t="s">
        <v>48</v>
      </c>
      <c r="G32" s="62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80" t="s">
        <v>97</v>
      </c>
      <c r="F33" s="76" t="s">
        <v>50</v>
      </c>
      <c r="G33" s="62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80" t="s">
        <v>100</v>
      </c>
      <c r="F34" s="76" t="s">
        <v>53</v>
      </c>
      <c r="G34" s="62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80" t="s">
        <v>101</v>
      </c>
      <c r="F35" s="76" t="s">
        <v>54</v>
      </c>
      <c r="G35" s="62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80" t="s">
        <v>102</v>
      </c>
      <c r="F36" s="76" t="s">
        <v>55</v>
      </c>
      <c r="G36" s="62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80" t="s">
        <v>103</v>
      </c>
      <c r="F37" s="76" t="s">
        <v>56</v>
      </c>
      <c r="G37" s="62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80" t="s">
        <v>104</v>
      </c>
      <c r="F38" s="76" t="s">
        <v>57</v>
      </c>
      <c r="G38" s="62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80" t="s">
        <v>105</v>
      </c>
      <c r="F39" s="76" t="s">
        <v>58</v>
      </c>
      <c r="G39" s="62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80" t="s">
        <v>106</v>
      </c>
      <c r="F40" s="76" t="s">
        <v>59</v>
      </c>
      <c r="G40" s="62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80" t="s">
        <v>107</v>
      </c>
      <c r="F41" s="76" t="s">
        <v>60</v>
      </c>
      <c r="G41" s="62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80" t="s">
        <v>108</v>
      </c>
      <c r="F42" s="76" t="s">
        <v>61</v>
      </c>
      <c r="G42" s="62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80" t="s">
        <v>109</v>
      </c>
      <c r="F43" s="76" t="s">
        <v>62</v>
      </c>
      <c r="G43" s="62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80" t="s">
        <v>110</v>
      </c>
      <c r="F44" s="76" t="s">
        <v>63</v>
      </c>
      <c r="G44" s="62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80" t="s">
        <v>111</v>
      </c>
      <c r="F45" s="76" t="s">
        <v>64</v>
      </c>
      <c r="G45" s="62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80" t="s">
        <v>112</v>
      </c>
      <c r="F46" s="76" t="s">
        <v>119</v>
      </c>
      <c r="G46" s="62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</sheetData>
  <sortState ref="E2:H116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4D73-58F4-4A60-AA44-D01D387667BE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194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4</v>
      </c>
      <c r="C2" s="89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-9250</v>
      </c>
      <c r="O2" s="53">
        <v>-37000</v>
      </c>
      <c r="P2" s="51">
        <v>4</v>
      </c>
    </row>
    <row r="3" spans="1:16" x14ac:dyDescent="0.4">
      <c r="A3" s="70" t="s">
        <v>8</v>
      </c>
      <c r="B3" s="94">
        <v>25</v>
      </c>
      <c r="C3" s="95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-22</v>
      </c>
      <c r="M3" s="26" t="s">
        <v>202</v>
      </c>
      <c r="N3" s="57">
        <f t="shared" si="0"/>
        <v>-7225</v>
      </c>
      <c r="O3" s="54">
        <v>-28900</v>
      </c>
      <c r="P3" s="49">
        <v>4</v>
      </c>
    </row>
    <row r="4" spans="1:16" x14ac:dyDescent="0.4">
      <c r="A4" s="70" t="s">
        <v>6</v>
      </c>
      <c r="B4" s="96">
        <v>-132.1</v>
      </c>
      <c r="C4" s="97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-60.4</v>
      </c>
      <c r="M4" s="26" t="s">
        <v>203</v>
      </c>
      <c r="N4" s="57">
        <f t="shared" si="0"/>
        <v>-10875</v>
      </c>
      <c r="O4" s="54">
        <v>-43500</v>
      </c>
      <c r="P4" s="49">
        <v>4</v>
      </c>
    </row>
    <row r="5" spans="1:16" x14ac:dyDescent="0.4">
      <c r="A5" s="70" t="s">
        <v>7</v>
      </c>
      <c r="B5" s="96">
        <f>IF(B$2=0,0,B$4/B$2)</f>
        <v>-33.024999999999999</v>
      </c>
      <c r="C5" s="97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-85.6</v>
      </c>
      <c r="M5" s="26" t="s">
        <v>204</v>
      </c>
      <c r="N5" s="57">
        <f t="shared" si="0"/>
        <v>-2850</v>
      </c>
      <c r="O5" s="54">
        <v>-5700</v>
      </c>
      <c r="P5" s="49">
        <v>2</v>
      </c>
    </row>
    <row r="6" spans="1:16" x14ac:dyDescent="0.4">
      <c r="A6" s="70" t="s">
        <v>1</v>
      </c>
      <c r="B6" s="98">
        <f>IF(B$2=0,0,(B$7*1+B$8*2+B$9*3)/B$2)</f>
        <v>3</v>
      </c>
      <c r="C6" s="99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-132.1</v>
      </c>
      <c r="M6" s="26" t="s">
        <v>205</v>
      </c>
      <c r="N6" s="57">
        <f t="shared" si="0"/>
        <v>-6000</v>
      </c>
      <c r="O6" s="54">
        <v>-12000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-5000</v>
      </c>
      <c r="O7" s="55">
        <v>-5000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4</v>
      </c>
      <c r="C9" s="29">
        <f t="shared" si="1"/>
        <v>1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2</v>
      </c>
      <c r="C10" s="29">
        <f>IF(B$2=0,0,B10/B$2)</f>
        <v>0.5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0.04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0.04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10</v>
      </c>
      <c r="C19" s="27">
        <f>IF(B$3=0,0,B19/B$3)</f>
        <v>0.4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7800</v>
      </c>
      <c r="C20" s="30">
        <v>7800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-8240</v>
      </c>
      <c r="C21" s="60">
        <v>-82400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0</v>
      </c>
      <c r="C24" s="89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0</v>
      </c>
      <c r="C25" s="91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C9D0A-D062-44F0-AD14-4EBD175BD158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218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2</v>
      </c>
      <c r="C2" s="89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-11250</v>
      </c>
      <c r="O2" s="53">
        <v>-22500</v>
      </c>
      <c r="P2" s="51">
        <v>2</v>
      </c>
    </row>
    <row r="3" spans="1:16" x14ac:dyDescent="0.4">
      <c r="A3" s="70" t="s">
        <v>8</v>
      </c>
      <c r="B3" s="94">
        <v>7</v>
      </c>
      <c r="C3" s="95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7</v>
      </c>
      <c r="M3" s="26" t="s">
        <v>202</v>
      </c>
      <c r="N3" s="57">
        <f t="shared" si="0"/>
        <v>0</v>
      </c>
      <c r="O3" s="54">
        <v>0</v>
      </c>
      <c r="P3" s="49">
        <v>1</v>
      </c>
    </row>
    <row r="4" spans="1:16" x14ac:dyDescent="0.4">
      <c r="A4" s="70" t="s">
        <v>6</v>
      </c>
      <c r="B4" s="96">
        <v>-24.5</v>
      </c>
      <c r="C4" s="97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-24.5</v>
      </c>
      <c r="M4" s="26" t="s">
        <v>203</v>
      </c>
      <c r="N4" s="57">
        <f t="shared" si="0"/>
        <v>-2000</v>
      </c>
      <c r="O4" s="54">
        <v>-2000</v>
      </c>
      <c r="P4" s="49">
        <v>1</v>
      </c>
    </row>
    <row r="5" spans="1:16" x14ac:dyDescent="0.4">
      <c r="A5" s="70" t="s">
        <v>7</v>
      </c>
      <c r="B5" s="96">
        <f>IF(B$2=0,0,B$4/B$2)</f>
        <v>-12.25</v>
      </c>
      <c r="C5" s="97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0</v>
      </c>
      <c r="O5" s="54">
        <v>0</v>
      </c>
      <c r="P5" s="49">
        <v>0</v>
      </c>
    </row>
    <row r="6" spans="1:16" x14ac:dyDescent="0.4">
      <c r="A6" s="70" t="s">
        <v>1</v>
      </c>
      <c r="B6" s="98">
        <f>IF(B$2=0,0,(B$7*1+B$8*2+B$9*3)/B$2)</f>
        <v>2.5</v>
      </c>
      <c r="C6" s="99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0.5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1</v>
      </c>
      <c r="C9" s="29">
        <f t="shared" si="1"/>
        <v>0.5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1</v>
      </c>
      <c r="C12" s="35">
        <f>IF(B$24=0,0,B12/B$24)</f>
        <v>0.5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0.2857142857142857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2</v>
      </c>
      <c r="C17" s="27">
        <f>IF(B$3=0,0,B17/B$3)</f>
        <v>0.2857142857142857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0.2857142857142857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8000</v>
      </c>
      <c r="C20" s="30">
        <v>16000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-12000</v>
      </c>
      <c r="C21" s="60">
        <v>-24000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0.14285714285714285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2</v>
      </c>
      <c r="C24" s="89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0</v>
      </c>
      <c r="C25" s="91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EC35-A2DD-4AB5-9073-14722322CC89}">
  <sheetPr codeName="Sheet7"/>
  <dimension ref="A1:P8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190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79</v>
      </c>
      <c r="C2" s="89"/>
      <c r="E2" s="79" t="s">
        <v>73</v>
      </c>
      <c r="F2" s="75" t="s">
        <v>27</v>
      </c>
      <c r="G2" s="61">
        <v>65</v>
      </c>
      <c r="H2" s="24">
        <f>IF(B$25=0,0,G2/B$25)</f>
        <v>0.7303370786516854</v>
      </c>
      <c r="J2" s="23">
        <v>0</v>
      </c>
      <c r="K2" s="25">
        <v>0</v>
      </c>
      <c r="M2" s="23" t="s">
        <v>201</v>
      </c>
      <c r="N2" s="56">
        <f t="shared" ref="N2:N7" si="0">IF(P2=0,0,O2/P2)</f>
        <v>-88.311688311688314</v>
      </c>
      <c r="O2" s="53">
        <v>-6800</v>
      </c>
      <c r="P2" s="51">
        <v>77</v>
      </c>
    </row>
    <row r="3" spans="1:16" x14ac:dyDescent="0.4">
      <c r="A3" s="70" t="s">
        <v>8</v>
      </c>
      <c r="B3" s="94">
        <v>588</v>
      </c>
      <c r="C3" s="95"/>
      <c r="E3" s="80" t="s">
        <v>71</v>
      </c>
      <c r="F3" s="76" t="s">
        <v>25</v>
      </c>
      <c r="G3" s="62">
        <v>57</v>
      </c>
      <c r="H3" s="27">
        <f>IF(B$25=0,0,G3/B$25)</f>
        <v>0.6404494382022472</v>
      </c>
      <c r="J3" s="26">
        <v>1</v>
      </c>
      <c r="K3" s="28">
        <v>40.9</v>
      </c>
      <c r="M3" s="26" t="s">
        <v>202</v>
      </c>
      <c r="N3" s="57">
        <f t="shared" si="0"/>
        <v>-2173.972602739726</v>
      </c>
      <c r="O3" s="54">
        <v>-158700</v>
      </c>
      <c r="P3" s="49">
        <v>73</v>
      </c>
    </row>
    <row r="4" spans="1:16" x14ac:dyDescent="0.4">
      <c r="A4" s="70" t="s">
        <v>6</v>
      </c>
      <c r="B4" s="96">
        <v>-383.99999999999989</v>
      </c>
      <c r="C4" s="97"/>
      <c r="E4" s="80" t="s">
        <v>69</v>
      </c>
      <c r="F4" s="76" t="s">
        <v>23</v>
      </c>
      <c r="G4" s="62">
        <v>51</v>
      </c>
      <c r="H4" s="27">
        <f>IF(B$25=0,0,G4/B$25)</f>
        <v>0.5730337078651685</v>
      </c>
      <c r="J4" s="26">
        <v>2</v>
      </c>
      <c r="K4" s="28">
        <v>-0.89999999999999858</v>
      </c>
      <c r="M4" s="26" t="s">
        <v>203</v>
      </c>
      <c r="N4" s="57">
        <f t="shared" si="0"/>
        <v>2112.676056338028</v>
      </c>
      <c r="O4" s="54">
        <v>150000</v>
      </c>
      <c r="P4" s="49">
        <v>71</v>
      </c>
    </row>
    <row r="5" spans="1:16" x14ac:dyDescent="0.4">
      <c r="A5" s="70" t="s">
        <v>7</v>
      </c>
      <c r="B5" s="96">
        <f>IF(B$2=0,0,B$4/B$2)</f>
        <v>-4.8607594936708844</v>
      </c>
      <c r="C5" s="97"/>
      <c r="E5" s="80" t="s">
        <v>78</v>
      </c>
      <c r="F5" s="76" t="s">
        <v>31</v>
      </c>
      <c r="G5" s="62">
        <v>50</v>
      </c>
      <c r="H5" s="27">
        <f>IF(B$25=0,0,G5/B$25)</f>
        <v>0.5617977528089888</v>
      </c>
      <c r="J5" s="26">
        <v>3</v>
      </c>
      <c r="K5" s="28">
        <v>-36.4</v>
      </c>
      <c r="M5" s="26" t="s">
        <v>204</v>
      </c>
      <c r="N5" s="57">
        <f t="shared" si="0"/>
        <v>-1529.0322580645161</v>
      </c>
      <c r="O5" s="54">
        <v>-94800</v>
      </c>
      <c r="P5" s="49">
        <v>62</v>
      </c>
    </row>
    <row r="6" spans="1:16" x14ac:dyDescent="0.4">
      <c r="A6" s="70" t="s">
        <v>1</v>
      </c>
      <c r="B6" s="98">
        <f>IF(B$2=0,0,(B$7*1+B$8*2+B$9*3)/B$2)</f>
        <v>2.1392405063291138</v>
      </c>
      <c r="C6" s="99"/>
      <c r="E6" s="80" t="s">
        <v>74</v>
      </c>
      <c r="F6" s="76" t="s">
        <v>12</v>
      </c>
      <c r="G6" s="62">
        <v>29</v>
      </c>
      <c r="H6" s="27">
        <f>IF(B$25=0,0,G6/B$25)</f>
        <v>0.3258426966292135</v>
      </c>
      <c r="J6" s="26">
        <v>4</v>
      </c>
      <c r="K6" s="28">
        <v>3.6000000000000014</v>
      </c>
      <c r="M6" s="26" t="s">
        <v>205</v>
      </c>
      <c r="N6" s="57">
        <f t="shared" si="0"/>
        <v>-3830</v>
      </c>
      <c r="O6" s="54">
        <v>-191500</v>
      </c>
      <c r="P6" s="49">
        <v>50</v>
      </c>
    </row>
    <row r="7" spans="1:16" x14ac:dyDescent="0.4">
      <c r="A7" s="70" t="s">
        <v>2</v>
      </c>
      <c r="B7" s="62">
        <v>23</v>
      </c>
      <c r="C7" s="27">
        <f>IF(B$2=0,0,B7/B$2)</f>
        <v>0.29113924050632911</v>
      </c>
      <c r="E7" s="80" t="s">
        <v>72</v>
      </c>
      <c r="F7" s="76" t="s">
        <v>26</v>
      </c>
      <c r="G7" s="62">
        <v>17</v>
      </c>
      <c r="H7" s="27">
        <f>IF(B$25=0,0,G7/B$25)</f>
        <v>0.19101123595505617</v>
      </c>
      <c r="J7" s="26">
        <v>5</v>
      </c>
      <c r="K7" s="28">
        <v>14.600000000000001</v>
      </c>
      <c r="M7" s="31" t="s">
        <v>206</v>
      </c>
      <c r="N7" s="58">
        <f t="shared" si="0"/>
        <v>-2654.0540540540542</v>
      </c>
      <c r="O7" s="55">
        <v>-98200</v>
      </c>
      <c r="P7" s="50">
        <v>37</v>
      </c>
    </row>
    <row r="8" spans="1:16" x14ac:dyDescent="0.4">
      <c r="A8" s="70" t="s">
        <v>3</v>
      </c>
      <c r="B8" s="62">
        <v>22</v>
      </c>
      <c r="C8" s="27">
        <f t="shared" ref="C8:C9" si="1">IF(B$2=0,0,B8/B$2)</f>
        <v>0.27848101265822783</v>
      </c>
      <c r="E8" s="80" t="s">
        <v>76</v>
      </c>
      <c r="F8" s="76" t="s">
        <v>29</v>
      </c>
      <c r="G8" s="62">
        <v>14</v>
      </c>
      <c r="H8" s="27">
        <f>IF(B$25=0,0,G8/B$25)</f>
        <v>0.15730337078651685</v>
      </c>
      <c r="J8" s="26">
        <v>6</v>
      </c>
      <c r="K8" s="28">
        <v>47.6</v>
      </c>
    </row>
    <row r="9" spans="1:16" x14ac:dyDescent="0.4">
      <c r="A9" s="71" t="s">
        <v>4</v>
      </c>
      <c r="B9" s="63">
        <v>34</v>
      </c>
      <c r="C9" s="29">
        <f t="shared" si="1"/>
        <v>0.43037974683544306</v>
      </c>
      <c r="E9" s="80" t="s">
        <v>96</v>
      </c>
      <c r="F9" s="76" t="s">
        <v>49</v>
      </c>
      <c r="G9" s="62">
        <v>14</v>
      </c>
      <c r="H9" s="27">
        <f>IF(B$25=0,0,G9/B$25)</f>
        <v>0.15730337078651685</v>
      </c>
      <c r="J9" s="26">
        <v>7</v>
      </c>
      <c r="K9" s="28">
        <v>100.1</v>
      </c>
    </row>
    <row r="10" spans="1:16" x14ac:dyDescent="0.4">
      <c r="A10" s="71" t="s">
        <v>21</v>
      </c>
      <c r="B10" s="63">
        <v>20</v>
      </c>
      <c r="C10" s="29">
        <f>IF(B$2=0,0,B10/B$2)</f>
        <v>0.25316455696202533</v>
      </c>
      <c r="E10" s="80" t="s">
        <v>75</v>
      </c>
      <c r="F10" s="76" t="s">
        <v>28</v>
      </c>
      <c r="G10" s="62">
        <v>12</v>
      </c>
      <c r="H10" s="27">
        <f>IF(B$25=0,0,G10/B$25)</f>
        <v>0.1348314606741573</v>
      </c>
      <c r="J10" s="26">
        <v>8</v>
      </c>
      <c r="K10" s="28">
        <v>60.199999999999996</v>
      </c>
    </row>
    <row r="11" spans="1:16" x14ac:dyDescent="0.4">
      <c r="A11" s="72" t="s">
        <v>211</v>
      </c>
      <c r="B11" s="64">
        <v>12</v>
      </c>
      <c r="C11" s="32">
        <f>IF(B$2=0,0,B11/B$2)</f>
        <v>0.15189873417721519</v>
      </c>
      <c r="E11" s="80" t="s">
        <v>70</v>
      </c>
      <c r="F11" s="76" t="s">
        <v>24</v>
      </c>
      <c r="G11" s="62">
        <v>10</v>
      </c>
      <c r="H11" s="27">
        <f>IF(B$25=0,0,G11/B$25)</f>
        <v>0.11235955056179775</v>
      </c>
      <c r="J11" s="26">
        <v>9</v>
      </c>
      <c r="K11" s="28">
        <v>24.4</v>
      </c>
    </row>
    <row r="12" spans="1:16" x14ac:dyDescent="0.4">
      <c r="A12" s="73" t="s">
        <v>130</v>
      </c>
      <c r="B12" s="65">
        <v>95</v>
      </c>
      <c r="C12" s="35">
        <f>IF(B$24=0,0,B12/B$24)</f>
        <v>0.29051987767584098</v>
      </c>
      <c r="E12" s="80" t="s">
        <v>93</v>
      </c>
      <c r="F12" s="76" t="s">
        <v>46</v>
      </c>
      <c r="G12" s="62">
        <v>10</v>
      </c>
      <c r="H12" s="27">
        <f>IF(B$25=0,0,G12/B$25)</f>
        <v>0.11235955056179775</v>
      </c>
      <c r="J12" s="26">
        <v>10</v>
      </c>
      <c r="K12" s="28">
        <v>-20.100000000000001</v>
      </c>
    </row>
    <row r="13" spans="1:16" x14ac:dyDescent="0.4">
      <c r="A13" s="70" t="s">
        <v>125</v>
      </c>
      <c r="B13" s="62">
        <v>57</v>
      </c>
      <c r="C13" s="27">
        <f>IF(B$24=0,0,B13/B$24)</f>
        <v>0.1743119266055046</v>
      </c>
      <c r="E13" s="80" t="s">
        <v>90</v>
      </c>
      <c r="F13" s="76" t="s">
        <v>43</v>
      </c>
      <c r="G13" s="62">
        <v>9</v>
      </c>
      <c r="H13" s="27">
        <f>IF(B$25=0,0,G13/B$25)</f>
        <v>0.10112359550561797</v>
      </c>
      <c r="J13" s="26">
        <v>11</v>
      </c>
      <c r="K13" s="28">
        <v>-3.6000000000000014</v>
      </c>
    </row>
    <row r="14" spans="1:16" x14ac:dyDescent="0.4">
      <c r="A14" s="69" t="s">
        <v>132</v>
      </c>
      <c r="B14" s="61">
        <v>51</v>
      </c>
      <c r="C14" s="24">
        <f>IF(B$12=0,0,B14/B$12)</f>
        <v>0.5368421052631579</v>
      </c>
      <c r="E14" s="80" t="s">
        <v>98</v>
      </c>
      <c r="F14" s="76" t="s">
        <v>51</v>
      </c>
      <c r="G14" s="62">
        <v>6</v>
      </c>
      <c r="H14" s="27">
        <f>IF(B$25=0,0,G14/B$25)</f>
        <v>6.741573033707865E-2</v>
      </c>
      <c r="J14" s="26">
        <v>12</v>
      </c>
      <c r="K14" s="28">
        <v>-12.000000000000002</v>
      </c>
    </row>
    <row r="15" spans="1:16" x14ac:dyDescent="0.4">
      <c r="A15" s="69" t="s">
        <v>133</v>
      </c>
      <c r="B15" s="61">
        <v>23</v>
      </c>
      <c r="C15" s="24">
        <f>IF(B$13=0,0,B15/B$13)</f>
        <v>0.40350877192982454</v>
      </c>
      <c r="E15" s="80" t="s">
        <v>88</v>
      </c>
      <c r="F15" s="76" t="s">
        <v>41</v>
      </c>
      <c r="G15" s="62">
        <v>4</v>
      </c>
      <c r="H15" s="27">
        <f>IF(B$25=0,0,G15/B$25)</f>
        <v>4.49438202247191E-2</v>
      </c>
      <c r="J15" s="26">
        <v>13</v>
      </c>
      <c r="K15" s="28">
        <v>49.5</v>
      </c>
    </row>
    <row r="16" spans="1:16" x14ac:dyDescent="0.4">
      <c r="A16" s="69" t="s">
        <v>10</v>
      </c>
      <c r="B16" s="61">
        <f>B17+B18</f>
        <v>150</v>
      </c>
      <c r="C16" s="24">
        <f>IF(B$3=0,0,B16/B$3)</f>
        <v>0.25510204081632654</v>
      </c>
      <c r="E16" s="80" t="s">
        <v>77</v>
      </c>
      <c r="F16" s="76" t="s">
        <v>30</v>
      </c>
      <c r="G16" s="62">
        <v>3</v>
      </c>
      <c r="H16" s="27">
        <f>IF(B$25=0,0,G16/B$25)</f>
        <v>3.3707865168539325E-2</v>
      </c>
      <c r="J16" s="26">
        <v>14</v>
      </c>
      <c r="K16" s="28">
        <v>33</v>
      </c>
    </row>
    <row r="17" spans="1:11" x14ac:dyDescent="0.4">
      <c r="A17" s="70" t="s">
        <v>11</v>
      </c>
      <c r="B17" s="62">
        <v>89</v>
      </c>
      <c r="C17" s="27">
        <f>IF(B$3=0,0,B17/B$3)</f>
        <v>0.15136054421768708</v>
      </c>
      <c r="E17" s="80" t="s">
        <v>84</v>
      </c>
      <c r="F17" s="76" t="s">
        <v>37</v>
      </c>
      <c r="G17" s="62">
        <v>2</v>
      </c>
      <c r="H17" s="27">
        <f>IF(B$25=0,0,G17/B$25)</f>
        <v>2.247191011235955E-2</v>
      </c>
      <c r="J17" s="26">
        <v>15</v>
      </c>
      <c r="K17" s="28">
        <v>38.5</v>
      </c>
    </row>
    <row r="18" spans="1:11" x14ac:dyDescent="0.4">
      <c r="A18" s="70" t="s">
        <v>12</v>
      </c>
      <c r="B18" s="62">
        <v>61</v>
      </c>
      <c r="C18" s="27">
        <f>IF(B$3=0,0,B18/B$3)</f>
        <v>0.10374149659863946</v>
      </c>
      <c r="E18" s="80" t="s">
        <v>85</v>
      </c>
      <c r="F18" s="76" t="s">
        <v>38</v>
      </c>
      <c r="G18" s="62">
        <v>2</v>
      </c>
      <c r="H18" s="27">
        <f>IF(B$25=0,0,G18/B$25)</f>
        <v>2.247191011235955E-2</v>
      </c>
      <c r="J18" s="26">
        <v>16</v>
      </c>
      <c r="K18" s="28">
        <v>14.600000000000001</v>
      </c>
    </row>
    <row r="19" spans="1:11" x14ac:dyDescent="0.4">
      <c r="A19" s="70" t="s">
        <v>13</v>
      </c>
      <c r="B19" s="62">
        <v>117</v>
      </c>
      <c r="C19" s="27">
        <f>IF(B$3=0,0,B19/B$3)</f>
        <v>0.19897959183673469</v>
      </c>
      <c r="E19" s="80" t="s">
        <v>99</v>
      </c>
      <c r="F19" s="76" t="s">
        <v>52</v>
      </c>
      <c r="G19" s="62">
        <v>2</v>
      </c>
      <c r="H19" s="27">
        <f>IF(B$25=0,0,G19/B$25)</f>
        <v>2.247191011235955E-2</v>
      </c>
      <c r="J19" s="26">
        <v>17</v>
      </c>
      <c r="K19" s="28">
        <v>13.900000000000002</v>
      </c>
    </row>
    <row r="20" spans="1:11" x14ac:dyDescent="0.4">
      <c r="A20" s="70" t="s">
        <v>5</v>
      </c>
      <c r="B20" s="66">
        <f>IF(B$16=0,0,C20/B$16)</f>
        <v>11396.666666666666</v>
      </c>
      <c r="C20" s="30">
        <v>1709500</v>
      </c>
      <c r="E20" s="80" t="s">
        <v>87</v>
      </c>
      <c r="F20" s="76" t="s">
        <v>40</v>
      </c>
      <c r="G20" s="62">
        <v>1</v>
      </c>
      <c r="H20" s="27">
        <f>IF(B$25=0,0,G20/B$25)</f>
        <v>1.1235955056179775E-2</v>
      </c>
      <c r="J20" s="26">
        <v>18</v>
      </c>
      <c r="K20" s="28">
        <v>-21.999999999999996</v>
      </c>
    </row>
    <row r="21" spans="1:11" x14ac:dyDescent="0.4">
      <c r="A21" s="72" t="s">
        <v>14</v>
      </c>
      <c r="B21" s="67">
        <f>IF(B$19=0,0,C21/B$19)</f>
        <v>-10582.905982905982</v>
      </c>
      <c r="C21" s="60">
        <v>-1238200</v>
      </c>
      <c r="E21" s="80" t="s">
        <v>91</v>
      </c>
      <c r="F21" s="76" t="s">
        <v>44</v>
      </c>
      <c r="G21" s="62">
        <v>1</v>
      </c>
      <c r="H21" s="27">
        <f>IF(B$25=0,0,G21/B$25)</f>
        <v>1.1235955056179775E-2</v>
      </c>
      <c r="J21" s="26">
        <v>19</v>
      </c>
      <c r="K21" s="28">
        <v>-26.699999999999996</v>
      </c>
    </row>
    <row r="22" spans="1:11" x14ac:dyDescent="0.4">
      <c r="A22" s="69" t="s">
        <v>198</v>
      </c>
      <c r="B22" s="61">
        <v>181</v>
      </c>
      <c r="C22" s="24">
        <f>IF(B$3=0,0,B22/B$3)</f>
        <v>0.30782312925170069</v>
      </c>
      <c r="E22" s="80" t="s">
        <v>92</v>
      </c>
      <c r="F22" s="76" t="s">
        <v>45</v>
      </c>
      <c r="G22" s="62">
        <v>1</v>
      </c>
      <c r="H22" s="27">
        <f>IF(B$25=0,0,G22/B$25)</f>
        <v>1.1235955056179775E-2</v>
      </c>
      <c r="J22" s="26">
        <v>20</v>
      </c>
      <c r="K22" s="28">
        <v>-57.899999999999991</v>
      </c>
    </row>
    <row r="23" spans="1:11" x14ac:dyDescent="0.4">
      <c r="A23" s="72" t="s">
        <v>199</v>
      </c>
      <c r="B23" s="64">
        <v>56</v>
      </c>
      <c r="C23" s="32">
        <f>IF(B$22=0,0,B23/B$22)</f>
        <v>0.30939226519337015</v>
      </c>
      <c r="E23" s="80" t="s">
        <v>94</v>
      </c>
      <c r="F23" s="76" t="s">
        <v>47</v>
      </c>
      <c r="G23" s="62">
        <v>1</v>
      </c>
      <c r="H23" s="27">
        <f>IF(B$25=0,0,G23/B$25)</f>
        <v>1.1235955056179775E-2</v>
      </c>
      <c r="J23" s="26">
        <v>21</v>
      </c>
      <c r="K23" s="28">
        <v>-82.699999999999989</v>
      </c>
    </row>
    <row r="24" spans="1:11" x14ac:dyDescent="0.4">
      <c r="A24" s="69" t="s">
        <v>128</v>
      </c>
      <c r="B24" s="88">
        <v>327</v>
      </c>
      <c r="C24" s="89"/>
      <c r="E24" s="80" t="s">
        <v>95</v>
      </c>
      <c r="F24" s="76" t="s">
        <v>48</v>
      </c>
      <c r="G24" s="62">
        <v>1</v>
      </c>
      <c r="H24" s="27">
        <f>IF(B$25=0,0,G24/B$25)</f>
        <v>1.1235955056179775E-2</v>
      </c>
      <c r="J24" s="26">
        <v>22</v>
      </c>
      <c r="K24" s="28">
        <v>-94.6</v>
      </c>
    </row>
    <row r="25" spans="1:11" x14ac:dyDescent="0.4">
      <c r="A25" s="72" t="s">
        <v>129</v>
      </c>
      <c r="B25" s="90">
        <v>89</v>
      </c>
      <c r="C25" s="91"/>
      <c r="E25" s="80" t="s">
        <v>79</v>
      </c>
      <c r="F25" s="76" t="s">
        <v>32</v>
      </c>
      <c r="G25" s="62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80" t="s">
        <v>80</v>
      </c>
      <c r="F26" s="76" t="s">
        <v>33</v>
      </c>
      <c r="G26" s="62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80" t="s">
        <v>81</v>
      </c>
      <c r="F27" s="76" t="s">
        <v>34</v>
      </c>
      <c r="G27" s="62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80" t="s">
        <v>82</v>
      </c>
      <c r="F28" s="76" t="s">
        <v>35</v>
      </c>
      <c r="G28" s="62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80" t="s">
        <v>83</v>
      </c>
      <c r="F29" s="76" t="s">
        <v>36</v>
      </c>
      <c r="G29" s="62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80" t="s">
        <v>86</v>
      </c>
      <c r="F30" s="76" t="s">
        <v>39</v>
      </c>
      <c r="G30" s="62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80" t="s">
        <v>89</v>
      </c>
      <c r="F31" s="76" t="s">
        <v>42</v>
      </c>
      <c r="G31" s="62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80" t="s">
        <v>97</v>
      </c>
      <c r="F32" s="76" t="s">
        <v>50</v>
      </c>
      <c r="G32" s="62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</sheetData>
  <sortState ref="E2:H8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CB99B-0B0B-427E-A2E7-DB4A0A69C6A4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191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42</v>
      </c>
      <c r="C2" s="89"/>
      <c r="E2" s="79" t="s">
        <v>71</v>
      </c>
      <c r="F2" s="75" t="s">
        <v>25</v>
      </c>
      <c r="G2" s="61">
        <v>16</v>
      </c>
      <c r="H2" s="24">
        <f>IF(B$25=0,0,G2/B$25)</f>
        <v>0.88888888888888884</v>
      </c>
      <c r="J2" s="23">
        <v>0</v>
      </c>
      <c r="K2" s="25">
        <v>0</v>
      </c>
      <c r="M2" s="23" t="s">
        <v>201</v>
      </c>
      <c r="N2" s="56">
        <f t="shared" ref="N2:N7" si="0">IF(P2=0,0,O2/P2)</f>
        <v>-1211.9047619047619</v>
      </c>
      <c r="O2" s="53">
        <v>-50900</v>
      </c>
      <c r="P2" s="51">
        <v>42</v>
      </c>
    </row>
    <row r="3" spans="1:16" x14ac:dyDescent="0.4">
      <c r="A3" s="70" t="s">
        <v>8</v>
      </c>
      <c r="B3" s="94">
        <v>300</v>
      </c>
      <c r="C3" s="95"/>
      <c r="E3" s="80" t="s">
        <v>73</v>
      </c>
      <c r="F3" s="76" t="s">
        <v>27</v>
      </c>
      <c r="G3" s="62">
        <v>16</v>
      </c>
      <c r="H3" s="27">
        <f>IF(B$25=0,0,G3/B$25)</f>
        <v>0.88888888888888884</v>
      </c>
      <c r="J3" s="26">
        <v>1</v>
      </c>
      <c r="K3" s="28">
        <v>-39.9</v>
      </c>
      <c r="M3" s="26" t="s">
        <v>202</v>
      </c>
      <c r="N3" s="57">
        <f t="shared" si="0"/>
        <v>3705</v>
      </c>
      <c r="O3" s="54">
        <v>148200</v>
      </c>
      <c r="P3" s="49">
        <v>40</v>
      </c>
    </row>
    <row r="4" spans="1:16" x14ac:dyDescent="0.4">
      <c r="A4" s="70" t="s">
        <v>6</v>
      </c>
      <c r="B4" s="96">
        <v>255.3</v>
      </c>
      <c r="C4" s="97"/>
      <c r="E4" s="80" t="s">
        <v>78</v>
      </c>
      <c r="F4" s="76" t="s">
        <v>31</v>
      </c>
      <c r="G4" s="62">
        <v>13</v>
      </c>
      <c r="H4" s="27">
        <f>IF(B$25=0,0,G4/B$25)</f>
        <v>0.72222222222222221</v>
      </c>
      <c r="J4" s="26">
        <v>2</v>
      </c>
      <c r="K4" s="28">
        <v>-13.2</v>
      </c>
      <c r="M4" s="26" t="s">
        <v>203</v>
      </c>
      <c r="N4" s="57">
        <f t="shared" si="0"/>
        <v>-1086.8421052631579</v>
      </c>
      <c r="O4" s="54">
        <v>-41300</v>
      </c>
      <c r="P4" s="49">
        <v>38</v>
      </c>
    </row>
    <row r="5" spans="1:16" x14ac:dyDescent="0.4">
      <c r="A5" s="70" t="s">
        <v>7</v>
      </c>
      <c r="B5" s="96">
        <f>IF(B$2=0,0,B$4/B$2)</f>
        <v>6.0785714285714292</v>
      </c>
      <c r="C5" s="97"/>
      <c r="E5" s="80" t="s">
        <v>72</v>
      </c>
      <c r="F5" s="76" t="s">
        <v>26</v>
      </c>
      <c r="G5" s="62">
        <v>8</v>
      </c>
      <c r="H5" s="27">
        <f>IF(B$25=0,0,G5/B$25)</f>
        <v>0.44444444444444442</v>
      </c>
      <c r="J5" s="26">
        <v>3</v>
      </c>
      <c r="K5" s="28">
        <v>-57.7</v>
      </c>
      <c r="M5" s="26" t="s">
        <v>204</v>
      </c>
      <c r="N5" s="57">
        <f t="shared" si="0"/>
        <v>-1425</v>
      </c>
      <c r="O5" s="54">
        <v>-45600</v>
      </c>
      <c r="P5" s="49">
        <v>32</v>
      </c>
    </row>
    <row r="6" spans="1:16" x14ac:dyDescent="0.4">
      <c r="A6" s="70" t="s">
        <v>1</v>
      </c>
      <c r="B6" s="98">
        <f>IF(B$2=0,0,(B$7*1+B$8*2+B$9*3)/B$2)</f>
        <v>1.8333333333333333</v>
      </c>
      <c r="C6" s="99"/>
      <c r="E6" s="80" t="s">
        <v>69</v>
      </c>
      <c r="F6" s="76" t="s">
        <v>23</v>
      </c>
      <c r="G6" s="62">
        <v>7</v>
      </c>
      <c r="H6" s="27">
        <f>IF(B$25=0,0,G6/B$25)</f>
        <v>0.3888888888888889</v>
      </c>
      <c r="J6" s="26">
        <v>4</v>
      </c>
      <c r="K6" s="28">
        <v>-53.7</v>
      </c>
      <c r="M6" s="26" t="s">
        <v>205</v>
      </c>
      <c r="N6" s="57">
        <f t="shared" si="0"/>
        <v>8215.3846153846152</v>
      </c>
      <c r="O6" s="54">
        <v>213600</v>
      </c>
      <c r="P6" s="49">
        <v>26</v>
      </c>
    </row>
    <row r="7" spans="1:16" x14ac:dyDescent="0.4">
      <c r="A7" s="70" t="s">
        <v>2</v>
      </c>
      <c r="B7" s="62">
        <v>15</v>
      </c>
      <c r="C7" s="27">
        <f>IF(B$2=0,0,B7/B$2)</f>
        <v>0.35714285714285715</v>
      </c>
      <c r="E7" s="80" t="s">
        <v>74</v>
      </c>
      <c r="F7" s="76" t="s">
        <v>12</v>
      </c>
      <c r="G7" s="62">
        <v>6</v>
      </c>
      <c r="H7" s="27">
        <f>IF(B$25=0,0,G7/B$25)</f>
        <v>0.33333333333333331</v>
      </c>
      <c r="J7" s="26">
        <v>5</v>
      </c>
      <c r="K7" s="28">
        <v>-45.7</v>
      </c>
      <c r="M7" s="31" t="s">
        <v>206</v>
      </c>
      <c r="N7" s="58">
        <f t="shared" si="0"/>
        <v>2106.25</v>
      </c>
      <c r="O7" s="55">
        <v>33700</v>
      </c>
      <c r="P7" s="50">
        <v>16</v>
      </c>
    </row>
    <row r="8" spans="1:16" x14ac:dyDescent="0.4">
      <c r="A8" s="70" t="s">
        <v>3</v>
      </c>
      <c r="B8" s="62">
        <v>19</v>
      </c>
      <c r="C8" s="27">
        <f t="shared" ref="C8:C9" si="1">IF(B$2=0,0,B8/B$2)</f>
        <v>0.45238095238095238</v>
      </c>
      <c r="E8" s="80" t="s">
        <v>90</v>
      </c>
      <c r="F8" s="76" t="s">
        <v>43</v>
      </c>
      <c r="G8" s="62">
        <v>3</v>
      </c>
      <c r="H8" s="27">
        <f>IF(B$25=0,0,G8/B$25)</f>
        <v>0.16666666666666666</v>
      </c>
      <c r="J8" s="26">
        <v>6</v>
      </c>
      <c r="K8" s="28">
        <v>-50.6</v>
      </c>
    </row>
    <row r="9" spans="1:16" x14ac:dyDescent="0.4">
      <c r="A9" s="71" t="s">
        <v>4</v>
      </c>
      <c r="B9" s="63">
        <v>8</v>
      </c>
      <c r="C9" s="29">
        <f t="shared" si="1"/>
        <v>0.19047619047619047</v>
      </c>
      <c r="E9" s="80" t="s">
        <v>70</v>
      </c>
      <c r="F9" s="76" t="s">
        <v>24</v>
      </c>
      <c r="G9" s="62">
        <v>3</v>
      </c>
      <c r="H9" s="27">
        <f>IF(B$25=0,0,G9/B$25)</f>
        <v>0.16666666666666666</v>
      </c>
      <c r="J9" s="26">
        <v>7</v>
      </c>
      <c r="K9" s="28">
        <v>-47.6</v>
      </c>
    </row>
    <row r="10" spans="1:16" x14ac:dyDescent="0.4">
      <c r="A10" s="71" t="s">
        <v>21</v>
      </c>
      <c r="B10" s="63">
        <v>5</v>
      </c>
      <c r="C10" s="29">
        <f>IF(B$2=0,0,B10/B$2)</f>
        <v>0.11904761904761904</v>
      </c>
      <c r="E10" s="80" t="s">
        <v>75</v>
      </c>
      <c r="F10" s="76" t="s">
        <v>28</v>
      </c>
      <c r="G10" s="62">
        <v>2</v>
      </c>
      <c r="H10" s="27">
        <f>IF(B$25=0,0,G10/B$25)</f>
        <v>0.1111111111111111</v>
      </c>
      <c r="J10" s="26">
        <v>8</v>
      </c>
      <c r="K10" s="28">
        <v>-59.1</v>
      </c>
    </row>
    <row r="11" spans="1:16" x14ac:dyDescent="0.4">
      <c r="A11" s="72" t="s">
        <v>211</v>
      </c>
      <c r="B11" s="64">
        <v>8</v>
      </c>
      <c r="C11" s="32">
        <f>IF(B$2=0,0,B11/B$2)</f>
        <v>0.19047619047619047</v>
      </c>
      <c r="E11" s="80" t="s">
        <v>88</v>
      </c>
      <c r="F11" s="76" t="s">
        <v>41</v>
      </c>
      <c r="G11" s="62">
        <v>2</v>
      </c>
      <c r="H11" s="27">
        <f>IF(B$25=0,0,G11/B$25)</f>
        <v>0.1111111111111111</v>
      </c>
      <c r="J11" s="26">
        <v>9</v>
      </c>
      <c r="K11" s="28">
        <v>-77.900000000000006</v>
      </c>
    </row>
    <row r="12" spans="1:16" x14ac:dyDescent="0.4">
      <c r="A12" s="73" t="s">
        <v>130</v>
      </c>
      <c r="B12" s="65">
        <v>13</v>
      </c>
      <c r="C12" s="35">
        <f>IF(B$24=0,0,B12/B$24)</f>
        <v>0.20967741935483872</v>
      </c>
      <c r="E12" s="80" t="s">
        <v>76</v>
      </c>
      <c r="F12" s="76" t="s">
        <v>29</v>
      </c>
      <c r="G12" s="62">
        <v>2</v>
      </c>
      <c r="H12" s="27">
        <f>IF(B$25=0,0,G12/B$25)</f>
        <v>0.1111111111111111</v>
      </c>
      <c r="J12" s="26">
        <v>10</v>
      </c>
      <c r="K12" s="28">
        <v>-78.900000000000006</v>
      </c>
    </row>
    <row r="13" spans="1:16" x14ac:dyDescent="0.4">
      <c r="A13" s="70" t="s">
        <v>125</v>
      </c>
      <c r="B13" s="62">
        <v>20</v>
      </c>
      <c r="C13" s="27">
        <f>IF(B$24=0,0,B13/B$24)</f>
        <v>0.32258064516129031</v>
      </c>
      <c r="E13" s="80" t="s">
        <v>96</v>
      </c>
      <c r="F13" s="76" t="s">
        <v>49</v>
      </c>
      <c r="G13" s="62">
        <v>1</v>
      </c>
      <c r="H13" s="27">
        <f>IF(B$25=0,0,G13/B$25)</f>
        <v>5.5555555555555552E-2</v>
      </c>
      <c r="J13" s="26">
        <v>11</v>
      </c>
      <c r="K13" s="28">
        <v>-88.9</v>
      </c>
    </row>
    <row r="14" spans="1:16" x14ac:dyDescent="0.4">
      <c r="A14" s="69" t="s">
        <v>132</v>
      </c>
      <c r="B14" s="61">
        <v>7</v>
      </c>
      <c r="C14" s="24">
        <f>IF(B$12=0,0,B14/B$12)</f>
        <v>0.53846153846153844</v>
      </c>
      <c r="E14" s="80" t="s">
        <v>84</v>
      </c>
      <c r="F14" s="76" t="s">
        <v>37</v>
      </c>
      <c r="G14" s="62">
        <v>1</v>
      </c>
      <c r="H14" s="27">
        <f>IF(B$25=0,0,G14/B$25)</f>
        <v>5.5555555555555552E-2</v>
      </c>
      <c r="J14" s="26">
        <v>12</v>
      </c>
      <c r="K14" s="28">
        <v>-23.5</v>
      </c>
    </row>
    <row r="15" spans="1:16" x14ac:dyDescent="0.4">
      <c r="A15" s="69" t="s">
        <v>133</v>
      </c>
      <c r="B15" s="61">
        <v>7</v>
      </c>
      <c r="C15" s="24">
        <f>IF(B$13=0,0,B15/B$13)</f>
        <v>0.35</v>
      </c>
      <c r="E15" s="80" t="s">
        <v>77</v>
      </c>
      <c r="F15" s="76" t="s">
        <v>30</v>
      </c>
      <c r="G15" s="62">
        <v>0</v>
      </c>
      <c r="H15" s="27">
        <f>IF(B$25=0,0,G15/B$25)</f>
        <v>0</v>
      </c>
      <c r="J15" s="26">
        <v>13</v>
      </c>
      <c r="K15" s="28">
        <v>-12.4</v>
      </c>
    </row>
    <row r="16" spans="1:16" x14ac:dyDescent="0.4">
      <c r="A16" s="69" t="s">
        <v>10</v>
      </c>
      <c r="B16" s="61">
        <f>B17+B18</f>
        <v>105</v>
      </c>
      <c r="C16" s="24">
        <f>IF(B$3=0,0,B16/B$3)</f>
        <v>0.35</v>
      </c>
      <c r="E16" s="80" t="s">
        <v>79</v>
      </c>
      <c r="F16" s="76" t="s">
        <v>32</v>
      </c>
      <c r="G16" s="62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70" t="s">
        <v>11</v>
      </c>
      <c r="B17" s="62">
        <v>55</v>
      </c>
      <c r="C17" s="27">
        <f>IF(B$3=0,0,B17/B$3)</f>
        <v>0.18333333333333332</v>
      </c>
      <c r="E17" s="80" t="s">
        <v>80</v>
      </c>
      <c r="F17" s="76" t="s">
        <v>33</v>
      </c>
      <c r="G17" s="62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70" t="s">
        <v>12</v>
      </c>
      <c r="B18" s="62">
        <v>50</v>
      </c>
      <c r="C18" s="27">
        <f>IF(B$3=0,0,B18/B$3)</f>
        <v>0.16666666666666666</v>
      </c>
      <c r="E18" s="80" t="s">
        <v>81</v>
      </c>
      <c r="F18" s="76" t="s">
        <v>34</v>
      </c>
      <c r="G18" s="62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70" t="s">
        <v>13</v>
      </c>
      <c r="B19" s="62">
        <v>43</v>
      </c>
      <c r="C19" s="27">
        <f>IF(B$3=0,0,B19/B$3)</f>
        <v>0.14333333333333334</v>
      </c>
      <c r="E19" s="80" t="s">
        <v>82</v>
      </c>
      <c r="F19" s="76" t="s">
        <v>35</v>
      </c>
      <c r="G19" s="62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70" t="s">
        <v>5</v>
      </c>
      <c r="B20" s="66">
        <f>IF(B$16=0,0,C20/B$16)</f>
        <v>9973.3333333333339</v>
      </c>
      <c r="C20" s="30">
        <v>1047200</v>
      </c>
      <c r="E20" s="80" t="s">
        <v>83</v>
      </c>
      <c r="F20" s="76" t="s">
        <v>36</v>
      </c>
      <c r="G20" s="62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72" t="s">
        <v>14</v>
      </c>
      <c r="B21" s="67">
        <f>IF(B$19=0,0,C21/B$19)</f>
        <v>-9420.9302325581393</v>
      </c>
      <c r="C21" s="60">
        <v>-405100</v>
      </c>
      <c r="E21" s="80" t="s">
        <v>85</v>
      </c>
      <c r="F21" s="76" t="s">
        <v>38</v>
      </c>
      <c r="G21" s="62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69" t="s">
        <v>198</v>
      </c>
      <c r="B22" s="61">
        <v>109</v>
      </c>
      <c r="C22" s="24">
        <f>IF(B$3=0,0,B22/B$3)</f>
        <v>0.36333333333333334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72" t="s">
        <v>199</v>
      </c>
      <c r="B23" s="64">
        <v>39</v>
      </c>
      <c r="C23" s="32">
        <f>IF(B$22=0,0,B23/B$22)</f>
        <v>0.3577981651376147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69" t="s">
        <v>128</v>
      </c>
      <c r="B24" s="88">
        <v>62</v>
      </c>
      <c r="C24" s="89"/>
      <c r="E24" s="80" t="s">
        <v>89</v>
      </c>
      <c r="F24" s="76" t="s">
        <v>42</v>
      </c>
      <c r="G24" s="62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72" t="s">
        <v>129</v>
      </c>
      <c r="B25" s="90">
        <v>18</v>
      </c>
      <c r="C25" s="91"/>
      <c r="E25" s="80" t="s">
        <v>91</v>
      </c>
      <c r="F25" s="76" t="s">
        <v>44</v>
      </c>
      <c r="G25" s="62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80" t="s">
        <v>92</v>
      </c>
      <c r="F26" s="76" t="s">
        <v>45</v>
      </c>
      <c r="G26" s="62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80" t="s">
        <v>93</v>
      </c>
      <c r="F27" s="76" t="s">
        <v>46</v>
      </c>
      <c r="G27" s="62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769E-C31F-4CCB-8DC1-65EAC6951A4D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221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3</v>
      </c>
      <c r="C2" s="89"/>
      <c r="E2" s="79" t="s">
        <v>69</v>
      </c>
      <c r="F2" s="75" t="s">
        <v>23</v>
      </c>
      <c r="G2" s="61">
        <v>3</v>
      </c>
      <c r="H2" s="24">
        <f>IF(B$25=0,0,G2/B$25)</f>
        <v>0.75</v>
      </c>
      <c r="J2" s="23">
        <v>0</v>
      </c>
      <c r="K2" s="25">
        <v>0</v>
      </c>
      <c r="M2" s="23" t="s">
        <v>201</v>
      </c>
      <c r="N2" s="56">
        <f t="shared" ref="N2:N7" si="0">IF(P2=0,0,O2/P2)</f>
        <v>-4233.333333333333</v>
      </c>
      <c r="O2" s="53">
        <v>-12700</v>
      </c>
      <c r="P2" s="51">
        <v>3</v>
      </c>
    </row>
    <row r="3" spans="1:16" x14ac:dyDescent="0.4">
      <c r="A3" s="70" t="s">
        <v>8</v>
      </c>
      <c r="B3" s="94">
        <v>22</v>
      </c>
      <c r="C3" s="95"/>
      <c r="E3" s="80" t="s">
        <v>70</v>
      </c>
      <c r="F3" s="76" t="s">
        <v>24</v>
      </c>
      <c r="G3" s="62">
        <v>3</v>
      </c>
      <c r="H3" s="27">
        <f>IF(B$25=0,0,G3/B$25)</f>
        <v>0.75</v>
      </c>
      <c r="J3" s="26">
        <v>1</v>
      </c>
      <c r="K3" s="28">
        <v>-40.700000000000003</v>
      </c>
      <c r="M3" s="26" t="s">
        <v>202</v>
      </c>
      <c r="N3" s="57">
        <f t="shared" si="0"/>
        <v>-6766.666666666667</v>
      </c>
      <c r="O3" s="54">
        <v>-20300</v>
      </c>
      <c r="P3" s="49">
        <v>3</v>
      </c>
    </row>
    <row r="4" spans="1:16" x14ac:dyDescent="0.4">
      <c r="A4" s="70" t="s">
        <v>6</v>
      </c>
      <c r="B4" s="96">
        <v>-88.9</v>
      </c>
      <c r="C4" s="97"/>
      <c r="E4" s="80" t="s">
        <v>73</v>
      </c>
      <c r="F4" s="76" t="s">
        <v>27</v>
      </c>
      <c r="G4" s="62">
        <v>3</v>
      </c>
      <c r="H4" s="27">
        <f>IF(B$25=0,0,G4/B$25)</f>
        <v>0.75</v>
      </c>
      <c r="J4" s="26">
        <v>2</v>
      </c>
      <c r="K4" s="28">
        <v>-81.7</v>
      </c>
      <c r="M4" s="26" t="s">
        <v>203</v>
      </c>
      <c r="N4" s="57">
        <f t="shared" si="0"/>
        <v>-8333.3333333333339</v>
      </c>
      <c r="O4" s="54">
        <v>-25000</v>
      </c>
      <c r="P4" s="49">
        <v>3</v>
      </c>
    </row>
    <row r="5" spans="1:16" x14ac:dyDescent="0.4">
      <c r="A5" s="70" t="s">
        <v>7</v>
      </c>
      <c r="B5" s="96">
        <f>IF(B$2=0,0,B$4/B$2)</f>
        <v>-29.633333333333336</v>
      </c>
      <c r="C5" s="97"/>
      <c r="E5" s="80" t="s">
        <v>74</v>
      </c>
      <c r="F5" s="76" t="s">
        <v>12</v>
      </c>
      <c r="G5" s="62">
        <v>2</v>
      </c>
      <c r="H5" s="27">
        <f>IF(B$25=0,0,G5/B$25)</f>
        <v>0.5</v>
      </c>
      <c r="J5" s="26">
        <v>3</v>
      </c>
      <c r="K5" s="28">
        <v>-88.9</v>
      </c>
      <c r="M5" s="26" t="s">
        <v>204</v>
      </c>
      <c r="N5" s="57">
        <f t="shared" si="0"/>
        <v>-12000</v>
      </c>
      <c r="O5" s="54">
        <v>-24000</v>
      </c>
      <c r="P5" s="49">
        <v>2</v>
      </c>
    </row>
    <row r="6" spans="1:16" x14ac:dyDescent="0.4">
      <c r="A6" s="70" t="s">
        <v>1</v>
      </c>
      <c r="B6" s="98">
        <f>IF(B$2=0,0,(B$7*1+B$8*2+B$9*3)/B$2)</f>
        <v>2.3333333333333335</v>
      </c>
      <c r="C6" s="99"/>
      <c r="E6" s="80" t="s">
        <v>71</v>
      </c>
      <c r="F6" s="76" t="s">
        <v>25</v>
      </c>
      <c r="G6" s="62">
        <v>1</v>
      </c>
      <c r="H6" s="27">
        <f>IF(B$25=0,0,G6/B$25)</f>
        <v>0.25</v>
      </c>
      <c r="M6" s="26" t="s">
        <v>205</v>
      </c>
      <c r="N6" s="57">
        <f t="shared" si="0"/>
        <v>3100</v>
      </c>
      <c r="O6" s="54">
        <v>3100</v>
      </c>
      <c r="P6" s="49">
        <v>1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72</v>
      </c>
      <c r="F7" s="76" t="s">
        <v>26</v>
      </c>
      <c r="G7" s="62">
        <v>1</v>
      </c>
      <c r="H7" s="27">
        <f>IF(B$25=0,0,G7/B$25)</f>
        <v>0.25</v>
      </c>
      <c r="M7" s="31" t="s">
        <v>206</v>
      </c>
      <c r="N7" s="58">
        <f t="shared" si="0"/>
        <v>-10000</v>
      </c>
      <c r="O7" s="55">
        <v>-10000</v>
      </c>
      <c r="P7" s="50">
        <v>1</v>
      </c>
    </row>
    <row r="8" spans="1:16" x14ac:dyDescent="0.4">
      <c r="A8" s="70" t="s">
        <v>3</v>
      </c>
      <c r="B8" s="62">
        <v>2</v>
      </c>
      <c r="C8" s="27">
        <f t="shared" ref="C8:C9" si="1">IF(B$2=0,0,B8/B$2)</f>
        <v>0.66666666666666663</v>
      </c>
      <c r="E8" s="80" t="s">
        <v>78</v>
      </c>
      <c r="F8" s="76" t="s">
        <v>31</v>
      </c>
      <c r="G8" s="62">
        <v>1</v>
      </c>
      <c r="H8" s="27">
        <f>IF(B$25=0,0,G8/B$25)</f>
        <v>0.25</v>
      </c>
    </row>
    <row r="9" spans="1:16" x14ac:dyDescent="0.4">
      <c r="A9" s="71" t="s">
        <v>4</v>
      </c>
      <c r="B9" s="63">
        <v>1</v>
      </c>
      <c r="C9" s="29">
        <f t="shared" si="1"/>
        <v>0.33333333333333331</v>
      </c>
      <c r="E9" s="80" t="s">
        <v>75</v>
      </c>
      <c r="F9" s="76" t="s">
        <v>28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2</v>
      </c>
      <c r="C10" s="29">
        <f>IF(B$2=0,0,B10/B$2)</f>
        <v>0.66666666666666663</v>
      </c>
      <c r="E10" s="80" t="s">
        <v>76</v>
      </c>
      <c r="F10" s="76" t="s">
        <v>29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77</v>
      </c>
      <c r="F11" s="76" t="s">
        <v>30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4</v>
      </c>
      <c r="C12" s="35">
        <f>IF(B$24=0,0,B12/B$24)</f>
        <v>0.25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4</v>
      </c>
      <c r="C13" s="27">
        <f>IF(B$24=0,0,B13/B$24)</f>
        <v>0.25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3</v>
      </c>
      <c r="C14" s="24">
        <f>IF(B$12=0,0,B14/B$12)</f>
        <v>0.75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1</v>
      </c>
      <c r="C15" s="24">
        <f>IF(B$13=0,0,B15/B$13)</f>
        <v>0.25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5</v>
      </c>
      <c r="C16" s="24">
        <f>IF(B$3=0,0,B16/B$3)</f>
        <v>0.22727272727272727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3</v>
      </c>
      <c r="C17" s="27">
        <f>IF(B$3=0,0,B17/B$3)</f>
        <v>0.13636363636363635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2</v>
      </c>
      <c r="C18" s="27">
        <f>IF(B$3=0,0,B18/B$3)</f>
        <v>9.0909090909090912E-2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6</v>
      </c>
      <c r="C19" s="27">
        <f>IF(B$3=0,0,B19/B$3)</f>
        <v>0.27272727272727271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6100</v>
      </c>
      <c r="C20" s="30">
        <v>30500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-12650</v>
      </c>
      <c r="C21" s="60">
        <v>-75900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5</v>
      </c>
      <c r="C22" s="24">
        <f>IF(B$3=0,0,B22/B$3)</f>
        <v>0.22727272727272727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</v>
      </c>
      <c r="C23" s="32">
        <f>IF(B$22=0,0,B23/B$22)</f>
        <v>0.2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16</v>
      </c>
      <c r="C24" s="89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4</v>
      </c>
      <c r="C25" s="91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7878C-A45F-43F0-9B19-8568191D98A9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192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38</v>
      </c>
      <c r="C2" s="89"/>
      <c r="E2" s="79" t="s">
        <v>73</v>
      </c>
      <c r="F2" s="75" t="s">
        <v>27</v>
      </c>
      <c r="G2" s="61">
        <v>27</v>
      </c>
      <c r="H2" s="24">
        <f>IF(B$25=0,0,G2/B$25)</f>
        <v>0.9</v>
      </c>
      <c r="J2" s="23">
        <v>0</v>
      </c>
      <c r="K2" s="25">
        <v>0</v>
      </c>
      <c r="M2" s="23" t="s">
        <v>201</v>
      </c>
      <c r="N2" s="56">
        <f t="shared" ref="N2:N7" si="0">IF(P2=0,0,O2/P2)</f>
        <v>-1723.6842105263158</v>
      </c>
      <c r="O2" s="53">
        <v>-65500</v>
      </c>
      <c r="P2" s="51">
        <v>38</v>
      </c>
    </row>
    <row r="3" spans="1:16" x14ac:dyDescent="0.4">
      <c r="A3" s="70" t="s">
        <v>8</v>
      </c>
      <c r="B3" s="94">
        <v>296</v>
      </c>
      <c r="C3" s="95"/>
      <c r="E3" s="80" t="s">
        <v>78</v>
      </c>
      <c r="F3" s="76" t="s">
        <v>31</v>
      </c>
      <c r="G3" s="62">
        <v>20</v>
      </c>
      <c r="H3" s="27">
        <f>IF(B$25=0,0,G3/B$25)</f>
        <v>0.66666666666666663</v>
      </c>
      <c r="J3" s="26">
        <v>1</v>
      </c>
      <c r="K3" s="28">
        <v>68.2</v>
      </c>
      <c r="M3" s="26" t="s">
        <v>202</v>
      </c>
      <c r="N3" s="57">
        <f t="shared" si="0"/>
        <v>-2682.8571428571427</v>
      </c>
      <c r="O3" s="54">
        <v>-93900</v>
      </c>
      <c r="P3" s="49">
        <v>35</v>
      </c>
    </row>
    <row r="4" spans="1:16" x14ac:dyDescent="0.4">
      <c r="A4" s="70" t="s">
        <v>6</v>
      </c>
      <c r="B4" s="96">
        <v>-105.30000000000001</v>
      </c>
      <c r="C4" s="97"/>
      <c r="E4" s="80" t="s">
        <v>71</v>
      </c>
      <c r="F4" s="76" t="s">
        <v>25</v>
      </c>
      <c r="G4" s="62">
        <v>18</v>
      </c>
      <c r="H4" s="27">
        <f>IF(B$25=0,0,G4/B$25)</f>
        <v>0.6</v>
      </c>
      <c r="J4" s="26">
        <v>2</v>
      </c>
      <c r="K4" s="28">
        <v>58.5</v>
      </c>
      <c r="M4" s="26" t="s">
        <v>203</v>
      </c>
      <c r="N4" s="57">
        <f t="shared" si="0"/>
        <v>-1196.5517241379309</v>
      </c>
      <c r="O4" s="54">
        <v>-34700</v>
      </c>
      <c r="P4" s="49">
        <v>29</v>
      </c>
    </row>
    <row r="5" spans="1:16" x14ac:dyDescent="0.4">
      <c r="A5" s="70" t="s">
        <v>7</v>
      </c>
      <c r="B5" s="96">
        <f>IF(B$2=0,0,B$4/B$2)</f>
        <v>-2.7710526315789479</v>
      </c>
      <c r="C5" s="97"/>
      <c r="E5" s="80" t="s">
        <v>69</v>
      </c>
      <c r="F5" s="76" t="s">
        <v>23</v>
      </c>
      <c r="G5" s="62">
        <v>10</v>
      </c>
      <c r="H5" s="27">
        <f>IF(B$25=0,0,G5/B$25)</f>
        <v>0.33333333333333331</v>
      </c>
      <c r="J5" s="26">
        <v>3</v>
      </c>
      <c r="K5" s="28">
        <v>82.1</v>
      </c>
      <c r="M5" s="26" t="s">
        <v>204</v>
      </c>
      <c r="N5" s="57">
        <f t="shared" si="0"/>
        <v>3482.1428571428573</v>
      </c>
      <c r="O5" s="54">
        <v>97500</v>
      </c>
      <c r="P5" s="49">
        <v>28</v>
      </c>
    </row>
    <row r="6" spans="1:16" x14ac:dyDescent="0.4">
      <c r="A6" s="70" t="s">
        <v>1</v>
      </c>
      <c r="B6" s="98">
        <f>IF(B$2=0,0,(B$7*1+B$8*2+B$9*3)/B$2)</f>
        <v>2.1052631578947367</v>
      </c>
      <c r="C6" s="99"/>
      <c r="E6" s="80" t="s">
        <v>70</v>
      </c>
      <c r="F6" s="76" t="s">
        <v>24</v>
      </c>
      <c r="G6" s="62">
        <v>4</v>
      </c>
      <c r="H6" s="27">
        <f>IF(B$25=0,0,G6/B$25)</f>
        <v>0.13333333333333333</v>
      </c>
      <c r="J6" s="26">
        <v>4</v>
      </c>
      <c r="K6" s="28">
        <v>58.199999999999996</v>
      </c>
      <c r="M6" s="26" t="s">
        <v>205</v>
      </c>
      <c r="N6" s="57">
        <f t="shared" si="0"/>
        <v>-861.90476190476193</v>
      </c>
      <c r="O6" s="54">
        <v>-18100</v>
      </c>
      <c r="P6" s="49">
        <v>21</v>
      </c>
    </row>
    <row r="7" spans="1:16" x14ac:dyDescent="0.4">
      <c r="A7" s="70" t="s">
        <v>2</v>
      </c>
      <c r="B7" s="62">
        <v>10</v>
      </c>
      <c r="C7" s="27">
        <f>IF(B$2=0,0,B7/B$2)</f>
        <v>0.26315789473684209</v>
      </c>
      <c r="E7" s="80" t="s">
        <v>74</v>
      </c>
      <c r="F7" s="76" t="s">
        <v>12</v>
      </c>
      <c r="G7" s="62">
        <v>4</v>
      </c>
      <c r="H7" s="27">
        <f>IF(B$25=0,0,G7/B$25)</f>
        <v>0.13333333333333333</v>
      </c>
      <c r="J7" s="26">
        <v>5</v>
      </c>
      <c r="K7" s="28">
        <v>124.19999999999999</v>
      </c>
      <c r="M7" s="31" t="s">
        <v>206</v>
      </c>
      <c r="N7" s="58">
        <f t="shared" si="0"/>
        <v>552.94117647058829</v>
      </c>
      <c r="O7" s="55">
        <v>9400</v>
      </c>
      <c r="P7" s="50">
        <v>17</v>
      </c>
    </row>
    <row r="8" spans="1:16" x14ac:dyDescent="0.4">
      <c r="A8" s="70" t="s">
        <v>3</v>
      </c>
      <c r="B8" s="62">
        <v>14</v>
      </c>
      <c r="C8" s="27">
        <f t="shared" ref="C8:C9" si="1">IF(B$2=0,0,B8/B$2)</f>
        <v>0.36842105263157893</v>
      </c>
      <c r="E8" s="80" t="s">
        <v>96</v>
      </c>
      <c r="F8" s="76" t="s">
        <v>49</v>
      </c>
      <c r="G8" s="62">
        <v>3</v>
      </c>
      <c r="H8" s="27">
        <f>IF(B$25=0,0,G8/B$25)</f>
        <v>0.1</v>
      </c>
      <c r="J8" s="26">
        <v>6</v>
      </c>
      <c r="K8" s="28">
        <v>125.69999999999999</v>
      </c>
    </row>
    <row r="9" spans="1:16" x14ac:dyDescent="0.4">
      <c r="A9" s="71" t="s">
        <v>4</v>
      </c>
      <c r="B9" s="63">
        <v>14</v>
      </c>
      <c r="C9" s="29">
        <f t="shared" si="1"/>
        <v>0.36842105263157893</v>
      </c>
      <c r="E9" s="80" t="s">
        <v>75</v>
      </c>
      <c r="F9" s="76" t="s">
        <v>28</v>
      </c>
      <c r="G9" s="62">
        <v>3</v>
      </c>
      <c r="H9" s="27">
        <f>IF(B$25=0,0,G9/B$25)</f>
        <v>0.1</v>
      </c>
      <c r="J9" s="26">
        <v>7</v>
      </c>
      <c r="K9" s="28">
        <v>129.5</v>
      </c>
    </row>
    <row r="10" spans="1:16" x14ac:dyDescent="0.4">
      <c r="A10" s="71" t="s">
        <v>21</v>
      </c>
      <c r="B10" s="63">
        <v>6</v>
      </c>
      <c r="C10" s="29">
        <f>IF(B$2=0,0,B10/B$2)</f>
        <v>0.15789473684210525</v>
      </c>
      <c r="E10" s="80" t="s">
        <v>72</v>
      </c>
      <c r="F10" s="76" t="s">
        <v>26</v>
      </c>
      <c r="G10" s="62">
        <v>3</v>
      </c>
      <c r="H10" s="27">
        <f>IF(B$25=0,0,G10/B$25)</f>
        <v>0.1</v>
      </c>
      <c r="J10" s="26">
        <v>8</v>
      </c>
      <c r="K10" s="28">
        <v>97</v>
      </c>
    </row>
    <row r="11" spans="1:16" x14ac:dyDescent="0.4">
      <c r="A11" s="72" t="s">
        <v>211</v>
      </c>
      <c r="B11" s="64">
        <v>7</v>
      </c>
      <c r="C11" s="32">
        <f>IF(B$2=0,0,B11/B$2)</f>
        <v>0.18421052631578946</v>
      </c>
      <c r="E11" s="80" t="s">
        <v>85</v>
      </c>
      <c r="F11" s="76" t="s">
        <v>38</v>
      </c>
      <c r="G11" s="62">
        <v>2</v>
      </c>
      <c r="H11" s="27">
        <f>IF(B$25=0,0,G11/B$25)</f>
        <v>6.6666666666666666E-2</v>
      </c>
      <c r="J11" s="26">
        <v>9</v>
      </c>
      <c r="K11" s="28">
        <v>83.3</v>
      </c>
    </row>
    <row r="12" spans="1:16" x14ac:dyDescent="0.4">
      <c r="A12" s="73" t="s">
        <v>130</v>
      </c>
      <c r="B12" s="65">
        <v>23</v>
      </c>
      <c r="C12" s="35">
        <f>IF(B$24=0,0,B12/B$24)</f>
        <v>0.21100917431192662</v>
      </c>
      <c r="E12" s="80" t="s">
        <v>93</v>
      </c>
      <c r="F12" s="76" t="s">
        <v>46</v>
      </c>
      <c r="G12" s="62">
        <v>2</v>
      </c>
      <c r="H12" s="27">
        <f>IF(B$25=0,0,G12/B$25)</f>
        <v>6.6666666666666666E-2</v>
      </c>
      <c r="J12" s="26">
        <v>10</v>
      </c>
      <c r="K12" s="28">
        <v>111</v>
      </c>
    </row>
    <row r="13" spans="1:16" x14ac:dyDescent="0.4">
      <c r="A13" s="70" t="s">
        <v>125</v>
      </c>
      <c r="B13" s="62">
        <v>34</v>
      </c>
      <c r="C13" s="27">
        <f>IF(B$24=0,0,B13/B$24)</f>
        <v>0.31192660550458717</v>
      </c>
      <c r="E13" s="80" t="s">
        <v>84</v>
      </c>
      <c r="F13" s="76" t="s">
        <v>37</v>
      </c>
      <c r="G13" s="62">
        <v>2</v>
      </c>
      <c r="H13" s="27">
        <f>IF(B$25=0,0,G13/B$25)</f>
        <v>6.6666666666666666E-2</v>
      </c>
      <c r="J13" s="26">
        <v>11</v>
      </c>
      <c r="K13" s="28">
        <v>138.69999999999999</v>
      </c>
    </row>
    <row r="14" spans="1:16" x14ac:dyDescent="0.4">
      <c r="A14" s="69" t="s">
        <v>132</v>
      </c>
      <c r="B14" s="61">
        <v>9</v>
      </c>
      <c r="C14" s="24">
        <f>IF(B$12=0,0,B14/B$12)</f>
        <v>0.39130434782608697</v>
      </c>
      <c r="E14" s="80" t="s">
        <v>76</v>
      </c>
      <c r="F14" s="76" t="s">
        <v>29</v>
      </c>
      <c r="G14" s="62">
        <v>1</v>
      </c>
      <c r="H14" s="27">
        <f>IF(B$25=0,0,G14/B$25)</f>
        <v>3.3333333333333333E-2</v>
      </c>
      <c r="J14" s="26">
        <v>12</v>
      </c>
      <c r="K14" s="28">
        <v>99.799999999999983</v>
      </c>
    </row>
    <row r="15" spans="1:16" x14ac:dyDescent="0.4">
      <c r="A15" s="69" t="s">
        <v>133</v>
      </c>
      <c r="B15" s="61">
        <v>15</v>
      </c>
      <c r="C15" s="24">
        <f>IF(B$13=0,0,B15/B$13)</f>
        <v>0.44117647058823528</v>
      </c>
      <c r="E15" s="80" t="s">
        <v>81</v>
      </c>
      <c r="F15" s="76" t="s">
        <v>34</v>
      </c>
      <c r="G15" s="62">
        <v>1</v>
      </c>
      <c r="H15" s="27">
        <f>IF(B$25=0,0,G15/B$25)</f>
        <v>3.3333333333333333E-2</v>
      </c>
      <c r="J15" s="26">
        <v>13</v>
      </c>
      <c r="K15" s="28">
        <v>61.799999999999983</v>
      </c>
    </row>
    <row r="16" spans="1:16" x14ac:dyDescent="0.4">
      <c r="A16" s="69" t="s">
        <v>10</v>
      </c>
      <c r="B16" s="61">
        <f>B17+B18</f>
        <v>84</v>
      </c>
      <c r="C16" s="24">
        <f>IF(B$3=0,0,B16/B$3)</f>
        <v>0.28378378378378377</v>
      </c>
      <c r="E16" s="80" t="s">
        <v>88</v>
      </c>
      <c r="F16" s="76" t="s">
        <v>41</v>
      </c>
      <c r="G16" s="62">
        <v>1</v>
      </c>
      <c r="H16" s="27">
        <f>IF(B$25=0,0,G16/B$25)</f>
        <v>3.3333333333333333E-2</v>
      </c>
      <c r="J16" s="26">
        <v>14</v>
      </c>
      <c r="K16" s="28">
        <v>41.499999999999986</v>
      </c>
    </row>
    <row r="17" spans="1:11" x14ac:dyDescent="0.4">
      <c r="A17" s="70" t="s">
        <v>11</v>
      </c>
      <c r="B17" s="62">
        <v>49</v>
      </c>
      <c r="C17" s="27">
        <f>IF(B$3=0,0,B17/B$3)</f>
        <v>0.16554054054054054</v>
      </c>
      <c r="E17" s="80" t="s">
        <v>90</v>
      </c>
      <c r="F17" s="76" t="s">
        <v>43</v>
      </c>
      <c r="G17" s="62">
        <v>1</v>
      </c>
      <c r="H17" s="27">
        <f>IF(B$25=0,0,G17/B$25)</f>
        <v>3.3333333333333333E-2</v>
      </c>
      <c r="J17" s="26">
        <v>15</v>
      </c>
      <c r="K17" s="28">
        <v>32.999999999999986</v>
      </c>
    </row>
    <row r="18" spans="1:11" x14ac:dyDescent="0.4">
      <c r="A18" s="70" t="s">
        <v>12</v>
      </c>
      <c r="B18" s="62">
        <v>35</v>
      </c>
      <c r="C18" s="27">
        <f>IF(B$3=0,0,B18/B$3)</f>
        <v>0.11824324324324324</v>
      </c>
      <c r="E18" s="80" t="s">
        <v>77</v>
      </c>
      <c r="F18" s="76" t="s">
        <v>30</v>
      </c>
      <c r="G18" s="62">
        <v>0</v>
      </c>
      <c r="H18" s="27">
        <f>IF(B$25=0,0,G18/B$25)</f>
        <v>0</v>
      </c>
      <c r="J18" s="26">
        <v>16</v>
      </c>
      <c r="K18" s="28">
        <v>-5.5000000000000142</v>
      </c>
    </row>
    <row r="19" spans="1:11" x14ac:dyDescent="0.4">
      <c r="A19" s="70" t="s">
        <v>13</v>
      </c>
      <c r="B19" s="62">
        <v>57</v>
      </c>
      <c r="C19" s="27">
        <f>IF(B$3=0,0,B19/B$3)</f>
        <v>0.19256756756756757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70" t="s">
        <v>5</v>
      </c>
      <c r="B20" s="66">
        <f>IF(B$16=0,0,C20/B$16)</f>
        <v>9900</v>
      </c>
      <c r="C20" s="30">
        <v>831600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72" t="s">
        <v>14</v>
      </c>
      <c r="B21" s="67">
        <f>IF(B$19=0,0,C21/B$19)</f>
        <v>-8242.105263157895</v>
      </c>
      <c r="C21" s="60">
        <v>-469800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69" t="s">
        <v>198</v>
      </c>
      <c r="B22" s="61">
        <v>83</v>
      </c>
      <c r="C22" s="24">
        <f>IF(B$3=0,0,B22/B$3)</f>
        <v>0.28040540540540543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72" t="s">
        <v>199</v>
      </c>
      <c r="B23" s="64">
        <v>35</v>
      </c>
      <c r="C23" s="32">
        <f>IF(B$22=0,0,B23/B$22)</f>
        <v>0.42168674698795183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69" t="s">
        <v>128</v>
      </c>
      <c r="B24" s="88">
        <v>109</v>
      </c>
      <c r="C24" s="89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72" t="s">
        <v>129</v>
      </c>
      <c r="B25" s="90">
        <v>30</v>
      </c>
      <c r="C25" s="91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FEE1F-F1DE-43D8-B4E9-4516B631101E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193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47</v>
      </c>
      <c r="C2" s="89"/>
      <c r="E2" s="79" t="s">
        <v>71</v>
      </c>
      <c r="F2" s="75" t="s">
        <v>25</v>
      </c>
      <c r="G2" s="61">
        <v>72</v>
      </c>
      <c r="H2" s="24">
        <f>IF(B$25=0,0,G2/B$25)</f>
        <v>0.96</v>
      </c>
      <c r="J2" s="23">
        <v>0</v>
      </c>
      <c r="K2" s="25">
        <v>0</v>
      </c>
      <c r="M2" s="23" t="s">
        <v>201</v>
      </c>
      <c r="N2" s="56">
        <f t="shared" ref="N2:N7" si="0">IF(P2=0,0,O2/P2)</f>
        <v>3860</v>
      </c>
      <c r="O2" s="53">
        <v>173700</v>
      </c>
      <c r="P2" s="51">
        <v>45</v>
      </c>
    </row>
    <row r="3" spans="1:16" x14ac:dyDescent="0.4">
      <c r="A3" s="70" t="s">
        <v>8</v>
      </c>
      <c r="B3" s="94">
        <v>353</v>
      </c>
      <c r="C3" s="95"/>
      <c r="E3" s="80" t="s">
        <v>73</v>
      </c>
      <c r="F3" s="76" t="s">
        <v>27</v>
      </c>
      <c r="G3" s="62">
        <v>67</v>
      </c>
      <c r="H3" s="27">
        <f>IF(B$25=0,0,G3/B$25)</f>
        <v>0.89333333333333331</v>
      </c>
      <c r="J3" s="26">
        <v>1</v>
      </c>
      <c r="K3" s="28">
        <v>-36.700000000000003</v>
      </c>
      <c r="M3" s="26" t="s">
        <v>202</v>
      </c>
      <c r="N3" s="57">
        <f t="shared" si="0"/>
        <v>-307.14285714285717</v>
      </c>
      <c r="O3" s="54">
        <v>-12900</v>
      </c>
      <c r="P3" s="49">
        <v>42</v>
      </c>
    </row>
    <row r="4" spans="1:16" x14ac:dyDescent="0.4">
      <c r="A4" s="70" t="s">
        <v>6</v>
      </c>
      <c r="B4" s="96">
        <v>200.19999999999996</v>
      </c>
      <c r="C4" s="97"/>
      <c r="E4" s="80" t="s">
        <v>69</v>
      </c>
      <c r="F4" s="76" t="s">
        <v>23</v>
      </c>
      <c r="G4" s="62">
        <v>47</v>
      </c>
      <c r="H4" s="27">
        <f>IF(B$25=0,0,G4/B$25)</f>
        <v>0.62666666666666671</v>
      </c>
      <c r="J4" s="26">
        <v>2</v>
      </c>
      <c r="K4" s="28">
        <v>-45.300000000000004</v>
      </c>
      <c r="M4" s="26" t="s">
        <v>203</v>
      </c>
      <c r="N4" s="57">
        <f t="shared" si="0"/>
        <v>-989.47368421052636</v>
      </c>
      <c r="O4" s="54">
        <v>-37600</v>
      </c>
      <c r="P4" s="49">
        <v>38</v>
      </c>
    </row>
    <row r="5" spans="1:16" x14ac:dyDescent="0.4">
      <c r="A5" s="70" t="s">
        <v>7</v>
      </c>
      <c r="B5" s="96">
        <f>IF(B$2=0,0,B$4/B$2)</f>
        <v>4.2595744680851055</v>
      </c>
      <c r="C5" s="97"/>
      <c r="E5" s="80" t="s">
        <v>78</v>
      </c>
      <c r="F5" s="76" t="s">
        <v>31</v>
      </c>
      <c r="G5" s="62">
        <v>43</v>
      </c>
      <c r="H5" s="27">
        <f>IF(B$25=0,0,G5/B$25)</f>
        <v>0.57333333333333336</v>
      </c>
      <c r="J5" s="26">
        <v>3</v>
      </c>
      <c r="K5" s="28">
        <v>-81.7</v>
      </c>
      <c r="M5" s="26" t="s">
        <v>204</v>
      </c>
      <c r="N5" s="57">
        <f t="shared" si="0"/>
        <v>-1474.2857142857142</v>
      </c>
      <c r="O5" s="54">
        <v>-51600</v>
      </c>
      <c r="P5" s="49">
        <v>35</v>
      </c>
    </row>
    <row r="6" spans="1:16" x14ac:dyDescent="0.4">
      <c r="A6" s="70" t="s">
        <v>1</v>
      </c>
      <c r="B6" s="98">
        <f>IF(B$2=0,0,(B$7*1+B$8*2+B$9*3)/B$2)</f>
        <v>1.8936170212765957</v>
      </c>
      <c r="C6" s="99"/>
      <c r="E6" s="80" t="s">
        <v>72</v>
      </c>
      <c r="F6" s="76" t="s">
        <v>26</v>
      </c>
      <c r="G6" s="62">
        <v>26</v>
      </c>
      <c r="H6" s="27">
        <f>IF(B$25=0,0,G6/B$25)</f>
        <v>0.34666666666666668</v>
      </c>
      <c r="J6" s="26">
        <v>4</v>
      </c>
      <c r="K6" s="28">
        <v>-113.80000000000001</v>
      </c>
      <c r="M6" s="26" t="s">
        <v>205</v>
      </c>
      <c r="N6" s="57">
        <f t="shared" si="0"/>
        <v>3192.3076923076924</v>
      </c>
      <c r="O6" s="54">
        <v>83000</v>
      </c>
      <c r="P6" s="49">
        <v>26</v>
      </c>
    </row>
    <row r="7" spans="1:16" x14ac:dyDescent="0.4">
      <c r="A7" s="70" t="s">
        <v>2</v>
      </c>
      <c r="B7" s="62">
        <v>19</v>
      </c>
      <c r="C7" s="27">
        <f>IF(B$2=0,0,B7/B$2)</f>
        <v>0.40425531914893614</v>
      </c>
      <c r="E7" s="80" t="s">
        <v>74</v>
      </c>
      <c r="F7" s="76" t="s">
        <v>12</v>
      </c>
      <c r="G7" s="62">
        <v>24</v>
      </c>
      <c r="H7" s="27">
        <f>IF(B$25=0,0,G7/B$25)</f>
        <v>0.32</v>
      </c>
      <c r="J7" s="26">
        <v>5</v>
      </c>
      <c r="K7" s="28">
        <v>-135.80000000000001</v>
      </c>
      <c r="M7" s="31" t="s">
        <v>206</v>
      </c>
      <c r="N7" s="58">
        <f t="shared" si="0"/>
        <v>222.72727272727272</v>
      </c>
      <c r="O7" s="55">
        <v>4900</v>
      </c>
      <c r="P7" s="50">
        <v>22</v>
      </c>
    </row>
    <row r="8" spans="1:16" x14ac:dyDescent="0.4">
      <c r="A8" s="70" t="s">
        <v>3</v>
      </c>
      <c r="B8" s="62">
        <v>14</v>
      </c>
      <c r="C8" s="27">
        <f t="shared" ref="C8:C9" si="1">IF(B$2=0,0,B8/B$2)</f>
        <v>0.2978723404255319</v>
      </c>
      <c r="E8" s="80" t="s">
        <v>75</v>
      </c>
      <c r="F8" s="76" t="s">
        <v>28</v>
      </c>
      <c r="G8" s="62">
        <v>15</v>
      </c>
      <c r="H8" s="27">
        <f>IF(B$25=0,0,G8/B$25)</f>
        <v>0.2</v>
      </c>
      <c r="J8" s="26">
        <v>6</v>
      </c>
      <c r="K8" s="28">
        <v>-100.30000000000001</v>
      </c>
    </row>
    <row r="9" spans="1:16" x14ac:dyDescent="0.4">
      <c r="A9" s="71" t="s">
        <v>4</v>
      </c>
      <c r="B9" s="63">
        <v>14</v>
      </c>
      <c r="C9" s="29">
        <f t="shared" si="1"/>
        <v>0.2978723404255319</v>
      </c>
      <c r="E9" s="80" t="s">
        <v>70</v>
      </c>
      <c r="F9" s="76" t="s">
        <v>24</v>
      </c>
      <c r="G9" s="62">
        <v>11</v>
      </c>
      <c r="H9" s="27">
        <f>IF(B$25=0,0,G9/B$25)</f>
        <v>0.14666666666666667</v>
      </c>
      <c r="J9" s="26">
        <v>7</v>
      </c>
      <c r="K9" s="28">
        <v>-105.70000000000002</v>
      </c>
    </row>
    <row r="10" spans="1:16" x14ac:dyDescent="0.4">
      <c r="A10" s="71" t="s">
        <v>21</v>
      </c>
      <c r="B10" s="63">
        <v>8</v>
      </c>
      <c r="C10" s="29">
        <f>IF(B$2=0,0,B10/B$2)</f>
        <v>0.1702127659574468</v>
      </c>
      <c r="E10" s="80" t="s">
        <v>96</v>
      </c>
      <c r="F10" s="76" t="s">
        <v>49</v>
      </c>
      <c r="G10" s="62">
        <v>10</v>
      </c>
      <c r="H10" s="27">
        <f>IF(B$25=0,0,G10/B$25)</f>
        <v>0.13333333333333333</v>
      </c>
      <c r="J10" s="26">
        <v>8</v>
      </c>
      <c r="K10" s="28">
        <v>-51.800000000000018</v>
      </c>
    </row>
    <row r="11" spans="1:16" x14ac:dyDescent="0.4">
      <c r="A11" s="72" t="s">
        <v>211</v>
      </c>
      <c r="B11" s="64">
        <v>10</v>
      </c>
      <c r="C11" s="32">
        <f>IF(B$2=0,0,B11/B$2)</f>
        <v>0.21276595744680851</v>
      </c>
      <c r="E11" s="80" t="s">
        <v>76</v>
      </c>
      <c r="F11" s="76" t="s">
        <v>29</v>
      </c>
      <c r="G11" s="62">
        <v>6</v>
      </c>
      <c r="H11" s="27">
        <f>IF(B$25=0,0,G11/B$25)</f>
        <v>0.08</v>
      </c>
      <c r="J11" s="26">
        <v>9</v>
      </c>
      <c r="K11" s="28">
        <v>-53.000000000000021</v>
      </c>
    </row>
    <row r="12" spans="1:16" x14ac:dyDescent="0.4">
      <c r="A12" s="73" t="s">
        <v>130</v>
      </c>
      <c r="B12" s="65">
        <v>77</v>
      </c>
      <c r="C12" s="35">
        <f>IF(B$24=0,0,B12/B$24)</f>
        <v>0.35</v>
      </c>
      <c r="E12" s="80" t="s">
        <v>77</v>
      </c>
      <c r="F12" s="76" t="s">
        <v>30</v>
      </c>
      <c r="G12" s="62">
        <v>5</v>
      </c>
      <c r="H12" s="27">
        <f>IF(B$25=0,0,G12/B$25)</f>
        <v>6.6666666666666666E-2</v>
      </c>
      <c r="J12" s="26">
        <v>10</v>
      </c>
      <c r="K12" s="28">
        <v>-72.300000000000026</v>
      </c>
    </row>
    <row r="13" spans="1:16" x14ac:dyDescent="0.4">
      <c r="A13" s="70" t="s">
        <v>125</v>
      </c>
      <c r="B13" s="62">
        <v>51</v>
      </c>
      <c r="C13" s="27">
        <f>IF(B$24=0,0,B13/B$24)</f>
        <v>0.23181818181818181</v>
      </c>
      <c r="E13" s="80" t="s">
        <v>93</v>
      </c>
      <c r="F13" s="76" t="s">
        <v>46</v>
      </c>
      <c r="G13" s="62">
        <v>5</v>
      </c>
      <c r="H13" s="27">
        <f>IF(B$25=0,0,G13/B$25)</f>
        <v>6.6666666666666666E-2</v>
      </c>
      <c r="J13" s="26">
        <v>11</v>
      </c>
      <c r="K13" s="28">
        <v>-91.600000000000023</v>
      </c>
    </row>
    <row r="14" spans="1:16" x14ac:dyDescent="0.4">
      <c r="A14" s="69" t="s">
        <v>132</v>
      </c>
      <c r="B14" s="61">
        <v>48</v>
      </c>
      <c r="C14" s="24">
        <f>IF(B$12=0,0,B14/B$12)</f>
        <v>0.62337662337662336</v>
      </c>
      <c r="E14" s="80" t="s">
        <v>84</v>
      </c>
      <c r="F14" s="76" t="s">
        <v>37</v>
      </c>
      <c r="G14" s="62">
        <v>3</v>
      </c>
      <c r="H14" s="27">
        <f>IF(B$25=0,0,G14/B$25)</f>
        <v>0.04</v>
      </c>
      <c r="J14" s="26">
        <v>12</v>
      </c>
      <c r="K14" s="28">
        <v>-88.600000000000023</v>
      </c>
    </row>
    <row r="15" spans="1:16" x14ac:dyDescent="0.4">
      <c r="A15" s="69" t="s">
        <v>133</v>
      </c>
      <c r="B15" s="61">
        <v>20</v>
      </c>
      <c r="C15" s="24">
        <f>IF(B$13=0,0,B15/B$13)</f>
        <v>0.39215686274509803</v>
      </c>
      <c r="E15" s="80" t="s">
        <v>80</v>
      </c>
      <c r="F15" s="76" t="s">
        <v>33</v>
      </c>
      <c r="G15" s="62">
        <v>1</v>
      </c>
      <c r="H15" s="27">
        <f>IF(B$25=0,0,G15/B$25)</f>
        <v>1.3333333333333334E-2</v>
      </c>
      <c r="J15" s="26">
        <v>13</v>
      </c>
      <c r="K15" s="28">
        <v>-73.100000000000023</v>
      </c>
    </row>
    <row r="16" spans="1:16" x14ac:dyDescent="0.4">
      <c r="A16" s="69" t="s">
        <v>10</v>
      </c>
      <c r="B16" s="61">
        <f>B17+B18</f>
        <v>113</v>
      </c>
      <c r="C16" s="24">
        <f>IF(B$3=0,0,B16/B$3)</f>
        <v>0.32011331444759206</v>
      </c>
      <c r="E16" s="80" t="s">
        <v>88</v>
      </c>
      <c r="F16" s="76" t="s">
        <v>41</v>
      </c>
      <c r="G16" s="62">
        <v>1</v>
      </c>
      <c r="H16" s="27">
        <f>IF(B$25=0,0,G16/B$25)</f>
        <v>1.3333333333333334E-2</v>
      </c>
      <c r="J16" s="26">
        <v>14</v>
      </c>
      <c r="K16" s="28">
        <v>-62.000000000000021</v>
      </c>
    </row>
    <row r="17" spans="1:11" x14ac:dyDescent="0.4">
      <c r="A17" s="70" t="s">
        <v>11</v>
      </c>
      <c r="B17" s="62">
        <v>66</v>
      </c>
      <c r="C17" s="27">
        <f>IF(B$3=0,0,B17/B$3)</f>
        <v>0.18696883852691218</v>
      </c>
      <c r="E17" s="80" t="s">
        <v>90</v>
      </c>
      <c r="F17" s="76" t="s">
        <v>43</v>
      </c>
      <c r="G17" s="62">
        <v>1</v>
      </c>
      <c r="H17" s="27">
        <f>IF(B$25=0,0,G17/B$25)</f>
        <v>1.3333333333333334E-2</v>
      </c>
      <c r="J17" s="26">
        <v>15</v>
      </c>
      <c r="K17" s="28">
        <v>-69.200000000000017</v>
      </c>
    </row>
    <row r="18" spans="1:11" x14ac:dyDescent="0.4">
      <c r="A18" s="70" t="s">
        <v>12</v>
      </c>
      <c r="B18" s="62">
        <v>47</v>
      </c>
      <c r="C18" s="27">
        <f>IF(B$3=0,0,B18/B$3)</f>
        <v>0.13314447592067988</v>
      </c>
      <c r="E18" s="80" t="s">
        <v>98</v>
      </c>
      <c r="F18" s="76" t="s">
        <v>51</v>
      </c>
      <c r="G18" s="62">
        <v>1</v>
      </c>
      <c r="H18" s="27">
        <f>IF(B$25=0,0,G18/B$25)</f>
        <v>1.3333333333333334E-2</v>
      </c>
      <c r="J18" s="26">
        <v>16</v>
      </c>
      <c r="K18" s="28">
        <v>5.0999999999999801</v>
      </c>
    </row>
    <row r="19" spans="1:11" x14ac:dyDescent="0.4">
      <c r="A19" s="70" t="s">
        <v>13</v>
      </c>
      <c r="B19" s="62">
        <v>57</v>
      </c>
      <c r="C19" s="27">
        <f>IF(B$3=0,0,B19/B$3)</f>
        <v>0.16147308781869688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40.09999999999998</v>
      </c>
    </row>
    <row r="20" spans="1:11" x14ac:dyDescent="0.4">
      <c r="A20" s="70" t="s">
        <v>5</v>
      </c>
      <c r="B20" s="66">
        <f>IF(B$16=0,0,C20/B$16)</f>
        <v>11019.469026548673</v>
      </c>
      <c r="C20" s="30">
        <v>1245200</v>
      </c>
      <c r="E20" s="80" t="s">
        <v>81</v>
      </c>
      <c r="F20" s="76" t="s">
        <v>34</v>
      </c>
      <c r="G20" s="62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72" t="s">
        <v>14</v>
      </c>
      <c r="B21" s="67">
        <f>IF(B$19=0,0,C21/B$19)</f>
        <v>-9740.3508771929828</v>
      </c>
      <c r="C21" s="60">
        <v>-555200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69" t="s">
        <v>198</v>
      </c>
      <c r="B22" s="61">
        <v>131</v>
      </c>
      <c r="C22" s="24">
        <f>IF(B$3=0,0,B22/B$3)</f>
        <v>0.37110481586402266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72" t="s">
        <v>199</v>
      </c>
      <c r="B23" s="64">
        <v>54</v>
      </c>
      <c r="C23" s="32">
        <f>IF(B$22=0,0,B23/B$22)</f>
        <v>0.41221374045801529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69" t="s">
        <v>128</v>
      </c>
      <c r="B24" s="88">
        <v>220</v>
      </c>
      <c r="C24" s="89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72" t="s">
        <v>129</v>
      </c>
      <c r="B25" s="90">
        <v>75</v>
      </c>
      <c r="C25" s="91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8112-3BDB-41F6-B794-8A4155468BA5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195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12</v>
      </c>
      <c r="C2" s="89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2608.3333333333335</v>
      </c>
      <c r="O2" s="53">
        <v>31300</v>
      </c>
      <c r="P2" s="51">
        <v>12</v>
      </c>
    </row>
    <row r="3" spans="1:16" x14ac:dyDescent="0.4">
      <c r="A3" s="70" t="s">
        <v>8</v>
      </c>
      <c r="B3" s="94">
        <v>82</v>
      </c>
      <c r="C3" s="95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-14.4</v>
      </c>
      <c r="M3" s="26" t="s">
        <v>202</v>
      </c>
      <c r="N3" s="57">
        <f t="shared" si="0"/>
        <v>2650</v>
      </c>
      <c r="O3" s="54">
        <v>26500</v>
      </c>
      <c r="P3" s="49">
        <v>10</v>
      </c>
    </row>
    <row r="4" spans="1:16" x14ac:dyDescent="0.4">
      <c r="A4" s="70" t="s">
        <v>6</v>
      </c>
      <c r="B4" s="96">
        <v>80.800000000000011</v>
      </c>
      <c r="C4" s="97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37.6</v>
      </c>
      <c r="M4" s="26" t="s">
        <v>203</v>
      </c>
      <c r="N4" s="57">
        <f t="shared" si="0"/>
        <v>-900</v>
      </c>
      <c r="O4" s="54">
        <v>-7200</v>
      </c>
      <c r="P4" s="49">
        <v>8</v>
      </c>
    </row>
    <row r="5" spans="1:16" x14ac:dyDescent="0.4">
      <c r="A5" s="70" t="s">
        <v>7</v>
      </c>
      <c r="B5" s="96">
        <f>IF(B$2=0,0,B$4/B$2)</f>
        <v>6.7333333333333343</v>
      </c>
      <c r="C5" s="97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204</v>
      </c>
      <c r="N5" s="57">
        <f t="shared" si="0"/>
        <v>2062.5</v>
      </c>
      <c r="O5" s="54">
        <v>16500</v>
      </c>
      <c r="P5" s="49">
        <v>8</v>
      </c>
    </row>
    <row r="6" spans="1:16" x14ac:dyDescent="0.4">
      <c r="A6" s="70" t="s">
        <v>1</v>
      </c>
      <c r="B6" s="98">
        <f>IF(B$2=0,0,(B$7*1+B$8*2+B$9*3)/B$2)</f>
        <v>1.75</v>
      </c>
      <c r="C6" s="99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-44.3</v>
      </c>
      <c r="M6" s="26" t="s">
        <v>205</v>
      </c>
      <c r="N6" s="57">
        <f t="shared" si="0"/>
        <v>-1266.6666666666667</v>
      </c>
      <c r="O6" s="54">
        <v>-7600</v>
      </c>
      <c r="P6" s="49">
        <v>6</v>
      </c>
    </row>
    <row r="7" spans="1:16" x14ac:dyDescent="0.4">
      <c r="A7" s="70" t="s">
        <v>2</v>
      </c>
      <c r="B7" s="62">
        <v>6</v>
      </c>
      <c r="C7" s="27">
        <f>IF(B$2=0,0,B7/B$2)</f>
        <v>0.5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206</v>
      </c>
      <c r="N7" s="58">
        <f t="shared" si="0"/>
        <v>5325</v>
      </c>
      <c r="O7" s="55">
        <v>21300</v>
      </c>
      <c r="P7" s="50">
        <v>4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0.25</v>
      </c>
      <c r="E8" s="80" t="s">
        <v>75</v>
      </c>
      <c r="F8" s="76" t="s">
        <v>28</v>
      </c>
      <c r="G8" s="62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71" t="s">
        <v>4</v>
      </c>
      <c r="B9" s="63">
        <v>3</v>
      </c>
      <c r="C9" s="29">
        <f t="shared" si="1"/>
        <v>0.25</v>
      </c>
      <c r="E9" s="80" t="s">
        <v>76</v>
      </c>
      <c r="F9" s="76" t="s">
        <v>29</v>
      </c>
      <c r="G9" s="62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71" t="s">
        <v>21</v>
      </c>
      <c r="B10" s="63">
        <v>3</v>
      </c>
      <c r="C10" s="29">
        <f>IF(B$2=0,0,B10/B$2)</f>
        <v>0.25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72" t="s">
        <v>211</v>
      </c>
      <c r="B11" s="64">
        <v>3</v>
      </c>
      <c r="C11" s="32">
        <f>IF(B$2=0,0,B11/B$2)</f>
        <v>0.25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28</v>
      </c>
      <c r="C16" s="24">
        <f>IF(B$3=0,0,B16/B$3)</f>
        <v>0.34146341463414637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15</v>
      </c>
      <c r="C17" s="27">
        <f>IF(B$3=0,0,B17/B$3)</f>
        <v>0.18292682926829268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13</v>
      </c>
      <c r="C18" s="27">
        <f>IF(B$3=0,0,B18/B$3)</f>
        <v>0.15853658536585366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11</v>
      </c>
      <c r="C19" s="27">
        <f>IF(B$3=0,0,B19/B$3)</f>
        <v>0.13414634146341464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10857.142857142857</v>
      </c>
      <c r="C20" s="30">
        <v>304000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-9927.2727272727279</v>
      </c>
      <c r="C21" s="60">
        <v>-109200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33</v>
      </c>
      <c r="C22" s="24">
        <f>IF(B$3=0,0,B22/B$3)</f>
        <v>0.40243902439024393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15</v>
      </c>
      <c r="C23" s="32">
        <f>IF(B$22=0,0,B23/B$22)</f>
        <v>0.45454545454545453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0</v>
      </c>
      <c r="C24" s="89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0</v>
      </c>
      <c r="C25" s="91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39C3-9F62-4CAC-B3FF-FA1B8F14B355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196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35</v>
      </c>
      <c r="C2" s="89"/>
      <c r="E2" s="79" t="s">
        <v>73</v>
      </c>
      <c r="F2" s="75" t="s">
        <v>27</v>
      </c>
      <c r="G2" s="61">
        <v>57</v>
      </c>
      <c r="H2" s="24">
        <f>IF(B$25=0,0,G2/B$25)</f>
        <v>0.96610169491525422</v>
      </c>
      <c r="J2" s="23">
        <v>0</v>
      </c>
      <c r="K2" s="25">
        <v>0</v>
      </c>
      <c r="M2" s="23" t="s">
        <v>201</v>
      </c>
      <c r="N2" s="56">
        <f t="shared" ref="N2:N7" si="0">IF(P2=0,0,O2/P2)</f>
        <v>-4603.2258064516127</v>
      </c>
      <c r="O2" s="53">
        <v>-142700</v>
      </c>
      <c r="P2" s="51">
        <v>31</v>
      </c>
    </row>
    <row r="3" spans="1:16" x14ac:dyDescent="0.4">
      <c r="A3" s="70" t="s">
        <v>8</v>
      </c>
      <c r="B3" s="94">
        <v>263</v>
      </c>
      <c r="C3" s="95"/>
      <c r="E3" s="80" t="s">
        <v>78</v>
      </c>
      <c r="F3" s="76" t="s">
        <v>31</v>
      </c>
      <c r="G3" s="62">
        <v>46</v>
      </c>
      <c r="H3" s="27">
        <f>IF(B$25=0,0,G3/B$25)</f>
        <v>0.77966101694915257</v>
      </c>
      <c r="J3" s="26">
        <v>1</v>
      </c>
      <c r="K3" s="28">
        <v>3.9</v>
      </c>
      <c r="M3" s="26" t="s">
        <v>202</v>
      </c>
      <c r="N3" s="57">
        <f t="shared" si="0"/>
        <v>-116.12903225806451</v>
      </c>
      <c r="O3" s="54">
        <v>-3600</v>
      </c>
      <c r="P3" s="49">
        <v>31</v>
      </c>
    </row>
    <row r="4" spans="1:16" x14ac:dyDescent="0.4">
      <c r="A4" s="70" t="s">
        <v>6</v>
      </c>
      <c r="B4" s="96">
        <v>-339.69999999999993</v>
      </c>
      <c r="C4" s="97"/>
      <c r="E4" s="80" t="s">
        <v>71</v>
      </c>
      <c r="F4" s="76" t="s">
        <v>25</v>
      </c>
      <c r="G4" s="62">
        <v>37</v>
      </c>
      <c r="H4" s="27">
        <f>IF(B$25=0,0,G4/B$25)</f>
        <v>0.6271186440677966</v>
      </c>
      <c r="J4" s="26">
        <v>2</v>
      </c>
      <c r="K4" s="28">
        <v>-33.9</v>
      </c>
      <c r="M4" s="26" t="s">
        <v>203</v>
      </c>
      <c r="N4" s="57">
        <f t="shared" si="0"/>
        <v>-1893.5483870967741</v>
      </c>
      <c r="O4" s="54">
        <v>-58700</v>
      </c>
      <c r="P4" s="49">
        <v>31</v>
      </c>
    </row>
    <row r="5" spans="1:16" x14ac:dyDescent="0.4">
      <c r="A5" s="70" t="s">
        <v>7</v>
      </c>
      <c r="B5" s="96">
        <f>IF(B$2=0,0,B$4/B$2)</f>
        <v>-9.7057142857142846</v>
      </c>
      <c r="C5" s="97"/>
      <c r="E5" s="80" t="s">
        <v>69</v>
      </c>
      <c r="F5" s="76" t="s">
        <v>23</v>
      </c>
      <c r="G5" s="62">
        <v>35</v>
      </c>
      <c r="H5" s="27">
        <f>IF(B$25=0,0,G5/B$25)</f>
        <v>0.59322033898305082</v>
      </c>
      <c r="J5" s="26">
        <v>3</v>
      </c>
      <c r="K5" s="28">
        <v>-70.099999999999994</v>
      </c>
      <c r="M5" s="26" t="s">
        <v>204</v>
      </c>
      <c r="N5" s="57">
        <f t="shared" si="0"/>
        <v>471.42857142857144</v>
      </c>
      <c r="O5" s="54">
        <v>13200</v>
      </c>
      <c r="P5" s="49">
        <v>28</v>
      </c>
    </row>
    <row r="6" spans="1:16" x14ac:dyDescent="0.4">
      <c r="A6" s="70" t="s">
        <v>1</v>
      </c>
      <c r="B6" s="98">
        <f>IF(B$2=0,0,(B$7*1+B$8*2+B$9*3)/B$2)</f>
        <v>2.2857142857142856</v>
      </c>
      <c r="C6" s="99"/>
      <c r="E6" s="80" t="s">
        <v>72</v>
      </c>
      <c r="F6" s="76" t="s">
        <v>26</v>
      </c>
      <c r="G6" s="62">
        <v>25</v>
      </c>
      <c r="H6" s="27">
        <f>IF(B$25=0,0,G6/B$25)</f>
        <v>0.42372881355932202</v>
      </c>
      <c r="J6" s="26">
        <v>4</v>
      </c>
      <c r="K6" s="28">
        <v>-35.099999999999994</v>
      </c>
      <c r="M6" s="26" t="s">
        <v>205</v>
      </c>
      <c r="N6" s="57">
        <f t="shared" si="0"/>
        <v>-1952</v>
      </c>
      <c r="O6" s="54">
        <v>-48800</v>
      </c>
      <c r="P6" s="49">
        <v>25</v>
      </c>
    </row>
    <row r="7" spans="1:16" x14ac:dyDescent="0.4">
      <c r="A7" s="70" t="s">
        <v>2</v>
      </c>
      <c r="B7" s="62">
        <v>8</v>
      </c>
      <c r="C7" s="27">
        <f>IF(B$2=0,0,B7/B$2)</f>
        <v>0.22857142857142856</v>
      </c>
      <c r="E7" s="80" t="s">
        <v>74</v>
      </c>
      <c r="F7" s="76" t="s">
        <v>12</v>
      </c>
      <c r="G7" s="62">
        <v>22</v>
      </c>
      <c r="H7" s="27">
        <f>IF(B$25=0,0,G7/B$25)</f>
        <v>0.3728813559322034</v>
      </c>
      <c r="J7" s="26">
        <v>5</v>
      </c>
      <c r="K7" s="28">
        <v>-80.099999999999994</v>
      </c>
      <c r="M7" s="31" t="s">
        <v>206</v>
      </c>
      <c r="N7" s="58">
        <f t="shared" si="0"/>
        <v>3200</v>
      </c>
      <c r="O7" s="55">
        <v>51200</v>
      </c>
      <c r="P7" s="50">
        <v>16</v>
      </c>
    </row>
    <row r="8" spans="1:16" x14ac:dyDescent="0.4">
      <c r="A8" s="70" t="s">
        <v>3</v>
      </c>
      <c r="B8" s="62">
        <v>9</v>
      </c>
      <c r="C8" s="27">
        <f t="shared" ref="C8:C9" si="1">IF(B$2=0,0,B8/B$2)</f>
        <v>0.25714285714285712</v>
      </c>
      <c r="E8" s="80" t="s">
        <v>96</v>
      </c>
      <c r="F8" s="76" t="s">
        <v>49</v>
      </c>
      <c r="G8" s="62">
        <v>12</v>
      </c>
      <c r="H8" s="27">
        <f>IF(B$25=0,0,G8/B$25)</f>
        <v>0.20338983050847459</v>
      </c>
      <c r="J8" s="26">
        <v>6</v>
      </c>
      <c r="K8" s="28">
        <v>-116.1</v>
      </c>
    </row>
    <row r="9" spans="1:16" x14ac:dyDescent="0.4">
      <c r="A9" s="71" t="s">
        <v>4</v>
      </c>
      <c r="B9" s="63">
        <v>18</v>
      </c>
      <c r="C9" s="29">
        <f t="shared" si="1"/>
        <v>0.51428571428571423</v>
      </c>
      <c r="E9" s="80" t="s">
        <v>75</v>
      </c>
      <c r="F9" s="76" t="s">
        <v>28</v>
      </c>
      <c r="G9" s="62">
        <v>9</v>
      </c>
      <c r="H9" s="27">
        <f>IF(B$25=0,0,G9/B$25)</f>
        <v>0.15254237288135594</v>
      </c>
      <c r="J9" s="26">
        <v>7</v>
      </c>
      <c r="K9" s="28">
        <v>-147.4</v>
      </c>
    </row>
    <row r="10" spans="1:16" x14ac:dyDescent="0.4">
      <c r="A10" s="71" t="s">
        <v>21</v>
      </c>
      <c r="B10" s="63">
        <v>10</v>
      </c>
      <c r="C10" s="29">
        <f>IF(B$2=0,0,B10/B$2)</f>
        <v>0.2857142857142857</v>
      </c>
      <c r="E10" s="80" t="s">
        <v>76</v>
      </c>
      <c r="F10" s="76" t="s">
        <v>29</v>
      </c>
      <c r="G10" s="62">
        <v>6</v>
      </c>
      <c r="H10" s="27">
        <f>IF(B$25=0,0,G10/B$25)</f>
        <v>0.10169491525423729</v>
      </c>
      <c r="J10" s="26">
        <v>8</v>
      </c>
      <c r="K10" s="28">
        <v>-146</v>
      </c>
    </row>
    <row r="11" spans="1:16" x14ac:dyDescent="0.4">
      <c r="A11" s="72" t="s">
        <v>211</v>
      </c>
      <c r="B11" s="64">
        <v>4</v>
      </c>
      <c r="C11" s="32">
        <f>IF(B$2=0,0,B11/B$2)</f>
        <v>0.11428571428571428</v>
      </c>
      <c r="E11" s="80" t="s">
        <v>84</v>
      </c>
      <c r="F11" s="76" t="s">
        <v>37</v>
      </c>
      <c r="G11" s="62">
        <v>6</v>
      </c>
      <c r="H11" s="27">
        <f>IF(B$25=0,0,G11/B$25)</f>
        <v>0.10169491525423729</v>
      </c>
      <c r="J11" s="26">
        <v>9</v>
      </c>
      <c r="K11" s="28">
        <v>-173</v>
      </c>
    </row>
    <row r="12" spans="1:16" x14ac:dyDescent="0.4">
      <c r="A12" s="73" t="s">
        <v>130</v>
      </c>
      <c r="B12" s="65">
        <v>59</v>
      </c>
      <c r="C12" s="35">
        <f>IF(B$24=0,0,B12/B$24)</f>
        <v>0.26106194690265488</v>
      </c>
      <c r="E12" s="80" t="s">
        <v>70</v>
      </c>
      <c r="F12" s="76" t="s">
        <v>24</v>
      </c>
      <c r="G12" s="62">
        <v>4</v>
      </c>
      <c r="H12" s="27">
        <f>IF(B$25=0,0,G12/B$25)</f>
        <v>6.7796610169491525E-2</v>
      </c>
      <c r="J12" s="26">
        <v>10</v>
      </c>
      <c r="K12" s="28">
        <v>-206.1</v>
      </c>
    </row>
    <row r="13" spans="1:16" x14ac:dyDescent="0.4">
      <c r="A13" s="70" t="s">
        <v>125</v>
      </c>
      <c r="B13" s="62">
        <v>48</v>
      </c>
      <c r="C13" s="27">
        <f>IF(B$24=0,0,B13/B$24)</f>
        <v>0.21238938053097345</v>
      </c>
      <c r="E13" s="80" t="s">
        <v>90</v>
      </c>
      <c r="F13" s="76" t="s">
        <v>43</v>
      </c>
      <c r="G13" s="62">
        <v>3</v>
      </c>
      <c r="H13" s="27">
        <f>IF(B$25=0,0,G13/B$25)</f>
        <v>5.0847457627118647E-2</v>
      </c>
      <c r="J13" s="26">
        <v>11</v>
      </c>
      <c r="K13" s="28">
        <v>-174</v>
      </c>
    </row>
    <row r="14" spans="1:16" x14ac:dyDescent="0.4">
      <c r="A14" s="69" t="s">
        <v>132</v>
      </c>
      <c r="B14" s="61">
        <v>36</v>
      </c>
      <c r="C14" s="24">
        <f>IF(B$12=0,0,B14/B$12)</f>
        <v>0.61016949152542377</v>
      </c>
      <c r="E14" s="80" t="s">
        <v>93</v>
      </c>
      <c r="F14" s="76" t="s">
        <v>46</v>
      </c>
      <c r="G14" s="62">
        <v>3</v>
      </c>
      <c r="H14" s="27">
        <f>IF(B$25=0,0,G14/B$25)</f>
        <v>5.0847457627118647E-2</v>
      </c>
      <c r="J14" s="26">
        <v>12</v>
      </c>
      <c r="K14" s="28">
        <v>-197</v>
      </c>
    </row>
    <row r="15" spans="1:16" x14ac:dyDescent="0.4">
      <c r="A15" s="69" t="s">
        <v>133</v>
      </c>
      <c r="B15" s="61">
        <v>16</v>
      </c>
      <c r="C15" s="24">
        <f>IF(B$13=0,0,B15/B$13)</f>
        <v>0.33333333333333331</v>
      </c>
      <c r="E15" s="80" t="s">
        <v>79</v>
      </c>
      <c r="F15" s="76" t="s">
        <v>32</v>
      </c>
      <c r="G15" s="62">
        <v>2</v>
      </c>
      <c r="H15" s="27">
        <f>IF(B$25=0,0,G15/B$25)</f>
        <v>3.3898305084745763E-2</v>
      </c>
      <c r="J15" s="26">
        <v>13</v>
      </c>
      <c r="K15" s="28">
        <v>-235</v>
      </c>
    </row>
    <row r="16" spans="1:16" x14ac:dyDescent="0.4">
      <c r="A16" s="69" t="s">
        <v>10</v>
      </c>
      <c r="B16" s="61">
        <f>B17+B18</f>
        <v>69</v>
      </c>
      <c r="C16" s="24">
        <f>IF(B$3=0,0,B16/B$3)</f>
        <v>0.26235741444866922</v>
      </c>
      <c r="E16" s="80" t="s">
        <v>88</v>
      </c>
      <c r="F16" s="76" t="s">
        <v>41</v>
      </c>
      <c r="G16" s="62">
        <v>2</v>
      </c>
      <c r="H16" s="27">
        <f>IF(B$25=0,0,G16/B$25)</f>
        <v>3.3898305084745763E-2</v>
      </c>
      <c r="J16" s="26">
        <v>14</v>
      </c>
      <c r="K16" s="28">
        <v>-231</v>
      </c>
    </row>
    <row r="17" spans="1:11" x14ac:dyDescent="0.4">
      <c r="A17" s="70" t="s">
        <v>11</v>
      </c>
      <c r="B17" s="62">
        <v>36</v>
      </c>
      <c r="C17" s="27">
        <f>IF(B$3=0,0,B17/B$3)</f>
        <v>0.13688212927756654</v>
      </c>
      <c r="E17" s="80" t="s">
        <v>81</v>
      </c>
      <c r="F17" s="76" t="s">
        <v>34</v>
      </c>
      <c r="G17" s="62">
        <v>1</v>
      </c>
      <c r="H17" s="27">
        <f>IF(B$25=0,0,G17/B$25)</f>
        <v>1.6949152542372881E-2</v>
      </c>
      <c r="J17" s="26">
        <v>15</v>
      </c>
      <c r="K17" s="28">
        <v>-212.5</v>
      </c>
    </row>
    <row r="18" spans="1:11" x14ac:dyDescent="0.4">
      <c r="A18" s="70" t="s">
        <v>12</v>
      </c>
      <c r="B18" s="62">
        <v>33</v>
      </c>
      <c r="C18" s="27">
        <f>IF(B$3=0,0,B18/B$3)</f>
        <v>0.12547528517110265</v>
      </c>
      <c r="E18" s="80" t="s">
        <v>100</v>
      </c>
      <c r="F18" s="76" t="s">
        <v>53</v>
      </c>
      <c r="G18" s="62">
        <v>1</v>
      </c>
      <c r="H18" s="27">
        <f>IF(B$25=0,0,G18/B$25)</f>
        <v>1.6949152542372881E-2</v>
      </c>
      <c r="J18" s="26">
        <v>16</v>
      </c>
      <c r="K18" s="28">
        <v>-233.2</v>
      </c>
    </row>
    <row r="19" spans="1:11" x14ac:dyDescent="0.4">
      <c r="A19" s="70" t="s">
        <v>13</v>
      </c>
      <c r="B19" s="62">
        <v>60</v>
      </c>
      <c r="C19" s="27">
        <f>IF(B$3=0,0,B19/B$3)</f>
        <v>0.22813688212927757</v>
      </c>
      <c r="E19" s="80" t="s">
        <v>77</v>
      </c>
      <c r="F19" s="76" t="s">
        <v>30</v>
      </c>
      <c r="G19" s="62">
        <v>0</v>
      </c>
      <c r="H19" s="27">
        <f>IF(B$25=0,0,G19/B$25)</f>
        <v>0</v>
      </c>
      <c r="J19" s="26">
        <v>17</v>
      </c>
      <c r="K19" s="28">
        <v>-268.7</v>
      </c>
    </row>
    <row r="20" spans="1:11" x14ac:dyDescent="0.4">
      <c r="A20" s="70" t="s">
        <v>5</v>
      </c>
      <c r="B20" s="66">
        <f>IF(B$16=0,0,C20/B$16)</f>
        <v>11179.710144927536</v>
      </c>
      <c r="C20" s="30">
        <v>771400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-295.8</v>
      </c>
    </row>
    <row r="21" spans="1:11" x14ac:dyDescent="0.4">
      <c r="A21" s="72" t="s">
        <v>14</v>
      </c>
      <c r="B21" s="67">
        <f>IF(B$19=0,0,C21/B$19)</f>
        <v>-9966.6666666666661</v>
      </c>
      <c r="C21" s="60">
        <v>-598000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-273.2</v>
      </c>
    </row>
    <row r="22" spans="1:11" x14ac:dyDescent="0.4">
      <c r="A22" s="69" t="s">
        <v>198</v>
      </c>
      <c r="B22" s="61">
        <v>79</v>
      </c>
      <c r="C22" s="24">
        <f>IF(B$3=0,0,B22/B$3)</f>
        <v>0.30038022813688214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72" t="s">
        <v>199</v>
      </c>
      <c r="B23" s="64">
        <v>26</v>
      </c>
      <c r="C23" s="32">
        <f>IF(B$22=0,0,B23/B$22)</f>
        <v>0.32911392405063289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69" t="s">
        <v>128</v>
      </c>
      <c r="B24" s="88">
        <v>226</v>
      </c>
      <c r="C24" s="89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72" t="s">
        <v>129</v>
      </c>
      <c r="B25" s="90">
        <v>59</v>
      </c>
      <c r="C25" s="91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80" t="s">
        <v>98</v>
      </c>
      <c r="F32" s="76" t="s">
        <v>51</v>
      </c>
      <c r="G32" s="62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80" t="s">
        <v>99</v>
      </c>
      <c r="F33" s="76" t="s">
        <v>52</v>
      </c>
      <c r="G33" s="62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22B4A-A2B2-44D3-A6D9-859F73130379}">
  <sheetPr codeName="Sheet14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220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3</v>
      </c>
      <c r="C2" s="89"/>
      <c r="E2" s="79" t="s">
        <v>69</v>
      </c>
      <c r="F2" s="75" t="s">
        <v>23</v>
      </c>
      <c r="G2" s="61">
        <v>9</v>
      </c>
      <c r="H2" s="24">
        <f>IF(B$25=0,0,G2/B$25)</f>
        <v>0.81818181818181823</v>
      </c>
      <c r="J2" s="23">
        <v>0</v>
      </c>
      <c r="K2" s="25">
        <v>0</v>
      </c>
      <c r="M2" s="23" t="s">
        <v>201</v>
      </c>
      <c r="N2" s="56">
        <f t="shared" ref="N2:N7" si="0">IF(P2=0,0,O2/P2)</f>
        <v>16433.333333333332</v>
      </c>
      <c r="O2" s="53">
        <v>49300</v>
      </c>
      <c r="P2" s="51">
        <v>3</v>
      </c>
    </row>
    <row r="3" spans="1:16" x14ac:dyDescent="0.4">
      <c r="A3" s="70" t="s">
        <v>8</v>
      </c>
      <c r="B3" s="94">
        <v>27</v>
      </c>
      <c r="C3" s="95"/>
      <c r="E3" s="80" t="s">
        <v>73</v>
      </c>
      <c r="F3" s="76" t="s">
        <v>27</v>
      </c>
      <c r="G3" s="62">
        <v>6</v>
      </c>
      <c r="H3" s="27">
        <f>IF(B$25=0,0,G3/B$25)</f>
        <v>0.54545454545454541</v>
      </c>
      <c r="J3" s="26">
        <v>1</v>
      </c>
      <c r="K3" s="28">
        <v>28.3</v>
      </c>
      <c r="M3" s="26" t="s">
        <v>202</v>
      </c>
      <c r="N3" s="57">
        <f t="shared" si="0"/>
        <v>-11566.666666666666</v>
      </c>
      <c r="O3" s="54">
        <v>-34700</v>
      </c>
      <c r="P3" s="49">
        <v>3</v>
      </c>
    </row>
    <row r="4" spans="1:16" x14ac:dyDescent="0.4">
      <c r="A4" s="70" t="s">
        <v>6</v>
      </c>
      <c r="B4" s="96">
        <v>57.3</v>
      </c>
      <c r="C4" s="97"/>
      <c r="E4" s="80" t="s">
        <v>72</v>
      </c>
      <c r="F4" s="76" t="s">
        <v>26</v>
      </c>
      <c r="G4" s="62">
        <v>5</v>
      </c>
      <c r="H4" s="27">
        <f>IF(B$25=0,0,G4/B$25)</f>
        <v>0.45454545454545453</v>
      </c>
      <c r="J4" s="26">
        <v>2</v>
      </c>
      <c r="K4" s="28">
        <v>71.3</v>
      </c>
      <c r="M4" s="26" t="s">
        <v>203</v>
      </c>
      <c r="N4" s="57">
        <f t="shared" si="0"/>
        <v>6666.666666666667</v>
      </c>
      <c r="O4" s="54">
        <v>20000</v>
      </c>
      <c r="P4" s="49">
        <v>3</v>
      </c>
    </row>
    <row r="5" spans="1:16" x14ac:dyDescent="0.4">
      <c r="A5" s="70" t="s">
        <v>7</v>
      </c>
      <c r="B5" s="96">
        <f>IF(B$2=0,0,B$4/B$2)</f>
        <v>19.099999999999998</v>
      </c>
      <c r="C5" s="97"/>
      <c r="E5" s="80" t="s">
        <v>71</v>
      </c>
      <c r="F5" s="76" t="s">
        <v>25</v>
      </c>
      <c r="G5" s="62">
        <v>5</v>
      </c>
      <c r="H5" s="27">
        <f>IF(B$25=0,0,G5/B$25)</f>
        <v>0.45454545454545453</v>
      </c>
      <c r="J5" s="26">
        <v>3</v>
      </c>
      <c r="K5" s="28">
        <v>57.3</v>
      </c>
      <c r="M5" s="26" t="s">
        <v>204</v>
      </c>
      <c r="N5" s="57">
        <f t="shared" si="0"/>
        <v>9800</v>
      </c>
      <c r="O5" s="54">
        <v>19600</v>
      </c>
      <c r="P5" s="49">
        <v>2</v>
      </c>
    </row>
    <row r="6" spans="1:16" x14ac:dyDescent="0.4">
      <c r="A6" s="70" t="s">
        <v>1</v>
      </c>
      <c r="B6" s="98">
        <f>IF(B$2=0,0,(B$7*1+B$8*2+B$9*3)/B$2)</f>
        <v>1.6666666666666667</v>
      </c>
      <c r="C6" s="99"/>
      <c r="E6" s="80" t="s">
        <v>78</v>
      </c>
      <c r="F6" s="76" t="s">
        <v>31</v>
      </c>
      <c r="G6" s="62">
        <v>3</v>
      </c>
      <c r="H6" s="27">
        <f>IF(B$25=0,0,G6/B$25)</f>
        <v>0.27272727272727271</v>
      </c>
      <c r="M6" s="26" t="s">
        <v>205</v>
      </c>
      <c r="N6" s="57">
        <f t="shared" si="0"/>
        <v>-3500</v>
      </c>
      <c r="O6" s="54">
        <v>-7000</v>
      </c>
      <c r="P6" s="49">
        <v>2</v>
      </c>
    </row>
    <row r="7" spans="1:16" x14ac:dyDescent="0.4">
      <c r="A7" s="70" t="s">
        <v>2</v>
      </c>
      <c r="B7" s="62">
        <v>2</v>
      </c>
      <c r="C7" s="27">
        <f>IF(B$2=0,0,B7/B$2)</f>
        <v>0.66666666666666663</v>
      </c>
      <c r="E7" s="80" t="s">
        <v>76</v>
      </c>
      <c r="F7" s="76" t="s">
        <v>29</v>
      </c>
      <c r="G7" s="62">
        <v>3</v>
      </c>
      <c r="H7" s="27">
        <f>IF(B$25=0,0,G7/B$25)</f>
        <v>0.27272727272727271</v>
      </c>
      <c r="M7" s="31" t="s">
        <v>206</v>
      </c>
      <c r="N7" s="58">
        <f t="shared" si="0"/>
        <v>5050</v>
      </c>
      <c r="O7" s="55">
        <v>10100</v>
      </c>
      <c r="P7" s="50">
        <v>2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93</v>
      </c>
      <c r="F8" s="76" t="s">
        <v>46</v>
      </c>
      <c r="G8" s="62">
        <v>2</v>
      </c>
      <c r="H8" s="27">
        <f>IF(B$25=0,0,G8/B$25)</f>
        <v>0.18181818181818182</v>
      </c>
    </row>
    <row r="9" spans="1:16" x14ac:dyDescent="0.4">
      <c r="A9" s="71" t="s">
        <v>4</v>
      </c>
      <c r="B9" s="63">
        <v>1</v>
      </c>
      <c r="C9" s="29">
        <f t="shared" si="1"/>
        <v>0.33333333333333331</v>
      </c>
      <c r="E9" s="80" t="s">
        <v>96</v>
      </c>
      <c r="F9" s="76" t="s">
        <v>49</v>
      </c>
      <c r="G9" s="62">
        <v>2</v>
      </c>
      <c r="H9" s="27">
        <f>IF(B$25=0,0,G9/B$25)</f>
        <v>0.18181818181818182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75</v>
      </c>
      <c r="F10" s="76" t="s">
        <v>28</v>
      </c>
      <c r="G10" s="62">
        <v>2</v>
      </c>
      <c r="H10" s="27">
        <f>IF(B$25=0,0,G10/B$25)</f>
        <v>0.18181818181818182</v>
      </c>
    </row>
    <row r="11" spans="1:16" x14ac:dyDescent="0.4">
      <c r="A11" s="72" t="s">
        <v>211</v>
      </c>
      <c r="B11" s="64">
        <v>1</v>
      </c>
      <c r="C11" s="32">
        <f>IF(B$2=0,0,B11/B$2)</f>
        <v>0.33333333333333331</v>
      </c>
      <c r="E11" s="80" t="s">
        <v>70</v>
      </c>
      <c r="F11" s="76" t="s">
        <v>24</v>
      </c>
      <c r="G11" s="62">
        <v>1</v>
      </c>
      <c r="H11" s="27">
        <f>IF(B$25=0,0,G11/B$25)</f>
        <v>9.0909090909090912E-2</v>
      </c>
    </row>
    <row r="12" spans="1:16" x14ac:dyDescent="0.4">
      <c r="A12" s="73" t="s">
        <v>130</v>
      </c>
      <c r="B12" s="65">
        <v>13</v>
      </c>
      <c r="C12" s="35">
        <f>IF(B$24=0,0,B12/B$24)</f>
        <v>0.48148148148148145</v>
      </c>
      <c r="E12" s="80" t="s">
        <v>74</v>
      </c>
      <c r="F12" s="76" t="s">
        <v>12</v>
      </c>
      <c r="G12" s="62">
        <v>1</v>
      </c>
      <c r="H12" s="27">
        <f>IF(B$25=0,0,G12/B$25)</f>
        <v>9.0909090909090912E-2</v>
      </c>
    </row>
    <row r="13" spans="1:16" x14ac:dyDescent="0.4">
      <c r="A13" s="70" t="s">
        <v>125</v>
      </c>
      <c r="B13" s="62">
        <v>4</v>
      </c>
      <c r="C13" s="27">
        <f>IF(B$24=0,0,B13/B$24)</f>
        <v>0.14814814814814814</v>
      </c>
      <c r="E13" s="80" t="s">
        <v>77</v>
      </c>
      <c r="F13" s="76" t="s">
        <v>30</v>
      </c>
      <c r="G13" s="62">
        <v>1</v>
      </c>
      <c r="H13" s="27">
        <f>IF(B$25=0,0,G13/B$25)</f>
        <v>9.0909090909090912E-2</v>
      </c>
    </row>
    <row r="14" spans="1:16" x14ac:dyDescent="0.4">
      <c r="A14" s="69" t="s">
        <v>132</v>
      </c>
      <c r="B14" s="61">
        <v>9</v>
      </c>
      <c r="C14" s="24">
        <f>IF(B$12=0,0,B14/B$12)</f>
        <v>0.69230769230769229</v>
      </c>
      <c r="E14" s="80" t="s">
        <v>98</v>
      </c>
      <c r="F14" s="76" t="s">
        <v>51</v>
      </c>
      <c r="G14" s="62">
        <v>1</v>
      </c>
      <c r="H14" s="27">
        <f>IF(B$25=0,0,G14/B$25)</f>
        <v>9.0909090909090912E-2</v>
      </c>
    </row>
    <row r="15" spans="1:16" x14ac:dyDescent="0.4">
      <c r="A15" s="69" t="s">
        <v>133</v>
      </c>
      <c r="B15" s="61">
        <v>1</v>
      </c>
      <c r="C15" s="24">
        <f>IF(B$13=0,0,B15/B$13)</f>
        <v>0.25</v>
      </c>
      <c r="E15" s="80" t="s">
        <v>79</v>
      </c>
      <c r="F15" s="76" t="s">
        <v>32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11</v>
      </c>
      <c r="C16" s="24">
        <f>IF(B$3=0,0,B16/B$3)</f>
        <v>0.40740740740740738</v>
      </c>
      <c r="E16" s="80" t="s">
        <v>80</v>
      </c>
      <c r="F16" s="76" t="s">
        <v>33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9</v>
      </c>
      <c r="C17" s="27">
        <f>IF(B$3=0,0,B17/B$3)</f>
        <v>0.33333333333333331</v>
      </c>
      <c r="E17" s="80" t="s">
        <v>81</v>
      </c>
      <c r="F17" s="76" t="s">
        <v>34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2</v>
      </c>
      <c r="C18" s="27">
        <f>IF(B$3=0,0,B18/B$3)</f>
        <v>7.407407407407407E-2</v>
      </c>
      <c r="E18" s="80" t="s">
        <v>82</v>
      </c>
      <c r="F18" s="76" t="s">
        <v>35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7.407407407407407E-2</v>
      </c>
      <c r="E19" s="80" t="s">
        <v>83</v>
      </c>
      <c r="F19" s="76" t="s">
        <v>36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10181.818181818182</v>
      </c>
      <c r="C20" s="30">
        <v>112000</v>
      </c>
      <c r="E20" s="80" t="s">
        <v>84</v>
      </c>
      <c r="F20" s="76" t="s">
        <v>37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-6600</v>
      </c>
      <c r="C21" s="60">
        <v>-13200</v>
      </c>
      <c r="E21" s="80" t="s">
        <v>85</v>
      </c>
      <c r="F21" s="76" t="s">
        <v>38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11</v>
      </c>
      <c r="C22" s="24">
        <f>IF(B$3=0,0,B22/B$3)</f>
        <v>0.40740740740740738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6</v>
      </c>
      <c r="C23" s="32">
        <f>IF(B$22=0,0,B23/B$22)</f>
        <v>0.54545454545454541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27</v>
      </c>
      <c r="C24" s="89"/>
      <c r="E24" s="80" t="s">
        <v>88</v>
      </c>
      <c r="F24" s="76" t="s">
        <v>41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11</v>
      </c>
      <c r="C25" s="91"/>
      <c r="E25" s="80" t="s">
        <v>89</v>
      </c>
      <c r="F25" s="76" t="s">
        <v>42</v>
      </c>
      <c r="G25" s="62">
        <v>0</v>
      </c>
      <c r="H25" s="27">
        <f>IF(B$25=0,0,G25/B$25)</f>
        <v>0</v>
      </c>
    </row>
    <row r="26" spans="1:8" x14ac:dyDescent="0.4">
      <c r="E26" s="80" t="s">
        <v>90</v>
      </c>
      <c r="F26" s="76" t="s">
        <v>43</v>
      </c>
      <c r="G26" s="62">
        <v>0</v>
      </c>
      <c r="H26" s="27">
        <f>IF(B$25=0,0,G26/B$25)</f>
        <v>0</v>
      </c>
    </row>
    <row r="27" spans="1:8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</row>
    <row r="28" spans="1:8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</row>
    <row r="29" spans="1:8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</row>
    <row r="30" spans="1:8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</row>
    <row r="31" spans="1:8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61BAE-387A-4BE0-90AE-9888859DC49A}">
  <sheetPr codeName="Sheet1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223</v>
      </c>
      <c r="C1" s="93"/>
      <c r="E1" s="78" t="s">
        <v>213</v>
      </c>
      <c r="F1" s="85" t="s">
        <v>122</v>
      </c>
      <c r="G1" s="84" t="s">
        <v>123</v>
      </c>
      <c r="H1" s="85" t="s">
        <v>124</v>
      </c>
      <c r="J1" s="21" t="s">
        <v>22</v>
      </c>
      <c r="K1" s="22" t="s">
        <v>127</v>
      </c>
      <c r="M1" s="21" t="s">
        <v>207</v>
      </c>
      <c r="N1" s="85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2</v>
      </c>
      <c r="C2" s="89"/>
      <c r="E2" s="79" t="s">
        <v>73</v>
      </c>
      <c r="F2" s="75" t="s">
        <v>27</v>
      </c>
      <c r="G2" s="61">
        <v>6</v>
      </c>
      <c r="H2" s="24">
        <f>IF(B$25=0,0,G2/B$25)</f>
        <v>3</v>
      </c>
      <c r="J2" s="23">
        <v>0</v>
      </c>
      <c r="K2" s="25">
        <v>0</v>
      </c>
      <c r="M2" s="23" t="s">
        <v>201</v>
      </c>
      <c r="N2" s="56">
        <f t="shared" ref="N2:N7" si="0">IF(P2=0,0,O2/P2)</f>
        <v>-8100</v>
      </c>
      <c r="O2" s="53">
        <v>-16200</v>
      </c>
      <c r="P2" s="51">
        <v>2</v>
      </c>
    </row>
    <row r="3" spans="1:16" x14ac:dyDescent="0.4">
      <c r="A3" s="70" t="s">
        <v>8</v>
      </c>
      <c r="B3" s="94">
        <v>14</v>
      </c>
      <c r="C3" s="95"/>
      <c r="E3" s="80" t="s">
        <v>71</v>
      </c>
      <c r="F3" s="76" t="s">
        <v>25</v>
      </c>
      <c r="G3" s="62">
        <v>3</v>
      </c>
      <c r="H3" s="27">
        <f>IF(B$25=0,0,G3/B$25)</f>
        <v>1.5</v>
      </c>
      <c r="J3" s="26">
        <v>1</v>
      </c>
      <c r="K3" s="28">
        <v>15</v>
      </c>
      <c r="M3" s="26" t="s">
        <v>202</v>
      </c>
      <c r="N3" s="57">
        <f t="shared" si="0"/>
        <v>1900</v>
      </c>
      <c r="O3" s="54">
        <v>3800</v>
      </c>
      <c r="P3" s="49">
        <v>2</v>
      </c>
    </row>
    <row r="4" spans="1:16" x14ac:dyDescent="0.4">
      <c r="A4" s="70" t="s">
        <v>6</v>
      </c>
      <c r="B4" s="96">
        <v>-24.299999999999997</v>
      </c>
      <c r="C4" s="97"/>
      <c r="E4" s="80" t="s">
        <v>78</v>
      </c>
      <c r="F4" s="76" t="s">
        <v>31</v>
      </c>
      <c r="G4" s="62">
        <v>3</v>
      </c>
      <c r="H4" s="27">
        <f>IF(B$25=0,0,G4/B$25)</f>
        <v>1.5</v>
      </c>
      <c r="J4" s="26">
        <v>2</v>
      </c>
      <c r="K4" s="28">
        <v>-24.299999999999997</v>
      </c>
      <c r="M4" s="26" t="s">
        <v>203</v>
      </c>
      <c r="N4" s="57">
        <f t="shared" si="0"/>
        <v>-6650</v>
      </c>
      <c r="O4" s="54">
        <v>-13300</v>
      </c>
      <c r="P4" s="49">
        <v>2</v>
      </c>
    </row>
    <row r="5" spans="1:16" x14ac:dyDescent="0.4">
      <c r="A5" s="70" t="s">
        <v>7</v>
      </c>
      <c r="B5" s="96">
        <f>IF(B$2=0,0,B$4/B$2)</f>
        <v>-12.149999999999999</v>
      </c>
      <c r="C5" s="97"/>
      <c r="E5" s="80" t="s">
        <v>69</v>
      </c>
      <c r="F5" s="76" t="s">
        <v>23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9600</v>
      </c>
      <c r="O5" s="54">
        <v>19200</v>
      </c>
      <c r="P5" s="49">
        <v>2</v>
      </c>
    </row>
    <row r="6" spans="1:16" x14ac:dyDescent="0.4">
      <c r="A6" s="70" t="s">
        <v>1</v>
      </c>
      <c r="B6" s="98">
        <f>IF(B$2=0,0,(B$7*1+B$8*2+B$9*3)/B$2)</f>
        <v>2.5</v>
      </c>
      <c r="C6" s="99"/>
      <c r="E6" s="80" t="s">
        <v>70</v>
      </c>
      <c r="F6" s="76" t="s">
        <v>24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-17800</v>
      </c>
      <c r="O6" s="54">
        <v>-17800</v>
      </c>
      <c r="P6" s="49">
        <v>1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72</v>
      </c>
      <c r="F7" s="76" t="s">
        <v>26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0.5</v>
      </c>
      <c r="E8" s="80" t="s">
        <v>74</v>
      </c>
      <c r="F8" s="76" t="s">
        <v>12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1</v>
      </c>
      <c r="C9" s="29">
        <f t="shared" si="1"/>
        <v>0.5</v>
      </c>
      <c r="E9" s="80" t="s">
        <v>75</v>
      </c>
      <c r="F9" s="76" t="s">
        <v>28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1</v>
      </c>
      <c r="C10" s="29">
        <f>IF(B$2=0,0,B10/B$2)</f>
        <v>0.5</v>
      </c>
      <c r="E10" s="80" t="s">
        <v>76</v>
      </c>
      <c r="F10" s="76" t="s">
        <v>29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77</v>
      </c>
      <c r="F11" s="76" t="s">
        <v>30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7</v>
      </c>
      <c r="C13" s="27">
        <f>IF(B$24=0,0,B13/B$24)</f>
        <v>0.5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2</v>
      </c>
      <c r="C15" s="24">
        <f>IF(B$13=0,0,B15/B$13)</f>
        <v>0.2857142857142857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0.14285714285714285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2</v>
      </c>
      <c r="C17" s="27">
        <f>IF(B$3=0,0,B17/B$3)</f>
        <v>0.14285714285714285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3</v>
      </c>
      <c r="C19" s="27">
        <f>IF(B$3=0,0,B19/B$3)</f>
        <v>0.21428571428571427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13000</v>
      </c>
      <c r="C20" s="30">
        <v>26000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-8000</v>
      </c>
      <c r="C21" s="60">
        <v>-24000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3</v>
      </c>
      <c r="C22" s="24">
        <f>IF(B$3=0,0,B22/B$3)</f>
        <v>0.21428571428571427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</v>
      </c>
      <c r="C23" s="32">
        <f>IF(B$22=0,0,B23/B$22)</f>
        <v>0.33333333333333331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14</v>
      </c>
      <c r="C24" s="89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2</v>
      </c>
      <c r="C25" s="91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/>
      <c r="C1" s="93"/>
      <c r="E1" s="78" t="s">
        <v>213</v>
      </c>
      <c r="F1" s="59" t="s">
        <v>122</v>
      </c>
      <c r="G1" s="74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69" t="s">
        <v>9</v>
      </c>
      <c r="B2" s="88">
        <v>0</v>
      </c>
      <c r="C2" s="89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0" t="s">
        <v>8</v>
      </c>
      <c r="B3" s="94">
        <v>0</v>
      </c>
      <c r="C3" s="95"/>
      <c r="E3" s="80" t="s">
        <v>70</v>
      </c>
      <c r="F3" s="76" t="s">
        <v>24</v>
      </c>
      <c r="G3" s="62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0" t="s">
        <v>6</v>
      </c>
      <c r="B4" s="96">
        <v>0</v>
      </c>
      <c r="C4" s="97"/>
      <c r="E4" s="80" t="s">
        <v>71</v>
      </c>
      <c r="F4" s="76" t="s">
        <v>25</v>
      </c>
      <c r="G4" s="62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0" t="s">
        <v>7</v>
      </c>
      <c r="B5" s="96">
        <f>IF(B$2=0,0,B$4/B$2)</f>
        <v>0</v>
      </c>
      <c r="C5" s="97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8">
        <f>IF(B$2=0,0,(B$7*1+B$8*2+B$9*3)/B$2)</f>
        <v>0</v>
      </c>
      <c r="C6" s="99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0</v>
      </c>
      <c r="C9" s="29">
        <f t="shared" si="2"/>
        <v>0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0</v>
      </c>
      <c r="C16" s="24">
        <f>IF(B$3=0,0,B16/B$3)</f>
        <v>0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0</v>
      </c>
      <c r="C19" s="27">
        <f>IF(B$3=0,0,B19/B$3)</f>
        <v>0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0</v>
      </c>
      <c r="C20" s="30">
        <v>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0</v>
      </c>
      <c r="C21" s="60">
        <v>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8">
        <v>0</v>
      </c>
      <c r="C24" s="89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90">
        <v>0</v>
      </c>
      <c r="C25" s="91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51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4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43454.62740740741</v>
      </c>
      <c r="C2" s="46" t="s">
        <v>174</v>
      </c>
    </row>
    <row r="3" spans="1:14" x14ac:dyDescent="0.4">
      <c r="A3" s="41" t="s">
        <v>140</v>
      </c>
      <c r="B3" s="44">
        <v>43454.62740740741</v>
      </c>
      <c r="C3" s="47" t="s">
        <v>174</v>
      </c>
    </row>
    <row r="4" spans="1:14" x14ac:dyDescent="0.4">
      <c r="A4" s="41" t="s">
        <v>143</v>
      </c>
      <c r="B4" s="44">
        <v>43454.62740740741</v>
      </c>
      <c r="C4" s="47" t="s">
        <v>174</v>
      </c>
    </row>
    <row r="5" spans="1:14" x14ac:dyDescent="0.4">
      <c r="A5" s="41" t="s">
        <v>144</v>
      </c>
      <c r="B5" s="44">
        <v>43454.62740740741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43454.62740740741</v>
      </c>
      <c r="C6" s="47" t="s">
        <v>174</v>
      </c>
    </row>
    <row r="7" spans="1:14" x14ac:dyDescent="0.4">
      <c r="A7" s="41" t="s">
        <v>147</v>
      </c>
      <c r="B7" s="44">
        <v>43454.62740740741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43454.62740740741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43454.62740740741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43454.62740740741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43454.62740740741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43454.62740740741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43454.62740740741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43454.62740740741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43454.62740740741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43454.62740740741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43471.701018518521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43454.62740740741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43454.62740740741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43471.701018518521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43454.62740740741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43454.62740740741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43454.62740740741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43454.62740740741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43454.62740740741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43454.62740740741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43454.62740740741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43454.62740740741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43455.084918981483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43456.147789351853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  <row r="31" spans="1:9" x14ac:dyDescent="0.4">
      <c r="A31" s="41" t="s">
        <v>214</v>
      </c>
      <c r="B31" s="44">
        <v>43471.8909375</v>
      </c>
      <c r="C31" s="47" t="s">
        <v>174</v>
      </c>
      <c r="D31" s="36" t="s">
        <v>175</v>
      </c>
      <c r="E31" s="36" t="s">
        <v>176</v>
      </c>
      <c r="F31" s="36" t="s">
        <v>177</v>
      </c>
    </row>
    <row r="32" spans="1:9" x14ac:dyDescent="0.4">
      <c r="A32" s="41" t="s">
        <v>215</v>
      </c>
      <c r="B32" s="44">
        <v>43475.056238425925</v>
      </c>
      <c r="C32" s="47" t="s">
        <v>174</v>
      </c>
    </row>
    <row r="33" spans="1:10" x14ac:dyDescent="0.4">
      <c r="A33" s="41" t="s">
        <v>216</v>
      </c>
      <c r="B33" s="44">
        <v>43478.456446759257</v>
      </c>
      <c r="C33" s="47" t="s">
        <v>174</v>
      </c>
      <c r="D33" s="36" t="s">
        <v>175</v>
      </c>
      <c r="E33" s="36" t="s">
        <v>176</v>
      </c>
    </row>
    <row r="34" spans="1:10" x14ac:dyDescent="0.4">
      <c r="A34" s="41" t="s">
        <v>219</v>
      </c>
      <c r="B34" s="44">
        <v>43479.150601851848</v>
      </c>
      <c r="C34" s="47" t="s">
        <v>174</v>
      </c>
      <c r="D34" s="36" t="s">
        <v>175</v>
      </c>
      <c r="E34" s="36" t="s">
        <v>176</v>
      </c>
      <c r="F34" s="36" t="s">
        <v>177</v>
      </c>
      <c r="G34" s="36" t="s">
        <v>178</v>
      </c>
      <c r="H34" s="36" t="s">
        <v>179</v>
      </c>
      <c r="I34" s="36" t="s">
        <v>180</v>
      </c>
      <c r="J34" s="36" t="s">
        <v>181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2019-01-13T18:38:29Z</dcterms:modified>
</cp:coreProperties>
</file>