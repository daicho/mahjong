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C9B4CBAE-F5F1-4B31-9DE6-62A443DD5834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229" r:id="rId2"/>
    <sheet name="かこたろう" sheetId="2230" r:id="rId3"/>
    <sheet name="ともき" sheetId="2231" r:id="rId4"/>
    <sheet name="りくと" sheetId="2232" r:id="rId5"/>
    <sheet name="いっしー" sheetId="2233" r:id="rId6"/>
    <sheet name="がくと" sheetId="2234" r:id="rId7"/>
    <sheet name="たかの" sheetId="2235" r:id="rId8"/>
    <sheet name="ただ" sheetId="2236" r:id="rId9"/>
    <sheet name="やがさき" sheetId="2237" r:id="rId10"/>
    <sheet name="れんたろう" sheetId="2238" r:id="rId11"/>
    <sheet name="Template" sheetId="2228" state="hidden" r:id="rId12"/>
    <sheet name="Cache" sheetId="2227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238" l="1"/>
  <c r="H50" i="2238"/>
  <c r="H49" i="2238"/>
  <c r="H48" i="2238"/>
  <c r="H47" i="2238"/>
  <c r="H46" i="2238"/>
  <c r="H45" i="2238"/>
  <c r="H44" i="2238"/>
  <c r="H43" i="2238"/>
  <c r="H42" i="2238"/>
  <c r="H41" i="2238"/>
  <c r="H40" i="2238"/>
  <c r="H39" i="2238"/>
  <c r="H38" i="2238"/>
  <c r="H37" i="2238"/>
  <c r="H36" i="2238"/>
  <c r="H35" i="2238"/>
  <c r="H34" i="2238"/>
  <c r="H18" i="2238"/>
  <c r="H33" i="2238"/>
  <c r="H32" i="2238"/>
  <c r="H31" i="2238"/>
  <c r="H8" i="2238"/>
  <c r="H30" i="2238"/>
  <c r="H29" i="2238"/>
  <c r="H17" i="2238"/>
  <c r="H28" i="2238"/>
  <c r="H27" i="2238"/>
  <c r="H14" i="2238"/>
  <c r="H26" i="2238"/>
  <c r="H16" i="2238"/>
  <c r="H25" i="2238"/>
  <c r="B20" i="2238"/>
  <c r="H24" i="2238"/>
  <c r="H23" i="2238"/>
  <c r="C18" i="2238"/>
  <c r="H11" i="2238"/>
  <c r="C17" i="2238"/>
  <c r="H22" i="2238"/>
  <c r="C16" i="2238"/>
  <c r="H21" i="2238"/>
  <c r="B15" i="2238"/>
  <c r="C15" i="2238" s="1"/>
  <c r="H15" i="2238"/>
  <c r="C14" i="2238"/>
  <c r="H20" i="2238"/>
  <c r="C13" i="2238"/>
  <c r="H13" i="2238"/>
  <c r="C12" i="2238"/>
  <c r="H3" i="2238"/>
  <c r="C11" i="2238"/>
  <c r="H19" i="2238"/>
  <c r="C10" i="2238"/>
  <c r="H10" i="2238"/>
  <c r="C9" i="2238"/>
  <c r="H9" i="2238"/>
  <c r="C8" i="2238"/>
  <c r="H6" i="2238"/>
  <c r="C7" i="2238"/>
  <c r="H2" i="2238"/>
  <c r="B6" i="2238"/>
  <c r="H7" i="2238"/>
  <c r="B5" i="2238"/>
  <c r="H4" i="2238"/>
  <c r="H12" i="2238"/>
  <c r="H5" i="2238"/>
  <c r="B19" i="2238" l="1"/>
  <c r="H51" i="2237" l="1"/>
  <c r="H50" i="2237"/>
  <c r="H49" i="2237"/>
  <c r="H48" i="2237"/>
  <c r="H47" i="2237"/>
  <c r="H46" i="2237"/>
  <c r="H45" i="2237"/>
  <c r="H44" i="2237"/>
  <c r="H43" i="2237"/>
  <c r="H42" i="2237"/>
  <c r="H41" i="2237"/>
  <c r="H40" i="2237"/>
  <c r="H39" i="2237"/>
  <c r="H38" i="2237"/>
  <c r="H37" i="2237"/>
  <c r="H36" i="2237"/>
  <c r="H35" i="2237"/>
  <c r="H34" i="2237"/>
  <c r="H33" i="2237"/>
  <c r="H32" i="2237"/>
  <c r="H31" i="2237"/>
  <c r="H30" i="2237"/>
  <c r="H29" i="2237"/>
  <c r="H28" i="2237"/>
  <c r="H27" i="2237"/>
  <c r="H26" i="2237"/>
  <c r="H25" i="2237"/>
  <c r="H24" i="2237"/>
  <c r="H23" i="2237"/>
  <c r="H22" i="2237"/>
  <c r="H21" i="2237"/>
  <c r="H20" i="2237"/>
  <c r="B20" i="2237"/>
  <c r="H19" i="2237"/>
  <c r="H18" i="2237"/>
  <c r="C18" i="2237"/>
  <c r="H17" i="2237"/>
  <c r="C17" i="2237"/>
  <c r="H16" i="2237"/>
  <c r="C16" i="2237"/>
  <c r="H15" i="2237"/>
  <c r="B15" i="2237"/>
  <c r="B19" i="2237" s="1"/>
  <c r="H14" i="2237"/>
  <c r="C14" i="2237"/>
  <c r="H13" i="2237"/>
  <c r="C13" i="2237"/>
  <c r="H12" i="2237"/>
  <c r="C12" i="2237"/>
  <c r="H11" i="2237"/>
  <c r="C11" i="2237"/>
  <c r="H10" i="2237"/>
  <c r="C10" i="2237"/>
  <c r="H9" i="2237"/>
  <c r="C9" i="2237"/>
  <c r="H8" i="2237"/>
  <c r="C8" i="2237"/>
  <c r="H7" i="2237"/>
  <c r="C7" i="2237"/>
  <c r="H6" i="2237"/>
  <c r="B6" i="2237"/>
  <c r="H5" i="2237"/>
  <c r="B5" i="2237"/>
  <c r="H4" i="2237"/>
  <c r="H3" i="2237"/>
  <c r="H2" i="2237"/>
  <c r="C15" i="2237" l="1"/>
  <c r="H51" i="2236" l="1"/>
  <c r="H50" i="2236"/>
  <c r="H49" i="2236"/>
  <c r="H48" i="2236"/>
  <c r="H47" i="2236"/>
  <c r="H46" i="2236"/>
  <c r="H45" i="2236"/>
  <c r="H44" i="2236"/>
  <c r="H43" i="2236"/>
  <c r="H42" i="2236"/>
  <c r="H41" i="2236"/>
  <c r="H40" i="2236"/>
  <c r="H39" i="2236"/>
  <c r="H38" i="2236"/>
  <c r="H37" i="2236"/>
  <c r="H36" i="2236"/>
  <c r="H35" i="2236"/>
  <c r="H34" i="2236"/>
  <c r="H33" i="2236"/>
  <c r="H32" i="2236"/>
  <c r="H16" i="2236"/>
  <c r="H31" i="2236"/>
  <c r="H11" i="2236"/>
  <c r="H30" i="2236"/>
  <c r="H29" i="2236"/>
  <c r="H13" i="2236"/>
  <c r="H28" i="2236"/>
  <c r="H27" i="2236"/>
  <c r="H26" i="2236"/>
  <c r="H25" i="2236"/>
  <c r="H24" i="2236"/>
  <c r="H23" i="2236"/>
  <c r="B20" i="2236"/>
  <c r="H22" i="2236"/>
  <c r="H21" i="2236"/>
  <c r="C18" i="2236"/>
  <c r="H15" i="2236"/>
  <c r="C17" i="2236"/>
  <c r="H20" i="2236"/>
  <c r="C16" i="2236"/>
  <c r="H19" i="2236"/>
  <c r="B15" i="2236"/>
  <c r="C15" i="2236" s="1"/>
  <c r="H18" i="2236"/>
  <c r="C14" i="2236"/>
  <c r="H14" i="2236"/>
  <c r="C13" i="2236"/>
  <c r="H17" i="2236"/>
  <c r="C12" i="2236"/>
  <c r="H5" i="2236"/>
  <c r="C11" i="2236"/>
  <c r="H12" i="2236"/>
  <c r="C10" i="2236"/>
  <c r="H10" i="2236"/>
  <c r="C9" i="2236"/>
  <c r="H8" i="2236"/>
  <c r="C8" i="2236"/>
  <c r="H7" i="2236"/>
  <c r="C7" i="2236"/>
  <c r="H3" i="2236"/>
  <c r="B6" i="2236"/>
  <c r="H6" i="2236"/>
  <c r="B5" i="2236"/>
  <c r="H2" i="2236"/>
  <c r="H9" i="2236"/>
  <c r="H4" i="2236"/>
  <c r="H51" i="2235"/>
  <c r="H50" i="2235"/>
  <c r="H49" i="2235"/>
  <c r="H48" i="2235"/>
  <c r="H47" i="2235"/>
  <c r="H46" i="2235"/>
  <c r="H45" i="2235"/>
  <c r="H44" i="2235"/>
  <c r="H43" i="2235"/>
  <c r="H42" i="2235"/>
  <c r="H41" i="2235"/>
  <c r="H40" i="2235"/>
  <c r="H39" i="2235"/>
  <c r="H38" i="2235"/>
  <c r="H37" i="2235"/>
  <c r="H36" i="2235"/>
  <c r="H35" i="2235"/>
  <c r="H34" i="2235"/>
  <c r="H33" i="2235"/>
  <c r="H32" i="2235"/>
  <c r="H31" i="2235"/>
  <c r="H30" i="2235"/>
  <c r="H8" i="2235"/>
  <c r="H29" i="2235"/>
  <c r="H28" i="2235"/>
  <c r="H10" i="2235"/>
  <c r="H27" i="2235"/>
  <c r="H26" i="2235"/>
  <c r="H16" i="2235"/>
  <c r="H25" i="2235"/>
  <c r="H15" i="2235"/>
  <c r="H24" i="2235"/>
  <c r="B20" i="2235"/>
  <c r="H23" i="2235"/>
  <c r="H9" i="2235"/>
  <c r="C18" i="2235"/>
  <c r="H14" i="2235"/>
  <c r="C17" i="2235"/>
  <c r="H22" i="2235"/>
  <c r="C16" i="2235"/>
  <c r="H21" i="2235"/>
  <c r="B15" i="2235"/>
  <c r="C15" i="2235" s="1"/>
  <c r="H13" i="2235"/>
  <c r="C14" i="2235"/>
  <c r="H20" i="2235"/>
  <c r="C13" i="2235"/>
  <c r="H19" i="2235"/>
  <c r="C12" i="2235"/>
  <c r="H4" i="2235"/>
  <c r="C11" i="2235"/>
  <c r="H18" i="2235"/>
  <c r="C10" i="2235"/>
  <c r="H12" i="2235"/>
  <c r="C9" i="2235"/>
  <c r="H11" i="2235"/>
  <c r="C8" i="2235"/>
  <c r="H7" i="2235"/>
  <c r="C7" i="2235"/>
  <c r="H2" i="2235"/>
  <c r="B6" i="2235"/>
  <c r="H17" i="2235"/>
  <c r="B5" i="2235"/>
  <c r="H3" i="2235"/>
  <c r="H6" i="2235"/>
  <c r="H5" i="2235"/>
  <c r="B19" i="2236" l="1"/>
  <c r="B19" i="2235"/>
  <c r="H51" i="2234" l="1"/>
  <c r="H50" i="2234"/>
  <c r="H49" i="2234"/>
  <c r="H48" i="2234"/>
  <c r="H47" i="2234"/>
  <c r="H46" i="2234"/>
  <c r="H45" i="2234"/>
  <c r="H44" i="2234"/>
  <c r="H43" i="2234"/>
  <c r="H42" i="2234"/>
  <c r="H41" i="2234"/>
  <c r="H40" i="2234"/>
  <c r="H39" i="2234"/>
  <c r="H38" i="2234"/>
  <c r="H37" i="2234"/>
  <c r="H36" i="2234"/>
  <c r="H35" i="2234"/>
  <c r="H34" i="2234"/>
  <c r="H33" i="2234"/>
  <c r="H32" i="2234"/>
  <c r="H31" i="2234"/>
  <c r="H30" i="2234"/>
  <c r="H29" i="2234"/>
  <c r="H28" i="2234"/>
  <c r="H27" i="2234"/>
  <c r="H26" i="2234"/>
  <c r="H25" i="2234"/>
  <c r="H24" i="2234"/>
  <c r="H23" i="2234"/>
  <c r="H22" i="2234"/>
  <c r="H21" i="2234"/>
  <c r="H20" i="2234"/>
  <c r="B20" i="2234"/>
  <c r="H19" i="2234"/>
  <c r="H18" i="2234"/>
  <c r="C18" i="2234"/>
  <c r="H17" i="2234"/>
  <c r="C17" i="2234"/>
  <c r="H16" i="2234"/>
  <c r="C16" i="2234"/>
  <c r="H15" i="2234"/>
  <c r="B15" i="2234"/>
  <c r="B19" i="2234" s="1"/>
  <c r="H14" i="2234"/>
  <c r="C14" i="2234"/>
  <c r="H13" i="2234"/>
  <c r="C13" i="2234"/>
  <c r="H12" i="2234"/>
  <c r="C12" i="2234"/>
  <c r="H11" i="2234"/>
  <c r="C11" i="2234"/>
  <c r="H10" i="2234"/>
  <c r="C10" i="2234"/>
  <c r="H9" i="2234"/>
  <c r="C9" i="2234"/>
  <c r="H8" i="2234"/>
  <c r="C8" i="2234"/>
  <c r="H7" i="2234"/>
  <c r="C7" i="2234"/>
  <c r="H6" i="2234"/>
  <c r="B6" i="2234"/>
  <c r="H5" i="2234"/>
  <c r="B5" i="2234"/>
  <c r="H4" i="2234"/>
  <c r="H3" i="2234"/>
  <c r="H2" i="2234"/>
  <c r="C15" i="2234" l="1"/>
  <c r="H51" i="2233" l="1"/>
  <c r="H50" i="2233"/>
  <c r="H49" i="2233"/>
  <c r="H48" i="2233"/>
  <c r="H47" i="2233"/>
  <c r="H46" i="2233"/>
  <c r="H45" i="2233"/>
  <c r="H44" i="2233"/>
  <c r="H43" i="2233"/>
  <c r="H42" i="2233"/>
  <c r="H41" i="2233"/>
  <c r="H40" i="2233"/>
  <c r="H39" i="2233"/>
  <c r="H38" i="2233"/>
  <c r="H37" i="2233"/>
  <c r="H36" i="2233"/>
  <c r="H35" i="2233"/>
  <c r="H34" i="2233"/>
  <c r="H33" i="2233"/>
  <c r="H32" i="2233"/>
  <c r="H31" i="2233"/>
  <c r="H30" i="2233"/>
  <c r="H29" i="2233"/>
  <c r="H28" i="2233"/>
  <c r="H27" i="2233"/>
  <c r="H26" i="2233"/>
  <c r="H25" i="2233"/>
  <c r="H24" i="2233"/>
  <c r="H11" i="2233"/>
  <c r="H23" i="2233"/>
  <c r="H10" i="2233"/>
  <c r="H22" i="2233"/>
  <c r="B20" i="2233"/>
  <c r="H21" i="2233"/>
  <c r="H20" i="2233"/>
  <c r="C18" i="2233"/>
  <c r="H19" i="2233"/>
  <c r="C17" i="2233"/>
  <c r="H18" i="2233"/>
  <c r="C16" i="2233"/>
  <c r="H17" i="2233"/>
  <c r="B15" i="2233"/>
  <c r="B19" i="2233" s="1"/>
  <c r="H16" i="2233"/>
  <c r="C14" i="2233"/>
  <c r="H15" i="2233"/>
  <c r="C13" i="2233"/>
  <c r="H14" i="2233"/>
  <c r="C12" i="2233"/>
  <c r="H4" i="2233"/>
  <c r="C11" i="2233"/>
  <c r="H13" i="2233"/>
  <c r="C10" i="2233"/>
  <c r="H12" i="2233"/>
  <c r="C9" i="2233"/>
  <c r="H9" i="2233"/>
  <c r="C8" i="2233"/>
  <c r="H7" i="2233"/>
  <c r="C7" i="2233"/>
  <c r="H3" i="2233"/>
  <c r="B6" i="2233"/>
  <c r="H6" i="2233"/>
  <c r="B5" i="2233"/>
  <c r="H2" i="2233"/>
  <c r="H8" i="2233"/>
  <c r="H5" i="2233"/>
  <c r="H51" i="2232"/>
  <c r="H50" i="2232"/>
  <c r="H49" i="2232"/>
  <c r="H48" i="2232"/>
  <c r="H47" i="2232"/>
  <c r="H46" i="2232"/>
  <c r="H45" i="2232"/>
  <c r="H44" i="2232"/>
  <c r="H43" i="2232"/>
  <c r="H42" i="2232"/>
  <c r="H41" i="2232"/>
  <c r="H40" i="2232"/>
  <c r="H39" i="2232"/>
  <c r="H38" i="2232"/>
  <c r="H37" i="2232"/>
  <c r="H36" i="2232"/>
  <c r="H35" i="2232"/>
  <c r="H34" i="2232"/>
  <c r="H33" i="2232"/>
  <c r="H16" i="2232"/>
  <c r="H22" i="2232"/>
  <c r="H32" i="2232"/>
  <c r="H9" i="2232"/>
  <c r="H21" i="2232"/>
  <c r="H20" i="2232"/>
  <c r="H12" i="2232"/>
  <c r="H19" i="2232"/>
  <c r="H18" i="2232"/>
  <c r="H13" i="2232"/>
  <c r="H31" i="2232"/>
  <c r="H15" i="2232"/>
  <c r="H30" i="2232"/>
  <c r="B20" i="2232"/>
  <c r="H29" i="2232"/>
  <c r="H17" i="2232"/>
  <c r="C18" i="2232"/>
  <c r="H28" i="2232"/>
  <c r="C17" i="2232"/>
  <c r="H27" i="2232"/>
  <c r="C16" i="2232"/>
  <c r="H26" i="2232"/>
  <c r="B15" i="2232"/>
  <c r="B19" i="2232" s="1"/>
  <c r="H25" i="2232"/>
  <c r="C14" i="2232"/>
  <c r="H24" i="2232"/>
  <c r="C13" i="2232"/>
  <c r="H23" i="2232"/>
  <c r="C12" i="2232"/>
  <c r="H4" i="2232"/>
  <c r="C11" i="2232"/>
  <c r="H14" i="2232"/>
  <c r="C10" i="2232"/>
  <c r="H8" i="2232"/>
  <c r="C9" i="2232"/>
  <c r="H11" i="2232"/>
  <c r="C8" i="2232"/>
  <c r="H6" i="2232"/>
  <c r="C7" i="2232"/>
  <c r="H2" i="2232"/>
  <c r="B6" i="2232"/>
  <c r="H7" i="2232"/>
  <c r="B5" i="2232"/>
  <c r="H5" i="2232"/>
  <c r="H10" i="2232"/>
  <c r="H3" i="2232"/>
  <c r="C15" i="2233" l="1"/>
  <c r="C15" i="2232"/>
  <c r="H51" i="2231" l="1"/>
  <c r="H50" i="2231"/>
  <c r="H49" i="2231"/>
  <c r="H48" i="2231"/>
  <c r="H47" i="2231"/>
  <c r="H46" i="2231"/>
  <c r="H45" i="2231"/>
  <c r="H44" i="2231"/>
  <c r="H43" i="2231"/>
  <c r="H42" i="2231"/>
  <c r="H41" i="2231"/>
  <c r="H40" i="2231"/>
  <c r="H39" i="2231"/>
  <c r="H38" i="2231"/>
  <c r="H37" i="2231"/>
  <c r="H36" i="2231"/>
  <c r="H35" i="2231"/>
  <c r="H34" i="2231"/>
  <c r="H33" i="2231"/>
  <c r="H32" i="2231"/>
  <c r="H31" i="2231"/>
  <c r="H30" i="2231"/>
  <c r="H29" i="2231"/>
  <c r="H28" i="2231"/>
  <c r="H27" i="2231"/>
  <c r="H26" i="2231"/>
  <c r="H25" i="2231"/>
  <c r="H24" i="2231"/>
  <c r="H23" i="2231"/>
  <c r="H22" i="2231"/>
  <c r="H21" i="2231"/>
  <c r="H20" i="2231"/>
  <c r="B20" i="2231"/>
  <c r="H19" i="2231"/>
  <c r="H18" i="2231"/>
  <c r="C18" i="2231"/>
  <c r="H17" i="2231"/>
  <c r="C17" i="2231"/>
  <c r="H16" i="2231"/>
  <c r="C16" i="2231"/>
  <c r="H15" i="2231"/>
  <c r="C15" i="2231"/>
  <c r="B15" i="2231"/>
  <c r="B19" i="2231" s="1"/>
  <c r="H14" i="2231"/>
  <c r="C14" i="2231"/>
  <c r="H13" i="2231"/>
  <c r="C13" i="2231"/>
  <c r="H12" i="2231"/>
  <c r="C12" i="2231"/>
  <c r="H11" i="2231"/>
  <c r="C11" i="2231"/>
  <c r="H10" i="2231"/>
  <c r="C10" i="2231"/>
  <c r="H9" i="2231"/>
  <c r="C9" i="2231"/>
  <c r="H8" i="2231"/>
  <c r="C8" i="2231"/>
  <c r="H7" i="2231"/>
  <c r="C7" i="2231"/>
  <c r="H6" i="2231"/>
  <c r="B6" i="2231"/>
  <c r="H5" i="2231"/>
  <c r="B5" i="2231"/>
  <c r="H4" i="2231"/>
  <c r="H3" i="2231"/>
  <c r="H2" i="2231"/>
  <c r="H51" i="2230"/>
  <c r="H50" i="2230"/>
  <c r="H49" i="2230"/>
  <c r="H48" i="2230"/>
  <c r="H47" i="2230"/>
  <c r="H46" i="2230"/>
  <c r="H45" i="2230"/>
  <c r="H44" i="2230"/>
  <c r="H43" i="2230"/>
  <c r="H42" i="2230"/>
  <c r="H41" i="2230"/>
  <c r="H40" i="2230"/>
  <c r="H39" i="2230"/>
  <c r="H38" i="2230"/>
  <c r="H37" i="2230"/>
  <c r="H36" i="2230"/>
  <c r="H35" i="2230"/>
  <c r="H34" i="2230"/>
  <c r="H33" i="2230"/>
  <c r="H32" i="2230"/>
  <c r="H31" i="2230"/>
  <c r="H30" i="2230"/>
  <c r="H29" i="2230"/>
  <c r="H28" i="2230"/>
  <c r="H27" i="2230"/>
  <c r="H26" i="2230"/>
  <c r="H25" i="2230"/>
  <c r="H24" i="2230"/>
  <c r="H23" i="2230"/>
  <c r="H22" i="2230"/>
  <c r="H21" i="2230"/>
  <c r="H20" i="2230"/>
  <c r="B20" i="2230"/>
  <c r="H19" i="2230"/>
  <c r="H18" i="2230"/>
  <c r="C18" i="2230"/>
  <c r="H17" i="2230"/>
  <c r="C17" i="2230"/>
  <c r="H16" i="2230"/>
  <c r="C16" i="2230"/>
  <c r="H15" i="2230"/>
  <c r="C15" i="2230"/>
  <c r="B15" i="2230"/>
  <c r="B19" i="2230" s="1"/>
  <c r="H14" i="2230"/>
  <c r="C14" i="2230"/>
  <c r="H13" i="2230"/>
  <c r="C13" i="2230"/>
  <c r="H12" i="2230"/>
  <c r="C12" i="2230"/>
  <c r="H11" i="2230"/>
  <c r="C11" i="2230"/>
  <c r="H10" i="2230"/>
  <c r="C10" i="2230"/>
  <c r="H9" i="2230"/>
  <c r="C9" i="2230"/>
  <c r="H8" i="2230"/>
  <c r="C8" i="2230"/>
  <c r="H7" i="2230"/>
  <c r="C7" i="2230"/>
  <c r="H6" i="2230"/>
  <c r="B6" i="2230"/>
  <c r="H5" i="2230"/>
  <c r="B5" i="2230"/>
  <c r="H4" i="2230"/>
  <c r="H3" i="2230"/>
  <c r="H2" i="2230"/>
  <c r="H51" i="2229"/>
  <c r="H50" i="2229"/>
  <c r="H49" i="2229"/>
  <c r="H48" i="2229"/>
  <c r="H47" i="2229"/>
  <c r="H20" i="2229"/>
  <c r="H46" i="2229"/>
  <c r="H45" i="2229"/>
  <c r="H44" i="2229"/>
  <c r="H43" i="2229"/>
  <c r="H42" i="2229"/>
  <c r="H41" i="2229"/>
  <c r="H40" i="2229"/>
  <c r="H39" i="2229"/>
  <c r="H38" i="2229"/>
  <c r="H37" i="2229"/>
  <c r="H36" i="2229"/>
  <c r="H35" i="2229"/>
  <c r="H34" i="2229"/>
  <c r="H17" i="2229"/>
  <c r="H19" i="2229"/>
  <c r="H33" i="2229"/>
  <c r="H9" i="2229"/>
  <c r="H32" i="2229"/>
  <c r="H31" i="2229"/>
  <c r="H11" i="2229"/>
  <c r="H30" i="2229"/>
  <c r="H29" i="2229"/>
  <c r="H14" i="2229"/>
  <c r="H28" i="2229"/>
  <c r="H16" i="2229"/>
  <c r="H27" i="2229"/>
  <c r="B20" i="2229"/>
  <c r="H26" i="2229"/>
  <c r="H18" i="2229"/>
  <c r="C18" i="2229"/>
  <c r="H25" i="2229"/>
  <c r="C17" i="2229"/>
  <c r="H15" i="2229"/>
  <c r="C16" i="2229"/>
  <c r="H24" i="2229"/>
  <c r="B15" i="2229"/>
  <c r="B19" i="2229" s="1"/>
  <c r="H23" i="2229"/>
  <c r="C14" i="2229"/>
  <c r="H22" i="2229"/>
  <c r="C13" i="2229"/>
  <c r="H21" i="2229"/>
  <c r="C12" i="2229"/>
  <c r="H3" i="2229"/>
  <c r="C11" i="2229"/>
  <c r="H10" i="2229"/>
  <c r="C10" i="2229"/>
  <c r="H13" i="2229"/>
  <c r="C9" i="2229"/>
  <c r="H8" i="2229"/>
  <c r="C8" i="2229"/>
  <c r="H7" i="2229"/>
  <c r="C7" i="2229"/>
  <c r="H2" i="2229"/>
  <c r="B6" i="2229"/>
  <c r="H6" i="2229"/>
  <c r="B5" i="2229"/>
  <c r="H5" i="2229"/>
  <c r="H12" i="2229"/>
  <c r="H4" i="2229"/>
  <c r="C15" i="2229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B20" i="2228"/>
  <c r="H19" i="2228"/>
  <c r="H18" i="2228"/>
  <c r="C18" i="2228"/>
  <c r="H17" i="2228"/>
  <c r="C17" i="2228"/>
  <c r="H16" i="2228"/>
  <c r="C16" i="2228"/>
  <c r="H15" i="2228"/>
  <c r="C15" i="2228"/>
  <c r="B15" i="2228"/>
  <c r="B19" i="2228" s="1"/>
  <c r="H14" i="2228"/>
  <c r="C14" i="2228"/>
  <c r="H13" i="2228"/>
  <c r="C13" i="2228"/>
  <c r="H12" i="2228"/>
  <c r="C12" i="2228"/>
  <c r="H11" i="2228"/>
  <c r="C11" i="2228"/>
  <c r="H10" i="2228"/>
  <c r="C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<sst xmlns="http://schemas.openxmlformats.org/spreadsheetml/2006/main" count="1687" uniqueCount="197">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</sst>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22" fontId="0" fillId="0" borderId="37" xfId="0" applyNumberFormat="1" applyBorder="1" applyAlignment="1">
      <alignment horizontal="center" vertical="center"/>
    </xf>
    <xf numFmtId="2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だいち!$K$2:$K$101</c:f>
              <c:numCache>
                <c:formatCode>\+0;\-0;\±0</c:formatCode>
                <c:ptCount val="10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55-46A4-88E9-8F6300A73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B8-4648-B921-77E64848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C-4C20-B1A2-47DEB239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りくと!$K$2:$K$65</c:f>
              <c:numCache>
                <c:formatCode>\+0;\-0;\±0</c:formatCode>
                <c:ptCount val="6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12-44D4-A85E-69591F4FE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9-4993-9193-E2274E97B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F-4859-8989-7F99D0066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B-44B1-9AB9-20461CD43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E4-409E-BD34-74CD2140D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94-4666-9F77-FD556A8DF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D-47BD-94E0-7006615EE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8E28F4-4D94-4FA9-8F75-68C47CC64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B95AD7-1950-489E-9C75-93CEC3E07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CA4F3A-18B4-4054-AC4F-A71075536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47B151-1E04-482C-9B72-4FDA465F1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FE7514-6571-4D40-B43D-C9981926B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A26C84-88C7-4ABB-A8C3-5BB5132DB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60FE44-6680-4CAE-A5F3-B52660CD4D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CE4AE3-6231-404E-9AFC-4D8E697E4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1EA66E-F8D7-47F1-82F0-959B9932D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0B2180-36EC-4103-98AE-1E0A9A172B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A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16384" width="9" style="4"/>
  </cols>
  <sheetData>
    <row r="1" spans="1:27" x14ac:dyDescent="0.4">
      <c r="A1" s="14"/>
      <c r="B1" s="75" t="s">
        <v>6</v>
      </c>
      <c r="C1" s="76"/>
      <c r="D1" s="75" t="s">
        <v>7</v>
      </c>
      <c r="E1" s="76"/>
      <c r="F1" s="75" t="s">
        <v>16</v>
      </c>
      <c r="G1" s="76"/>
      <c r="H1" s="75" t="s">
        <v>15</v>
      </c>
      <c r="I1" s="76"/>
      <c r="J1" s="75" t="s">
        <v>20</v>
      </c>
      <c r="K1" s="76"/>
      <c r="L1" s="75" t="s">
        <v>17</v>
      </c>
      <c r="M1" s="76"/>
      <c r="N1" s="75" t="s">
        <v>18</v>
      </c>
      <c r="O1" s="76"/>
      <c r="P1" s="75" t="s">
        <v>5</v>
      </c>
      <c r="Q1" s="76"/>
      <c r="R1" s="75" t="s">
        <v>19</v>
      </c>
      <c r="S1" s="76"/>
      <c r="T1" s="75" t="s">
        <v>131</v>
      </c>
      <c r="U1" s="76"/>
      <c r="V1" s="75" t="s">
        <v>126</v>
      </c>
      <c r="W1" s="76"/>
      <c r="X1" s="75" t="s">
        <v>134</v>
      </c>
      <c r="Y1" s="76"/>
      <c r="Z1" s="75" t="s">
        <v>135</v>
      </c>
      <c r="AA1" s="76"/>
    </row>
    <row r="2" spans="1:27" x14ac:dyDescent="0.4">
      <c r="A2" s="8">
        <v>1</v>
      </c>
      <c r="B2" s="9" t="s">
        <v>137</v>
      </c>
      <c r="C2" s="11">
        <v>429.30000000000007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7">
        <v>0</v>
      </c>
      <c r="L2" s="10" t="s">
        <v>139</v>
      </c>
      <c r="M2" s="15">
        <v>0.4</v>
      </c>
      <c r="N2" s="10" t="s">
        <v>142</v>
      </c>
      <c r="O2" s="15">
        <v>0.13284132841328414</v>
      </c>
      <c r="P2" s="10" t="s">
        <v>141</v>
      </c>
      <c r="Q2" s="13">
        <v>11700</v>
      </c>
      <c r="R2" s="10" t="s">
        <v>138</v>
      </c>
      <c r="S2" s="13">
        <v>-8200</v>
      </c>
      <c r="T2" s="10" t="s">
        <v>149</v>
      </c>
      <c r="U2" s="15">
        <v>0.33766233766233766</v>
      </c>
      <c r="V2" s="10" t="s">
        <v>142</v>
      </c>
      <c r="W2" s="15">
        <v>0.33333333333333331</v>
      </c>
      <c r="X2" s="10" t="s">
        <v>137</v>
      </c>
      <c r="Y2" s="15">
        <v>0.71232876712328763</v>
      </c>
      <c r="Z2" s="10" t="s">
        <v>137</v>
      </c>
      <c r="AA2" s="15">
        <v>0.49090909090909091</v>
      </c>
    </row>
    <row r="3" spans="1:27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137</v>
      </c>
      <c r="I3" s="18">
        <v>0.38383838383838381</v>
      </c>
      <c r="J3" s="1" t="s">
        <v>142</v>
      </c>
      <c r="K3" s="18">
        <v>0.12820512820512819</v>
      </c>
      <c r="L3" s="1" t="s">
        <v>137</v>
      </c>
      <c r="M3" s="16">
        <v>0.35875706214689268</v>
      </c>
      <c r="N3" s="1" t="s">
        <v>156</v>
      </c>
      <c r="O3" s="16">
        <v>0.13414634146341464</v>
      </c>
      <c r="P3" s="1" t="s">
        <v>156</v>
      </c>
      <c r="Q3" s="2">
        <v>10900</v>
      </c>
      <c r="R3" s="1" t="s">
        <v>148</v>
      </c>
      <c r="S3" s="2">
        <v>-8300</v>
      </c>
      <c r="T3" s="1" t="s">
        <v>137</v>
      </c>
      <c r="U3" s="16">
        <v>0.29795918367346941</v>
      </c>
      <c r="V3" s="1" t="s">
        <v>148</v>
      </c>
      <c r="W3" s="16">
        <v>0.28735632183908044</v>
      </c>
      <c r="X3" s="1" t="s">
        <v>160</v>
      </c>
      <c r="Y3" s="16">
        <v>0.61538461538461542</v>
      </c>
      <c r="Z3" s="1" t="s">
        <v>148</v>
      </c>
      <c r="AA3" s="16">
        <v>0.4</v>
      </c>
    </row>
    <row r="4" spans="1:27" x14ac:dyDescent="0.4">
      <c r="A4" s="7">
        <v>3</v>
      </c>
      <c r="B4" s="6" t="s">
        <v>156</v>
      </c>
      <c r="C4" s="3">
        <v>80.800000000000011</v>
      </c>
      <c r="D4" s="1" t="s">
        <v>142</v>
      </c>
      <c r="E4" s="3">
        <v>5.9743589743589753</v>
      </c>
      <c r="F4" s="1" t="s">
        <v>137</v>
      </c>
      <c r="G4" s="5">
        <v>1.8585858585858586</v>
      </c>
      <c r="H4" s="1" t="s">
        <v>142</v>
      </c>
      <c r="I4" s="18">
        <v>0.35897435897435898</v>
      </c>
      <c r="J4" s="1" t="s">
        <v>137</v>
      </c>
      <c r="K4" s="18">
        <v>0.13131313131313133</v>
      </c>
      <c r="L4" s="1" t="s">
        <v>142</v>
      </c>
      <c r="M4" s="16">
        <v>0.35793357933579334</v>
      </c>
      <c r="N4" s="1" t="s">
        <v>137</v>
      </c>
      <c r="O4" s="16">
        <v>0.15677966101694915</v>
      </c>
      <c r="P4" s="1" t="s">
        <v>160</v>
      </c>
      <c r="Q4" s="2">
        <v>10700</v>
      </c>
      <c r="R4" s="1" t="s">
        <v>145</v>
      </c>
      <c r="S4" s="2">
        <v>-8500</v>
      </c>
      <c r="T4" s="1" t="s">
        <v>141</v>
      </c>
      <c r="U4" s="16">
        <v>0.2780487804878049</v>
      </c>
      <c r="V4" s="1" t="s">
        <v>149</v>
      </c>
      <c r="W4" s="16">
        <v>0.26623376623376621</v>
      </c>
      <c r="X4" s="1" t="s">
        <v>149</v>
      </c>
      <c r="Y4" s="16">
        <v>0.59615384615384615</v>
      </c>
      <c r="Z4" s="1" t="s">
        <v>160</v>
      </c>
      <c r="AA4" s="16">
        <v>0.3783783783783784</v>
      </c>
    </row>
    <row r="5" spans="1:27" x14ac:dyDescent="0.4">
      <c r="A5" s="7">
        <v>4</v>
      </c>
      <c r="B5" s="6" t="s">
        <v>149</v>
      </c>
      <c r="C5" s="3">
        <v>34.699999999999967</v>
      </c>
      <c r="D5" s="1" t="s">
        <v>137</v>
      </c>
      <c r="E5" s="3">
        <v>4.3363636363636369</v>
      </c>
      <c r="F5" s="1" t="s">
        <v>149</v>
      </c>
      <c r="G5" s="5">
        <v>1.9743589743589745</v>
      </c>
      <c r="H5" s="1" t="s">
        <v>149</v>
      </c>
      <c r="I5" s="18">
        <v>0.35897435897435898</v>
      </c>
      <c r="J5" s="1" t="s">
        <v>148</v>
      </c>
      <c r="K5" s="18">
        <v>0.17142857142857143</v>
      </c>
      <c r="L5" s="1" t="s">
        <v>156</v>
      </c>
      <c r="M5" s="16">
        <v>0.34146341463414637</v>
      </c>
      <c r="N5" s="1" t="s">
        <v>149</v>
      </c>
      <c r="O5" s="16">
        <v>0.16376306620209058</v>
      </c>
      <c r="P5" s="1" t="s">
        <v>149</v>
      </c>
      <c r="Q5" s="2">
        <v>10600</v>
      </c>
      <c r="R5" s="1" t="s">
        <v>142</v>
      </c>
      <c r="S5" s="2">
        <v>-9600</v>
      </c>
      <c r="T5" s="1" t="s">
        <v>160</v>
      </c>
      <c r="U5" s="16">
        <v>0.24223602484472051</v>
      </c>
      <c r="V5" s="1" t="s">
        <v>160</v>
      </c>
      <c r="W5" s="16">
        <v>0.22981366459627328</v>
      </c>
      <c r="X5" s="1" t="s">
        <v>141</v>
      </c>
      <c r="Y5" s="16">
        <v>0.54385964912280704</v>
      </c>
      <c r="Z5" s="1" t="s">
        <v>149</v>
      </c>
      <c r="AA5" s="16">
        <v>0.36585365853658536</v>
      </c>
    </row>
    <row r="6" spans="1:27" x14ac:dyDescent="0.4">
      <c r="A6" s="7">
        <v>5</v>
      </c>
      <c r="B6" s="6" t="s">
        <v>139</v>
      </c>
      <c r="C6" s="3">
        <v>7</v>
      </c>
      <c r="D6" s="1" t="s">
        <v>149</v>
      </c>
      <c r="E6" s="3">
        <v>0.88974358974358891</v>
      </c>
      <c r="F6" s="1" t="s">
        <v>139</v>
      </c>
      <c r="G6" s="5">
        <v>2</v>
      </c>
      <c r="H6" s="1" t="s">
        <v>141</v>
      </c>
      <c r="I6" s="18">
        <v>0.30158730158730157</v>
      </c>
      <c r="J6" s="1" t="s">
        <v>149</v>
      </c>
      <c r="K6" s="18">
        <v>0.17948717948717949</v>
      </c>
      <c r="L6" s="1" t="s">
        <v>149</v>
      </c>
      <c r="M6" s="16">
        <v>0.30313588850174217</v>
      </c>
      <c r="N6" s="1" t="s">
        <v>139</v>
      </c>
      <c r="O6" s="16">
        <v>0.2</v>
      </c>
      <c r="P6" s="1" t="s">
        <v>148</v>
      </c>
      <c r="Q6" s="2">
        <v>10200</v>
      </c>
      <c r="R6" s="1" t="s">
        <v>160</v>
      </c>
      <c r="S6" s="2">
        <v>-9700</v>
      </c>
      <c r="T6" s="1" t="s">
        <v>142</v>
      </c>
      <c r="U6" s="16">
        <v>0.21212121212121213</v>
      </c>
      <c r="V6" s="1" t="s">
        <v>137</v>
      </c>
      <c r="W6" s="16">
        <v>0.22448979591836735</v>
      </c>
      <c r="X6" s="1" t="s">
        <v>142</v>
      </c>
      <c r="Y6" s="16">
        <v>0.42857142857142855</v>
      </c>
      <c r="Z6" s="1" t="s">
        <v>142</v>
      </c>
      <c r="AA6" s="16">
        <v>0.36363636363636365</v>
      </c>
    </row>
    <row r="7" spans="1:27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156</v>
      </c>
      <c r="K7" s="18">
        <v>0.25</v>
      </c>
      <c r="L7" s="1" t="s">
        <v>148</v>
      </c>
      <c r="M7" s="16">
        <v>0.28102189781021897</v>
      </c>
      <c r="N7" s="1" t="s">
        <v>148</v>
      </c>
      <c r="O7" s="16">
        <v>0.20072992700729927</v>
      </c>
      <c r="P7" s="1" t="s">
        <v>137</v>
      </c>
      <c r="Q7" s="2">
        <v>9900</v>
      </c>
      <c r="R7" s="1" t="s">
        <v>149</v>
      </c>
      <c r="S7" s="2">
        <v>-9800</v>
      </c>
      <c r="T7" s="1" t="s">
        <v>148</v>
      </c>
      <c r="U7" s="16">
        <v>0.19540229885057472</v>
      </c>
      <c r="V7" s="1" t="s">
        <v>141</v>
      </c>
      <c r="W7" s="16">
        <v>0.17073170731707318</v>
      </c>
      <c r="X7" s="1" t="s">
        <v>148</v>
      </c>
      <c r="Y7" s="16">
        <v>0.41176470588235292</v>
      </c>
      <c r="Z7" s="1" t="s">
        <v>141</v>
      </c>
      <c r="AA7" s="16">
        <v>0.34285714285714286</v>
      </c>
    </row>
    <row r="8" spans="1:27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-4.6190476190476168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141</v>
      </c>
      <c r="K8" s="18">
        <v>0.26984126984126983</v>
      </c>
      <c r="L8" s="1" t="s">
        <v>160</v>
      </c>
      <c r="M8" s="16">
        <v>0.27272727272727271</v>
      </c>
      <c r="N8" s="1" t="s">
        <v>141</v>
      </c>
      <c r="O8" s="16">
        <v>0.20171673819742489</v>
      </c>
      <c r="P8" s="1" t="s">
        <v>142</v>
      </c>
      <c r="Q8" s="2">
        <v>9600</v>
      </c>
      <c r="R8" s="1" t="s">
        <v>137</v>
      </c>
      <c r="S8" s="2">
        <v>-9900</v>
      </c>
      <c r="T8" s="1" t="s">
        <v>138</v>
      </c>
      <c r="U8" s="16">
        <v>0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</row>
    <row r="9" spans="1:27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2.1428571428571428</v>
      </c>
      <c r="H9" s="1" t="s">
        <v>138</v>
      </c>
      <c r="I9" s="18">
        <v>0</v>
      </c>
      <c r="J9" s="1" t="s">
        <v>160</v>
      </c>
      <c r="K9" s="18">
        <v>0.28000000000000003</v>
      </c>
      <c r="L9" s="1" t="s">
        <v>141</v>
      </c>
      <c r="M9" s="16">
        <v>0.23819742489270387</v>
      </c>
      <c r="N9" s="1" t="s">
        <v>160</v>
      </c>
      <c r="O9" s="16">
        <v>0.20707070707070707</v>
      </c>
      <c r="P9" s="1" t="s">
        <v>139</v>
      </c>
      <c r="Q9" s="2">
        <v>8000</v>
      </c>
      <c r="R9" s="1" t="s">
        <v>156</v>
      </c>
      <c r="S9" s="2">
        <v>-9900</v>
      </c>
      <c r="T9" s="1" t="s">
        <v>139</v>
      </c>
      <c r="U9" s="16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</row>
    <row r="10" spans="1:27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138</v>
      </c>
      <c r="K10" s="18">
        <v>0.5</v>
      </c>
      <c r="L10" s="1" t="s">
        <v>145</v>
      </c>
      <c r="M10" s="16">
        <v>0.16666666666666666</v>
      </c>
      <c r="N10" s="1" t="s">
        <v>145</v>
      </c>
      <c r="O10" s="16">
        <v>0.33333333333333331</v>
      </c>
      <c r="P10" s="1" t="s">
        <v>138</v>
      </c>
      <c r="Q10" s="2">
        <v>7800</v>
      </c>
      <c r="R10" s="1" t="s">
        <v>141</v>
      </c>
      <c r="S10" s="2">
        <v>-10100</v>
      </c>
      <c r="T10" s="1" t="s">
        <v>145</v>
      </c>
      <c r="U10" s="16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</row>
    <row r="11" spans="1:27" x14ac:dyDescent="0.4">
      <c r="A11" s="7">
        <v>10</v>
      </c>
      <c r="B11" s="6" t="s">
        <v>141</v>
      </c>
      <c r="C11" s="3">
        <v>-290.99999999999989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145</v>
      </c>
      <c r="K11" s="18">
        <v>1</v>
      </c>
      <c r="L11" s="1" t="s">
        <v>138</v>
      </c>
      <c r="M11" s="16">
        <v>0.04</v>
      </c>
      <c r="N11" s="1" t="s">
        <v>138</v>
      </c>
      <c r="O11" s="16">
        <v>0.4</v>
      </c>
      <c r="P11" s="1" t="s">
        <v>145</v>
      </c>
      <c r="Q11" s="2">
        <v>1300</v>
      </c>
      <c r="R11" s="1" t="s">
        <v>139</v>
      </c>
      <c r="S11" s="2">
        <v>-12000</v>
      </c>
      <c r="T11" s="1" t="s">
        <v>156</v>
      </c>
      <c r="U11" s="16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</row>
  </sheetData>
  <sortState ref="Z2:AA23">
    <sortCondition descending="1" ref="AA1"/>
  </sortState>
  <mergeCells count="13"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97FD4-BCC9-4E1E-9D86-F4D5964EDD9B}">
  <sheetPr codeName="Sheet4"/>
  <dimension ref="A1:K10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189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99</v>
      </c>
      <c r="C2" s="27"/>
      <c r="E2" s="28" t="s">
        <v>73</v>
      </c>
      <c r="F2" s="10" t="s">
        <v>27</v>
      </c>
      <c r="G2" s="26">
        <v>86</v>
      </c>
      <c r="H2" s="29">
        <f>IF(B$22=0,0,G2/B$22)</f>
        <v>0.90526315789473688</v>
      </c>
      <c r="J2" s="25">
        <v>0</v>
      </c>
      <c r="K2" s="30">
        <v>0</v>
      </c>
    </row>
    <row r="3" spans="1:11" x14ac:dyDescent="0.4">
      <c r="A3" s="31" t="s">
        <v>8</v>
      </c>
      <c r="B3" s="32">
        <v>708</v>
      </c>
      <c r="C3" s="33"/>
      <c r="E3" s="34" t="s">
        <v>78</v>
      </c>
      <c r="F3" s="1" t="s">
        <v>31</v>
      </c>
      <c r="G3" s="32">
        <v>56</v>
      </c>
      <c r="H3" s="35">
        <f>IF(B$22=0,0,G3/B$22)</f>
        <v>0.58947368421052626</v>
      </c>
      <c r="J3" s="31">
        <v>1</v>
      </c>
      <c r="K3" s="36">
        <v>15</v>
      </c>
    </row>
    <row r="4" spans="1:11" x14ac:dyDescent="0.4">
      <c r="A4" s="31" t="s">
        <v>6</v>
      </c>
      <c r="B4" s="37">
        <v>429.30000000000007</v>
      </c>
      <c r="C4" s="36"/>
      <c r="E4" s="34" t="s">
        <v>69</v>
      </c>
      <c r="F4" s="1" t="s">
        <v>23</v>
      </c>
      <c r="G4" s="32">
        <v>49</v>
      </c>
      <c r="H4" s="35">
        <f>IF(B$22=0,0,G4/B$22)</f>
        <v>0.51578947368421058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4.3363636363636369</v>
      </c>
      <c r="C5" s="38"/>
      <c r="E5" s="34" t="s">
        <v>71</v>
      </c>
      <c r="F5" s="1" t="s">
        <v>25</v>
      </c>
      <c r="G5" s="32">
        <v>48</v>
      </c>
      <c r="H5" s="35">
        <f>IF(B$22=0,0,G5/B$22)</f>
        <v>0.50526315789473686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1.8585858585858586</v>
      </c>
      <c r="C6" s="40"/>
      <c r="E6" s="34" t="s">
        <v>72</v>
      </c>
      <c r="F6" s="1" t="s">
        <v>26</v>
      </c>
      <c r="G6" s="32">
        <v>27</v>
      </c>
      <c r="H6" s="35">
        <f>IF(B$22=0,0,G6/B$22)</f>
        <v>0.28421052631578947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38</v>
      </c>
      <c r="C7" s="35">
        <f>IF(B$2=0,0,B7/B$2)</f>
        <v>0.38383838383838381</v>
      </c>
      <c r="E7" s="34" t="s">
        <v>74</v>
      </c>
      <c r="F7" s="1" t="s">
        <v>12</v>
      </c>
      <c r="G7" s="32">
        <v>24</v>
      </c>
      <c r="H7" s="35">
        <f>IF(B$22=0,0,G7/B$22)</f>
        <v>0.25263157894736843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37</v>
      </c>
      <c r="C8" s="35">
        <f t="shared" ref="C8:C9" si="0">IF(B$2=0,0,B8/B$2)</f>
        <v>0.37373737373737376</v>
      </c>
      <c r="E8" s="34" t="s">
        <v>75</v>
      </c>
      <c r="F8" s="1" t="s">
        <v>28</v>
      </c>
      <c r="G8" s="32">
        <v>13</v>
      </c>
      <c r="H8" s="35">
        <f>IF(B$22=0,0,G8/B$22)</f>
        <v>0.1368421052631579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24</v>
      </c>
      <c r="C9" s="43">
        <f t="shared" si="0"/>
        <v>0.24242424242424243</v>
      </c>
      <c r="E9" s="34" t="s">
        <v>96</v>
      </c>
      <c r="F9" s="1" t="s">
        <v>49</v>
      </c>
      <c r="G9" s="32">
        <v>11</v>
      </c>
      <c r="H9" s="35">
        <f>IF(B$22=0,0,G9/B$22)</f>
        <v>0.11578947368421053</v>
      </c>
      <c r="J9" s="31">
        <v>7</v>
      </c>
      <c r="K9" s="36">
        <v>91.700000000000017</v>
      </c>
    </row>
    <row r="10" spans="1:11" ht="19.5" thickBot="1" x14ac:dyDescent="0.45">
      <c r="A10" s="44" t="s">
        <v>21</v>
      </c>
      <c r="B10" s="45">
        <v>13</v>
      </c>
      <c r="C10" s="46">
        <f>IF(B$2=0,0,B10/B$2)</f>
        <v>0.13131313131313133</v>
      </c>
      <c r="E10" s="34" t="s">
        <v>77</v>
      </c>
      <c r="F10" s="1" t="s">
        <v>30</v>
      </c>
      <c r="G10" s="32">
        <v>6</v>
      </c>
      <c r="H10" s="35">
        <f>IF(B$22=0,0,G10/B$22)</f>
        <v>6.3157894736842107E-2</v>
      </c>
      <c r="J10" s="31">
        <v>8</v>
      </c>
      <c r="K10" s="36">
        <v>55.700000000000017</v>
      </c>
    </row>
    <row r="11" spans="1:11" ht="19.5" thickTop="1" x14ac:dyDescent="0.4">
      <c r="A11" s="60" t="s">
        <v>130</v>
      </c>
      <c r="B11" s="61">
        <v>73</v>
      </c>
      <c r="C11" s="62">
        <f>IF(B$21=0,0,B11/B$21)</f>
        <v>0.29795918367346941</v>
      </c>
      <c r="E11" s="34" t="s">
        <v>93</v>
      </c>
      <c r="F11" s="1" t="s">
        <v>46</v>
      </c>
      <c r="G11" s="32">
        <v>6</v>
      </c>
      <c r="H11" s="35">
        <f>IF(B$22=0,0,G11/B$22)</f>
        <v>6.3157894736842107E-2</v>
      </c>
      <c r="J11" s="31">
        <v>9</v>
      </c>
      <c r="K11" s="36">
        <v>14.700000000000017</v>
      </c>
    </row>
    <row r="12" spans="1:11" x14ac:dyDescent="0.4">
      <c r="A12" s="31" t="s">
        <v>125</v>
      </c>
      <c r="B12" s="32">
        <v>55</v>
      </c>
      <c r="C12" s="35">
        <f>IF(B$21=0,0,B12/B$21)</f>
        <v>0.22448979591836735</v>
      </c>
      <c r="E12" s="34" t="s">
        <v>70</v>
      </c>
      <c r="F12" s="1" t="s">
        <v>24</v>
      </c>
      <c r="G12" s="32">
        <v>4</v>
      </c>
      <c r="H12" s="35">
        <f>IF(B$22=0,0,G12/B$22)</f>
        <v>4.2105263157894736E-2</v>
      </c>
      <c r="J12" s="31">
        <v>10</v>
      </c>
      <c r="K12" s="36">
        <v>-16.799999999999983</v>
      </c>
    </row>
    <row r="13" spans="1:11" x14ac:dyDescent="0.4">
      <c r="A13" s="25" t="s">
        <v>132</v>
      </c>
      <c r="B13" s="26">
        <v>52</v>
      </c>
      <c r="C13" s="29">
        <f>IF(B$11=0,0,B13/B$11)</f>
        <v>0.71232876712328763</v>
      </c>
      <c r="E13" s="34" t="s">
        <v>76</v>
      </c>
      <c r="F13" s="1" t="s">
        <v>29</v>
      </c>
      <c r="G13" s="32">
        <v>4</v>
      </c>
      <c r="H13" s="35">
        <f>IF(B$22=0,0,G13/B$22)</f>
        <v>4.2105263157894736E-2</v>
      </c>
      <c r="J13" s="31">
        <v>11</v>
      </c>
      <c r="K13" s="36">
        <v>1.5000000000000178</v>
      </c>
    </row>
    <row r="14" spans="1:11" x14ac:dyDescent="0.4">
      <c r="A14" s="25" t="s">
        <v>133</v>
      </c>
      <c r="B14" s="26">
        <v>27</v>
      </c>
      <c r="C14" s="29">
        <f>IF(B$12=0,0,B14/B$12)</f>
        <v>0.49090909090909091</v>
      </c>
      <c r="E14" s="34" t="s">
        <v>90</v>
      </c>
      <c r="F14" s="1" t="s">
        <v>43</v>
      </c>
      <c r="G14" s="32">
        <v>3</v>
      </c>
      <c r="H14" s="35">
        <f>IF(B$22=0,0,G14/B$22)</f>
        <v>3.1578947368421054E-2</v>
      </c>
      <c r="J14" s="31">
        <v>12</v>
      </c>
      <c r="K14" s="36">
        <v>14.300000000000018</v>
      </c>
    </row>
    <row r="15" spans="1:11" x14ac:dyDescent="0.4">
      <c r="A15" s="25" t="s">
        <v>10</v>
      </c>
      <c r="B15" s="26">
        <f>B16+B17</f>
        <v>254</v>
      </c>
      <c r="C15" s="29">
        <f>IF(B$3=0,0,B15/B$3)</f>
        <v>0.35875706214689268</v>
      </c>
      <c r="E15" s="34" t="s">
        <v>83</v>
      </c>
      <c r="F15" s="1" t="s">
        <v>36</v>
      </c>
      <c r="G15" s="32">
        <v>2</v>
      </c>
      <c r="H15" s="35">
        <f>IF(B$22=0,0,G15/B$22)</f>
        <v>2.1052631578947368E-2</v>
      </c>
      <c r="J15" s="31">
        <v>13</v>
      </c>
      <c r="K15" s="36">
        <v>71.300000000000011</v>
      </c>
    </row>
    <row r="16" spans="1:11" x14ac:dyDescent="0.4">
      <c r="A16" s="31" t="s">
        <v>11</v>
      </c>
      <c r="B16" s="32">
        <v>162</v>
      </c>
      <c r="C16" s="35">
        <f>IF(B$3=0,0,B16/B$3)</f>
        <v>0.2288135593220339</v>
      </c>
      <c r="E16" s="34" t="s">
        <v>88</v>
      </c>
      <c r="F16" s="1" t="s">
        <v>41</v>
      </c>
      <c r="G16" s="32">
        <v>2</v>
      </c>
      <c r="H16" s="35">
        <f>IF(B$22=0,0,G16/B$22)</f>
        <v>2.1052631578947368E-2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92</v>
      </c>
      <c r="C17" s="35">
        <f>IF(B$3=0,0,B17/B$3)</f>
        <v>0.12994350282485875</v>
      </c>
      <c r="E17" s="34" t="s">
        <v>99</v>
      </c>
      <c r="F17" s="1" t="s">
        <v>52</v>
      </c>
      <c r="G17" s="32">
        <v>2</v>
      </c>
      <c r="H17" s="35">
        <f>IF(B$22=0,0,G17/B$22)</f>
        <v>2.1052631578947368E-2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111</v>
      </c>
      <c r="C18" s="35">
        <f>IF(B$3=0,0,B18/B$3)</f>
        <v>0.15677966101694915</v>
      </c>
      <c r="E18" s="34" t="s">
        <v>85</v>
      </c>
      <c r="F18" s="1" t="s">
        <v>38</v>
      </c>
      <c r="G18" s="32">
        <v>1</v>
      </c>
      <c r="H18" s="35">
        <f>IF(B$22=0,0,G18/B$22)</f>
        <v>1.0526315789473684E-2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IF(B$15=0,0,ROUND(C19/B$15,-2))</f>
        <v>9900</v>
      </c>
      <c r="C19" s="50">
        <v>2510400</v>
      </c>
      <c r="E19" s="34" t="s">
        <v>98</v>
      </c>
      <c r="F19" s="1" t="s">
        <v>51</v>
      </c>
      <c r="G19" s="32">
        <v>1</v>
      </c>
      <c r="H19" s="35">
        <f>IF(B$22=0,0,G19/B$22)</f>
        <v>1.0526315789473684E-2</v>
      </c>
      <c r="J19" s="31">
        <v>17</v>
      </c>
      <c r="K19" s="36">
        <v>-29.499999999999986</v>
      </c>
    </row>
    <row r="20" spans="1:11" ht="19.5" thickBot="1" x14ac:dyDescent="0.45">
      <c r="A20" s="51" t="s">
        <v>14</v>
      </c>
      <c r="B20" s="52">
        <f>IF(B$18=0,0,ROUND(C20/B$18,-2))</f>
        <v>-9900</v>
      </c>
      <c r="C20" s="58">
        <v>-1098900</v>
      </c>
      <c r="E20" s="34" t="s">
        <v>113</v>
      </c>
      <c r="F20" s="1" t="s">
        <v>120</v>
      </c>
      <c r="G20" s="32">
        <v>1</v>
      </c>
      <c r="H20" s="35">
        <f>IF(B$22=0,0,G20/B$22)</f>
        <v>1.0526315789473684E-2</v>
      </c>
      <c r="J20" s="31">
        <v>18</v>
      </c>
      <c r="K20" s="36">
        <v>-14.599999999999985</v>
      </c>
    </row>
    <row r="21" spans="1:11" ht="19.5" thickTop="1" x14ac:dyDescent="0.4">
      <c r="A21" s="47" t="s">
        <v>128</v>
      </c>
      <c r="B21" s="48">
        <v>245</v>
      </c>
      <c r="C21" s="29"/>
      <c r="E21" s="34" t="s">
        <v>79</v>
      </c>
      <c r="F21" s="1" t="s">
        <v>32</v>
      </c>
      <c r="G21" s="32">
        <v>0</v>
      </c>
      <c r="H21" s="35">
        <f>IF(B$22=0,0,G21/B$22)</f>
        <v>0</v>
      </c>
      <c r="J21" s="31">
        <v>19</v>
      </c>
      <c r="K21" s="36">
        <v>42.600000000000016</v>
      </c>
    </row>
    <row r="22" spans="1:11" x14ac:dyDescent="0.4">
      <c r="A22" s="51" t="s">
        <v>129</v>
      </c>
      <c r="B22" s="54">
        <v>95</v>
      </c>
      <c r="C22" s="55"/>
      <c r="E22" s="34" t="s">
        <v>80</v>
      </c>
      <c r="F22" s="1" t="s">
        <v>33</v>
      </c>
      <c r="G22" s="32">
        <v>0</v>
      </c>
      <c r="H22" s="35">
        <f>IF(B$22=0,0,G22/B$22)</f>
        <v>0</v>
      </c>
      <c r="J22" s="31">
        <v>20</v>
      </c>
      <c r="K22" s="36">
        <v>68.800000000000011</v>
      </c>
    </row>
    <row r="23" spans="1:11" x14ac:dyDescent="0.4">
      <c r="E23" s="34" t="s">
        <v>81</v>
      </c>
      <c r="F23" s="1" t="s">
        <v>34</v>
      </c>
      <c r="G23" s="32">
        <v>0</v>
      </c>
      <c r="H23" s="35">
        <f>IF(B$22=0,0,G23/B$22)</f>
        <v>0</v>
      </c>
      <c r="J23" s="31">
        <v>21</v>
      </c>
      <c r="K23" s="36">
        <v>125.30000000000001</v>
      </c>
    </row>
    <row r="24" spans="1:11" x14ac:dyDescent="0.4">
      <c r="E24" s="34" t="s">
        <v>82</v>
      </c>
      <c r="F24" s="1" t="s">
        <v>35</v>
      </c>
      <c r="G24" s="32">
        <v>0</v>
      </c>
      <c r="H24" s="35">
        <f>IF(B$22=0,0,G24/B$22)</f>
        <v>0</v>
      </c>
      <c r="J24" s="31">
        <v>22</v>
      </c>
      <c r="K24" s="36">
        <v>99.800000000000011</v>
      </c>
    </row>
    <row r="25" spans="1:11" x14ac:dyDescent="0.4">
      <c r="E25" s="34" t="s">
        <v>84</v>
      </c>
      <c r="F25" s="1" t="s">
        <v>37</v>
      </c>
      <c r="G25" s="32">
        <v>0</v>
      </c>
      <c r="H25" s="35">
        <f>IF(B$22=0,0,G25/B$22)</f>
        <v>0</v>
      </c>
      <c r="J25" s="31">
        <v>23</v>
      </c>
      <c r="K25" s="36">
        <v>124.50000000000001</v>
      </c>
    </row>
    <row r="26" spans="1:11" x14ac:dyDescent="0.4">
      <c r="E26" s="34" t="s">
        <v>86</v>
      </c>
      <c r="F26" s="1" t="s">
        <v>39</v>
      </c>
      <c r="G26" s="32">
        <v>0</v>
      </c>
      <c r="H26" s="35">
        <f>IF(B$22=0,0,G26/B$22)</f>
        <v>0</v>
      </c>
      <c r="J26" s="31">
        <v>24</v>
      </c>
      <c r="K26" s="36">
        <v>118.00000000000001</v>
      </c>
    </row>
    <row r="27" spans="1:11" x14ac:dyDescent="0.4">
      <c r="E27" s="34" t="s">
        <v>87</v>
      </c>
      <c r="F27" s="1" t="s">
        <v>40</v>
      </c>
      <c r="G27" s="32">
        <v>0</v>
      </c>
      <c r="H27" s="35">
        <f>IF(B$22=0,0,G27/B$22)</f>
        <v>0</v>
      </c>
      <c r="J27" s="31">
        <v>25</v>
      </c>
      <c r="K27" s="36">
        <v>84.300000000000011</v>
      </c>
    </row>
    <row r="28" spans="1:11" x14ac:dyDescent="0.4">
      <c r="E28" s="34" t="s">
        <v>89</v>
      </c>
      <c r="F28" s="1" t="s">
        <v>42</v>
      </c>
      <c r="G28" s="32">
        <v>0</v>
      </c>
      <c r="H28" s="35">
        <f>IF(B$22=0,0,G28/B$22)</f>
        <v>0</v>
      </c>
      <c r="J28" s="31">
        <v>26</v>
      </c>
      <c r="K28" s="36">
        <v>108.20000000000002</v>
      </c>
    </row>
    <row r="29" spans="1:11" x14ac:dyDescent="0.4">
      <c r="E29" s="34" t="s">
        <v>91</v>
      </c>
      <c r="F29" s="1" t="s">
        <v>44</v>
      </c>
      <c r="G29" s="32">
        <v>0</v>
      </c>
      <c r="H29" s="35">
        <f>IF(B$22=0,0,G29/B$22)</f>
        <v>0</v>
      </c>
      <c r="J29" s="31">
        <v>27</v>
      </c>
      <c r="K29" s="36">
        <v>71.200000000000017</v>
      </c>
    </row>
    <row r="30" spans="1:11" x14ac:dyDescent="0.4">
      <c r="E30" s="34" t="s">
        <v>92</v>
      </c>
      <c r="F30" s="1" t="s">
        <v>45</v>
      </c>
      <c r="G30" s="32">
        <v>0</v>
      </c>
      <c r="H30" s="35">
        <f>IF(B$22=0,0,G30/B$22)</f>
        <v>0</v>
      </c>
      <c r="J30" s="31">
        <v>28</v>
      </c>
      <c r="K30" s="36">
        <v>129.20000000000002</v>
      </c>
    </row>
    <row r="31" spans="1:11" x14ac:dyDescent="0.4">
      <c r="E31" s="34" t="s">
        <v>94</v>
      </c>
      <c r="F31" s="1" t="s">
        <v>47</v>
      </c>
      <c r="G31" s="32">
        <v>0</v>
      </c>
      <c r="H31" s="35">
        <f>IF(B$22=0,0,G31/B$22)</f>
        <v>0</v>
      </c>
      <c r="J31" s="31">
        <v>29</v>
      </c>
      <c r="K31" s="36">
        <v>120.80000000000001</v>
      </c>
    </row>
    <row r="32" spans="1:11" x14ac:dyDescent="0.4">
      <c r="E32" s="34" t="s">
        <v>95</v>
      </c>
      <c r="F32" s="1" t="s">
        <v>48</v>
      </c>
      <c r="G32" s="32">
        <v>0</v>
      </c>
      <c r="H32" s="35">
        <f>IF(B$22=0,0,G32/B$22)</f>
        <v>0</v>
      </c>
      <c r="J32" s="31">
        <v>30</v>
      </c>
      <c r="K32" s="36">
        <v>112.4</v>
      </c>
    </row>
    <row r="33" spans="5:11" x14ac:dyDescent="0.4">
      <c r="E33" s="34" t="s">
        <v>97</v>
      </c>
      <c r="F33" s="1" t="s">
        <v>50</v>
      </c>
      <c r="G33" s="32">
        <v>0</v>
      </c>
      <c r="H33" s="35">
        <f>IF(B$22=0,0,G33/B$22)</f>
        <v>0</v>
      </c>
      <c r="J33" s="31">
        <v>31</v>
      </c>
      <c r="K33" s="36">
        <v>165.7</v>
      </c>
    </row>
    <row r="34" spans="5:11" x14ac:dyDescent="0.4">
      <c r="E34" s="34" t="s">
        <v>100</v>
      </c>
      <c r="F34" s="1" t="s">
        <v>53</v>
      </c>
      <c r="G34" s="32">
        <v>0</v>
      </c>
      <c r="H34" s="35">
        <f>IF(B$22=0,0,G34/B$22)</f>
        <v>0</v>
      </c>
      <c r="J34" s="31">
        <v>32</v>
      </c>
      <c r="K34" s="36">
        <v>151.69999999999999</v>
      </c>
    </row>
    <row r="35" spans="5:11" x14ac:dyDescent="0.4">
      <c r="E35" s="34" t="s">
        <v>101</v>
      </c>
      <c r="F35" s="1" t="s">
        <v>54</v>
      </c>
      <c r="G35" s="32">
        <v>0</v>
      </c>
      <c r="H35" s="35">
        <f>IF(B$22=0,0,G35/B$22)</f>
        <v>0</v>
      </c>
      <c r="J35" s="31">
        <v>33</v>
      </c>
      <c r="K35" s="36">
        <v>212.39999999999998</v>
      </c>
    </row>
    <row r="36" spans="5:11" x14ac:dyDescent="0.4">
      <c r="E36" s="34" t="s">
        <v>102</v>
      </c>
      <c r="F36" s="1" t="s">
        <v>55</v>
      </c>
      <c r="G36" s="32">
        <v>0</v>
      </c>
      <c r="H36" s="35">
        <f>IF(B$22=0,0,G36/B$22)</f>
        <v>0</v>
      </c>
      <c r="J36" s="31">
        <v>34</v>
      </c>
      <c r="K36" s="36">
        <v>262.39999999999998</v>
      </c>
    </row>
    <row r="37" spans="5:11" x14ac:dyDescent="0.4">
      <c r="E37" s="34" t="s">
        <v>103</v>
      </c>
      <c r="F37" s="1" t="s">
        <v>56</v>
      </c>
      <c r="G37" s="32">
        <v>0</v>
      </c>
      <c r="H37" s="35">
        <f>IF(B$22=0,0,G37/B$22)</f>
        <v>0</v>
      </c>
      <c r="J37" s="31">
        <v>35</v>
      </c>
      <c r="K37" s="36">
        <v>248.39999999999998</v>
      </c>
    </row>
    <row r="38" spans="5:11" x14ac:dyDescent="0.4">
      <c r="E38" s="34" t="s">
        <v>104</v>
      </c>
      <c r="F38" s="1" t="s">
        <v>57</v>
      </c>
      <c r="G38" s="32">
        <v>0</v>
      </c>
      <c r="H38" s="35">
        <f>IF(B$22=0,0,G38/B$22)</f>
        <v>0</v>
      </c>
      <c r="J38" s="31">
        <v>36</v>
      </c>
      <c r="K38" s="36">
        <v>244.99999999999997</v>
      </c>
    </row>
    <row r="39" spans="5:11" x14ac:dyDescent="0.4">
      <c r="E39" s="34" t="s">
        <v>105</v>
      </c>
      <c r="F39" s="1" t="s">
        <v>58</v>
      </c>
      <c r="G39" s="32">
        <v>0</v>
      </c>
      <c r="H39" s="35">
        <f>IF(B$22=0,0,G39/B$22)</f>
        <v>0</v>
      </c>
      <c r="J39" s="31">
        <v>37</v>
      </c>
      <c r="K39" s="36">
        <v>227.89999999999998</v>
      </c>
    </row>
    <row r="40" spans="5:11" x14ac:dyDescent="0.4">
      <c r="E40" s="34" t="s">
        <v>106</v>
      </c>
      <c r="F40" s="1" t="s">
        <v>59</v>
      </c>
      <c r="G40" s="32">
        <v>0</v>
      </c>
      <c r="H40" s="35">
        <f>IF(B$22=0,0,G40/B$22)</f>
        <v>0</v>
      </c>
      <c r="J40" s="31">
        <v>38</v>
      </c>
      <c r="K40" s="36">
        <v>248.99999999999997</v>
      </c>
    </row>
    <row r="41" spans="5:11" x14ac:dyDescent="0.4">
      <c r="E41" s="34" t="s">
        <v>107</v>
      </c>
      <c r="F41" s="1" t="s">
        <v>60</v>
      </c>
      <c r="G41" s="32">
        <v>0</v>
      </c>
      <c r="H41" s="35">
        <f>IF(B$22=0,0,G41/B$22)</f>
        <v>0</v>
      </c>
      <c r="J41" s="31">
        <v>39</v>
      </c>
      <c r="K41" s="36">
        <v>198.39999999999998</v>
      </c>
    </row>
    <row r="42" spans="5:11" x14ac:dyDescent="0.4">
      <c r="E42" s="34" t="s">
        <v>108</v>
      </c>
      <c r="F42" s="1" t="s">
        <v>61</v>
      </c>
      <c r="G42" s="32">
        <v>0</v>
      </c>
      <c r="H42" s="35">
        <f>IF(B$22=0,0,G42/B$22)</f>
        <v>0</v>
      </c>
      <c r="J42" s="31">
        <v>40</v>
      </c>
      <c r="K42" s="36">
        <v>190.2</v>
      </c>
    </row>
    <row r="43" spans="5:11" x14ac:dyDescent="0.4">
      <c r="E43" s="34" t="s">
        <v>109</v>
      </c>
      <c r="F43" s="1" t="s">
        <v>62</v>
      </c>
      <c r="G43" s="32">
        <v>0</v>
      </c>
      <c r="H43" s="35">
        <f>IF(B$22=0,0,G43/B$22)</f>
        <v>0</v>
      </c>
      <c r="J43" s="31">
        <v>41</v>
      </c>
      <c r="K43" s="36">
        <v>183.2</v>
      </c>
    </row>
    <row r="44" spans="5:11" x14ac:dyDescent="0.4">
      <c r="E44" s="34" t="s">
        <v>110</v>
      </c>
      <c r="F44" s="1" t="s">
        <v>63</v>
      </c>
      <c r="G44" s="32">
        <v>0</v>
      </c>
      <c r="H44" s="35">
        <f>IF(B$22=0,0,G44/B$22)</f>
        <v>0</v>
      </c>
      <c r="J44" s="31">
        <v>42</v>
      </c>
      <c r="K44" s="36">
        <v>146.79999999999998</v>
      </c>
    </row>
    <row r="45" spans="5:11" x14ac:dyDescent="0.4">
      <c r="E45" s="34" t="s">
        <v>111</v>
      </c>
      <c r="F45" s="1" t="s">
        <v>64</v>
      </c>
      <c r="G45" s="32">
        <v>0</v>
      </c>
      <c r="H45" s="35">
        <f>IF(B$22=0,0,G45/B$22)</f>
        <v>0</v>
      </c>
      <c r="J45" s="31">
        <v>43</v>
      </c>
      <c r="K45" s="36">
        <v>138.29999999999998</v>
      </c>
    </row>
    <row r="46" spans="5:11" x14ac:dyDescent="0.4">
      <c r="E46" s="34" t="s">
        <v>112</v>
      </c>
      <c r="F46" s="1" t="s">
        <v>119</v>
      </c>
      <c r="G46" s="32">
        <v>0</v>
      </c>
      <c r="H46" s="35">
        <f>IF(B$22=0,0,G46/B$22)</f>
        <v>0</v>
      </c>
      <c r="J46" s="31">
        <v>44</v>
      </c>
      <c r="K46" s="36">
        <v>146.69999999999999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  <c r="J47" s="31">
        <v>45</v>
      </c>
      <c r="K47" s="36">
        <v>136.29999999999998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  <c r="J48" s="31">
        <v>46</v>
      </c>
      <c r="K48" s="36">
        <v>164.2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  <c r="J49" s="31">
        <v>47</v>
      </c>
      <c r="K49" s="36">
        <v>143.69999999999999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  <c r="J50" s="31">
        <v>48</v>
      </c>
      <c r="K50" s="36">
        <v>112.6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</sheetData>
  <sortState ref="E2:H10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B0B1-6A0B-4E16-BD8C-4E7C42B5BBAE}">
  <sheetPr codeName="Sheet5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194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75</v>
      </c>
      <c r="F8" s="1" t="s">
        <v>28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76</v>
      </c>
      <c r="F9" s="1" t="s">
        <v>29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21</v>
      </c>
      <c r="B10" s="45">
        <v>2</v>
      </c>
      <c r="C10" s="46">
        <f>IF(B$2=0,0,B10/B$2)</f>
        <v>0.5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7800</v>
      </c>
      <c r="C19" s="50">
        <v>7800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-8200</v>
      </c>
      <c r="C20" s="58">
        <v>-82400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FA1F9-2278-4133-B0F9-304CD52F288E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139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2</v>
      </c>
      <c r="C16" s="35">
        <f>IF(B$3=0,0,B16/B$3)</f>
        <v>0.4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8000</v>
      </c>
      <c r="C19" s="50">
        <v>16000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-12000</v>
      </c>
      <c r="C20" s="58">
        <v>-12000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187E-17DC-4762-A225-F11C09E9D705}">
  <sheetPr codeName="Sheet7"/>
  <dimension ref="A1:K6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190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63</v>
      </c>
      <c r="C2" s="27"/>
      <c r="E2" s="28" t="s">
        <v>73</v>
      </c>
      <c r="F2" s="10" t="s">
        <v>27</v>
      </c>
      <c r="G2" s="26">
        <v>38</v>
      </c>
      <c r="H2" s="29">
        <f>IF(B$22=0,0,G2/B$22)</f>
        <v>0.76</v>
      </c>
      <c r="J2" s="25">
        <v>0</v>
      </c>
      <c r="K2" s="30">
        <v>0</v>
      </c>
    </row>
    <row r="3" spans="1:11" x14ac:dyDescent="0.4">
      <c r="A3" s="31" t="s">
        <v>8</v>
      </c>
      <c r="B3" s="32">
        <v>466</v>
      </c>
      <c r="C3" s="33"/>
      <c r="E3" s="34" t="s">
        <v>69</v>
      </c>
      <c r="F3" s="1" t="s">
        <v>23</v>
      </c>
      <c r="G3" s="32">
        <v>31</v>
      </c>
      <c r="H3" s="35">
        <f>IF(B$22=0,0,G3/B$22)</f>
        <v>0.62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-290.99999999999989</v>
      </c>
      <c r="C4" s="36"/>
      <c r="E4" s="34" t="s">
        <v>78</v>
      </c>
      <c r="F4" s="1" t="s">
        <v>31</v>
      </c>
      <c r="G4" s="32">
        <v>28</v>
      </c>
      <c r="H4" s="35">
        <f>IF(B$22=0,0,G4/B$22)</f>
        <v>0.56000000000000005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-4.6190476190476168</v>
      </c>
      <c r="C5" s="38"/>
      <c r="E5" s="34" t="s">
        <v>71</v>
      </c>
      <c r="F5" s="1" t="s">
        <v>25</v>
      </c>
      <c r="G5" s="32">
        <v>25</v>
      </c>
      <c r="H5" s="35">
        <f>IF(B$22=0,0,G5/B$22)</f>
        <v>0.5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2.1428571428571428</v>
      </c>
      <c r="C6" s="40"/>
      <c r="E6" s="34" t="s">
        <v>74</v>
      </c>
      <c r="F6" s="1" t="s">
        <v>12</v>
      </c>
      <c r="G6" s="32">
        <v>20</v>
      </c>
      <c r="H6" s="35">
        <f>IF(B$22=0,0,G6/B$22)</f>
        <v>0.4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0.30158730158730157</v>
      </c>
      <c r="E7" s="34" t="s">
        <v>72</v>
      </c>
      <c r="F7" s="1" t="s">
        <v>26</v>
      </c>
      <c r="G7" s="32">
        <v>14</v>
      </c>
      <c r="H7" s="35">
        <f>IF(B$22=0,0,G7/B$22)</f>
        <v>0.28000000000000003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16</v>
      </c>
      <c r="C8" s="35">
        <f t="shared" ref="C8:C9" si="0">IF(B$2=0,0,B8/B$2)</f>
        <v>0.25396825396825395</v>
      </c>
      <c r="E8" s="34" t="s">
        <v>76</v>
      </c>
      <c r="F8" s="1" t="s">
        <v>29</v>
      </c>
      <c r="G8" s="32">
        <v>9</v>
      </c>
      <c r="H8" s="35">
        <f>IF(B$22=0,0,G8/B$22)</f>
        <v>0.18</v>
      </c>
      <c r="J8" s="31">
        <v>6</v>
      </c>
      <c r="K8" s="36">
        <v>47.6</v>
      </c>
    </row>
    <row r="9" spans="1:11" x14ac:dyDescent="0.4">
      <c r="A9" s="41" t="s">
        <v>4</v>
      </c>
      <c r="B9" s="42">
        <v>28</v>
      </c>
      <c r="C9" s="43">
        <f t="shared" si="0"/>
        <v>0.44444444444444442</v>
      </c>
      <c r="E9" s="34" t="s">
        <v>96</v>
      </c>
      <c r="F9" s="1" t="s">
        <v>49</v>
      </c>
      <c r="G9" s="32">
        <v>9</v>
      </c>
      <c r="H9" s="35">
        <f>IF(B$22=0,0,G9/B$22)</f>
        <v>0.18</v>
      </c>
      <c r="J9" s="31">
        <v>7</v>
      </c>
      <c r="K9" s="36">
        <v>100.1</v>
      </c>
    </row>
    <row r="10" spans="1:11" ht="19.5" thickBot="1" x14ac:dyDescent="0.45">
      <c r="A10" s="44" t="s">
        <v>21</v>
      </c>
      <c r="B10" s="45">
        <v>17</v>
      </c>
      <c r="C10" s="46">
        <f>IF(B$2=0,0,B10/B$2)</f>
        <v>0.26984126984126983</v>
      </c>
      <c r="E10" s="34" t="s">
        <v>70</v>
      </c>
      <c r="F10" s="1" t="s">
        <v>24</v>
      </c>
      <c r="G10" s="32">
        <v>6</v>
      </c>
      <c r="H10" s="35">
        <f>IF(B$22=0,0,G10/B$22)</f>
        <v>0.12</v>
      </c>
      <c r="J10" s="31">
        <v>8</v>
      </c>
      <c r="K10" s="36">
        <v>60.199999999999996</v>
      </c>
    </row>
    <row r="11" spans="1:11" ht="19.5" thickTop="1" x14ac:dyDescent="0.4">
      <c r="A11" s="60" t="s">
        <v>130</v>
      </c>
      <c r="B11" s="61">
        <v>57</v>
      </c>
      <c r="C11" s="62">
        <f>IF(B$21=0,0,B11/B$21)</f>
        <v>0.2780487804878049</v>
      </c>
      <c r="E11" s="34" t="s">
        <v>75</v>
      </c>
      <c r="F11" s="1" t="s">
        <v>28</v>
      </c>
      <c r="G11" s="32">
        <v>6</v>
      </c>
      <c r="H11" s="35">
        <f>IF(B$22=0,0,G11/B$22)</f>
        <v>0.12</v>
      </c>
      <c r="J11" s="31">
        <v>9</v>
      </c>
      <c r="K11" s="36">
        <v>24.4</v>
      </c>
    </row>
    <row r="12" spans="1:11" x14ac:dyDescent="0.4">
      <c r="A12" s="31" t="s">
        <v>125</v>
      </c>
      <c r="B12" s="32">
        <v>35</v>
      </c>
      <c r="C12" s="35">
        <f>IF(B$21=0,0,B12/B$21)</f>
        <v>0.17073170731707318</v>
      </c>
      <c r="E12" s="34" t="s">
        <v>93</v>
      </c>
      <c r="F12" s="1" t="s">
        <v>46</v>
      </c>
      <c r="G12" s="32">
        <v>6</v>
      </c>
      <c r="H12" s="35">
        <f>IF(B$22=0,0,G12/B$22)</f>
        <v>0.12</v>
      </c>
      <c r="J12" s="31">
        <v>10</v>
      </c>
      <c r="K12" s="36">
        <v>-20.100000000000001</v>
      </c>
    </row>
    <row r="13" spans="1:11" x14ac:dyDescent="0.4">
      <c r="A13" s="25" t="s">
        <v>132</v>
      </c>
      <c r="B13" s="26">
        <v>31</v>
      </c>
      <c r="C13" s="29">
        <f>IF(B$11=0,0,B13/B$11)</f>
        <v>0.54385964912280704</v>
      </c>
      <c r="E13" s="34" t="s">
        <v>90</v>
      </c>
      <c r="F13" s="1" t="s">
        <v>43</v>
      </c>
      <c r="G13" s="32">
        <v>5</v>
      </c>
      <c r="H13" s="35">
        <f>IF(B$22=0,0,G13/B$22)</f>
        <v>0.1</v>
      </c>
      <c r="J13" s="31">
        <v>11</v>
      </c>
      <c r="K13" s="36">
        <v>-3.6000000000000014</v>
      </c>
    </row>
    <row r="14" spans="1:11" x14ac:dyDescent="0.4">
      <c r="A14" s="25" t="s">
        <v>133</v>
      </c>
      <c r="B14" s="26">
        <v>12</v>
      </c>
      <c r="C14" s="29">
        <f>IF(B$12=0,0,B14/B$12)</f>
        <v>0.34285714285714286</v>
      </c>
      <c r="E14" s="34" t="s">
        <v>77</v>
      </c>
      <c r="F14" s="1" t="s">
        <v>30</v>
      </c>
      <c r="G14" s="32">
        <v>2</v>
      </c>
      <c r="H14" s="35">
        <f>IF(B$22=0,0,G14/B$22)</f>
        <v>0.04</v>
      </c>
      <c r="J14" s="31">
        <v>12</v>
      </c>
      <c r="K14" s="36">
        <v>-12.000000000000002</v>
      </c>
    </row>
    <row r="15" spans="1:11" x14ac:dyDescent="0.4">
      <c r="A15" s="25" t="s">
        <v>10</v>
      </c>
      <c r="B15" s="26">
        <f>B16+B17</f>
        <v>111</v>
      </c>
      <c r="C15" s="29">
        <f>IF(B$3=0,0,B15/B$3)</f>
        <v>0.23819742489270387</v>
      </c>
      <c r="E15" s="34" t="s">
        <v>88</v>
      </c>
      <c r="F15" s="1" t="s">
        <v>41</v>
      </c>
      <c r="G15" s="32">
        <v>2</v>
      </c>
      <c r="H15" s="35">
        <f>IF(B$22=0,0,G15/B$22)</f>
        <v>0.04</v>
      </c>
      <c r="J15" s="31">
        <v>13</v>
      </c>
      <c r="K15" s="36">
        <v>49.5</v>
      </c>
    </row>
    <row r="16" spans="1:11" x14ac:dyDescent="0.4">
      <c r="A16" s="31" t="s">
        <v>11</v>
      </c>
      <c r="B16" s="32">
        <v>63</v>
      </c>
      <c r="C16" s="35">
        <f>IF(B$3=0,0,B16/B$3)</f>
        <v>0.13519313304721031</v>
      </c>
      <c r="E16" s="34" t="s">
        <v>99</v>
      </c>
      <c r="F16" s="1" t="s">
        <v>52</v>
      </c>
      <c r="G16" s="32">
        <v>2</v>
      </c>
      <c r="H16" s="35">
        <f>IF(B$22=0,0,G16/B$22)</f>
        <v>0.04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48</v>
      </c>
      <c r="C17" s="35">
        <f>IF(B$3=0,0,B17/B$3)</f>
        <v>0.10300429184549356</v>
      </c>
      <c r="E17" s="34" t="s">
        <v>85</v>
      </c>
      <c r="F17" s="1" t="s">
        <v>38</v>
      </c>
      <c r="G17" s="32">
        <v>1</v>
      </c>
      <c r="H17" s="35">
        <f>IF(B$22=0,0,G17/B$22)</f>
        <v>0.02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94</v>
      </c>
      <c r="C18" s="35">
        <f>IF(B$3=0,0,B18/B$3)</f>
        <v>0.20171673819742489</v>
      </c>
      <c r="E18" s="34" t="s">
        <v>91</v>
      </c>
      <c r="F18" s="1" t="s">
        <v>44</v>
      </c>
      <c r="G18" s="32">
        <v>1</v>
      </c>
      <c r="H18" s="35">
        <f>IF(B$22=0,0,G18/B$22)</f>
        <v>0.02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IF(B$15=0,0,ROUND(C19/B$15,-2))</f>
        <v>11700</v>
      </c>
      <c r="C19" s="50">
        <v>1296600</v>
      </c>
      <c r="E19" s="34" t="s">
        <v>92</v>
      </c>
      <c r="F19" s="1" t="s">
        <v>45</v>
      </c>
      <c r="G19" s="32">
        <v>1</v>
      </c>
      <c r="H19" s="35">
        <f>IF(B$22=0,0,G19/B$22)</f>
        <v>0.02</v>
      </c>
      <c r="J19" s="31">
        <v>17</v>
      </c>
      <c r="K19" s="36">
        <v>13.900000000000002</v>
      </c>
    </row>
    <row r="20" spans="1:11" ht="19.5" thickBot="1" x14ac:dyDescent="0.45">
      <c r="A20" s="51" t="s">
        <v>14</v>
      </c>
      <c r="B20" s="52">
        <f>IF(B$18=0,0,ROUND(C20/B$18,-2))</f>
        <v>-10100</v>
      </c>
      <c r="C20" s="58">
        <v>-951300</v>
      </c>
      <c r="E20" s="34" t="s">
        <v>94</v>
      </c>
      <c r="F20" s="1" t="s">
        <v>47</v>
      </c>
      <c r="G20" s="32">
        <v>1</v>
      </c>
      <c r="H20" s="35">
        <f>IF(B$22=0,0,G20/B$22)</f>
        <v>0.02</v>
      </c>
      <c r="J20" s="31">
        <v>18</v>
      </c>
      <c r="K20" s="36">
        <v>-21.999999999999996</v>
      </c>
    </row>
    <row r="21" spans="1:11" ht="19.5" thickTop="1" x14ac:dyDescent="0.4">
      <c r="A21" s="47" t="s">
        <v>128</v>
      </c>
      <c r="B21" s="48">
        <v>205</v>
      </c>
      <c r="C21" s="29"/>
      <c r="E21" s="34" t="s">
        <v>95</v>
      </c>
      <c r="F21" s="1" t="s">
        <v>48</v>
      </c>
      <c r="G21" s="32">
        <v>1</v>
      </c>
      <c r="H21" s="35">
        <f>IF(B$22=0,0,G21/B$22)</f>
        <v>0.02</v>
      </c>
      <c r="J21" s="31">
        <v>19</v>
      </c>
      <c r="K21" s="36">
        <v>-26.699999999999996</v>
      </c>
    </row>
    <row r="22" spans="1:11" x14ac:dyDescent="0.4">
      <c r="A22" s="51" t="s">
        <v>129</v>
      </c>
      <c r="B22" s="54">
        <v>50</v>
      </c>
      <c r="C22" s="55"/>
      <c r="E22" s="34" t="s">
        <v>98</v>
      </c>
      <c r="F22" s="1" t="s">
        <v>51</v>
      </c>
      <c r="G22" s="32">
        <v>1</v>
      </c>
      <c r="H22" s="35">
        <f>IF(B$22=0,0,G22/B$22)</f>
        <v>0.02</v>
      </c>
      <c r="J22" s="31">
        <v>20</v>
      </c>
      <c r="K22" s="36">
        <v>-57.899999999999991</v>
      </c>
    </row>
    <row r="23" spans="1:11" x14ac:dyDescent="0.4">
      <c r="E23" s="34" t="s">
        <v>79</v>
      </c>
      <c r="F23" s="1" t="s">
        <v>32</v>
      </c>
      <c r="G23" s="32">
        <v>0</v>
      </c>
      <c r="H23" s="35">
        <f>IF(B$22=0,0,G23/B$22)</f>
        <v>0</v>
      </c>
      <c r="J23" s="31">
        <v>21</v>
      </c>
      <c r="K23" s="36">
        <v>-82.699999999999989</v>
      </c>
    </row>
    <row r="24" spans="1:11" x14ac:dyDescent="0.4">
      <c r="E24" s="34" t="s">
        <v>80</v>
      </c>
      <c r="F24" s="1" t="s">
        <v>33</v>
      </c>
      <c r="G24" s="32">
        <v>0</v>
      </c>
      <c r="H24" s="35">
        <f>IF(B$22=0,0,G24/B$22)</f>
        <v>0</v>
      </c>
      <c r="J24" s="31">
        <v>22</v>
      </c>
      <c r="K24" s="36">
        <v>-94.6</v>
      </c>
    </row>
    <row r="25" spans="1:11" x14ac:dyDescent="0.4">
      <c r="E25" s="34" t="s">
        <v>81</v>
      </c>
      <c r="F25" s="1" t="s">
        <v>34</v>
      </c>
      <c r="G25" s="32">
        <v>0</v>
      </c>
      <c r="H25" s="35">
        <f>IF(B$22=0,0,G25/B$22)</f>
        <v>0</v>
      </c>
      <c r="J25" s="31">
        <v>23</v>
      </c>
      <c r="K25" s="36">
        <v>-111.3</v>
      </c>
    </row>
    <row r="26" spans="1:11" x14ac:dyDescent="0.4">
      <c r="E26" s="34" t="s">
        <v>82</v>
      </c>
      <c r="F26" s="1" t="s">
        <v>35</v>
      </c>
      <c r="G26" s="32">
        <v>0</v>
      </c>
      <c r="H26" s="35">
        <f>IF(B$22=0,0,G26/B$22)</f>
        <v>0</v>
      </c>
      <c r="J26" s="31">
        <v>24</v>
      </c>
      <c r="K26" s="36">
        <v>-68.099999999999994</v>
      </c>
    </row>
    <row r="27" spans="1:11" x14ac:dyDescent="0.4">
      <c r="E27" s="34" t="s">
        <v>83</v>
      </c>
      <c r="F27" s="1" t="s">
        <v>36</v>
      </c>
      <c r="G27" s="32">
        <v>0</v>
      </c>
      <c r="H27" s="35">
        <f>IF(B$22=0,0,G27/B$22)</f>
        <v>0</v>
      </c>
      <c r="J27" s="31">
        <v>25</v>
      </c>
      <c r="K27" s="36">
        <v>-70.899999999999991</v>
      </c>
    </row>
    <row r="28" spans="1:11" x14ac:dyDescent="0.4">
      <c r="E28" s="34" t="s">
        <v>84</v>
      </c>
      <c r="F28" s="1" t="s">
        <v>37</v>
      </c>
      <c r="G28" s="32">
        <v>0</v>
      </c>
      <c r="H28" s="35">
        <f>IF(B$22=0,0,G28/B$22)</f>
        <v>0</v>
      </c>
      <c r="J28" s="31">
        <v>26</v>
      </c>
      <c r="K28" s="36">
        <v>-125.89999999999999</v>
      </c>
    </row>
    <row r="29" spans="1:11" x14ac:dyDescent="0.4">
      <c r="E29" s="34" t="s">
        <v>86</v>
      </c>
      <c r="F29" s="1" t="s">
        <v>39</v>
      </c>
      <c r="G29" s="32">
        <v>0</v>
      </c>
      <c r="H29" s="35">
        <f>IF(B$22=0,0,G29/B$22)</f>
        <v>0</v>
      </c>
      <c r="J29" s="31">
        <v>27</v>
      </c>
      <c r="K29" s="36">
        <v>-163.6</v>
      </c>
    </row>
    <row r="30" spans="1:11" x14ac:dyDescent="0.4">
      <c r="E30" s="34" t="s">
        <v>87</v>
      </c>
      <c r="F30" s="1" t="s">
        <v>40</v>
      </c>
      <c r="G30" s="32">
        <v>0</v>
      </c>
      <c r="H30" s="35">
        <f>IF(B$22=0,0,G30/B$22)</f>
        <v>0</v>
      </c>
      <c r="J30" s="31">
        <v>28</v>
      </c>
      <c r="K30" s="36">
        <v>-169.5</v>
      </c>
    </row>
    <row r="31" spans="1:11" x14ac:dyDescent="0.4">
      <c r="E31" s="34" t="s">
        <v>89</v>
      </c>
      <c r="F31" s="1" t="s">
        <v>42</v>
      </c>
      <c r="G31" s="32">
        <v>0</v>
      </c>
      <c r="H31" s="35">
        <f>IF(B$22=0,0,G31/B$22)</f>
        <v>0</v>
      </c>
      <c r="J31" s="31">
        <v>29</v>
      </c>
      <c r="K31" s="36">
        <v>-163.30000000000001</v>
      </c>
    </row>
    <row r="32" spans="1:11" x14ac:dyDescent="0.4">
      <c r="E32" s="34" t="s">
        <v>97</v>
      </c>
      <c r="F32" s="1" t="s">
        <v>50</v>
      </c>
      <c r="G32" s="32">
        <v>0</v>
      </c>
      <c r="H32" s="35">
        <f>IF(B$22=0,0,G32/B$22)</f>
        <v>0</v>
      </c>
      <c r="J32" s="31">
        <v>30</v>
      </c>
      <c r="K32" s="36">
        <v>-209.4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-259.89999999999998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-253.59999999999997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-234.89999999999998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-229.79999999999998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-254.29999999999998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  <c r="J38" s="31">
        <v>36</v>
      </c>
      <c r="K38" s="36">
        <v>-204.29999999999998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  <c r="J39" s="31">
        <v>37</v>
      </c>
      <c r="K39" s="36">
        <v>-249.29999999999998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  <c r="J40" s="31">
        <v>38</v>
      </c>
      <c r="K40" s="36">
        <v>-242.49999999999997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  <c r="J41" s="31">
        <v>39</v>
      </c>
      <c r="K41" s="36">
        <v>-244.59999999999997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  <c r="J42" s="31">
        <v>40</v>
      </c>
      <c r="K42" s="36">
        <v>-279.7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  <c r="J43" s="31">
        <v>41</v>
      </c>
      <c r="K43" s="36">
        <v>-320.09999999999997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  <c r="J44" s="31">
        <v>42</v>
      </c>
      <c r="K44" s="36">
        <v>-314.29999999999995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  <c r="J45" s="31">
        <v>43</v>
      </c>
      <c r="K45" s="36">
        <v>-284.79999999999995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  <c r="J46" s="31">
        <v>44</v>
      </c>
      <c r="K46" s="36">
        <v>-239.89999999999995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  <c r="J47" s="31">
        <v>45</v>
      </c>
      <c r="K47" s="36">
        <v>-256.29999999999995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  <c r="J48" s="31">
        <v>46</v>
      </c>
      <c r="K48" s="36">
        <v>-280.59999999999997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  <c r="J49" s="31">
        <v>47</v>
      </c>
      <c r="K49" s="36">
        <v>-264.59999999999997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  <c r="J50" s="31">
        <v>48</v>
      </c>
      <c r="K50" s="36">
        <v>-288.79999999999995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</sheetData>
  <sortState ref="E2:H6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D0059-639C-4BDA-A183-B672638B1275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191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8</v>
      </c>
      <c r="H2" s="29">
        <f>IF(B$22=0,0,G2/B$22)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73</v>
      </c>
      <c r="F3" s="1" t="s">
        <v>27</v>
      </c>
      <c r="G3" s="32">
        <v>8</v>
      </c>
      <c r="H3" s="35">
        <f>IF(B$22=0,0,G3/B$22)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78</v>
      </c>
      <c r="F4" s="1" t="s">
        <v>31</v>
      </c>
      <c r="G4" s="32">
        <v>8</v>
      </c>
      <c r="H4" s="35">
        <f>IF(B$22=0,0,G4/B$22)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69</v>
      </c>
      <c r="F5" s="1" t="s">
        <v>23</v>
      </c>
      <c r="G5" s="32">
        <v>3</v>
      </c>
      <c r="H5" s="35">
        <f>IF(B$22=0,0,G5/B$22)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72</v>
      </c>
      <c r="F6" s="1" t="s">
        <v>26</v>
      </c>
      <c r="G6" s="32">
        <v>3</v>
      </c>
      <c r="H6" s="35">
        <f>IF(B$22=0,0,G6/B$22)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2</v>
      </c>
      <c r="H7" s="35">
        <f>IF(B$22=0,0,G7/B$22)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70</v>
      </c>
      <c r="F8" s="1" t="s">
        <v>24</v>
      </c>
      <c r="G8" s="32">
        <v>1</v>
      </c>
      <c r="H8" s="35">
        <f>IF(B$22=0,0,G8/B$22)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75</v>
      </c>
      <c r="F9" s="1" t="s">
        <v>28</v>
      </c>
      <c r="G9" s="32">
        <v>1</v>
      </c>
      <c r="H9" s="35">
        <f>IF(B$22=0,0,G9/B$22)</f>
        <v>0.1</v>
      </c>
      <c r="J9" s="31">
        <v>7</v>
      </c>
      <c r="K9" s="36">
        <v>-47.6</v>
      </c>
    </row>
    <row r="10" spans="1:11" ht="19.5" thickBot="1" x14ac:dyDescent="0.45">
      <c r="A10" s="44" t="s">
        <v>21</v>
      </c>
      <c r="B10" s="45">
        <v>5</v>
      </c>
      <c r="C10" s="46">
        <f>IF(B$2=0,0,B10/B$2)</f>
        <v>0.12820512820512819</v>
      </c>
      <c r="E10" s="34" t="s">
        <v>88</v>
      </c>
      <c r="F10" s="1" t="s">
        <v>41</v>
      </c>
      <c r="G10" s="32">
        <v>1</v>
      </c>
      <c r="H10" s="35">
        <f>IF(B$22=0,0,G10/B$22)</f>
        <v>0.1</v>
      </c>
      <c r="J10" s="31">
        <v>8</v>
      </c>
      <c r="K10" s="36">
        <v>-59.1</v>
      </c>
    </row>
    <row r="11" spans="1:11" ht="19.5" thickTop="1" x14ac:dyDescent="0.4">
      <c r="A11" s="60" t="s">
        <v>130</v>
      </c>
      <c r="B11" s="61">
        <v>7</v>
      </c>
      <c r="C11" s="62">
        <f>IF(B$21=0,0,B11/B$21)</f>
        <v>0.21212121212121213</v>
      </c>
      <c r="E11" s="34" t="s">
        <v>90</v>
      </c>
      <c r="F11" s="1" t="s">
        <v>43</v>
      </c>
      <c r="G11" s="32">
        <v>1</v>
      </c>
      <c r="H11" s="35">
        <f>IF(B$22=0,0,G11/B$22)</f>
        <v>0.1</v>
      </c>
      <c r="J11" s="31">
        <v>9</v>
      </c>
      <c r="K11" s="36">
        <v>-77.900000000000006</v>
      </c>
    </row>
    <row r="12" spans="1:11" x14ac:dyDescent="0.4">
      <c r="A12" s="31" t="s">
        <v>125</v>
      </c>
      <c r="B12" s="32">
        <v>11</v>
      </c>
      <c r="C12" s="35">
        <f>IF(B$21=0,0,B12/B$21)</f>
        <v>0.33333333333333331</v>
      </c>
      <c r="E12" s="34" t="s">
        <v>76</v>
      </c>
      <c r="F12" s="1" t="s">
        <v>29</v>
      </c>
      <c r="G12" s="32">
        <v>0</v>
      </c>
      <c r="H12" s="35">
        <f>IF(B$22=0,0,G12/B$22)</f>
        <v>0</v>
      </c>
      <c r="J12" s="31">
        <v>10</v>
      </c>
      <c r="K12" s="36">
        <v>-78.900000000000006</v>
      </c>
    </row>
    <row r="13" spans="1:11" x14ac:dyDescent="0.4">
      <c r="A13" s="25" t="s">
        <v>132</v>
      </c>
      <c r="B13" s="26">
        <v>3</v>
      </c>
      <c r="C13" s="29">
        <f>IF(B$11=0,0,B13/B$11)</f>
        <v>0.42857142857142855</v>
      </c>
      <c r="E13" s="34" t="s">
        <v>77</v>
      </c>
      <c r="F13" s="1" t="s">
        <v>30</v>
      </c>
      <c r="G13" s="32">
        <v>0</v>
      </c>
      <c r="H13" s="35">
        <f>IF(B$22=0,0,G13/B$22)</f>
        <v>0</v>
      </c>
      <c r="J13" s="31">
        <v>11</v>
      </c>
      <c r="K13" s="36">
        <v>-88.9</v>
      </c>
    </row>
    <row r="14" spans="1:11" x14ac:dyDescent="0.4">
      <c r="A14" s="25" t="s">
        <v>133</v>
      </c>
      <c r="B14" s="26">
        <v>4</v>
      </c>
      <c r="C14" s="29">
        <f>IF(B$12=0,0,B14/B$12)</f>
        <v>0.36363636363636365</v>
      </c>
      <c r="E14" s="34" t="s">
        <v>79</v>
      </c>
      <c r="F14" s="1" t="s">
        <v>32</v>
      </c>
      <c r="G14" s="32">
        <v>0</v>
      </c>
      <c r="H14" s="35">
        <f>IF(B$22=0,0,G14/B$22)</f>
        <v>0</v>
      </c>
      <c r="J14" s="31">
        <v>12</v>
      </c>
      <c r="K14" s="36">
        <v>-23.5</v>
      </c>
    </row>
    <row r="15" spans="1:11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80</v>
      </c>
      <c r="F15" s="1" t="s">
        <v>33</v>
      </c>
      <c r="G15" s="32">
        <v>0</v>
      </c>
      <c r="H15" s="35">
        <f>IF(B$22=0,0,G15/B$22)</f>
        <v>0</v>
      </c>
      <c r="J15" s="31">
        <v>13</v>
      </c>
      <c r="K15" s="36">
        <v>-12.4</v>
      </c>
    </row>
    <row r="16" spans="1:11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81</v>
      </c>
      <c r="F16" s="1" t="s">
        <v>34</v>
      </c>
      <c r="G16" s="32">
        <v>0</v>
      </c>
      <c r="H16" s="35">
        <f>IF(B$22=0,0,G16/B$22)</f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82</v>
      </c>
      <c r="F17" s="1" t="s">
        <v>35</v>
      </c>
      <c r="G17" s="32">
        <v>0</v>
      </c>
      <c r="H17" s="35">
        <f>IF(B$22=0,0,G17/B$22)</f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83</v>
      </c>
      <c r="F18" s="1" t="s">
        <v>36</v>
      </c>
      <c r="G18" s="32">
        <v>0</v>
      </c>
      <c r="H18" s="35">
        <f>IF(B$22=0,0,G18/B$22)</f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IF(B$15=0,0,ROUND(C19/B$15,-2))</f>
        <v>9600</v>
      </c>
      <c r="C19" s="50">
        <v>934300</v>
      </c>
      <c r="E19" s="34" t="s">
        <v>84</v>
      </c>
      <c r="F19" s="1" t="s">
        <v>37</v>
      </c>
      <c r="G19" s="32">
        <v>0</v>
      </c>
      <c r="H19" s="35">
        <f>IF(B$22=0,0,G19/B$22)</f>
        <v>0</v>
      </c>
      <c r="J19" s="31">
        <v>17</v>
      </c>
      <c r="K19" s="36">
        <v>15.799999999999997</v>
      </c>
    </row>
    <row r="20" spans="1:11" ht="19.5" thickBot="1" x14ac:dyDescent="0.45">
      <c r="A20" s="51" t="s">
        <v>14</v>
      </c>
      <c r="B20" s="52">
        <f>IF(B$18=0,0,ROUND(C20/B$18,-2))</f>
        <v>-9600</v>
      </c>
      <c r="C20" s="58">
        <v>-346100</v>
      </c>
      <c r="E20" s="34" t="s">
        <v>85</v>
      </c>
      <c r="F20" s="1" t="s">
        <v>38</v>
      </c>
      <c r="G20" s="32">
        <v>0</v>
      </c>
      <c r="H20" s="35">
        <f>IF(B$22=0,0,G20/B$22)</f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128</v>
      </c>
      <c r="B21" s="48">
        <v>33</v>
      </c>
      <c r="C21" s="29"/>
      <c r="E21" s="34" t="s">
        <v>86</v>
      </c>
      <c r="F21" s="1" t="s">
        <v>39</v>
      </c>
      <c r="G21" s="32">
        <v>0</v>
      </c>
      <c r="H21" s="35">
        <f>IF(B$22=0,0,G21/B$22)</f>
        <v>0</v>
      </c>
      <c r="J21" s="31">
        <v>19</v>
      </c>
      <c r="K21" s="36">
        <v>-17.700000000000003</v>
      </c>
    </row>
    <row r="22" spans="1:11" x14ac:dyDescent="0.4">
      <c r="A22" s="51" t="s">
        <v>129</v>
      </c>
      <c r="B22" s="54">
        <v>10</v>
      </c>
      <c r="C22" s="55"/>
      <c r="E22" s="34" t="s">
        <v>87</v>
      </c>
      <c r="F22" s="1" t="s">
        <v>40</v>
      </c>
      <c r="G22" s="32">
        <v>0</v>
      </c>
      <c r="H22" s="35">
        <f>IF(B$22=0,0,G22/B$22)</f>
        <v>0</v>
      </c>
      <c r="J22" s="31">
        <v>20</v>
      </c>
      <c r="K22" s="36">
        <v>7.4999999999999964</v>
      </c>
    </row>
    <row r="23" spans="1:11" x14ac:dyDescent="0.4">
      <c r="E23" s="34" t="s">
        <v>89</v>
      </c>
      <c r="F23" s="1" t="s">
        <v>42</v>
      </c>
      <c r="G23" s="32">
        <v>0</v>
      </c>
      <c r="H23" s="35">
        <f>IF(B$22=0,0,G23/B$22)</f>
        <v>0</v>
      </c>
      <c r="J23" s="31">
        <v>21</v>
      </c>
      <c r="K23" s="36">
        <v>69.8</v>
      </c>
    </row>
    <row r="24" spans="1:11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  <c r="J24" s="31">
        <v>22</v>
      </c>
      <c r="K24" s="36">
        <v>78.399999999999991</v>
      </c>
    </row>
    <row r="25" spans="1:11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  <c r="J25" s="31">
        <v>23</v>
      </c>
      <c r="K25" s="36">
        <v>93.199999999999989</v>
      </c>
    </row>
    <row r="26" spans="1:11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  <c r="J26" s="31">
        <v>24</v>
      </c>
      <c r="K26" s="36">
        <v>49.29999999999999</v>
      </c>
    </row>
    <row r="27" spans="1:11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  <c r="J27" s="31">
        <v>25</v>
      </c>
      <c r="K27" s="36">
        <v>58.79999999999999</v>
      </c>
    </row>
    <row r="28" spans="1:11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  <c r="J28" s="31">
        <v>26</v>
      </c>
      <c r="K28" s="36">
        <v>141.79999999999998</v>
      </c>
    </row>
    <row r="29" spans="1:11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  <c r="J29" s="31">
        <v>27</v>
      </c>
      <c r="K29" s="36">
        <v>162.79999999999998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  <c r="J30" s="31">
        <v>28</v>
      </c>
      <c r="K30" s="36">
        <v>174.7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  <c r="J31" s="31">
        <v>29</v>
      </c>
      <c r="K31" s="36">
        <v>205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  <c r="J32" s="31">
        <v>30</v>
      </c>
      <c r="K32" s="36">
        <v>198.5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186.9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204.4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245.4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234.9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188.9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  <c r="J38" s="31">
        <v>36</v>
      </c>
      <c r="K38" s="36">
        <v>236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  <c r="J39" s="31">
        <v>37</v>
      </c>
      <c r="K39" s="36">
        <v>250.8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  <c r="J40" s="31">
        <v>38</v>
      </c>
      <c r="K40" s="36">
        <v>232.60000000000002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  <c r="J41" s="31">
        <v>39</v>
      </c>
      <c r="K41" s="36">
        <v>233.00000000000003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03C-041A-471E-B97C-E89499C09E69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145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21</v>
      </c>
      <c r="B10" s="45">
        <v>1</v>
      </c>
      <c r="C10" s="46">
        <f>IF(B$2=0,0,B10/B$2)</f>
        <v>1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1300</v>
      </c>
      <c r="C19" s="50">
        <v>1300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-8500</v>
      </c>
      <c r="C20" s="58">
        <v>-17000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B888-DAFC-4BDE-A4AC-A52C2646A376}">
  <sheetPr codeName="Sheet10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192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35</v>
      </c>
      <c r="C2" s="27"/>
      <c r="E2" s="28" t="s">
        <v>73</v>
      </c>
      <c r="F2" s="10" t="s">
        <v>27</v>
      </c>
      <c r="G2" s="26">
        <v>22</v>
      </c>
      <c r="H2" s="29">
        <f>IF(B$22=0,0,G2/B$22)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71</v>
      </c>
      <c r="F3" s="1" t="s">
        <v>25</v>
      </c>
      <c r="G3" s="32">
        <v>17</v>
      </c>
      <c r="H3" s="35">
        <f>IF(B$22=0,0,G3/B$22)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78</v>
      </c>
      <c r="F4" s="1" t="s">
        <v>31</v>
      </c>
      <c r="G4" s="32">
        <v>15</v>
      </c>
      <c r="H4" s="35">
        <f>IF(B$22=0,0,G4/B$22)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69</v>
      </c>
      <c r="F5" s="1" t="s">
        <v>23</v>
      </c>
      <c r="G5" s="32">
        <v>7</v>
      </c>
      <c r="H5" s="35">
        <f>IF(B$22=0,0,G5/B$22)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70</v>
      </c>
      <c r="F6" s="1" t="s">
        <v>24</v>
      </c>
      <c r="G6" s="32">
        <v>3</v>
      </c>
      <c r="H6" s="35">
        <f>IF(B$22=0,0,G6/B$22)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74</v>
      </c>
      <c r="F7" s="1" t="s">
        <v>12</v>
      </c>
      <c r="G7" s="32">
        <v>3</v>
      </c>
      <c r="H7" s="35">
        <f>IF(B$22=0,0,G7/B$22)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96</v>
      </c>
      <c r="F8" s="1" t="s">
        <v>49</v>
      </c>
      <c r="G8" s="32">
        <v>3</v>
      </c>
      <c r="H8" s="35">
        <f>IF(B$22=0,0,G8/B$22)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85</v>
      </c>
      <c r="F9" s="1" t="s">
        <v>38</v>
      </c>
      <c r="G9" s="32">
        <v>2</v>
      </c>
      <c r="H9" s="35">
        <f>IF(B$22=0,0,G9/B$22)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21</v>
      </c>
      <c r="B10" s="45">
        <v>6</v>
      </c>
      <c r="C10" s="46">
        <f>IF(B$2=0,0,B10/B$2)</f>
        <v>0.17142857142857143</v>
      </c>
      <c r="E10" s="34" t="s">
        <v>93</v>
      </c>
      <c r="F10" s="1" t="s">
        <v>46</v>
      </c>
      <c r="G10" s="32">
        <v>2</v>
      </c>
      <c r="H10" s="35">
        <f>IF(B$22=0,0,G10/B$22)</f>
        <v>8.6956521739130432E-2</v>
      </c>
      <c r="J10" s="31">
        <v>8</v>
      </c>
      <c r="K10" s="36">
        <v>97</v>
      </c>
    </row>
    <row r="11" spans="1:11" ht="19.5" thickTop="1" x14ac:dyDescent="0.4">
      <c r="A11" s="60" t="s">
        <v>130</v>
      </c>
      <c r="B11" s="61">
        <v>17</v>
      </c>
      <c r="C11" s="62">
        <f>IF(B$21=0,0,B11/B$21)</f>
        <v>0.19540229885057472</v>
      </c>
      <c r="E11" s="34" t="s">
        <v>75</v>
      </c>
      <c r="F11" s="1" t="s">
        <v>28</v>
      </c>
      <c r="G11" s="32">
        <v>1</v>
      </c>
      <c r="H11" s="35">
        <f>IF(B$22=0,0,G11/B$22)</f>
        <v>4.3478260869565216E-2</v>
      </c>
      <c r="J11" s="31">
        <v>9</v>
      </c>
      <c r="K11" s="36">
        <v>83.3</v>
      </c>
    </row>
    <row r="12" spans="1:11" x14ac:dyDescent="0.4">
      <c r="A12" s="31" t="s">
        <v>125</v>
      </c>
      <c r="B12" s="32">
        <v>25</v>
      </c>
      <c r="C12" s="35">
        <f>IF(B$21=0,0,B12/B$21)</f>
        <v>0.28735632183908044</v>
      </c>
      <c r="E12" s="34" t="s">
        <v>76</v>
      </c>
      <c r="F12" s="1" t="s">
        <v>29</v>
      </c>
      <c r="G12" s="32">
        <v>1</v>
      </c>
      <c r="H12" s="35">
        <f>IF(B$22=0,0,G12/B$22)</f>
        <v>4.3478260869565216E-2</v>
      </c>
      <c r="J12" s="31">
        <v>10</v>
      </c>
      <c r="K12" s="36">
        <v>111</v>
      </c>
    </row>
    <row r="13" spans="1:11" x14ac:dyDescent="0.4">
      <c r="A13" s="25" t="s">
        <v>132</v>
      </c>
      <c r="B13" s="26">
        <v>7</v>
      </c>
      <c r="C13" s="29">
        <f>IF(B$11=0,0,B13/B$11)</f>
        <v>0.41176470588235292</v>
      </c>
      <c r="E13" s="34" t="s">
        <v>81</v>
      </c>
      <c r="F13" s="1" t="s">
        <v>34</v>
      </c>
      <c r="G13" s="32">
        <v>1</v>
      </c>
      <c r="H13" s="35">
        <f>IF(B$22=0,0,G13/B$22)</f>
        <v>4.3478260869565216E-2</v>
      </c>
      <c r="J13" s="31">
        <v>11</v>
      </c>
      <c r="K13" s="36">
        <v>138.69999999999999</v>
      </c>
    </row>
    <row r="14" spans="1:11" x14ac:dyDescent="0.4">
      <c r="A14" s="25" t="s">
        <v>133</v>
      </c>
      <c r="B14" s="26">
        <v>10</v>
      </c>
      <c r="C14" s="29">
        <f>IF(B$12=0,0,B14/B$12)</f>
        <v>0.4</v>
      </c>
      <c r="E14" s="34" t="s">
        <v>84</v>
      </c>
      <c r="F14" s="1" t="s">
        <v>37</v>
      </c>
      <c r="G14" s="32">
        <v>1</v>
      </c>
      <c r="H14" s="35">
        <f>IF(B$22=0,0,G14/B$22)</f>
        <v>4.3478260869565216E-2</v>
      </c>
      <c r="J14" s="31">
        <v>12</v>
      </c>
      <c r="K14" s="36">
        <v>99.799999999999983</v>
      </c>
    </row>
    <row r="15" spans="1:11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88</v>
      </c>
      <c r="F15" s="1" t="s">
        <v>41</v>
      </c>
      <c r="G15" s="32">
        <v>1</v>
      </c>
      <c r="H15" s="35">
        <f>IF(B$22=0,0,G15/B$22)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90</v>
      </c>
      <c r="F16" s="1" t="s">
        <v>43</v>
      </c>
      <c r="G16" s="32">
        <v>1</v>
      </c>
      <c r="H16" s="35">
        <f>IF(B$22=0,0,G16/B$22)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72</v>
      </c>
      <c r="F17" s="1" t="s">
        <v>26</v>
      </c>
      <c r="G17" s="32">
        <v>0</v>
      </c>
      <c r="H17" s="35">
        <f>IF(B$22=0,0,G17/B$22)</f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77</v>
      </c>
      <c r="F18" s="1" t="s">
        <v>30</v>
      </c>
      <c r="G18" s="32">
        <v>0</v>
      </c>
      <c r="H18" s="35">
        <f>IF(B$22=0,0,G18/B$22)</f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IF(B$15=0,0,ROUND(C19/B$15,-2))</f>
        <v>10200</v>
      </c>
      <c r="C19" s="50">
        <v>788500</v>
      </c>
      <c r="E19" s="34" t="s">
        <v>79</v>
      </c>
      <c r="F19" s="1" t="s">
        <v>32</v>
      </c>
      <c r="G19" s="32">
        <v>0</v>
      </c>
      <c r="H19" s="35">
        <f>IF(B$22=0,0,G19/B$22)</f>
        <v>0</v>
      </c>
      <c r="J19" s="31">
        <v>17</v>
      </c>
      <c r="K19" s="36">
        <v>-17.100000000000016</v>
      </c>
    </row>
    <row r="20" spans="1:11" ht="19.5" thickBot="1" x14ac:dyDescent="0.45">
      <c r="A20" s="51" t="s">
        <v>14</v>
      </c>
      <c r="B20" s="52">
        <f>IF(B$18=0,0,ROUND(C20/B$18,-2))</f>
        <v>-8300</v>
      </c>
      <c r="C20" s="58">
        <v>-455800</v>
      </c>
      <c r="E20" s="34" t="s">
        <v>80</v>
      </c>
      <c r="F20" s="1" t="s">
        <v>33</v>
      </c>
      <c r="G20" s="32">
        <v>0</v>
      </c>
      <c r="H20" s="35">
        <f>IF(B$22=0,0,G20/B$22)</f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128</v>
      </c>
      <c r="B21" s="48">
        <v>87</v>
      </c>
      <c r="C21" s="29"/>
      <c r="E21" s="34" t="s">
        <v>82</v>
      </c>
      <c r="F21" s="1" t="s">
        <v>35</v>
      </c>
      <c r="G21" s="32">
        <v>0</v>
      </c>
      <c r="H21" s="35">
        <f>IF(B$22=0,0,G21/B$22)</f>
        <v>0</v>
      </c>
      <c r="J21" s="31">
        <v>19</v>
      </c>
      <c r="K21" s="36">
        <v>-2.1000000000000156</v>
      </c>
    </row>
    <row r="22" spans="1:11" x14ac:dyDescent="0.4">
      <c r="A22" s="51" t="s">
        <v>129</v>
      </c>
      <c r="B22" s="54">
        <v>23</v>
      </c>
      <c r="C22" s="55"/>
      <c r="E22" s="34" t="s">
        <v>83</v>
      </c>
      <c r="F22" s="1" t="s">
        <v>36</v>
      </c>
      <c r="G22" s="32">
        <v>0</v>
      </c>
      <c r="H22" s="35">
        <f>IF(B$22=0,0,G22/B$22)</f>
        <v>0</v>
      </c>
      <c r="J22" s="31">
        <v>20</v>
      </c>
      <c r="K22" s="36">
        <v>45.899999999999984</v>
      </c>
    </row>
    <row r="23" spans="1:11" x14ac:dyDescent="0.4">
      <c r="E23" s="34" t="s">
        <v>86</v>
      </c>
      <c r="F23" s="1" t="s">
        <v>39</v>
      </c>
      <c r="G23" s="32">
        <v>0</v>
      </c>
      <c r="H23" s="35">
        <f>IF(B$22=0,0,G23/B$22)</f>
        <v>0</v>
      </c>
      <c r="J23" s="31">
        <v>21</v>
      </c>
      <c r="K23" s="36">
        <v>4.0999999999999872</v>
      </c>
    </row>
    <row r="24" spans="1:11" x14ac:dyDescent="0.4">
      <c r="E24" s="34" t="s">
        <v>87</v>
      </c>
      <c r="F24" s="1" t="s">
        <v>40</v>
      </c>
      <c r="G24" s="32">
        <v>0</v>
      </c>
      <c r="H24" s="35">
        <f>IF(B$22=0,0,G24/B$22)</f>
        <v>0</v>
      </c>
      <c r="J24" s="31">
        <v>22</v>
      </c>
      <c r="K24" s="36">
        <v>-1.4000000000000128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>IF(B$22=0,0,G25/B$22)</f>
        <v>0</v>
      </c>
      <c r="J25" s="31">
        <v>23</v>
      </c>
      <c r="K25" s="36">
        <v>23.499999999999986</v>
      </c>
    </row>
    <row r="26" spans="1:11" x14ac:dyDescent="0.4">
      <c r="E26" s="34" t="s">
        <v>91</v>
      </c>
      <c r="F26" s="1" t="s">
        <v>44</v>
      </c>
      <c r="G26" s="32">
        <v>0</v>
      </c>
      <c r="H26" s="35">
        <f>IF(B$22=0,0,G26/B$22)</f>
        <v>0</v>
      </c>
      <c r="J26" s="31">
        <v>24</v>
      </c>
      <c r="K26" s="36">
        <v>9.5999999999999854</v>
      </c>
    </row>
    <row r="27" spans="1:11" x14ac:dyDescent="0.4">
      <c r="E27" s="34" t="s">
        <v>92</v>
      </c>
      <c r="F27" s="1" t="s">
        <v>45</v>
      </c>
      <c r="G27" s="32">
        <v>0</v>
      </c>
      <c r="H27" s="35">
        <f>IF(B$22=0,0,G27/B$22)</f>
        <v>0</v>
      </c>
      <c r="J27" s="31">
        <v>25</v>
      </c>
      <c r="K27" s="36">
        <v>1.2999999999999847</v>
      </c>
    </row>
    <row r="28" spans="1:11" x14ac:dyDescent="0.4">
      <c r="E28" s="34" t="s">
        <v>94</v>
      </c>
      <c r="F28" s="1" t="s">
        <v>47</v>
      </c>
      <c r="G28" s="32">
        <v>0</v>
      </c>
      <c r="H28" s="35">
        <f>IF(B$22=0,0,G28/B$22)</f>
        <v>0</v>
      </c>
      <c r="J28" s="31">
        <v>26</v>
      </c>
      <c r="K28" s="36">
        <v>-9.7000000000000153</v>
      </c>
    </row>
    <row r="29" spans="1:11" x14ac:dyDescent="0.4">
      <c r="E29" s="34" t="s">
        <v>95</v>
      </c>
      <c r="F29" s="1" t="s">
        <v>48</v>
      </c>
      <c r="G29" s="32">
        <v>0</v>
      </c>
      <c r="H29" s="35">
        <f>IF(B$22=0,0,G29/B$22)</f>
        <v>0</v>
      </c>
      <c r="J29" s="31">
        <v>27</v>
      </c>
      <c r="K29" s="36">
        <v>-31.600000000000016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  <c r="J30" s="31">
        <v>28</v>
      </c>
      <c r="K30" s="36">
        <v>-25.500000000000014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  <c r="J31" s="31">
        <v>29</v>
      </c>
      <c r="K31" s="36">
        <v>-24.900000000000013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  <c r="J32" s="31">
        <v>30</v>
      </c>
      <c r="K32" s="36">
        <v>15.29999999999999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-20.400000000000013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-36.400000000000013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-42.20000000000001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-94.100000000000009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-106.10000000000001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E5809-6006-4E3E-88D6-B5D34CC97914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193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49</v>
      </c>
      <c r="H2" s="29">
        <f>IF(B$22=0,0,G2/B$22)</f>
        <v>1</v>
      </c>
      <c r="J2" s="25">
        <v>0</v>
      </c>
      <c r="K2" s="30">
        <v>0</v>
      </c>
    </row>
    <row r="3" spans="1:11" x14ac:dyDescent="0.4">
      <c r="A3" s="31" t="s">
        <v>8</v>
      </c>
      <c r="B3" s="32">
        <v>287</v>
      </c>
      <c r="C3" s="33"/>
      <c r="E3" s="34" t="s">
        <v>73</v>
      </c>
      <c r="F3" s="1" t="s">
        <v>27</v>
      </c>
      <c r="G3" s="32">
        <v>41</v>
      </c>
      <c r="H3" s="35">
        <f>IF(B$22=0,0,G3/B$22)</f>
        <v>0.83673469387755106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34.699999999999967</v>
      </c>
      <c r="C4" s="36"/>
      <c r="E4" s="34" t="s">
        <v>69</v>
      </c>
      <c r="F4" s="1" t="s">
        <v>23</v>
      </c>
      <c r="G4" s="32">
        <v>30</v>
      </c>
      <c r="H4" s="35">
        <f>IF(B$22=0,0,G4/B$22)</f>
        <v>0.61224489795918369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0.88974358974358891</v>
      </c>
      <c r="C5" s="38"/>
      <c r="E5" s="34" t="s">
        <v>78</v>
      </c>
      <c r="F5" s="1" t="s">
        <v>31</v>
      </c>
      <c r="G5" s="32">
        <v>28</v>
      </c>
      <c r="H5" s="35">
        <f>IF(B$22=0,0,G5/B$22)</f>
        <v>0.5714285714285714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1.9743589743589745</v>
      </c>
      <c r="C6" s="40"/>
      <c r="E6" s="34" t="s">
        <v>72</v>
      </c>
      <c r="F6" s="1" t="s">
        <v>26</v>
      </c>
      <c r="G6" s="32">
        <v>17</v>
      </c>
      <c r="H6" s="35">
        <f>IF(B$22=0,0,G6/B$22)</f>
        <v>0.34693877551020408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15</v>
      </c>
      <c r="H7" s="35">
        <f>IF(B$22=0,0,G7/B$22)</f>
        <v>0.30612244897959184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0.30769230769230771</v>
      </c>
      <c r="E8" s="34" t="s">
        <v>75</v>
      </c>
      <c r="F8" s="1" t="s">
        <v>28</v>
      </c>
      <c r="G8" s="32">
        <v>7</v>
      </c>
      <c r="H8" s="35">
        <f>IF(B$22=0,0,G8/B$22)</f>
        <v>0.14285714285714285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13</v>
      </c>
      <c r="C9" s="43">
        <f t="shared" si="0"/>
        <v>0.33333333333333331</v>
      </c>
      <c r="E9" s="34" t="s">
        <v>70</v>
      </c>
      <c r="F9" s="1" t="s">
        <v>24</v>
      </c>
      <c r="G9" s="32">
        <v>6</v>
      </c>
      <c r="H9" s="35">
        <f>IF(B$22=0,0,G9/B$22)</f>
        <v>0.12244897959183673</v>
      </c>
      <c r="J9" s="31">
        <v>7</v>
      </c>
      <c r="K9" s="36">
        <v>-105.70000000000002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0.17948717948717949</v>
      </c>
      <c r="E10" s="34" t="s">
        <v>76</v>
      </c>
      <c r="F10" s="1" t="s">
        <v>29</v>
      </c>
      <c r="G10" s="32">
        <v>6</v>
      </c>
      <c r="H10" s="35">
        <f>IF(B$22=0,0,G10/B$22)</f>
        <v>0.12244897959183673</v>
      </c>
      <c r="J10" s="31">
        <v>8</v>
      </c>
      <c r="K10" s="36">
        <v>-51.800000000000018</v>
      </c>
    </row>
    <row r="11" spans="1:11" ht="19.5" thickTop="1" x14ac:dyDescent="0.4">
      <c r="A11" s="60" t="s">
        <v>130</v>
      </c>
      <c r="B11" s="61">
        <v>52</v>
      </c>
      <c r="C11" s="62">
        <f>IF(B$21=0,0,B11/B$21)</f>
        <v>0.33766233766233766</v>
      </c>
      <c r="E11" s="34" t="s">
        <v>96</v>
      </c>
      <c r="F11" s="1" t="s">
        <v>49</v>
      </c>
      <c r="G11" s="32">
        <v>5</v>
      </c>
      <c r="H11" s="35">
        <f>IF(B$22=0,0,G11/B$22)</f>
        <v>0.10204081632653061</v>
      </c>
      <c r="J11" s="31">
        <v>9</v>
      </c>
      <c r="K11" s="36">
        <v>-53.000000000000021</v>
      </c>
    </row>
    <row r="12" spans="1:11" x14ac:dyDescent="0.4">
      <c r="A12" s="31" t="s">
        <v>125</v>
      </c>
      <c r="B12" s="32">
        <v>41</v>
      </c>
      <c r="C12" s="35">
        <f>IF(B$21=0,0,B12/B$21)</f>
        <v>0.26623376623376621</v>
      </c>
      <c r="E12" s="34" t="s">
        <v>77</v>
      </c>
      <c r="F12" s="1" t="s">
        <v>30</v>
      </c>
      <c r="G12" s="32">
        <v>4</v>
      </c>
      <c r="H12" s="35">
        <f>IF(B$22=0,0,G12/B$22)</f>
        <v>8.1632653061224483E-2</v>
      </c>
      <c r="J12" s="31">
        <v>10</v>
      </c>
      <c r="K12" s="36">
        <v>-72.300000000000026</v>
      </c>
    </row>
    <row r="13" spans="1:11" x14ac:dyDescent="0.4">
      <c r="A13" s="25" t="s">
        <v>132</v>
      </c>
      <c r="B13" s="26">
        <v>31</v>
      </c>
      <c r="C13" s="29">
        <f>IF(B$11=0,0,B13/B$11)</f>
        <v>0.59615384615384615</v>
      </c>
      <c r="E13" s="34" t="s">
        <v>93</v>
      </c>
      <c r="F13" s="1" t="s">
        <v>46</v>
      </c>
      <c r="G13" s="32">
        <v>4</v>
      </c>
      <c r="H13" s="35">
        <f>IF(B$22=0,0,G13/B$22)</f>
        <v>8.1632653061224483E-2</v>
      </c>
      <c r="J13" s="31">
        <v>11</v>
      </c>
      <c r="K13" s="36">
        <v>-91.600000000000023</v>
      </c>
    </row>
    <row r="14" spans="1:11" x14ac:dyDescent="0.4">
      <c r="A14" s="25" t="s">
        <v>133</v>
      </c>
      <c r="B14" s="26">
        <v>15</v>
      </c>
      <c r="C14" s="29">
        <f>IF(B$12=0,0,B14/B$12)</f>
        <v>0.36585365853658536</v>
      </c>
      <c r="E14" s="34" t="s">
        <v>80</v>
      </c>
      <c r="F14" s="1" t="s">
        <v>33</v>
      </c>
      <c r="G14" s="32">
        <v>1</v>
      </c>
      <c r="H14" s="35">
        <f>IF(B$22=0,0,G14/B$22)</f>
        <v>2.0408163265306121E-2</v>
      </c>
      <c r="J14" s="31">
        <v>12</v>
      </c>
      <c r="K14" s="36">
        <v>-88.600000000000023</v>
      </c>
    </row>
    <row r="15" spans="1:11" x14ac:dyDescent="0.4">
      <c r="A15" s="25" t="s">
        <v>10</v>
      </c>
      <c r="B15" s="26">
        <f>B16+B17</f>
        <v>87</v>
      </c>
      <c r="C15" s="29">
        <f>IF(B$3=0,0,B15/B$3)</f>
        <v>0.30313588850174217</v>
      </c>
      <c r="E15" s="34" t="s">
        <v>84</v>
      </c>
      <c r="F15" s="1" t="s">
        <v>37</v>
      </c>
      <c r="G15" s="32">
        <v>1</v>
      </c>
      <c r="H15" s="35">
        <f>IF(B$22=0,0,G15/B$22)</f>
        <v>2.0408163265306121E-2</v>
      </c>
      <c r="J15" s="31">
        <v>13</v>
      </c>
      <c r="K15" s="36">
        <v>-73.100000000000023</v>
      </c>
    </row>
    <row r="16" spans="1:11" x14ac:dyDescent="0.4">
      <c r="A16" s="31" t="s">
        <v>11</v>
      </c>
      <c r="B16" s="32">
        <v>51</v>
      </c>
      <c r="C16" s="35">
        <f>IF(B$3=0,0,B16/B$3)</f>
        <v>0.17770034843205576</v>
      </c>
      <c r="E16" s="34" t="s">
        <v>98</v>
      </c>
      <c r="F16" s="1" t="s">
        <v>51</v>
      </c>
      <c r="G16" s="32">
        <v>1</v>
      </c>
      <c r="H16" s="35">
        <f>IF(B$22=0,0,G16/B$22)</f>
        <v>2.0408163265306121E-2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36</v>
      </c>
      <c r="C17" s="35">
        <f>IF(B$3=0,0,B17/B$3)</f>
        <v>0.12543554006968641</v>
      </c>
      <c r="E17" s="34" t="s">
        <v>79</v>
      </c>
      <c r="F17" s="1" t="s">
        <v>32</v>
      </c>
      <c r="G17" s="32">
        <v>0</v>
      </c>
      <c r="H17" s="35">
        <f>IF(B$22=0,0,G17/B$22)</f>
        <v>0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47</v>
      </c>
      <c r="C18" s="35">
        <f>IF(B$3=0,0,B18/B$3)</f>
        <v>0.16376306620209058</v>
      </c>
      <c r="E18" s="34" t="s">
        <v>81</v>
      </c>
      <c r="F18" s="1" t="s">
        <v>34</v>
      </c>
      <c r="G18" s="32">
        <v>0</v>
      </c>
      <c r="H18" s="35">
        <f>IF(B$22=0,0,G18/B$22)</f>
        <v>0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IF(B$15=0,0,ROUND(C19/B$15,-2))</f>
        <v>10600</v>
      </c>
      <c r="C19" s="50">
        <v>924500</v>
      </c>
      <c r="E19" s="34" t="s">
        <v>82</v>
      </c>
      <c r="F19" s="1" t="s">
        <v>35</v>
      </c>
      <c r="G19" s="32">
        <v>0</v>
      </c>
      <c r="H19" s="35">
        <f>IF(B$22=0,0,G19/B$22)</f>
        <v>0</v>
      </c>
      <c r="J19" s="31">
        <v>17</v>
      </c>
      <c r="K19" s="36">
        <v>40.09999999999998</v>
      </c>
    </row>
    <row r="20" spans="1:11" ht="19.5" thickBot="1" x14ac:dyDescent="0.45">
      <c r="A20" s="51" t="s">
        <v>14</v>
      </c>
      <c r="B20" s="52">
        <f>IF(B$18=0,0,ROUND(C20/B$18,-2))</f>
        <v>-9800</v>
      </c>
      <c r="C20" s="58">
        <v>-458700</v>
      </c>
      <c r="E20" s="34" t="s">
        <v>83</v>
      </c>
      <c r="F20" s="1" t="s">
        <v>36</v>
      </c>
      <c r="G20" s="32">
        <v>0</v>
      </c>
      <c r="H20" s="35">
        <f>IF(B$22=0,0,G20/B$22)</f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128</v>
      </c>
      <c r="B21" s="48">
        <v>154</v>
      </c>
      <c r="C21" s="29"/>
      <c r="E21" s="34" t="s">
        <v>85</v>
      </c>
      <c r="F21" s="1" t="s">
        <v>38</v>
      </c>
      <c r="G21" s="32">
        <v>0</v>
      </c>
      <c r="H21" s="35">
        <f>IF(B$22=0,0,G21/B$22)</f>
        <v>0</v>
      </c>
      <c r="J21" s="31">
        <v>19</v>
      </c>
      <c r="K21" s="36">
        <v>103.79999999999998</v>
      </c>
    </row>
    <row r="22" spans="1:11" x14ac:dyDescent="0.4">
      <c r="A22" s="51" t="s">
        <v>129</v>
      </c>
      <c r="B22" s="54">
        <v>49</v>
      </c>
      <c r="C22" s="55"/>
      <c r="E22" s="34" t="s">
        <v>86</v>
      </c>
      <c r="F22" s="1" t="s">
        <v>39</v>
      </c>
      <c r="G22" s="32">
        <v>0</v>
      </c>
      <c r="H22" s="35">
        <f>IF(B$22=0,0,G22/B$22)</f>
        <v>0</v>
      </c>
      <c r="J22" s="31">
        <v>20</v>
      </c>
      <c r="K22" s="36">
        <v>106.89999999999998</v>
      </c>
    </row>
    <row r="23" spans="1:11" x14ac:dyDescent="0.4">
      <c r="E23" s="34" t="s">
        <v>87</v>
      </c>
      <c r="F23" s="1" t="s">
        <v>40</v>
      </c>
      <c r="G23" s="32">
        <v>0</v>
      </c>
      <c r="H23" s="35">
        <f>IF(B$22=0,0,G23/B$22)</f>
        <v>0</v>
      </c>
      <c r="J23" s="31">
        <v>21</v>
      </c>
      <c r="K23" s="36">
        <v>108.09999999999998</v>
      </c>
    </row>
    <row r="24" spans="1:11" x14ac:dyDescent="0.4">
      <c r="E24" s="34" t="s">
        <v>88</v>
      </c>
      <c r="F24" s="1" t="s">
        <v>41</v>
      </c>
      <c r="G24" s="32">
        <v>0</v>
      </c>
      <c r="H24" s="35">
        <f>IF(B$22=0,0,G24/B$22)</f>
        <v>0</v>
      </c>
      <c r="J24" s="31">
        <v>22</v>
      </c>
      <c r="K24" s="36">
        <v>110.89999999999998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>IF(B$22=0,0,G25/B$22)</f>
        <v>0</v>
      </c>
      <c r="J25" s="31">
        <v>23</v>
      </c>
      <c r="K25" s="36">
        <v>155.49999999999997</v>
      </c>
    </row>
    <row r="26" spans="1:11" x14ac:dyDescent="0.4">
      <c r="E26" s="34" t="s">
        <v>90</v>
      </c>
      <c r="F26" s="1" t="s">
        <v>43</v>
      </c>
      <c r="G26" s="32">
        <v>0</v>
      </c>
      <c r="H26" s="35">
        <f>IF(B$22=0,0,G26/B$22)</f>
        <v>0</v>
      </c>
      <c r="J26" s="31">
        <v>24</v>
      </c>
      <c r="K26" s="36">
        <v>154.09999999999997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IF(B$22=0,0,G27/B$22)</f>
        <v>0</v>
      </c>
      <c r="J27" s="31">
        <v>25</v>
      </c>
      <c r="K27" s="36">
        <v>114.39999999999996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IF(B$22=0,0,G28/B$22)</f>
        <v>0</v>
      </c>
      <c r="J28" s="31">
        <v>26</v>
      </c>
      <c r="K28" s="36">
        <v>98.599999999999966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IF(B$22=0,0,G29/B$22)</f>
        <v>0</v>
      </c>
      <c r="J29" s="31">
        <v>27</v>
      </c>
      <c r="K29" s="36">
        <v>109.89999999999996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IF(B$22=0,0,G30/B$22)</f>
        <v>0</v>
      </c>
      <c r="J30" s="31">
        <v>28</v>
      </c>
      <c r="K30" s="36">
        <v>65.899999999999963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IF(B$22=0,0,G31/B$22)</f>
        <v>0</v>
      </c>
      <c r="J31" s="31">
        <v>29</v>
      </c>
      <c r="K31" s="36">
        <v>24.899999999999963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  <c r="J32" s="31">
        <v>30</v>
      </c>
      <c r="K32" s="36">
        <v>14.099999999999962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29.69999999999996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-13.700000000000038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-13.000000000000039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-0.80000000000003979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-38.100000000000037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  <c r="J38" s="31">
        <v>36</v>
      </c>
      <c r="K38" s="36">
        <v>10.899999999999963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  <c r="J39" s="31">
        <v>37</v>
      </c>
      <c r="K39" s="36">
        <v>-2.9000000000000377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  <c r="J40" s="31">
        <v>38</v>
      </c>
      <c r="K40" s="36">
        <v>38.099999999999966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  <c r="J41" s="31">
        <v>39</v>
      </c>
      <c r="K41" s="36">
        <v>34.699999999999967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3B03-A515-4622-A1B0-A45D25E56828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195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12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74</v>
      </c>
      <c r="F7" s="1" t="s">
        <v>12</v>
      </c>
      <c r="G7" s="32">
        <v>0</v>
      </c>
      <c r="H7" s="35">
        <f>IF(B$22=0,0,G7/B$22)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75</v>
      </c>
      <c r="F8" s="1" t="s">
        <v>28</v>
      </c>
      <c r="G8" s="32">
        <v>0</v>
      </c>
      <c r="H8" s="35">
        <f>IF(B$22=0,0,G8/B$22)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76</v>
      </c>
      <c r="F9" s="1" t="s">
        <v>29</v>
      </c>
      <c r="G9" s="32">
        <v>0</v>
      </c>
      <c r="H9" s="35">
        <f>IF(B$22=0,0,G9/B$22)</f>
        <v>0</v>
      </c>
      <c r="J9" s="31">
        <v>7</v>
      </c>
      <c r="K9" s="36">
        <v>40</v>
      </c>
    </row>
    <row r="10" spans="1:11" ht="19.5" thickBot="1" x14ac:dyDescent="0.45">
      <c r="A10" s="44" t="s">
        <v>21</v>
      </c>
      <c r="B10" s="45">
        <v>3</v>
      </c>
      <c r="C10" s="46">
        <f>IF(B$2=0,0,B10/B$2)</f>
        <v>0.25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  <c r="J10" s="31">
        <v>8</v>
      </c>
      <c r="K10" s="36">
        <v>4.2000000000000028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  <c r="J11" s="31">
        <v>9</v>
      </c>
      <c r="K11" s="36">
        <v>6.8000000000000025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  <c r="J12" s="31">
        <v>10</v>
      </c>
      <c r="K12" s="36">
        <v>56.800000000000004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  <c r="J13" s="31">
        <v>11</v>
      </c>
      <c r="K13" s="36">
        <v>69.300000000000011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  <c r="J14" s="31">
        <v>12</v>
      </c>
      <c r="K14" s="36">
        <v>80.800000000000011</v>
      </c>
    </row>
    <row r="15" spans="1:11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10900</v>
      </c>
      <c r="C19" s="50">
        <v>304000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-9900</v>
      </c>
      <c r="C20" s="58">
        <v>-109200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CFE3-535E-4559-84DE-C3E39C453180}">
  <sheetPr codeName="Sheet1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196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25</v>
      </c>
      <c r="C2" s="27"/>
      <c r="E2" s="28" t="s">
        <v>73</v>
      </c>
      <c r="F2" s="10" t="s">
        <v>27</v>
      </c>
      <c r="G2" s="26">
        <v>41</v>
      </c>
      <c r="H2" s="29">
        <f>IF(B$22=0,0,G2/B$22)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78</v>
      </c>
      <c r="F3" s="1" t="s">
        <v>31</v>
      </c>
      <c r="G3" s="32">
        <v>38</v>
      </c>
      <c r="H3" s="35">
        <f>IF(B$22=0,0,G3/B$22)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71</v>
      </c>
      <c r="F4" s="1" t="s">
        <v>25</v>
      </c>
      <c r="G4" s="32">
        <v>27</v>
      </c>
      <c r="H4" s="35">
        <f>IF(B$22=0,0,G4/B$22)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69</v>
      </c>
      <c r="F5" s="1" t="s">
        <v>23</v>
      </c>
      <c r="G5" s="32">
        <v>23</v>
      </c>
      <c r="H5" s="35">
        <f>IF(B$22=0,0,G5/B$22)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74</v>
      </c>
      <c r="F6" s="1" t="s">
        <v>12</v>
      </c>
      <c r="G6" s="32">
        <v>17</v>
      </c>
      <c r="H6" s="35">
        <f>IF(B$22=0,0,G6/B$22)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72</v>
      </c>
      <c r="F7" s="1" t="s">
        <v>26</v>
      </c>
      <c r="G7" s="32">
        <v>14</v>
      </c>
      <c r="H7" s="35">
        <f>IF(B$22=0,0,G7/B$22)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96</v>
      </c>
      <c r="F8" s="1" t="s">
        <v>49</v>
      </c>
      <c r="G8" s="32">
        <v>8</v>
      </c>
      <c r="H8" s="35">
        <f>IF(B$22=0,0,G8/B$22)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75</v>
      </c>
      <c r="F9" s="1" t="s">
        <v>28</v>
      </c>
      <c r="G9" s="32">
        <v>7</v>
      </c>
      <c r="H9" s="35">
        <f>IF(B$22=0,0,G9/B$22)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0.28000000000000003</v>
      </c>
      <c r="E10" s="34" t="s">
        <v>76</v>
      </c>
      <c r="F10" s="1" t="s">
        <v>29</v>
      </c>
      <c r="G10" s="32">
        <v>4</v>
      </c>
      <c r="H10" s="35">
        <f>IF(B$22=0,0,G10/B$22)</f>
        <v>9.0909090909090912E-2</v>
      </c>
      <c r="J10" s="31">
        <v>8</v>
      </c>
      <c r="K10" s="36">
        <v>-146</v>
      </c>
    </row>
    <row r="11" spans="1:11" ht="19.5" thickTop="1" x14ac:dyDescent="0.4">
      <c r="A11" s="60" t="s">
        <v>130</v>
      </c>
      <c r="B11" s="61">
        <v>39</v>
      </c>
      <c r="C11" s="62">
        <f>IF(B$21=0,0,B11/B$21)</f>
        <v>0.24223602484472051</v>
      </c>
      <c r="E11" s="34" t="s">
        <v>84</v>
      </c>
      <c r="F11" s="1" t="s">
        <v>37</v>
      </c>
      <c r="G11" s="32">
        <v>4</v>
      </c>
      <c r="H11" s="35">
        <f>IF(B$22=0,0,G11/B$22)</f>
        <v>9.0909090909090912E-2</v>
      </c>
      <c r="J11" s="31">
        <v>9</v>
      </c>
      <c r="K11" s="36">
        <v>-173</v>
      </c>
    </row>
    <row r="12" spans="1:11" x14ac:dyDescent="0.4">
      <c r="A12" s="31" t="s">
        <v>125</v>
      </c>
      <c r="B12" s="32">
        <v>37</v>
      </c>
      <c r="C12" s="35">
        <f>IF(B$21=0,0,B12/B$21)</f>
        <v>0.22981366459627328</v>
      </c>
      <c r="E12" s="34" t="s">
        <v>70</v>
      </c>
      <c r="F12" s="1" t="s">
        <v>24</v>
      </c>
      <c r="G12" s="32">
        <v>3</v>
      </c>
      <c r="H12" s="35">
        <f>IF(B$22=0,0,G12/B$22)</f>
        <v>6.8181818181818177E-2</v>
      </c>
      <c r="J12" s="31">
        <v>10</v>
      </c>
      <c r="K12" s="36">
        <v>-206.1</v>
      </c>
    </row>
    <row r="13" spans="1:11" x14ac:dyDescent="0.4">
      <c r="A13" s="25" t="s">
        <v>132</v>
      </c>
      <c r="B13" s="26">
        <v>24</v>
      </c>
      <c r="C13" s="29">
        <f>IF(B$11=0,0,B13/B$11)</f>
        <v>0.61538461538461542</v>
      </c>
      <c r="E13" s="34" t="s">
        <v>79</v>
      </c>
      <c r="F13" s="1" t="s">
        <v>32</v>
      </c>
      <c r="G13" s="32">
        <v>2</v>
      </c>
      <c r="H13" s="35">
        <f>IF(B$22=0,0,G13/B$22)</f>
        <v>4.5454545454545456E-2</v>
      </c>
      <c r="J13" s="31">
        <v>11</v>
      </c>
      <c r="K13" s="36">
        <v>-174</v>
      </c>
    </row>
    <row r="14" spans="1:11" x14ac:dyDescent="0.4">
      <c r="A14" s="25" t="s">
        <v>133</v>
      </c>
      <c r="B14" s="26">
        <v>14</v>
      </c>
      <c r="C14" s="29">
        <f>IF(B$12=0,0,B14/B$12)</f>
        <v>0.3783783783783784</v>
      </c>
      <c r="E14" s="34" t="s">
        <v>90</v>
      </c>
      <c r="F14" s="1" t="s">
        <v>43</v>
      </c>
      <c r="G14" s="32">
        <v>2</v>
      </c>
      <c r="H14" s="35">
        <f>IF(B$22=0,0,G14/B$22)</f>
        <v>4.5454545454545456E-2</v>
      </c>
      <c r="J14" s="31">
        <v>12</v>
      </c>
      <c r="K14" s="36">
        <v>-197</v>
      </c>
    </row>
    <row r="15" spans="1:11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81</v>
      </c>
      <c r="F15" s="1" t="s">
        <v>34</v>
      </c>
      <c r="G15" s="32">
        <v>1</v>
      </c>
      <c r="H15" s="35">
        <f>IF(B$22=0,0,G15/B$22)</f>
        <v>2.2727272727272728E-2</v>
      </c>
      <c r="J15" s="31">
        <v>13</v>
      </c>
      <c r="K15" s="36">
        <v>-235</v>
      </c>
    </row>
    <row r="16" spans="1:11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88</v>
      </c>
      <c r="F16" s="1" t="s">
        <v>41</v>
      </c>
      <c r="G16" s="32">
        <v>1</v>
      </c>
      <c r="H16" s="35">
        <f>IF(B$22=0,0,G16/B$22)</f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93</v>
      </c>
      <c r="F17" s="1" t="s">
        <v>46</v>
      </c>
      <c r="G17" s="32">
        <v>1</v>
      </c>
      <c r="H17" s="35">
        <f>IF(B$22=0,0,G17/B$22)</f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100</v>
      </c>
      <c r="F18" s="1" t="s">
        <v>53</v>
      </c>
      <c r="G18" s="32">
        <v>1</v>
      </c>
      <c r="H18" s="35">
        <f>IF(B$22=0,0,G18/B$22)</f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IF(B$15=0,0,ROUND(C19/B$15,-2))</f>
        <v>10700</v>
      </c>
      <c r="C19" s="50">
        <v>579400</v>
      </c>
      <c r="E19" s="34" t="s">
        <v>77</v>
      </c>
      <c r="F19" s="1" t="s">
        <v>30</v>
      </c>
      <c r="G19" s="32">
        <v>0</v>
      </c>
      <c r="H19" s="35">
        <f>IF(B$22=0,0,G19/B$22)</f>
        <v>0</v>
      </c>
      <c r="J19" s="31">
        <v>17</v>
      </c>
      <c r="K19" s="36">
        <v>-268.7</v>
      </c>
    </row>
    <row r="20" spans="1:11" ht="19.5" thickBot="1" x14ac:dyDescent="0.45">
      <c r="A20" s="51" t="s">
        <v>14</v>
      </c>
      <c r="B20" s="52">
        <f>IF(B$18=0,0,ROUND(C20/B$18,-2))</f>
        <v>-9700</v>
      </c>
      <c r="C20" s="58">
        <v>-397600</v>
      </c>
      <c r="E20" s="34" t="s">
        <v>80</v>
      </c>
      <c r="F20" s="1" t="s">
        <v>33</v>
      </c>
      <c r="G20" s="32">
        <v>0</v>
      </c>
      <c r="H20" s="35">
        <f>IF(B$22=0,0,G20/B$22)</f>
        <v>0</v>
      </c>
      <c r="J20" s="31">
        <v>18</v>
      </c>
      <c r="K20" s="36">
        <v>-295.8</v>
      </c>
    </row>
    <row r="21" spans="1:11" ht="19.5" thickTop="1" x14ac:dyDescent="0.4">
      <c r="A21" s="47" t="s">
        <v>128</v>
      </c>
      <c r="B21" s="48">
        <v>161</v>
      </c>
      <c r="C21" s="29"/>
      <c r="E21" s="34" t="s">
        <v>82</v>
      </c>
      <c r="F21" s="1" t="s">
        <v>35</v>
      </c>
      <c r="G21" s="32">
        <v>0</v>
      </c>
      <c r="H21" s="35">
        <f>IF(B$22=0,0,G21/B$22)</f>
        <v>0</v>
      </c>
      <c r="J21" s="31">
        <v>19</v>
      </c>
      <c r="K21" s="36">
        <v>-273.2</v>
      </c>
    </row>
    <row r="22" spans="1:11" x14ac:dyDescent="0.4">
      <c r="A22" s="51" t="s">
        <v>129</v>
      </c>
      <c r="B22" s="54">
        <v>44</v>
      </c>
      <c r="C22" s="55"/>
      <c r="E22" s="34" t="s">
        <v>83</v>
      </c>
      <c r="F22" s="1" t="s">
        <v>36</v>
      </c>
      <c r="G22" s="32">
        <v>0</v>
      </c>
      <c r="H22" s="35">
        <f>IF(B$22=0,0,G22/B$22)</f>
        <v>0</v>
      </c>
      <c r="J22" s="31">
        <v>20</v>
      </c>
      <c r="K22" s="36">
        <v>-270</v>
      </c>
    </row>
    <row r="23" spans="1:11" x14ac:dyDescent="0.4">
      <c r="E23" s="34" t="s">
        <v>85</v>
      </c>
      <c r="F23" s="1" t="s">
        <v>38</v>
      </c>
      <c r="G23" s="32">
        <v>0</v>
      </c>
      <c r="H23" s="35">
        <f>IF(B$22=0,0,G23/B$22)</f>
        <v>0</v>
      </c>
      <c r="J23" s="31">
        <v>21</v>
      </c>
      <c r="K23" s="36">
        <v>-242</v>
      </c>
    </row>
    <row r="24" spans="1:11" x14ac:dyDescent="0.4">
      <c r="E24" s="34" t="s">
        <v>86</v>
      </c>
      <c r="F24" s="1" t="s">
        <v>39</v>
      </c>
      <c r="G24" s="32">
        <v>0</v>
      </c>
      <c r="H24" s="35">
        <f>IF(B$22=0,0,G24/B$22)</f>
        <v>0</v>
      </c>
      <c r="J24" s="31">
        <v>22</v>
      </c>
      <c r="K24" s="36">
        <v>-202.9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IF(B$22=0,0,G25/B$22)</f>
        <v>0</v>
      </c>
      <c r="J25" s="31">
        <v>23</v>
      </c>
      <c r="K25" s="36">
        <v>-200.9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IF(B$22=0,0,G26/B$22)</f>
        <v>0</v>
      </c>
      <c r="J26" s="31">
        <v>24</v>
      </c>
      <c r="K26" s="36">
        <v>-168.2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IF(B$22=0,0,G27/B$22)</f>
        <v>0</v>
      </c>
      <c r="J27" s="31">
        <v>25</v>
      </c>
      <c r="K27" s="36">
        <v>-216.89999999999998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IF(B$22=0,0,G28/B$22)</f>
        <v>0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IF(B$22=0,0,G29/B$22)</f>
        <v>0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IF(B$22=0,0,G30/B$22)</f>
        <v>0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IF(B$22=0,0,G31/B$22)</f>
        <v>0</v>
      </c>
    </row>
    <row r="32" spans="1:11" x14ac:dyDescent="0.4">
      <c r="E32" s="34" t="s">
        <v>98</v>
      </c>
      <c r="F32" s="1" t="s">
        <v>51</v>
      </c>
      <c r="G32" s="32">
        <v>0</v>
      </c>
      <c r="H32" s="35">
        <f>IF(B$22=0,0,G32/B$22)</f>
        <v>0</v>
      </c>
    </row>
    <row r="33" spans="5:8" x14ac:dyDescent="0.4">
      <c r="E33" s="34" t="s">
        <v>99</v>
      </c>
      <c r="F33" s="1" t="s">
        <v>52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/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0</v>
      </c>
      <c r="C2" s="27"/>
      <c r="E2" s="28" t="s">
        <v>69</v>
      </c>
      <c r="F2" s="10" t="s">
        <v>23</v>
      </c>
      <c r="G2" s="26">
        <v>0</v>
      </c>
      <c r="H2" s="29">
        <f t="shared" ref="H2:H51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</row>
    <row r="4" spans="1:11" x14ac:dyDescent="0.4">
      <c r="A4" s="31" t="s">
        <v>6</v>
      </c>
      <c r="B4" s="37">
        <v>0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IF(B$15=0,0,ROUND(C19/B$15,-2))</f>
        <v>0</v>
      </c>
      <c r="C19" s="50">
        <v>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IF(B$18=0,0,ROUND(C20/B$18,-2))</f>
        <v>0</v>
      </c>
      <c r="C20" s="58">
        <v>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si="0"/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0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0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0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0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0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0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0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0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0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0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0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0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0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0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0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0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29"/>
  <sheetViews>
    <sheetView workbookViewId="0"/>
  </sheetViews>
  <sheetFormatPr defaultRowHeight="18.75" x14ac:dyDescent="0.4"/>
  <cols>
    <col min="1" max="1" width="16.375" style="68" bestFit="1" customWidth="1"/>
    <col min="2" max="2" width="16.875" style="71" bestFit="1" customWidth="1"/>
    <col min="3" max="3" width="9" style="74"/>
    <col min="4" max="16384" width="9" style="63"/>
  </cols>
  <sheetData>
    <row r="1" spans="1:14" s="65" customFormat="1" x14ac:dyDescent="0.4">
      <c r="A1" s="66" t="s">
        <v>186</v>
      </c>
      <c r="B1" s="69" t="s">
        <v>187</v>
      </c>
      <c r="C1" s="72" t="s">
        <v>188</v>
      </c>
    </row>
    <row r="2" spans="1:14" s="64" customFormat="1" x14ac:dyDescent="0.4">
      <c r="A2" s="67" t="s">
        <v>136</v>
      </c>
      <c r="B2" s="70">
        <v>43454.62740740741</v>
      </c>
      <c r="C2" s="73" t="s">
        <v>174</v>
      </c>
    </row>
    <row r="3" spans="1:14" x14ac:dyDescent="0.4">
      <c r="A3" s="68" t="s">
        <v>140</v>
      </c>
      <c r="B3" s="71">
        <v>43454.62740740741</v>
      </c>
      <c r="C3" s="74" t="s">
        <v>174</v>
      </c>
    </row>
    <row r="4" spans="1:14" x14ac:dyDescent="0.4">
      <c r="A4" s="68" t="s">
        <v>143</v>
      </c>
      <c r="B4" s="71">
        <v>43454.62740740741</v>
      </c>
      <c r="C4" s="74" t="s">
        <v>174</v>
      </c>
    </row>
    <row r="5" spans="1:14" x14ac:dyDescent="0.4">
      <c r="A5" s="68" t="s">
        <v>144</v>
      </c>
      <c r="B5" s="71">
        <v>43454.62740740741</v>
      </c>
      <c r="C5" s="74" t="s">
        <v>174</v>
      </c>
      <c r="D5" s="63" t="s">
        <v>175</v>
      </c>
      <c r="E5" s="63" t="s">
        <v>176</v>
      </c>
      <c r="F5" s="63" t="s">
        <v>177</v>
      </c>
      <c r="G5" s="63" t="s">
        <v>178</v>
      </c>
    </row>
    <row r="6" spans="1:14" x14ac:dyDescent="0.4">
      <c r="A6" s="68" t="s">
        <v>146</v>
      </c>
      <c r="B6" s="71">
        <v>43454.62740740741</v>
      </c>
      <c r="C6" s="74" t="s">
        <v>174</v>
      </c>
    </row>
    <row r="7" spans="1:14" x14ac:dyDescent="0.4">
      <c r="A7" s="68" t="s">
        <v>147</v>
      </c>
      <c r="B7" s="71">
        <v>43454.62740740741</v>
      </c>
      <c r="C7" s="74" t="s">
        <v>174</v>
      </c>
      <c r="D7" s="63" t="s">
        <v>175</v>
      </c>
      <c r="E7" s="63" t="s">
        <v>176</v>
      </c>
    </row>
    <row r="8" spans="1:14" x14ac:dyDescent="0.4">
      <c r="A8" s="68" t="s">
        <v>150</v>
      </c>
      <c r="B8" s="71">
        <v>43454.62740740741</v>
      </c>
      <c r="C8" s="74" t="s">
        <v>174</v>
      </c>
      <c r="D8" s="63" t="s">
        <v>175</v>
      </c>
    </row>
    <row r="9" spans="1:14" x14ac:dyDescent="0.4">
      <c r="A9" s="68" t="s">
        <v>151</v>
      </c>
      <c r="B9" s="71">
        <v>43454.62740740741</v>
      </c>
      <c r="C9" s="74" t="s">
        <v>174</v>
      </c>
      <c r="D9" s="63" t="s">
        <v>175</v>
      </c>
      <c r="E9" s="63" t="s">
        <v>176</v>
      </c>
      <c r="F9" s="63" t="s">
        <v>177</v>
      </c>
    </row>
    <row r="10" spans="1:14" x14ac:dyDescent="0.4">
      <c r="A10" s="68" t="s">
        <v>152</v>
      </c>
      <c r="B10" s="71">
        <v>43454.62740740741</v>
      </c>
      <c r="C10" s="74" t="s">
        <v>174</v>
      </c>
      <c r="D10" s="63" t="s">
        <v>175</v>
      </c>
      <c r="E10" s="63" t="s">
        <v>176</v>
      </c>
    </row>
    <row r="11" spans="1:14" x14ac:dyDescent="0.4">
      <c r="A11" s="68" t="s">
        <v>153</v>
      </c>
      <c r="B11" s="71">
        <v>43454.62740740741</v>
      </c>
      <c r="C11" s="74" t="s">
        <v>174</v>
      </c>
      <c r="D11" s="63" t="s">
        <v>175</v>
      </c>
      <c r="E11" s="63" t="s">
        <v>176</v>
      </c>
      <c r="F11" s="63" t="s">
        <v>177</v>
      </c>
      <c r="G11" s="63" t="s">
        <v>178</v>
      </c>
      <c r="H11" s="63" t="s">
        <v>179</v>
      </c>
      <c r="I11" s="63" t="s">
        <v>180</v>
      </c>
    </row>
    <row r="12" spans="1:14" x14ac:dyDescent="0.4">
      <c r="A12" s="68" t="s">
        <v>154</v>
      </c>
      <c r="B12" s="71">
        <v>43454.62740740741</v>
      </c>
      <c r="C12" s="74" t="s">
        <v>174</v>
      </c>
      <c r="D12" s="63" t="s">
        <v>175</v>
      </c>
    </row>
    <row r="13" spans="1:14" x14ac:dyDescent="0.4">
      <c r="A13" s="68" t="s">
        <v>155</v>
      </c>
      <c r="B13" s="71">
        <v>43454.62740740741</v>
      </c>
      <c r="C13" s="74" t="s">
        <v>174</v>
      </c>
      <c r="D13" s="63" t="s">
        <v>175</v>
      </c>
      <c r="E13" s="63" t="s">
        <v>176</v>
      </c>
      <c r="F13" s="63" t="s">
        <v>177</v>
      </c>
      <c r="G13" s="63" t="s">
        <v>178</v>
      </c>
      <c r="H13" s="63" t="s">
        <v>179</v>
      </c>
      <c r="I13" s="63" t="s">
        <v>180</v>
      </c>
      <c r="J13" s="63" t="s">
        <v>181</v>
      </c>
      <c r="K13" s="63" t="s">
        <v>182</v>
      </c>
      <c r="L13" s="63" t="s">
        <v>183</v>
      </c>
      <c r="M13" s="63" t="s">
        <v>184</v>
      </c>
      <c r="N13" s="63" t="s">
        <v>185</v>
      </c>
    </row>
    <row r="14" spans="1:14" x14ac:dyDescent="0.4">
      <c r="A14" s="68" t="s">
        <v>157</v>
      </c>
      <c r="B14" s="71">
        <v>43454.62740740741</v>
      </c>
      <c r="C14" s="74" t="s">
        <v>174</v>
      </c>
      <c r="D14" s="63" t="s">
        <v>175</v>
      </c>
      <c r="E14" s="63" t="s">
        <v>176</v>
      </c>
    </row>
    <row r="15" spans="1:14" x14ac:dyDescent="0.4">
      <c r="A15" s="68" t="s">
        <v>158</v>
      </c>
      <c r="B15" s="71">
        <v>43454.62740740741</v>
      </c>
      <c r="C15" s="74" t="s">
        <v>174</v>
      </c>
      <c r="D15" s="63" t="s">
        <v>175</v>
      </c>
      <c r="E15" s="63" t="s">
        <v>176</v>
      </c>
    </row>
    <row r="16" spans="1:14" x14ac:dyDescent="0.4">
      <c r="A16" s="68" t="s">
        <v>159</v>
      </c>
      <c r="B16" s="71">
        <v>43454.62740740741</v>
      </c>
      <c r="C16" s="74" t="s">
        <v>174</v>
      </c>
      <c r="D16" s="63" t="s">
        <v>175</v>
      </c>
      <c r="E16" s="63" t="s">
        <v>176</v>
      </c>
    </row>
    <row r="17" spans="1:9" x14ac:dyDescent="0.4">
      <c r="A17" s="68" t="s">
        <v>161</v>
      </c>
      <c r="B17" s="71">
        <v>43454.62740740741</v>
      </c>
      <c r="C17" s="74" t="s">
        <v>174</v>
      </c>
      <c r="D17" s="63" t="s">
        <v>175</v>
      </c>
      <c r="E17" s="63" t="s">
        <v>176</v>
      </c>
      <c r="F17" s="63" t="s">
        <v>177</v>
      </c>
      <c r="G17" s="63" t="s">
        <v>178</v>
      </c>
      <c r="H17" s="63" t="s">
        <v>179</v>
      </c>
    </row>
    <row r="18" spans="1:9" x14ac:dyDescent="0.4">
      <c r="A18" s="68" t="s">
        <v>162</v>
      </c>
      <c r="B18" s="71">
        <v>43454.62740740741</v>
      </c>
      <c r="C18" s="74" t="s">
        <v>174</v>
      </c>
      <c r="D18" s="63" t="s">
        <v>175</v>
      </c>
      <c r="E18" s="63" t="s">
        <v>176</v>
      </c>
      <c r="F18" s="63" t="s">
        <v>177</v>
      </c>
      <c r="G18" s="63" t="s">
        <v>178</v>
      </c>
      <c r="H18" s="63" t="s">
        <v>179</v>
      </c>
    </row>
    <row r="19" spans="1:9" x14ac:dyDescent="0.4">
      <c r="A19" s="68" t="s">
        <v>163</v>
      </c>
      <c r="B19" s="71">
        <v>43454.62740740741</v>
      </c>
      <c r="C19" s="74" t="s">
        <v>174</v>
      </c>
      <c r="D19" s="63" t="s">
        <v>175</v>
      </c>
    </row>
    <row r="20" spans="1:9" x14ac:dyDescent="0.4">
      <c r="A20" s="68" t="s">
        <v>164</v>
      </c>
      <c r="B20" s="71">
        <v>43454.629004629627</v>
      </c>
      <c r="C20" s="74" t="s">
        <v>174</v>
      </c>
      <c r="D20" s="63" t="s">
        <v>175</v>
      </c>
      <c r="E20" s="63" t="s">
        <v>176</v>
      </c>
    </row>
    <row r="21" spans="1:9" x14ac:dyDescent="0.4">
      <c r="A21" s="68" t="s">
        <v>165</v>
      </c>
      <c r="B21" s="71">
        <v>43454.62740740741</v>
      </c>
      <c r="C21" s="74" t="s">
        <v>174</v>
      </c>
      <c r="D21" s="63" t="s">
        <v>175</v>
      </c>
      <c r="E21" s="63" t="s">
        <v>176</v>
      </c>
      <c r="F21" s="63" t="s">
        <v>177</v>
      </c>
    </row>
    <row r="22" spans="1:9" x14ac:dyDescent="0.4">
      <c r="A22" s="68" t="s">
        <v>166</v>
      </c>
      <c r="B22" s="71">
        <v>43454.62740740741</v>
      </c>
      <c r="C22" s="74" t="s">
        <v>174</v>
      </c>
      <c r="D22" s="63" t="s">
        <v>175</v>
      </c>
      <c r="E22" s="63" t="s">
        <v>176</v>
      </c>
      <c r="F22" s="63" t="s">
        <v>177</v>
      </c>
    </row>
    <row r="23" spans="1:9" x14ac:dyDescent="0.4">
      <c r="A23" s="68" t="s">
        <v>167</v>
      </c>
      <c r="B23" s="71">
        <v>43454.62740740741</v>
      </c>
      <c r="C23" s="74" t="s">
        <v>174</v>
      </c>
      <c r="D23" s="63" t="s">
        <v>175</v>
      </c>
      <c r="E23" s="63" t="s">
        <v>176</v>
      </c>
      <c r="F23" s="63" t="s">
        <v>177</v>
      </c>
      <c r="G23" s="63" t="s">
        <v>178</v>
      </c>
      <c r="H23" s="63" t="s">
        <v>179</v>
      </c>
      <c r="I23" s="63" t="s">
        <v>180</v>
      </c>
    </row>
    <row r="24" spans="1:9" x14ac:dyDescent="0.4">
      <c r="A24" s="68" t="s">
        <v>168</v>
      </c>
      <c r="B24" s="71">
        <v>43454.62740740741</v>
      </c>
      <c r="C24" s="74" t="s">
        <v>174</v>
      </c>
      <c r="D24" s="63" t="s">
        <v>175</v>
      </c>
      <c r="E24" s="63" t="s">
        <v>176</v>
      </c>
    </row>
    <row r="25" spans="1:9" x14ac:dyDescent="0.4">
      <c r="A25" s="68" t="s">
        <v>169</v>
      </c>
      <c r="B25" s="71">
        <v>43454.62740740741</v>
      </c>
      <c r="C25" s="74" t="s">
        <v>174</v>
      </c>
      <c r="D25" s="63" t="s">
        <v>175</v>
      </c>
      <c r="E25" s="63" t="s">
        <v>176</v>
      </c>
      <c r="F25" s="63" t="s">
        <v>177</v>
      </c>
      <c r="G25" s="63" t="s">
        <v>178</v>
      </c>
      <c r="H25" s="63" t="s">
        <v>179</v>
      </c>
    </row>
    <row r="26" spans="1:9" x14ac:dyDescent="0.4">
      <c r="A26" s="68" t="s">
        <v>170</v>
      </c>
      <c r="B26" s="71">
        <v>43454.62740740741</v>
      </c>
      <c r="C26" s="74" t="s">
        <v>174</v>
      </c>
      <c r="D26" s="63" t="s">
        <v>175</v>
      </c>
    </row>
    <row r="27" spans="1:9" x14ac:dyDescent="0.4">
      <c r="A27" s="68" t="s">
        <v>171</v>
      </c>
      <c r="B27" s="71">
        <v>43454.62740740741</v>
      </c>
      <c r="C27" s="74" t="s">
        <v>174</v>
      </c>
      <c r="D27" s="63" t="s">
        <v>175</v>
      </c>
    </row>
    <row r="28" spans="1:9" x14ac:dyDescent="0.4">
      <c r="A28" s="68" t="s">
        <v>172</v>
      </c>
      <c r="B28" s="71">
        <v>43454.62740740741</v>
      </c>
      <c r="C28" s="74" t="s">
        <v>174</v>
      </c>
      <c r="D28" s="63" t="s">
        <v>175</v>
      </c>
      <c r="E28" s="63" t="s">
        <v>176</v>
      </c>
      <c r="F28" s="63" t="s">
        <v>177</v>
      </c>
    </row>
    <row r="29" spans="1:9" x14ac:dyDescent="0.4">
      <c r="A29" s="68" t="s">
        <v>173</v>
      </c>
      <c r="B29" s="71">
        <v>43455.084918981483</v>
      </c>
      <c r="C29" s="74" t="s">
        <v>174</v>
      </c>
      <c r="D29" s="63" t="s">
        <v>175</v>
      </c>
      <c r="E29" s="63" t="s">
        <v>176</v>
      </c>
      <c r="F29" s="63" t="s">
        <v>177</v>
      </c>
      <c r="G29" s="63" t="s">
        <v>178</v>
      </c>
      <c r="H29" s="63" t="s">
        <v>179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2018-12-21T12:22:39Z</dcterms:modified>
</cp:coreProperties>
</file>