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915B8D6C-3E84-4755-919E-301ABB1D446B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503" r:id="rId3"/>
    <sheet name="かこたろう" sheetId="2504" r:id="rId4"/>
    <sheet name="ともき" sheetId="2505" r:id="rId5"/>
    <sheet name="りくと" sheetId="2506" r:id="rId6"/>
    <sheet name="いっしー" sheetId="2507" r:id="rId7"/>
    <sheet name="がくと" sheetId="2508" r:id="rId8"/>
    <sheet name="たかの" sheetId="2509" r:id="rId9"/>
    <sheet name="ただ" sheetId="2510" r:id="rId10"/>
    <sheet name="やがさき" sheetId="2511" r:id="rId11"/>
    <sheet name="れんたろう" sheetId="2512" r:id="rId12"/>
    <sheet name="あさひ" sheetId="2513" r:id="rId13"/>
    <sheet name="まっつん" sheetId="2514" r:id="rId14"/>
    <sheet name="Template" sheetId="2228" state="hidden" r:id="rId15"/>
    <sheet name="Cache" sheetId="2227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514" l="1"/>
  <c r="H50" i="2514"/>
  <c r="H49" i="2514"/>
  <c r="H48" i="2514"/>
  <c r="H47" i="2514"/>
  <c r="H46" i="2514"/>
  <c r="H45" i="2514"/>
  <c r="H44" i="2514"/>
  <c r="H43" i="2514"/>
  <c r="H42" i="2514"/>
  <c r="H41" i="2514"/>
  <c r="H40" i="2514"/>
  <c r="H39" i="2514"/>
  <c r="H38" i="2514"/>
  <c r="H37" i="2514"/>
  <c r="H36" i="2514"/>
  <c r="H35" i="2514"/>
  <c r="H34" i="2514"/>
  <c r="H33" i="2514"/>
  <c r="H32" i="2514"/>
  <c r="H31" i="2514"/>
  <c r="H30" i="2514"/>
  <c r="H6" i="2514"/>
  <c r="H29" i="2514"/>
  <c r="H28" i="2514"/>
  <c r="H27" i="2514"/>
  <c r="H10" i="2514"/>
  <c r="H26" i="2514"/>
  <c r="H5" i="2514"/>
  <c r="C23" i="2514"/>
  <c r="H25" i="2514"/>
  <c r="C22" i="2514"/>
  <c r="H24" i="2514"/>
  <c r="B21" i="2514"/>
  <c r="H23" i="2514"/>
  <c r="H22" i="2514"/>
  <c r="C19" i="2514"/>
  <c r="H9" i="2514"/>
  <c r="C18" i="2514"/>
  <c r="H21" i="2514"/>
  <c r="C17" i="2514"/>
  <c r="H20" i="2514"/>
  <c r="B16" i="2514"/>
  <c r="B20" i="2514" s="1"/>
  <c r="H19" i="2514"/>
  <c r="C15" i="2514"/>
  <c r="H18" i="2514"/>
  <c r="C14" i="2514"/>
  <c r="H17" i="2514"/>
  <c r="C13" i="2514"/>
  <c r="H16" i="2514"/>
  <c r="C12" i="2514"/>
  <c r="H4" i="2514"/>
  <c r="C11" i="2514"/>
  <c r="H15" i="2514"/>
  <c r="C10" i="2514"/>
  <c r="H8" i="2514"/>
  <c r="C9" i="2514"/>
  <c r="H14" i="2514"/>
  <c r="C8" i="2514"/>
  <c r="N7" i="2514"/>
  <c r="H13" i="2514"/>
  <c r="C7" i="2514"/>
  <c r="N6" i="2514"/>
  <c r="H2" i="2514"/>
  <c r="B6" i="2514"/>
  <c r="N5" i="2514"/>
  <c r="H12" i="2514"/>
  <c r="B5" i="2514"/>
  <c r="N4" i="2514"/>
  <c r="H3" i="2514"/>
  <c r="N3" i="2514"/>
  <c r="H11" i="2514"/>
  <c r="N2" i="2514"/>
  <c r="H7" i="2514"/>
  <c r="C16" i="2514" l="1"/>
  <c r="H51" i="2513" l="1"/>
  <c r="H50" i="2513"/>
  <c r="H49" i="2513"/>
  <c r="H48" i="2513"/>
  <c r="H47" i="2513"/>
  <c r="H46" i="2513"/>
  <c r="H45" i="2513"/>
  <c r="H44" i="2513"/>
  <c r="H43" i="2513"/>
  <c r="H42" i="2513"/>
  <c r="H41" i="2513"/>
  <c r="H40" i="2513"/>
  <c r="H39" i="2513"/>
  <c r="H38" i="2513"/>
  <c r="H37" i="2513"/>
  <c r="H36" i="2513"/>
  <c r="H35" i="2513"/>
  <c r="H34" i="2513"/>
  <c r="H33" i="2513"/>
  <c r="H32" i="2513"/>
  <c r="H14" i="2513"/>
  <c r="H31" i="2513"/>
  <c r="H11" i="2513"/>
  <c r="H30" i="2513"/>
  <c r="H29" i="2513"/>
  <c r="H10" i="2513"/>
  <c r="H28" i="2513"/>
  <c r="H27" i="2513"/>
  <c r="H26" i="2513"/>
  <c r="C23" i="2513"/>
  <c r="H25" i="2513"/>
  <c r="C22" i="2513"/>
  <c r="H24" i="2513"/>
  <c r="B21" i="2513"/>
  <c r="H23" i="2513"/>
  <c r="H22" i="2513"/>
  <c r="C19" i="2513"/>
  <c r="H21" i="2513"/>
  <c r="C18" i="2513"/>
  <c r="H20" i="2513"/>
  <c r="C17" i="2513"/>
  <c r="H19" i="2513"/>
  <c r="B16" i="2513"/>
  <c r="B20" i="2513" s="1"/>
  <c r="H18" i="2513"/>
  <c r="C15" i="2513"/>
  <c r="H17" i="2513"/>
  <c r="C14" i="2513"/>
  <c r="H16" i="2513"/>
  <c r="C13" i="2513"/>
  <c r="H15" i="2513"/>
  <c r="C12" i="2513"/>
  <c r="H5" i="2513"/>
  <c r="C11" i="2513"/>
  <c r="H13" i="2513"/>
  <c r="C10" i="2513"/>
  <c r="H7" i="2513"/>
  <c r="C9" i="2513"/>
  <c r="H9" i="2513"/>
  <c r="C8" i="2513"/>
  <c r="N7" i="2513"/>
  <c r="H8" i="2513"/>
  <c r="C7" i="2513"/>
  <c r="N6" i="2513"/>
  <c r="H3" i="2513"/>
  <c r="B6" i="2513"/>
  <c r="N5" i="2513"/>
  <c r="H6" i="2513"/>
  <c r="B5" i="2513"/>
  <c r="N4" i="2513"/>
  <c r="H2" i="2513"/>
  <c r="N3" i="2513"/>
  <c r="H12" i="2513"/>
  <c r="N2" i="2513"/>
  <c r="H4" i="2513"/>
  <c r="C16" i="2513" l="1"/>
  <c r="H51" i="2512" l="1"/>
  <c r="H50" i="2512"/>
  <c r="H49" i="2512"/>
  <c r="H48" i="2512"/>
  <c r="H47" i="2512"/>
  <c r="H46" i="2512"/>
  <c r="H45" i="2512"/>
  <c r="H44" i="2512"/>
  <c r="H43" i="2512"/>
  <c r="H42" i="2512"/>
  <c r="H41" i="2512"/>
  <c r="H40" i="2512"/>
  <c r="H39" i="2512"/>
  <c r="H38" i="2512"/>
  <c r="H37" i="2512"/>
  <c r="H36" i="2512"/>
  <c r="H35" i="2512"/>
  <c r="H34" i="2512"/>
  <c r="H21" i="2512"/>
  <c r="H33" i="2512"/>
  <c r="H32" i="2512"/>
  <c r="H31" i="2512"/>
  <c r="H8" i="2512"/>
  <c r="H30" i="2512"/>
  <c r="H29" i="2512"/>
  <c r="H13" i="2512"/>
  <c r="H28" i="2512"/>
  <c r="H20" i="2512"/>
  <c r="H15" i="2512"/>
  <c r="C23" i="2512"/>
  <c r="H27" i="2512"/>
  <c r="C22" i="2512"/>
  <c r="H17" i="2512"/>
  <c r="B21" i="2512"/>
  <c r="H26" i="2512"/>
  <c r="H25" i="2512"/>
  <c r="C19" i="2512"/>
  <c r="H19" i="2512"/>
  <c r="C18" i="2512"/>
  <c r="H12" i="2512"/>
  <c r="C17" i="2512"/>
  <c r="H24" i="2512"/>
  <c r="B16" i="2512"/>
  <c r="B20" i="2512" s="1"/>
  <c r="H23" i="2512"/>
  <c r="C15" i="2512"/>
  <c r="H18" i="2512"/>
  <c r="C14" i="2512"/>
  <c r="H22" i="2512"/>
  <c r="C13" i="2512"/>
  <c r="H14" i="2512"/>
  <c r="C12" i="2512"/>
  <c r="H3" i="2512"/>
  <c r="C11" i="2512"/>
  <c r="H16" i="2512"/>
  <c r="C10" i="2512"/>
  <c r="H10" i="2512"/>
  <c r="C9" i="2512"/>
  <c r="H9" i="2512"/>
  <c r="C8" i="2512"/>
  <c r="N7" i="2512"/>
  <c r="H7" i="2512"/>
  <c r="C7" i="2512"/>
  <c r="N6" i="2512"/>
  <c r="H2" i="2512"/>
  <c r="B6" i="2512"/>
  <c r="N5" i="2512"/>
  <c r="H6" i="2512"/>
  <c r="B5" i="2512"/>
  <c r="N4" i="2512"/>
  <c r="H4" i="2512"/>
  <c r="N3" i="2512"/>
  <c r="H11" i="2512"/>
  <c r="N2" i="2512"/>
  <c r="H5" i="2512"/>
  <c r="C16" i="2512" l="1"/>
  <c r="H51" i="2511"/>
  <c r="H50" i="2511"/>
  <c r="H49" i="2511"/>
  <c r="H48" i="2511"/>
  <c r="H47" i="2511"/>
  <c r="H46" i="2511"/>
  <c r="H45" i="2511"/>
  <c r="H44" i="2511"/>
  <c r="H43" i="2511"/>
  <c r="H42" i="2511"/>
  <c r="H41" i="2511"/>
  <c r="H40" i="2511"/>
  <c r="H39" i="2511"/>
  <c r="H38" i="2511"/>
  <c r="H37" i="2511"/>
  <c r="H36" i="2511"/>
  <c r="H35" i="2511"/>
  <c r="H34" i="2511"/>
  <c r="H33" i="2511"/>
  <c r="H32" i="2511"/>
  <c r="H31" i="2511"/>
  <c r="H30" i="2511"/>
  <c r="H29" i="2511"/>
  <c r="H28" i="2511"/>
  <c r="H27" i="2511"/>
  <c r="H26" i="2511"/>
  <c r="H25" i="2511"/>
  <c r="H24" i="2511"/>
  <c r="H23" i="2511"/>
  <c r="C23" i="2511"/>
  <c r="H22" i="2511"/>
  <c r="C22" i="2511"/>
  <c r="H21" i="2511"/>
  <c r="B21" i="2511"/>
  <c r="H20" i="2511"/>
  <c r="H19" i="2511"/>
  <c r="C19" i="2511"/>
  <c r="H18" i="2511"/>
  <c r="C18" i="2511"/>
  <c r="H17" i="2511"/>
  <c r="C17" i="2511"/>
  <c r="H16" i="2511"/>
  <c r="B16" i="2511"/>
  <c r="B20" i="2511" s="1"/>
  <c r="H15" i="2511"/>
  <c r="C15" i="2511"/>
  <c r="H14" i="2511"/>
  <c r="C14" i="2511"/>
  <c r="H13" i="2511"/>
  <c r="C13" i="2511"/>
  <c r="H12" i="2511"/>
  <c r="C12" i="2511"/>
  <c r="H11" i="2511"/>
  <c r="C11" i="2511"/>
  <c r="H10" i="2511"/>
  <c r="C10" i="2511"/>
  <c r="H9" i="2511"/>
  <c r="C9" i="2511"/>
  <c r="H8" i="2511"/>
  <c r="C8" i="2511"/>
  <c r="N7" i="2511"/>
  <c r="H7" i="2511"/>
  <c r="C7" i="2511"/>
  <c r="N6" i="2511"/>
  <c r="H6" i="2511"/>
  <c r="B6" i="2511"/>
  <c r="N5" i="2511"/>
  <c r="H5" i="2511"/>
  <c r="B5" i="2511"/>
  <c r="N4" i="2511"/>
  <c r="H4" i="2511"/>
  <c r="N3" i="2511"/>
  <c r="H3" i="2511"/>
  <c r="N2" i="2511"/>
  <c r="H2" i="2511"/>
  <c r="C16" i="2511" l="1"/>
  <c r="H51" i="2510" l="1"/>
  <c r="H50" i="2510"/>
  <c r="H49" i="2510"/>
  <c r="H48" i="2510"/>
  <c r="H47" i="2510"/>
  <c r="H46" i="2510"/>
  <c r="H45" i="2510"/>
  <c r="H44" i="2510"/>
  <c r="H43" i="2510"/>
  <c r="H42" i="2510"/>
  <c r="H41" i="2510"/>
  <c r="H40" i="2510"/>
  <c r="H39" i="2510"/>
  <c r="H38" i="2510"/>
  <c r="H37" i="2510"/>
  <c r="H36" i="2510"/>
  <c r="H35" i="2510"/>
  <c r="H34" i="2510"/>
  <c r="H33" i="2510"/>
  <c r="H32" i="2510"/>
  <c r="H19" i="2510"/>
  <c r="H31" i="2510"/>
  <c r="H10" i="2510"/>
  <c r="H30" i="2510"/>
  <c r="H29" i="2510"/>
  <c r="H13" i="2510"/>
  <c r="H28" i="2510"/>
  <c r="H18" i="2510"/>
  <c r="H17" i="2510"/>
  <c r="C23" i="2510"/>
  <c r="H27" i="2510"/>
  <c r="C22" i="2510"/>
  <c r="H15" i="2510"/>
  <c r="B21" i="2510"/>
  <c r="H26" i="2510"/>
  <c r="H25" i="2510"/>
  <c r="C19" i="2510"/>
  <c r="H24" i="2510"/>
  <c r="C18" i="2510"/>
  <c r="H14" i="2510"/>
  <c r="C17" i="2510"/>
  <c r="H23" i="2510"/>
  <c r="B16" i="2510"/>
  <c r="B20" i="2510" s="1"/>
  <c r="H22" i="2510"/>
  <c r="C15" i="2510"/>
  <c r="H21" i="2510"/>
  <c r="C14" i="2510"/>
  <c r="H16" i="2510"/>
  <c r="C13" i="2510"/>
  <c r="H20" i="2510"/>
  <c r="C12" i="2510"/>
  <c r="H5" i="2510"/>
  <c r="C11" i="2510"/>
  <c r="H12" i="2510"/>
  <c r="C10" i="2510"/>
  <c r="H11" i="2510"/>
  <c r="C9" i="2510"/>
  <c r="H8" i="2510"/>
  <c r="C8" i="2510"/>
  <c r="N7" i="2510"/>
  <c r="H7" i="2510"/>
  <c r="C7" i="2510"/>
  <c r="N6" i="2510"/>
  <c r="H3" i="2510"/>
  <c r="B6" i="2510"/>
  <c r="N5" i="2510"/>
  <c r="H6" i="2510"/>
  <c r="B5" i="2510"/>
  <c r="N4" i="2510"/>
  <c r="H2" i="2510"/>
  <c r="N3" i="2510"/>
  <c r="H9" i="2510"/>
  <c r="N2" i="2510"/>
  <c r="H4" i="2510"/>
  <c r="H51" i="2509"/>
  <c r="H50" i="2509"/>
  <c r="H49" i="2509"/>
  <c r="H48" i="2509"/>
  <c r="H47" i="2509"/>
  <c r="H46" i="2509"/>
  <c r="H45" i="2509"/>
  <c r="H44" i="2509"/>
  <c r="H43" i="2509"/>
  <c r="H42" i="2509"/>
  <c r="H41" i="2509"/>
  <c r="H40" i="2509"/>
  <c r="H39" i="2509"/>
  <c r="H38" i="2509"/>
  <c r="H37" i="2509"/>
  <c r="H36" i="2509"/>
  <c r="H35" i="2509"/>
  <c r="H34" i="2509"/>
  <c r="H33" i="2509"/>
  <c r="H32" i="2509"/>
  <c r="H31" i="2509"/>
  <c r="H30" i="2509"/>
  <c r="H10" i="2509"/>
  <c r="H29" i="2509"/>
  <c r="H28" i="2509"/>
  <c r="H13" i="2509"/>
  <c r="H27" i="2509"/>
  <c r="H26" i="2509"/>
  <c r="H18" i="2509"/>
  <c r="C23" i="2509"/>
  <c r="H25" i="2509"/>
  <c r="C22" i="2509"/>
  <c r="H17" i="2509"/>
  <c r="B21" i="2509"/>
  <c r="H24" i="2509"/>
  <c r="H23" i="2509"/>
  <c r="C19" i="2509"/>
  <c r="H12" i="2509"/>
  <c r="C18" i="2509"/>
  <c r="H11" i="2509"/>
  <c r="C17" i="2509"/>
  <c r="H22" i="2509"/>
  <c r="B16" i="2509"/>
  <c r="B20" i="2509" s="1"/>
  <c r="H21" i="2509"/>
  <c r="C15" i="2509"/>
  <c r="H16" i="2509"/>
  <c r="C14" i="2509"/>
  <c r="H20" i="2509"/>
  <c r="C13" i="2509"/>
  <c r="H19" i="2509"/>
  <c r="C12" i="2509"/>
  <c r="H3" i="2509"/>
  <c r="C11" i="2509"/>
  <c r="H15" i="2509"/>
  <c r="C10" i="2509"/>
  <c r="H14" i="2509"/>
  <c r="C9" i="2509"/>
  <c r="H9" i="2509"/>
  <c r="C8" i="2509"/>
  <c r="N7" i="2509"/>
  <c r="H7" i="2509"/>
  <c r="C7" i="2509"/>
  <c r="N6" i="2509"/>
  <c r="H2" i="2509"/>
  <c r="B6" i="2509"/>
  <c r="N5" i="2509"/>
  <c r="H8" i="2509"/>
  <c r="B5" i="2509"/>
  <c r="N4" i="2509"/>
  <c r="H4" i="2509"/>
  <c r="N3" i="2509"/>
  <c r="H6" i="2509"/>
  <c r="N2" i="2509"/>
  <c r="H5" i="2509"/>
  <c r="C16" i="2510" l="1"/>
  <c r="C16" i="2509"/>
  <c r="H51" i="2508" l="1"/>
  <c r="H50" i="2508"/>
  <c r="H49" i="2508"/>
  <c r="H48" i="2508"/>
  <c r="H47" i="2508"/>
  <c r="H46" i="2508"/>
  <c r="H45" i="2508"/>
  <c r="H44" i="2508"/>
  <c r="H43" i="2508"/>
  <c r="H42" i="2508"/>
  <c r="H41" i="2508"/>
  <c r="H40" i="2508"/>
  <c r="H39" i="2508"/>
  <c r="H38" i="2508"/>
  <c r="H37" i="2508"/>
  <c r="H36" i="2508"/>
  <c r="H35" i="2508"/>
  <c r="H34" i="2508"/>
  <c r="H33" i="2508"/>
  <c r="H32" i="2508"/>
  <c r="H31" i="2508"/>
  <c r="H30" i="2508"/>
  <c r="H29" i="2508"/>
  <c r="H28" i="2508"/>
  <c r="H27" i="2508"/>
  <c r="H11" i="2508"/>
  <c r="H26" i="2508"/>
  <c r="H25" i="2508"/>
  <c r="H24" i="2508"/>
  <c r="C23" i="2508"/>
  <c r="H23" i="2508"/>
  <c r="C22" i="2508"/>
  <c r="H22" i="2508"/>
  <c r="B21" i="2508"/>
  <c r="H21" i="2508"/>
  <c r="B20" i="2508"/>
  <c r="H20" i="2508"/>
  <c r="C19" i="2508"/>
  <c r="H8" i="2508"/>
  <c r="C18" i="2508"/>
  <c r="H19" i="2508"/>
  <c r="C17" i="2508"/>
  <c r="H18" i="2508"/>
  <c r="C16" i="2508"/>
  <c r="B16" i="2508"/>
  <c r="H17" i="2508"/>
  <c r="C15" i="2508"/>
  <c r="H16" i="2508"/>
  <c r="C14" i="2508"/>
  <c r="H15" i="2508"/>
  <c r="C13" i="2508"/>
  <c r="H14" i="2508"/>
  <c r="C12" i="2508"/>
  <c r="H5" i="2508"/>
  <c r="C11" i="2508"/>
  <c r="H13" i="2508"/>
  <c r="C10" i="2508"/>
  <c r="H12" i="2508"/>
  <c r="C9" i="2508"/>
  <c r="H10" i="2508"/>
  <c r="C8" i="2508"/>
  <c r="N7" i="2508"/>
  <c r="H6" i="2508"/>
  <c r="C7" i="2508"/>
  <c r="N6" i="2508"/>
  <c r="H3" i="2508"/>
  <c r="B6" i="2508"/>
  <c r="N5" i="2508"/>
  <c r="H7" i="2508"/>
  <c r="B5" i="2508"/>
  <c r="N4" i="2508"/>
  <c r="H9" i="2508"/>
  <c r="N3" i="2508"/>
  <c r="H4" i="2508"/>
  <c r="N2" i="2508"/>
  <c r="H2" i="2508"/>
  <c r="H51" i="2507" l="1"/>
  <c r="H50" i="2507"/>
  <c r="H49" i="2507"/>
  <c r="H48" i="2507"/>
  <c r="H47" i="2507"/>
  <c r="H46" i="2507"/>
  <c r="H45" i="2507"/>
  <c r="H44" i="2507"/>
  <c r="H43" i="2507"/>
  <c r="H42" i="2507"/>
  <c r="H41" i="2507"/>
  <c r="H40" i="2507"/>
  <c r="H39" i="2507"/>
  <c r="H38" i="2507"/>
  <c r="H37" i="2507"/>
  <c r="H36" i="2507"/>
  <c r="H35" i="2507"/>
  <c r="H34" i="2507"/>
  <c r="H33" i="2507"/>
  <c r="H32" i="2507"/>
  <c r="H31" i="2507"/>
  <c r="H30" i="2507"/>
  <c r="H13" i="2507"/>
  <c r="H29" i="2507"/>
  <c r="H28" i="2507"/>
  <c r="H15" i="2507"/>
  <c r="H27" i="2507"/>
  <c r="H26" i="2507"/>
  <c r="H9" i="2507"/>
  <c r="C23" i="2507"/>
  <c r="H25" i="2507"/>
  <c r="C22" i="2507"/>
  <c r="H12" i="2507"/>
  <c r="B21" i="2507"/>
  <c r="H24" i="2507"/>
  <c r="H23" i="2507"/>
  <c r="C19" i="2507"/>
  <c r="H22" i="2507"/>
  <c r="C18" i="2507"/>
  <c r="H14" i="2507"/>
  <c r="C17" i="2507"/>
  <c r="H21" i="2507"/>
  <c r="B16" i="2507"/>
  <c r="B20" i="2507" s="1"/>
  <c r="H20" i="2507"/>
  <c r="C15" i="2507"/>
  <c r="H19" i="2507"/>
  <c r="C14" i="2507"/>
  <c r="H18" i="2507"/>
  <c r="C13" i="2507"/>
  <c r="H17" i="2507"/>
  <c r="C12" i="2507"/>
  <c r="H4" i="2507"/>
  <c r="C11" i="2507"/>
  <c r="H16" i="2507"/>
  <c r="C10" i="2507"/>
  <c r="H11" i="2507"/>
  <c r="C9" i="2507"/>
  <c r="H10" i="2507"/>
  <c r="C8" i="2507"/>
  <c r="N7" i="2507"/>
  <c r="H7" i="2507"/>
  <c r="C7" i="2507"/>
  <c r="N6" i="2507"/>
  <c r="H3" i="2507"/>
  <c r="B6" i="2507"/>
  <c r="N5" i="2507"/>
  <c r="H6" i="2507"/>
  <c r="B5" i="2507"/>
  <c r="N4" i="2507"/>
  <c r="H2" i="2507"/>
  <c r="N3" i="2507"/>
  <c r="H8" i="2507"/>
  <c r="N2" i="2507"/>
  <c r="H5" i="2507"/>
  <c r="H51" i="2506"/>
  <c r="H50" i="2506"/>
  <c r="H49" i="2506"/>
  <c r="H48" i="2506"/>
  <c r="H47" i="2506"/>
  <c r="H46" i="2506"/>
  <c r="H45" i="2506"/>
  <c r="H44" i="2506"/>
  <c r="H43" i="2506"/>
  <c r="H42" i="2506"/>
  <c r="H41" i="2506"/>
  <c r="H40" i="2506"/>
  <c r="H39" i="2506"/>
  <c r="H38" i="2506"/>
  <c r="H37" i="2506"/>
  <c r="H36" i="2506"/>
  <c r="H35" i="2506"/>
  <c r="H34" i="2506"/>
  <c r="H33" i="2506"/>
  <c r="H20" i="2506"/>
  <c r="H14" i="2506"/>
  <c r="H32" i="2506"/>
  <c r="H10" i="2506"/>
  <c r="H24" i="2506"/>
  <c r="H23" i="2506"/>
  <c r="H11" i="2506"/>
  <c r="H19" i="2506"/>
  <c r="H22" i="2506"/>
  <c r="H13" i="2506"/>
  <c r="C23" i="2506"/>
  <c r="H31" i="2506"/>
  <c r="C22" i="2506"/>
  <c r="H16" i="2506"/>
  <c r="B21" i="2506"/>
  <c r="H21" i="2506"/>
  <c r="H30" i="2506"/>
  <c r="C19" i="2506"/>
  <c r="H18" i="2506"/>
  <c r="C18" i="2506"/>
  <c r="H17" i="2506"/>
  <c r="C17" i="2506"/>
  <c r="H29" i="2506"/>
  <c r="B16" i="2506"/>
  <c r="B20" i="2506" s="1"/>
  <c r="H28" i="2506"/>
  <c r="C15" i="2506"/>
  <c r="H27" i="2506"/>
  <c r="C14" i="2506"/>
  <c r="H26" i="2506"/>
  <c r="C13" i="2506"/>
  <c r="H25" i="2506"/>
  <c r="C12" i="2506"/>
  <c r="H5" i="2506"/>
  <c r="C11" i="2506"/>
  <c r="H15" i="2506"/>
  <c r="C10" i="2506"/>
  <c r="H9" i="2506"/>
  <c r="C9" i="2506"/>
  <c r="H8" i="2506"/>
  <c r="C8" i="2506"/>
  <c r="N7" i="2506"/>
  <c r="H6" i="2506"/>
  <c r="C7" i="2506"/>
  <c r="N6" i="2506"/>
  <c r="H2" i="2506"/>
  <c r="B6" i="2506"/>
  <c r="N5" i="2506"/>
  <c r="H7" i="2506"/>
  <c r="B5" i="2506"/>
  <c r="N4" i="2506"/>
  <c r="H3" i="2506"/>
  <c r="N3" i="2506"/>
  <c r="H12" i="2506"/>
  <c r="N2" i="2506"/>
  <c r="H4" i="2506"/>
  <c r="C16" i="2507" l="1"/>
  <c r="C16" i="2506"/>
  <c r="H51" i="2505" l="1"/>
  <c r="H50" i="2505"/>
  <c r="H49" i="2505"/>
  <c r="H48" i="2505"/>
  <c r="H47" i="2505"/>
  <c r="H46" i="2505"/>
  <c r="H45" i="2505"/>
  <c r="H44" i="2505"/>
  <c r="H43" i="2505"/>
  <c r="H42" i="2505"/>
  <c r="H41" i="2505"/>
  <c r="H40" i="2505"/>
  <c r="H39" i="2505"/>
  <c r="H38" i="2505"/>
  <c r="H37" i="2505"/>
  <c r="H36" i="2505"/>
  <c r="H35" i="2505"/>
  <c r="H34" i="2505"/>
  <c r="H33" i="2505"/>
  <c r="H32" i="2505"/>
  <c r="H31" i="2505"/>
  <c r="H30" i="2505"/>
  <c r="H29" i="2505"/>
  <c r="H28" i="2505"/>
  <c r="H27" i="2505"/>
  <c r="H26" i="2505"/>
  <c r="H25" i="2505"/>
  <c r="H24" i="2505"/>
  <c r="H23" i="2505"/>
  <c r="C23" i="2505"/>
  <c r="H22" i="2505"/>
  <c r="C22" i="2505"/>
  <c r="H21" i="2505"/>
  <c r="B21" i="2505"/>
  <c r="H20" i="2505"/>
  <c r="H19" i="2505"/>
  <c r="C19" i="2505"/>
  <c r="H18" i="2505"/>
  <c r="C18" i="2505"/>
  <c r="H17" i="2505"/>
  <c r="C17" i="2505"/>
  <c r="H16" i="2505"/>
  <c r="B16" i="2505"/>
  <c r="B20" i="2505" s="1"/>
  <c r="H15" i="2505"/>
  <c r="C15" i="2505"/>
  <c r="H14" i="2505"/>
  <c r="C14" i="2505"/>
  <c r="H13" i="2505"/>
  <c r="C13" i="2505"/>
  <c r="H12" i="2505"/>
  <c r="C12" i="2505"/>
  <c r="H11" i="2505"/>
  <c r="C11" i="2505"/>
  <c r="H10" i="2505"/>
  <c r="C10" i="2505"/>
  <c r="H9" i="2505"/>
  <c r="C9" i="2505"/>
  <c r="H8" i="2505"/>
  <c r="C8" i="2505"/>
  <c r="N7" i="2505"/>
  <c r="H7" i="2505"/>
  <c r="C7" i="2505"/>
  <c r="N6" i="2505"/>
  <c r="H6" i="2505"/>
  <c r="B6" i="2505"/>
  <c r="N5" i="2505"/>
  <c r="H5" i="2505"/>
  <c r="B5" i="2505"/>
  <c r="N4" i="2505"/>
  <c r="H4" i="2505"/>
  <c r="N3" i="2505"/>
  <c r="H3" i="2505"/>
  <c r="N2" i="2505"/>
  <c r="H2" i="2505"/>
  <c r="H51" i="2504"/>
  <c r="H50" i="2504"/>
  <c r="H49" i="2504"/>
  <c r="H48" i="2504"/>
  <c r="H47" i="2504"/>
  <c r="H46" i="2504"/>
  <c r="H45" i="2504"/>
  <c r="H44" i="2504"/>
  <c r="H43" i="2504"/>
  <c r="H42" i="2504"/>
  <c r="H41" i="2504"/>
  <c r="H40" i="2504"/>
  <c r="H39" i="2504"/>
  <c r="H38" i="2504"/>
  <c r="H37" i="2504"/>
  <c r="H36" i="2504"/>
  <c r="H35" i="2504"/>
  <c r="H34" i="2504"/>
  <c r="H33" i="2504"/>
  <c r="H32" i="2504"/>
  <c r="H31" i="2504"/>
  <c r="H30" i="2504"/>
  <c r="H29" i="2504"/>
  <c r="H28" i="2504"/>
  <c r="H27" i="2504"/>
  <c r="H26" i="2504"/>
  <c r="H25" i="2504"/>
  <c r="H24" i="2504"/>
  <c r="H23" i="2504"/>
  <c r="C23" i="2504"/>
  <c r="H22" i="2504"/>
  <c r="C22" i="2504"/>
  <c r="H21" i="2504"/>
  <c r="B21" i="2504"/>
  <c r="H20" i="2504"/>
  <c r="H19" i="2504"/>
  <c r="C19" i="2504"/>
  <c r="H18" i="2504"/>
  <c r="C18" i="2504"/>
  <c r="H17" i="2504"/>
  <c r="C17" i="2504"/>
  <c r="H16" i="2504"/>
  <c r="B16" i="2504"/>
  <c r="B20" i="2504" s="1"/>
  <c r="H15" i="2504"/>
  <c r="C15" i="2504"/>
  <c r="H14" i="2504"/>
  <c r="C14" i="2504"/>
  <c r="H13" i="2504"/>
  <c r="C13" i="2504"/>
  <c r="H12" i="2504"/>
  <c r="C12" i="2504"/>
  <c r="H11" i="2504"/>
  <c r="C11" i="2504"/>
  <c r="H10" i="2504"/>
  <c r="C10" i="2504"/>
  <c r="H9" i="2504"/>
  <c r="C9" i="2504"/>
  <c r="H8" i="2504"/>
  <c r="C8" i="2504"/>
  <c r="N7" i="2504"/>
  <c r="H7" i="2504"/>
  <c r="C7" i="2504"/>
  <c r="N6" i="2504"/>
  <c r="H6" i="2504"/>
  <c r="B6" i="2504"/>
  <c r="N5" i="2504"/>
  <c r="H5" i="2504"/>
  <c r="B5" i="2504"/>
  <c r="N4" i="2504"/>
  <c r="H4" i="2504"/>
  <c r="N3" i="2504"/>
  <c r="H3" i="2504"/>
  <c r="N2" i="2504"/>
  <c r="H2" i="2504"/>
  <c r="H51" i="2503"/>
  <c r="H50" i="2503"/>
  <c r="H49" i="2503"/>
  <c r="H48" i="2503"/>
  <c r="H47" i="2503"/>
  <c r="H25" i="2503"/>
  <c r="H46" i="2503"/>
  <c r="H45" i="2503"/>
  <c r="H44" i="2503"/>
  <c r="H43" i="2503"/>
  <c r="H42" i="2503"/>
  <c r="H41" i="2503"/>
  <c r="H40" i="2503"/>
  <c r="H39" i="2503"/>
  <c r="H38" i="2503"/>
  <c r="H37" i="2503"/>
  <c r="H36" i="2503"/>
  <c r="H35" i="2503"/>
  <c r="H34" i="2503"/>
  <c r="H18" i="2503"/>
  <c r="H24" i="2503"/>
  <c r="H33" i="2503"/>
  <c r="H9" i="2503"/>
  <c r="H32" i="2503"/>
  <c r="H23" i="2503"/>
  <c r="H13" i="2503"/>
  <c r="H22" i="2503"/>
  <c r="H31" i="2503"/>
  <c r="H14" i="2503"/>
  <c r="C23" i="2503"/>
  <c r="H30" i="2503"/>
  <c r="C22" i="2503"/>
  <c r="H15" i="2503"/>
  <c r="B21" i="2503"/>
  <c r="H29" i="2503"/>
  <c r="H28" i="2503"/>
  <c r="C19" i="2503"/>
  <c r="H21" i="2503"/>
  <c r="C18" i="2503"/>
  <c r="H20" i="2503"/>
  <c r="C17" i="2503"/>
  <c r="H16" i="2503"/>
  <c r="B16" i="2503"/>
  <c r="B20" i="2503" s="1"/>
  <c r="H27" i="2503"/>
  <c r="C15" i="2503"/>
  <c r="H19" i="2503"/>
  <c r="C14" i="2503"/>
  <c r="H26" i="2503"/>
  <c r="C13" i="2503"/>
  <c r="H17" i="2503"/>
  <c r="C12" i="2503"/>
  <c r="H4" i="2503"/>
  <c r="C11" i="2503"/>
  <c r="H12" i="2503"/>
  <c r="C10" i="2503"/>
  <c r="H11" i="2503"/>
  <c r="C9" i="2503"/>
  <c r="H8" i="2503"/>
  <c r="C8" i="2503"/>
  <c r="N7" i="2503"/>
  <c r="H6" i="2503"/>
  <c r="C7" i="2503"/>
  <c r="N6" i="2503"/>
  <c r="H2" i="2503"/>
  <c r="B6" i="2503"/>
  <c r="N5" i="2503"/>
  <c r="H7" i="2503"/>
  <c r="B5" i="2503"/>
  <c r="N4" i="2503"/>
  <c r="H3" i="2503"/>
  <c r="N3" i="2503"/>
  <c r="H10" i="2503"/>
  <c r="N2" i="2503"/>
  <c r="H5" i="2503"/>
  <c r="C16" i="2504" l="1"/>
  <c r="C16" i="2505"/>
  <c r="C16" i="2503"/>
  <c r="D2" i="2416" l="1"/>
  <c r="D5" i="2416" l="1"/>
  <c r="D10" i="2416"/>
  <c r="D51" i="2416"/>
  <c r="D50" i="2416"/>
  <c r="D49" i="2416"/>
  <c r="D48" i="2416"/>
  <c r="D47" i="2416"/>
  <c r="D30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29" i="2416"/>
  <c r="D21" i="2416"/>
  <c r="D18" i="2416"/>
  <c r="D34" i="2416"/>
  <c r="D9" i="2416"/>
  <c r="D28" i="2416"/>
  <c r="D25" i="2416"/>
  <c r="D12" i="2416"/>
  <c r="D20" i="2416"/>
  <c r="D22" i="2416"/>
  <c r="D13" i="2416"/>
  <c r="D33" i="2416"/>
  <c r="D16" i="2416"/>
  <c r="D26" i="2416"/>
  <c r="D32" i="2416"/>
  <c r="D17" i="2416"/>
  <c r="D15" i="2416"/>
  <c r="D24" i="2416"/>
  <c r="D31" i="2416"/>
  <c r="D23" i="2416"/>
  <c r="D27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<sst xmlns="http://schemas.openxmlformats.org/spreadsheetml/2006/main" count="2318" uniqueCount="229">
  <si>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</si>
  <si>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</si>
  <si>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</si>
  <si>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</si>
  <si>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</si>
  <si>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</si>
  <si>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</si>
  <si>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</si>
  <si>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</si>
  <si>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</si>
  <si>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</si>
  <si>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</si>
  <si>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</si>
  <si>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</si>
  <si>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</si>
  <si>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</si>
  <si>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</si>
  <si>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</si>
  <si>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</si>
  <si>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</si>
  <si>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</si>
  <si>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</si>
  <si>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</si>
  <si>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</si>
  <si>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</si>
  <si>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</si>
  <si>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</si>
  <si>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</si>
  <si>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</si>
  <si>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</si>
  <si>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</si>
  <si>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</si>
  <si>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</si>
  <si>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</si>
  <si>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</si>
  <si>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</si>
  <si>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</si>
  <si>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</si>
  <si>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</si>
  <si>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</si>
  <si>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</si>
  <si>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</si>
  <si>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</si>
  <si>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</si>
  <si>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</si>
  <si>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</si>
  <si>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</si>
  <si>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</si>
  <si>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</si>
  <si>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</si>
  <si>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</si>
  <si>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</si>
  <si>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</si>
  <si>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</si>
  <si>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</si>
  <si>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</si>
  <si>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</si>
  <si>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</si>
  <si>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</si>
  <si>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</si>
  <si>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</si>
  <si>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</si>
  <si>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</si>
  <si>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</si>
  <si>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</si>
  <si>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</si>
  <si>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</si>
  <si>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</si>
  <si>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</si>
  <si>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</si>
  <si>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</si>
  <si>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</si>
  <si>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</si>
  <si>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</si>
  <si>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</si>
  <si>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</si>
  <si>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</si>
  <si>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</si>
  <si>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</si>
  <si>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</si>
  <si>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</si>
  <si>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</si>
  <si>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</si>
  <si>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</si>
  <si>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</si>
  <si>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</si>
  <si>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</si>
  <si>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</si>
  <si>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</si>
  <si>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</si>
  <si>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</si>
  <si>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</si>
  <si>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</si>
  <si>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</si>
  <si>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</si>
  <si>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</si>
  <si>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</si>
  <si>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</si>
  <si>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</si>
  <si>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</si>
  <si>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</si>
  <si>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</si>
  <si>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</si>
  <si>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</si>
  <si>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</si>
  <si>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</si>
  <si>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</si>
  <si>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</si>
  <si>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</si>
  <si>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</si>
  <si>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</si>
  <si>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</si>
  <si>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</si>
  <si>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</si>
  <si>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</si>
  <si>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</si>
  <si>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</si>
  <si>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</si>
  <si>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</si>
  <si>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</si>
  <si>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</si>
  <si>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</si>
  <si>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</si>
  <si>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</si>
  <si>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</si>
  <si>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</si>
  <si>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</si>
  <si>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</si>
  <si>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</si>
  <si>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</si>
  <si>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</si>
  <si>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</si>
  <si>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</si>
  <si>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</si>
  <si>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</si>
  <si>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</si>
  <si>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</si>
  <si>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</si>
  <si>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</si>
  <si>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</si>
  <si>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</si>
  <si>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</si>
  <si>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</si>
  <si>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</si>
  <si>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</si>
  <si>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</si>
  <si>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</si>
  <si>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</si>
  <si>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</si>
  <si>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</si>
  <si>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</si>
  <si>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</si>
  <si>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</si>
  <si>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</si>
  <si>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</si>
  <si>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</si>
  <si>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</si>
  <si>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</si>
  <si>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</si>
  <si>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</si>
  <si>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</si>
  <si>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</si>
  <si>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</si>
  <si>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</si>
  <si>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</si>
  <si>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</si>
  <si>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</si>
  <si>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</si>
  <si>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</si>
  <si>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</si>
  <si>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</si>
  <si>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</si>
  <si>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</si>
  <si>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</si>
  <si>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</si>
  <si>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</si>
  <si>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</si>
  <si>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</si>
  <si>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</si>
  <si>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</si>
  <si>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</si>
  <si>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</si>
  <si>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</si>
  <si>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</si>
  <si>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</si>
  <si>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</si>
  <si>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</si>
  <si>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</si>
  <si>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</si>
  <si>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</si>
  <si>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</si>
  <si>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</si>
  <si>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</si>
  <si>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</si>
  <si>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</si>
  <si>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</si>
  <si>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</si>
  <si>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</si>
  <si>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</si>
  <si>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</si>
  <si>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</si>
  <si>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</si>
  <si>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</si>
  <si>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</si>
  <si>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</si>
  <si>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</si>
  <si>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</si>
  <si>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</si>
  <si>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</si>
  <si>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</si>
  <si>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</si>
  <si>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</si>
  <si>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</si>
  <si>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</si>
  <si>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</si>
  <si>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</si>
  <si>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</si>
  <si>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</si>
  <si>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</si>
  <si>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</si>
  <si>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</si>
  <si>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</si>
  <si>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</si>
  <si>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</si>
  <si>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</si>
  <si>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</si>
  <si>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</si>
  <si>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</si>
  <si>
    <t>2019-01-15.xlsm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</si>
</sst>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だいち!$K$2:$K$123</c:f>
              <c:numCache>
                <c:formatCode>\+0;\-0;\±0</c:formatCode>
                <c:ptCount val="12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9B-4EDB-A228-3F08E9ECC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707.69230769230774</c:v>
                </c:pt>
                <c:pt idx="1">
                  <c:v>1731.5315315315315</c:v>
                </c:pt>
                <c:pt idx="2">
                  <c:v>960.78431372549016</c:v>
                </c:pt>
                <c:pt idx="3">
                  <c:v>1286.5168539325844</c:v>
                </c:pt>
                <c:pt idx="4">
                  <c:v>319.44444444444446</c:v>
                </c:pt>
                <c:pt idx="5">
                  <c:v>-377.35849056603774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4-40F1-A01B-099D78546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3-492E-8EA1-82712A645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6-4A5D-8853-E2F4C20BF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44-4928-9EB2-74C62D22F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B-435D-8311-5A3341501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りくと!$K$2:$K$87</c:f>
              <c:numCache>
                <c:formatCode>\+0;\-0;\±0</c:formatCode>
                <c:ptCount val="86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31-4298-95AD-684C4581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-93.975903614457835</c:v>
                </c:pt>
                <c:pt idx="1">
                  <c:v>-2065.8227848101264</c:v>
                </c:pt>
                <c:pt idx="2">
                  <c:v>1719.7368421052631</c:v>
                </c:pt>
                <c:pt idx="3">
                  <c:v>-2104.4776119402986</c:v>
                </c:pt>
                <c:pt idx="4">
                  <c:v>-2888.8888888888887</c:v>
                </c:pt>
                <c:pt idx="5">
                  <c:v>-2697.560975609756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3-49B0-B209-3AD2D433A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1-425F-81FA-9DA30B623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9-48EC-8F65-2038C105A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6-46AA-8C3C-348286A29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5C-4D87-9BA3-16215C49D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たかの!$K$2:$K$42</c:f>
              <c:numCache>
                <c:formatCode>\+0;\-0;\±0</c:formatCode>
                <c:ptCount val="41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67-4C60-A810-FB834672B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-1707.5</c:v>
                </c:pt>
                <c:pt idx="1">
                  <c:v>-2537.8378378378379</c:v>
                </c:pt>
                <c:pt idx="2">
                  <c:v>-1245.1612903225807</c:v>
                </c:pt>
                <c:pt idx="3">
                  <c:v>3148.2758620689656</c:v>
                </c:pt>
                <c:pt idx="4">
                  <c:v>-986.36363636363637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CE-4F6D-8748-E3BEA3873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ただ!$K$2:$K$51</c:f>
              <c:numCache>
                <c:formatCode>\+0;\-0;\±0</c:formatCode>
                <c:ptCount val="5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38-42AB-AB38-65C6A9CF8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3555.3191489361702</c:v>
                </c:pt>
                <c:pt idx="1">
                  <c:v>-572.72727272727275</c:v>
                </c:pt>
                <c:pt idx="2">
                  <c:v>-340</c:v>
                </c:pt>
                <c:pt idx="3">
                  <c:v>-1340.5405405405406</c:v>
                </c:pt>
                <c:pt idx="4">
                  <c:v>1767.8571428571429</c:v>
                </c:pt>
                <c:pt idx="5">
                  <c:v>266.66666666666669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8-4DA8-9386-94EAE736F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38-42FF-9AD2-46C1F1425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C-4C54-8E2D-FF6A594EC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れんたろう!$K$2:$K$44</c:f>
              <c:numCache>
                <c:formatCode>\+0;\-0;\±0</c:formatCode>
                <c:ptCount val="4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9-4C0C-892A-BE3488779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-3900</c:v>
                </c:pt>
                <c:pt idx="1">
                  <c:v>-1389.4736842105262</c:v>
                </c:pt>
                <c:pt idx="2">
                  <c:v>-1761.1111111111111</c:v>
                </c:pt>
                <c:pt idx="3">
                  <c:v>-145.45454545454547</c:v>
                </c:pt>
                <c:pt idx="4">
                  <c:v>-2582.7586206896553</c:v>
                </c:pt>
                <c:pt idx="5">
                  <c:v>4465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F-4D2C-A108-64C5C3DE1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37-48A0-95E4-CFBD3E2C8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6-4D04-9B4B-B7BD6CF6F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まっつん!$K$2:$K$6</c:f>
              <c:numCache>
                <c:formatCode>\+0;\-0;\±0</c:formatCode>
                <c:ptCount val="5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DC-4D45-A7AF-7AB73CD39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425</c:v>
                </c:pt>
                <c:pt idx="1">
                  <c:v>4875</c:v>
                </c:pt>
                <c:pt idx="2">
                  <c:v>-3933.3333333333335</c:v>
                </c:pt>
                <c:pt idx="3">
                  <c:v>7066.666666666667</c:v>
                </c:pt>
                <c:pt idx="4">
                  <c:v>-8250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05-4D50-B361-8DD3D3B76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78" t="s">
        <v>6</v>
      </c>
      <c r="C1" s="79"/>
      <c r="D1" s="78" t="s">
        <v>7</v>
      </c>
      <c r="E1" s="79"/>
      <c r="F1" s="78" t="s">
        <v>16</v>
      </c>
      <c r="G1" s="79"/>
      <c r="H1" s="78" t="s">
        <v>15</v>
      </c>
      <c r="I1" s="79"/>
      <c r="J1" s="78" t="s">
        <v>17</v>
      </c>
      <c r="K1" s="79"/>
      <c r="L1" s="78" t="s">
        <v>18</v>
      </c>
      <c r="M1" s="79"/>
      <c r="N1" s="78" t="s">
        <v>5</v>
      </c>
      <c r="O1" s="79"/>
      <c r="P1" s="78" t="s">
        <v>19</v>
      </c>
      <c r="Q1" s="79"/>
      <c r="R1" s="78" t="s">
        <v>20</v>
      </c>
      <c r="S1" s="79"/>
      <c r="T1" s="78" t="s">
        <v>209</v>
      </c>
      <c r="U1" s="79"/>
      <c r="V1" s="78" t="s">
        <v>131</v>
      </c>
      <c r="W1" s="79"/>
      <c r="X1" s="78" t="s">
        <v>126</v>
      </c>
      <c r="Y1" s="79"/>
      <c r="Z1" s="78" t="s">
        <v>134</v>
      </c>
      <c r="AA1" s="79"/>
      <c r="AB1" s="78" t="s">
        <v>135</v>
      </c>
      <c r="AC1" s="79"/>
      <c r="AD1" s="78" t="s">
        <v>197</v>
      </c>
      <c r="AE1" s="79"/>
    </row>
    <row r="2" spans="1:31" x14ac:dyDescent="0.4">
      <c r="A2" s="8">
        <v>1</v>
      </c>
      <c r="B2" s="9" t="s">
        <v>137</v>
      </c>
      <c r="C2" s="11">
        <v>526.50000000000011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141</v>
      </c>
      <c r="O2" s="13">
        <v>11440.372670807454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0.51724137931034486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</row>
    <row r="3" spans="1:31" x14ac:dyDescent="0.4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0.35287356321839081</v>
      </c>
      <c r="L3" s="1" t="s">
        <v>156</v>
      </c>
      <c r="M3" s="16">
        <v>0.13414634146341464</v>
      </c>
      <c r="N3" s="1" t="s">
        <v>160</v>
      </c>
      <c r="O3" s="2">
        <v>11414.285714285714</v>
      </c>
      <c r="P3" s="1" t="s">
        <v>219</v>
      </c>
      <c r="Q3" s="2">
        <v>-7416.666666666667</v>
      </c>
      <c r="R3" s="1" t="s">
        <v>214</v>
      </c>
      <c r="S3" s="18">
        <v>0</v>
      </c>
      <c r="T3" s="1" t="s">
        <v>137</v>
      </c>
      <c r="U3" s="18">
        <v>0.2231404958677686</v>
      </c>
      <c r="V3" s="1" t="s">
        <v>214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0.71551724137931039</v>
      </c>
      <c r="AB3" s="1" t="s">
        <v>219</v>
      </c>
      <c r="AC3" s="16">
        <v>0.46666666666666667</v>
      </c>
      <c r="AD3" s="1" t="s">
        <v>145</v>
      </c>
      <c r="AE3" s="16">
        <v>0.46153846153846156</v>
      </c>
    </row>
    <row r="4" spans="1:31" x14ac:dyDescent="0.4">
      <c r="A4" s="7">
        <v>3</v>
      </c>
      <c r="B4" s="6" t="s">
        <v>149</v>
      </c>
      <c r="C4" s="3">
        <v>175.29999999999995</v>
      </c>
      <c r="D4" s="1" t="s">
        <v>142</v>
      </c>
      <c r="E4" s="3">
        <v>5.5133333333333336</v>
      </c>
      <c r="F4" s="1" t="s">
        <v>137</v>
      </c>
      <c r="G4" s="5">
        <v>1.8512396694214877</v>
      </c>
      <c r="H4" s="1" t="s">
        <v>137</v>
      </c>
      <c r="I4" s="18">
        <v>0.39669421487603307</v>
      </c>
      <c r="J4" s="1" t="s">
        <v>142</v>
      </c>
      <c r="K4" s="16">
        <v>0.35015772870662459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-8024.5901639344265</v>
      </c>
      <c r="R4" s="1" t="s">
        <v>142</v>
      </c>
      <c r="S4" s="18">
        <v>0.1111111111111111</v>
      </c>
      <c r="T4" s="1" t="s">
        <v>149</v>
      </c>
      <c r="U4" s="18">
        <v>0.20408163265306123</v>
      </c>
      <c r="V4" s="1" t="s">
        <v>149</v>
      </c>
      <c r="W4" s="16">
        <v>0.34728033472803349</v>
      </c>
      <c r="X4" s="1" t="s">
        <v>148</v>
      </c>
      <c r="Y4" s="16">
        <v>0.31666666666666665</v>
      </c>
      <c r="Z4" s="1" t="s">
        <v>149</v>
      </c>
      <c r="AA4" s="16">
        <v>0.61445783132530118</v>
      </c>
      <c r="AB4" s="1" t="s">
        <v>137</v>
      </c>
      <c r="AC4" s="16">
        <v>0.44047619047619047</v>
      </c>
      <c r="AD4" s="1" t="s">
        <v>156</v>
      </c>
      <c r="AE4" s="16">
        <v>0.45454545454545453</v>
      </c>
    </row>
    <row r="5" spans="1:31" x14ac:dyDescent="0.4">
      <c r="A5" s="7">
        <v>4</v>
      </c>
      <c r="B5" s="6" t="s">
        <v>214</v>
      </c>
      <c r="C5" s="3">
        <v>89</v>
      </c>
      <c r="D5" s="1" t="s">
        <v>137</v>
      </c>
      <c r="E5" s="3">
        <v>4.3512396694214885</v>
      </c>
      <c r="F5" s="1" t="s">
        <v>142</v>
      </c>
      <c r="G5" s="5">
        <v>1.8666666666666667</v>
      </c>
      <c r="H5" s="1" t="s">
        <v>149</v>
      </c>
      <c r="I5" s="18">
        <v>0.38775510204081631</v>
      </c>
      <c r="J5" s="1" t="s">
        <v>156</v>
      </c>
      <c r="K5" s="16">
        <v>0.34146341463414637</v>
      </c>
      <c r="L5" s="1" t="s">
        <v>137</v>
      </c>
      <c r="M5" s="16">
        <v>0.15632183908045977</v>
      </c>
      <c r="N5" s="1" t="s">
        <v>149</v>
      </c>
      <c r="O5" s="2">
        <v>10842.857142857143</v>
      </c>
      <c r="P5" s="1" t="s">
        <v>138</v>
      </c>
      <c r="Q5" s="2">
        <v>-8240</v>
      </c>
      <c r="R5" s="1" t="s">
        <v>137</v>
      </c>
      <c r="S5" s="18">
        <v>0.13223140495867769</v>
      </c>
      <c r="T5" s="1" t="s">
        <v>142</v>
      </c>
      <c r="U5" s="18">
        <v>0.2</v>
      </c>
      <c r="V5" s="1" t="s">
        <v>137</v>
      </c>
      <c r="W5" s="16">
        <v>0.28501228501228504</v>
      </c>
      <c r="X5" s="1" t="s">
        <v>149</v>
      </c>
      <c r="Y5" s="16">
        <v>0.2384937238493724</v>
      </c>
      <c r="Z5" s="1" t="s">
        <v>160</v>
      </c>
      <c r="AA5" s="16">
        <v>0.61333333333333329</v>
      </c>
      <c r="AB5" s="1" t="s">
        <v>148</v>
      </c>
      <c r="AC5" s="16">
        <v>0.42105263157894735</v>
      </c>
      <c r="AD5" s="1" t="s">
        <v>137</v>
      </c>
      <c r="AE5" s="16">
        <v>0.42071197411003236</v>
      </c>
    </row>
    <row r="6" spans="1:31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3.5775510204081624</v>
      </c>
      <c r="F6" s="1" t="s">
        <v>149</v>
      </c>
      <c r="G6" s="5">
        <v>1.9183673469387754</v>
      </c>
      <c r="H6" s="1" t="s">
        <v>142</v>
      </c>
      <c r="I6" s="18">
        <v>0.35555555555555557</v>
      </c>
      <c r="J6" s="1" t="s">
        <v>149</v>
      </c>
      <c r="K6" s="16">
        <v>0.31989247311827956</v>
      </c>
      <c r="L6" s="1" t="s">
        <v>149</v>
      </c>
      <c r="M6" s="16">
        <v>0.16129032258064516</v>
      </c>
      <c r="N6" s="1" t="s">
        <v>219</v>
      </c>
      <c r="O6" s="2">
        <v>10237.5</v>
      </c>
      <c r="P6" s="1" t="s">
        <v>142</v>
      </c>
      <c r="Q6" s="2">
        <v>-9134.6938775510207</v>
      </c>
      <c r="R6" s="1" t="s">
        <v>148</v>
      </c>
      <c r="S6" s="18">
        <v>0.15</v>
      </c>
      <c r="T6" s="1" t="s">
        <v>145</v>
      </c>
      <c r="U6" s="18">
        <v>0.2</v>
      </c>
      <c r="V6" s="1" t="s">
        <v>141</v>
      </c>
      <c r="W6" s="16">
        <v>0.28342245989304815</v>
      </c>
      <c r="X6" s="1" t="s">
        <v>160</v>
      </c>
      <c r="Y6" s="16">
        <v>0.21454545454545454</v>
      </c>
      <c r="Z6" s="1" t="s">
        <v>214</v>
      </c>
      <c r="AA6" s="16">
        <v>0.6</v>
      </c>
      <c r="AB6" s="1" t="s">
        <v>149</v>
      </c>
      <c r="AC6" s="16">
        <v>0.40350877192982454</v>
      </c>
      <c r="AD6" s="1" t="s">
        <v>149</v>
      </c>
      <c r="AE6" s="16">
        <v>0.40875912408759124</v>
      </c>
    </row>
    <row r="7" spans="1:31" x14ac:dyDescent="0.4">
      <c r="A7" s="7">
        <v>6</v>
      </c>
      <c r="B7" s="6" t="s">
        <v>219</v>
      </c>
      <c r="C7" s="3">
        <v>5.1000000000000014</v>
      </c>
      <c r="D7" s="1" t="s">
        <v>219</v>
      </c>
      <c r="E7" s="3">
        <v>1.2750000000000004</v>
      </c>
      <c r="F7" s="1" t="s">
        <v>148</v>
      </c>
      <c r="G7" s="5">
        <v>2.1</v>
      </c>
      <c r="H7" s="1" t="s">
        <v>141</v>
      </c>
      <c r="I7" s="18">
        <v>0.29411764705882354</v>
      </c>
      <c r="J7" s="1" t="s">
        <v>139</v>
      </c>
      <c r="K7" s="16">
        <v>0.2857142857142857</v>
      </c>
      <c r="L7" s="1" t="s">
        <v>141</v>
      </c>
      <c r="M7" s="16">
        <v>0.19685039370078741</v>
      </c>
      <c r="N7" s="1" t="s">
        <v>137</v>
      </c>
      <c r="O7" s="2">
        <v>9923.7785016286653</v>
      </c>
      <c r="P7" s="1" t="s">
        <v>160</v>
      </c>
      <c r="Q7" s="2">
        <v>-9815.5844155844152</v>
      </c>
      <c r="R7" s="1" t="s">
        <v>149</v>
      </c>
      <c r="S7" s="18">
        <v>0.16326530612244897</v>
      </c>
      <c r="T7" s="1" t="s">
        <v>214</v>
      </c>
      <c r="U7" s="18">
        <v>0.2</v>
      </c>
      <c r="V7" s="1" t="s">
        <v>160</v>
      </c>
      <c r="W7" s="16">
        <v>0.27272727272727271</v>
      </c>
      <c r="X7" s="1" t="s">
        <v>137</v>
      </c>
      <c r="Y7" s="16">
        <v>0.20638820638820637</v>
      </c>
      <c r="Z7" s="1" t="s">
        <v>142</v>
      </c>
      <c r="AA7" s="16">
        <v>0.5625</v>
      </c>
      <c r="AB7" s="1" t="s">
        <v>141</v>
      </c>
      <c r="AC7" s="16">
        <v>0.38805970149253732</v>
      </c>
      <c r="AD7" s="1" t="s">
        <v>148</v>
      </c>
      <c r="AE7" s="16">
        <v>0.40697674418604651</v>
      </c>
    </row>
    <row r="8" spans="1:31" x14ac:dyDescent="0.4">
      <c r="A8" s="7">
        <v>7</v>
      </c>
      <c r="B8" s="6" t="s">
        <v>139</v>
      </c>
      <c r="C8" s="3">
        <v>-24.5</v>
      </c>
      <c r="D8" s="1" t="s">
        <v>148</v>
      </c>
      <c r="E8" s="3">
        <v>-2.6950000000000003</v>
      </c>
      <c r="F8" s="1" t="s">
        <v>141</v>
      </c>
      <c r="G8" s="5">
        <v>2.1294117647058823</v>
      </c>
      <c r="H8" s="1" t="s">
        <v>148</v>
      </c>
      <c r="I8" s="18">
        <v>0.25</v>
      </c>
      <c r="J8" s="1" t="s">
        <v>148</v>
      </c>
      <c r="K8" s="16">
        <v>0.28013029315960913</v>
      </c>
      <c r="L8" s="1" t="s">
        <v>148</v>
      </c>
      <c r="M8" s="16">
        <v>0.1986970684039088</v>
      </c>
      <c r="N8" s="1" t="s">
        <v>148</v>
      </c>
      <c r="O8" s="2">
        <v>9869.7674418604656</v>
      </c>
      <c r="P8" s="1" t="s">
        <v>137</v>
      </c>
      <c r="Q8" s="2">
        <v>-9863.9705882352937</v>
      </c>
      <c r="R8" s="1" t="s">
        <v>141</v>
      </c>
      <c r="S8" s="18">
        <v>0.24705882352941178</v>
      </c>
      <c r="T8" s="1" t="s">
        <v>148</v>
      </c>
      <c r="U8" s="18">
        <v>0.17499999999999999</v>
      </c>
      <c r="V8" s="1" t="s">
        <v>145</v>
      </c>
      <c r="W8" s="16">
        <v>0.25806451612903225</v>
      </c>
      <c r="X8" s="1" t="s">
        <v>141</v>
      </c>
      <c r="Y8" s="16">
        <v>0.17914438502673796</v>
      </c>
      <c r="Z8" s="1" t="s">
        <v>141</v>
      </c>
      <c r="AA8" s="16">
        <v>0.55660377358490565</v>
      </c>
      <c r="AB8" s="1" t="s">
        <v>142</v>
      </c>
      <c r="AC8" s="16">
        <v>0.35714285714285715</v>
      </c>
      <c r="AD8" s="1" t="s">
        <v>142</v>
      </c>
      <c r="AE8" s="16">
        <v>0.35652173913043478</v>
      </c>
    </row>
    <row r="9" spans="1:31" x14ac:dyDescent="0.4">
      <c r="A9" s="7">
        <v>8</v>
      </c>
      <c r="B9" s="6" t="s">
        <v>145</v>
      </c>
      <c r="C9" s="3">
        <v>-86.4</v>
      </c>
      <c r="D9" s="1" t="s">
        <v>141</v>
      </c>
      <c r="E9" s="3">
        <v>-4.8223529411764696</v>
      </c>
      <c r="F9" s="1" t="s">
        <v>145</v>
      </c>
      <c r="G9" s="5">
        <v>2.2000000000000002</v>
      </c>
      <c r="H9" s="1" t="s">
        <v>160</v>
      </c>
      <c r="I9" s="18">
        <v>0.23809523809523808</v>
      </c>
      <c r="J9" s="1" t="s">
        <v>219</v>
      </c>
      <c r="K9" s="16">
        <v>0.27586206896551724</v>
      </c>
      <c r="L9" s="1" t="s">
        <v>219</v>
      </c>
      <c r="M9" s="16">
        <v>0.20689655172413793</v>
      </c>
      <c r="N9" s="1" t="s">
        <v>142</v>
      </c>
      <c r="O9" s="2">
        <v>9851.3513513513517</v>
      </c>
      <c r="P9" s="1" t="s">
        <v>149</v>
      </c>
      <c r="Q9" s="2">
        <v>-9886.6666666666661</v>
      </c>
      <c r="R9" s="1" t="s">
        <v>156</v>
      </c>
      <c r="S9" s="18">
        <v>0.25</v>
      </c>
      <c r="T9" s="1" t="s">
        <v>141</v>
      </c>
      <c r="U9" s="18">
        <v>0.15294117647058825</v>
      </c>
      <c r="V9" s="1" t="s">
        <v>148</v>
      </c>
      <c r="W9" s="16">
        <v>0.21666666666666667</v>
      </c>
      <c r="X9" s="1" t="s">
        <v>145</v>
      </c>
      <c r="Y9" s="16">
        <v>0.16129032258064516</v>
      </c>
      <c r="Z9" s="1" t="s">
        <v>219</v>
      </c>
      <c r="AA9" s="16">
        <v>0.5</v>
      </c>
      <c r="AB9" s="1" t="s">
        <v>160</v>
      </c>
      <c r="AC9" s="16">
        <v>0.32203389830508472</v>
      </c>
      <c r="AD9" s="1" t="s">
        <v>160</v>
      </c>
      <c r="AE9" s="16">
        <v>0.32631578947368423</v>
      </c>
    </row>
    <row r="10" spans="1:31" x14ac:dyDescent="0.4">
      <c r="A10" s="7">
        <v>9</v>
      </c>
      <c r="B10" s="6" t="s">
        <v>148</v>
      </c>
      <c r="C10" s="3">
        <v>-107.80000000000001</v>
      </c>
      <c r="D10" s="1" t="s">
        <v>160</v>
      </c>
      <c r="E10" s="3">
        <v>-8.7404761904761887</v>
      </c>
      <c r="F10" s="1" t="s">
        <v>219</v>
      </c>
      <c r="G10" s="5">
        <v>2.25</v>
      </c>
      <c r="H10" s="1" t="s">
        <v>145</v>
      </c>
      <c r="I10" s="18">
        <v>0.2</v>
      </c>
      <c r="J10" s="1" t="s">
        <v>145</v>
      </c>
      <c r="K10" s="16">
        <v>0.27027027027027029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156</v>
      </c>
      <c r="Q10" s="2">
        <v>-9927.2727272727279</v>
      </c>
      <c r="R10" s="1" t="s">
        <v>219</v>
      </c>
      <c r="S10" s="18">
        <v>0.25</v>
      </c>
      <c r="T10" s="1" t="s">
        <v>160</v>
      </c>
      <c r="U10" s="18">
        <v>9.5238095238095233E-2</v>
      </c>
      <c r="V10" s="1" t="s">
        <v>142</v>
      </c>
      <c r="W10" s="16">
        <v>0.20253164556962025</v>
      </c>
      <c r="X10" s="1" t="s">
        <v>214</v>
      </c>
      <c r="Y10" s="16">
        <v>0.13043478260869565</v>
      </c>
      <c r="Z10" s="1" t="s">
        <v>148</v>
      </c>
      <c r="AA10" s="16">
        <v>0.38461538461538464</v>
      </c>
      <c r="AB10" s="1" t="s">
        <v>145</v>
      </c>
      <c r="AC10" s="16">
        <v>0.2</v>
      </c>
      <c r="AD10" s="1" t="s">
        <v>141</v>
      </c>
      <c r="AE10" s="16">
        <v>0.30612244897959184</v>
      </c>
    </row>
    <row r="11" spans="1:31" x14ac:dyDescent="0.4">
      <c r="A11" s="7">
        <v>10</v>
      </c>
      <c r="B11" s="6" t="s">
        <v>138</v>
      </c>
      <c r="C11" s="3">
        <v>-132.1</v>
      </c>
      <c r="D11" s="1" t="s">
        <v>139</v>
      </c>
      <c r="E11" s="3">
        <v>-12.25</v>
      </c>
      <c r="F11" s="1" t="s">
        <v>160</v>
      </c>
      <c r="G11" s="5">
        <v>2.2619047619047619</v>
      </c>
      <c r="H11" s="1" t="s">
        <v>138</v>
      </c>
      <c r="I11" s="18">
        <v>0</v>
      </c>
      <c r="J11" s="1" t="s">
        <v>160</v>
      </c>
      <c r="K11" s="16">
        <v>0.26923076923076922</v>
      </c>
      <c r="L11" s="1" t="s">
        <v>160</v>
      </c>
      <c r="M11" s="16">
        <v>0.24679487179487181</v>
      </c>
      <c r="N11" s="1" t="s">
        <v>139</v>
      </c>
      <c r="O11" s="2">
        <v>8000</v>
      </c>
      <c r="P11" s="1" t="s">
        <v>141</v>
      </c>
      <c r="Q11" s="2">
        <v>-10404</v>
      </c>
      <c r="R11" s="1" t="s">
        <v>160</v>
      </c>
      <c r="S11" s="18">
        <v>0.26190476190476192</v>
      </c>
      <c r="T11" s="1" t="s">
        <v>138</v>
      </c>
      <c r="U11" s="18">
        <v>0</v>
      </c>
      <c r="V11" s="1" t="s">
        <v>219</v>
      </c>
      <c r="W11" s="16">
        <v>6.8965517241379309E-2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0.16666666666666666</v>
      </c>
    </row>
    <row r="12" spans="1:31" x14ac:dyDescent="0.4">
      <c r="A12" s="7">
        <v>11</v>
      </c>
      <c r="B12" s="6" t="s">
        <v>160</v>
      </c>
      <c r="C12" s="3">
        <v>-367.09999999999991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141</v>
      </c>
      <c r="K12" s="16">
        <v>0.25354330708661416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</row>
    <row r="13" spans="1:31" x14ac:dyDescent="0.4">
      <c r="A13" s="7">
        <v>12</v>
      </c>
      <c r="B13" s="6" t="s">
        <v>141</v>
      </c>
      <c r="C13" s="3">
        <v>-409.89999999999992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219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219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</row>
  </sheetData>
  <sortState ref="AD2:AE27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494</v>
      </c>
    </row>
    <row r="2" spans="1:7" x14ac:dyDescent="0.4">
      <c r="A2" s="67" t="s">
        <v>73</v>
      </c>
      <c r="B2" s="63" t="s">
        <v>27</v>
      </c>
      <c r="C2" s="49">
        <v>442</v>
      </c>
      <c r="D2" s="24">
        <f>IF(G$1=0,0,C2/G$1)</f>
        <v>0.89473684210526316</v>
      </c>
    </row>
    <row r="3" spans="1:7" x14ac:dyDescent="0.4">
      <c r="A3" s="68" t="s">
        <v>71</v>
      </c>
      <c r="B3" s="64" t="s">
        <v>25</v>
      </c>
      <c r="C3" s="50">
        <v>338</v>
      </c>
      <c r="D3" s="27">
        <f>IF(G$1=0,0,C3/G$1)</f>
        <v>0.68421052631578949</v>
      </c>
    </row>
    <row r="4" spans="1:7" x14ac:dyDescent="0.4">
      <c r="A4" s="68" t="s">
        <v>78</v>
      </c>
      <c r="B4" s="64" t="s">
        <v>31</v>
      </c>
      <c r="C4" s="50">
        <v>300</v>
      </c>
      <c r="D4" s="27">
        <f>IF(G$1=0,0,C4/G$1)</f>
        <v>0.60728744939271251</v>
      </c>
    </row>
    <row r="5" spans="1:7" x14ac:dyDescent="0.4">
      <c r="A5" s="68" t="s">
        <v>226</v>
      </c>
      <c r="B5" s="64" t="s">
        <v>23</v>
      </c>
      <c r="C5" s="50">
        <v>270</v>
      </c>
      <c r="D5" s="27">
        <f>IF(G$1=0,0,C5/G$1)</f>
        <v>0.54655870445344135</v>
      </c>
    </row>
    <row r="6" spans="1:7" x14ac:dyDescent="0.4">
      <c r="A6" s="68" t="s">
        <v>72</v>
      </c>
      <c r="B6" s="64" t="s">
        <v>26</v>
      </c>
      <c r="C6" s="50">
        <v>143</v>
      </c>
      <c r="D6" s="27">
        <f>IF(G$1=0,0,C6/G$1)</f>
        <v>0.28947368421052633</v>
      </c>
    </row>
    <row r="7" spans="1:7" x14ac:dyDescent="0.4">
      <c r="A7" s="68" t="s">
        <v>74</v>
      </c>
      <c r="B7" s="64" t="s">
        <v>222</v>
      </c>
      <c r="C7" s="50">
        <v>141</v>
      </c>
      <c r="D7" s="27">
        <f>IF(G$1=0,0,C7/G$1)</f>
        <v>0.28542510121457487</v>
      </c>
    </row>
    <row r="8" spans="1:7" x14ac:dyDescent="0.4">
      <c r="A8" s="68" t="s">
        <v>75</v>
      </c>
      <c r="B8" s="64" t="s">
        <v>28</v>
      </c>
      <c r="C8" s="50">
        <v>76</v>
      </c>
      <c r="D8" s="27">
        <f>IF(G$1=0,0,C8/G$1)</f>
        <v>0.15384615384615385</v>
      </c>
    </row>
    <row r="9" spans="1:7" x14ac:dyDescent="0.4">
      <c r="A9" s="68" t="s">
        <v>96</v>
      </c>
      <c r="B9" s="64" t="s">
        <v>49</v>
      </c>
      <c r="C9" s="50">
        <v>70</v>
      </c>
      <c r="D9" s="27">
        <f>IF(G$1=0,0,C9/G$1)</f>
        <v>0.1417004048582996</v>
      </c>
    </row>
    <row r="10" spans="1:7" x14ac:dyDescent="0.4">
      <c r="A10" s="68" t="s">
        <v>227</v>
      </c>
      <c r="B10" s="64" t="s">
        <v>24</v>
      </c>
      <c r="C10" s="50">
        <v>56</v>
      </c>
      <c r="D10" s="27">
        <f>IF(G$1=0,0,C10/G$1)</f>
        <v>0.11336032388663968</v>
      </c>
    </row>
    <row r="11" spans="1:7" x14ac:dyDescent="0.4">
      <c r="A11" s="68" t="s">
        <v>76</v>
      </c>
      <c r="B11" s="64" t="s">
        <v>29</v>
      </c>
      <c r="C11" s="50">
        <v>48</v>
      </c>
      <c r="D11" s="27">
        <f>IF(G$1=0,0,C11/G$1)</f>
        <v>9.7165991902834009E-2</v>
      </c>
    </row>
    <row r="12" spans="1:7" x14ac:dyDescent="0.4">
      <c r="A12" s="68" t="s">
        <v>93</v>
      </c>
      <c r="B12" s="64" t="s">
        <v>46</v>
      </c>
      <c r="C12" s="50">
        <v>38</v>
      </c>
      <c r="D12" s="27">
        <f>IF(G$1=0,0,C12/G$1)</f>
        <v>7.6923076923076927E-2</v>
      </c>
    </row>
    <row r="13" spans="1:7" x14ac:dyDescent="0.4">
      <c r="A13" s="68" t="s">
        <v>90</v>
      </c>
      <c r="B13" s="64" t="s">
        <v>43</v>
      </c>
      <c r="C13" s="50">
        <v>27</v>
      </c>
      <c r="D13" s="27">
        <f>IF(G$1=0,0,C13/G$1)</f>
        <v>5.4655870445344132E-2</v>
      </c>
    </row>
    <row r="14" spans="1:7" x14ac:dyDescent="0.4">
      <c r="A14" s="68" t="s">
        <v>77</v>
      </c>
      <c r="B14" s="64" t="s">
        <v>30</v>
      </c>
      <c r="C14" s="50">
        <v>24</v>
      </c>
      <c r="D14" s="27">
        <f>IF(G$1=0,0,C14/G$1)</f>
        <v>4.8582995951417005E-2</v>
      </c>
    </row>
    <row r="15" spans="1:7" x14ac:dyDescent="0.4">
      <c r="A15" s="68" t="s">
        <v>84</v>
      </c>
      <c r="B15" s="64" t="s">
        <v>37</v>
      </c>
      <c r="C15" s="50">
        <v>15</v>
      </c>
      <c r="D15" s="27">
        <f>IF(G$1=0,0,C15/G$1)</f>
        <v>3.0364372469635626E-2</v>
      </c>
    </row>
    <row r="16" spans="1:7" x14ac:dyDescent="0.4">
      <c r="A16" s="68" t="s">
        <v>88</v>
      </c>
      <c r="B16" s="64" t="s">
        <v>41</v>
      </c>
      <c r="C16" s="50">
        <v>14</v>
      </c>
      <c r="D16" s="27">
        <f>IF(G$1=0,0,C16/G$1)</f>
        <v>2.8340080971659919E-2</v>
      </c>
    </row>
    <row r="17" spans="1:4" x14ac:dyDescent="0.4">
      <c r="A17" s="68" t="s">
        <v>85</v>
      </c>
      <c r="B17" s="64" t="s">
        <v>38</v>
      </c>
      <c r="C17" s="50">
        <v>9</v>
      </c>
      <c r="D17" s="27">
        <f>IF(G$1=0,0,C17/G$1)</f>
        <v>1.8218623481781375E-2</v>
      </c>
    </row>
    <row r="18" spans="1:4" x14ac:dyDescent="0.4">
      <c r="A18" s="68" t="s">
        <v>98</v>
      </c>
      <c r="B18" s="64" t="s">
        <v>51</v>
      </c>
      <c r="C18" s="50">
        <v>9</v>
      </c>
      <c r="D18" s="27">
        <f>IF(G$1=0,0,C18/G$1)</f>
        <v>1.8218623481781375E-2</v>
      </c>
    </row>
    <row r="19" spans="1:4" x14ac:dyDescent="0.4">
      <c r="A19" s="68" t="s">
        <v>79</v>
      </c>
      <c r="B19" s="64" t="s">
        <v>32</v>
      </c>
      <c r="C19" s="50">
        <v>5</v>
      </c>
      <c r="D19" s="27">
        <f>IF(G$1=0,0,C19/G$1)</f>
        <v>1.0121457489878543E-2</v>
      </c>
    </row>
    <row r="20" spans="1:4" x14ac:dyDescent="0.4">
      <c r="A20" s="68" t="s">
        <v>92</v>
      </c>
      <c r="B20" s="64" t="s">
        <v>45</v>
      </c>
      <c r="C20" s="50">
        <v>4</v>
      </c>
      <c r="D20" s="27">
        <f>IF(G$1=0,0,C20/G$1)</f>
        <v>8.0971659919028341E-3</v>
      </c>
    </row>
    <row r="21" spans="1:4" x14ac:dyDescent="0.4">
      <c r="A21" s="68" t="s">
        <v>99</v>
      </c>
      <c r="B21" s="64" t="s">
        <v>52</v>
      </c>
      <c r="C21" s="50">
        <v>4</v>
      </c>
      <c r="D21" s="27">
        <f>IF(G$1=0,0,C21/G$1)</f>
        <v>8.0971659919028341E-3</v>
      </c>
    </row>
    <row r="22" spans="1:4" x14ac:dyDescent="0.4">
      <c r="A22" s="68" t="s">
        <v>91</v>
      </c>
      <c r="B22" s="64" t="s">
        <v>44</v>
      </c>
      <c r="C22" s="50">
        <v>3</v>
      </c>
      <c r="D22" s="27">
        <f>IF(G$1=0,0,C22/G$1)</f>
        <v>6.0728744939271256E-3</v>
      </c>
    </row>
    <row r="23" spans="1:4" x14ac:dyDescent="0.4">
      <c r="A23" s="68" t="s">
        <v>81</v>
      </c>
      <c r="B23" s="64" t="s">
        <v>34</v>
      </c>
      <c r="C23" s="50">
        <v>3</v>
      </c>
      <c r="D23" s="27">
        <f>IF(G$1=0,0,C23/G$1)</f>
        <v>6.0728744939271256E-3</v>
      </c>
    </row>
    <row r="24" spans="1:4" x14ac:dyDescent="0.4">
      <c r="A24" s="68" t="s">
        <v>83</v>
      </c>
      <c r="B24" s="64" t="s">
        <v>36</v>
      </c>
      <c r="C24" s="50">
        <v>3</v>
      </c>
      <c r="D24" s="27">
        <f>IF(G$1=0,0,C24/G$1)</f>
        <v>6.0728744939271256E-3</v>
      </c>
    </row>
    <row r="25" spans="1:4" x14ac:dyDescent="0.4">
      <c r="A25" s="68" t="s">
        <v>94</v>
      </c>
      <c r="B25" s="64" t="s">
        <v>47</v>
      </c>
      <c r="C25" s="50">
        <v>2</v>
      </c>
      <c r="D25" s="27">
        <f>IF(G$1=0,0,C25/G$1)</f>
        <v>4.048582995951417E-3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2.0242914979757085E-3</v>
      </c>
    </row>
    <row r="27" spans="1:4" x14ac:dyDescent="0.4">
      <c r="A27" s="68" t="s">
        <v>80</v>
      </c>
      <c r="B27" s="64" t="s">
        <v>33</v>
      </c>
      <c r="C27" s="50">
        <v>1</v>
      </c>
      <c r="D27" s="27">
        <f>IF(G$1=0,0,C27/G$1)</f>
        <v>2.0242914979757085E-3</v>
      </c>
    </row>
    <row r="28" spans="1:4" x14ac:dyDescent="0.4">
      <c r="A28" s="68" t="s">
        <v>95</v>
      </c>
      <c r="B28" s="64" t="s">
        <v>48</v>
      </c>
      <c r="C28" s="50">
        <v>1</v>
      </c>
      <c r="D28" s="27">
        <f>IF(G$1=0,0,C28/G$1)</f>
        <v>2.0242914979757085E-3</v>
      </c>
    </row>
    <row r="29" spans="1:4" x14ac:dyDescent="0.4">
      <c r="A29" s="68" t="s">
        <v>100</v>
      </c>
      <c r="B29" s="64" t="s">
        <v>53</v>
      </c>
      <c r="C29" s="50">
        <v>1</v>
      </c>
      <c r="D29" s="27">
        <f>IF(G$1=0,0,C29/G$1)</f>
        <v>2.0242914979757085E-3</v>
      </c>
    </row>
    <row r="30" spans="1:4" x14ac:dyDescent="0.4">
      <c r="A30" s="68" t="s">
        <v>113</v>
      </c>
      <c r="B30" s="64" t="s">
        <v>224</v>
      </c>
      <c r="C30" s="50">
        <v>1</v>
      </c>
      <c r="D30" s="27">
        <f>IF(G$1=0,0,C30/G$1)</f>
        <v>2.0242914979757085E-3</v>
      </c>
    </row>
    <row r="31" spans="1:4" x14ac:dyDescent="0.4">
      <c r="A31" s="68" t="s">
        <v>82</v>
      </c>
      <c r="B31" s="64" t="s">
        <v>35</v>
      </c>
      <c r="C31" s="50">
        <v>0</v>
      </c>
      <c r="D31" s="27">
        <f>IF(G$1=0,0,C31/G$1)</f>
        <v>0</v>
      </c>
    </row>
    <row r="32" spans="1:4" x14ac:dyDescent="0.4">
      <c r="A32" s="68" t="s">
        <v>86</v>
      </c>
      <c r="B32" s="64" t="s">
        <v>39</v>
      </c>
      <c r="C32" s="50">
        <v>0</v>
      </c>
      <c r="D32" s="27">
        <f>IF(G$1=0,0,C32/G$1)</f>
        <v>0</v>
      </c>
    </row>
    <row r="33" spans="1:4" x14ac:dyDescent="0.4">
      <c r="A33" s="68" t="s">
        <v>89</v>
      </c>
      <c r="B33" s="64" t="s">
        <v>42</v>
      </c>
      <c r="C33" s="50">
        <v>0</v>
      </c>
      <c r="D33" s="27">
        <f>IF(G$1=0,0,C33/G$1)</f>
        <v>0</v>
      </c>
    </row>
    <row r="34" spans="1:4" x14ac:dyDescent="0.4">
      <c r="A34" s="68" t="s">
        <v>97</v>
      </c>
      <c r="B34" s="64" t="s">
        <v>50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223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225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9EBE5-F87D-4AC9-BB2B-793584DF6730}">
  <sheetPr codeName="Sheet4"/>
  <dimension ref="A1:P12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186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121</v>
      </c>
      <c r="C2" s="81"/>
      <c r="E2" s="67" t="s">
        <v>73</v>
      </c>
      <c r="F2" s="63" t="s">
        <v>27</v>
      </c>
      <c r="G2" s="49">
        <v>141</v>
      </c>
      <c r="H2" s="24">
        <f>IF(B$25=0,0,G2/B$25)</f>
        <v>0.95270270270270274</v>
      </c>
      <c r="J2" s="23">
        <v>0</v>
      </c>
      <c r="K2" s="25">
        <v>0</v>
      </c>
      <c r="M2" s="23" t="s">
        <v>198</v>
      </c>
      <c r="N2" s="44">
        <f t="shared" ref="N2:N7" si="0">IF(P2=0,0,O2/P2)</f>
        <v>707.69230769230774</v>
      </c>
      <c r="O2" s="41">
        <v>82800</v>
      </c>
      <c r="P2" s="39">
        <v>117</v>
      </c>
    </row>
    <row r="3" spans="1:16" x14ac:dyDescent="0.4">
      <c r="A3" s="58" t="s">
        <v>8</v>
      </c>
      <c r="B3" s="86">
        <v>870</v>
      </c>
      <c r="C3" s="87"/>
      <c r="E3" s="68" t="s">
        <v>71</v>
      </c>
      <c r="F3" s="64" t="s">
        <v>25</v>
      </c>
      <c r="G3" s="50">
        <v>85</v>
      </c>
      <c r="H3" s="27">
        <f>IF(B$25=0,0,G3/B$25)</f>
        <v>0.57432432432432434</v>
      </c>
      <c r="J3" s="26">
        <v>1</v>
      </c>
      <c r="K3" s="28">
        <v>15</v>
      </c>
      <c r="M3" s="26" t="s">
        <v>199</v>
      </c>
      <c r="N3" s="45">
        <f t="shared" si="0"/>
        <v>1731.5315315315315</v>
      </c>
      <c r="O3" s="42">
        <v>192200</v>
      </c>
      <c r="P3" s="37">
        <v>111</v>
      </c>
    </row>
    <row r="4" spans="1:16" x14ac:dyDescent="0.4">
      <c r="A4" s="58" t="s">
        <v>6</v>
      </c>
      <c r="B4" s="88">
        <v>526.50000000000011</v>
      </c>
      <c r="C4" s="89"/>
      <c r="E4" s="68" t="s">
        <v>78</v>
      </c>
      <c r="F4" s="64" t="s">
        <v>31</v>
      </c>
      <c r="G4" s="50">
        <v>80</v>
      </c>
      <c r="H4" s="27">
        <f>IF(B$25=0,0,G4/B$25)</f>
        <v>0.54054054054054057</v>
      </c>
      <c r="J4" s="26">
        <v>2</v>
      </c>
      <c r="K4" s="28">
        <v>14</v>
      </c>
      <c r="M4" s="26" t="s">
        <v>200</v>
      </c>
      <c r="N4" s="45">
        <f t="shared" si="0"/>
        <v>960.78431372549016</v>
      </c>
      <c r="O4" s="42">
        <v>98000</v>
      </c>
      <c r="P4" s="37">
        <v>102</v>
      </c>
    </row>
    <row r="5" spans="1:16" x14ac:dyDescent="0.4">
      <c r="A5" s="58" t="s">
        <v>7</v>
      </c>
      <c r="B5" s="88">
        <f>IF(B$2=0,0,B$4/B$2)</f>
        <v>4.3512396694214885</v>
      </c>
      <c r="C5" s="89"/>
      <c r="E5" s="68" t="s">
        <v>69</v>
      </c>
      <c r="F5" s="64" t="s">
        <v>23</v>
      </c>
      <c r="G5" s="50">
        <v>79</v>
      </c>
      <c r="H5" s="27">
        <f>IF(B$25=0,0,G5/B$25)</f>
        <v>0.53378378378378377</v>
      </c>
      <c r="J5" s="26">
        <v>3</v>
      </c>
      <c r="K5" s="28">
        <v>29.1</v>
      </c>
      <c r="M5" s="26" t="s">
        <v>201</v>
      </c>
      <c r="N5" s="45">
        <f t="shared" si="0"/>
        <v>1286.5168539325844</v>
      </c>
      <c r="O5" s="42">
        <v>114500</v>
      </c>
      <c r="P5" s="37">
        <v>89</v>
      </c>
    </row>
    <row r="6" spans="1:16" x14ac:dyDescent="0.4">
      <c r="A6" s="58" t="s">
        <v>1</v>
      </c>
      <c r="B6" s="90">
        <f>IF(B$2=0,0,(B$7*1+B$8*2+B$9*3)/B$2)</f>
        <v>1.8512396694214877</v>
      </c>
      <c r="C6" s="91"/>
      <c r="E6" s="68" t="s">
        <v>74</v>
      </c>
      <c r="F6" s="64" t="s">
        <v>12</v>
      </c>
      <c r="G6" s="50">
        <v>40</v>
      </c>
      <c r="H6" s="27">
        <f>IF(B$25=0,0,G6/B$25)</f>
        <v>0.27027027027027029</v>
      </c>
      <c r="J6" s="26">
        <v>4</v>
      </c>
      <c r="K6" s="28">
        <v>114.30000000000001</v>
      </c>
      <c r="M6" s="26" t="s">
        <v>202</v>
      </c>
      <c r="N6" s="45">
        <f t="shared" si="0"/>
        <v>319.44444444444446</v>
      </c>
      <c r="O6" s="42">
        <v>23000</v>
      </c>
      <c r="P6" s="37">
        <v>72</v>
      </c>
    </row>
    <row r="7" spans="1:16" x14ac:dyDescent="0.4">
      <c r="A7" s="58" t="s">
        <v>2</v>
      </c>
      <c r="B7" s="50">
        <v>48</v>
      </c>
      <c r="C7" s="27">
        <f>IF(B$2=0,0,B7/B$2)</f>
        <v>0.39669421487603307</v>
      </c>
      <c r="E7" s="68" t="s">
        <v>72</v>
      </c>
      <c r="F7" s="64" t="s">
        <v>26</v>
      </c>
      <c r="G7" s="50">
        <v>36</v>
      </c>
      <c r="H7" s="27">
        <f>IF(B$25=0,0,G7/B$25)</f>
        <v>0.24324324324324326</v>
      </c>
      <c r="J7" s="26">
        <v>5</v>
      </c>
      <c r="K7" s="28">
        <v>145.80000000000001</v>
      </c>
      <c r="M7" s="31" t="s">
        <v>203</v>
      </c>
      <c r="N7" s="46">
        <f t="shared" si="0"/>
        <v>-377.35849056603774</v>
      </c>
      <c r="O7" s="43">
        <v>-20000</v>
      </c>
      <c r="P7" s="38">
        <v>53</v>
      </c>
    </row>
    <row r="8" spans="1:16" x14ac:dyDescent="0.4">
      <c r="A8" s="58" t="s">
        <v>3</v>
      </c>
      <c r="B8" s="50">
        <v>43</v>
      </c>
      <c r="C8" s="27">
        <f t="shared" ref="C8:C9" si="1">IF(B$2=0,0,B8/B$2)</f>
        <v>0.35537190082644626</v>
      </c>
      <c r="E8" s="68" t="s">
        <v>75</v>
      </c>
      <c r="F8" s="64" t="s">
        <v>28</v>
      </c>
      <c r="G8" s="50">
        <v>26</v>
      </c>
      <c r="H8" s="27">
        <f>IF(B$25=0,0,G8/B$25)</f>
        <v>0.17567567567567569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30</v>
      </c>
      <c r="C9" s="29">
        <f t="shared" si="1"/>
        <v>0.24793388429752067</v>
      </c>
      <c r="E9" s="68" t="s">
        <v>96</v>
      </c>
      <c r="F9" s="64" t="s">
        <v>49</v>
      </c>
      <c r="G9" s="50">
        <v>21</v>
      </c>
      <c r="H9" s="27">
        <f>IF(B$25=0,0,G9/B$25)</f>
        <v>0.14189189189189189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16</v>
      </c>
      <c r="C10" s="29">
        <f>IF(B$2=0,0,B10/B$2)</f>
        <v>0.13223140495867769</v>
      </c>
      <c r="E10" s="68" t="s">
        <v>70</v>
      </c>
      <c r="F10" s="64" t="s">
        <v>24</v>
      </c>
      <c r="G10" s="50">
        <v>12</v>
      </c>
      <c r="H10" s="27">
        <f>IF(B$25=0,0,G10/B$25)</f>
        <v>8.1081081081081086E-2</v>
      </c>
      <c r="J10" s="26">
        <v>8</v>
      </c>
      <c r="K10" s="28">
        <v>55.700000000000017</v>
      </c>
    </row>
    <row r="11" spans="1:16" x14ac:dyDescent="0.4">
      <c r="A11" s="60" t="s">
        <v>208</v>
      </c>
      <c r="B11" s="52">
        <v>27</v>
      </c>
      <c r="C11" s="32">
        <f>IF(B$2=0,0,B11/B$2)</f>
        <v>0.2231404958677686</v>
      </c>
      <c r="E11" s="68" t="s">
        <v>76</v>
      </c>
      <c r="F11" s="64" t="s">
        <v>29</v>
      </c>
      <c r="G11" s="50">
        <v>11</v>
      </c>
      <c r="H11" s="27">
        <f>IF(B$25=0,0,G11/B$25)</f>
        <v>7.4324324324324328E-2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116</v>
      </c>
      <c r="C12" s="35">
        <f>IF(B$24=0,0,B12/B$24)</f>
        <v>0.28501228501228504</v>
      </c>
      <c r="E12" s="68" t="s">
        <v>77</v>
      </c>
      <c r="F12" s="64" t="s">
        <v>30</v>
      </c>
      <c r="G12" s="50">
        <v>10</v>
      </c>
      <c r="H12" s="27">
        <f>IF(B$25=0,0,G12/B$25)</f>
        <v>6.7567567567567571E-2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84</v>
      </c>
      <c r="C13" s="27">
        <f>IF(B$24=0,0,B13/B$24)</f>
        <v>0.20638820638820637</v>
      </c>
      <c r="E13" s="68" t="s">
        <v>93</v>
      </c>
      <c r="F13" s="64" t="s">
        <v>46</v>
      </c>
      <c r="G13" s="50">
        <v>8</v>
      </c>
      <c r="H13" s="27">
        <f>IF(B$25=0,0,G13/B$25)</f>
        <v>5.4054054054054057E-2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83</v>
      </c>
      <c r="C14" s="24">
        <f>IF(B$12=0,0,B14/B$12)</f>
        <v>0.71551724137931039</v>
      </c>
      <c r="E14" s="68" t="s">
        <v>90</v>
      </c>
      <c r="F14" s="64" t="s">
        <v>43</v>
      </c>
      <c r="G14" s="50">
        <v>5</v>
      </c>
      <c r="H14" s="27">
        <f>IF(B$25=0,0,G14/B$25)</f>
        <v>3.3783783783783786E-2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37</v>
      </c>
      <c r="C15" s="24">
        <f>IF(B$13=0,0,B15/B$13)</f>
        <v>0.44047619047619047</v>
      </c>
      <c r="E15" s="68" t="s">
        <v>88</v>
      </c>
      <c r="F15" s="64" t="s">
        <v>41</v>
      </c>
      <c r="G15" s="50">
        <v>3</v>
      </c>
      <c r="H15" s="27">
        <f>IF(B$25=0,0,G15/B$25)</f>
        <v>2.0270270270270271E-2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B17+B18</f>
        <v>307</v>
      </c>
      <c r="C16" s="24">
        <f>IF(B$3=0,0,B16/B$3)</f>
        <v>0.35287356321839081</v>
      </c>
      <c r="E16" s="68" t="s">
        <v>83</v>
      </c>
      <c r="F16" s="64" t="s">
        <v>36</v>
      </c>
      <c r="G16" s="50">
        <v>3</v>
      </c>
      <c r="H16" s="27">
        <f>IF(B$25=0,0,G16/B$25)</f>
        <v>2.0270270270270271E-2</v>
      </c>
      <c r="J16" s="26">
        <v>14</v>
      </c>
      <c r="K16" s="28">
        <v>27.300000000000011</v>
      </c>
    </row>
    <row r="17" spans="1:11" x14ac:dyDescent="0.4">
      <c r="A17" s="58" t="s">
        <v>11</v>
      </c>
      <c r="B17" s="50">
        <v>194</v>
      </c>
      <c r="C17" s="27">
        <f>IF(B$3=0,0,B17/B$3)</f>
        <v>0.22298850574712645</v>
      </c>
      <c r="E17" s="68" t="s">
        <v>79</v>
      </c>
      <c r="F17" s="64" t="s">
        <v>32</v>
      </c>
      <c r="G17" s="50">
        <v>2</v>
      </c>
      <c r="H17" s="27">
        <f>IF(B$25=0,0,G17/B$25)</f>
        <v>1.3513513513513514E-2</v>
      </c>
      <c r="J17" s="26">
        <v>15</v>
      </c>
      <c r="K17" s="28">
        <v>-9.6999999999999886</v>
      </c>
    </row>
    <row r="18" spans="1:11" x14ac:dyDescent="0.4">
      <c r="A18" s="58" t="s">
        <v>12</v>
      </c>
      <c r="B18" s="50">
        <v>113</v>
      </c>
      <c r="C18" s="27">
        <f>IF(B$3=0,0,B18/B$3)</f>
        <v>0.12988505747126436</v>
      </c>
      <c r="E18" s="68" t="s">
        <v>99</v>
      </c>
      <c r="F18" s="64" t="s">
        <v>52</v>
      </c>
      <c r="G18" s="50">
        <v>2</v>
      </c>
      <c r="H18" s="27">
        <f>IF(B$25=0,0,G18/B$25)</f>
        <v>1.3513513513513514E-2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136</v>
      </c>
      <c r="C19" s="27">
        <f>IF(B$3=0,0,B19/B$3)</f>
        <v>0.15632183908045977</v>
      </c>
      <c r="E19" s="68" t="s">
        <v>81</v>
      </c>
      <c r="F19" s="64" t="s">
        <v>34</v>
      </c>
      <c r="G19" s="50">
        <v>1</v>
      </c>
      <c r="H19" s="27">
        <f>IF(B$25=0,0,G19/B$25)</f>
        <v>6.7567567567567571E-3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9923.7785016286653</v>
      </c>
      <c r="C20" s="30">
        <v>3046600</v>
      </c>
      <c r="E20" s="68" t="s">
        <v>84</v>
      </c>
      <c r="F20" s="64" t="s">
        <v>37</v>
      </c>
      <c r="G20" s="50">
        <v>1</v>
      </c>
      <c r="H20" s="27">
        <f>IF(B$25=0,0,G20/B$25)</f>
        <v>6.7567567567567571E-3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-9863.9705882352937</v>
      </c>
      <c r="C21" s="48">
        <v>-1341500</v>
      </c>
      <c r="E21" s="68" t="s">
        <v>85</v>
      </c>
      <c r="F21" s="64" t="s">
        <v>38</v>
      </c>
      <c r="G21" s="50">
        <v>1</v>
      </c>
      <c r="H21" s="27">
        <f>IF(B$25=0,0,G21/B$25)</f>
        <v>6.7567567567567571E-3</v>
      </c>
      <c r="J21" s="26">
        <v>19</v>
      </c>
      <c r="K21" s="28">
        <v>42.600000000000016</v>
      </c>
    </row>
    <row r="22" spans="1:11" x14ac:dyDescent="0.4">
      <c r="A22" s="57" t="s">
        <v>195</v>
      </c>
      <c r="B22" s="49">
        <v>309</v>
      </c>
      <c r="C22" s="24">
        <f>IF(B$3=0,0,B22/B$3)</f>
        <v>0.35517241379310344</v>
      </c>
      <c r="E22" s="68" t="s">
        <v>92</v>
      </c>
      <c r="F22" s="64" t="s">
        <v>45</v>
      </c>
      <c r="G22" s="50">
        <v>1</v>
      </c>
      <c r="H22" s="27">
        <f>IF(B$25=0,0,G22/B$25)</f>
        <v>6.7567567567567571E-3</v>
      </c>
      <c r="J22" s="26">
        <v>20</v>
      </c>
      <c r="K22" s="28">
        <v>68.800000000000011</v>
      </c>
    </row>
    <row r="23" spans="1:11" x14ac:dyDescent="0.4">
      <c r="A23" s="60" t="s">
        <v>196</v>
      </c>
      <c r="B23" s="52">
        <v>130</v>
      </c>
      <c r="C23" s="32">
        <f>IF(B$22=0,0,B23/B$22)</f>
        <v>0.42071197411003236</v>
      </c>
      <c r="E23" s="68" t="s">
        <v>94</v>
      </c>
      <c r="F23" s="64" t="s">
        <v>47</v>
      </c>
      <c r="G23" s="50">
        <v>1</v>
      </c>
      <c r="H23" s="27">
        <f>IF(B$25=0,0,G23/B$25)</f>
        <v>6.7567567567567571E-3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0">
        <v>407</v>
      </c>
      <c r="C24" s="81"/>
      <c r="E24" s="68" t="s">
        <v>98</v>
      </c>
      <c r="F24" s="64" t="s">
        <v>51</v>
      </c>
      <c r="G24" s="50">
        <v>1</v>
      </c>
      <c r="H24" s="27">
        <f>IF(B$25=0,0,G24/B$25)</f>
        <v>6.7567567567567571E-3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2">
        <v>148</v>
      </c>
      <c r="C25" s="83"/>
      <c r="E25" s="68" t="s">
        <v>113</v>
      </c>
      <c r="F25" s="64" t="s">
        <v>120</v>
      </c>
      <c r="G25" s="50">
        <v>1</v>
      </c>
      <c r="H25" s="27">
        <f>IF(B$25=0,0,G25/B$25)</f>
        <v>6.7567567567567571E-3</v>
      </c>
      <c r="J25" s="26">
        <v>23</v>
      </c>
      <c r="K25" s="28">
        <v>124.50000000000001</v>
      </c>
    </row>
    <row r="26" spans="1:11" x14ac:dyDescent="0.4"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">
      <c r="E27" s="68" t="s">
        <v>82</v>
      </c>
      <c r="F27" s="64" t="s">
        <v>35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86</v>
      </c>
      <c r="F28" s="64" t="s">
        <v>39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87</v>
      </c>
      <c r="F29" s="64" t="s">
        <v>40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89</v>
      </c>
      <c r="F30" s="64" t="s">
        <v>42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91</v>
      </c>
      <c r="F31" s="64" t="s">
        <v>44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95</v>
      </c>
      <c r="F32" s="64" t="s">
        <v>48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97</v>
      </c>
      <c r="F33" s="64" t="s">
        <v>50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</sheetData>
  <sortState ref="E2:H123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3DE0D-D12E-4729-AFC2-601361078E4D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191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86">
        <v>25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199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88">
        <v>-132.1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200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88">
        <f>IF(B$2=0,0,B$4/B$2)</f>
        <v>-33.024999999999999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201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0">
        <f>IF(B$2=0,0,(B$7*1+B$8*2+B$9*3)/B$2)</f>
        <v>3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202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54269-24DF-4EF0-BA7F-53A94F0F88A3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215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2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">
      <c r="A3" s="58" t="s">
        <v>8</v>
      </c>
      <c r="B3" s="86">
        <v>7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199</v>
      </c>
      <c r="N3" s="45">
        <f t="shared" si="0"/>
        <v>0</v>
      </c>
      <c r="O3" s="42">
        <v>0</v>
      </c>
      <c r="P3" s="37">
        <v>1</v>
      </c>
    </row>
    <row r="4" spans="1:16" x14ac:dyDescent="0.4">
      <c r="A4" s="58" t="s">
        <v>6</v>
      </c>
      <c r="B4" s="88">
        <v>-24.5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200</v>
      </c>
      <c r="N4" s="45">
        <f t="shared" si="0"/>
        <v>-2000</v>
      </c>
      <c r="O4" s="42">
        <v>-2000</v>
      </c>
      <c r="P4" s="37">
        <v>1</v>
      </c>
    </row>
    <row r="5" spans="1:16" x14ac:dyDescent="0.4">
      <c r="A5" s="58" t="s">
        <v>7</v>
      </c>
      <c r="B5" s="88">
        <f>IF(B$2=0,0,B$4/B$2)</f>
        <v>-12.25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201</v>
      </c>
      <c r="N5" s="45">
        <f t="shared" si="0"/>
        <v>0</v>
      </c>
      <c r="O5" s="42">
        <v>0</v>
      </c>
      <c r="P5" s="37">
        <v>0</v>
      </c>
    </row>
    <row r="6" spans="1:16" x14ac:dyDescent="0.4">
      <c r="A6" s="58" t="s">
        <v>1</v>
      </c>
      <c r="B6" s="90">
        <f>IF(B$2=0,0,(B$7*1+B$8*2+B$9*3)/B$2)</f>
        <v>2.5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202</v>
      </c>
      <c r="N6" s="45">
        <f t="shared" si="0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2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CE3ED-3532-4517-ACB6-A66E92630BB0}">
  <sheetPr codeName="Sheet7"/>
  <dimension ref="A1:P8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187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85</v>
      </c>
      <c r="C2" s="81"/>
      <c r="E2" s="67" t="s">
        <v>73</v>
      </c>
      <c r="F2" s="63" t="s">
        <v>27</v>
      </c>
      <c r="G2" s="49">
        <v>78</v>
      </c>
      <c r="H2" s="24">
        <f>IF(B$25=0,0,G2/B$25)</f>
        <v>0.78</v>
      </c>
      <c r="J2" s="23">
        <v>0</v>
      </c>
      <c r="K2" s="25">
        <v>0</v>
      </c>
      <c r="M2" s="23" t="s">
        <v>198</v>
      </c>
      <c r="N2" s="44">
        <f t="shared" ref="N2:N7" si="0">IF(P2=0,0,O2/P2)</f>
        <v>-93.975903614457835</v>
      </c>
      <c r="O2" s="41">
        <v>-7800</v>
      </c>
      <c r="P2" s="39">
        <v>83</v>
      </c>
    </row>
    <row r="3" spans="1:16" x14ac:dyDescent="0.4">
      <c r="A3" s="58" t="s">
        <v>8</v>
      </c>
      <c r="B3" s="86">
        <v>635</v>
      </c>
      <c r="C3" s="87"/>
      <c r="E3" s="68" t="s">
        <v>71</v>
      </c>
      <c r="F3" s="64" t="s">
        <v>25</v>
      </c>
      <c r="G3" s="50">
        <v>67</v>
      </c>
      <c r="H3" s="27">
        <f>IF(B$25=0,0,G3/B$25)</f>
        <v>0.67</v>
      </c>
      <c r="J3" s="26">
        <v>1</v>
      </c>
      <c r="K3" s="28">
        <v>40.9</v>
      </c>
      <c r="M3" s="26" t="s">
        <v>199</v>
      </c>
      <c r="N3" s="45">
        <f t="shared" si="0"/>
        <v>-2065.8227848101264</v>
      </c>
      <c r="O3" s="42">
        <v>-163200</v>
      </c>
      <c r="P3" s="37">
        <v>79</v>
      </c>
    </row>
    <row r="4" spans="1:16" x14ac:dyDescent="0.4">
      <c r="A4" s="58" t="s">
        <v>6</v>
      </c>
      <c r="B4" s="88">
        <v>-409.89999999999992</v>
      </c>
      <c r="C4" s="89"/>
      <c r="E4" s="68" t="s">
        <v>69</v>
      </c>
      <c r="F4" s="64" t="s">
        <v>23</v>
      </c>
      <c r="G4" s="50">
        <v>58</v>
      </c>
      <c r="H4" s="27">
        <f>IF(B$25=0,0,G4/B$25)</f>
        <v>0.57999999999999996</v>
      </c>
      <c r="J4" s="26">
        <v>2</v>
      </c>
      <c r="K4" s="28">
        <v>-0.89999999999999858</v>
      </c>
      <c r="M4" s="26" t="s">
        <v>200</v>
      </c>
      <c r="N4" s="45">
        <f t="shared" si="0"/>
        <v>1719.7368421052631</v>
      </c>
      <c r="O4" s="42">
        <v>130700</v>
      </c>
      <c r="P4" s="37">
        <v>76</v>
      </c>
    </row>
    <row r="5" spans="1:16" x14ac:dyDescent="0.4">
      <c r="A5" s="58" t="s">
        <v>7</v>
      </c>
      <c r="B5" s="88">
        <f>IF(B$2=0,0,B$4/B$2)</f>
        <v>-4.8223529411764696</v>
      </c>
      <c r="C5" s="89"/>
      <c r="E5" s="68" t="s">
        <v>78</v>
      </c>
      <c r="F5" s="64" t="s">
        <v>31</v>
      </c>
      <c r="G5" s="50">
        <v>55</v>
      </c>
      <c r="H5" s="27">
        <f>IF(B$25=0,0,G5/B$25)</f>
        <v>0.55000000000000004</v>
      </c>
      <c r="J5" s="26">
        <v>3</v>
      </c>
      <c r="K5" s="28">
        <v>-36.4</v>
      </c>
      <c r="M5" s="26" t="s">
        <v>201</v>
      </c>
      <c r="N5" s="45">
        <f t="shared" si="0"/>
        <v>-2104.4776119402986</v>
      </c>
      <c r="O5" s="42">
        <v>-141000</v>
      </c>
      <c r="P5" s="37">
        <v>67</v>
      </c>
    </row>
    <row r="6" spans="1:16" x14ac:dyDescent="0.4">
      <c r="A6" s="58" t="s">
        <v>1</v>
      </c>
      <c r="B6" s="90">
        <f>IF(B$2=0,0,(B$7*1+B$8*2+B$9*3)/B$2)</f>
        <v>2.1294117647058823</v>
      </c>
      <c r="C6" s="91"/>
      <c r="E6" s="68" t="s">
        <v>74</v>
      </c>
      <c r="F6" s="64" t="s">
        <v>12</v>
      </c>
      <c r="G6" s="50">
        <v>32</v>
      </c>
      <c r="H6" s="27">
        <f>IF(B$25=0,0,G6/B$25)</f>
        <v>0.32</v>
      </c>
      <c r="J6" s="26">
        <v>4</v>
      </c>
      <c r="K6" s="28">
        <v>3.6000000000000014</v>
      </c>
      <c r="M6" s="26" t="s">
        <v>202</v>
      </c>
      <c r="N6" s="45">
        <f t="shared" si="0"/>
        <v>-2888.8888888888887</v>
      </c>
      <c r="O6" s="42">
        <v>-156000</v>
      </c>
      <c r="P6" s="37">
        <v>54</v>
      </c>
    </row>
    <row r="7" spans="1:16" x14ac:dyDescent="0.4">
      <c r="A7" s="58" t="s">
        <v>2</v>
      </c>
      <c r="B7" s="50">
        <v>25</v>
      </c>
      <c r="C7" s="27">
        <f>IF(B$2=0,0,B7/B$2)</f>
        <v>0.29411764705882354</v>
      </c>
      <c r="E7" s="68" t="s">
        <v>72</v>
      </c>
      <c r="F7" s="64" t="s">
        <v>26</v>
      </c>
      <c r="G7" s="50">
        <v>24</v>
      </c>
      <c r="H7" s="27">
        <f>IF(B$25=0,0,G7/B$25)</f>
        <v>0.24</v>
      </c>
      <c r="J7" s="26">
        <v>5</v>
      </c>
      <c r="K7" s="28">
        <v>14.600000000000001</v>
      </c>
      <c r="M7" s="31" t="s">
        <v>203</v>
      </c>
      <c r="N7" s="46">
        <f t="shared" si="0"/>
        <v>-2697.560975609756</v>
      </c>
      <c r="O7" s="43">
        <v>-110600</v>
      </c>
      <c r="P7" s="38">
        <v>41</v>
      </c>
    </row>
    <row r="8" spans="1:16" x14ac:dyDescent="0.4">
      <c r="A8" s="58" t="s">
        <v>3</v>
      </c>
      <c r="B8" s="50">
        <v>24</v>
      </c>
      <c r="C8" s="27">
        <f t="shared" ref="C8:C9" si="1">IF(B$2=0,0,B8/B$2)</f>
        <v>0.28235294117647058</v>
      </c>
      <c r="E8" s="68" t="s">
        <v>75</v>
      </c>
      <c r="F8" s="64" t="s">
        <v>28</v>
      </c>
      <c r="G8" s="50">
        <v>14</v>
      </c>
      <c r="H8" s="27">
        <f>IF(B$25=0,0,G8/B$25)</f>
        <v>0.14000000000000001</v>
      </c>
      <c r="J8" s="26">
        <v>6</v>
      </c>
      <c r="K8" s="28">
        <v>47.6</v>
      </c>
    </row>
    <row r="9" spans="1:16" x14ac:dyDescent="0.4">
      <c r="A9" s="59" t="s">
        <v>4</v>
      </c>
      <c r="B9" s="51">
        <v>36</v>
      </c>
      <c r="C9" s="29">
        <f t="shared" si="1"/>
        <v>0.42352941176470588</v>
      </c>
      <c r="E9" s="68" t="s">
        <v>76</v>
      </c>
      <c r="F9" s="64" t="s">
        <v>29</v>
      </c>
      <c r="G9" s="50">
        <v>14</v>
      </c>
      <c r="H9" s="27">
        <f>IF(B$25=0,0,G9/B$25)</f>
        <v>0.14000000000000001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21</v>
      </c>
      <c r="C10" s="29">
        <f>IF(B$2=0,0,B10/B$2)</f>
        <v>0.24705882352941178</v>
      </c>
      <c r="E10" s="68" t="s">
        <v>96</v>
      </c>
      <c r="F10" s="64" t="s">
        <v>49</v>
      </c>
      <c r="G10" s="50">
        <v>14</v>
      </c>
      <c r="H10" s="27">
        <f>IF(B$25=0,0,G10/B$25)</f>
        <v>0.14000000000000001</v>
      </c>
      <c r="J10" s="26">
        <v>8</v>
      </c>
      <c r="K10" s="28">
        <v>60.199999999999996</v>
      </c>
    </row>
    <row r="11" spans="1:16" x14ac:dyDescent="0.4">
      <c r="A11" s="60" t="s">
        <v>208</v>
      </c>
      <c r="B11" s="52">
        <v>13</v>
      </c>
      <c r="C11" s="32">
        <f>IF(B$2=0,0,B11/B$2)</f>
        <v>0.15294117647058825</v>
      </c>
      <c r="E11" s="68" t="s">
        <v>93</v>
      </c>
      <c r="F11" s="64" t="s">
        <v>46</v>
      </c>
      <c r="G11" s="50">
        <v>13</v>
      </c>
      <c r="H11" s="27">
        <f>IF(B$25=0,0,G11/B$25)</f>
        <v>0.13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106</v>
      </c>
      <c r="C12" s="35">
        <f>IF(B$24=0,0,B12/B$24)</f>
        <v>0.28342245989304815</v>
      </c>
      <c r="E12" s="68" t="s">
        <v>70</v>
      </c>
      <c r="F12" s="64" t="s">
        <v>24</v>
      </c>
      <c r="G12" s="50">
        <v>12</v>
      </c>
      <c r="H12" s="27">
        <f>IF(B$25=0,0,G12/B$25)</f>
        <v>0.12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67</v>
      </c>
      <c r="C13" s="27">
        <f>IF(B$24=0,0,B13/B$24)</f>
        <v>0.17914438502673796</v>
      </c>
      <c r="E13" s="68" t="s">
        <v>90</v>
      </c>
      <c r="F13" s="64" t="s">
        <v>43</v>
      </c>
      <c r="G13" s="50">
        <v>10</v>
      </c>
      <c r="H13" s="27">
        <f>IF(B$25=0,0,G13/B$25)</f>
        <v>0.1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59</v>
      </c>
      <c r="C14" s="24">
        <f>IF(B$12=0,0,B14/B$12)</f>
        <v>0.55660377358490565</v>
      </c>
      <c r="E14" s="68" t="s">
        <v>98</v>
      </c>
      <c r="F14" s="64" t="s">
        <v>51</v>
      </c>
      <c r="G14" s="50">
        <v>6</v>
      </c>
      <c r="H14" s="27">
        <f>IF(B$25=0,0,G14/B$25)</f>
        <v>0.06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26</v>
      </c>
      <c r="C15" s="24">
        <f>IF(B$13=0,0,B15/B$13)</f>
        <v>0.38805970149253732</v>
      </c>
      <c r="E15" s="68" t="s">
        <v>77</v>
      </c>
      <c r="F15" s="64" t="s">
        <v>30</v>
      </c>
      <c r="G15" s="50">
        <v>4</v>
      </c>
      <c r="H15" s="27">
        <f>IF(B$25=0,0,G15/B$25)</f>
        <v>0.04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B17+B18</f>
        <v>161</v>
      </c>
      <c r="C16" s="24">
        <f>IF(B$3=0,0,B16/B$3)</f>
        <v>0.25354330708661416</v>
      </c>
      <c r="E16" s="68" t="s">
        <v>88</v>
      </c>
      <c r="F16" s="64" t="s">
        <v>41</v>
      </c>
      <c r="G16" s="50">
        <v>4</v>
      </c>
      <c r="H16" s="27">
        <f>IF(B$25=0,0,G16/B$25)</f>
        <v>0.04</v>
      </c>
      <c r="J16" s="26">
        <v>14</v>
      </c>
      <c r="K16" s="28">
        <v>33</v>
      </c>
    </row>
    <row r="17" spans="1:11" x14ac:dyDescent="0.4">
      <c r="A17" s="58" t="s">
        <v>11</v>
      </c>
      <c r="B17" s="50">
        <v>96</v>
      </c>
      <c r="C17" s="27">
        <f>IF(B$3=0,0,B17/B$3)</f>
        <v>0.15118110236220472</v>
      </c>
      <c r="E17" s="68" t="s">
        <v>84</v>
      </c>
      <c r="F17" s="64" t="s">
        <v>37</v>
      </c>
      <c r="G17" s="50">
        <v>2</v>
      </c>
      <c r="H17" s="27">
        <f>IF(B$25=0,0,G17/B$25)</f>
        <v>0.02</v>
      </c>
      <c r="J17" s="26">
        <v>15</v>
      </c>
      <c r="K17" s="28">
        <v>38.5</v>
      </c>
    </row>
    <row r="18" spans="1:11" x14ac:dyDescent="0.4">
      <c r="A18" s="58" t="s">
        <v>12</v>
      </c>
      <c r="B18" s="50">
        <v>65</v>
      </c>
      <c r="C18" s="27">
        <f>IF(B$3=0,0,B18/B$3)</f>
        <v>0.10236220472440945</v>
      </c>
      <c r="E18" s="68" t="s">
        <v>85</v>
      </c>
      <c r="F18" s="64" t="s">
        <v>38</v>
      </c>
      <c r="G18" s="50">
        <v>2</v>
      </c>
      <c r="H18" s="27">
        <f>IF(B$25=0,0,G18/B$25)</f>
        <v>0.02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125</v>
      </c>
      <c r="C19" s="27">
        <f>IF(B$3=0,0,B19/B$3)</f>
        <v>0.19685039370078741</v>
      </c>
      <c r="E19" s="68" t="s">
        <v>92</v>
      </c>
      <c r="F19" s="64" t="s">
        <v>45</v>
      </c>
      <c r="G19" s="50">
        <v>2</v>
      </c>
      <c r="H19" s="27">
        <f>IF(B$25=0,0,G19/B$25)</f>
        <v>0.02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11440.372670807454</v>
      </c>
      <c r="C20" s="30">
        <v>1841900</v>
      </c>
      <c r="E20" s="68" t="s">
        <v>99</v>
      </c>
      <c r="F20" s="64" t="s">
        <v>52</v>
      </c>
      <c r="G20" s="50">
        <v>2</v>
      </c>
      <c r="H20" s="27">
        <f>IF(B$25=0,0,G20/B$25)</f>
        <v>0.02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-10404</v>
      </c>
      <c r="C21" s="48">
        <v>-1300500</v>
      </c>
      <c r="E21" s="68" t="s">
        <v>87</v>
      </c>
      <c r="F21" s="64" t="s">
        <v>40</v>
      </c>
      <c r="G21" s="50">
        <v>1</v>
      </c>
      <c r="H21" s="27">
        <f>IF(B$25=0,0,G21/B$25)</f>
        <v>0.01</v>
      </c>
      <c r="J21" s="26">
        <v>19</v>
      </c>
      <c r="K21" s="28">
        <v>-26.699999999999996</v>
      </c>
    </row>
    <row r="22" spans="1:11" x14ac:dyDescent="0.4">
      <c r="A22" s="57" t="s">
        <v>195</v>
      </c>
      <c r="B22" s="49">
        <v>196</v>
      </c>
      <c r="C22" s="24">
        <f>IF(B$3=0,0,B22/B$3)</f>
        <v>0.30866141732283464</v>
      </c>
      <c r="E22" s="68" t="s">
        <v>91</v>
      </c>
      <c r="F22" s="64" t="s">
        <v>44</v>
      </c>
      <c r="G22" s="50">
        <v>1</v>
      </c>
      <c r="H22" s="27">
        <f>IF(B$25=0,0,G22/B$25)</f>
        <v>0.01</v>
      </c>
      <c r="J22" s="26">
        <v>20</v>
      </c>
      <c r="K22" s="28">
        <v>-57.899999999999991</v>
      </c>
    </row>
    <row r="23" spans="1:11" x14ac:dyDescent="0.4">
      <c r="A23" s="60" t="s">
        <v>196</v>
      </c>
      <c r="B23" s="52">
        <v>60</v>
      </c>
      <c r="C23" s="32">
        <f>IF(B$22=0,0,B23/B$22)</f>
        <v>0.30612244897959184</v>
      </c>
      <c r="E23" s="68" t="s">
        <v>94</v>
      </c>
      <c r="F23" s="64" t="s">
        <v>47</v>
      </c>
      <c r="G23" s="50">
        <v>1</v>
      </c>
      <c r="H23" s="27">
        <f>IF(B$25=0,0,G23/B$25)</f>
        <v>0.01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0">
        <v>374</v>
      </c>
      <c r="C24" s="81"/>
      <c r="E24" s="68" t="s">
        <v>95</v>
      </c>
      <c r="F24" s="64" t="s">
        <v>48</v>
      </c>
      <c r="G24" s="50">
        <v>1</v>
      </c>
      <c r="H24" s="27">
        <f>IF(B$25=0,0,G24/B$25)</f>
        <v>0.01</v>
      </c>
      <c r="J24" s="26">
        <v>22</v>
      </c>
      <c r="K24" s="28">
        <v>-94.6</v>
      </c>
    </row>
    <row r="25" spans="1:11" x14ac:dyDescent="0.4">
      <c r="A25" s="60" t="s">
        <v>129</v>
      </c>
      <c r="B25" s="82">
        <v>100</v>
      </c>
      <c r="C25" s="83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</sheetData>
  <sortState ref="E2:H87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531C-A63D-49F3-AC59-179747AC6C66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188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45</v>
      </c>
      <c r="C2" s="81"/>
      <c r="E2" s="67" t="s">
        <v>71</v>
      </c>
      <c r="F2" s="63" t="s">
        <v>25</v>
      </c>
      <c r="G2" s="49">
        <v>23</v>
      </c>
      <c r="H2" s="24">
        <f>IF(B$25=0,0,G2/B$25)</f>
        <v>0.95833333333333337</v>
      </c>
      <c r="J2" s="23">
        <v>0</v>
      </c>
      <c r="K2" s="25">
        <v>0</v>
      </c>
      <c r="M2" s="23" t="s">
        <v>198</v>
      </c>
      <c r="N2" s="44">
        <f t="shared" ref="N2:N7" si="0">IF(P2=0,0,O2/P2)</f>
        <v>-895.55555555555554</v>
      </c>
      <c r="O2" s="41">
        <v>-40300</v>
      </c>
      <c r="P2" s="39">
        <v>45</v>
      </c>
    </row>
    <row r="3" spans="1:16" x14ac:dyDescent="0.4">
      <c r="A3" s="58" t="s">
        <v>8</v>
      </c>
      <c r="B3" s="86">
        <v>317</v>
      </c>
      <c r="C3" s="87"/>
      <c r="E3" s="68" t="s">
        <v>73</v>
      </c>
      <c r="F3" s="64" t="s">
        <v>27</v>
      </c>
      <c r="G3" s="50">
        <v>22</v>
      </c>
      <c r="H3" s="27">
        <f>IF(B$25=0,0,G3/B$25)</f>
        <v>0.91666666666666663</v>
      </c>
      <c r="J3" s="26">
        <v>1</v>
      </c>
      <c r="K3" s="28">
        <v>-39.9</v>
      </c>
      <c r="M3" s="26" t="s">
        <v>199</v>
      </c>
      <c r="N3" s="45">
        <f t="shared" si="0"/>
        <v>3279.0697674418607</v>
      </c>
      <c r="O3" s="42">
        <v>141000</v>
      </c>
      <c r="P3" s="37">
        <v>43</v>
      </c>
    </row>
    <row r="4" spans="1:16" x14ac:dyDescent="0.4">
      <c r="A4" s="58" t="s">
        <v>6</v>
      </c>
      <c r="B4" s="88">
        <v>248.10000000000002</v>
      </c>
      <c r="C4" s="89"/>
      <c r="E4" s="68" t="s">
        <v>78</v>
      </c>
      <c r="F4" s="64" t="s">
        <v>31</v>
      </c>
      <c r="G4" s="50">
        <v>18</v>
      </c>
      <c r="H4" s="27">
        <f>IF(B$25=0,0,G4/B$25)</f>
        <v>0.75</v>
      </c>
      <c r="J4" s="26">
        <v>2</v>
      </c>
      <c r="K4" s="28">
        <v>-13.2</v>
      </c>
      <c r="M4" s="26" t="s">
        <v>200</v>
      </c>
      <c r="N4" s="45">
        <f t="shared" si="0"/>
        <v>-307.3170731707317</v>
      </c>
      <c r="O4" s="42">
        <v>-12600</v>
      </c>
      <c r="P4" s="37">
        <v>41</v>
      </c>
    </row>
    <row r="5" spans="1:16" x14ac:dyDescent="0.4">
      <c r="A5" s="58" t="s">
        <v>7</v>
      </c>
      <c r="B5" s="88">
        <f>IF(B$2=0,0,B$4/B$2)</f>
        <v>5.5133333333333336</v>
      </c>
      <c r="C5" s="89"/>
      <c r="E5" s="68" t="s">
        <v>69</v>
      </c>
      <c r="F5" s="64" t="s">
        <v>23</v>
      </c>
      <c r="G5" s="50">
        <v>9</v>
      </c>
      <c r="H5" s="27">
        <f>IF(B$25=0,0,G5/B$25)</f>
        <v>0.375</v>
      </c>
      <c r="J5" s="26">
        <v>3</v>
      </c>
      <c r="K5" s="28">
        <v>-57.7</v>
      </c>
      <c r="M5" s="26" t="s">
        <v>201</v>
      </c>
      <c r="N5" s="45">
        <f t="shared" si="0"/>
        <v>-1417.6470588235295</v>
      </c>
      <c r="O5" s="42">
        <v>-48200</v>
      </c>
      <c r="P5" s="37">
        <v>34</v>
      </c>
    </row>
    <row r="6" spans="1:16" x14ac:dyDescent="0.4">
      <c r="A6" s="58" t="s">
        <v>1</v>
      </c>
      <c r="B6" s="90">
        <f>IF(B$2=0,0,(B$7*1+B$8*2+B$9*3)/B$2)</f>
        <v>1.8666666666666667</v>
      </c>
      <c r="C6" s="91"/>
      <c r="E6" s="68" t="s">
        <v>72</v>
      </c>
      <c r="F6" s="64" t="s">
        <v>26</v>
      </c>
      <c r="G6" s="50">
        <v>8</v>
      </c>
      <c r="H6" s="27">
        <f>IF(B$25=0,0,G6/B$25)</f>
        <v>0.33333333333333331</v>
      </c>
      <c r="J6" s="26">
        <v>4</v>
      </c>
      <c r="K6" s="28">
        <v>-53.7</v>
      </c>
      <c r="M6" s="26" t="s">
        <v>202</v>
      </c>
      <c r="N6" s="45">
        <f t="shared" si="0"/>
        <v>7442.8571428571431</v>
      </c>
      <c r="O6" s="42">
        <v>208400</v>
      </c>
      <c r="P6" s="37">
        <v>28</v>
      </c>
    </row>
    <row r="7" spans="1:16" x14ac:dyDescent="0.4">
      <c r="A7" s="58" t="s">
        <v>2</v>
      </c>
      <c r="B7" s="50">
        <v>16</v>
      </c>
      <c r="C7" s="27">
        <f>IF(B$2=0,0,B7/B$2)</f>
        <v>0.35555555555555557</v>
      </c>
      <c r="E7" s="68" t="s">
        <v>74</v>
      </c>
      <c r="F7" s="64" t="s">
        <v>12</v>
      </c>
      <c r="G7" s="50">
        <v>6</v>
      </c>
      <c r="H7" s="27">
        <f>IF(B$25=0,0,G7/B$25)</f>
        <v>0.25</v>
      </c>
      <c r="J7" s="26">
        <v>5</v>
      </c>
      <c r="K7" s="28">
        <v>-45.7</v>
      </c>
      <c r="M7" s="31" t="s">
        <v>203</v>
      </c>
      <c r="N7" s="46">
        <f t="shared" si="0"/>
        <v>122.22222222222223</v>
      </c>
      <c r="O7" s="43">
        <v>2200</v>
      </c>
      <c r="P7" s="38">
        <v>18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0.42222222222222222</v>
      </c>
      <c r="E8" s="68" t="s">
        <v>70</v>
      </c>
      <c r="F8" s="64" t="s">
        <v>24</v>
      </c>
      <c r="G8" s="50">
        <v>3</v>
      </c>
      <c r="H8" s="27">
        <f>IF(B$25=0,0,G8/B$25)</f>
        <v>0.125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10</v>
      </c>
      <c r="C9" s="29">
        <f t="shared" si="1"/>
        <v>0.22222222222222221</v>
      </c>
      <c r="E9" s="68" t="s">
        <v>90</v>
      </c>
      <c r="F9" s="64" t="s">
        <v>43</v>
      </c>
      <c r="G9" s="50">
        <v>3</v>
      </c>
      <c r="H9" s="27">
        <f>IF(B$25=0,0,G9/B$25)</f>
        <v>0.125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5</v>
      </c>
      <c r="C10" s="29">
        <f>IF(B$2=0,0,B10/B$2)</f>
        <v>0.1111111111111111</v>
      </c>
      <c r="E10" s="68" t="s">
        <v>75</v>
      </c>
      <c r="F10" s="64" t="s">
        <v>28</v>
      </c>
      <c r="G10" s="50">
        <v>2</v>
      </c>
      <c r="H10" s="27">
        <f>IF(B$25=0,0,G10/B$25)</f>
        <v>8.3333333333333329E-2</v>
      </c>
      <c r="J10" s="26">
        <v>8</v>
      </c>
      <c r="K10" s="28">
        <v>-59.1</v>
      </c>
    </row>
    <row r="11" spans="1:16" x14ac:dyDescent="0.4">
      <c r="A11" s="60" t="s">
        <v>208</v>
      </c>
      <c r="B11" s="52">
        <v>9</v>
      </c>
      <c r="C11" s="32">
        <f>IF(B$2=0,0,B11/B$2)</f>
        <v>0.2</v>
      </c>
      <c r="E11" s="68" t="s">
        <v>76</v>
      </c>
      <c r="F11" s="64" t="s">
        <v>29</v>
      </c>
      <c r="G11" s="50">
        <v>2</v>
      </c>
      <c r="H11" s="27">
        <f>IF(B$25=0,0,G11/B$25)</f>
        <v>8.3333333333333329E-2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16</v>
      </c>
      <c r="C12" s="35">
        <f>IF(B$24=0,0,B12/B$24)</f>
        <v>0.20253164556962025</v>
      </c>
      <c r="E12" s="68" t="s">
        <v>88</v>
      </c>
      <c r="F12" s="64" t="s">
        <v>41</v>
      </c>
      <c r="G12" s="50">
        <v>2</v>
      </c>
      <c r="H12" s="27">
        <f>IF(B$25=0,0,G12/B$25)</f>
        <v>8.3333333333333329E-2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28</v>
      </c>
      <c r="C13" s="27">
        <f>IF(B$24=0,0,B13/B$24)</f>
        <v>0.35443037974683544</v>
      </c>
      <c r="E13" s="68" t="s">
        <v>96</v>
      </c>
      <c r="F13" s="64" t="s">
        <v>49</v>
      </c>
      <c r="G13" s="50">
        <v>2</v>
      </c>
      <c r="H13" s="27">
        <f>IF(B$25=0,0,G13/B$25)</f>
        <v>8.3333333333333329E-2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9</v>
      </c>
      <c r="C14" s="24">
        <f>IF(B$12=0,0,B14/B$12)</f>
        <v>0.5625</v>
      </c>
      <c r="E14" s="68" t="s">
        <v>84</v>
      </c>
      <c r="F14" s="64" t="s">
        <v>37</v>
      </c>
      <c r="G14" s="50">
        <v>1</v>
      </c>
      <c r="H14" s="27">
        <f>IF(B$25=0,0,G14/B$25)</f>
        <v>4.1666666666666664E-2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10</v>
      </c>
      <c r="C15" s="24">
        <f>IF(B$13=0,0,B15/B$13)</f>
        <v>0.35714285714285715</v>
      </c>
      <c r="E15" s="68" t="s">
        <v>93</v>
      </c>
      <c r="F15" s="64" t="s">
        <v>46</v>
      </c>
      <c r="G15" s="50">
        <v>1</v>
      </c>
      <c r="H15" s="27">
        <f>IF(B$25=0,0,G15/B$25)</f>
        <v>4.1666666666666664E-2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B17+B18</f>
        <v>111</v>
      </c>
      <c r="C16" s="24">
        <f>IF(B$3=0,0,B16/B$3)</f>
        <v>0.35015772870662459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11</v>
      </c>
      <c r="B17" s="50">
        <v>61</v>
      </c>
      <c r="C17" s="27">
        <f>IF(B$3=0,0,B17/B$3)</f>
        <v>0.19242902208201892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12</v>
      </c>
      <c r="B18" s="50">
        <v>50</v>
      </c>
      <c r="C18" s="27">
        <f>IF(B$3=0,0,B18/B$3)</f>
        <v>0.15772870662460567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49</v>
      </c>
      <c r="C19" s="27">
        <f>IF(B$3=0,0,B19/B$3)</f>
        <v>0.15457413249211358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9851.3513513513517</v>
      </c>
      <c r="C20" s="30">
        <v>1093500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-9134.6938775510207</v>
      </c>
      <c r="C21" s="48">
        <v>-447600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195</v>
      </c>
      <c r="B22" s="49">
        <v>115</v>
      </c>
      <c r="C22" s="24">
        <f>IF(B$3=0,0,B22/B$3)</f>
        <v>0.36277602523659308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196</v>
      </c>
      <c r="B23" s="52">
        <v>41</v>
      </c>
      <c r="C23" s="32">
        <f>IF(B$22=0,0,B23/B$22)</f>
        <v>0.35652173913043478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0">
        <v>79</v>
      </c>
      <c r="C24" s="8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2">
        <v>24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5DAF-337C-4359-9631-6EBF1C86DF92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218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5</v>
      </c>
      <c r="C2" s="81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86">
        <v>37</v>
      </c>
      <c r="C3" s="87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88">
        <v>-86.4</v>
      </c>
      <c r="C4" s="89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200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88">
        <f>IF(B$2=0,0,B$4/B$2)</f>
        <v>-17.28</v>
      </c>
      <c r="C5" s="89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201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0">
        <f>IF(B$2=0,0,(B$7*1+B$8*2+B$9*3)/B$2)</f>
        <v>2.2000000000000002</v>
      </c>
      <c r="C6" s="91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202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203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31</v>
      </c>
      <c r="C24" s="81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9</v>
      </c>
      <c r="C25" s="83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6729-577D-4068-8118-67406C44B746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189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40</v>
      </c>
      <c r="C2" s="81"/>
      <c r="E2" s="67" t="s">
        <v>73</v>
      </c>
      <c r="F2" s="63" t="s">
        <v>27</v>
      </c>
      <c r="G2" s="49">
        <v>28</v>
      </c>
      <c r="H2" s="24">
        <f>IF(B$25=0,0,G2/B$25)</f>
        <v>0.875</v>
      </c>
      <c r="J2" s="23">
        <v>0</v>
      </c>
      <c r="K2" s="25">
        <v>0</v>
      </c>
      <c r="M2" s="23" t="s">
        <v>198</v>
      </c>
      <c r="N2" s="44">
        <f t="shared" ref="N2:N7" si="0">IF(P2=0,0,O2/P2)</f>
        <v>-1707.5</v>
      </c>
      <c r="O2" s="41">
        <v>-68300</v>
      </c>
      <c r="P2" s="39">
        <v>40</v>
      </c>
    </row>
    <row r="3" spans="1:16" x14ac:dyDescent="0.4">
      <c r="A3" s="58" t="s">
        <v>8</v>
      </c>
      <c r="B3" s="86">
        <v>307</v>
      </c>
      <c r="C3" s="87"/>
      <c r="E3" s="68" t="s">
        <v>78</v>
      </c>
      <c r="F3" s="64" t="s">
        <v>31</v>
      </c>
      <c r="G3" s="50">
        <v>24</v>
      </c>
      <c r="H3" s="27">
        <f>IF(B$25=0,0,G3/B$25)</f>
        <v>0.75</v>
      </c>
      <c r="J3" s="26">
        <v>1</v>
      </c>
      <c r="K3" s="28">
        <v>68.2</v>
      </c>
      <c r="M3" s="26" t="s">
        <v>199</v>
      </c>
      <c r="N3" s="45">
        <f t="shared" si="0"/>
        <v>-2537.8378378378379</v>
      </c>
      <c r="O3" s="42">
        <v>-93900</v>
      </c>
      <c r="P3" s="37">
        <v>37</v>
      </c>
    </row>
    <row r="4" spans="1:16" x14ac:dyDescent="0.4">
      <c r="A4" s="58" t="s">
        <v>6</v>
      </c>
      <c r="B4" s="88">
        <v>-107.80000000000001</v>
      </c>
      <c r="C4" s="89"/>
      <c r="E4" s="68" t="s">
        <v>71</v>
      </c>
      <c r="F4" s="64" t="s">
        <v>25</v>
      </c>
      <c r="G4" s="50">
        <v>19</v>
      </c>
      <c r="H4" s="27">
        <f>IF(B$25=0,0,G4/B$25)</f>
        <v>0.59375</v>
      </c>
      <c r="J4" s="26">
        <v>2</v>
      </c>
      <c r="K4" s="28">
        <v>58.5</v>
      </c>
      <c r="M4" s="26" t="s">
        <v>200</v>
      </c>
      <c r="N4" s="45">
        <f t="shared" si="0"/>
        <v>-1245.1612903225807</v>
      </c>
      <c r="O4" s="42">
        <v>-38600</v>
      </c>
      <c r="P4" s="37">
        <v>31</v>
      </c>
    </row>
    <row r="5" spans="1:16" x14ac:dyDescent="0.4">
      <c r="A5" s="58" t="s">
        <v>7</v>
      </c>
      <c r="B5" s="88">
        <f>IF(B$2=0,0,B$4/B$2)</f>
        <v>-2.6950000000000003</v>
      </c>
      <c r="C5" s="89"/>
      <c r="E5" s="68" t="s">
        <v>69</v>
      </c>
      <c r="F5" s="64" t="s">
        <v>23</v>
      </c>
      <c r="G5" s="50">
        <v>11</v>
      </c>
      <c r="H5" s="27">
        <f>IF(B$25=0,0,G5/B$25)</f>
        <v>0.34375</v>
      </c>
      <c r="J5" s="26">
        <v>3</v>
      </c>
      <c r="K5" s="28">
        <v>82.1</v>
      </c>
      <c r="M5" s="26" t="s">
        <v>201</v>
      </c>
      <c r="N5" s="45">
        <f t="shared" si="0"/>
        <v>3148.2758620689656</v>
      </c>
      <c r="O5" s="42">
        <v>91300</v>
      </c>
      <c r="P5" s="37">
        <v>29</v>
      </c>
    </row>
    <row r="6" spans="1:16" x14ac:dyDescent="0.4">
      <c r="A6" s="58" t="s">
        <v>1</v>
      </c>
      <c r="B6" s="90">
        <f>IF(B$2=0,0,(B$7*1+B$8*2+B$9*3)/B$2)</f>
        <v>2.1</v>
      </c>
      <c r="C6" s="91"/>
      <c r="E6" s="68" t="s">
        <v>70</v>
      </c>
      <c r="F6" s="64" t="s">
        <v>24</v>
      </c>
      <c r="G6" s="50">
        <v>5</v>
      </c>
      <c r="H6" s="27">
        <f>IF(B$25=0,0,G6/B$25)</f>
        <v>0.15625</v>
      </c>
      <c r="J6" s="26">
        <v>4</v>
      </c>
      <c r="K6" s="28">
        <v>58.199999999999996</v>
      </c>
      <c r="M6" s="26" t="s">
        <v>202</v>
      </c>
      <c r="N6" s="45">
        <f t="shared" si="0"/>
        <v>-986.36363636363637</v>
      </c>
      <c r="O6" s="42">
        <v>-21700</v>
      </c>
      <c r="P6" s="37">
        <v>22</v>
      </c>
    </row>
    <row r="7" spans="1:16" x14ac:dyDescent="0.4">
      <c r="A7" s="58" t="s">
        <v>2</v>
      </c>
      <c r="B7" s="50">
        <v>10</v>
      </c>
      <c r="C7" s="27">
        <f>IF(B$2=0,0,B7/B$2)</f>
        <v>0.25</v>
      </c>
      <c r="E7" s="68" t="s">
        <v>74</v>
      </c>
      <c r="F7" s="64" t="s">
        <v>12</v>
      </c>
      <c r="G7" s="50">
        <v>4</v>
      </c>
      <c r="H7" s="27">
        <f>IF(B$25=0,0,G7/B$25)</f>
        <v>0.125</v>
      </c>
      <c r="J7" s="26">
        <v>5</v>
      </c>
      <c r="K7" s="28">
        <v>124.19999999999999</v>
      </c>
      <c r="M7" s="31" t="s">
        <v>203</v>
      </c>
      <c r="N7" s="46">
        <f t="shared" si="0"/>
        <v>1300</v>
      </c>
      <c r="O7" s="43">
        <v>23400</v>
      </c>
      <c r="P7" s="38">
        <v>18</v>
      </c>
    </row>
    <row r="8" spans="1:16" x14ac:dyDescent="0.4">
      <c r="A8" s="58" t="s">
        <v>3</v>
      </c>
      <c r="B8" s="50">
        <v>16</v>
      </c>
      <c r="C8" s="27">
        <f t="shared" ref="C8:C9" si="1">IF(B$2=0,0,B8/B$2)</f>
        <v>0.4</v>
      </c>
      <c r="E8" s="68" t="s">
        <v>72</v>
      </c>
      <c r="F8" s="64" t="s">
        <v>26</v>
      </c>
      <c r="G8" s="50">
        <v>3</v>
      </c>
      <c r="H8" s="27">
        <f>IF(B$25=0,0,G8/B$25)</f>
        <v>9.375E-2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14</v>
      </c>
      <c r="C9" s="29">
        <f t="shared" si="1"/>
        <v>0.35</v>
      </c>
      <c r="E9" s="68" t="s">
        <v>75</v>
      </c>
      <c r="F9" s="64" t="s">
        <v>28</v>
      </c>
      <c r="G9" s="50">
        <v>3</v>
      </c>
      <c r="H9" s="27">
        <f>IF(B$25=0,0,G9/B$25)</f>
        <v>9.375E-2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6</v>
      </c>
      <c r="C10" s="29">
        <f>IF(B$2=0,0,B10/B$2)</f>
        <v>0.15</v>
      </c>
      <c r="E10" s="68" t="s">
        <v>96</v>
      </c>
      <c r="F10" s="64" t="s">
        <v>49</v>
      </c>
      <c r="G10" s="50">
        <v>3</v>
      </c>
      <c r="H10" s="27">
        <f>IF(B$25=0,0,G10/B$25)</f>
        <v>9.375E-2</v>
      </c>
      <c r="J10" s="26">
        <v>8</v>
      </c>
      <c r="K10" s="28">
        <v>97</v>
      </c>
    </row>
    <row r="11" spans="1:16" x14ac:dyDescent="0.4">
      <c r="A11" s="60" t="s">
        <v>208</v>
      </c>
      <c r="B11" s="52">
        <v>7</v>
      </c>
      <c r="C11" s="32">
        <f>IF(B$2=0,0,B11/B$2)</f>
        <v>0.17499999999999999</v>
      </c>
      <c r="E11" s="68" t="s">
        <v>84</v>
      </c>
      <c r="F11" s="64" t="s">
        <v>37</v>
      </c>
      <c r="G11" s="50">
        <v>2</v>
      </c>
      <c r="H11" s="27">
        <f>IF(B$25=0,0,G11/B$25)</f>
        <v>6.25E-2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26</v>
      </c>
      <c r="C12" s="35">
        <f>IF(B$24=0,0,B12/B$24)</f>
        <v>0.21666666666666667</v>
      </c>
      <c r="E12" s="68" t="s">
        <v>85</v>
      </c>
      <c r="F12" s="64" t="s">
        <v>38</v>
      </c>
      <c r="G12" s="50">
        <v>2</v>
      </c>
      <c r="H12" s="27">
        <f>IF(B$25=0,0,G12/B$25)</f>
        <v>6.25E-2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38</v>
      </c>
      <c r="C13" s="27">
        <f>IF(B$24=0,0,B13/B$24)</f>
        <v>0.31666666666666665</v>
      </c>
      <c r="E13" s="68" t="s">
        <v>93</v>
      </c>
      <c r="F13" s="64" t="s">
        <v>46</v>
      </c>
      <c r="G13" s="50">
        <v>2</v>
      </c>
      <c r="H13" s="27">
        <f>IF(B$25=0,0,G13/B$25)</f>
        <v>6.25E-2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10</v>
      </c>
      <c r="C14" s="24">
        <f>IF(B$12=0,0,B14/B$12)</f>
        <v>0.38461538461538464</v>
      </c>
      <c r="E14" s="68" t="s">
        <v>76</v>
      </c>
      <c r="F14" s="64" t="s">
        <v>29</v>
      </c>
      <c r="G14" s="50">
        <v>1</v>
      </c>
      <c r="H14" s="27">
        <f>IF(B$25=0,0,G14/B$25)</f>
        <v>3.125E-2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16</v>
      </c>
      <c r="C15" s="24">
        <f>IF(B$13=0,0,B15/B$13)</f>
        <v>0.42105263157894735</v>
      </c>
      <c r="E15" s="68" t="s">
        <v>77</v>
      </c>
      <c r="F15" s="64" t="s">
        <v>30</v>
      </c>
      <c r="G15" s="50">
        <v>1</v>
      </c>
      <c r="H15" s="27">
        <f>IF(B$25=0,0,G15/B$25)</f>
        <v>3.125E-2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B17+B18</f>
        <v>86</v>
      </c>
      <c r="C16" s="24">
        <f>IF(B$3=0,0,B16/B$3)</f>
        <v>0.28013029315960913</v>
      </c>
      <c r="E16" s="68" t="s">
        <v>81</v>
      </c>
      <c r="F16" s="64" t="s">
        <v>34</v>
      </c>
      <c r="G16" s="50">
        <v>1</v>
      </c>
      <c r="H16" s="27">
        <f>IF(B$25=0,0,G16/B$25)</f>
        <v>3.125E-2</v>
      </c>
      <c r="J16" s="26">
        <v>14</v>
      </c>
      <c r="K16" s="28">
        <v>41.499999999999986</v>
      </c>
    </row>
    <row r="17" spans="1:11" x14ac:dyDescent="0.4">
      <c r="A17" s="58" t="s">
        <v>11</v>
      </c>
      <c r="B17" s="50">
        <v>51</v>
      </c>
      <c r="C17" s="27">
        <f>IF(B$3=0,0,B17/B$3)</f>
        <v>0.16612377850162866</v>
      </c>
      <c r="E17" s="68" t="s">
        <v>88</v>
      </c>
      <c r="F17" s="64" t="s">
        <v>41</v>
      </c>
      <c r="G17" s="50">
        <v>1</v>
      </c>
      <c r="H17" s="27">
        <f>IF(B$25=0,0,G17/B$25)</f>
        <v>3.125E-2</v>
      </c>
      <c r="J17" s="26">
        <v>15</v>
      </c>
      <c r="K17" s="28">
        <v>32.999999999999986</v>
      </c>
    </row>
    <row r="18" spans="1:11" x14ac:dyDescent="0.4">
      <c r="A18" s="58" t="s">
        <v>12</v>
      </c>
      <c r="B18" s="50">
        <v>35</v>
      </c>
      <c r="C18" s="27">
        <f>IF(B$3=0,0,B18/B$3)</f>
        <v>0.11400651465798045</v>
      </c>
      <c r="E18" s="68" t="s">
        <v>90</v>
      </c>
      <c r="F18" s="64" t="s">
        <v>43</v>
      </c>
      <c r="G18" s="50">
        <v>1</v>
      </c>
      <c r="H18" s="27">
        <f>IF(B$25=0,0,G18/B$25)</f>
        <v>3.125E-2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61</v>
      </c>
      <c r="C19" s="27">
        <f>IF(B$3=0,0,B19/B$3)</f>
        <v>0.1986970684039088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9869.7674418604656</v>
      </c>
      <c r="C20" s="30">
        <v>848800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-8024.5901639344265</v>
      </c>
      <c r="C21" s="48">
        <v>-489500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195</v>
      </c>
      <c r="B22" s="49">
        <v>86</v>
      </c>
      <c r="C22" s="24">
        <f>IF(B$3=0,0,B22/B$3)</f>
        <v>0.28013029315960913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196</v>
      </c>
      <c r="B23" s="52">
        <v>35</v>
      </c>
      <c r="C23" s="32">
        <f>IF(B$22=0,0,B23/B$22)</f>
        <v>0.40697674418604651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0">
        <v>120</v>
      </c>
      <c r="C24" s="8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2">
        <v>32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871A6-5407-4FE4-8EEE-AFF168C83EBC}">
  <sheetPr codeName="Sheet11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190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49</v>
      </c>
      <c r="C2" s="81"/>
      <c r="E2" s="67" t="s">
        <v>71</v>
      </c>
      <c r="F2" s="63" t="s">
        <v>25</v>
      </c>
      <c r="G2" s="49">
        <v>72</v>
      </c>
      <c r="H2" s="24">
        <f>IF(B$25=0,0,G2/B$25)</f>
        <v>0.88888888888888884</v>
      </c>
      <c r="J2" s="23">
        <v>0</v>
      </c>
      <c r="K2" s="25">
        <v>0</v>
      </c>
      <c r="M2" s="23" t="s">
        <v>198</v>
      </c>
      <c r="N2" s="44">
        <f t="shared" ref="N2:N7" si="0">IF(P2=0,0,O2/P2)</f>
        <v>3555.3191489361702</v>
      </c>
      <c r="O2" s="41">
        <v>167100</v>
      </c>
      <c r="P2" s="39">
        <v>47</v>
      </c>
    </row>
    <row r="3" spans="1:16" x14ac:dyDescent="0.4">
      <c r="A3" s="58" t="s">
        <v>8</v>
      </c>
      <c r="B3" s="86">
        <v>372</v>
      </c>
      <c r="C3" s="87"/>
      <c r="E3" s="68" t="s">
        <v>73</v>
      </c>
      <c r="F3" s="64" t="s">
        <v>27</v>
      </c>
      <c r="G3" s="50">
        <v>72</v>
      </c>
      <c r="H3" s="27">
        <f>IF(B$25=0,0,G3/B$25)</f>
        <v>0.88888888888888884</v>
      </c>
      <c r="J3" s="26">
        <v>1</v>
      </c>
      <c r="K3" s="28">
        <v>-36.700000000000003</v>
      </c>
      <c r="M3" s="26" t="s">
        <v>199</v>
      </c>
      <c r="N3" s="45">
        <f t="shared" si="0"/>
        <v>-572.72727272727275</v>
      </c>
      <c r="O3" s="42">
        <v>-25200</v>
      </c>
      <c r="P3" s="37">
        <v>44</v>
      </c>
    </row>
    <row r="4" spans="1:16" x14ac:dyDescent="0.4">
      <c r="A4" s="58" t="s">
        <v>6</v>
      </c>
      <c r="B4" s="88">
        <v>175.29999999999995</v>
      </c>
      <c r="C4" s="89"/>
      <c r="E4" s="68" t="s">
        <v>69</v>
      </c>
      <c r="F4" s="64" t="s">
        <v>23</v>
      </c>
      <c r="G4" s="50">
        <v>50</v>
      </c>
      <c r="H4" s="27">
        <f>IF(B$25=0,0,G4/B$25)</f>
        <v>0.61728395061728392</v>
      </c>
      <c r="J4" s="26">
        <v>2</v>
      </c>
      <c r="K4" s="28">
        <v>-45.300000000000004</v>
      </c>
      <c r="M4" s="26" t="s">
        <v>200</v>
      </c>
      <c r="N4" s="45">
        <f t="shared" si="0"/>
        <v>-340</v>
      </c>
      <c r="O4" s="42">
        <v>-13600</v>
      </c>
      <c r="P4" s="37">
        <v>40</v>
      </c>
    </row>
    <row r="5" spans="1:16" x14ac:dyDescent="0.4">
      <c r="A5" s="58" t="s">
        <v>7</v>
      </c>
      <c r="B5" s="88">
        <f>IF(B$2=0,0,B$4/B$2)</f>
        <v>3.5775510204081624</v>
      </c>
      <c r="C5" s="89"/>
      <c r="E5" s="68" t="s">
        <v>78</v>
      </c>
      <c r="F5" s="64" t="s">
        <v>31</v>
      </c>
      <c r="G5" s="50">
        <v>49</v>
      </c>
      <c r="H5" s="27">
        <f>IF(B$25=0,0,G5/B$25)</f>
        <v>0.60493827160493829</v>
      </c>
      <c r="J5" s="26">
        <v>3</v>
      </c>
      <c r="K5" s="28">
        <v>-81.7</v>
      </c>
      <c r="M5" s="26" t="s">
        <v>201</v>
      </c>
      <c r="N5" s="45">
        <f t="shared" si="0"/>
        <v>-1340.5405405405406</v>
      </c>
      <c r="O5" s="42">
        <v>-49600</v>
      </c>
      <c r="P5" s="37">
        <v>37</v>
      </c>
    </row>
    <row r="6" spans="1:16" x14ac:dyDescent="0.4">
      <c r="A6" s="58" t="s">
        <v>1</v>
      </c>
      <c r="B6" s="90">
        <f>IF(B$2=0,0,(B$7*1+B$8*2+B$9*3)/B$2)</f>
        <v>1.9183673469387754</v>
      </c>
      <c r="C6" s="91"/>
      <c r="E6" s="68" t="s">
        <v>72</v>
      </c>
      <c r="F6" s="64" t="s">
        <v>26</v>
      </c>
      <c r="G6" s="50">
        <v>26</v>
      </c>
      <c r="H6" s="27">
        <f>IF(B$25=0,0,G6/B$25)</f>
        <v>0.32098765432098764</v>
      </c>
      <c r="J6" s="26">
        <v>4</v>
      </c>
      <c r="K6" s="28">
        <v>-113.80000000000001</v>
      </c>
      <c r="M6" s="26" t="s">
        <v>202</v>
      </c>
      <c r="N6" s="45">
        <f t="shared" si="0"/>
        <v>1767.8571428571429</v>
      </c>
      <c r="O6" s="42">
        <v>49500</v>
      </c>
      <c r="P6" s="37">
        <v>28</v>
      </c>
    </row>
    <row r="7" spans="1:16" x14ac:dyDescent="0.4">
      <c r="A7" s="58" t="s">
        <v>2</v>
      </c>
      <c r="B7" s="50">
        <v>19</v>
      </c>
      <c r="C7" s="27">
        <f>IF(B$2=0,0,B7/B$2)</f>
        <v>0.38775510204081631</v>
      </c>
      <c r="E7" s="68" t="s">
        <v>74</v>
      </c>
      <c r="F7" s="64" t="s">
        <v>12</v>
      </c>
      <c r="G7" s="50">
        <v>25</v>
      </c>
      <c r="H7" s="27">
        <f>IF(B$25=0,0,G7/B$25)</f>
        <v>0.30864197530864196</v>
      </c>
      <c r="J7" s="26">
        <v>5</v>
      </c>
      <c r="K7" s="28">
        <v>-135.80000000000001</v>
      </c>
      <c r="M7" s="31" t="s">
        <v>203</v>
      </c>
      <c r="N7" s="46">
        <f t="shared" si="0"/>
        <v>266.66666666666669</v>
      </c>
      <c r="O7" s="43">
        <v>6400</v>
      </c>
      <c r="P7" s="38">
        <v>24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0.30612244897959184</v>
      </c>
      <c r="E8" s="68" t="s">
        <v>75</v>
      </c>
      <c r="F8" s="64" t="s">
        <v>28</v>
      </c>
      <c r="G8" s="50">
        <v>15</v>
      </c>
      <c r="H8" s="27">
        <f>IF(B$25=0,0,G8/B$25)</f>
        <v>0.18518518518518517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15</v>
      </c>
      <c r="C9" s="29">
        <f t="shared" si="1"/>
        <v>0.30612244897959184</v>
      </c>
      <c r="E9" s="68" t="s">
        <v>70</v>
      </c>
      <c r="F9" s="64" t="s">
        <v>24</v>
      </c>
      <c r="G9" s="50">
        <v>12</v>
      </c>
      <c r="H9" s="27">
        <f>IF(B$25=0,0,G9/B$25)</f>
        <v>0.14814814814814814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0.16326530612244897</v>
      </c>
      <c r="E10" s="68" t="s">
        <v>96</v>
      </c>
      <c r="F10" s="64" t="s">
        <v>49</v>
      </c>
      <c r="G10" s="50">
        <v>11</v>
      </c>
      <c r="H10" s="27">
        <f>IF(B$25=0,0,G10/B$25)</f>
        <v>0.13580246913580246</v>
      </c>
      <c r="J10" s="26">
        <v>8</v>
      </c>
      <c r="K10" s="28">
        <v>-51.800000000000018</v>
      </c>
    </row>
    <row r="11" spans="1:16" x14ac:dyDescent="0.4">
      <c r="A11" s="60" t="s">
        <v>208</v>
      </c>
      <c r="B11" s="52">
        <v>10</v>
      </c>
      <c r="C11" s="32">
        <f>IF(B$2=0,0,B11/B$2)</f>
        <v>0.20408163265306123</v>
      </c>
      <c r="E11" s="68" t="s">
        <v>76</v>
      </c>
      <c r="F11" s="64" t="s">
        <v>29</v>
      </c>
      <c r="G11" s="50">
        <v>6</v>
      </c>
      <c r="H11" s="27">
        <f>IF(B$25=0,0,G11/B$25)</f>
        <v>7.407407407407407E-2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83</v>
      </c>
      <c r="C12" s="35">
        <f>IF(B$24=0,0,B12/B$24)</f>
        <v>0.34728033472803349</v>
      </c>
      <c r="E12" s="68" t="s">
        <v>77</v>
      </c>
      <c r="F12" s="64" t="s">
        <v>30</v>
      </c>
      <c r="G12" s="50">
        <v>6</v>
      </c>
      <c r="H12" s="27">
        <f>IF(B$25=0,0,G12/B$25)</f>
        <v>7.407407407407407E-2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57</v>
      </c>
      <c r="C13" s="27">
        <f>IF(B$24=0,0,B13/B$24)</f>
        <v>0.2384937238493724</v>
      </c>
      <c r="E13" s="68" t="s">
        <v>93</v>
      </c>
      <c r="F13" s="64" t="s">
        <v>46</v>
      </c>
      <c r="G13" s="50">
        <v>5</v>
      </c>
      <c r="H13" s="27">
        <f>IF(B$25=0,0,G13/B$25)</f>
        <v>6.1728395061728392E-2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51</v>
      </c>
      <c r="C14" s="24">
        <f>IF(B$12=0,0,B14/B$12)</f>
        <v>0.61445783132530118</v>
      </c>
      <c r="E14" s="68" t="s">
        <v>84</v>
      </c>
      <c r="F14" s="64" t="s">
        <v>37</v>
      </c>
      <c r="G14" s="50">
        <v>3</v>
      </c>
      <c r="H14" s="27">
        <f>IF(B$25=0,0,G14/B$25)</f>
        <v>3.7037037037037035E-2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0.40350877192982454</v>
      </c>
      <c r="E15" s="68" t="s">
        <v>88</v>
      </c>
      <c r="F15" s="64" t="s">
        <v>41</v>
      </c>
      <c r="G15" s="50">
        <v>2</v>
      </c>
      <c r="H15" s="27">
        <f>IF(B$25=0,0,G15/B$25)</f>
        <v>2.4691358024691357E-2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B17+B18</f>
        <v>119</v>
      </c>
      <c r="C16" s="24">
        <f>IF(B$3=0,0,B16/B$3)</f>
        <v>0.31989247311827956</v>
      </c>
      <c r="E16" s="68" t="s">
        <v>80</v>
      </c>
      <c r="F16" s="64" t="s">
        <v>33</v>
      </c>
      <c r="G16" s="50">
        <v>1</v>
      </c>
      <c r="H16" s="27">
        <f>IF(B$25=0,0,G16/B$25)</f>
        <v>1.2345679012345678E-2</v>
      </c>
      <c r="J16" s="26">
        <v>14</v>
      </c>
      <c r="K16" s="28">
        <v>-62.000000000000021</v>
      </c>
    </row>
    <row r="17" spans="1:11" x14ac:dyDescent="0.4">
      <c r="A17" s="58" t="s">
        <v>11</v>
      </c>
      <c r="B17" s="50">
        <v>71</v>
      </c>
      <c r="C17" s="27">
        <f>IF(B$3=0,0,B17/B$3)</f>
        <v>0.19086021505376344</v>
      </c>
      <c r="E17" s="68" t="s">
        <v>90</v>
      </c>
      <c r="F17" s="64" t="s">
        <v>43</v>
      </c>
      <c r="G17" s="50">
        <v>1</v>
      </c>
      <c r="H17" s="27">
        <f>IF(B$25=0,0,G17/B$25)</f>
        <v>1.2345679012345678E-2</v>
      </c>
      <c r="J17" s="26">
        <v>15</v>
      </c>
      <c r="K17" s="28">
        <v>-69.200000000000017</v>
      </c>
    </row>
    <row r="18" spans="1:11" x14ac:dyDescent="0.4">
      <c r="A18" s="58" t="s">
        <v>12</v>
      </c>
      <c r="B18" s="50">
        <v>48</v>
      </c>
      <c r="C18" s="27">
        <f>IF(B$3=0,0,B18/B$3)</f>
        <v>0.12903225806451613</v>
      </c>
      <c r="E18" s="68" t="s">
        <v>91</v>
      </c>
      <c r="F18" s="64" t="s">
        <v>44</v>
      </c>
      <c r="G18" s="50">
        <v>1</v>
      </c>
      <c r="H18" s="27">
        <f>IF(B$25=0,0,G18/B$25)</f>
        <v>1.2345679012345678E-2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60</v>
      </c>
      <c r="C19" s="27">
        <f>IF(B$3=0,0,B19/B$3)</f>
        <v>0.16129032258064516</v>
      </c>
      <c r="E19" s="68" t="s">
        <v>98</v>
      </c>
      <c r="F19" s="64" t="s">
        <v>51</v>
      </c>
      <c r="G19" s="50">
        <v>1</v>
      </c>
      <c r="H19" s="27">
        <f>IF(B$25=0,0,G19/B$25)</f>
        <v>1.2345679012345678E-2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10842.857142857143</v>
      </c>
      <c r="C20" s="30">
        <v>1290300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-9886.6666666666661</v>
      </c>
      <c r="C21" s="48">
        <v>-593200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195</v>
      </c>
      <c r="B22" s="49">
        <v>137</v>
      </c>
      <c r="C22" s="24">
        <f>IF(B$3=0,0,B22/B$3)</f>
        <v>0.36827956989247312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196</v>
      </c>
      <c r="B23" s="52">
        <v>56</v>
      </c>
      <c r="C23" s="32">
        <f>IF(B$22=0,0,B23/B$22)</f>
        <v>0.40875912408759124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0">
        <v>239</v>
      </c>
      <c r="C24" s="81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2">
        <v>81</v>
      </c>
      <c r="C25" s="8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43BA-ABB9-4C05-B82F-486EFADAC3C3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192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12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86">
        <v>82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199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88">
        <v>80.800000000000011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200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88">
        <f>IF(B$2=0,0,B$4/B$2)</f>
        <v>6.7333333333333343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201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0">
        <f>IF(B$2=0,0,(B$7*1+B$8*2+B$9*3)/B$2)</f>
        <v>1.75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202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203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89C5C-0847-4504-A763-814F7C088A55}">
  <sheetPr codeName="Sheet1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193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42</v>
      </c>
      <c r="C2" s="81"/>
      <c r="E2" s="67" t="s">
        <v>73</v>
      </c>
      <c r="F2" s="63" t="s">
        <v>27</v>
      </c>
      <c r="G2" s="49">
        <v>70</v>
      </c>
      <c r="H2" s="24">
        <f>IF(B$25=0,0,G2/B$25)</f>
        <v>0.94594594594594594</v>
      </c>
      <c r="J2" s="23">
        <v>0</v>
      </c>
      <c r="K2" s="25">
        <v>0</v>
      </c>
      <c r="M2" s="23" t="s">
        <v>198</v>
      </c>
      <c r="N2" s="44">
        <f t="shared" ref="N2:N7" si="0">IF(P2=0,0,O2/P2)</f>
        <v>-3900</v>
      </c>
      <c r="O2" s="41">
        <v>-148200</v>
      </c>
      <c r="P2" s="39">
        <v>38</v>
      </c>
    </row>
    <row r="3" spans="1:16" x14ac:dyDescent="0.4">
      <c r="A3" s="58" t="s">
        <v>8</v>
      </c>
      <c r="B3" s="86">
        <v>312</v>
      </c>
      <c r="C3" s="87"/>
      <c r="E3" s="68" t="s">
        <v>78</v>
      </c>
      <c r="F3" s="64" t="s">
        <v>31</v>
      </c>
      <c r="G3" s="50">
        <v>54</v>
      </c>
      <c r="H3" s="27">
        <f>IF(B$25=0,0,G3/B$25)</f>
        <v>0.72972972972972971</v>
      </c>
      <c r="J3" s="26">
        <v>1</v>
      </c>
      <c r="K3" s="28">
        <v>3.9</v>
      </c>
      <c r="M3" s="26" t="s">
        <v>199</v>
      </c>
      <c r="N3" s="45">
        <f t="shared" si="0"/>
        <v>-1389.4736842105262</v>
      </c>
      <c r="O3" s="42">
        <v>-52800</v>
      </c>
      <c r="P3" s="37">
        <v>38</v>
      </c>
    </row>
    <row r="4" spans="1:16" x14ac:dyDescent="0.4">
      <c r="A4" s="58" t="s">
        <v>6</v>
      </c>
      <c r="B4" s="88">
        <v>-367.09999999999991</v>
      </c>
      <c r="C4" s="89"/>
      <c r="E4" s="68" t="s">
        <v>71</v>
      </c>
      <c r="F4" s="64" t="s">
        <v>25</v>
      </c>
      <c r="G4" s="50">
        <v>52</v>
      </c>
      <c r="H4" s="27">
        <f>IF(B$25=0,0,G4/B$25)</f>
        <v>0.70270270270270274</v>
      </c>
      <c r="J4" s="26">
        <v>2</v>
      </c>
      <c r="K4" s="28">
        <v>-33.9</v>
      </c>
      <c r="M4" s="26" t="s">
        <v>200</v>
      </c>
      <c r="N4" s="45">
        <f t="shared" si="0"/>
        <v>-1761.1111111111111</v>
      </c>
      <c r="O4" s="42">
        <v>-63400</v>
      </c>
      <c r="P4" s="37">
        <v>36</v>
      </c>
    </row>
    <row r="5" spans="1:16" x14ac:dyDescent="0.4">
      <c r="A5" s="58" t="s">
        <v>7</v>
      </c>
      <c r="B5" s="88">
        <f>IF(B$2=0,0,B$4/B$2)</f>
        <v>-8.7404761904761887</v>
      </c>
      <c r="C5" s="89"/>
      <c r="E5" s="68" t="s">
        <v>69</v>
      </c>
      <c r="F5" s="64" t="s">
        <v>23</v>
      </c>
      <c r="G5" s="50">
        <v>45</v>
      </c>
      <c r="H5" s="27">
        <f>IF(B$25=0,0,G5/B$25)</f>
        <v>0.60810810810810811</v>
      </c>
      <c r="J5" s="26">
        <v>3</v>
      </c>
      <c r="K5" s="28">
        <v>-70.099999999999994</v>
      </c>
      <c r="M5" s="26" t="s">
        <v>201</v>
      </c>
      <c r="N5" s="45">
        <f t="shared" si="0"/>
        <v>-145.45454545454547</v>
      </c>
      <c r="O5" s="42">
        <v>-4800</v>
      </c>
      <c r="P5" s="37">
        <v>33</v>
      </c>
    </row>
    <row r="6" spans="1:16" x14ac:dyDescent="0.4">
      <c r="A6" s="58" t="s">
        <v>1</v>
      </c>
      <c r="B6" s="90">
        <f>IF(B$2=0,0,(B$7*1+B$8*2+B$9*3)/B$2)</f>
        <v>2.2619047619047619</v>
      </c>
      <c r="C6" s="91"/>
      <c r="E6" s="68" t="s">
        <v>72</v>
      </c>
      <c r="F6" s="64" t="s">
        <v>26</v>
      </c>
      <c r="G6" s="50">
        <v>38</v>
      </c>
      <c r="H6" s="27">
        <f>IF(B$25=0,0,G6/B$25)</f>
        <v>0.51351351351351349</v>
      </c>
      <c r="J6" s="26">
        <v>4</v>
      </c>
      <c r="K6" s="28">
        <v>-35.099999999999994</v>
      </c>
      <c r="M6" s="26" t="s">
        <v>202</v>
      </c>
      <c r="N6" s="45">
        <f t="shared" si="0"/>
        <v>-2582.7586206896553</v>
      </c>
      <c r="O6" s="42">
        <v>-74900</v>
      </c>
      <c r="P6" s="37">
        <v>29</v>
      </c>
    </row>
    <row r="7" spans="1:16" x14ac:dyDescent="0.4">
      <c r="A7" s="58" t="s">
        <v>2</v>
      </c>
      <c r="B7" s="50">
        <v>10</v>
      </c>
      <c r="C7" s="27">
        <f>IF(B$2=0,0,B7/B$2)</f>
        <v>0.23809523809523808</v>
      </c>
      <c r="E7" s="68" t="s">
        <v>74</v>
      </c>
      <c r="F7" s="64" t="s">
        <v>12</v>
      </c>
      <c r="G7" s="50">
        <v>28</v>
      </c>
      <c r="H7" s="27">
        <f>IF(B$25=0,0,G7/B$25)</f>
        <v>0.3783783783783784</v>
      </c>
      <c r="J7" s="26">
        <v>5</v>
      </c>
      <c r="K7" s="28">
        <v>-80.099999999999994</v>
      </c>
      <c r="M7" s="31" t="s">
        <v>203</v>
      </c>
      <c r="N7" s="46">
        <f t="shared" si="0"/>
        <v>4465</v>
      </c>
      <c r="O7" s="43">
        <v>89300</v>
      </c>
      <c r="P7" s="38">
        <v>20</v>
      </c>
    </row>
    <row r="8" spans="1:16" x14ac:dyDescent="0.4">
      <c r="A8" s="58" t="s">
        <v>3</v>
      </c>
      <c r="B8" s="50">
        <v>11</v>
      </c>
      <c r="C8" s="27">
        <f t="shared" ref="C8:C9" si="1">IF(B$2=0,0,B8/B$2)</f>
        <v>0.26190476190476192</v>
      </c>
      <c r="E8" s="68" t="s">
        <v>96</v>
      </c>
      <c r="F8" s="64" t="s">
        <v>49</v>
      </c>
      <c r="G8" s="50">
        <v>14</v>
      </c>
      <c r="H8" s="27">
        <f>IF(B$25=0,0,G8/B$25)</f>
        <v>0.1891891891891892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21</v>
      </c>
      <c r="C9" s="29">
        <f t="shared" si="1"/>
        <v>0.5</v>
      </c>
      <c r="E9" s="68" t="s">
        <v>75</v>
      </c>
      <c r="F9" s="64" t="s">
        <v>28</v>
      </c>
      <c r="G9" s="50">
        <v>12</v>
      </c>
      <c r="H9" s="27">
        <f>IF(B$25=0,0,G9/B$25)</f>
        <v>0.16216216216216217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11</v>
      </c>
      <c r="C10" s="29">
        <f>IF(B$2=0,0,B10/B$2)</f>
        <v>0.26190476190476192</v>
      </c>
      <c r="E10" s="68" t="s">
        <v>76</v>
      </c>
      <c r="F10" s="64" t="s">
        <v>29</v>
      </c>
      <c r="G10" s="50">
        <v>9</v>
      </c>
      <c r="H10" s="27">
        <f>IF(B$25=0,0,G10/B$25)</f>
        <v>0.12162162162162163</v>
      </c>
      <c r="J10" s="26">
        <v>8</v>
      </c>
      <c r="K10" s="28">
        <v>-146</v>
      </c>
    </row>
    <row r="11" spans="1:16" x14ac:dyDescent="0.4">
      <c r="A11" s="60" t="s">
        <v>208</v>
      </c>
      <c r="B11" s="52">
        <v>4</v>
      </c>
      <c r="C11" s="32">
        <f>IF(B$2=0,0,B11/B$2)</f>
        <v>9.5238095238095233E-2</v>
      </c>
      <c r="E11" s="68" t="s">
        <v>70</v>
      </c>
      <c r="F11" s="64" t="s">
        <v>24</v>
      </c>
      <c r="G11" s="50">
        <v>6</v>
      </c>
      <c r="H11" s="27">
        <f>IF(B$25=0,0,G11/B$25)</f>
        <v>8.1081081081081086E-2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75</v>
      </c>
      <c r="C12" s="35">
        <f>IF(B$24=0,0,B12/B$24)</f>
        <v>0.27272727272727271</v>
      </c>
      <c r="E12" s="68" t="s">
        <v>84</v>
      </c>
      <c r="F12" s="64" t="s">
        <v>37</v>
      </c>
      <c r="G12" s="50">
        <v>6</v>
      </c>
      <c r="H12" s="27">
        <f>IF(B$25=0,0,G12/B$25)</f>
        <v>8.1081081081081086E-2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59</v>
      </c>
      <c r="C13" s="27">
        <f>IF(B$24=0,0,B13/B$24)</f>
        <v>0.21454545454545454</v>
      </c>
      <c r="E13" s="68" t="s">
        <v>93</v>
      </c>
      <c r="F13" s="64" t="s">
        <v>46</v>
      </c>
      <c r="G13" s="50">
        <v>5</v>
      </c>
      <c r="H13" s="27">
        <f>IF(B$25=0,0,G13/B$25)</f>
        <v>6.7567567567567571E-2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46</v>
      </c>
      <c r="C14" s="24">
        <f>IF(B$12=0,0,B14/B$12)</f>
        <v>0.61333333333333329</v>
      </c>
      <c r="E14" s="68" t="s">
        <v>79</v>
      </c>
      <c r="F14" s="64" t="s">
        <v>32</v>
      </c>
      <c r="G14" s="50">
        <v>3</v>
      </c>
      <c r="H14" s="27">
        <f>IF(B$25=0,0,G14/B$25)</f>
        <v>4.0540540540540543E-2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19</v>
      </c>
      <c r="C15" s="24">
        <f>IF(B$13=0,0,B15/B$13)</f>
        <v>0.32203389830508472</v>
      </c>
      <c r="E15" s="68" t="s">
        <v>90</v>
      </c>
      <c r="F15" s="64" t="s">
        <v>43</v>
      </c>
      <c r="G15" s="50">
        <v>3</v>
      </c>
      <c r="H15" s="27">
        <f>IF(B$25=0,0,G15/B$25)</f>
        <v>4.0540540540540543E-2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B17+B18</f>
        <v>84</v>
      </c>
      <c r="C16" s="24">
        <f>IF(B$3=0,0,B16/B$3)</f>
        <v>0.26923076923076922</v>
      </c>
      <c r="E16" s="68" t="s">
        <v>77</v>
      </c>
      <c r="F16" s="64" t="s">
        <v>30</v>
      </c>
      <c r="G16" s="50">
        <v>2</v>
      </c>
      <c r="H16" s="27">
        <f>IF(B$25=0,0,G16/B$25)</f>
        <v>2.7027027027027029E-2</v>
      </c>
      <c r="J16" s="26">
        <v>14</v>
      </c>
      <c r="K16" s="28">
        <v>-231</v>
      </c>
    </row>
    <row r="17" spans="1:11" x14ac:dyDescent="0.4">
      <c r="A17" s="58" t="s">
        <v>11</v>
      </c>
      <c r="B17" s="50">
        <v>44</v>
      </c>
      <c r="C17" s="27">
        <f>IF(B$3=0,0,B17/B$3)</f>
        <v>0.14102564102564102</v>
      </c>
      <c r="E17" s="68" t="s">
        <v>88</v>
      </c>
      <c r="F17" s="64" t="s">
        <v>41</v>
      </c>
      <c r="G17" s="50">
        <v>2</v>
      </c>
      <c r="H17" s="27">
        <f>IF(B$25=0,0,G17/B$25)</f>
        <v>2.7027027027027029E-2</v>
      </c>
      <c r="J17" s="26">
        <v>15</v>
      </c>
      <c r="K17" s="28">
        <v>-212.5</v>
      </c>
    </row>
    <row r="18" spans="1:11" x14ac:dyDescent="0.4">
      <c r="A18" s="58" t="s">
        <v>12</v>
      </c>
      <c r="B18" s="50">
        <v>40</v>
      </c>
      <c r="C18" s="27">
        <f>IF(B$3=0,0,B18/B$3)</f>
        <v>0.12820512820512819</v>
      </c>
      <c r="E18" s="68" t="s">
        <v>81</v>
      </c>
      <c r="F18" s="64" t="s">
        <v>34</v>
      </c>
      <c r="G18" s="50">
        <v>1</v>
      </c>
      <c r="H18" s="27">
        <f>IF(B$25=0,0,G18/B$25)</f>
        <v>1.3513513513513514E-2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77</v>
      </c>
      <c r="C19" s="27">
        <f>IF(B$3=0,0,B19/B$3)</f>
        <v>0.24679487179487181</v>
      </c>
      <c r="E19" s="68" t="s">
        <v>85</v>
      </c>
      <c r="F19" s="64" t="s">
        <v>38</v>
      </c>
      <c r="G19" s="50">
        <v>1</v>
      </c>
      <c r="H19" s="27">
        <f>IF(B$25=0,0,G19/B$25)</f>
        <v>1.3513513513513514E-2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11414.285714285714</v>
      </c>
      <c r="C20" s="30">
        <v>958800</v>
      </c>
      <c r="E20" s="68" t="s">
        <v>91</v>
      </c>
      <c r="F20" s="64" t="s">
        <v>44</v>
      </c>
      <c r="G20" s="50">
        <v>1</v>
      </c>
      <c r="H20" s="27">
        <f>IF(B$25=0,0,G20/B$25)</f>
        <v>1.3513513513513514E-2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-9815.5844155844152</v>
      </c>
      <c r="C21" s="48">
        <v>-755800</v>
      </c>
      <c r="E21" s="68" t="s">
        <v>100</v>
      </c>
      <c r="F21" s="64" t="s">
        <v>53</v>
      </c>
      <c r="G21" s="50">
        <v>1</v>
      </c>
      <c r="H21" s="27">
        <f>IF(B$25=0,0,G21/B$25)</f>
        <v>1.3513513513513514E-2</v>
      </c>
      <c r="J21" s="26">
        <v>19</v>
      </c>
      <c r="K21" s="28">
        <v>-273.2</v>
      </c>
    </row>
    <row r="22" spans="1:11" x14ac:dyDescent="0.4">
      <c r="A22" s="57" t="s">
        <v>195</v>
      </c>
      <c r="B22" s="49">
        <v>95</v>
      </c>
      <c r="C22" s="24">
        <f>IF(B$3=0,0,B22/B$3)</f>
        <v>0.30448717948717946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60" t="s">
        <v>196</v>
      </c>
      <c r="B23" s="52">
        <v>31</v>
      </c>
      <c r="C23" s="32">
        <f>IF(B$22=0,0,B23/B$22)</f>
        <v>0.32631578947368423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57" t="s">
        <v>128</v>
      </c>
      <c r="B24" s="80">
        <v>275</v>
      </c>
      <c r="C24" s="81"/>
      <c r="E24" s="68" t="s">
        <v>83</v>
      </c>
      <c r="F24" s="64" t="s">
        <v>36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2">
        <v>74</v>
      </c>
      <c r="C25" s="8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9D2BC-D5D5-41D2-A4B5-D6E3C9D93B53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217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5</v>
      </c>
      <c r="C2" s="81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86">
        <v>46</v>
      </c>
      <c r="C3" s="87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199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88">
        <v>89</v>
      </c>
      <c r="C4" s="89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200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88">
        <f>IF(B$2=0,0,B$4/B$2)</f>
        <v>17.8</v>
      </c>
      <c r="C5" s="89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201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0">
        <f>IF(B$2=0,0,(B$7*1+B$8*2+B$9*3)/B$2)</f>
        <v>1.6</v>
      </c>
      <c r="C6" s="91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202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203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46</v>
      </c>
      <c r="C24" s="8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18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F9BB4-9898-4402-A52F-F3A3E36D4178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220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</v>
      </c>
      <c r="C2" s="81"/>
      <c r="E2" s="67" t="s">
        <v>73</v>
      </c>
      <c r="F2" s="63" t="s">
        <v>27</v>
      </c>
      <c r="G2" s="49">
        <v>13</v>
      </c>
      <c r="H2" s="24">
        <f>IF(B$25=0,0,G2/B$25)</f>
        <v>1.625</v>
      </c>
      <c r="J2" s="23">
        <v>0</v>
      </c>
      <c r="K2" s="25">
        <v>0</v>
      </c>
      <c r="M2" s="23" t="s">
        <v>198</v>
      </c>
      <c r="N2" s="44">
        <f t="shared" ref="N2:N7" si="0">IF(P2=0,0,O2/P2)</f>
        <v>425</v>
      </c>
      <c r="O2" s="41">
        <v>1700</v>
      </c>
      <c r="P2" s="39">
        <v>4</v>
      </c>
    </row>
    <row r="3" spans="1:16" x14ac:dyDescent="0.4">
      <c r="A3" s="58" t="s">
        <v>8</v>
      </c>
      <c r="B3" s="86">
        <v>29</v>
      </c>
      <c r="C3" s="87"/>
      <c r="E3" s="68" t="s">
        <v>71</v>
      </c>
      <c r="F3" s="64" t="s">
        <v>25</v>
      </c>
      <c r="G3" s="50">
        <v>7</v>
      </c>
      <c r="H3" s="27">
        <f>IF(B$25=0,0,G3/B$25)</f>
        <v>0.875</v>
      </c>
      <c r="J3" s="26">
        <v>1</v>
      </c>
      <c r="K3" s="28">
        <v>15</v>
      </c>
      <c r="M3" s="26" t="s">
        <v>199</v>
      </c>
      <c r="N3" s="45">
        <f t="shared" si="0"/>
        <v>4875</v>
      </c>
      <c r="O3" s="42">
        <v>19500</v>
      </c>
      <c r="P3" s="37">
        <v>4</v>
      </c>
    </row>
    <row r="4" spans="1:16" x14ac:dyDescent="0.4">
      <c r="A4" s="58" t="s">
        <v>6</v>
      </c>
      <c r="B4" s="88">
        <v>5.1000000000000014</v>
      </c>
      <c r="C4" s="89"/>
      <c r="E4" s="68" t="s">
        <v>78</v>
      </c>
      <c r="F4" s="64" t="s">
        <v>31</v>
      </c>
      <c r="G4" s="50">
        <v>6</v>
      </c>
      <c r="H4" s="27">
        <f>IF(B$25=0,0,G4/B$25)</f>
        <v>0.75</v>
      </c>
      <c r="J4" s="26">
        <v>2</v>
      </c>
      <c r="K4" s="28">
        <v>-24.299999999999997</v>
      </c>
      <c r="M4" s="26" t="s">
        <v>200</v>
      </c>
      <c r="N4" s="45">
        <f t="shared" si="0"/>
        <v>-3933.3333333333335</v>
      </c>
      <c r="O4" s="42">
        <v>-11800</v>
      </c>
      <c r="P4" s="37">
        <v>3</v>
      </c>
    </row>
    <row r="5" spans="1:16" x14ac:dyDescent="0.4">
      <c r="A5" s="58" t="s">
        <v>7</v>
      </c>
      <c r="B5" s="88">
        <f>IF(B$2=0,0,B$4/B$2)</f>
        <v>1.2750000000000004</v>
      </c>
      <c r="C5" s="89"/>
      <c r="E5" s="68" t="s">
        <v>90</v>
      </c>
      <c r="F5" s="64" t="s">
        <v>43</v>
      </c>
      <c r="G5" s="50">
        <v>4</v>
      </c>
      <c r="H5" s="27">
        <f>IF(B$25=0,0,G5/B$25)</f>
        <v>0.5</v>
      </c>
      <c r="J5" s="26">
        <v>3</v>
      </c>
      <c r="K5" s="28">
        <v>-15.599999999999998</v>
      </c>
      <c r="M5" s="26" t="s">
        <v>201</v>
      </c>
      <c r="N5" s="45">
        <f t="shared" si="0"/>
        <v>7066.666666666667</v>
      </c>
      <c r="O5" s="42">
        <v>21200</v>
      </c>
      <c r="P5" s="37">
        <v>3</v>
      </c>
    </row>
    <row r="6" spans="1:16" x14ac:dyDescent="0.4">
      <c r="A6" s="58" t="s">
        <v>1</v>
      </c>
      <c r="B6" s="90">
        <f>IF(B$2=0,0,(B$7*1+B$8*2+B$9*3)/B$2)</f>
        <v>2.25</v>
      </c>
      <c r="C6" s="91"/>
      <c r="E6" s="68" t="s">
        <v>96</v>
      </c>
      <c r="F6" s="64" t="s">
        <v>49</v>
      </c>
      <c r="G6" s="50">
        <v>2</v>
      </c>
      <c r="H6" s="27">
        <f>IF(B$25=0,0,G6/B$25)</f>
        <v>0.25</v>
      </c>
      <c r="J6" s="26">
        <v>4</v>
      </c>
      <c r="K6" s="28">
        <v>5.1000000000000014</v>
      </c>
      <c r="M6" s="26" t="s">
        <v>202</v>
      </c>
      <c r="N6" s="45">
        <f t="shared" si="0"/>
        <v>-8250</v>
      </c>
      <c r="O6" s="42">
        <v>-16500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69</v>
      </c>
      <c r="F7" s="64" t="s">
        <v>23</v>
      </c>
      <c r="G7" s="50">
        <v>1</v>
      </c>
      <c r="H7" s="27">
        <f>IF(B$25=0,0,G7/B$25)</f>
        <v>0.125</v>
      </c>
      <c r="M7" s="31" t="s">
        <v>203</v>
      </c>
      <c r="N7" s="46">
        <f t="shared" si="0"/>
        <v>-9000</v>
      </c>
      <c r="O7" s="43">
        <v>-9000</v>
      </c>
      <c r="P7" s="38">
        <v>1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0.75</v>
      </c>
      <c r="E8" s="68" t="s">
        <v>76</v>
      </c>
      <c r="F8" s="64" t="s">
        <v>29</v>
      </c>
      <c r="G8" s="50">
        <v>1</v>
      </c>
      <c r="H8" s="27">
        <f>IF(B$25=0,0,G8/B$25)</f>
        <v>0.125</v>
      </c>
    </row>
    <row r="9" spans="1:16" x14ac:dyDescent="0.4">
      <c r="A9" s="59" t="s">
        <v>4</v>
      </c>
      <c r="B9" s="51">
        <v>1</v>
      </c>
      <c r="C9" s="29">
        <f t="shared" si="1"/>
        <v>0.25</v>
      </c>
      <c r="E9" s="68" t="s">
        <v>85</v>
      </c>
      <c r="F9" s="64" t="s">
        <v>38</v>
      </c>
      <c r="G9" s="50">
        <v>1</v>
      </c>
      <c r="H9" s="27">
        <f>IF(B$25=0,0,G9/B$25)</f>
        <v>0.125</v>
      </c>
    </row>
    <row r="10" spans="1:16" x14ac:dyDescent="0.4">
      <c r="A10" s="59" t="s">
        <v>21</v>
      </c>
      <c r="B10" s="51">
        <v>1</v>
      </c>
      <c r="C10" s="29">
        <f>IF(B$2=0,0,B10/B$2)</f>
        <v>0.25</v>
      </c>
      <c r="E10" s="68" t="s">
        <v>92</v>
      </c>
      <c r="F10" s="64" t="s">
        <v>45</v>
      </c>
      <c r="G10" s="50">
        <v>1</v>
      </c>
      <c r="H10" s="27">
        <f>IF(B$25=0,0,G10/B$25)</f>
        <v>0.125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2</v>
      </c>
      <c r="C12" s="35">
        <f>IF(B$24=0,0,B12/B$24)</f>
        <v>6.8965517241379309E-2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15</v>
      </c>
      <c r="C13" s="27">
        <f>IF(B$24=0,0,B13/B$24)</f>
        <v>0.51724137931034486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0.5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7</v>
      </c>
      <c r="C15" s="24">
        <f>IF(B$13=0,0,B15/B$13)</f>
        <v>0.46666666666666667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8</v>
      </c>
      <c r="C16" s="24">
        <f>IF(B$3=0,0,B16/B$3)</f>
        <v>0.27586206896551724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8</v>
      </c>
      <c r="C17" s="27">
        <f>IF(B$3=0,0,B17/B$3)</f>
        <v>0.27586206896551724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6</v>
      </c>
      <c r="C19" s="27">
        <f>IF(B$3=0,0,B19/B$3)</f>
        <v>0.20689655172413793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10237.5</v>
      </c>
      <c r="C20" s="30">
        <v>81900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-7416.666666666667</v>
      </c>
      <c r="C21" s="48">
        <v>-44500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6</v>
      </c>
      <c r="C22" s="24">
        <f>IF(B$3=0,0,B22/B$3)</f>
        <v>0.20689655172413793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</v>
      </c>
      <c r="C23" s="32">
        <f>IF(B$22=0,0,B23/B$22)</f>
        <v>0.16666666666666666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29</v>
      </c>
      <c r="C24" s="8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8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"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/>
      <c r="C1" s="85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">
      <c r="A2" s="57" t="s">
        <v>9</v>
      </c>
      <c r="B2" s="80">
        <v>0</v>
      </c>
      <c r="C2" s="81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86">
        <v>0</v>
      </c>
      <c r="C3" s="87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88">
        <v>0</v>
      </c>
      <c r="C4" s="89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88">
        <f>IF(B$2=0,0,B$4/B$2)</f>
        <v>0</v>
      </c>
      <c r="C5" s="89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0">
        <f>IF(B$2=0,0,(B$7*1+B$8*2+B$9*3)/B$2)</f>
        <v>0</v>
      </c>
      <c r="C6" s="91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6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174</v>
      </c>
    </row>
    <row r="3" spans="1:14" x14ac:dyDescent="0.4">
      <c r="A3" s="74" t="s">
        <v>140</v>
      </c>
      <c r="B3" s="75">
        <v>43454.62740740741</v>
      </c>
      <c r="C3" s="74" t="s">
        <v>174</v>
      </c>
    </row>
    <row r="4" spans="1:14" x14ac:dyDescent="0.4">
      <c r="A4" s="74" t="s">
        <v>143</v>
      </c>
      <c r="B4" s="75">
        <v>43454.62740740741</v>
      </c>
      <c r="C4" s="74" t="s">
        <v>174</v>
      </c>
    </row>
    <row r="5" spans="1:14" x14ac:dyDescent="0.4">
      <c r="A5" s="74" t="s">
        <v>144</v>
      </c>
      <c r="B5" s="75">
        <v>43454.62740740741</v>
      </c>
      <c r="C5" s="74" t="s">
        <v>174</v>
      </c>
      <c r="D5" s="74" t="s">
        <v>175</v>
      </c>
      <c r="E5" s="74" t="s">
        <v>176</v>
      </c>
      <c r="F5" s="74" t="s">
        <v>177</v>
      </c>
      <c r="G5" s="74" t="s">
        <v>178</v>
      </c>
    </row>
    <row r="6" spans="1:14" x14ac:dyDescent="0.4">
      <c r="A6" s="74" t="s">
        <v>146</v>
      </c>
      <c r="B6" s="75">
        <v>43454.62740740741</v>
      </c>
      <c r="C6" s="74" t="s">
        <v>174</v>
      </c>
    </row>
    <row r="7" spans="1:14" x14ac:dyDescent="0.4">
      <c r="A7" s="74" t="s">
        <v>147</v>
      </c>
      <c r="B7" s="75">
        <v>43454.62740740741</v>
      </c>
      <c r="C7" s="74" t="s">
        <v>174</v>
      </c>
      <c r="D7" s="74" t="s">
        <v>175</v>
      </c>
      <c r="E7" s="74" t="s">
        <v>176</v>
      </c>
    </row>
    <row r="8" spans="1:14" x14ac:dyDescent="0.4">
      <c r="A8" s="74" t="s">
        <v>150</v>
      </c>
      <c r="B8" s="75">
        <v>43454.62740740741</v>
      </c>
      <c r="C8" s="74" t="s">
        <v>174</v>
      </c>
      <c r="D8" s="74" t="s">
        <v>175</v>
      </c>
    </row>
    <row r="9" spans="1:14" x14ac:dyDescent="0.4">
      <c r="A9" s="74" t="s">
        <v>151</v>
      </c>
      <c r="B9" s="75">
        <v>43454.62740740741</v>
      </c>
      <c r="C9" s="74" t="s">
        <v>174</v>
      </c>
      <c r="D9" s="74" t="s">
        <v>175</v>
      </c>
      <c r="E9" s="74" t="s">
        <v>176</v>
      </c>
      <c r="F9" s="74" t="s">
        <v>177</v>
      </c>
    </row>
    <row r="10" spans="1:14" x14ac:dyDescent="0.4">
      <c r="A10" s="74" t="s">
        <v>152</v>
      </c>
      <c r="B10" s="75">
        <v>43454.62740740741</v>
      </c>
      <c r="C10" s="74" t="s">
        <v>174</v>
      </c>
      <c r="D10" s="74" t="s">
        <v>175</v>
      </c>
      <c r="E10" s="74" t="s">
        <v>176</v>
      </c>
    </row>
    <row r="11" spans="1:14" x14ac:dyDescent="0.4">
      <c r="A11" s="74" t="s">
        <v>153</v>
      </c>
      <c r="B11" s="75">
        <v>43454.62740740741</v>
      </c>
      <c r="C11" s="74" t="s">
        <v>174</v>
      </c>
      <c r="D11" s="74" t="s">
        <v>175</v>
      </c>
      <c r="E11" s="74" t="s">
        <v>176</v>
      </c>
      <c r="F11" s="74" t="s">
        <v>177</v>
      </c>
      <c r="G11" s="74" t="s">
        <v>178</v>
      </c>
      <c r="H11" s="74" t="s">
        <v>179</v>
      </c>
      <c r="I11" s="74" t="s">
        <v>180</v>
      </c>
    </row>
    <row r="12" spans="1:14" x14ac:dyDescent="0.4">
      <c r="A12" s="74" t="s">
        <v>154</v>
      </c>
      <c r="B12" s="75">
        <v>43454.62740740741</v>
      </c>
      <c r="C12" s="74" t="s">
        <v>174</v>
      </c>
      <c r="D12" s="74" t="s">
        <v>175</v>
      </c>
    </row>
    <row r="13" spans="1:14" x14ac:dyDescent="0.4">
      <c r="A13" s="74" t="s">
        <v>155</v>
      </c>
      <c r="B13" s="75">
        <v>43454.62740740741</v>
      </c>
      <c r="C13" s="74" t="s">
        <v>174</v>
      </c>
      <c r="D13" s="74" t="s">
        <v>175</v>
      </c>
      <c r="E13" s="74" t="s">
        <v>176</v>
      </c>
      <c r="F13" s="74" t="s">
        <v>177</v>
      </c>
      <c r="G13" s="74" t="s">
        <v>178</v>
      </c>
      <c r="H13" s="74" t="s">
        <v>179</v>
      </c>
      <c r="I13" s="74" t="s">
        <v>180</v>
      </c>
      <c r="J13" s="74" t="s">
        <v>181</v>
      </c>
      <c r="K13" s="74" t="s">
        <v>182</v>
      </c>
      <c r="L13" s="74" t="s">
        <v>183</v>
      </c>
      <c r="M13" s="74" t="s">
        <v>184</v>
      </c>
      <c r="N13" s="74" t="s">
        <v>185</v>
      </c>
    </row>
    <row r="14" spans="1:14" x14ac:dyDescent="0.4">
      <c r="A14" s="74" t="s">
        <v>157</v>
      </c>
      <c r="B14" s="75">
        <v>43454.62740740741</v>
      </c>
      <c r="C14" s="74" t="s">
        <v>174</v>
      </c>
      <c r="D14" s="74" t="s">
        <v>175</v>
      </c>
      <c r="E14" s="74" t="s">
        <v>176</v>
      </c>
    </row>
    <row r="15" spans="1:14" x14ac:dyDescent="0.4">
      <c r="A15" s="74" t="s">
        <v>158</v>
      </c>
      <c r="B15" s="75">
        <v>43454.62740740741</v>
      </c>
      <c r="C15" s="74" t="s">
        <v>174</v>
      </c>
      <c r="D15" s="74" t="s">
        <v>175</v>
      </c>
      <c r="E15" s="74" t="s">
        <v>176</v>
      </c>
    </row>
    <row r="16" spans="1:14" x14ac:dyDescent="0.4">
      <c r="A16" s="74" t="s">
        <v>159</v>
      </c>
      <c r="B16" s="75">
        <v>43454.62740740741</v>
      </c>
      <c r="C16" s="74" t="s">
        <v>174</v>
      </c>
      <c r="D16" s="74" t="s">
        <v>175</v>
      </c>
      <c r="E16" s="74" t="s">
        <v>176</v>
      </c>
    </row>
    <row r="17" spans="1:9" x14ac:dyDescent="0.4">
      <c r="A17" s="74" t="s">
        <v>161</v>
      </c>
      <c r="B17" s="75">
        <v>43471.701018518521</v>
      </c>
      <c r="C17" s="74" t="s">
        <v>174</v>
      </c>
      <c r="D17" s="74" t="s">
        <v>175</v>
      </c>
      <c r="E17" s="74" t="s">
        <v>176</v>
      </c>
      <c r="F17" s="74" t="s">
        <v>177</v>
      </c>
      <c r="G17" s="74" t="s">
        <v>178</v>
      </c>
      <c r="H17" s="74" t="s">
        <v>179</v>
      </c>
    </row>
    <row r="18" spans="1:9" x14ac:dyDescent="0.4">
      <c r="A18" s="74" t="s">
        <v>162</v>
      </c>
      <c r="B18" s="75">
        <v>43454.62740740741</v>
      </c>
      <c r="C18" s="74" t="s">
        <v>174</v>
      </c>
      <c r="D18" s="74" t="s">
        <v>175</v>
      </c>
      <c r="E18" s="74" t="s">
        <v>176</v>
      </c>
      <c r="F18" s="74" t="s">
        <v>177</v>
      </c>
      <c r="G18" s="74" t="s">
        <v>178</v>
      </c>
      <c r="H18" s="74" t="s">
        <v>179</v>
      </c>
    </row>
    <row r="19" spans="1:9" x14ac:dyDescent="0.4">
      <c r="A19" s="74" t="s">
        <v>163</v>
      </c>
      <c r="B19" s="75">
        <v>43454.62740740741</v>
      </c>
      <c r="C19" s="74" t="s">
        <v>174</v>
      </c>
      <c r="D19" s="74" t="s">
        <v>175</v>
      </c>
    </row>
    <row r="20" spans="1:9" x14ac:dyDescent="0.4">
      <c r="A20" s="74" t="s">
        <v>164</v>
      </c>
      <c r="B20" s="75">
        <v>43471.701018518521</v>
      </c>
      <c r="C20" s="74" t="s">
        <v>174</v>
      </c>
      <c r="D20" s="74" t="s">
        <v>175</v>
      </c>
      <c r="E20" s="74" t="s">
        <v>176</v>
      </c>
    </row>
    <row r="21" spans="1:9" x14ac:dyDescent="0.4">
      <c r="A21" s="74" t="s">
        <v>165</v>
      </c>
      <c r="B21" s="75">
        <v>43454.62740740741</v>
      </c>
      <c r="C21" s="74" t="s">
        <v>174</v>
      </c>
      <c r="D21" s="74" t="s">
        <v>175</v>
      </c>
      <c r="E21" s="74" t="s">
        <v>176</v>
      </c>
      <c r="F21" s="74" t="s">
        <v>177</v>
      </c>
    </row>
    <row r="22" spans="1:9" x14ac:dyDescent="0.4">
      <c r="A22" s="74" t="s">
        <v>166</v>
      </c>
      <c r="B22" s="75">
        <v>43454.62740740741</v>
      </c>
      <c r="C22" s="74" t="s">
        <v>174</v>
      </c>
      <c r="D22" s="74" t="s">
        <v>175</v>
      </c>
      <c r="E22" s="74" t="s">
        <v>176</v>
      </c>
      <c r="F22" s="74" t="s">
        <v>177</v>
      </c>
    </row>
    <row r="23" spans="1:9" x14ac:dyDescent="0.4">
      <c r="A23" s="74" t="s">
        <v>167</v>
      </c>
      <c r="B23" s="75">
        <v>43454.62740740741</v>
      </c>
      <c r="C23" s="74" t="s">
        <v>174</v>
      </c>
      <c r="D23" s="74" t="s">
        <v>175</v>
      </c>
      <c r="E23" s="74" t="s">
        <v>176</v>
      </c>
      <c r="F23" s="74" t="s">
        <v>177</v>
      </c>
      <c r="G23" s="74" t="s">
        <v>178</v>
      </c>
      <c r="H23" s="74" t="s">
        <v>179</v>
      </c>
      <c r="I23" s="74" t="s">
        <v>180</v>
      </c>
    </row>
    <row r="24" spans="1:9" x14ac:dyDescent="0.4">
      <c r="A24" s="74" t="s">
        <v>168</v>
      </c>
      <c r="B24" s="75">
        <v>43454.62740740741</v>
      </c>
      <c r="C24" s="74" t="s">
        <v>174</v>
      </c>
      <c r="D24" s="74" t="s">
        <v>175</v>
      </c>
      <c r="E24" s="74" t="s">
        <v>176</v>
      </c>
    </row>
    <row r="25" spans="1:9" x14ac:dyDescent="0.4">
      <c r="A25" s="74" t="s">
        <v>169</v>
      </c>
      <c r="B25" s="75">
        <v>43454.62740740741</v>
      </c>
      <c r="C25" s="74" t="s">
        <v>174</v>
      </c>
      <c r="D25" s="74" t="s">
        <v>175</v>
      </c>
      <c r="E25" s="74" t="s">
        <v>176</v>
      </c>
      <c r="F25" s="74" t="s">
        <v>177</v>
      </c>
      <c r="G25" s="74" t="s">
        <v>178</v>
      </c>
      <c r="H25" s="74" t="s">
        <v>179</v>
      </c>
    </row>
    <row r="26" spans="1:9" x14ac:dyDescent="0.4">
      <c r="A26" s="74" t="s">
        <v>170</v>
      </c>
      <c r="B26" s="75">
        <v>43454.62740740741</v>
      </c>
      <c r="C26" s="74" t="s">
        <v>174</v>
      </c>
      <c r="D26" s="74" t="s">
        <v>175</v>
      </c>
    </row>
    <row r="27" spans="1:9" x14ac:dyDescent="0.4">
      <c r="A27" s="74" t="s">
        <v>171</v>
      </c>
      <c r="B27" s="75">
        <v>43454.62740740741</v>
      </c>
      <c r="C27" s="74" t="s">
        <v>174</v>
      </c>
      <c r="D27" s="74" t="s">
        <v>175</v>
      </c>
    </row>
    <row r="28" spans="1:9" x14ac:dyDescent="0.4">
      <c r="A28" s="74" t="s">
        <v>172</v>
      </c>
      <c r="B28" s="75">
        <v>43454.62740740741</v>
      </c>
      <c r="C28" s="74" t="s">
        <v>174</v>
      </c>
      <c r="D28" s="74" t="s">
        <v>175</v>
      </c>
      <c r="E28" s="74" t="s">
        <v>176</v>
      </c>
      <c r="F28" s="74" t="s">
        <v>177</v>
      </c>
    </row>
    <row r="29" spans="1:9" x14ac:dyDescent="0.4">
      <c r="A29" s="74" t="s">
        <v>173</v>
      </c>
      <c r="B29" s="75">
        <v>43455.084918981483</v>
      </c>
      <c r="C29" s="74" t="s">
        <v>174</v>
      </c>
      <c r="D29" s="74" t="s">
        <v>175</v>
      </c>
      <c r="E29" s="74" t="s">
        <v>176</v>
      </c>
      <c r="F29" s="74" t="s">
        <v>177</v>
      </c>
      <c r="G29" s="74" t="s">
        <v>178</v>
      </c>
      <c r="H29" s="74" t="s">
        <v>179</v>
      </c>
    </row>
    <row r="30" spans="1:9" x14ac:dyDescent="0.4">
      <c r="A30" s="74" t="s">
        <v>194</v>
      </c>
      <c r="B30" s="75">
        <v>43456.147789351853</v>
      </c>
      <c r="C30" s="74" t="s">
        <v>174</v>
      </c>
      <c r="D30" s="74" t="s">
        <v>175</v>
      </c>
      <c r="E30" s="74" t="s">
        <v>176</v>
      </c>
      <c r="F30" s="74" t="s">
        <v>177</v>
      </c>
      <c r="G30" s="74" t="s">
        <v>178</v>
      </c>
    </row>
    <row r="31" spans="1:9" x14ac:dyDescent="0.4">
      <c r="A31" s="74" t="s">
        <v>211</v>
      </c>
      <c r="B31" s="75">
        <v>43471.8909375</v>
      </c>
      <c r="C31" s="74" t="s">
        <v>174</v>
      </c>
      <c r="D31" s="74" t="s">
        <v>175</v>
      </c>
      <c r="E31" s="74" t="s">
        <v>176</v>
      </c>
      <c r="F31" s="74" t="s">
        <v>177</v>
      </c>
    </row>
    <row r="32" spans="1:9" x14ac:dyDescent="0.4">
      <c r="A32" s="74" t="s">
        <v>212</v>
      </c>
      <c r="B32" s="75">
        <v>43475.056238425925</v>
      </c>
      <c r="C32" s="74" t="s">
        <v>174</v>
      </c>
    </row>
    <row r="33" spans="1:10" x14ac:dyDescent="0.4">
      <c r="A33" s="74" t="s">
        <v>213</v>
      </c>
      <c r="B33" s="75">
        <v>43478.456446759257</v>
      </c>
      <c r="C33" s="74" t="s">
        <v>174</v>
      </c>
      <c r="D33" s="74" t="s">
        <v>175</v>
      </c>
      <c r="E33" s="74" t="s">
        <v>176</v>
      </c>
    </row>
    <row r="34" spans="1:10" x14ac:dyDescent="0.4">
      <c r="A34" s="74" t="s">
        <v>216</v>
      </c>
      <c r="B34" s="75">
        <v>43479.152256944442</v>
      </c>
      <c r="C34" s="74" t="s">
        <v>174</v>
      </c>
      <c r="D34" s="74" t="s">
        <v>175</v>
      </c>
      <c r="E34" s="74" t="s">
        <v>176</v>
      </c>
      <c r="F34" s="74" t="s">
        <v>177</v>
      </c>
      <c r="G34" s="74" t="s">
        <v>178</v>
      </c>
      <c r="H34" s="74" t="s">
        <v>179</v>
      </c>
      <c r="I34" s="74" t="s">
        <v>180</v>
      </c>
      <c r="J34" s="74" t="s">
        <v>181</v>
      </c>
    </row>
    <row r="35" spans="1:10" x14ac:dyDescent="0.4">
      <c r="A35" s="74" t="s">
        <v>221</v>
      </c>
      <c r="B35" s="75">
        <v>43480.04891203704</v>
      </c>
      <c r="C35" s="74" t="s">
        <v>174</v>
      </c>
      <c r="D35" s="74" t="s">
        <v>175</v>
      </c>
      <c r="E35" s="74" t="s">
        <v>176</v>
      </c>
      <c r="F35" s="74" t="s">
        <v>177</v>
      </c>
      <c r="G35" s="74" t="s">
        <v>178</v>
      </c>
      <c r="H35" s="74" t="s">
        <v>179</v>
      </c>
      <c r="I35" s="74" t="s">
        <v>180</v>
      </c>
      <c r="J35" s="74" t="s">
        <v>181</v>
      </c>
    </row>
    <row r="36" spans="1:10" x14ac:dyDescent="0.4">
      <c r="A36" s="74" t="s">
        <v>228</v>
      </c>
      <c r="B36" s="75">
        <v>43481.046527777777</v>
      </c>
      <c r="C36" s="74" t="s">
        <v>174</v>
      </c>
      <c r="D36" s="74" t="s">
        <v>175</v>
      </c>
      <c r="E36" s="74" t="s">
        <v>176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2019-01-15T16:12:00Z</dcterms:modified>
</cp:coreProperties>
</file>