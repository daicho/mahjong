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A2200E56-F28D-4068-8716-D8EE15AA0D33}" xr6:coauthVersionLast="36" xr6:coauthVersionMax="40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役" sheetId="2416" r:id="rId2"/>
    <sheet name="だいち" sheetId="2833" r:id="rId3"/>
    <sheet name="かこたろう" sheetId="2834" r:id="rId4"/>
    <sheet name="ともき" sheetId="2835" r:id="rId5"/>
    <sheet name="りくと" sheetId="2836" r:id="rId6"/>
    <sheet name="いっしー" sheetId="2837" r:id="rId7"/>
    <sheet name="がくと" sheetId="2838" r:id="rId8"/>
    <sheet name="たかの" sheetId="2839" r:id="rId9"/>
    <sheet name="ただ" sheetId="2840" r:id="rId10"/>
    <sheet name="やがさき" sheetId="2841" r:id="rId11"/>
    <sheet name="れんたろう" sheetId="2842" r:id="rId12"/>
    <sheet name="あさひ" sheetId="2843" r:id="rId13"/>
    <sheet name="まっつん" sheetId="2844" r:id="rId14"/>
    <sheet name="Template" sheetId="2228" state="hidden" r:id="rId15"/>
    <sheet name="Cache" sheetId="2227" state="hidden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51" i="2844" l="1"/>
  <c r="H50" i="2844"/>
  <c r="H49" i="2844"/>
  <c r="H48" i="2844"/>
  <c r="H47" i="2844"/>
  <c r="H46" i="2844"/>
  <c r="H45" i="2844"/>
  <c r="H44" i="2844"/>
  <c r="H43" i="2844"/>
  <c r="H42" i="2844"/>
  <c r="H41" i="2844"/>
  <c r="H40" i="2844"/>
  <c r="H39" i="2844"/>
  <c r="H38" i="2844"/>
  <c r="H37" i="2844"/>
  <c r="H36" i="2844"/>
  <c r="H35" i="2844"/>
  <c r="H34" i="2844"/>
  <c r="H33" i="2844"/>
  <c r="H32" i="2844"/>
  <c r="H31" i="2844"/>
  <c r="H30" i="2844"/>
  <c r="H6" i="2844"/>
  <c r="H29" i="2844"/>
  <c r="H28" i="2844"/>
  <c r="C27" i="2844"/>
  <c r="H9" i="2844"/>
  <c r="H13" i="2844"/>
  <c r="H27" i="2844"/>
  <c r="H5" i="2844"/>
  <c r="C23" i="2844"/>
  <c r="H26" i="2844"/>
  <c r="C22" i="2844"/>
  <c r="H25" i="2844"/>
  <c r="B21" i="2844"/>
  <c r="H24" i="2844"/>
  <c r="H23" i="2844"/>
  <c r="C19" i="2844"/>
  <c r="H8" i="2844"/>
  <c r="H22" i="2844"/>
  <c r="H15" i="2844"/>
  <c r="B16" i="2844"/>
  <c r="C17" i="2844" s="1"/>
  <c r="H21" i="2844"/>
  <c r="C15" i="2844"/>
  <c r="H20" i="2844"/>
  <c r="C14" i="2844"/>
  <c r="H19" i="2844"/>
  <c r="C13" i="2844"/>
  <c r="H18" i="2844"/>
  <c r="C12" i="2844"/>
  <c r="H4" i="2844"/>
  <c r="C11" i="2844"/>
  <c r="H17" i="2844"/>
  <c r="C10" i="2844"/>
  <c r="H10" i="2844"/>
  <c r="C9" i="2844"/>
  <c r="H14" i="2844"/>
  <c r="C8" i="2844"/>
  <c r="N7" i="2844"/>
  <c r="H12" i="2844"/>
  <c r="C7" i="2844"/>
  <c r="N6" i="2844"/>
  <c r="H2" i="2844"/>
  <c r="B6" i="2844"/>
  <c r="N5" i="2844"/>
  <c r="H11" i="2844"/>
  <c r="B5" i="2844"/>
  <c r="N4" i="2844"/>
  <c r="H3" i="2844"/>
  <c r="N3" i="2844"/>
  <c r="H16" i="2844"/>
  <c r="N2" i="2844"/>
  <c r="H7" i="2844"/>
  <c r="C16" i="2844" l="1"/>
  <c r="B20" i="2844"/>
  <c r="C18" i="2844"/>
  <c r="H51" i="2843" l="1"/>
  <c r="H50" i="2843"/>
  <c r="H49" i="2843"/>
  <c r="H48" i="2843"/>
  <c r="H47" i="2843"/>
  <c r="H46" i="2843"/>
  <c r="H45" i="2843"/>
  <c r="H44" i="2843"/>
  <c r="H43" i="2843"/>
  <c r="H42" i="2843"/>
  <c r="H41" i="2843"/>
  <c r="H40" i="2843"/>
  <c r="H39" i="2843"/>
  <c r="H38" i="2843"/>
  <c r="H37" i="2843"/>
  <c r="H36" i="2843"/>
  <c r="H35" i="2843"/>
  <c r="H34" i="2843"/>
  <c r="H33" i="2843"/>
  <c r="H32" i="2843"/>
  <c r="H14" i="2843"/>
  <c r="H31" i="2843"/>
  <c r="H11" i="2843"/>
  <c r="H30" i="2843"/>
  <c r="H29" i="2843"/>
  <c r="C27" i="2843"/>
  <c r="H10" i="2843"/>
  <c r="H28" i="2843"/>
  <c r="H27" i="2843"/>
  <c r="H26" i="2843"/>
  <c r="C23" i="2843"/>
  <c r="H25" i="2843"/>
  <c r="C22" i="2843"/>
  <c r="H24" i="2843"/>
  <c r="B21" i="2843"/>
  <c r="H23" i="2843"/>
  <c r="H22" i="2843"/>
  <c r="C19" i="2843"/>
  <c r="H21" i="2843"/>
  <c r="H20" i="2843"/>
  <c r="H19" i="2843"/>
  <c r="B16" i="2843"/>
  <c r="C17" i="2843" s="1"/>
  <c r="H18" i="2843"/>
  <c r="C15" i="2843"/>
  <c r="H17" i="2843"/>
  <c r="C14" i="2843"/>
  <c r="H16" i="2843"/>
  <c r="C13" i="2843"/>
  <c r="H15" i="2843"/>
  <c r="C12" i="2843"/>
  <c r="H5" i="2843"/>
  <c r="C11" i="2843"/>
  <c r="H13" i="2843"/>
  <c r="C10" i="2843"/>
  <c r="H7" i="2843"/>
  <c r="C9" i="2843"/>
  <c r="H9" i="2843"/>
  <c r="C8" i="2843"/>
  <c r="N7" i="2843"/>
  <c r="H8" i="2843"/>
  <c r="C7" i="2843"/>
  <c r="N6" i="2843"/>
  <c r="H3" i="2843"/>
  <c r="B6" i="2843"/>
  <c r="N5" i="2843"/>
  <c r="H6" i="2843"/>
  <c r="B5" i="2843"/>
  <c r="N4" i="2843"/>
  <c r="H2" i="2843"/>
  <c r="N3" i="2843"/>
  <c r="H12" i="2843"/>
  <c r="N2" i="2843"/>
  <c r="H4" i="2843"/>
  <c r="C16" i="2843" l="1"/>
  <c r="C18" i="2843"/>
  <c r="B20" i="2843"/>
  <c r="H51" i="2842" l="1"/>
  <c r="H50" i="2842"/>
  <c r="H49" i="2842"/>
  <c r="H48" i="2842"/>
  <c r="H47" i="2842"/>
  <c r="H46" i="2842"/>
  <c r="H45" i="2842"/>
  <c r="H44" i="2842"/>
  <c r="H43" i="2842"/>
  <c r="H42" i="2842"/>
  <c r="H41" i="2842"/>
  <c r="H40" i="2842"/>
  <c r="H39" i="2842"/>
  <c r="H38" i="2842"/>
  <c r="H37" i="2842"/>
  <c r="H36" i="2842"/>
  <c r="H35" i="2842"/>
  <c r="H34" i="2842"/>
  <c r="H23" i="2842"/>
  <c r="H33" i="2842"/>
  <c r="H22" i="2842"/>
  <c r="H32" i="2842"/>
  <c r="H8" i="2842"/>
  <c r="H31" i="2842"/>
  <c r="H30" i="2842"/>
  <c r="C27" i="2842"/>
  <c r="H12" i="2842"/>
  <c r="H29" i="2842"/>
  <c r="H21" i="2842"/>
  <c r="H14" i="2842"/>
  <c r="C23" i="2842"/>
  <c r="H28" i="2842"/>
  <c r="C22" i="2842"/>
  <c r="H17" i="2842"/>
  <c r="B21" i="2842"/>
  <c r="H27" i="2842"/>
  <c r="H26" i="2842"/>
  <c r="C19" i="2842"/>
  <c r="H20" i="2842"/>
  <c r="H13" i="2842"/>
  <c r="H19" i="2842"/>
  <c r="B16" i="2842"/>
  <c r="C17" i="2842" s="1"/>
  <c r="H25" i="2842"/>
  <c r="C15" i="2842"/>
  <c r="H18" i="2842"/>
  <c r="C14" i="2842"/>
  <c r="H24" i="2842"/>
  <c r="C13" i="2842"/>
  <c r="H16" i="2842"/>
  <c r="C12" i="2842"/>
  <c r="H4" i="2842"/>
  <c r="C11" i="2842"/>
  <c r="H15" i="2842"/>
  <c r="C10" i="2842"/>
  <c r="H10" i="2842"/>
  <c r="C9" i="2842"/>
  <c r="H9" i="2842"/>
  <c r="C8" i="2842"/>
  <c r="N7" i="2842"/>
  <c r="H7" i="2842"/>
  <c r="C7" i="2842"/>
  <c r="N6" i="2842"/>
  <c r="H2" i="2842"/>
  <c r="B6" i="2842"/>
  <c r="N5" i="2842"/>
  <c r="H6" i="2842"/>
  <c r="B5" i="2842"/>
  <c r="N4" i="2842"/>
  <c r="H3" i="2842"/>
  <c r="N3" i="2842"/>
  <c r="H11" i="2842"/>
  <c r="N2" i="2842"/>
  <c r="H5" i="2842"/>
  <c r="C16" i="2842" l="1"/>
  <c r="C18" i="2842"/>
  <c r="B20" i="2842"/>
  <c r="H51" i="2841" l="1"/>
  <c r="H50" i="2841"/>
  <c r="H49" i="2841"/>
  <c r="H48" i="2841"/>
  <c r="H47" i="2841"/>
  <c r="H46" i="2841"/>
  <c r="H45" i="2841"/>
  <c r="H44" i="2841"/>
  <c r="H43" i="2841"/>
  <c r="H42" i="2841"/>
  <c r="H41" i="2841"/>
  <c r="H40" i="2841"/>
  <c r="H39" i="2841"/>
  <c r="H38" i="2841"/>
  <c r="H37" i="2841"/>
  <c r="H36" i="2841"/>
  <c r="H35" i="2841"/>
  <c r="H34" i="2841"/>
  <c r="H33" i="2841"/>
  <c r="H32" i="2841"/>
  <c r="H31" i="2841"/>
  <c r="H30" i="2841"/>
  <c r="H29" i="2841"/>
  <c r="H28" i="2841"/>
  <c r="H27" i="2841"/>
  <c r="C27" i="2841"/>
  <c r="H26" i="2841"/>
  <c r="H25" i="2841"/>
  <c r="H24" i="2841"/>
  <c r="H23" i="2841"/>
  <c r="C23" i="2841"/>
  <c r="H22" i="2841"/>
  <c r="C22" i="2841"/>
  <c r="H21" i="2841"/>
  <c r="B21" i="2841"/>
  <c r="H20" i="2841"/>
  <c r="H19" i="2841"/>
  <c r="C19" i="2841"/>
  <c r="H18" i="2841"/>
  <c r="H17" i="2841"/>
  <c r="H16" i="2841"/>
  <c r="B16" i="2841"/>
  <c r="B20" i="2841" s="1"/>
  <c r="H15" i="2841"/>
  <c r="C15" i="2841"/>
  <c r="H14" i="2841"/>
  <c r="C14" i="2841"/>
  <c r="H13" i="2841"/>
  <c r="C13" i="2841"/>
  <c r="H12" i="2841"/>
  <c r="C12" i="2841"/>
  <c r="H11" i="2841"/>
  <c r="C11" i="2841"/>
  <c r="H10" i="2841"/>
  <c r="C10" i="2841"/>
  <c r="H9" i="2841"/>
  <c r="C9" i="2841"/>
  <c r="H8" i="2841"/>
  <c r="C8" i="2841"/>
  <c r="N7" i="2841"/>
  <c r="H7" i="2841"/>
  <c r="C7" i="2841"/>
  <c r="N6" i="2841"/>
  <c r="H6" i="2841"/>
  <c r="B6" i="2841"/>
  <c r="N5" i="2841"/>
  <c r="H5" i="2841"/>
  <c r="B5" i="2841"/>
  <c r="N4" i="2841"/>
  <c r="H4" i="2841"/>
  <c r="N3" i="2841"/>
  <c r="H3" i="2841"/>
  <c r="N2" i="2841"/>
  <c r="H2" i="2841"/>
  <c r="C17" i="2841" l="1"/>
  <c r="C16" i="2841"/>
  <c r="C18" i="2841"/>
  <c r="H51" i="2840" l="1"/>
  <c r="H50" i="2840"/>
  <c r="H49" i="2840"/>
  <c r="H48" i="2840"/>
  <c r="H47" i="2840"/>
  <c r="H46" i="2840"/>
  <c r="H45" i="2840"/>
  <c r="H44" i="2840"/>
  <c r="H43" i="2840"/>
  <c r="H42" i="2840"/>
  <c r="H41" i="2840"/>
  <c r="H40" i="2840"/>
  <c r="H39" i="2840"/>
  <c r="H38" i="2840"/>
  <c r="H37" i="2840"/>
  <c r="H36" i="2840"/>
  <c r="H35" i="2840"/>
  <c r="H34" i="2840"/>
  <c r="H33" i="2840"/>
  <c r="H32" i="2840"/>
  <c r="H19" i="2840"/>
  <c r="H31" i="2840"/>
  <c r="H10" i="2840"/>
  <c r="H30" i="2840"/>
  <c r="H29" i="2840"/>
  <c r="C27" i="2840"/>
  <c r="H13" i="2840"/>
  <c r="H28" i="2840"/>
  <c r="H18" i="2840"/>
  <c r="H17" i="2840"/>
  <c r="C23" i="2840"/>
  <c r="H27" i="2840"/>
  <c r="C22" i="2840"/>
  <c r="H15" i="2840"/>
  <c r="B21" i="2840"/>
  <c r="H26" i="2840"/>
  <c r="H25" i="2840"/>
  <c r="C19" i="2840"/>
  <c r="H24" i="2840"/>
  <c r="H14" i="2840"/>
  <c r="H23" i="2840"/>
  <c r="B16" i="2840"/>
  <c r="C17" i="2840" s="1"/>
  <c r="H22" i="2840"/>
  <c r="C15" i="2840"/>
  <c r="H21" i="2840"/>
  <c r="C14" i="2840"/>
  <c r="H16" i="2840"/>
  <c r="C13" i="2840"/>
  <c r="H20" i="2840"/>
  <c r="C12" i="2840"/>
  <c r="H5" i="2840"/>
  <c r="C11" i="2840"/>
  <c r="H12" i="2840"/>
  <c r="C10" i="2840"/>
  <c r="H11" i="2840"/>
  <c r="C9" i="2840"/>
  <c r="H8" i="2840"/>
  <c r="C8" i="2840"/>
  <c r="N7" i="2840"/>
  <c r="H7" i="2840"/>
  <c r="C7" i="2840"/>
  <c r="N6" i="2840"/>
  <c r="H2" i="2840"/>
  <c r="B6" i="2840"/>
  <c r="N5" i="2840"/>
  <c r="H6" i="2840"/>
  <c r="B5" i="2840"/>
  <c r="N4" i="2840"/>
  <c r="H3" i="2840"/>
  <c r="N3" i="2840"/>
  <c r="H9" i="2840"/>
  <c r="N2" i="2840"/>
  <c r="H4" i="2840"/>
  <c r="H51" i="2839"/>
  <c r="H50" i="2839"/>
  <c r="H49" i="2839"/>
  <c r="H48" i="2839"/>
  <c r="H47" i="2839"/>
  <c r="H46" i="2839"/>
  <c r="H45" i="2839"/>
  <c r="H44" i="2839"/>
  <c r="H43" i="2839"/>
  <c r="H42" i="2839"/>
  <c r="H41" i="2839"/>
  <c r="H40" i="2839"/>
  <c r="H39" i="2839"/>
  <c r="H38" i="2839"/>
  <c r="H37" i="2839"/>
  <c r="H36" i="2839"/>
  <c r="H35" i="2839"/>
  <c r="H34" i="2839"/>
  <c r="H33" i="2839"/>
  <c r="H32" i="2839"/>
  <c r="H31" i="2839"/>
  <c r="H30" i="2839"/>
  <c r="H10" i="2839"/>
  <c r="H29" i="2839"/>
  <c r="H28" i="2839"/>
  <c r="C27" i="2839"/>
  <c r="H13" i="2839"/>
  <c r="H27" i="2839"/>
  <c r="H26" i="2839"/>
  <c r="H18" i="2839"/>
  <c r="C23" i="2839"/>
  <c r="H25" i="2839"/>
  <c r="C22" i="2839"/>
  <c r="H17" i="2839"/>
  <c r="B21" i="2839"/>
  <c r="H24" i="2839"/>
  <c r="H23" i="2839"/>
  <c r="C19" i="2839"/>
  <c r="H12" i="2839"/>
  <c r="H11" i="2839"/>
  <c r="H22" i="2839"/>
  <c r="B16" i="2839"/>
  <c r="C17" i="2839" s="1"/>
  <c r="H21" i="2839"/>
  <c r="C15" i="2839"/>
  <c r="H16" i="2839"/>
  <c r="C14" i="2839"/>
  <c r="H20" i="2839"/>
  <c r="C13" i="2839"/>
  <c r="H19" i="2839"/>
  <c r="C12" i="2839"/>
  <c r="H3" i="2839"/>
  <c r="C11" i="2839"/>
  <c r="H15" i="2839"/>
  <c r="C10" i="2839"/>
  <c r="H14" i="2839"/>
  <c r="C9" i="2839"/>
  <c r="H9" i="2839"/>
  <c r="C8" i="2839"/>
  <c r="N7" i="2839"/>
  <c r="H7" i="2839"/>
  <c r="C7" i="2839"/>
  <c r="N6" i="2839"/>
  <c r="H2" i="2839"/>
  <c r="B6" i="2839"/>
  <c r="N5" i="2839"/>
  <c r="H8" i="2839"/>
  <c r="B5" i="2839"/>
  <c r="N4" i="2839"/>
  <c r="H4" i="2839"/>
  <c r="N3" i="2839"/>
  <c r="H6" i="2839"/>
  <c r="N2" i="2839"/>
  <c r="H5" i="2839"/>
  <c r="C16" i="2840" l="1"/>
  <c r="C18" i="2840"/>
  <c r="B20" i="2840"/>
  <c r="C16" i="2839"/>
  <c r="C18" i="2839"/>
  <c r="B20" i="2839"/>
  <c r="H51" i="2838" l="1"/>
  <c r="H50" i="2838"/>
  <c r="H49" i="2838"/>
  <c r="H48" i="2838"/>
  <c r="H47" i="2838"/>
  <c r="H46" i="2838"/>
  <c r="H45" i="2838"/>
  <c r="H44" i="2838"/>
  <c r="H43" i="2838"/>
  <c r="H42" i="2838"/>
  <c r="H41" i="2838"/>
  <c r="H40" i="2838"/>
  <c r="H39" i="2838"/>
  <c r="H38" i="2838"/>
  <c r="H37" i="2838"/>
  <c r="H36" i="2838"/>
  <c r="H35" i="2838"/>
  <c r="H34" i="2838"/>
  <c r="H33" i="2838"/>
  <c r="H32" i="2838"/>
  <c r="H31" i="2838"/>
  <c r="H30" i="2838"/>
  <c r="H29" i="2838"/>
  <c r="H28" i="2838"/>
  <c r="H27" i="2838"/>
  <c r="C27" i="2838"/>
  <c r="H11" i="2838"/>
  <c r="H26" i="2838"/>
  <c r="H25" i="2838"/>
  <c r="H24" i="2838"/>
  <c r="C23" i="2838"/>
  <c r="H23" i="2838"/>
  <c r="C22" i="2838"/>
  <c r="H22" i="2838"/>
  <c r="B21" i="2838"/>
  <c r="H21" i="2838"/>
  <c r="H20" i="2838"/>
  <c r="C19" i="2838"/>
  <c r="H8" i="2838"/>
  <c r="H19" i="2838"/>
  <c r="H18" i="2838"/>
  <c r="B16" i="2838"/>
  <c r="C17" i="2838" s="1"/>
  <c r="H17" i="2838"/>
  <c r="C15" i="2838"/>
  <c r="H16" i="2838"/>
  <c r="C14" i="2838"/>
  <c r="H15" i="2838"/>
  <c r="C13" i="2838"/>
  <c r="H14" i="2838"/>
  <c r="C12" i="2838"/>
  <c r="H5" i="2838"/>
  <c r="C11" i="2838"/>
  <c r="H13" i="2838"/>
  <c r="C10" i="2838"/>
  <c r="H12" i="2838"/>
  <c r="C9" i="2838"/>
  <c r="H10" i="2838"/>
  <c r="C8" i="2838"/>
  <c r="N7" i="2838"/>
  <c r="H6" i="2838"/>
  <c r="C7" i="2838"/>
  <c r="N6" i="2838"/>
  <c r="H3" i="2838"/>
  <c r="B6" i="2838"/>
  <c r="N5" i="2838"/>
  <c r="H7" i="2838"/>
  <c r="B5" i="2838"/>
  <c r="N4" i="2838"/>
  <c r="H9" i="2838"/>
  <c r="N3" i="2838"/>
  <c r="H4" i="2838"/>
  <c r="N2" i="2838"/>
  <c r="H2" i="2838"/>
  <c r="C16" i="2838" l="1"/>
  <c r="C18" i="2838"/>
  <c r="B20" i="2838"/>
  <c r="H51" i="2837" l="1"/>
  <c r="H50" i="2837"/>
  <c r="H49" i="2837"/>
  <c r="H48" i="2837"/>
  <c r="H47" i="2837"/>
  <c r="H46" i="2837"/>
  <c r="H45" i="2837"/>
  <c r="H44" i="2837"/>
  <c r="H43" i="2837"/>
  <c r="H42" i="2837"/>
  <c r="H41" i="2837"/>
  <c r="H40" i="2837"/>
  <c r="H39" i="2837"/>
  <c r="H38" i="2837"/>
  <c r="H37" i="2837"/>
  <c r="H36" i="2837"/>
  <c r="H35" i="2837"/>
  <c r="H34" i="2837"/>
  <c r="H33" i="2837"/>
  <c r="H32" i="2837"/>
  <c r="H31" i="2837"/>
  <c r="H30" i="2837"/>
  <c r="H14" i="2837"/>
  <c r="H29" i="2837"/>
  <c r="H28" i="2837"/>
  <c r="C27" i="2837"/>
  <c r="H13" i="2837"/>
  <c r="H27" i="2837"/>
  <c r="H26" i="2837"/>
  <c r="H11" i="2837"/>
  <c r="C23" i="2837"/>
  <c r="H25" i="2837"/>
  <c r="C22" i="2837"/>
  <c r="H12" i="2837"/>
  <c r="B21" i="2837"/>
  <c r="H24" i="2837"/>
  <c r="H23" i="2837"/>
  <c r="C19" i="2837"/>
  <c r="H22" i="2837"/>
  <c r="H15" i="2837"/>
  <c r="H21" i="2837"/>
  <c r="B16" i="2837"/>
  <c r="B20" i="2837" s="1"/>
  <c r="H20" i="2837"/>
  <c r="C15" i="2837"/>
  <c r="H19" i="2837"/>
  <c r="C14" i="2837"/>
  <c r="H18" i="2837"/>
  <c r="C13" i="2837"/>
  <c r="H17" i="2837"/>
  <c r="C12" i="2837"/>
  <c r="H4" i="2837"/>
  <c r="C11" i="2837"/>
  <c r="H16" i="2837"/>
  <c r="C10" i="2837"/>
  <c r="H10" i="2837"/>
  <c r="C9" i="2837"/>
  <c r="H9" i="2837"/>
  <c r="C8" i="2837"/>
  <c r="N7" i="2837"/>
  <c r="H7" i="2837"/>
  <c r="C7" i="2837"/>
  <c r="N6" i="2837"/>
  <c r="H3" i="2837"/>
  <c r="B6" i="2837"/>
  <c r="N5" i="2837"/>
  <c r="H6" i="2837"/>
  <c r="B5" i="2837"/>
  <c r="N4" i="2837"/>
  <c r="H2" i="2837"/>
  <c r="N3" i="2837"/>
  <c r="H8" i="2837"/>
  <c r="N2" i="2837"/>
  <c r="H5" i="2837"/>
  <c r="H51" i="2836"/>
  <c r="H50" i="2836"/>
  <c r="H49" i="2836"/>
  <c r="H48" i="2836"/>
  <c r="H47" i="2836"/>
  <c r="H46" i="2836"/>
  <c r="H45" i="2836"/>
  <c r="H44" i="2836"/>
  <c r="H43" i="2836"/>
  <c r="H42" i="2836"/>
  <c r="H41" i="2836"/>
  <c r="H40" i="2836"/>
  <c r="H39" i="2836"/>
  <c r="H38" i="2836"/>
  <c r="H37" i="2836"/>
  <c r="H36" i="2836"/>
  <c r="H35" i="2836"/>
  <c r="H34" i="2836"/>
  <c r="H33" i="2836"/>
  <c r="H20" i="2836"/>
  <c r="H14" i="2836"/>
  <c r="H32" i="2836"/>
  <c r="H9" i="2836"/>
  <c r="H24" i="2836"/>
  <c r="H23" i="2836"/>
  <c r="C27" i="2836"/>
  <c r="H12" i="2836"/>
  <c r="H19" i="2836"/>
  <c r="H22" i="2836"/>
  <c r="H13" i="2836"/>
  <c r="C23" i="2836"/>
  <c r="H31" i="2836"/>
  <c r="C22" i="2836"/>
  <c r="H15" i="2836"/>
  <c r="B21" i="2836"/>
  <c r="H21" i="2836"/>
  <c r="H30" i="2836"/>
  <c r="C19" i="2836"/>
  <c r="H18" i="2836"/>
  <c r="H17" i="2836"/>
  <c r="H29" i="2836"/>
  <c r="B16" i="2836"/>
  <c r="B20" i="2836" s="1"/>
  <c r="H28" i="2836"/>
  <c r="C15" i="2836"/>
  <c r="H27" i="2836"/>
  <c r="C14" i="2836"/>
  <c r="H26" i="2836"/>
  <c r="C13" i="2836"/>
  <c r="H25" i="2836"/>
  <c r="C12" i="2836"/>
  <c r="H5" i="2836"/>
  <c r="C11" i="2836"/>
  <c r="H16" i="2836"/>
  <c r="C10" i="2836"/>
  <c r="H8" i="2836"/>
  <c r="C9" i="2836"/>
  <c r="H10" i="2836"/>
  <c r="C8" i="2836"/>
  <c r="N7" i="2836"/>
  <c r="H6" i="2836"/>
  <c r="C7" i="2836"/>
  <c r="N6" i="2836"/>
  <c r="H2" i="2836"/>
  <c r="B6" i="2836"/>
  <c r="N5" i="2836"/>
  <c r="H7" i="2836"/>
  <c r="B5" i="2836"/>
  <c r="N4" i="2836"/>
  <c r="H3" i="2836"/>
  <c r="N3" i="2836"/>
  <c r="H11" i="2836"/>
  <c r="N2" i="2836"/>
  <c r="H4" i="2836"/>
  <c r="C17" i="2837" l="1"/>
  <c r="C16" i="2837"/>
  <c r="C18" i="2837"/>
  <c r="C16" i="2836"/>
  <c r="C17" i="2836"/>
  <c r="C18" i="2836"/>
  <c r="H51" i="2835" l="1"/>
  <c r="H50" i="2835"/>
  <c r="H49" i="2835"/>
  <c r="H48" i="2835"/>
  <c r="H47" i="2835"/>
  <c r="H46" i="2835"/>
  <c r="H45" i="2835"/>
  <c r="H44" i="2835"/>
  <c r="H43" i="2835"/>
  <c r="H42" i="2835"/>
  <c r="H41" i="2835"/>
  <c r="H40" i="2835"/>
  <c r="H39" i="2835"/>
  <c r="H38" i="2835"/>
  <c r="H37" i="2835"/>
  <c r="H36" i="2835"/>
  <c r="H35" i="2835"/>
  <c r="H34" i="2835"/>
  <c r="H33" i="2835"/>
  <c r="H32" i="2835"/>
  <c r="H31" i="2835"/>
  <c r="H30" i="2835"/>
  <c r="H29" i="2835"/>
  <c r="H28" i="2835"/>
  <c r="H27" i="2835"/>
  <c r="C27" i="2835"/>
  <c r="H26" i="2835"/>
  <c r="H25" i="2835"/>
  <c r="H24" i="2835"/>
  <c r="H23" i="2835"/>
  <c r="C23" i="2835"/>
  <c r="H22" i="2835"/>
  <c r="C22" i="2835"/>
  <c r="H21" i="2835"/>
  <c r="B21" i="2835"/>
  <c r="H20" i="2835"/>
  <c r="H19" i="2835"/>
  <c r="C19" i="2835"/>
  <c r="H18" i="2835"/>
  <c r="H17" i="2835"/>
  <c r="H16" i="2835"/>
  <c r="B16" i="2835"/>
  <c r="C17" i="2835" s="1"/>
  <c r="H15" i="2835"/>
  <c r="C15" i="2835"/>
  <c r="H14" i="2835"/>
  <c r="C14" i="2835"/>
  <c r="H13" i="2835"/>
  <c r="C13" i="2835"/>
  <c r="H12" i="2835"/>
  <c r="C12" i="2835"/>
  <c r="H11" i="2835"/>
  <c r="C11" i="2835"/>
  <c r="H5" i="2835"/>
  <c r="C10" i="2835"/>
  <c r="H10" i="2835"/>
  <c r="C9" i="2835"/>
  <c r="H4" i="2835"/>
  <c r="C8" i="2835"/>
  <c r="N7" i="2835"/>
  <c r="H9" i="2835"/>
  <c r="C7" i="2835"/>
  <c r="N6" i="2835"/>
  <c r="H8" i="2835"/>
  <c r="B6" i="2835"/>
  <c r="N5" i="2835"/>
  <c r="H2" i="2835"/>
  <c r="B5" i="2835"/>
  <c r="N4" i="2835"/>
  <c r="H7" i="2835"/>
  <c r="N3" i="2835"/>
  <c r="H6" i="2835"/>
  <c r="N2" i="2835"/>
  <c r="H3" i="2835"/>
  <c r="H51" i="2834"/>
  <c r="H50" i="2834"/>
  <c r="H49" i="2834"/>
  <c r="H48" i="2834"/>
  <c r="H47" i="2834"/>
  <c r="H46" i="2834"/>
  <c r="H45" i="2834"/>
  <c r="H44" i="2834"/>
  <c r="H43" i="2834"/>
  <c r="H42" i="2834"/>
  <c r="H41" i="2834"/>
  <c r="H40" i="2834"/>
  <c r="H39" i="2834"/>
  <c r="H38" i="2834"/>
  <c r="H37" i="2834"/>
  <c r="H36" i="2834"/>
  <c r="H35" i="2834"/>
  <c r="H34" i="2834"/>
  <c r="H33" i="2834"/>
  <c r="H32" i="2834"/>
  <c r="H31" i="2834"/>
  <c r="H30" i="2834"/>
  <c r="H29" i="2834"/>
  <c r="H28" i="2834"/>
  <c r="H27" i="2834"/>
  <c r="C27" i="2834"/>
  <c r="H26" i="2834"/>
  <c r="H25" i="2834"/>
  <c r="H24" i="2834"/>
  <c r="H23" i="2834"/>
  <c r="C23" i="2834"/>
  <c r="H22" i="2834"/>
  <c r="C22" i="2834"/>
  <c r="H21" i="2834"/>
  <c r="B21" i="2834"/>
  <c r="H20" i="2834"/>
  <c r="H19" i="2834"/>
  <c r="C19" i="2834"/>
  <c r="H18" i="2834"/>
  <c r="H17" i="2834"/>
  <c r="H16" i="2834"/>
  <c r="B16" i="2834"/>
  <c r="C17" i="2834" s="1"/>
  <c r="H15" i="2834"/>
  <c r="C15" i="2834"/>
  <c r="H14" i="2834"/>
  <c r="C14" i="2834"/>
  <c r="H13" i="2834"/>
  <c r="C13" i="2834"/>
  <c r="H12" i="2834"/>
  <c r="C12" i="2834"/>
  <c r="H11" i="2834"/>
  <c r="C11" i="2834"/>
  <c r="H10" i="2834"/>
  <c r="C10" i="2834"/>
  <c r="H9" i="2834"/>
  <c r="C9" i="2834"/>
  <c r="H8" i="2834"/>
  <c r="C8" i="2834"/>
  <c r="N7" i="2834"/>
  <c r="H7" i="2834"/>
  <c r="C7" i="2834"/>
  <c r="N6" i="2834"/>
  <c r="H6" i="2834"/>
  <c r="B6" i="2834"/>
  <c r="N5" i="2834"/>
  <c r="H5" i="2834"/>
  <c r="B5" i="2834"/>
  <c r="N4" i="2834"/>
  <c r="H4" i="2834"/>
  <c r="N3" i="2834"/>
  <c r="H3" i="2834"/>
  <c r="N2" i="2834"/>
  <c r="H2" i="2834"/>
  <c r="H51" i="2833"/>
  <c r="H50" i="2833"/>
  <c r="H49" i="2833"/>
  <c r="H48" i="2833"/>
  <c r="H47" i="2833"/>
  <c r="H26" i="2833"/>
  <c r="H46" i="2833"/>
  <c r="H45" i="2833"/>
  <c r="H44" i="2833"/>
  <c r="H43" i="2833"/>
  <c r="H42" i="2833"/>
  <c r="H41" i="2833"/>
  <c r="H40" i="2833"/>
  <c r="H39" i="2833"/>
  <c r="H38" i="2833"/>
  <c r="H37" i="2833"/>
  <c r="H36" i="2833"/>
  <c r="H35" i="2833"/>
  <c r="H34" i="2833"/>
  <c r="H20" i="2833"/>
  <c r="H19" i="2833"/>
  <c r="H25" i="2833"/>
  <c r="H9" i="2833"/>
  <c r="H33" i="2833"/>
  <c r="H21" i="2833"/>
  <c r="C27" i="2833"/>
  <c r="H13" i="2833"/>
  <c r="H24" i="2833"/>
  <c r="H32" i="2833"/>
  <c r="H14" i="2833"/>
  <c r="C23" i="2833"/>
  <c r="H31" i="2833"/>
  <c r="C22" i="2833"/>
  <c r="H15" i="2833"/>
  <c r="B21" i="2833"/>
  <c r="H30" i="2833"/>
  <c r="H29" i="2833"/>
  <c r="C19" i="2833"/>
  <c r="H23" i="2833"/>
  <c r="H22" i="2833"/>
  <c r="H17" i="2833"/>
  <c r="B16" i="2833"/>
  <c r="B20" i="2833" s="1"/>
  <c r="H28" i="2833"/>
  <c r="C15" i="2833"/>
  <c r="H18" i="2833"/>
  <c r="C14" i="2833"/>
  <c r="H27" i="2833"/>
  <c r="C13" i="2833"/>
  <c r="H16" i="2833"/>
  <c r="C12" i="2833"/>
  <c r="H4" i="2833"/>
  <c r="C11" i="2833"/>
  <c r="H12" i="2833"/>
  <c r="C10" i="2833"/>
  <c r="H10" i="2833"/>
  <c r="C9" i="2833"/>
  <c r="H8" i="2833"/>
  <c r="C8" i="2833"/>
  <c r="N7" i="2833"/>
  <c r="H6" i="2833"/>
  <c r="C7" i="2833"/>
  <c r="N6" i="2833"/>
  <c r="H2" i="2833"/>
  <c r="B6" i="2833"/>
  <c r="N5" i="2833"/>
  <c r="H7" i="2833"/>
  <c r="B5" i="2833"/>
  <c r="N4" i="2833"/>
  <c r="H3" i="2833"/>
  <c r="N3" i="2833"/>
  <c r="H11" i="2833"/>
  <c r="N2" i="2833"/>
  <c r="H5" i="2833"/>
  <c r="C16" i="2834" l="1"/>
  <c r="C16" i="2835"/>
  <c r="C18" i="2835"/>
  <c r="B20" i="2835"/>
  <c r="C18" i="2834"/>
  <c r="B20" i="2834"/>
  <c r="C16" i="2833"/>
  <c r="C17" i="2833"/>
  <c r="C18" i="2833"/>
  <c r="C27" i="2228" l="1"/>
  <c r="C13" i="2228" l="1"/>
  <c r="C12" i="2228"/>
  <c r="C19" i="2228" l="1"/>
  <c r="D2" i="2416" l="1"/>
  <c r="D5" i="2416" l="1"/>
  <c r="D10" i="2416"/>
  <c r="D51" i="2416"/>
  <c r="D50" i="2416"/>
  <c r="D49" i="2416"/>
  <c r="D48" i="2416"/>
  <c r="D47" i="2416"/>
  <c r="D31" i="2416"/>
  <c r="D46" i="2416"/>
  <c r="D45" i="2416"/>
  <c r="D44" i="2416"/>
  <c r="D43" i="2416"/>
  <c r="D42" i="2416"/>
  <c r="D41" i="2416"/>
  <c r="D40" i="2416"/>
  <c r="D39" i="2416"/>
  <c r="D38" i="2416"/>
  <c r="D37" i="2416"/>
  <c r="D36" i="2416"/>
  <c r="D35" i="2416"/>
  <c r="D30" i="2416"/>
  <c r="D23" i="2416"/>
  <c r="D17" i="2416"/>
  <c r="D27" i="2416"/>
  <c r="D9" i="2416"/>
  <c r="D29" i="2416"/>
  <c r="D25" i="2416"/>
  <c r="D12" i="2416"/>
  <c r="D21" i="2416"/>
  <c r="D24" i="2416"/>
  <c r="D13" i="2416"/>
  <c r="D34" i="2416"/>
  <c r="D16" i="2416"/>
  <c r="D26" i="2416"/>
  <c r="D33" i="2416"/>
  <c r="D18" i="2416"/>
  <c r="D15" i="2416"/>
  <c r="D20" i="2416"/>
  <c r="D32" i="2416"/>
  <c r="D22" i="2416"/>
  <c r="D28" i="2416"/>
  <c r="D19" i="2416"/>
  <c r="D4" i="2416"/>
  <c r="D14" i="2416"/>
  <c r="D11" i="2416"/>
  <c r="D8" i="2416"/>
  <c r="D7" i="2416"/>
  <c r="D6" i="2416"/>
  <c r="D3" i="2416"/>
  <c r="C11" i="2228" l="1"/>
  <c r="C10" i="2228"/>
  <c r="N2" i="2228" l="1"/>
  <c r="N7" i="2228" l="1"/>
  <c r="N4" i="2228"/>
  <c r="N3" i="2228"/>
  <c r="N6" i="2228"/>
  <c r="N5" i="2228"/>
  <c r="C23" i="2228" l="1"/>
  <c r="C22" i="2228"/>
  <c r="B21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6" i="2228"/>
  <c r="B16" i="2228"/>
  <c r="H14" i="2228"/>
  <c r="C15" i="2228"/>
  <c r="H13" i="2228"/>
  <c r="C14" i="2228"/>
  <c r="H12" i="2228"/>
  <c r="H11" i="2228"/>
  <c r="H10" i="2228"/>
  <c r="H9" i="2228"/>
  <c r="C9" i="2228"/>
  <c r="H8" i="2228"/>
  <c r="C8" i="2228"/>
  <c r="H7" i="2228"/>
  <c r="C7" i="2228"/>
  <c r="H6" i="2228"/>
  <c r="B6" i="2228"/>
  <c r="H5" i="2228"/>
  <c r="B5" i="2228"/>
  <c r="H4" i="2228"/>
  <c r="H3" i="2228"/>
  <c r="H2" i="2228"/>
  <c r="B20" i="2228" l="1"/>
  <c r="C17" i="2228"/>
  <c r="C18" i="2228"/>
</calcChain>
</file>

<file path=xl/sharedStrings.xml><?xml version="1.0" encoding="utf-8"?>
<sst xmlns="http://schemas.openxmlformats.org/spreadsheetml/2006/main" count="2409" uniqueCount="238">
  <si>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</si>
  <si>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</si>
  <si>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</si>
  <si>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</si>
  <si>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</si>
  <si>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</si>
  <si>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</si>
  <si>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</si>
  <si>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</si>
  <si>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</si>
  <si>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</si>
  <si>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</si>
  <si>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</si>
  <si>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</si>
  <si>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</si>
  <si>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</si>
  <si>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</si>
  <si>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</si>
  <si>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</si>
  <si>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</si>
  <si>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</si>
  <si>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</si>
  <si>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</si>
  <si>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</si>
  <si>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</si>
  <si>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</si>
  <si>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</si>
  <si>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</si>
  <si>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</si>
  <si>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</si>
  <si>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</si>
  <si>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</si>
  <si>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</si>
  <si>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</si>
  <si>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</si>
  <si>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</si>
  <si>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</si>
  <si>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</si>
  <si>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</si>
  <si>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</si>
  <si>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</si>
  <si>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</si>
  <si>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</si>
  <si>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</si>
  <si>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</si>
  <si>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</si>
  <si>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</si>
  <si>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</si>
  <si>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</si>
  <si>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</si>
  <si>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</si>
  <si>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</si>
  <si>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</si>
  <si>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</si>
  <si>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</si>
  <si>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</si>
  <si>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</si>
  <si>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</si>
  <si>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</si>
  <si>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</si>
  <si>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</si>
  <si>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</si>
  <si>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</si>
  <si>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</si>
  <si>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</si>
  <si>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</si>
  <si>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</si>
  <si>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</si>
  <si>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</si>
  <si>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</si>
  <si>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</si>
  <si>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</si>
  <si>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</si>
  <si>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</si>
  <si>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</si>
  <si>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</si>
  <si>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</si>
  <si>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</si>
  <si>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</si>
  <si>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</si>
  <si>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</si>
  <si>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</si>
  <si>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</si>
  <si>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</si>
  <si>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</si>
  <si>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</si>
  <si>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</si>
  <si>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</si>
  <si>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</si>
  <si>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</si>
  <si>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</si>
  <si>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</si>
  <si>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</si>
  <si>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</si>
  <si>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</si>
  <si>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</si>
  <si>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</si>
  <si>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</si>
  <si>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</si>
  <si>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</si>
  <si>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</si>
  <si>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</si>
  <si>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</si>
  <si>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</si>
  <si>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</si>
  <si>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</si>
  <si>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</si>
  <si>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</si>
  <si>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</si>
  <si>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</si>
  <si>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</si>
  <si>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</si>
  <si>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</si>
  <si>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</si>
  <si>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</si>
  <si>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</si>
  <si>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</si>
  <si>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</si>
  <si>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</si>
  <si>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</si>
  <si>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</si>
  <si>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</si>
  <si>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</si>
  <si>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</si>
  <si>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</si>
  <si>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</si>
  <si>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</si>
  <si>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</si>
  <si>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</si>
  <si>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</si>
  <si>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</si>
  <si>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</si>
  <si>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</si>
  <si>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</si>
  <si>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</si>
  <si>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副露成功率</t>
    <rPh sb="0" eb="2">
      <t>フーロ</t>
    </rPh>
    <rPh sb="2" eb="5">
      <t>セイコウリツ</t>
    </rPh>
    <phoneticPr fontId="1"/>
  </si>
  <si>
    <t>2018-10-02.xlsm</t>
  </si>
  <si>
    <t>だいち</t>
  </si>
  <si>
    <t>かこたろう</t>
  </si>
  <si>
    <t>ともき</t>
  </si>
  <si>
    <t>2018-10-05.xlsm</t>
  </si>
  <si>
    <t>りくと</t>
  </si>
  <si>
    <t>いっしー</t>
  </si>
  <si>
    <t>2018-10-06.xlsm</t>
  </si>
  <si>
    <t>2018-10-07.xlsm</t>
  </si>
  <si>
    <t>がくと</t>
  </si>
  <si>
    <t>2018-10-12.xlsm</t>
  </si>
  <si>
    <t>2018-11-08.xlsm</t>
  </si>
  <si>
    <t>たかの</t>
  </si>
  <si>
    <t>ただ</t>
  </si>
  <si>
    <t>2018-11-09.xlsm</t>
  </si>
  <si>
    <t>2018-11-17.xlsm</t>
  </si>
  <si>
    <t>2018-11-19.xlsm</t>
  </si>
  <si>
    <t>2018-11-22.xlsm</t>
  </si>
  <si>
    <t>2018-11-30.xlsm</t>
  </si>
  <si>
    <t>2018-12-01.xlsm</t>
  </si>
  <si>
    <t>やがさき</t>
  </si>
  <si>
    <t>2018-12-02.xlsm</t>
  </si>
  <si>
    <t>2018-12-03.xlsm</t>
  </si>
  <si>
    <t>2018-12-07.xlsm</t>
  </si>
  <si>
    <t>れんたろう</t>
  </si>
  <si>
    <t>2018-12-08.xlsm</t>
  </si>
  <si>
    <t>2018-12-09.xlsm</t>
  </si>
  <si>
    <t>2018-12-10.xlsm</t>
  </si>
  <si>
    <t>2018-12-11.xlsm</t>
  </si>
  <si>
    <t>2018-12-12.xlsm</t>
  </si>
  <si>
    <t>Sheet1</t>
  </si>
  <si>
    <t>Sheet2</t>
  </si>
  <si>
    <t>Sheet3</t>
  </si>
  <si>
    <t>Sheet4</t>
  </si>
  <si>
    <t>Sheet5</t>
  </si>
  <si>
    <t>Sheet6</t>
  </si>
  <si>
    <t>Sheet7</t>
  </si>
  <si>
    <t>Sheet8</t>
  </si>
  <si>
    <t>Sheet9</t>
  </si>
  <si>
    <t>Sheet10</t>
  </si>
  <si>
    <t>Sheet11</t>
  </si>
  <si>
    <t>Sheet12</t>
  </si>
  <si>
    <t>だいち</t>
    <phoneticPr fontId="1"/>
  </si>
  <si>
    <t>りくと</t>
    <phoneticPr fontId="1"/>
  </si>
  <si>
    <t>いっしー</t>
    <phoneticPr fontId="1"/>
  </si>
  <si>
    <t>たかの</t>
    <phoneticPr fontId="1"/>
  </si>
  <si>
    <t>ただ</t>
    <phoneticPr fontId="1"/>
  </si>
  <si>
    <t>かこたろう</t>
    <phoneticPr fontId="1"/>
  </si>
  <si>
    <t>やがさき</t>
    <phoneticPr fontId="1"/>
  </si>
  <si>
    <t>れんたろう</t>
    <phoneticPr fontId="1"/>
  </si>
  <si>
    <t>親</t>
    <rPh sb="0" eb="1">
      <t>オヤ</t>
    </rPh>
    <phoneticPr fontId="1"/>
  </si>
  <si>
    <t>親アガリ</t>
    <rPh sb="0" eb="1">
      <t>オヤ</t>
    </rPh>
    <phoneticPr fontId="1"/>
  </si>
  <si>
    <t>親アガリ率</t>
    <rPh sb="0" eb="1">
      <t>オヤ</t>
    </rPh>
    <rPh sb="4" eb="5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</si>
  <si>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</si>
  <si>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</si>
  <si>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</si>
  <si>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</si>
  <si>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</si>
  <si>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</si>
  <si>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</si>
  <si>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回数</t>
    <rPh sb="0" eb="2">
      <t>カイスウ</t>
    </rPh>
    <phoneticPr fontId="1"/>
  </si>
  <si>
    <t>平均点数</t>
    <rPh sb="0" eb="2">
      <t>ヘイキン</t>
    </rPh>
    <rPh sb="2" eb="4">
      <t>テンスウ</t>
    </rPh>
    <phoneticPr fontId="1"/>
  </si>
  <si>
    <t>合計点数</t>
    <rPh sb="0" eb="2">
      <t>ゴウケイ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</si>
  <si>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</si>
  <si>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</si>
  <si>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</si>
  <si>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あさひ</t>
  </si>
  <si>
    <t>まっつん</t>
  </si>
  <si>
    <t>ツモ</t>
  </si>
  <si>
    <t>国士13面</t>
  </si>
  <si>
    <t>四暗刻単騎</t>
  </si>
  <si>
    <t>純正九蓮</t>
  </si>
  <si>
    <t>01</t>
  </si>
  <si>
    <t>02</t>
  </si>
  <si>
    <t>最大ドラ数</t>
    <rPh sb="0" eb="2">
      <t>サイダイ</t>
    </rPh>
    <rPh sb="4" eb="5">
      <t>スウ</t>
    </rPh>
    <phoneticPr fontId="1"/>
  </si>
  <si>
    <t>最大ドラ数</t>
    <phoneticPr fontId="1"/>
  </si>
  <si>
    <t>チョンボ</t>
    <phoneticPr fontId="1"/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</si>
  <si>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</si>
  <si>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</si>
  <si>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</si>
  <si>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</si>
  <si>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</si>
  <si>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</si>
  <si>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</si>
  <si>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</si>
  <si>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</si>
  <si>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</si>
  <si>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</si>
  <si>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</si>
  <si>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ともき</t>
    <phoneticPr fontId="1"/>
  </si>
  <si>
    <t>2019-01-13.xlsm</t>
  </si>
  <si>
    <t>あさひ</t>
    <phoneticPr fontId="1"/>
  </si>
  <si>
    <t>がくと</t>
    <phoneticPr fontId="1"/>
  </si>
  <si>
    <t>まっつん</t>
    <phoneticPr fontId="1"/>
  </si>
  <si>
    <t>2019-01-14.xlsm</t>
  </si>
  <si>
    <t>2019-01-15.xlsm</t>
  </si>
  <si>
    <t>2019-01-16.xlsm</t>
  </si>
  <si>
    <t>2019-01-17.xlsm</t>
  </si>
  <si>
    <t>2019-01-18.xlsm</t>
  </si>
  <si>
    <t>2019-01-19.xlsm</t>
  </si>
  <si>
    <t>ツモ率</t>
    <rPh sb="2" eb="3">
      <t>リツ</t>
    </rPh>
    <phoneticPr fontId="1"/>
  </si>
  <si>
    <t>2019-01-20.xlsm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</si>
</sst>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0\ &quot;回&quot;"/>
    <numFmt numFmtId="177" formatCode="\+0;\-0;\±0"/>
    <numFmt numFmtId="178" formatCode="\+0.0;\-0.0;\±0"/>
    <numFmt numFmtId="179" formatCode="0&quot;位&quot;"/>
    <numFmt numFmtId="180" formatCode="0.00\ &quot;位&quot;"/>
    <numFmt numFmtId="181" formatCode="0.0%"/>
    <numFmt numFmtId="182" formatCode="yyyy/mm/dd"/>
    <numFmt numFmtId="183" formatCode="yyyy/mm/dd\ hh:mm"/>
    <numFmt numFmtId="184" formatCode="0\ &quot;個&quot;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4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 tint="-0.24994659260841701"/>
      </top>
      <bottom/>
      <diagonal/>
    </border>
    <border>
      <left/>
      <right style="thin">
        <color indexed="64"/>
      </right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00">
    <xf numFmtId="0" fontId="0" fillId="0" borderId="0" xfId="0">
      <alignment vertical="center"/>
    </xf>
    <xf numFmtId="0" fontId="0" fillId="0" borderId="1" xfId="0" applyBorder="1" applyAlignment="1">
      <alignment horizontal="center" vertical="center" shrinkToFit="1"/>
    </xf>
    <xf numFmtId="1" fontId="0" fillId="0" borderId="9" xfId="0" applyNumberFormat="1" applyBorder="1" applyAlignment="1">
      <alignment horizontal="center" vertical="center" shrinkToFit="1"/>
    </xf>
    <xf numFmtId="178" fontId="0" fillId="0" borderId="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0" fontId="0" fillId="0" borderId="9" xfId="0" applyNumberFormat="1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179" fontId="0" fillId="0" borderId="11" xfId="0" applyNumberFormat="1" applyBorder="1" applyAlignment="1">
      <alignment horizontal="center" vertical="center" shrinkToFit="1"/>
    </xf>
    <xf numFmtId="179" fontId="0" fillId="0" borderId="13" xfId="0" applyNumberFormat="1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78" fontId="0" fillId="0" borderId="15" xfId="0" applyNumberFormat="1" applyBorder="1" applyAlignment="1">
      <alignment horizontal="center" vertical="center" shrinkToFit="1"/>
    </xf>
    <xf numFmtId="180" fontId="0" fillId="0" borderId="15" xfId="0" applyNumberFormat="1" applyBorder="1" applyAlignment="1">
      <alignment horizontal="center" vertical="center" shrinkToFit="1"/>
    </xf>
    <xf numFmtId="1" fontId="0" fillId="0" borderId="15" xfId="0" applyNumberFormat="1" applyBorder="1" applyAlignment="1">
      <alignment horizontal="center" vertical="center" shrinkToFit="1"/>
    </xf>
    <xf numFmtId="179" fontId="0" fillId="0" borderId="16" xfId="0" applyNumberFormat="1" applyBorder="1" applyAlignment="1">
      <alignment horizontal="center" vertical="center" shrinkToFit="1"/>
    </xf>
    <xf numFmtId="181" fontId="0" fillId="0" borderId="15" xfId="0" applyNumberFormat="1" applyBorder="1" applyAlignment="1">
      <alignment horizontal="center" vertical="center"/>
    </xf>
    <xf numFmtId="181" fontId="0" fillId="0" borderId="9" xfId="0" applyNumberFormat="1" applyBorder="1" applyAlignment="1">
      <alignment horizontal="center" vertical="center"/>
    </xf>
    <xf numFmtId="181" fontId="0" fillId="0" borderId="15" xfId="0" applyNumberFormat="1" applyBorder="1" applyAlignment="1">
      <alignment horizontal="center" vertical="center" shrinkToFit="1"/>
    </xf>
    <xf numFmtId="181" fontId="0" fillId="0" borderId="9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1" fontId="0" fillId="0" borderId="8" xfId="0" applyNumberFormat="1" applyBorder="1" applyAlignment="1">
      <alignment horizontal="center" vertical="center" shrinkToFit="1"/>
    </xf>
    <xf numFmtId="177" fontId="0" fillId="0" borderId="8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1" fontId="0" fillId="0" borderId="4" xfId="0" applyNumberFormat="1" applyBorder="1" applyAlignment="1">
      <alignment horizontal="center" vertical="center" shrinkToFit="1"/>
    </xf>
    <xf numFmtId="177" fontId="0" fillId="0" borderId="4" xfId="0" applyNumberFormat="1" applyBorder="1" applyAlignment="1">
      <alignment horizontal="center" vertical="center" shrinkToFit="1"/>
    </xf>
    <xf numFmtId="181" fontId="0" fillId="0" borderId="10" xfId="0" applyNumberForma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181" fontId="0" fillId="0" borderId="6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1" fontId="0" fillId="0" borderId="21" xfId="0" applyNumberFormat="1" applyBorder="1" applyAlignment="1">
      <alignment horizontal="center" vertical="center" shrinkToFit="1"/>
    </xf>
    <xf numFmtId="0" fontId="2" fillId="0" borderId="20" xfId="0" applyFont="1" applyBorder="1" applyAlignment="1">
      <alignment horizontal="center" vertical="center" shrinkToFit="1"/>
    </xf>
    <xf numFmtId="176" fontId="4" fillId="0" borderId="4" xfId="0" applyNumberFormat="1" applyFont="1" applyBorder="1" applyAlignment="1">
      <alignment horizontal="center" vertical="center" shrinkToFit="1"/>
    </xf>
    <xf numFmtId="176" fontId="4" fillId="0" borderId="6" xfId="0" applyNumberFormat="1" applyFont="1" applyBorder="1" applyAlignment="1">
      <alignment horizontal="center" vertical="center" shrinkToFit="1"/>
    </xf>
    <xf numFmtId="176" fontId="4" fillId="0" borderId="8" xfId="0" applyNumberFormat="1" applyFont="1" applyBorder="1" applyAlignment="1">
      <alignment horizontal="center" vertical="center" shrinkToFit="1"/>
    </xf>
    <xf numFmtId="0" fontId="2" fillId="0" borderId="22" xfId="0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2" fillId="0" borderId="12" xfId="0" applyNumberFormat="1" applyFont="1" applyBorder="1" applyAlignment="1">
      <alignment horizontal="center" vertical="center" shrinkToFit="1"/>
    </xf>
    <xf numFmtId="1" fontId="2" fillId="0" borderId="23" xfId="0" applyNumberFormat="1" applyFon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4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" fontId="2" fillId="0" borderId="6" xfId="0" applyNumberFormat="1" applyFon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2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" fontId="0" fillId="0" borderId="12" xfId="0" applyNumberFormat="1" applyBorder="1" applyAlignment="1">
      <alignment horizontal="center" vertical="center" shrinkToFit="1"/>
    </xf>
    <xf numFmtId="1" fontId="0" fillId="0" borderId="23" xfId="0" applyNumberFormat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0" fillId="0" borderId="28" xfId="0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0" fontId="0" fillId="0" borderId="3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2" fillId="0" borderId="19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3" xfId="0" applyNumberFormat="1" applyFont="1" applyBorder="1" applyAlignment="1">
      <alignment horizontal="center" vertical="center" shrinkToFit="1"/>
    </xf>
    <xf numFmtId="49" fontId="4" fillId="0" borderId="5" xfId="0" applyNumberFormat="1" applyFont="1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82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3" fontId="0" fillId="0" borderId="0" xfId="0" applyNumberFormat="1" applyBorder="1" applyAlignment="1">
      <alignment horizontal="left" vertical="center"/>
    </xf>
    <xf numFmtId="184" fontId="0" fillId="0" borderId="15" xfId="0" applyNumberFormat="1" applyBorder="1" applyAlignment="1">
      <alignment horizontal="center" vertical="center"/>
    </xf>
    <xf numFmtId="184" fontId="0" fillId="0" borderId="9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76" fontId="0" fillId="0" borderId="5" xfId="0" applyNumberFormat="1" applyBorder="1" applyAlignment="1">
      <alignment horizontal="center" vertical="center" shrinkToFit="1"/>
    </xf>
    <xf numFmtId="176" fontId="0" fillId="0" borderId="15" xfId="0" applyNumberForma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7" xfId="0" applyNumberFormat="1" applyBorder="1" applyAlignment="1">
      <alignment horizontal="center" vertical="center" shrinkToFit="1"/>
    </xf>
    <xf numFmtId="0" fontId="0" fillId="0" borderId="18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3" xfId="0" applyNumberFormat="1" applyBorder="1" applyAlignment="1">
      <alignment horizontal="center" vertical="center" shrinkToFit="1"/>
    </xf>
    <xf numFmtId="176" fontId="0" fillId="0" borderId="36" xfId="0" applyNumberFormat="1" applyBorder="1" applyAlignment="1">
      <alignment horizontal="center" vertical="center" shrinkToFit="1"/>
    </xf>
    <xf numFmtId="176" fontId="0" fillId="0" borderId="37" xfId="0" applyNumberFormat="1" applyBorder="1" applyAlignment="1">
      <alignment horizontal="center" vertical="center" shrinkToFit="1"/>
    </xf>
    <xf numFmtId="184" fontId="0" fillId="0" borderId="39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76" fontId="0" fillId="0" borderId="34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78" fontId="0" fillId="0" borderId="34" xfId="0" applyNumberFormat="1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80" fontId="0" fillId="0" borderId="34" xfId="0" applyNumberFormat="1" applyBorder="1" applyAlignment="1">
      <alignment horizontal="center" vertical="center" shrinkToFit="1"/>
    </xf>
    <xf numFmtId="180" fontId="0" fillId="0" borderId="35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だいち!$J$2:$J$141</c:f>
              <c:numCache>
                <c:formatCode>General</c:formatCode>
                <c:ptCount val="1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</c:numCache>
            </c:numRef>
          </c:xVal>
          <c:yVal>
            <c:numRef>
              <c:f>だいち!$K$2:$K$141</c:f>
              <c:numCache>
                <c:formatCode>\+0;\-0;\±0</c:formatCode>
                <c:ptCount val="140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112.4</c:v>
                </c:pt>
                <c:pt idx="31">
                  <c:v>165.7</c:v>
                </c:pt>
                <c:pt idx="32">
                  <c:v>151.69999999999999</c:v>
                </c:pt>
                <c:pt idx="33">
                  <c:v>212.39999999999998</c:v>
                </c:pt>
                <c:pt idx="34">
                  <c:v>262.39999999999998</c:v>
                </c:pt>
                <c:pt idx="35">
                  <c:v>248.39999999999998</c:v>
                </c:pt>
                <c:pt idx="36">
                  <c:v>244.99999999999997</c:v>
                </c:pt>
                <c:pt idx="37">
                  <c:v>227.89999999999998</c:v>
                </c:pt>
                <c:pt idx="38">
                  <c:v>248.99999999999997</c:v>
                </c:pt>
                <c:pt idx="39">
                  <c:v>198.39999999999998</c:v>
                </c:pt>
                <c:pt idx="40">
                  <c:v>190.2</c:v>
                </c:pt>
                <c:pt idx="41">
                  <c:v>183.2</c:v>
                </c:pt>
                <c:pt idx="42">
                  <c:v>146.79999999999998</c:v>
                </c:pt>
                <c:pt idx="43">
                  <c:v>138.29999999999998</c:v>
                </c:pt>
                <c:pt idx="44">
                  <c:v>146.69999999999999</c:v>
                </c:pt>
                <c:pt idx="45">
                  <c:v>136.29999999999998</c:v>
                </c:pt>
                <c:pt idx="46">
                  <c:v>164.2</c:v>
                </c:pt>
                <c:pt idx="47">
                  <c:v>143.69999999999999</c:v>
                </c:pt>
                <c:pt idx="48">
                  <c:v>112.6</c:v>
                </c:pt>
                <c:pt idx="49">
                  <c:v>128.79999999999998</c:v>
                </c:pt>
                <c:pt idx="50">
                  <c:v>123.89999999999998</c:v>
                </c:pt>
                <c:pt idx="51">
                  <c:v>136.69999999999999</c:v>
                </c:pt>
                <c:pt idx="52">
                  <c:v>137.39999999999998</c:v>
                </c:pt>
                <c:pt idx="53">
                  <c:v>130.69999999999999</c:v>
                </c:pt>
                <c:pt idx="54">
                  <c:v>102.69999999999999</c:v>
                </c:pt>
                <c:pt idx="55">
                  <c:v>119.39999999999999</c:v>
                </c:pt>
                <c:pt idx="56">
                  <c:v>112.39999999999999</c:v>
                </c:pt>
                <c:pt idx="57">
                  <c:v>144</c:v>
                </c:pt>
                <c:pt idx="58">
                  <c:v>159.80000000000001</c:v>
                </c:pt>
                <c:pt idx="59">
                  <c:v>216.8</c:v>
                </c:pt>
                <c:pt idx="60">
                  <c:v>222.10000000000002</c:v>
                </c:pt>
                <c:pt idx="61">
                  <c:v>176.00000000000003</c:v>
                </c:pt>
                <c:pt idx="62">
                  <c:v>197.10000000000002</c:v>
                </c:pt>
                <c:pt idx="63">
                  <c:v>131.10000000000002</c:v>
                </c:pt>
                <c:pt idx="64">
                  <c:v>126.10000000000002</c:v>
                </c:pt>
                <c:pt idx="65">
                  <c:v>127.10000000000002</c:v>
                </c:pt>
                <c:pt idx="66">
                  <c:v>158.70000000000002</c:v>
                </c:pt>
                <c:pt idx="67">
                  <c:v>139.70000000000002</c:v>
                </c:pt>
                <c:pt idx="68">
                  <c:v>129.80000000000001</c:v>
                </c:pt>
                <c:pt idx="69">
                  <c:v>130.70000000000002</c:v>
                </c:pt>
                <c:pt idx="70">
                  <c:v>163</c:v>
                </c:pt>
                <c:pt idx="71">
                  <c:v>191.4</c:v>
                </c:pt>
                <c:pt idx="72">
                  <c:v>184</c:v>
                </c:pt>
                <c:pt idx="73">
                  <c:v>202.3</c:v>
                </c:pt>
                <c:pt idx="74">
                  <c:v>188.4</c:v>
                </c:pt>
                <c:pt idx="75">
                  <c:v>228.4</c:v>
                </c:pt>
                <c:pt idx="76">
                  <c:v>233.6</c:v>
                </c:pt>
                <c:pt idx="77">
                  <c:v>219.9</c:v>
                </c:pt>
                <c:pt idx="78">
                  <c:v>225</c:v>
                </c:pt>
                <c:pt idx="79">
                  <c:v>256.89999999999998</c:v>
                </c:pt>
                <c:pt idx="80">
                  <c:v>296.89999999999998</c:v>
                </c:pt>
                <c:pt idx="81">
                  <c:v>319.39999999999998</c:v>
                </c:pt>
                <c:pt idx="82">
                  <c:v>350.9</c:v>
                </c:pt>
                <c:pt idx="83">
                  <c:v>410.7</c:v>
                </c:pt>
                <c:pt idx="84">
                  <c:v>421.8</c:v>
                </c:pt>
                <c:pt idx="85">
                  <c:v>423.40000000000003</c:v>
                </c:pt>
                <c:pt idx="86">
                  <c:v>402.00000000000006</c:v>
                </c:pt>
                <c:pt idx="87">
                  <c:v>405.50000000000006</c:v>
                </c:pt>
                <c:pt idx="88">
                  <c:v>360.00000000000006</c:v>
                </c:pt>
                <c:pt idx="89">
                  <c:v>359.40000000000003</c:v>
                </c:pt>
                <c:pt idx="90">
                  <c:v>385.8</c:v>
                </c:pt>
                <c:pt idx="91">
                  <c:v>395.5</c:v>
                </c:pt>
                <c:pt idx="92">
                  <c:v>416.6</c:v>
                </c:pt>
                <c:pt idx="93">
                  <c:v>459.70000000000005</c:v>
                </c:pt>
                <c:pt idx="94">
                  <c:v>453.70000000000005</c:v>
                </c:pt>
                <c:pt idx="95">
                  <c:v>416.20000000000005</c:v>
                </c:pt>
                <c:pt idx="96">
                  <c:v>376.70000000000005</c:v>
                </c:pt>
                <c:pt idx="97">
                  <c:v>387.80000000000007</c:v>
                </c:pt>
                <c:pt idx="98">
                  <c:v>385.80000000000007</c:v>
                </c:pt>
                <c:pt idx="99">
                  <c:v>429.30000000000007</c:v>
                </c:pt>
                <c:pt idx="100">
                  <c:v>423.70000000000005</c:v>
                </c:pt>
                <c:pt idx="101">
                  <c:v>416.30000000000007</c:v>
                </c:pt>
                <c:pt idx="102">
                  <c:v>378.30000000000007</c:v>
                </c:pt>
                <c:pt idx="103">
                  <c:v>359.50000000000006</c:v>
                </c:pt>
                <c:pt idx="104">
                  <c:v>386.50000000000006</c:v>
                </c:pt>
                <c:pt idx="105">
                  <c:v>431.10000000000008</c:v>
                </c:pt>
                <c:pt idx="106">
                  <c:v>438.10000000000008</c:v>
                </c:pt>
                <c:pt idx="107">
                  <c:v>426.80000000000007</c:v>
                </c:pt>
                <c:pt idx="108">
                  <c:v>411.30000000000007</c:v>
                </c:pt>
                <c:pt idx="109">
                  <c:v>392.00000000000006</c:v>
                </c:pt>
                <c:pt idx="110">
                  <c:v>416.00000000000006</c:v>
                </c:pt>
                <c:pt idx="111">
                  <c:v>435.50000000000006</c:v>
                </c:pt>
                <c:pt idx="112">
                  <c:v>430.10000000000008</c:v>
                </c:pt>
                <c:pt idx="113">
                  <c:v>486.10000000000008</c:v>
                </c:pt>
                <c:pt idx="114">
                  <c:v>503.2000000000001</c:v>
                </c:pt>
                <c:pt idx="115">
                  <c:v>465.2000000000001</c:v>
                </c:pt>
                <c:pt idx="116">
                  <c:v>481.7000000000001</c:v>
                </c:pt>
                <c:pt idx="117">
                  <c:v>497.00000000000011</c:v>
                </c:pt>
                <c:pt idx="118">
                  <c:v>508.60000000000014</c:v>
                </c:pt>
                <c:pt idx="119">
                  <c:v>525.50000000000011</c:v>
                </c:pt>
                <c:pt idx="120">
                  <c:v>488.00000000000011</c:v>
                </c:pt>
                <c:pt idx="121">
                  <c:v>526.50000000000011</c:v>
                </c:pt>
                <c:pt idx="122">
                  <c:v>480.00000000000011</c:v>
                </c:pt>
                <c:pt idx="123">
                  <c:v>493.2000000000001</c:v>
                </c:pt>
                <c:pt idx="124">
                  <c:v>473.7000000000001</c:v>
                </c:pt>
                <c:pt idx="125">
                  <c:v>515.10000000000014</c:v>
                </c:pt>
                <c:pt idx="126">
                  <c:v>542.20000000000016</c:v>
                </c:pt>
                <c:pt idx="127">
                  <c:v>550.70000000000016</c:v>
                </c:pt>
                <c:pt idx="128">
                  <c:v>594.00000000000011</c:v>
                </c:pt>
                <c:pt idx="129">
                  <c:v>620.00000000000011</c:v>
                </c:pt>
                <c:pt idx="130">
                  <c:v>631.00000000000011</c:v>
                </c:pt>
                <c:pt idx="131">
                  <c:v>672.00000000000011</c:v>
                </c:pt>
                <c:pt idx="132">
                  <c:v>652.20000000000016</c:v>
                </c:pt>
                <c:pt idx="133">
                  <c:v>689.80000000000018</c:v>
                </c:pt>
                <c:pt idx="134">
                  <c:v>697.60000000000014</c:v>
                </c:pt>
                <c:pt idx="135">
                  <c:v>765.70000000000016</c:v>
                </c:pt>
                <c:pt idx="136">
                  <c:v>770.9000000000002</c:v>
                </c:pt>
                <c:pt idx="137">
                  <c:v>787.10000000000025</c:v>
                </c:pt>
                <c:pt idx="138">
                  <c:v>811.3000000000003</c:v>
                </c:pt>
                <c:pt idx="139">
                  <c:v>831.90000000000032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D5-4D2E-95D5-B2E1BA6B61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だいち!$N$2:$N$7</c:f>
              <c:numCache>
                <c:formatCode>0</c:formatCode>
                <c:ptCount val="6"/>
                <c:pt idx="0">
                  <c:v>1220</c:v>
                </c:pt>
                <c:pt idx="1">
                  <c:v>1627.1317829457364</c:v>
                </c:pt>
                <c:pt idx="2">
                  <c:v>1014.2857142857143</c:v>
                </c:pt>
                <c:pt idx="3">
                  <c:v>2309.433962264151</c:v>
                </c:pt>
                <c:pt idx="4">
                  <c:v>547.12643678160919</c:v>
                </c:pt>
                <c:pt idx="5">
                  <c:v>128.125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31-4AC2-ABA9-9743B5708D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かこたろう!$K$2:$K$6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32-4906-A308-87096C8930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かこたろう!$N$2:$N$7</c:f>
              <c:numCache>
                <c:formatCode>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D2-4952-97A2-81F1556CA3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ともき!$J$2:$J$5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ともき!$K$2:$K$5</c:f>
              <c:numCache>
                <c:formatCode>\+0;\-0;\±0</c:formatCode>
                <c:ptCount val="4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D9-46D6-A9FB-39FAF21B7A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ともき!$N$2:$N$7</c:f>
              <c:numCache>
                <c:formatCode>0</c:formatCode>
                <c:ptCount val="6"/>
                <c:pt idx="0">
                  <c:v>-8666.6666666666661</c:v>
                </c:pt>
                <c:pt idx="1">
                  <c:v>-250</c:v>
                </c:pt>
                <c:pt idx="2">
                  <c:v>-3500</c:v>
                </c:pt>
                <c:pt idx="3">
                  <c:v>0</c:v>
                </c:pt>
                <c:pt idx="4">
                  <c:v>8000</c:v>
                </c:pt>
                <c:pt idx="5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10-446B-B3B9-BC749C73F9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りくと!$J$2:$J$98</c:f>
              <c:numCache>
                <c:formatCode>General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りくと!$K$2:$K$98</c:f>
              <c:numCache>
                <c:formatCode>\+0;\-0;\±0</c:formatCode>
                <c:ptCount val="97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D0-4252-BFF7-4422C6791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りくと!$N$2:$N$7</c:f>
              <c:numCache>
                <c:formatCode>0</c:formatCode>
                <c:ptCount val="6"/>
                <c:pt idx="0">
                  <c:v>-746.80851063829789</c:v>
                </c:pt>
                <c:pt idx="1">
                  <c:v>-1688.8888888888889</c:v>
                </c:pt>
                <c:pt idx="2">
                  <c:v>2085.0574712643679</c:v>
                </c:pt>
                <c:pt idx="3">
                  <c:v>-2153.2467532467531</c:v>
                </c:pt>
                <c:pt idx="4">
                  <c:v>-1843.5483870967741</c:v>
                </c:pt>
                <c:pt idx="5">
                  <c:v>-2087.2340425531916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F3-417F-8C8C-9AF41BA444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いっしー!$J$2:$J$50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いっしー!$K$2:$K$50</c:f>
              <c:numCache>
                <c:formatCode>\+0;\-0;\±0</c:formatCode>
                <c:ptCount val="49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F7-4B58-B461-67C1E6B1C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いっしー!$N$2:$N$7</c:f>
              <c:numCache>
                <c:formatCode>0</c:formatCode>
                <c:ptCount val="6"/>
                <c:pt idx="0">
                  <c:v>-718.75</c:v>
                </c:pt>
                <c:pt idx="1">
                  <c:v>2878.2608695652175</c:v>
                </c:pt>
                <c:pt idx="2">
                  <c:v>-272.72727272727275</c:v>
                </c:pt>
                <c:pt idx="3">
                  <c:v>-1586.4864864864865</c:v>
                </c:pt>
                <c:pt idx="4">
                  <c:v>6312.9032258064517</c:v>
                </c:pt>
                <c:pt idx="5">
                  <c:v>-323.8095238095238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C9-4639-A769-DAFE45C09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がくと!$J$2:$J$7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がくと!$K$2:$K$7</c:f>
              <c:numCache>
                <c:formatCode>\+0;\-0;\±0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23-4F4D-90BB-6119E194B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がくと!$N$2:$N$7</c:f>
              <c:numCache>
                <c:formatCode>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2F-410E-820B-86EBE10BB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たかの!$J$2:$J$49</c:f>
              <c:numCache>
                <c:formatCode>General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たかの!$K$2:$K$49</c:f>
              <c:numCache>
                <c:formatCode>\+0;\-0;\±0</c:formatCode>
                <c:ptCount val="48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58.199999999999996</c:v>
                </c:pt>
                <c:pt idx="5">
                  <c:v>124.19999999999999</c:v>
                </c:pt>
                <c:pt idx="6">
                  <c:v>125.69999999999999</c:v>
                </c:pt>
                <c:pt idx="7">
                  <c:v>129.5</c:v>
                </c:pt>
                <c:pt idx="8">
                  <c:v>97</c:v>
                </c:pt>
                <c:pt idx="9">
                  <c:v>83.3</c:v>
                </c:pt>
                <c:pt idx="10">
                  <c:v>111</c:v>
                </c:pt>
                <c:pt idx="11">
                  <c:v>138.69999999999999</c:v>
                </c:pt>
                <c:pt idx="12">
                  <c:v>99.799999999999983</c:v>
                </c:pt>
                <c:pt idx="13">
                  <c:v>61.799999999999983</c:v>
                </c:pt>
                <c:pt idx="14">
                  <c:v>41.499999999999986</c:v>
                </c:pt>
                <c:pt idx="15">
                  <c:v>32.999999999999986</c:v>
                </c:pt>
                <c:pt idx="16">
                  <c:v>-5.5000000000000142</c:v>
                </c:pt>
                <c:pt idx="17">
                  <c:v>-17.100000000000016</c:v>
                </c:pt>
                <c:pt idx="18">
                  <c:v>-16.800000000000015</c:v>
                </c:pt>
                <c:pt idx="19">
                  <c:v>-2.1000000000000156</c:v>
                </c:pt>
                <c:pt idx="20">
                  <c:v>45.899999999999984</c:v>
                </c:pt>
                <c:pt idx="21">
                  <c:v>4.0999999999999872</c:v>
                </c:pt>
                <c:pt idx="22">
                  <c:v>-1.4000000000000128</c:v>
                </c:pt>
                <c:pt idx="23">
                  <c:v>23.499999999999986</c:v>
                </c:pt>
                <c:pt idx="24">
                  <c:v>9.5999999999999854</c:v>
                </c:pt>
                <c:pt idx="25">
                  <c:v>1.2999999999999847</c:v>
                </c:pt>
                <c:pt idx="26">
                  <c:v>-9.7000000000000153</c:v>
                </c:pt>
                <c:pt idx="27">
                  <c:v>-31.600000000000016</c:v>
                </c:pt>
                <c:pt idx="28">
                  <c:v>-25.500000000000014</c:v>
                </c:pt>
                <c:pt idx="29">
                  <c:v>-24.900000000000013</c:v>
                </c:pt>
                <c:pt idx="30">
                  <c:v>15.29999999999999</c:v>
                </c:pt>
                <c:pt idx="31">
                  <c:v>-20.400000000000013</c:v>
                </c:pt>
                <c:pt idx="32">
                  <c:v>-36.400000000000013</c:v>
                </c:pt>
                <c:pt idx="33">
                  <c:v>-42.20000000000001</c:v>
                </c:pt>
                <c:pt idx="34">
                  <c:v>-94.100000000000009</c:v>
                </c:pt>
                <c:pt idx="35">
                  <c:v>-106.10000000000001</c:v>
                </c:pt>
                <c:pt idx="36">
                  <c:v>-72.700000000000017</c:v>
                </c:pt>
                <c:pt idx="37">
                  <c:v>-78.300000000000011</c:v>
                </c:pt>
                <c:pt idx="38">
                  <c:v>-105.30000000000001</c:v>
                </c:pt>
                <c:pt idx="39">
                  <c:v>-100.10000000000001</c:v>
                </c:pt>
                <c:pt idx="40">
                  <c:v>-107.80000000000001</c:v>
                </c:pt>
                <c:pt idx="41">
                  <c:v>-122.80000000000001</c:v>
                </c:pt>
                <c:pt idx="42">
                  <c:v>-173.4</c:v>
                </c:pt>
                <c:pt idx="43">
                  <c:v>-168.6</c:v>
                </c:pt>
                <c:pt idx="44">
                  <c:v>-214.1</c:v>
                </c:pt>
                <c:pt idx="45">
                  <c:v>-215.2</c:v>
                </c:pt>
                <c:pt idx="46">
                  <c:v>-252.39999999999998</c:v>
                </c:pt>
                <c:pt idx="47">
                  <c:v>-293.7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13-4FD2-BC37-D4F95F1195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たかの!$N$2:$N$7</c:f>
              <c:numCache>
                <c:formatCode>0</c:formatCode>
                <c:ptCount val="6"/>
                <c:pt idx="0">
                  <c:v>-2706.3829787234044</c:v>
                </c:pt>
                <c:pt idx="1">
                  <c:v>-2675</c:v>
                </c:pt>
                <c:pt idx="2">
                  <c:v>-994.73684210526312</c:v>
                </c:pt>
                <c:pt idx="3">
                  <c:v>1694.4444444444443</c:v>
                </c:pt>
                <c:pt idx="4">
                  <c:v>-2866.6666666666665</c:v>
                </c:pt>
                <c:pt idx="5">
                  <c:v>257.14285714285717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3F-40AE-9360-4E02328A93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ただ!$J$2:$J$53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ただ!$K$2:$K$53</c:f>
              <c:numCache>
                <c:formatCode>\+0;\-0;\±0</c:formatCode>
                <c:ptCount val="52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-113.80000000000001</c:v>
                </c:pt>
                <c:pt idx="5">
                  <c:v>-135.80000000000001</c:v>
                </c:pt>
                <c:pt idx="6">
                  <c:v>-100.30000000000001</c:v>
                </c:pt>
                <c:pt idx="7">
                  <c:v>-105.70000000000002</c:v>
                </c:pt>
                <c:pt idx="8">
                  <c:v>-51.800000000000018</c:v>
                </c:pt>
                <c:pt idx="9">
                  <c:v>-53.000000000000021</c:v>
                </c:pt>
                <c:pt idx="10">
                  <c:v>-72.300000000000026</c:v>
                </c:pt>
                <c:pt idx="11">
                  <c:v>-91.600000000000023</c:v>
                </c:pt>
                <c:pt idx="12">
                  <c:v>-88.600000000000023</c:v>
                </c:pt>
                <c:pt idx="13">
                  <c:v>-73.100000000000023</c:v>
                </c:pt>
                <c:pt idx="14">
                  <c:v>-62.000000000000021</c:v>
                </c:pt>
                <c:pt idx="15">
                  <c:v>-69.200000000000017</c:v>
                </c:pt>
                <c:pt idx="16">
                  <c:v>5.0999999999999801</c:v>
                </c:pt>
                <c:pt idx="17">
                  <c:v>40.09999999999998</c:v>
                </c:pt>
                <c:pt idx="18">
                  <c:v>39.799999999999983</c:v>
                </c:pt>
                <c:pt idx="19">
                  <c:v>103.79999999999998</c:v>
                </c:pt>
                <c:pt idx="20">
                  <c:v>106.89999999999998</c:v>
                </c:pt>
                <c:pt idx="21">
                  <c:v>108.09999999999998</c:v>
                </c:pt>
                <c:pt idx="22">
                  <c:v>110.89999999999998</c:v>
                </c:pt>
                <c:pt idx="23">
                  <c:v>155.49999999999997</c:v>
                </c:pt>
                <c:pt idx="24">
                  <c:v>154.09999999999997</c:v>
                </c:pt>
                <c:pt idx="25">
                  <c:v>114.39999999999996</c:v>
                </c:pt>
                <c:pt idx="26">
                  <c:v>98.599999999999966</c:v>
                </c:pt>
                <c:pt idx="27">
                  <c:v>109.89999999999996</c:v>
                </c:pt>
                <c:pt idx="28">
                  <c:v>65.899999999999963</c:v>
                </c:pt>
                <c:pt idx="29">
                  <c:v>24.899999999999963</c:v>
                </c:pt>
                <c:pt idx="30">
                  <c:v>14.099999999999962</c:v>
                </c:pt>
                <c:pt idx="31">
                  <c:v>29.69999999999996</c:v>
                </c:pt>
                <c:pt idx="32">
                  <c:v>-13.700000000000038</c:v>
                </c:pt>
                <c:pt idx="33">
                  <c:v>-13.000000000000039</c:v>
                </c:pt>
                <c:pt idx="34">
                  <c:v>-0.80000000000003979</c:v>
                </c:pt>
                <c:pt idx="35">
                  <c:v>-38.100000000000037</c:v>
                </c:pt>
                <c:pt idx="36">
                  <c:v>10.899999999999963</c:v>
                </c:pt>
                <c:pt idx="37">
                  <c:v>-2.9000000000000377</c:v>
                </c:pt>
                <c:pt idx="38">
                  <c:v>38.099999999999966</c:v>
                </c:pt>
                <c:pt idx="39">
                  <c:v>34.699999999999967</c:v>
                </c:pt>
                <c:pt idx="40">
                  <c:v>106.29999999999995</c:v>
                </c:pt>
                <c:pt idx="41">
                  <c:v>137.79999999999995</c:v>
                </c:pt>
                <c:pt idx="42">
                  <c:v>173.19999999999996</c:v>
                </c:pt>
                <c:pt idx="43">
                  <c:v>184.69999999999996</c:v>
                </c:pt>
                <c:pt idx="44">
                  <c:v>193.79999999999995</c:v>
                </c:pt>
                <c:pt idx="45">
                  <c:v>145.39999999999995</c:v>
                </c:pt>
                <c:pt idx="46">
                  <c:v>190.29999999999995</c:v>
                </c:pt>
                <c:pt idx="47">
                  <c:v>200.19999999999996</c:v>
                </c:pt>
                <c:pt idx="48">
                  <c:v>180.19999999999996</c:v>
                </c:pt>
                <c:pt idx="49">
                  <c:v>175.29999999999995</c:v>
                </c:pt>
                <c:pt idx="50">
                  <c:v>193.09999999999997</c:v>
                </c:pt>
                <c:pt idx="51">
                  <c:v>166.69999999999996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70-48F9-9080-E8B7FE5081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ただ!$N$2:$N$7</c:f>
              <c:numCache>
                <c:formatCode>0</c:formatCode>
                <c:ptCount val="6"/>
                <c:pt idx="0">
                  <c:v>3357.1428571428573</c:v>
                </c:pt>
                <c:pt idx="1">
                  <c:v>-45.652173913043477</c:v>
                </c:pt>
                <c:pt idx="2">
                  <c:v>-26.19047619047619</c:v>
                </c:pt>
                <c:pt idx="3">
                  <c:v>-1146.1538461538462</c:v>
                </c:pt>
                <c:pt idx="4">
                  <c:v>1250</c:v>
                </c:pt>
                <c:pt idx="5">
                  <c:v>-1080.7692307692307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06-4F39-AE13-B245369509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やがさき!$J$2:$J$14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やがさき!$K$2:$K$14</c:f>
              <c:numCache>
                <c:formatCode>\+0;\-0;\±0</c:formatCode>
                <c:ptCount val="13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04-42AC-8634-169966762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やがさき!$N$2:$N$7</c:f>
              <c:numCache>
                <c:formatCode>0</c:formatCode>
                <c:ptCount val="6"/>
                <c:pt idx="0">
                  <c:v>2608.3333333333335</c:v>
                </c:pt>
                <c:pt idx="1">
                  <c:v>2650</c:v>
                </c:pt>
                <c:pt idx="2">
                  <c:v>-900</c:v>
                </c:pt>
                <c:pt idx="3">
                  <c:v>2062.5</c:v>
                </c:pt>
                <c:pt idx="4">
                  <c:v>-1266.6666666666667</c:v>
                </c:pt>
                <c:pt idx="5">
                  <c:v>5325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9C-454B-8A29-8ADE4B6CF0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れんたろう!$J$2:$J$58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れんたろう!$K$2:$K$58</c:f>
              <c:numCache>
                <c:formatCode>\+0;\-0;\±0</c:formatCode>
                <c:ptCount val="57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49-4D5F-9AF0-CD776FC342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れんたろう!$N$2:$N$7</c:f>
              <c:numCache>
                <c:formatCode>0</c:formatCode>
                <c:ptCount val="6"/>
                <c:pt idx="0">
                  <c:v>-1778.8461538461538</c:v>
                </c:pt>
                <c:pt idx="1">
                  <c:v>-1196.1538461538462</c:v>
                </c:pt>
                <c:pt idx="2">
                  <c:v>-3277.5510204081634</c:v>
                </c:pt>
                <c:pt idx="3">
                  <c:v>-882.22222222222217</c:v>
                </c:pt>
                <c:pt idx="4">
                  <c:v>-1212.1951219512196</c:v>
                </c:pt>
                <c:pt idx="5">
                  <c:v>4053.3333333333335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0D-436B-880A-0F8C448C7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あさひ!$J$2:$J$7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あさひ!$K$2:$K$7</c:f>
              <c:numCache>
                <c:formatCode>\+0;\-0;\±0</c:formatCode>
                <c:ptCount val="6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7C-4B7F-89FB-A772BDBCD9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あさひ!$N$2:$N$7</c:f>
              <c:numCache>
                <c:formatCode>0</c:formatCode>
                <c:ptCount val="6"/>
                <c:pt idx="0">
                  <c:v>9780</c:v>
                </c:pt>
                <c:pt idx="1">
                  <c:v>-4740</c:v>
                </c:pt>
                <c:pt idx="2">
                  <c:v>3000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19-4473-9E76-1C9FCF0301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まっつん!$J$2:$J$13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まっつん!$K$2:$K$13</c:f>
              <c:numCache>
                <c:formatCode>\+0;\-0;\±0</c:formatCode>
                <c:ptCount val="12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86-4260-835A-EC57AD017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まっつん!$N$2:$N$7</c:f>
              <c:numCache>
                <c:formatCode>0</c:formatCode>
                <c:ptCount val="6"/>
                <c:pt idx="0">
                  <c:v>-1300</c:v>
                </c:pt>
                <c:pt idx="1">
                  <c:v>800</c:v>
                </c:pt>
                <c:pt idx="2">
                  <c:v>233.33333333333334</c:v>
                </c:pt>
                <c:pt idx="3">
                  <c:v>-1562.5</c:v>
                </c:pt>
                <c:pt idx="4">
                  <c:v>-4942.8571428571431</c:v>
                </c:pt>
                <c:pt idx="5">
                  <c:v>-4875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1F-48E0-A2A9-C5461BBC3A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Template!$N$2:$N$7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"/>
  <dimension ref="A1:AK13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7" customWidth="1"/>
    <col min="2" max="2" width="10.75" style="6" customWidth="1"/>
    <col min="3" max="3" width="10.75" style="3" customWidth="1"/>
    <col min="4" max="4" width="10.75" style="1" customWidth="1"/>
    <col min="5" max="5" width="10.75" style="3" customWidth="1"/>
    <col min="6" max="6" width="10.75" style="1" customWidth="1"/>
    <col min="7" max="7" width="10.75" style="5" customWidth="1"/>
    <col min="8" max="8" width="10.75" style="1" customWidth="1"/>
    <col min="9" max="9" width="10.75" style="18" customWidth="1"/>
    <col min="10" max="10" width="10.75" style="1" customWidth="1"/>
    <col min="11" max="11" width="10.75" style="16" customWidth="1"/>
    <col min="12" max="12" width="10.75" style="1" customWidth="1"/>
    <col min="13" max="13" width="10.75" style="16" customWidth="1"/>
    <col min="14" max="14" width="10.75" style="1" customWidth="1"/>
    <col min="15" max="15" width="10.75" style="2" customWidth="1"/>
    <col min="16" max="16" width="10.75" style="1" customWidth="1"/>
    <col min="17" max="17" width="10.75" style="2" customWidth="1"/>
    <col min="18" max="18" width="10.75" style="1" customWidth="1"/>
    <col min="19" max="19" width="10.75" style="18" customWidth="1"/>
    <col min="20" max="20" width="10.75" style="1" customWidth="1"/>
    <col min="21" max="21" width="10.75" style="18" customWidth="1"/>
    <col min="22" max="22" width="10.75" style="1" customWidth="1"/>
    <col min="23" max="23" width="10.75" style="16" customWidth="1"/>
    <col min="24" max="24" width="10.75" style="1" customWidth="1"/>
    <col min="25" max="25" width="10.75" style="16" customWidth="1"/>
    <col min="26" max="26" width="10.75" style="1" customWidth="1"/>
    <col min="27" max="27" width="10.75" style="16" customWidth="1"/>
    <col min="28" max="28" width="10.75" style="1" customWidth="1"/>
    <col min="29" max="29" width="10.75" style="16" customWidth="1"/>
    <col min="30" max="30" width="10.75" style="1" customWidth="1"/>
    <col min="31" max="31" width="10.75" style="16" customWidth="1"/>
    <col min="32" max="32" width="10.75" style="1" customWidth="1"/>
    <col min="33" max="33" width="10.75" style="16" customWidth="1"/>
    <col min="34" max="34" width="10.75" style="1" customWidth="1"/>
    <col min="35" max="35" width="10.75" style="77" customWidth="1"/>
    <col min="36" max="36" width="10.75" style="1" customWidth="1"/>
    <col min="37" max="37" width="10.75" style="81" customWidth="1"/>
    <col min="38" max="16384" width="9" style="4"/>
  </cols>
  <sheetData>
    <row r="1" spans="1:37" x14ac:dyDescent="0.4">
      <c r="A1" s="14"/>
      <c r="B1" s="84" t="s">
        <v>6</v>
      </c>
      <c r="C1" s="85"/>
      <c r="D1" s="84" t="s">
        <v>7</v>
      </c>
      <c r="E1" s="85"/>
      <c r="F1" s="84" t="s">
        <v>16</v>
      </c>
      <c r="G1" s="85"/>
      <c r="H1" s="84" t="s">
        <v>15</v>
      </c>
      <c r="I1" s="85"/>
      <c r="J1" s="84" t="s">
        <v>17</v>
      </c>
      <c r="K1" s="85"/>
      <c r="L1" s="84" t="s">
        <v>18</v>
      </c>
      <c r="M1" s="85"/>
      <c r="N1" s="84" t="s">
        <v>5</v>
      </c>
      <c r="O1" s="85"/>
      <c r="P1" s="84" t="s">
        <v>19</v>
      </c>
      <c r="Q1" s="85"/>
      <c r="R1" s="84" t="s">
        <v>20</v>
      </c>
      <c r="S1" s="85"/>
      <c r="T1" s="84" t="s">
        <v>200</v>
      </c>
      <c r="U1" s="85"/>
      <c r="V1" s="84" t="s">
        <v>131</v>
      </c>
      <c r="W1" s="85"/>
      <c r="X1" s="84" t="s">
        <v>126</v>
      </c>
      <c r="Y1" s="85"/>
      <c r="Z1" s="84" t="s">
        <v>134</v>
      </c>
      <c r="AA1" s="85"/>
      <c r="AB1" s="84" t="s">
        <v>135</v>
      </c>
      <c r="AC1" s="85"/>
      <c r="AD1" s="84" t="s">
        <v>236</v>
      </c>
      <c r="AE1" s="85"/>
      <c r="AF1" s="84" t="s">
        <v>188</v>
      </c>
      <c r="AG1" s="85"/>
      <c r="AH1" s="84" t="s">
        <v>211</v>
      </c>
      <c r="AI1" s="85"/>
      <c r="AJ1" s="84" t="s">
        <v>212</v>
      </c>
      <c r="AK1" s="85"/>
    </row>
    <row r="2" spans="1:37" x14ac:dyDescent="0.4">
      <c r="A2" s="8">
        <v>1</v>
      </c>
      <c r="B2" s="9" t="s">
        <v>137</v>
      </c>
      <c r="C2" s="11">
        <v>831.90000000000032</v>
      </c>
      <c r="D2" s="10" t="s">
        <v>202</v>
      </c>
      <c r="E2" s="11">
        <v>17.8</v>
      </c>
      <c r="F2" s="10" t="s">
        <v>202</v>
      </c>
      <c r="G2" s="12">
        <v>1.6</v>
      </c>
      <c r="H2" s="10" t="s">
        <v>202</v>
      </c>
      <c r="I2" s="17">
        <v>0.6</v>
      </c>
      <c r="J2" s="10" t="s">
        <v>202</v>
      </c>
      <c r="K2" s="15">
        <v>0.39130434782608697</v>
      </c>
      <c r="L2" s="10" t="s">
        <v>202</v>
      </c>
      <c r="M2" s="15">
        <v>6.5217391304347824E-2</v>
      </c>
      <c r="N2" s="10" t="s">
        <v>141</v>
      </c>
      <c r="O2" s="13">
        <v>11308.152173913044</v>
      </c>
      <c r="P2" s="10" t="s">
        <v>202</v>
      </c>
      <c r="Q2" s="13">
        <v>-5366.666666666667</v>
      </c>
      <c r="R2" s="10" t="s">
        <v>139</v>
      </c>
      <c r="S2" s="17">
        <v>0</v>
      </c>
      <c r="T2" s="10" t="s">
        <v>156</v>
      </c>
      <c r="U2" s="17">
        <v>0.25</v>
      </c>
      <c r="V2" s="10" t="s">
        <v>139</v>
      </c>
      <c r="W2" s="15">
        <v>0.45454545454545453</v>
      </c>
      <c r="X2" s="10" t="s">
        <v>203</v>
      </c>
      <c r="Y2" s="15">
        <v>0.47058823529411764</v>
      </c>
      <c r="Z2" s="10" t="s">
        <v>145</v>
      </c>
      <c r="AA2" s="15">
        <v>0.75</v>
      </c>
      <c r="AB2" s="10" t="s">
        <v>202</v>
      </c>
      <c r="AC2" s="15">
        <v>0.5</v>
      </c>
      <c r="AD2" s="10" t="s">
        <v>138</v>
      </c>
      <c r="AE2" s="15">
        <v>1</v>
      </c>
      <c r="AF2" s="10" t="s">
        <v>202</v>
      </c>
      <c r="AG2" s="15">
        <v>0.46666666666666667</v>
      </c>
      <c r="AH2" s="10" t="s">
        <v>137</v>
      </c>
      <c r="AI2" s="76">
        <v>10</v>
      </c>
      <c r="AJ2" s="10" t="s">
        <v>160</v>
      </c>
      <c r="AK2" s="80">
        <v>5</v>
      </c>
    </row>
    <row r="3" spans="1:37" x14ac:dyDescent="0.4">
      <c r="A3" s="7">
        <v>2</v>
      </c>
      <c r="B3" s="6" t="s">
        <v>142</v>
      </c>
      <c r="C3" s="3">
        <v>213.70000000000005</v>
      </c>
      <c r="D3" s="1" t="s">
        <v>156</v>
      </c>
      <c r="E3" s="3">
        <v>6.7333333333333343</v>
      </c>
      <c r="F3" s="1" t="s">
        <v>156</v>
      </c>
      <c r="G3" s="5">
        <v>1.75</v>
      </c>
      <c r="H3" s="1" t="s">
        <v>156</v>
      </c>
      <c r="I3" s="18">
        <v>0.5</v>
      </c>
      <c r="J3" s="1" t="s">
        <v>137</v>
      </c>
      <c r="K3" s="16">
        <v>0.35819430814524045</v>
      </c>
      <c r="L3" s="1" t="s">
        <v>139</v>
      </c>
      <c r="M3" s="16">
        <v>0.125</v>
      </c>
      <c r="N3" s="1" t="s">
        <v>149</v>
      </c>
      <c r="O3" s="2">
        <v>10903.27868852459</v>
      </c>
      <c r="P3" s="1" t="s">
        <v>203</v>
      </c>
      <c r="Q3" s="2">
        <v>-7726.666666666667</v>
      </c>
      <c r="R3" s="1" t="s">
        <v>202</v>
      </c>
      <c r="S3" s="18">
        <v>0</v>
      </c>
      <c r="T3" s="1" t="s">
        <v>137</v>
      </c>
      <c r="U3" s="18">
        <v>0.23021582733812951</v>
      </c>
      <c r="V3" s="1" t="s">
        <v>202</v>
      </c>
      <c r="W3" s="16">
        <v>0.43478260869565216</v>
      </c>
      <c r="X3" s="1" t="s">
        <v>142</v>
      </c>
      <c r="Y3" s="16">
        <v>0.32380952380952382</v>
      </c>
      <c r="Z3" s="1" t="s">
        <v>142</v>
      </c>
      <c r="AA3" s="16">
        <v>0.68181818181818177</v>
      </c>
      <c r="AB3" s="1" t="s">
        <v>137</v>
      </c>
      <c r="AC3" s="16">
        <v>0.48760330578512395</v>
      </c>
      <c r="AD3" s="1" t="s">
        <v>160</v>
      </c>
      <c r="AE3" s="16">
        <v>0.46774193548387094</v>
      </c>
      <c r="AF3" s="1" t="s">
        <v>145</v>
      </c>
      <c r="AG3" s="16">
        <v>0.46153846153846156</v>
      </c>
      <c r="AH3" s="1" t="s">
        <v>141</v>
      </c>
      <c r="AI3" s="77">
        <v>10</v>
      </c>
      <c r="AJ3" s="1" t="s">
        <v>141</v>
      </c>
      <c r="AK3" s="81">
        <v>4</v>
      </c>
    </row>
    <row r="4" spans="1:37" x14ac:dyDescent="0.4">
      <c r="A4" s="7">
        <v>3</v>
      </c>
      <c r="B4" s="6" t="s">
        <v>149</v>
      </c>
      <c r="C4" s="3">
        <v>166.69999999999996</v>
      </c>
      <c r="D4" s="1" t="s">
        <v>137</v>
      </c>
      <c r="E4" s="3">
        <v>5.9848920863309374</v>
      </c>
      <c r="F4" s="1" t="s">
        <v>137</v>
      </c>
      <c r="G4" s="5">
        <v>1.8201438848920863</v>
      </c>
      <c r="H4" s="1" t="s">
        <v>137</v>
      </c>
      <c r="I4" s="18">
        <v>0.41726618705035973</v>
      </c>
      <c r="J4" s="1" t="s">
        <v>142</v>
      </c>
      <c r="K4" s="16">
        <v>0.35276967930029157</v>
      </c>
      <c r="L4" s="1" t="s">
        <v>156</v>
      </c>
      <c r="M4" s="16">
        <v>0.13414634146341464</v>
      </c>
      <c r="N4" s="1" t="s">
        <v>156</v>
      </c>
      <c r="O4" s="2">
        <v>10857.142857142857</v>
      </c>
      <c r="P4" s="1" t="s">
        <v>138</v>
      </c>
      <c r="Q4" s="2">
        <v>-8240</v>
      </c>
      <c r="R4" s="1" t="s">
        <v>137</v>
      </c>
      <c r="S4" s="18">
        <v>0.1223021582733813</v>
      </c>
      <c r="T4" s="1" t="s">
        <v>145</v>
      </c>
      <c r="U4" s="18">
        <v>0.2</v>
      </c>
      <c r="V4" s="1" t="s">
        <v>149</v>
      </c>
      <c r="W4" s="16">
        <v>0.33852140077821014</v>
      </c>
      <c r="X4" s="1" t="s">
        <v>148</v>
      </c>
      <c r="Y4" s="16">
        <v>0.28000000000000003</v>
      </c>
      <c r="Z4" s="1" t="s">
        <v>137</v>
      </c>
      <c r="AA4" s="16">
        <v>0.66871165644171782</v>
      </c>
      <c r="AB4" s="1" t="s">
        <v>160</v>
      </c>
      <c r="AC4" s="16">
        <v>0.39534883720930231</v>
      </c>
      <c r="AD4" s="1" t="s">
        <v>156</v>
      </c>
      <c r="AE4" s="16">
        <v>0.4642857142857143</v>
      </c>
      <c r="AF4" s="1" t="s">
        <v>156</v>
      </c>
      <c r="AG4" s="16">
        <v>0.45454545454545453</v>
      </c>
      <c r="AH4" s="1" t="s">
        <v>149</v>
      </c>
      <c r="AI4" s="77">
        <v>9</v>
      </c>
      <c r="AJ4" s="1" t="s">
        <v>149</v>
      </c>
      <c r="AK4" s="81">
        <v>3</v>
      </c>
    </row>
    <row r="5" spans="1:37" x14ac:dyDescent="0.4">
      <c r="A5" s="7">
        <v>4</v>
      </c>
      <c r="B5" s="6" t="s">
        <v>202</v>
      </c>
      <c r="C5" s="3">
        <v>89</v>
      </c>
      <c r="D5" s="1" t="s">
        <v>142</v>
      </c>
      <c r="E5" s="3">
        <v>4.4520833333333343</v>
      </c>
      <c r="F5" s="1" t="s">
        <v>142</v>
      </c>
      <c r="G5" s="5">
        <v>1.8958333333333333</v>
      </c>
      <c r="H5" s="1" t="s">
        <v>149</v>
      </c>
      <c r="I5" s="18">
        <v>0.39215686274509803</v>
      </c>
      <c r="J5" s="1" t="s">
        <v>156</v>
      </c>
      <c r="K5" s="16">
        <v>0.34146341463414637</v>
      </c>
      <c r="L5" s="1" t="s">
        <v>137</v>
      </c>
      <c r="M5" s="16">
        <v>0.15014720314033367</v>
      </c>
      <c r="N5" s="1" t="s">
        <v>160</v>
      </c>
      <c r="O5" s="2">
        <v>10838.709677419354</v>
      </c>
      <c r="P5" s="1" t="s">
        <v>148</v>
      </c>
      <c r="Q5" s="2">
        <v>-8580</v>
      </c>
      <c r="R5" s="1" t="s">
        <v>142</v>
      </c>
      <c r="S5" s="18">
        <v>0.125</v>
      </c>
      <c r="T5" s="1" t="s">
        <v>202</v>
      </c>
      <c r="U5" s="18">
        <v>0.2</v>
      </c>
      <c r="V5" s="1" t="s">
        <v>160</v>
      </c>
      <c r="W5" s="16">
        <v>0.2951653944020356</v>
      </c>
      <c r="X5" s="1" t="s">
        <v>149</v>
      </c>
      <c r="Y5" s="16">
        <v>0.23346303501945526</v>
      </c>
      <c r="Z5" s="1" t="s">
        <v>149</v>
      </c>
      <c r="AA5" s="16">
        <v>0.60919540229885061</v>
      </c>
      <c r="AB5" s="1" t="s">
        <v>149</v>
      </c>
      <c r="AC5" s="16">
        <v>0.38333333333333336</v>
      </c>
      <c r="AD5" s="1" t="s">
        <v>148</v>
      </c>
      <c r="AE5" s="16">
        <v>0.42391304347826086</v>
      </c>
      <c r="AF5" s="1" t="s">
        <v>137</v>
      </c>
      <c r="AG5" s="16">
        <v>0.41988950276243092</v>
      </c>
      <c r="AH5" s="1" t="s">
        <v>160</v>
      </c>
      <c r="AI5" s="77">
        <v>7</v>
      </c>
      <c r="AJ5" s="1" t="s">
        <v>137</v>
      </c>
      <c r="AK5" s="81">
        <v>1</v>
      </c>
    </row>
    <row r="6" spans="1:37" x14ac:dyDescent="0.4">
      <c r="A6" s="7">
        <v>5</v>
      </c>
      <c r="B6" s="6" t="s">
        <v>156</v>
      </c>
      <c r="C6" s="3">
        <v>80.800000000000011</v>
      </c>
      <c r="D6" s="1" t="s">
        <v>149</v>
      </c>
      <c r="E6" s="3">
        <v>3.2686274509803912</v>
      </c>
      <c r="F6" s="1" t="s">
        <v>149</v>
      </c>
      <c r="G6" s="5">
        <v>1.9215686274509804</v>
      </c>
      <c r="H6" s="1" t="s">
        <v>142</v>
      </c>
      <c r="I6" s="18">
        <v>0.35416666666666669</v>
      </c>
      <c r="J6" s="1" t="s">
        <v>149</v>
      </c>
      <c r="K6" s="16">
        <v>0.31282051282051282</v>
      </c>
      <c r="L6" s="1" t="s">
        <v>142</v>
      </c>
      <c r="M6" s="16">
        <v>0.15451895043731778</v>
      </c>
      <c r="N6" s="1" t="s">
        <v>137</v>
      </c>
      <c r="O6" s="2">
        <v>9913.9726027397264</v>
      </c>
      <c r="P6" s="1" t="s">
        <v>142</v>
      </c>
      <c r="Q6" s="2">
        <v>-8954.7169811320746</v>
      </c>
      <c r="R6" s="1" t="s">
        <v>149</v>
      </c>
      <c r="S6" s="18">
        <v>0.15686274509803921</v>
      </c>
      <c r="T6" s="1" t="s">
        <v>149</v>
      </c>
      <c r="U6" s="18">
        <v>0.19607843137254902</v>
      </c>
      <c r="V6" s="1" t="s">
        <v>137</v>
      </c>
      <c r="W6" s="16">
        <v>0.29316546762589929</v>
      </c>
      <c r="X6" s="1" t="s">
        <v>160</v>
      </c>
      <c r="Y6" s="16">
        <v>0.21882951653944022</v>
      </c>
      <c r="Z6" s="1" t="s">
        <v>202</v>
      </c>
      <c r="AA6" s="16">
        <v>0.6</v>
      </c>
      <c r="AB6" s="1" t="s">
        <v>142</v>
      </c>
      <c r="AC6" s="16">
        <v>0.38235294117647056</v>
      </c>
      <c r="AD6" s="1" t="s">
        <v>142</v>
      </c>
      <c r="AE6" s="16">
        <v>0.42148760330578511</v>
      </c>
      <c r="AF6" s="1" t="s">
        <v>149</v>
      </c>
      <c r="AG6" s="16">
        <v>0.39860139860139859</v>
      </c>
      <c r="AH6" s="1" t="s">
        <v>142</v>
      </c>
      <c r="AI6" s="77">
        <v>6</v>
      </c>
      <c r="AJ6" s="1" t="s">
        <v>142</v>
      </c>
      <c r="AK6" s="81">
        <v>1</v>
      </c>
    </row>
    <row r="7" spans="1:37" x14ac:dyDescent="0.4">
      <c r="A7" s="7">
        <v>6</v>
      </c>
      <c r="B7" s="6" t="s">
        <v>139</v>
      </c>
      <c r="C7" s="3">
        <v>-26.5</v>
      </c>
      <c r="D7" s="1" t="s">
        <v>141</v>
      </c>
      <c r="E7" s="3">
        <v>-3.96875</v>
      </c>
      <c r="F7" s="1" t="s">
        <v>141</v>
      </c>
      <c r="G7" s="5">
        <v>2.1041666666666665</v>
      </c>
      <c r="H7" s="1" t="s">
        <v>141</v>
      </c>
      <c r="I7" s="18">
        <v>0.30208333333333331</v>
      </c>
      <c r="J7" s="1" t="s">
        <v>160</v>
      </c>
      <c r="K7" s="16">
        <v>0.28837209302325584</v>
      </c>
      <c r="L7" s="1" t="s">
        <v>149</v>
      </c>
      <c r="M7" s="16">
        <v>0.1641025641025641</v>
      </c>
      <c r="N7" s="1" t="s">
        <v>148</v>
      </c>
      <c r="O7" s="2">
        <v>9814.1304347826081</v>
      </c>
      <c r="P7" s="1" t="s">
        <v>137</v>
      </c>
      <c r="Q7" s="2">
        <v>-9554.9019607843129</v>
      </c>
      <c r="R7" s="1" t="s">
        <v>203</v>
      </c>
      <c r="S7" s="18">
        <v>0.18181818181818182</v>
      </c>
      <c r="T7" s="1" t="s">
        <v>142</v>
      </c>
      <c r="U7" s="18">
        <v>0.1875</v>
      </c>
      <c r="V7" s="1" t="s">
        <v>141</v>
      </c>
      <c r="W7" s="16">
        <v>0.2813852813852814</v>
      </c>
      <c r="X7" s="1" t="s">
        <v>137</v>
      </c>
      <c r="Y7" s="16">
        <v>0.21762589928057555</v>
      </c>
      <c r="Z7" s="1" t="s">
        <v>160</v>
      </c>
      <c r="AA7" s="16">
        <v>0.59482758620689657</v>
      </c>
      <c r="AB7" s="1" t="s">
        <v>141</v>
      </c>
      <c r="AC7" s="16">
        <v>0.36781609195402298</v>
      </c>
      <c r="AD7" s="1" t="s">
        <v>141</v>
      </c>
      <c r="AE7" s="16">
        <v>0.40760869565217389</v>
      </c>
      <c r="AF7" s="1" t="s">
        <v>142</v>
      </c>
      <c r="AG7" s="16">
        <v>0.36</v>
      </c>
      <c r="AH7" s="1" t="s">
        <v>148</v>
      </c>
      <c r="AI7" s="77">
        <v>5</v>
      </c>
      <c r="AJ7" s="1" t="s">
        <v>148</v>
      </c>
      <c r="AK7" s="81">
        <v>1</v>
      </c>
    </row>
    <row r="8" spans="1:37" x14ac:dyDescent="0.4">
      <c r="A8" s="7">
        <v>7</v>
      </c>
      <c r="B8" s="6" t="s">
        <v>203</v>
      </c>
      <c r="C8" s="3">
        <v>-70</v>
      </c>
      <c r="D8" s="1" t="s">
        <v>148</v>
      </c>
      <c r="E8" s="3">
        <v>-6.2489361702127662</v>
      </c>
      <c r="F8" s="1" t="s">
        <v>148</v>
      </c>
      <c r="G8" s="5">
        <v>2.1702127659574466</v>
      </c>
      <c r="H8" s="1" t="s">
        <v>160</v>
      </c>
      <c r="I8" s="18">
        <v>0.25</v>
      </c>
      <c r="J8" s="1" t="s">
        <v>145</v>
      </c>
      <c r="K8" s="16">
        <v>0.27027027027027029</v>
      </c>
      <c r="L8" s="1" t="s">
        <v>203</v>
      </c>
      <c r="M8" s="16">
        <v>0.17647058823529413</v>
      </c>
      <c r="N8" s="1" t="s">
        <v>142</v>
      </c>
      <c r="O8" s="2">
        <v>9616.5289256198339</v>
      </c>
      <c r="P8" s="1" t="s">
        <v>160</v>
      </c>
      <c r="Q8" s="2">
        <v>-9733.0097087378635</v>
      </c>
      <c r="R8" s="1" t="s">
        <v>148</v>
      </c>
      <c r="S8" s="18">
        <v>0.21276595744680851</v>
      </c>
      <c r="T8" s="1" t="s">
        <v>148</v>
      </c>
      <c r="U8" s="18">
        <v>0.14893617021276595</v>
      </c>
      <c r="V8" s="1" t="s">
        <v>145</v>
      </c>
      <c r="W8" s="16">
        <v>0.25806451612903225</v>
      </c>
      <c r="X8" s="1" t="s">
        <v>141</v>
      </c>
      <c r="Y8" s="16">
        <v>0.18831168831168832</v>
      </c>
      <c r="Z8" s="1" t="s">
        <v>141</v>
      </c>
      <c r="AA8" s="16">
        <v>0.56153846153846154</v>
      </c>
      <c r="AB8" s="1" t="s">
        <v>148</v>
      </c>
      <c r="AC8" s="16">
        <v>0.36734693877551022</v>
      </c>
      <c r="AD8" s="1" t="s">
        <v>149</v>
      </c>
      <c r="AE8" s="16">
        <v>0.40163934426229508</v>
      </c>
      <c r="AF8" s="1" t="s">
        <v>148</v>
      </c>
      <c r="AG8" s="16">
        <v>0.35643564356435642</v>
      </c>
      <c r="AH8" s="1" t="s">
        <v>202</v>
      </c>
      <c r="AI8" s="77">
        <v>5</v>
      </c>
      <c r="AJ8" s="1" t="s">
        <v>138</v>
      </c>
      <c r="AK8" s="81">
        <v>0</v>
      </c>
    </row>
    <row r="9" spans="1:37" x14ac:dyDescent="0.4">
      <c r="A9" s="7">
        <v>8</v>
      </c>
      <c r="B9" s="6" t="s">
        <v>145</v>
      </c>
      <c r="C9" s="3">
        <v>-86.4</v>
      </c>
      <c r="D9" s="1" t="s">
        <v>203</v>
      </c>
      <c r="E9" s="3">
        <v>-6.3636363636363633</v>
      </c>
      <c r="F9" s="1" t="s">
        <v>160</v>
      </c>
      <c r="G9" s="5">
        <v>2.1964285714285716</v>
      </c>
      <c r="H9" s="1" t="s">
        <v>148</v>
      </c>
      <c r="I9" s="18">
        <v>0.21276595744680851</v>
      </c>
      <c r="J9" s="1" t="s">
        <v>141</v>
      </c>
      <c r="K9" s="16">
        <v>0.2544951590594744</v>
      </c>
      <c r="L9" s="1" t="s">
        <v>141</v>
      </c>
      <c r="M9" s="16">
        <v>0.19502074688796681</v>
      </c>
      <c r="N9" s="1" t="s">
        <v>202</v>
      </c>
      <c r="O9" s="2">
        <v>9227.7777777777774</v>
      </c>
      <c r="P9" s="1" t="s">
        <v>149</v>
      </c>
      <c r="Q9" s="2">
        <v>-9809.375</v>
      </c>
      <c r="R9" s="1" t="s">
        <v>160</v>
      </c>
      <c r="S9" s="18">
        <v>0.21428571428571427</v>
      </c>
      <c r="T9" s="1" t="s">
        <v>141</v>
      </c>
      <c r="U9" s="18">
        <v>0.14583333333333334</v>
      </c>
      <c r="V9" s="1" t="s">
        <v>148</v>
      </c>
      <c r="W9" s="16">
        <v>0.22285714285714286</v>
      </c>
      <c r="X9" s="1" t="s">
        <v>145</v>
      </c>
      <c r="Y9" s="16">
        <v>0.16129032258064516</v>
      </c>
      <c r="Z9" s="1" t="s">
        <v>203</v>
      </c>
      <c r="AA9" s="16">
        <v>0.5</v>
      </c>
      <c r="AB9" s="1" t="s">
        <v>203</v>
      </c>
      <c r="AC9" s="16">
        <v>0.3</v>
      </c>
      <c r="AD9" s="1" t="s">
        <v>137</v>
      </c>
      <c r="AE9" s="16">
        <v>0.36712328767123287</v>
      </c>
      <c r="AF9" s="1" t="s">
        <v>160</v>
      </c>
      <c r="AG9" s="16">
        <v>0.3235294117647059</v>
      </c>
      <c r="AH9" s="1" t="s">
        <v>203</v>
      </c>
      <c r="AI9" s="77">
        <v>5</v>
      </c>
      <c r="AJ9" s="1" t="s">
        <v>139</v>
      </c>
      <c r="AK9" s="81">
        <v>0</v>
      </c>
    </row>
    <row r="10" spans="1:37" x14ac:dyDescent="0.4">
      <c r="A10" s="7">
        <v>9</v>
      </c>
      <c r="B10" s="6" t="s">
        <v>138</v>
      </c>
      <c r="C10" s="3">
        <v>-132.1</v>
      </c>
      <c r="D10" s="1" t="s">
        <v>160</v>
      </c>
      <c r="E10" s="3">
        <v>-7.0607142857142842</v>
      </c>
      <c r="F10" s="1" t="s">
        <v>145</v>
      </c>
      <c r="G10" s="5">
        <v>2.2000000000000002</v>
      </c>
      <c r="H10" s="1" t="s">
        <v>145</v>
      </c>
      <c r="I10" s="18">
        <v>0.2</v>
      </c>
      <c r="J10" s="1" t="s">
        <v>148</v>
      </c>
      <c r="K10" s="16">
        <v>0.2541436464088398</v>
      </c>
      <c r="L10" s="1" t="s">
        <v>148</v>
      </c>
      <c r="M10" s="16">
        <v>0.20718232044198895</v>
      </c>
      <c r="N10" s="1" t="s">
        <v>203</v>
      </c>
      <c r="O10" s="2">
        <v>8566.6666666666661</v>
      </c>
      <c r="P10" s="1" t="s">
        <v>156</v>
      </c>
      <c r="Q10" s="2">
        <v>-9927.2727272727279</v>
      </c>
      <c r="R10" s="1" t="s">
        <v>141</v>
      </c>
      <c r="S10" s="18">
        <v>0.22916666666666666</v>
      </c>
      <c r="T10" s="1" t="s">
        <v>160</v>
      </c>
      <c r="U10" s="18">
        <v>0.10714285714285714</v>
      </c>
      <c r="V10" s="1" t="s">
        <v>142</v>
      </c>
      <c r="W10" s="16">
        <v>0.20952380952380953</v>
      </c>
      <c r="X10" s="1" t="s">
        <v>202</v>
      </c>
      <c r="Y10" s="16">
        <v>0.13043478260869565</v>
      </c>
      <c r="Z10" s="1" t="s">
        <v>148</v>
      </c>
      <c r="AA10" s="16">
        <v>0.35897435897435898</v>
      </c>
      <c r="AB10" s="1" t="s">
        <v>145</v>
      </c>
      <c r="AC10" s="16">
        <v>0.2</v>
      </c>
      <c r="AD10" s="1" t="s">
        <v>145</v>
      </c>
      <c r="AE10" s="16">
        <v>0.3</v>
      </c>
      <c r="AF10" s="1" t="s">
        <v>141</v>
      </c>
      <c r="AG10" s="16">
        <v>0.30530973451327431</v>
      </c>
      <c r="AH10" s="1" t="s">
        <v>145</v>
      </c>
      <c r="AI10" s="77">
        <v>3</v>
      </c>
      <c r="AJ10" s="1" t="s">
        <v>145</v>
      </c>
      <c r="AK10" s="81">
        <v>0</v>
      </c>
    </row>
    <row r="11" spans="1:37" x14ac:dyDescent="0.4">
      <c r="A11" s="7">
        <v>10</v>
      </c>
      <c r="B11" s="6" t="s">
        <v>148</v>
      </c>
      <c r="C11" s="3">
        <v>-293.7</v>
      </c>
      <c r="D11" s="1" t="s">
        <v>139</v>
      </c>
      <c r="E11" s="3">
        <v>-8.8333333333333339</v>
      </c>
      <c r="F11" s="1" t="s">
        <v>139</v>
      </c>
      <c r="G11" s="5">
        <v>2.3333333333333335</v>
      </c>
      <c r="H11" s="1" t="s">
        <v>203</v>
      </c>
      <c r="I11" s="18">
        <v>9.0909090909090912E-2</v>
      </c>
      <c r="J11" s="1" t="s">
        <v>203</v>
      </c>
      <c r="K11" s="16">
        <v>0.21176470588235294</v>
      </c>
      <c r="L11" s="1" t="s">
        <v>145</v>
      </c>
      <c r="M11" s="16">
        <v>0.21621621621621623</v>
      </c>
      <c r="N11" s="1" t="s">
        <v>139</v>
      </c>
      <c r="O11" s="2">
        <v>8000</v>
      </c>
      <c r="P11" s="1" t="s">
        <v>141</v>
      </c>
      <c r="Q11" s="2">
        <v>-10026.950354609929</v>
      </c>
      <c r="R11" s="1" t="s">
        <v>156</v>
      </c>
      <c r="S11" s="18">
        <v>0.25</v>
      </c>
      <c r="T11" s="1" t="s">
        <v>203</v>
      </c>
      <c r="U11" s="18">
        <v>9.0909090909090912E-2</v>
      </c>
      <c r="V11" s="1" t="s">
        <v>203</v>
      </c>
      <c r="W11" s="16">
        <v>9.4117647058823528E-2</v>
      </c>
      <c r="X11" s="1" t="s">
        <v>138</v>
      </c>
      <c r="Y11" s="16">
        <v>0</v>
      </c>
      <c r="Z11" s="1" t="s">
        <v>139</v>
      </c>
      <c r="AA11" s="16">
        <v>0.2</v>
      </c>
      <c r="AB11" s="1" t="s">
        <v>138</v>
      </c>
      <c r="AC11" s="16">
        <v>0</v>
      </c>
      <c r="AD11" s="1" t="s">
        <v>202</v>
      </c>
      <c r="AE11" s="16">
        <v>0.27777777777777779</v>
      </c>
      <c r="AF11" s="1" t="s">
        <v>203</v>
      </c>
      <c r="AG11" s="16">
        <v>0.13636363636363635</v>
      </c>
      <c r="AH11" s="1" t="s">
        <v>139</v>
      </c>
      <c r="AI11" s="77">
        <v>2</v>
      </c>
      <c r="AJ11" s="1" t="s">
        <v>156</v>
      </c>
      <c r="AK11" s="81">
        <v>0</v>
      </c>
    </row>
    <row r="12" spans="1:37" x14ac:dyDescent="0.4">
      <c r="A12" s="7">
        <v>11</v>
      </c>
      <c r="B12" s="6" t="s">
        <v>141</v>
      </c>
      <c r="C12" s="3">
        <v>-381</v>
      </c>
      <c r="D12" s="1" t="s">
        <v>145</v>
      </c>
      <c r="E12" s="3">
        <v>-17.28</v>
      </c>
      <c r="F12" s="1" t="s">
        <v>203</v>
      </c>
      <c r="G12" s="5">
        <v>2.3636363636363638</v>
      </c>
      <c r="H12" s="1" t="s">
        <v>138</v>
      </c>
      <c r="I12" s="18">
        <v>0</v>
      </c>
      <c r="J12" s="1" t="s">
        <v>139</v>
      </c>
      <c r="K12" s="16">
        <v>0.1875</v>
      </c>
      <c r="L12" s="1" t="s">
        <v>160</v>
      </c>
      <c r="M12" s="16">
        <v>0.23953488372093024</v>
      </c>
      <c r="N12" s="1" t="s">
        <v>138</v>
      </c>
      <c r="O12" s="2">
        <v>7800</v>
      </c>
      <c r="P12" s="1" t="s">
        <v>139</v>
      </c>
      <c r="Q12" s="2">
        <v>-12000</v>
      </c>
      <c r="R12" s="1" t="s">
        <v>145</v>
      </c>
      <c r="S12" s="18">
        <v>0.4</v>
      </c>
      <c r="T12" s="1" t="s">
        <v>138</v>
      </c>
      <c r="U12" s="18">
        <v>0</v>
      </c>
      <c r="V12" s="1" t="s">
        <v>138</v>
      </c>
      <c r="W12" s="16">
        <v>0</v>
      </c>
      <c r="X12" s="1" t="s">
        <v>139</v>
      </c>
      <c r="Y12" s="16">
        <v>0</v>
      </c>
      <c r="Z12" s="1" t="s">
        <v>138</v>
      </c>
      <c r="AA12" s="16">
        <v>0</v>
      </c>
      <c r="AB12" s="1" t="s">
        <v>139</v>
      </c>
      <c r="AC12" s="16">
        <v>0</v>
      </c>
      <c r="AD12" s="1" t="s">
        <v>203</v>
      </c>
      <c r="AE12" s="16">
        <v>0.16666666666666666</v>
      </c>
      <c r="AF12" s="1" t="s">
        <v>138</v>
      </c>
      <c r="AG12" s="16">
        <v>0</v>
      </c>
      <c r="AH12" s="1" t="s">
        <v>138</v>
      </c>
      <c r="AI12" s="77">
        <v>0</v>
      </c>
      <c r="AJ12" s="1" t="s">
        <v>202</v>
      </c>
      <c r="AK12" s="81">
        <v>0</v>
      </c>
    </row>
    <row r="13" spans="1:37" x14ac:dyDescent="0.4">
      <c r="A13" s="7">
        <v>12</v>
      </c>
      <c r="B13" s="6" t="s">
        <v>160</v>
      </c>
      <c r="C13" s="3">
        <v>-395.39999999999992</v>
      </c>
      <c r="D13" s="1" t="s">
        <v>138</v>
      </c>
      <c r="E13" s="3">
        <v>-33.024999999999999</v>
      </c>
      <c r="F13" s="1" t="s">
        <v>138</v>
      </c>
      <c r="G13" s="5">
        <v>3</v>
      </c>
      <c r="H13" s="1" t="s">
        <v>139</v>
      </c>
      <c r="I13" s="18">
        <v>0</v>
      </c>
      <c r="J13" s="1" t="s">
        <v>138</v>
      </c>
      <c r="K13" s="16">
        <v>0.04</v>
      </c>
      <c r="L13" s="1" t="s">
        <v>138</v>
      </c>
      <c r="M13" s="16">
        <v>0.4</v>
      </c>
      <c r="N13" s="1" t="s">
        <v>145</v>
      </c>
      <c r="O13" s="2">
        <v>7100</v>
      </c>
      <c r="P13" s="1" t="s">
        <v>145</v>
      </c>
      <c r="Q13" s="2">
        <v>-12487.5</v>
      </c>
      <c r="R13" s="1" t="s">
        <v>138</v>
      </c>
      <c r="S13" s="18">
        <v>0.5</v>
      </c>
      <c r="T13" s="1" t="s">
        <v>139</v>
      </c>
      <c r="U13" s="18">
        <v>0</v>
      </c>
      <c r="V13" s="1" t="s">
        <v>156</v>
      </c>
      <c r="W13" s="16">
        <v>0</v>
      </c>
      <c r="X13" s="1" t="s">
        <v>156</v>
      </c>
      <c r="Y13" s="16">
        <v>0</v>
      </c>
      <c r="Z13" s="1" t="s">
        <v>156</v>
      </c>
      <c r="AA13" s="16">
        <v>0</v>
      </c>
      <c r="AB13" s="1" t="s">
        <v>156</v>
      </c>
      <c r="AC13" s="16">
        <v>0</v>
      </c>
      <c r="AD13" s="1" t="s">
        <v>139</v>
      </c>
      <c r="AE13" s="16">
        <v>0</v>
      </c>
      <c r="AF13" s="1" t="s">
        <v>139</v>
      </c>
      <c r="AG13" s="16">
        <v>0</v>
      </c>
      <c r="AH13" s="1" t="s">
        <v>156</v>
      </c>
      <c r="AI13" s="77">
        <v>0</v>
      </c>
      <c r="AJ13" s="1" t="s">
        <v>203</v>
      </c>
      <c r="AK13" s="81">
        <v>0</v>
      </c>
    </row>
  </sheetData>
  <sortState ref="AJ2:AK30">
    <sortCondition descending="1" ref="AK1"/>
  </sortState>
  <mergeCells count="18">
    <mergeCell ref="B1:C1"/>
    <mergeCell ref="P1:Q1"/>
    <mergeCell ref="N1:O1"/>
    <mergeCell ref="L1:M1"/>
    <mergeCell ref="J1:K1"/>
    <mergeCell ref="H1:I1"/>
    <mergeCell ref="F1:G1"/>
    <mergeCell ref="AJ1:AK1"/>
    <mergeCell ref="AH1:AI1"/>
    <mergeCell ref="AF1:AG1"/>
    <mergeCell ref="AB1:AC1"/>
    <mergeCell ref="D1:E1"/>
    <mergeCell ref="R1:S1"/>
    <mergeCell ref="V1:W1"/>
    <mergeCell ref="X1:Y1"/>
    <mergeCell ref="Z1:AA1"/>
    <mergeCell ref="T1:U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EC80F-68BC-41C5-981C-2B566112A171}">
  <sheetPr codeName="Sheet16"/>
  <dimension ref="A1:G51"/>
  <sheetViews>
    <sheetView showGridLines="0" zoomScale="120" zoomScaleNormal="120" workbookViewId="0"/>
  </sheetViews>
  <sheetFormatPr defaultColWidth="9" defaultRowHeight="18.75" x14ac:dyDescent="0.4"/>
  <cols>
    <col min="1" max="1" width="3.5" style="33" bestFit="1" customWidth="1"/>
    <col min="2" max="2" width="11" style="34" bestFit="1" customWidth="1"/>
    <col min="3" max="4" width="9" style="19" customWidth="1"/>
    <col min="5" max="5" width="3.5" style="19" customWidth="1"/>
    <col min="6" max="6" width="13" style="19" customWidth="1"/>
    <col min="7" max="16384" width="9" style="19"/>
  </cols>
  <sheetData>
    <row r="1" spans="1:7" x14ac:dyDescent="0.4">
      <c r="A1" s="66" t="s">
        <v>201</v>
      </c>
      <c r="B1" s="71" t="s">
        <v>122</v>
      </c>
      <c r="C1" s="70" t="s">
        <v>123</v>
      </c>
      <c r="D1" s="71" t="s">
        <v>124</v>
      </c>
      <c r="F1" s="56" t="s">
        <v>129</v>
      </c>
      <c r="G1" s="72">
        <v>645</v>
      </c>
    </row>
    <row r="2" spans="1:7" x14ac:dyDescent="0.4">
      <c r="A2" s="67" t="s">
        <v>73</v>
      </c>
      <c r="B2" s="63" t="s">
        <v>27</v>
      </c>
      <c r="C2" s="49">
        <v>586</v>
      </c>
      <c r="D2" s="24">
        <f>IF(G$1=0,0,C2/G$1)</f>
        <v>0.90852713178294575</v>
      </c>
    </row>
    <row r="3" spans="1:7" x14ac:dyDescent="0.4">
      <c r="A3" s="68" t="s">
        <v>71</v>
      </c>
      <c r="B3" s="64" t="s">
        <v>25</v>
      </c>
      <c r="C3" s="50">
        <v>475</v>
      </c>
      <c r="D3" s="27">
        <f>IF(G$1=0,0,C3/G$1)</f>
        <v>0.73643410852713176</v>
      </c>
    </row>
    <row r="4" spans="1:7" x14ac:dyDescent="0.4">
      <c r="A4" s="68" t="s">
        <v>78</v>
      </c>
      <c r="B4" s="64" t="s">
        <v>31</v>
      </c>
      <c r="C4" s="50">
        <v>387</v>
      </c>
      <c r="D4" s="27">
        <f>IF(G$1=0,0,C4/G$1)</f>
        <v>0.6</v>
      </c>
    </row>
    <row r="5" spans="1:7" x14ac:dyDescent="0.4">
      <c r="A5" s="68" t="s">
        <v>208</v>
      </c>
      <c r="B5" s="64" t="s">
        <v>23</v>
      </c>
      <c r="C5" s="50">
        <v>346</v>
      </c>
      <c r="D5" s="27">
        <f>IF(G$1=0,0,C5/G$1)</f>
        <v>0.5364341085271318</v>
      </c>
    </row>
    <row r="6" spans="1:7" x14ac:dyDescent="0.4">
      <c r="A6" s="68" t="s">
        <v>72</v>
      </c>
      <c r="B6" s="64" t="s">
        <v>26</v>
      </c>
      <c r="C6" s="50">
        <v>185</v>
      </c>
      <c r="D6" s="27">
        <f>IF(G$1=0,0,C6/G$1)</f>
        <v>0.2868217054263566</v>
      </c>
    </row>
    <row r="7" spans="1:7" x14ac:dyDescent="0.4">
      <c r="A7" s="68" t="s">
        <v>74</v>
      </c>
      <c r="B7" s="64" t="s">
        <v>204</v>
      </c>
      <c r="C7" s="50">
        <v>182</v>
      </c>
      <c r="D7" s="27">
        <f>IF(G$1=0,0,C7/G$1)</f>
        <v>0.28217054263565894</v>
      </c>
    </row>
    <row r="8" spans="1:7" x14ac:dyDescent="0.4">
      <c r="A8" s="68" t="s">
        <v>75</v>
      </c>
      <c r="B8" s="64" t="s">
        <v>28</v>
      </c>
      <c r="C8" s="50">
        <v>97</v>
      </c>
      <c r="D8" s="27">
        <f>IF(G$1=0,0,C8/G$1)</f>
        <v>0.15038759689922482</v>
      </c>
    </row>
    <row r="9" spans="1:7" x14ac:dyDescent="0.4">
      <c r="A9" s="68" t="s">
        <v>96</v>
      </c>
      <c r="B9" s="64" t="s">
        <v>49</v>
      </c>
      <c r="C9" s="50">
        <v>91</v>
      </c>
      <c r="D9" s="27">
        <f>IF(G$1=0,0,C9/G$1)</f>
        <v>0.14108527131782947</v>
      </c>
    </row>
    <row r="10" spans="1:7" x14ac:dyDescent="0.4">
      <c r="A10" s="68" t="s">
        <v>209</v>
      </c>
      <c r="B10" s="64" t="s">
        <v>24</v>
      </c>
      <c r="C10" s="50">
        <v>71</v>
      </c>
      <c r="D10" s="27">
        <f>IF(G$1=0,0,C10/G$1)</f>
        <v>0.11007751937984496</v>
      </c>
    </row>
    <row r="11" spans="1:7" x14ac:dyDescent="0.4">
      <c r="A11" s="68" t="s">
        <v>76</v>
      </c>
      <c r="B11" s="64" t="s">
        <v>29</v>
      </c>
      <c r="C11" s="50">
        <v>68</v>
      </c>
      <c r="D11" s="27">
        <f>IF(G$1=0,0,C11/G$1)</f>
        <v>0.10542635658914729</v>
      </c>
    </row>
    <row r="12" spans="1:7" x14ac:dyDescent="0.4">
      <c r="A12" s="68" t="s">
        <v>93</v>
      </c>
      <c r="B12" s="64" t="s">
        <v>46</v>
      </c>
      <c r="C12" s="50">
        <v>49</v>
      </c>
      <c r="D12" s="27">
        <f>IF(G$1=0,0,C12/G$1)</f>
        <v>7.5968992248062014E-2</v>
      </c>
    </row>
    <row r="13" spans="1:7" x14ac:dyDescent="0.4">
      <c r="A13" s="68" t="s">
        <v>90</v>
      </c>
      <c r="B13" s="64" t="s">
        <v>43</v>
      </c>
      <c r="C13" s="50">
        <v>31</v>
      </c>
      <c r="D13" s="27">
        <f>IF(G$1=0,0,C13/G$1)</f>
        <v>4.8062015503875968E-2</v>
      </c>
    </row>
    <row r="14" spans="1:7" x14ac:dyDescent="0.4">
      <c r="A14" s="68" t="s">
        <v>77</v>
      </c>
      <c r="B14" s="64" t="s">
        <v>30</v>
      </c>
      <c r="C14" s="50">
        <v>30</v>
      </c>
      <c r="D14" s="27">
        <f>IF(G$1=0,0,C14/G$1)</f>
        <v>4.6511627906976744E-2</v>
      </c>
    </row>
    <row r="15" spans="1:7" x14ac:dyDescent="0.4">
      <c r="A15" s="68" t="s">
        <v>84</v>
      </c>
      <c r="B15" s="64" t="s">
        <v>37</v>
      </c>
      <c r="C15" s="50">
        <v>19</v>
      </c>
      <c r="D15" s="27">
        <f>IF(G$1=0,0,C15/G$1)</f>
        <v>2.9457364341085271E-2</v>
      </c>
    </row>
    <row r="16" spans="1:7" x14ac:dyDescent="0.4">
      <c r="A16" s="68" t="s">
        <v>88</v>
      </c>
      <c r="B16" s="64" t="s">
        <v>41</v>
      </c>
      <c r="C16" s="50">
        <v>17</v>
      </c>
      <c r="D16" s="27">
        <f>IF(G$1=0,0,C16/G$1)</f>
        <v>2.6356589147286821E-2</v>
      </c>
    </row>
    <row r="17" spans="1:4" x14ac:dyDescent="0.4">
      <c r="A17" s="68" t="s">
        <v>98</v>
      </c>
      <c r="B17" s="64" t="s">
        <v>51</v>
      </c>
      <c r="C17" s="50">
        <v>11</v>
      </c>
      <c r="D17" s="27">
        <f>IF(G$1=0,0,C17/G$1)</f>
        <v>1.7054263565891473E-2</v>
      </c>
    </row>
    <row r="18" spans="1:4" x14ac:dyDescent="0.4">
      <c r="A18" s="68" t="s">
        <v>85</v>
      </c>
      <c r="B18" s="64" t="s">
        <v>38</v>
      </c>
      <c r="C18" s="50">
        <v>10</v>
      </c>
      <c r="D18" s="27">
        <f>IF(G$1=0,0,C18/G$1)</f>
        <v>1.5503875968992248E-2</v>
      </c>
    </row>
    <row r="19" spans="1:4" x14ac:dyDescent="0.4">
      <c r="A19" s="68" t="s">
        <v>79</v>
      </c>
      <c r="B19" s="64" t="s">
        <v>32</v>
      </c>
      <c r="C19" s="50">
        <v>6</v>
      </c>
      <c r="D19" s="27">
        <f>IF(G$1=0,0,C19/G$1)</f>
        <v>9.3023255813953487E-3</v>
      </c>
    </row>
    <row r="20" spans="1:4" x14ac:dyDescent="0.4">
      <c r="A20" s="68" t="s">
        <v>83</v>
      </c>
      <c r="B20" s="64" t="s">
        <v>36</v>
      </c>
      <c r="C20" s="50">
        <v>5</v>
      </c>
      <c r="D20" s="27">
        <f>IF(G$1=0,0,C20/G$1)</f>
        <v>7.7519379844961239E-3</v>
      </c>
    </row>
    <row r="21" spans="1:4" x14ac:dyDescent="0.4">
      <c r="A21" s="68" t="s">
        <v>92</v>
      </c>
      <c r="B21" s="64" t="s">
        <v>45</v>
      </c>
      <c r="C21" s="50">
        <v>4</v>
      </c>
      <c r="D21" s="27">
        <f>IF(G$1=0,0,C21/G$1)</f>
        <v>6.2015503875968991E-3</v>
      </c>
    </row>
    <row r="22" spans="1:4" x14ac:dyDescent="0.4">
      <c r="A22" s="68" t="s">
        <v>81</v>
      </c>
      <c r="B22" s="64" t="s">
        <v>34</v>
      </c>
      <c r="C22" s="50">
        <v>4</v>
      </c>
      <c r="D22" s="27">
        <f>IF(G$1=0,0,C22/G$1)</f>
        <v>6.2015503875968991E-3</v>
      </c>
    </row>
    <row r="23" spans="1:4" x14ac:dyDescent="0.4">
      <c r="A23" s="68" t="s">
        <v>99</v>
      </c>
      <c r="B23" s="64" t="s">
        <v>52</v>
      </c>
      <c r="C23" s="50">
        <v>4</v>
      </c>
      <c r="D23" s="27">
        <f>IF(G$1=0,0,C23/G$1)</f>
        <v>6.2015503875968991E-3</v>
      </c>
    </row>
    <row r="24" spans="1:4" x14ac:dyDescent="0.4">
      <c r="A24" s="68" t="s">
        <v>91</v>
      </c>
      <c r="B24" s="64" t="s">
        <v>44</v>
      </c>
      <c r="C24" s="50">
        <v>3</v>
      </c>
      <c r="D24" s="27">
        <f>IF(G$1=0,0,C24/G$1)</f>
        <v>4.6511627906976744E-3</v>
      </c>
    </row>
    <row r="25" spans="1:4" x14ac:dyDescent="0.4">
      <c r="A25" s="68" t="s">
        <v>94</v>
      </c>
      <c r="B25" s="64" t="s">
        <v>47</v>
      </c>
      <c r="C25" s="50">
        <v>3</v>
      </c>
      <c r="D25" s="27">
        <f>IF(G$1=0,0,C25/G$1)</f>
        <v>4.6511627906976744E-3</v>
      </c>
    </row>
    <row r="26" spans="1:4" x14ac:dyDescent="0.4">
      <c r="A26" s="68" t="s">
        <v>87</v>
      </c>
      <c r="B26" s="64" t="s">
        <v>40</v>
      </c>
      <c r="C26" s="50">
        <v>1</v>
      </c>
      <c r="D26" s="27">
        <f>IF(G$1=0,0,C26/G$1)</f>
        <v>1.5503875968992248E-3</v>
      </c>
    </row>
    <row r="27" spans="1:4" x14ac:dyDescent="0.4">
      <c r="A27" s="68" t="s">
        <v>97</v>
      </c>
      <c r="B27" s="64" t="s">
        <v>50</v>
      </c>
      <c r="C27" s="50">
        <v>1</v>
      </c>
      <c r="D27" s="27">
        <f>IF(G$1=0,0,C27/G$1)</f>
        <v>1.5503875968992248E-3</v>
      </c>
    </row>
    <row r="28" spans="1:4" x14ac:dyDescent="0.4">
      <c r="A28" s="68" t="s">
        <v>80</v>
      </c>
      <c r="B28" s="64" t="s">
        <v>33</v>
      </c>
      <c r="C28" s="50">
        <v>1</v>
      </c>
      <c r="D28" s="27">
        <f>IF(G$1=0,0,C28/G$1)</f>
        <v>1.5503875968992248E-3</v>
      </c>
    </row>
    <row r="29" spans="1:4" x14ac:dyDescent="0.4">
      <c r="A29" s="68" t="s">
        <v>95</v>
      </c>
      <c r="B29" s="64" t="s">
        <v>48</v>
      </c>
      <c r="C29" s="50">
        <v>1</v>
      </c>
      <c r="D29" s="27">
        <f>IF(G$1=0,0,C29/G$1)</f>
        <v>1.5503875968992248E-3</v>
      </c>
    </row>
    <row r="30" spans="1:4" x14ac:dyDescent="0.4">
      <c r="A30" s="68" t="s">
        <v>100</v>
      </c>
      <c r="B30" s="64" t="s">
        <v>53</v>
      </c>
      <c r="C30" s="50">
        <v>1</v>
      </c>
      <c r="D30" s="27">
        <f>IF(G$1=0,0,C30/G$1)</f>
        <v>1.5503875968992248E-3</v>
      </c>
    </row>
    <row r="31" spans="1:4" x14ac:dyDescent="0.4">
      <c r="A31" s="68" t="s">
        <v>113</v>
      </c>
      <c r="B31" s="64" t="s">
        <v>206</v>
      </c>
      <c r="C31" s="50">
        <v>1</v>
      </c>
      <c r="D31" s="27">
        <f>IF(G$1=0,0,C31/G$1)</f>
        <v>1.5503875968992248E-3</v>
      </c>
    </row>
    <row r="32" spans="1:4" x14ac:dyDescent="0.4">
      <c r="A32" s="68" t="s">
        <v>82</v>
      </c>
      <c r="B32" s="64" t="s">
        <v>35</v>
      </c>
      <c r="C32" s="50">
        <v>0</v>
      </c>
      <c r="D32" s="27">
        <f>IF(G$1=0,0,C32/G$1)</f>
        <v>0</v>
      </c>
    </row>
    <row r="33" spans="1:4" x14ac:dyDescent="0.4">
      <c r="A33" s="68" t="s">
        <v>86</v>
      </c>
      <c r="B33" s="64" t="s">
        <v>39</v>
      </c>
      <c r="C33" s="50">
        <v>0</v>
      </c>
      <c r="D33" s="27">
        <f>IF(G$1=0,0,C33/G$1)</f>
        <v>0</v>
      </c>
    </row>
    <row r="34" spans="1:4" x14ac:dyDescent="0.4">
      <c r="A34" s="68" t="s">
        <v>89</v>
      </c>
      <c r="B34" s="64" t="s">
        <v>42</v>
      </c>
      <c r="C34" s="50">
        <v>0</v>
      </c>
      <c r="D34" s="27">
        <f>IF(G$1=0,0,C34/G$1)</f>
        <v>0</v>
      </c>
    </row>
    <row r="35" spans="1:4" x14ac:dyDescent="0.4">
      <c r="A35" s="68" t="s">
        <v>101</v>
      </c>
      <c r="B35" s="64" t="s">
        <v>54</v>
      </c>
      <c r="C35" s="50">
        <v>0</v>
      </c>
      <c r="D35" s="27">
        <f>IF(G$1=0,0,C35/G$1)</f>
        <v>0</v>
      </c>
    </row>
    <row r="36" spans="1:4" x14ac:dyDescent="0.4">
      <c r="A36" s="68" t="s">
        <v>102</v>
      </c>
      <c r="B36" s="64" t="s">
        <v>55</v>
      </c>
      <c r="C36" s="50">
        <v>0</v>
      </c>
      <c r="D36" s="27">
        <f>IF(G$1=0,0,C36/G$1)</f>
        <v>0</v>
      </c>
    </row>
    <row r="37" spans="1:4" x14ac:dyDescent="0.4">
      <c r="A37" s="68" t="s">
        <v>103</v>
      </c>
      <c r="B37" s="64" t="s">
        <v>56</v>
      </c>
      <c r="C37" s="50">
        <v>0</v>
      </c>
      <c r="D37" s="27">
        <f>IF(G$1=0,0,C37/G$1)</f>
        <v>0</v>
      </c>
    </row>
    <row r="38" spans="1:4" x14ac:dyDescent="0.4">
      <c r="A38" s="68" t="s">
        <v>104</v>
      </c>
      <c r="B38" s="64" t="s">
        <v>57</v>
      </c>
      <c r="C38" s="50">
        <v>0</v>
      </c>
      <c r="D38" s="27">
        <f>IF(G$1=0,0,C38/G$1)</f>
        <v>0</v>
      </c>
    </row>
    <row r="39" spans="1:4" x14ac:dyDescent="0.4">
      <c r="A39" s="68" t="s">
        <v>105</v>
      </c>
      <c r="B39" s="64" t="s">
        <v>58</v>
      </c>
      <c r="C39" s="50">
        <v>0</v>
      </c>
      <c r="D39" s="27">
        <f>IF(G$1=0,0,C39/G$1)</f>
        <v>0</v>
      </c>
    </row>
    <row r="40" spans="1:4" x14ac:dyDescent="0.4">
      <c r="A40" s="68" t="s">
        <v>106</v>
      </c>
      <c r="B40" s="64" t="s">
        <v>59</v>
      </c>
      <c r="C40" s="50">
        <v>0</v>
      </c>
      <c r="D40" s="27">
        <f>IF(G$1=0,0,C40/G$1)</f>
        <v>0</v>
      </c>
    </row>
    <row r="41" spans="1:4" x14ac:dyDescent="0.4">
      <c r="A41" s="68" t="s">
        <v>107</v>
      </c>
      <c r="B41" s="64" t="s">
        <v>60</v>
      </c>
      <c r="C41" s="50">
        <v>0</v>
      </c>
      <c r="D41" s="27">
        <f>IF(G$1=0,0,C41/G$1)</f>
        <v>0</v>
      </c>
    </row>
    <row r="42" spans="1:4" x14ac:dyDescent="0.4">
      <c r="A42" s="68" t="s">
        <v>108</v>
      </c>
      <c r="B42" s="64" t="s">
        <v>61</v>
      </c>
      <c r="C42" s="50">
        <v>0</v>
      </c>
      <c r="D42" s="27">
        <f>IF(G$1=0,0,C42/G$1)</f>
        <v>0</v>
      </c>
    </row>
    <row r="43" spans="1:4" x14ac:dyDescent="0.4">
      <c r="A43" s="68" t="s">
        <v>109</v>
      </c>
      <c r="B43" s="64" t="s">
        <v>62</v>
      </c>
      <c r="C43" s="50">
        <v>0</v>
      </c>
      <c r="D43" s="27">
        <f>IF(G$1=0,0,C43/G$1)</f>
        <v>0</v>
      </c>
    </row>
    <row r="44" spans="1:4" x14ac:dyDescent="0.4">
      <c r="A44" s="68" t="s">
        <v>110</v>
      </c>
      <c r="B44" s="64" t="s">
        <v>63</v>
      </c>
      <c r="C44" s="50">
        <v>0</v>
      </c>
      <c r="D44" s="27">
        <f>IF(G$1=0,0,C44/G$1)</f>
        <v>0</v>
      </c>
    </row>
    <row r="45" spans="1:4" x14ac:dyDescent="0.4">
      <c r="A45" s="68" t="s">
        <v>111</v>
      </c>
      <c r="B45" s="64" t="s">
        <v>64</v>
      </c>
      <c r="C45" s="50">
        <v>0</v>
      </c>
      <c r="D45" s="27">
        <f>IF(G$1=0,0,C45/G$1)</f>
        <v>0</v>
      </c>
    </row>
    <row r="46" spans="1:4" x14ac:dyDescent="0.4">
      <c r="A46" s="68" t="s">
        <v>112</v>
      </c>
      <c r="B46" s="64" t="s">
        <v>205</v>
      </c>
      <c r="C46" s="50">
        <v>0</v>
      </c>
      <c r="D46" s="27">
        <f>IF(G$1=0,0,C46/G$1)</f>
        <v>0</v>
      </c>
    </row>
    <row r="47" spans="1:4" x14ac:dyDescent="0.4">
      <c r="A47" s="68" t="s">
        <v>114</v>
      </c>
      <c r="B47" s="64" t="s">
        <v>207</v>
      </c>
      <c r="C47" s="50">
        <v>0</v>
      </c>
      <c r="D47" s="27">
        <f>IF(G$1=0,0,C47/G$1)</f>
        <v>0</v>
      </c>
    </row>
    <row r="48" spans="1:4" x14ac:dyDescent="0.4">
      <c r="A48" s="68" t="s">
        <v>115</v>
      </c>
      <c r="B48" s="64" t="s">
        <v>65</v>
      </c>
      <c r="C48" s="50">
        <v>0</v>
      </c>
      <c r="D48" s="27">
        <f>IF(G$1=0,0,C48/G$1)</f>
        <v>0</v>
      </c>
    </row>
    <row r="49" spans="1:4" x14ac:dyDescent="0.4">
      <c r="A49" s="68" t="s">
        <v>116</v>
      </c>
      <c r="B49" s="64" t="s">
        <v>66</v>
      </c>
      <c r="C49" s="50">
        <v>0</v>
      </c>
      <c r="D49" s="27">
        <f>IF(G$1=0,0,C49/G$1)</f>
        <v>0</v>
      </c>
    </row>
    <row r="50" spans="1:4" x14ac:dyDescent="0.4">
      <c r="A50" s="68" t="s">
        <v>117</v>
      </c>
      <c r="B50" s="64" t="s">
        <v>67</v>
      </c>
      <c r="C50" s="50">
        <v>0</v>
      </c>
      <c r="D50" s="27">
        <f>IF(G$1=0,0,C50/G$1)</f>
        <v>0</v>
      </c>
    </row>
    <row r="51" spans="1:4" x14ac:dyDescent="0.4">
      <c r="A51" s="69" t="s">
        <v>118</v>
      </c>
      <c r="B51" s="65" t="s">
        <v>68</v>
      </c>
      <c r="C51" s="52">
        <v>0</v>
      </c>
      <c r="D51" s="32">
        <f>IF(G$1=0,0,C51/G$1)</f>
        <v>0</v>
      </c>
    </row>
  </sheetData>
  <sortState ref="A2:D51">
    <sortCondition descending="1" ref="D1"/>
  </sortState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FA75D-C1A3-4FDC-8D61-C322E2701927}">
  <sheetPr codeName="Sheet4"/>
  <dimension ref="A1:P14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178</v>
      </c>
      <c r="C1" s="93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86">
        <v>139</v>
      </c>
      <c r="C2" s="87"/>
      <c r="E2" s="67" t="s">
        <v>73</v>
      </c>
      <c r="F2" s="63" t="s">
        <v>27</v>
      </c>
      <c r="G2" s="49">
        <v>195</v>
      </c>
      <c r="H2" s="24">
        <f>IF(B$25=0,0,G2/B$25)</f>
        <v>0.94660194174757284</v>
      </c>
      <c r="J2" s="23">
        <v>0</v>
      </c>
      <c r="K2" s="25">
        <v>0</v>
      </c>
      <c r="M2" s="23" t="s">
        <v>189</v>
      </c>
      <c r="N2" s="44">
        <f t="shared" ref="N2:N7" si="0">IF(P2=0,0,O2/P2)</f>
        <v>1220</v>
      </c>
      <c r="O2" s="41">
        <v>164700</v>
      </c>
      <c r="P2" s="39">
        <v>135</v>
      </c>
    </row>
    <row r="3" spans="1:16" x14ac:dyDescent="0.4">
      <c r="A3" s="58" t="s">
        <v>8</v>
      </c>
      <c r="B3" s="94">
        <v>1019</v>
      </c>
      <c r="C3" s="95"/>
      <c r="E3" s="68" t="s">
        <v>71</v>
      </c>
      <c r="F3" s="64" t="s">
        <v>25</v>
      </c>
      <c r="G3" s="50">
        <v>135</v>
      </c>
      <c r="H3" s="27">
        <f>IF(B$25=0,0,G3/B$25)</f>
        <v>0.65533980582524276</v>
      </c>
      <c r="J3" s="26">
        <v>1</v>
      </c>
      <c r="K3" s="28">
        <v>15</v>
      </c>
      <c r="M3" s="26" t="s">
        <v>190</v>
      </c>
      <c r="N3" s="45">
        <f t="shared" si="0"/>
        <v>1627.1317829457364</v>
      </c>
      <c r="O3" s="42">
        <v>209900</v>
      </c>
      <c r="P3" s="37">
        <v>129</v>
      </c>
    </row>
    <row r="4" spans="1:16" x14ac:dyDescent="0.4">
      <c r="A4" s="58" t="s">
        <v>6</v>
      </c>
      <c r="B4" s="96">
        <v>831.90000000000032</v>
      </c>
      <c r="C4" s="97"/>
      <c r="E4" s="68" t="s">
        <v>78</v>
      </c>
      <c r="F4" s="64" t="s">
        <v>31</v>
      </c>
      <c r="G4" s="50">
        <v>109</v>
      </c>
      <c r="H4" s="27">
        <f>IF(B$25=0,0,G4/B$25)</f>
        <v>0.529126213592233</v>
      </c>
      <c r="J4" s="26">
        <v>2</v>
      </c>
      <c r="K4" s="28">
        <v>14</v>
      </c>
      <c r="M4" s="26" t="s">
        <v>191</v>
      </c>
      <c r="N4" s="45">
        <f t="shared" si="0"/>
        <v>1014.2857142857143</v>
      </c>
      <c r="O4" s="42">
        <v>120700</v>
      </c>
      <c r="P4" s="37">
        <v>119</v>
      </c>
    </row>
    <row r="5" spans="1:16" x14ac:dyDescent="0.4">
      <c r="A5" s="58" t="s">
        <v>7</v>
      </c>
      <c r="B5" s="96">
        <f>IF(B$2=0,0,B$4/B$2)</f>
        <v>5.9848920863309374</v>
      </c>
      <c r="C5" s="97"/>
      <c r="E5" s="68" t="s">
        <v>69</v>
      </c>
      <c r="F5" s="64" t="s">
        <v>23</v>
      </c>
      <c r="G5" s="50">
        <v>106</v>
      </c>
      <c r="H5" s="27">
        <f>IF(B$25=0,0,G5/B$25)</f>
        <v>0.5145631067961165</v>
      </c>
      <c r="J5" s="26">
        <v>3</v>
      </c>
      <c r="K5" s="28">
        <v>29.1</v>
      </c>
      <c r="M5" s="26" t="s">
        <v>192</v>
      </c>
      <c r="N5" s="45">
        <f t="shared" si="0"/>
        <v>2309.433962264151</v>
      </c>
      <c r="O5" s="42">
        <v>244800</v>
      </c>
      <c r="P5" s="37">
        <v>106</v>
      </c>
    </row>
    <row r="6" spans="1:16" x14ac:dyDescent="0.4">
      <c r="A6" s="58" t="s">
        <v>1</v>
      </c>
      <c r="B6" s="98">
        <f>IF(B$2=0,0,(B$7*1+B$8*2+B$9*3)/B$2)</f>
        <v>1.8201438848920863</v>
      </c>
      <c r="C6" s="99"/>
      <c r="E6" s="68" t="s">
        <v>74</v>
      </c>
      <c r="F6" s="64" t="s">
        <v>12</v>
      </c>
      <c r="G6" s="50">
        <v>56</v>
      </c>
      <c r="H6" s="27">
        <f>IF(B$25=0,0,G6/B$25)</f>
        <v>0.27184466019417475</v>
      </c>
      <c r="J6" s="26">
        <v>4</v>
      </c>
      <c r="K6" s="28">
        <v>114.30000000000001</v>
      </c>
      <c r="M6" s="26" t="s">
        <v>193</v>
      </c>
      <c r="N6" s="45">
        <f t="shared" si="0"/>
        <v>547.12643678160919</v>
      </c>
      <c r="O6" s="42">
        <v>47600</v>
      </c>
      <c r="P6" s="37">
        <v>87</v>
      </c>
    </row>
    <row r="7" spans="1:16" x14ac:dyDescent="0.4">
      <c r="A7" s="58" t="s">
        <v>2</v>
      </c>
      <c r="B7" s="50">
        <v>58</v>
      </c>
      <c r="C7" s="27">
        <f>IF(B$2=0,0,B7/B$2)</f>
        <v>0.41726618705035973</v>
      </c>
      <c r="E7" s="68" t="s">
        <v>72</v>
      </c>
      <c r="F7" s="64" t="s">
        <v>26</v>
      </c>
      <c r="G7" s="50">
        <v>54</v>
      </c>
      <c r="H7" s="27">
        <f>IF(B$25=0,0,G7/B$25)</f>
        <v>0.26213592233009708</v>
      </c>
      <c r="J7" s="26">
        <v>5</v>
      </c>
      <c r="K7" s="28">
        <v>145.80000000000001</v>
      </c>
      <c r="M7" s="31" t="s">
        <v>194</v>
      </c>
      <c r="N7" s="46">
        <f t="shared" si="0"/>
        <v>128.125</v>
      </c>
      <c r="O7" s="43">
        <v>8200</v>
      </c>
      <c r="P7" s="38">
        <v>64</v>
      </c>
    </row>
    <row r="8" spans="1:16" x14ac:dyDescent="0.4">
      <c r="A8" s="58" t="s">
        <v>3</v>
      </c>
      <c r="B8" s="50">
        <v>48</v>
      </c>
      <c r="C8" s="27">
        <f t="shared" ref="C8:C9" si="1">IF(B$2=0,0,B8/B$2)</f>
        <v>0.34532374100719426</v>
      </c>
      <c r="E8" s="68" t="s">
        <v>75</v>
      </c>
      <c r="F8" s="64" t="s">
        <v>28</v>
      </c>
      <c r="G8" s="50">
        <v>33</v>
      </c>
      <c r="H8" s="27">
        <f>IF(B$25=0,0,G8/B$25)</f>
        <v>0.16019417475728157</v>
      </c>
      <c r="J8" s="26">
        <v>6</v>
      </c>
      <c r="K8" s="28">
        <v>97.800000000000011</v>
      </c>
    </row>
    <row r="9" spans="1:16" x14ac:dyDescent="0.4">
      <c r="A9" s="59" t="s">
        <v>4</v>
      </c>
      <c r="B9" s="51">
        <v>33</v>
      </c>
      <c r="C9" s="29">
        <f t="shared" si="1"/>
        <v>0.23741007194244604</v>
      </c>
      <c r="E9" s="68" t="s">
        <v>96</v>
      </c>
      <c r="F9" s="64" t="s">
        <v>49</v>
      </c>
      <c r="G9" s="50">
        <v>32</v>
      </c>
      <c r="H9" s="27">
        <f>IF(B$25=0,0,G9/B$25)</f>
        <v>0.1553398058252427</v>
      </c>
      <c r="J9" s="26">
        <v>7</v>
      </c>
      <c r="K9" s="28">
        <v>91.700000000000017</v>
      </c>
    </row>
    <row r="10" spans="1:16" x14ac:dyDescent="0.4">
      <c r="A10" s="59" t="s">
        <v>21</v>
      </c>
      <c r="B10" s="51">
        <v>17</v>
      </c>
      <c r="C10" s="29">
        <f>IF(B$2=0,0,B10/B$2)</f>
        <v>0.1223021582733813</v>
      </c>
      <c r="E10" s="68" t="s">
        <v>76</v>
      </c>
      <c r="F10" s="64" t="s">
        <v>29</v>
      </c>
      <c r="G10" s="50">
        <v>19</v>
      </c>
      <c r="H10" s="27">
        <f>IF(B$25=0,0,G10/B$25)</f>
        <v>9.2233009708737865E-2</v>
      </c>
      <c r="J10" s="26">
        <v>8</v>
      </c>
      <c r="K10" s="28">
        <v>55.700000000000017</v>
      </c>
    </row>
    <row r="11" spans="1:16" x14ac:dyDescent="0.4">
      <c r="A11" s="60" t="s">
        <v>199</v>
      </c>
      <c r="B11" s="52">
        <v>32</v>
      </c>
      <c r="C11" s="32">
        <f>IF(B$2=0,0,B11/B$2)</f>
        <v>0.23021582733812951</v>
      </c>
      <c r="E11" s="68" t="s">
        <v>70</v>
      </c>
      <c r="F11" s="64" t="s">
        <v>24</v>
      </c>
      <c r="G11" s="50">
        <v>18</v>
      </c>
      <c r="H11" s="27">
        <f>IF(B$25=0,0,G11/B$25)</f>
        <v>8.7378640776699032E-2</v>
      </c>
      <c r="J11" s="26">
        <v>9</v>
      </c>
      <c r="K11" s="28">
        <v>14.700000000000017</v>
      </c>
    </row>
    <row r="12" spans="1:16" x14ac:dyDescent="0.4">
      <c r="A12" s="61" t="s">
        <v>130</v>
      </c>
      <c r="B12" s="53">
        <v>163</v>
      </c>
      <c r="C12" s="35">
        <f>IF(B$24=0,0,B12/B$24)</f>
        <v>0.29316546762589929</v>
      </c>
      <c r="E12" s="68" t="s">
        <v>77</v>
      </c>
      <c r="F12" s="64" t="s">
        <v>30</v>
      </c>
      <c r="G12" s="50">
        <v>14</v>
      </c>
      <c r="H12" s="27">
        <f>IF(B$25=0,0,G12/B$25)</f>
        <v>6.7961165048543687E-2</v>
      </c>
      <c r="J12" s="26">
        <v>10</v>
      </c>
      <c r="K12" s="28">
        <v>-16.799999999999983</v>
      </c>
    </row>
    <row r="13" spans="1:16" x14ac:dyDescent="0.4">
      <c r="A13" s="58" t="s">
        <v>125</v>
      </c>
      <c r="B13" s="50">
        <v>121</v>
      </c>
      <c r="C13" s="27">
        <f>IF(B$24=0,0,B13/B$24)</f>
        <v>0.21762589928057555</v>
      </c>
      <c r="E13" s="68" t="s">
        <v>93</v>
      </c>
      <c r="F13" s="64" t="s">
        <v>46</v>
      </c>
      <c r="G13" s="50">
        <v>12</v>
      </c>
      <c r="H13" s="27">
        <f>IF(B$25=0,0,G13/B$25)</f>
        <v>5.8252427184466021E-2</v>
      </c>
      <c r="J13" s="26">
        <v>11</v>
      </c>
      <c r="K13" s="28">
        <v>1.5000000000000178</v>
      </c>
    </row>
    <row r="14" spans="1:16" x14ac:dyDescent="0.4">
      <c r="A14" s="57" t="s">
        <v>132</v>
      </c>
      <c r="B14" s="49">
        <v>109</v>
      </c>
      <c r="C14" s="24">
        <f>IF(B$12=0,0,B14/B$12)</f>
        <v>0.66871165644171782</v>
      </c>
      <c r="E14" s="68" t="s">
        <v>90</v>
      </c>
      <c r="F14" s="64" t="s">
        <v>43</v>
      </c>
      <c r="G14" s="50">
        <v>7</v>
      </c>
      <c r="H14" s="27">
        <f>IF(B$25=0,0,G14/B$25)</f>
        <v>3.3980582524271843E-2</v>
      </c>
      <c r="J14" s="26">
        <v>12</v>
      </c>
      <c r="K14" s="28">
        <v>14.300000000000018</v>
      </c>
    </row>
    <row r="15" spans="1:16" x14ac:dyDescent="0.4">
      <c r="A15" s="57" t="s">
        <v>133</v>
      </c>
      <c r="B15" s="49">
        <v>59</v>
      </c>
      <c r="C15" s="24">
        <f>IF(B$13=0,0,B15/B$13)</f>
        <v>0.48760330578512395</v>
      </c>
      <c r="E15" s="68" t="s">
        <v>88</v>
      </c>
      <c r="F15" s="64" t="s">
        <v>41</v>
      </c>
      <c r="G15" s="50">
        <v>4</v>
      </c>
      <c r="H15" s="27">
        <f>IF(B$25=0,0,G15/B$25)</f>
        <v>1.9417475728155338E-2</v>
      </c>
      <c r="J15" s="26">
        <v>13</v>
      </c>
      <c r="K15" s="28">
        <v>71.300000000000011</v>
      </c>
    </row>
    <row r="16" spans="1:16" x14ac:dyDescent="0.4">
      <c r="A16" s="57" t="s">
        <v>10</v>
      </c>
      <c r="B16" s="49">
        <f>B18+B17</f>
        <v>365</v>
      </c>
      <c r="C16" s="24">
        <f>IF(B$3=0,0,B16/B$3)</f>
        <v>0.35819430814524045</v>
      </c>
      <c r="E16" s="68" t="s">
        <v>79</v>
      </c>
      <c r="F16" s="64" t="s">
        <v>32</v>
      </c>
      <c r="G16" s="50">
        <v>3</v>
      </c>
      <c r="H16" s="27">
        <f>IF(B$25=0,0,G16/B$25)</f>
        <v>1.4563106796116505E-2</v>
      </c>
      <c r="J16" s="26">
        <v>14</v>
      </c>
      <c r="K16" s="28">
        <v>27.300000000000011</v>
      </c>
    </row>
    <row r="17" spans="1:11" x14ac:dyDescent="0.4">
      <c r="A17" s="58" t="s">
        <v>12</v>
      </c>
      <c r="B17" s="50">
        <v>134</v>
      </c>
      <c r="C17" s="27">
        <f>IF(B$16=0,0,B17/B$16)</f>
        <v>0.36712328767123287</v>
      </c>
      <c r="E17" s="68" t="s">
        <v>83</v>
      </c>
      <c r="F17" s="64" t="s">
        <v>36</v>
      </c>
      <c r="G17" s="50">
        <v>3</v>
      </c>
      <c r="H17" s="27">
        <f>IF(B$25=0,0,G17/B$25)</f>
        <v>1.4563106796116505E-2</v>
      </c>
      <c r="J17" s="26">
        <v>15</v>
      </c>
      <c r="K17" s="28">
        <v>-9.6999999999999886</v>
      </c>
    </row>
    <row r="18" spans="1:11" x14ac:dyDescent="0.4">
      <c r="A18" s="58" t="s">
        <v>11</v>
      </c>
      <c r="B18" s="50">
        <v>231</v>
      </c>
      <c r="C18" s="27">
        <f>IF(B$16=0,0,B18/B$16)</f>
        <v>0.63287671232876708</v>
      </c>
      <c r="E18" s="68" t="s">
        <v>81</v>
      </c>
      <c r="F18" s="64" t="s">
        <v>34</v>
      </c>
      <c r="G18" s="50">
        <v>2</v>
      </c>
      <c r="H18" s="27">
        <f>IF(B$25=0,0,G18/B$25)</f>
        <v>9.7087378640776691E-3</v>
      </c>
      <c r="J18" s="26">
        <v>16</v>
      </c>
      <c r="K18" s="28">
        <v>-8.099999999999989</v>
      </c>
    </row>
    <row r="19" spans="1:11" x14ac:dyDescent="0.4">
      <c r="A19" s="58" t="s">
        <v>13</v>
      </c>
      <c r="B19" s="50">
        <v>153</v>
      </c>
      <c r="C19" s="27">
        <f>IF(B$3=0,0,B19/B$3)</f>
        <v>0.15014720314033367</v>
      </c>
      <c r="E19" s="68" t="s">
        <v>98</v>
      </c>
      <c r="F19" s="64" t="s">
        <v>51</v>
      </c>
      <c r="G19" s="50">
        <v>2</v>
      </c>
      <c r="H19" s="27">
        <f>IF(B$25=0,0,G19/B$25)</f>
        <v>9.7087378640776691E-3</v>
      </c>
      <c r="J19" s="26">
        <v>17</v>
      </c>
      <c r="K19" s="28">
        <v>-29.499999999999986</v>
      </c>
    </row>
    <row r="20" spans="1:11" x14ac:dyDescent="0.4">
      <c r="A20" s="58" t="s">
        <v>5</v>
      </c>
      <c r="B20" s="54">
        <f>IF(B$16=0,0,C20/B$16)</f>
        <v>9913.9726027397264</v>
      </c>
      <c r="C20" s="30">
        <v>3618600</v>
      </c>
      <c r="E20" s="68" t="s">
        <v>99</v>
      </c>
      <c r="F20" s="64" t="s">
        <v>52</v>
      </c>
      <c r="G20" s="50">
        <v>2</v>
      </c>
      <c r="H20" s="27">
        <f>IF(B$25=0,0,G20/B$25)</f>
        <v>9.7087378640776691E-3</v>
      </c>
      <c r="J20" s="26">
        <v>18</v>
      </c>
      <c r="K20" s="28">
        <v>-14.599999999999985</v>
      </c>
    </row>
    <row r="21" spans="1:11" x14ac:dyDescent="0.4">
      <c r="A21" s="60" t="s">
        <v>14</v>
      </c>
      <c r="B21" s="55">
        <f>IF(B$19=0,0,C21/B$19)</f>
        <v>-9554.9019607843129</v>
      </c>
      <c r="C21" s="48">
        <v>-1461900</v>
      </c>
      <c r="E21" s="68" t="s">
        <v>94</v>
      </c>
      <c r="F21" s="64" t="s">
        <v>47</v>
      </c>
      <c r="G21" s="50">
        <v>2</v>
      </c>
      <c r="H21" s="27">
        <f>IF(B$25=0,0,G21/B$25)</f>
        <v>9.7087378640776691E-3</v>
      </c>
      <c r="J21" s="26">
        <v>19</v>
      </c>
      <c r="K21" s="28">
        <v>42.600000000000016</v>
      </c>
    </row>
    <row r="22" spans="1:11" x14ac:dyDescent="0.4">
      <c r="A22" s="57" t="s">
        <v>186</v>
      </c>
      <c r="B22" s="49">
        <v>362</v>
      </c>
      <c r="C22" s="24">
        <f>IF(B$3=0,0,B22/B$3)</f>
        <v>0.35525024533856725</v>
      </c>
      <c r="E22" s="68" t="s">
        <v>84</v>
      </c>
      <c r="F22" s="64" t="s">
        <v>37</v>
      </c>
      <c r="G22" s="50">
        <v>1</v>
      </c>
      <c r="H22" s="27">
        <f>IF(B$25=0,0,G22/B$25)</f>
        <v>4.8543689320388345E-3</v>
      </c>
      <c r="J22" s="26">
        <v>20</v>
      </c>
      <c r="K22" s="28">
        <v>68.800000000000011</v>
      </c>
    </row>
    <row r="23" spans="1:11" x14ac:dyDescent="0.4">
      <c r="A23" s="60" t="s">
        <v>187</v>
      </c>
      <c r="B23" s="52">
        <v>152</v>
      </c>
      <c r="C23" s="32">
        <f>IF(B$22=0,0,B23/B$22)</f>
        <v>0.41988950276243092</v>
      </c>
      <c r="E23" s="68" t="s">
        <v>85</v>
      </c>
      <c r="F23" s="64" t="s">
        <v>38</v>
      </c>
      <c r="G23" s="50">
        <v>1</v>
      </c>
      <c r="H23" s="27">
        <f>IF(B$25=0,0,G23/B$25)</f>
        <v>4.8543689320388345E-3</v>
      </c>
      <c r="J23" s="26">
        <v>21</v>
      </c>
      <c r="K23" s="28">
        <v>125.30000000000001</v>
      </c>
    </row>
    <row r="24" spans="1:11" x14ac:dyDescent="0.4">
      <c r="A24" s="57" t="s">
        <v>128</v>
      </c>
      <c r="B24" s="86">
        <v>556</v>
      </c>
      <c r="C24" s="87"/>
      <c r="E24" s="68" t="s">
        <v>92</v>
      </c>
      <c r="F24" s="64" t="s">
        <v>45</v>
      </c>
      <c r="G24" s="50">
        <v>1</v>
      </c>
      <c r="H24" s="27">
        <f>IF(B$25=0,0,G24/B$25)</f>
        <v>4.8543689320388345E-3</v>
      </c>
      <c r="J24" s="26">
        <v>22</v>
      </c>
      <c r="K24" s="28">
        <v>99.800000000000011</v>
      </c>
    </row>
    <row r="25" spans="1:11" x14ac:dyDescent="0.4">
      <c r="A25" s="60" t="s">
        <v>129</v>
      </c>
      <c r="B25" s="88">
        <v>206</v>
      </c>
      <c r="C25" s="89"/>
      <c r="E25" s="68" t="s">
        <v>97</v>
      </c>
      <c r="F25" s="64" t="s">
        <v>50</v>
      </c>
      <c r="G25" s="50">
        <v>1</v>
      </c>
      <c r="H25" s="27">
        <f>IF(B$25=0,0,G25/B$25)</f>
        <v>4.8543689320388345E-3</v>
      </c>
      <c r="J25" s="26">
        <v>23</v>
      </c>
      <c r="K25" s="28">
        <v>124.50000000000001</v>
      </c>
    </row>
    <row r="26" spans="1:11" x14ac:dyDescent="0.4">
      <c r="A26" s="78" t="s">
        <v>210</v>
      </c>
      <c r="B26" s="90">
        <v>10</v>
      </c>
      <c r="C26" s="91"/>
      <c r="E26" s="68" t="s">
        <v>113</v>
      </c>
      <c r="F26" s="64" t="s">
        <v>120</v>
      </c>
      <c r="G26" s="50">
        <v>1</v>
      </c>
      <c r="H26" s="27">
        <f>IF(B$25=0,0,G26/B$25)</f>
        <v>4.8543689320388345E-3</v>
      </c>
      <c r="J26" s="26">
        <v>24</v>
      </c>
      <c r="K26" s="28">
        <v>118.00000000000001</v>
      </c>
    </row>
    <row r="27" spans="1:11" x14ac:dyDescent="0.4">
      <c r="A27" s="60" t="s">
        <v>212</v>
      </c>
      <c r="B27" s="79">
        <v>1</v>
      </c>
      <c r="C27" s="32">
        <f>IF(B$3=0,0,B27/B$3)</f>
        <v>9.813542688910696E-4</v>
      </c>
      <c r="E27" s="68" t="s">
        <v>80</v>
      </c>
      <c r="F27" s="64" t="s">
        <v>33</v>
      </c>
      <c r="G27" s="50">
        <v>0</v>
      </c>
      <c r="H27" s="27">
        <f>IF(B$25=0,0,G27/B$25)</f>
        <v>0</v>
      </c>
      <c r="J27" s="26">
        <v>25</v>
      </c>
      <c r="K27" s="28">
        <v>84.300000000000011</v>
      </c>
    </row>
    <row r="28" spans="1:11" x14ac:dyDescent="0.4">
      <c r="E28" s="68" t="s">
        <v>82</v>
      </c>
      <c r="F28" s="64" t="s">
        <v>35</v>
      </c>
      <c r="G28" s="50">
        <v>0</v>
      </c>
      <c r="H28" s="27">
        <f>IF(B$25=0,0,G28/B$25)</f>
        <v>0</v>
      </c>
      <c r="J28" s="26">
        <v>26</v>
      </c>
      <c r="K28" s="28">
        <v>108.20000000000002</v>
      </c>
    </row>
    <row r="29" spans="1:11" x14ac:dyDescent="0.4">
      <c r="E29" s="68" t="s">
        <v>86</v>
      </c>
      <c r="F29" s="64" t="s">
        <v>39</v>
      </c>
      <c r="G29" s="50">
        <v>0</v>
      </c>
      <c r="H29" s="27">
        <f>IF(B$25=0,0,G29/B$25)</f>
        <v>0</v>
      </c>
      <c r="J29" s="26">
        <v>27</v>
      </c>
      <c r="K29" s="28">
        <v>71.200000000000017</v>
      </c>
    </row>
    <row r="30" spans="1:11" x14ac:dyDescent="0.4">
      <c r="E30" s="68" t="s">
        <v>87</v>
      </c>
      <c r="F30" s="64" t="s">
        <v>40</v>
      </c>
      <c r="G30" s="50">
        <v>0</v>
      </c>
      <c r="H30" s="27">
        <f>IF(B$25=0,0,G30/B$25)</f>
        <v>0</v>
      </c>
      <c r="J30" s="26">
        <v>28</v>
      </c>
      <c r="K30" s="28">
        <v>129.20000000000002</v>
      </c>
    </row>
    <row r="31" spans="1:11" x14ac:dyDescent="0.4">
      <c r="E31" s="68" t="s">
        <v>89</v>
      </c>
      <c r="F31" s="64" t="s">
        <v>42</v>
      </c>
      <c r="G31" s="50">
        <v>0</v>
      </c>
      <c r="H31" s="27">
        <f>IF(B$25=0,0,G31/B$25)</f>
        <v>0</v>
      </c>
      <c r="J31" s="26">
        <v>29</v>
      </c>
      <c r="K31" s="28">
        <v>120.80000000000001</v>
      </c>
    </row>
    <row r="32" spans="1:11" x14ac:dyDescent="0.4">
      <c r="E32" s="68" t="s">
        <v>91</v>
      </c>
      <c r="F32" s="64" t="s">
        <v>44</v>
      </c>
      <c r="G32" s="50">
        <v>0</v>
      </c>
      <c r="H32" s="27">
        <f>IF(B$25=0,0,G32/B$25)</f>
        <v>0</v>
      </c>
      <c r="J32" s="26">
        <v>30</v>
      </c>
      <c r="K32" s="28">
        <v>112.4</v>
      </c>
    </row>
    <row r="33" spans="5:11" x14ac:dyDescent="0.4">
      <c r="E33" s="68" t="s">
        <v>95</v>
      </c>
      <c r="F33" s="64" t="s">
        <v>48</v>
      </c>
      <c r="G33" s="50">
        <v>0</v>
      </c>
      <c r="H33" s="27">
        <f>IF(B$25=0,0,G33/B$25)</f>
        <v>0</v>
      </c>
      <c r="J33" s="26">
        <v>31</v>
      </c>
      <c r="K33" s="28">
        <v>165.7</v>
      </c>
    </row>
    <row r="34" spans="5:11" x14ac:dyDescent="0.4">
      <c r="E34" s="68" t="s">
        <v>100</v>
      </c>
      <c r="F34" s="64" t="s">
        <v>53</v>
      </c>
      <c r="G34" s="50">
        <v>0</v>
      </c>
      <c r="H34" s="27">
        <f>IF(B$25=0,0,G34/B$25)</f>
        <v>0</v>
      </c>
      <c r="J34" s="26">
        <v>32</v>
      </c>
      <c r="K34" s="28">
        <v>151.69999999999999</v>
      </c>
    </row>
    <row r="35" spans="5:11" x14ac:dyDescent="0.4">
      <c r="E35" s="68" t="s">
        <v>101</v>
      </c>
      <c r="F35" s="64" t="s">
        <v>54</v>
      </c>
      <c r="G35" s="50">
        <v>0</v>
      </c>
      <c r="H35" s="27">
        <f>IF(B$25=0,0,G35/B$25)</f>
        <v>0</v>
      </c>
      <c r="J35" s="26">
        <v>33</v>
      </c>
      <c r="K35" s="28">
        <v>212.39999999999998</v>
      </c>
    </row>
    <row r="36" spans="5:11" x14ac:dyDescent="0.4">
      <c r="E36" s="68" t="s">
        <v>102</v>
      </c>
      <c r="F36" s="64" t="s">
        <v>55</v>
      </c>
      <c r="G36" s="50">
        <v>0</v>
      </c>
      <c r="H36" s="27">
        <f>IF(B$25=0,0,G36/B$25)</f>
        <v>0</v>
      </c>
      <c r="J36" s="26">
        <v>34</v>
      </c>
      <c r="K36" s="28">
        <v>262.39999999999998</v>
      </c>
    </row>
    <row r="37" spans="5:11" x14ac:dyDescent="0.4">
      <c r="E37" s="68" t="s">
        <v>103</v>
      </c>
      <c r="F37" s="64" t="s">
        <v>56</v>
      </c>
      <c r="G37" s="50">
        <v>0</v>
      </c>
      <c r="H37" s="27">
        <f>IF(B$25=0,0,G37/B$25)</f>
        <v>0</v>
      </c>
      <c r="J37" s="26">
        <v>35</v>
      </c>
      <c r="K37" s="28">
        <v>248.39999999999998</v>
      </c>
    </row>
    <row r="38" spans="5:11" x14ac:dyDescent="0.4">
      <c r="E38" s="68" t="s">
        <v>104</v>
      </c>
      <c r="F38" s="64" t="s">
        <v>57</v>
      </c>
      <c r="G38" s="50">
        <v>0</v>
      </c>
      <c r="H38" s="27">
        <f>IF(B$25=0,0,G38/B$25)</f>
        <v>0</v>
      </c>
      <c r="J38" s="26">
        <v>36</v>
      </c>
      <c r="K38" s="28">
        <v>244.99999999999997</v>
      </c>
    </row>
    <row r="39" spans="5:11" x14ac:dyDescent="0.4">
      <c r="E39" s="68" t="s">
        <v>105</v>
      </c>
      <c r="F39" s="64" t="s">
        <v>58</v>
      </c>
      <c r="G39" s="50">
        <v>0</v>
      </c>
      <c r="H39" s="27">
        <f>IF(B$25=0,0,G39/B$25)</f>
        <v>0</v>
      </c>
      <c r="J39" s="26">
        <v>37</v>
      </c>
      <c r="K39" s="28">
        <v>227.89999999999998</v>
      </c>
    </row>
    <row r="40" spans="5:11" x14ac:dyDescent="0.4">
      <c r="E40" s="68" t="s">
        <v>106</v>
      </c>
      <c r="F40" s="64" t="s">
        <v>59</v>
      </c>
      <c r="G40" s="50">
        <v>0</v>
      </c>
      <c r="H40" s="27">
        <f>IF(B$25=0,0,G40/B$25)</f>
        <v>0</v>
      </c>
      <c r="J40" s="26">
        <v>38</v>
      </c>
      <c r="K40" s="28">
        <v>248.99999999999997</v>
      </c>
    </row>
    <row r="41" spans="5:11" x14ac:dyDescent="0.4">
      <c r="E41" s="68" t="s">
        <v>107</v>
      </c>
      <c r="F41" s="64" t="s">
        <v>60</v>
      </c>
      <c r="G41" s="50">
        <v>0</v>
      </c>
      <c r="H41" s="27">
        <f>IF(B$25=0,0,G41/B$25)</f>
        <v>0</v>
      </c>
      <c r="J41" s="26">
        <v>39</v>
      </c>
      <c r="K41" s="28">
        <v>198.39999999999998</v>
      </c>
    </row>
    <row r="42" spans="5:11" x14ac:dyDescent="0.4">
      <c r="E42" s="68" t="s">
        <v>108</v>
      </c>
      <c r="F42" s="64" t="s">
        <v>61</v>
      </c>
      <c r="G42" s="50">
        <v>0</v>
      </c>
      <c r="H42" s="27">
        <f>IF(B$25=0,0,G42/B$25)</f>
        <v>0</v>
      </c>
      <c r="J42" s="26">
        <v>40</v>
      </c>
      <c r="K42" s="28">
        <v>190.2</v>
      </c>
    </row>
    <row r="43" spans="5:11" x14ac:dyDescent="0.4">
      <c r="E43" s="68" t="s">
        <v>109</v>
      </c>
      <c r="F43" s="64" t="s">
        <v>62</v>
      </c>
      <c r="G43" s="50">
        <v>0</v>
      </c>
      <c r="H43" s="27">
        <f>IF(B$25=0,0,G43/B$25)</f>
        <v>0</v>
      </c>
      <c r="J43" s="26">
        <v>41</v>
      </c>
      <c r="K43" s="28">
        <v>183.2</v>
      </c>
    </row>
    <row r="44" spans="5:11" x14ac:dyDescent="0.4">
      <c r="E44" s="68" t="s">
        <v>110</v>
      </c>
      <c r="F44" s="64" t="s">
        <v>63</v>
      </c>
      <c r="G44" s="50">
        <v>0</v>
      </c>
      <c r="H44" s="27">
        <f>IF(B$25=0,0,G44/B$25)</f>
        <v>0</v>
      </c>
      <c r="J44" s="26">
        <v>42</v>
      </c>
      <c r="K44" s="28">
        <v>146.79999999999998</v>
      </c>
    </row>
    <row r="45" spans="5:11" x14ac:dyDescent="0.4">
      <c r="E45" s="68" t="s">
        <v>111</v>
      </c>
      <c r="F45" s="64" t="s">
        <v>64</v>
      </c>
      <c r="G45" s="50">
        <v>0</v>
      </c>
      <c r="H45" s="27">
        <f>IF(B$25=0,0,G45/B$25)</f>
        <v>0</v>
      </c>
      <c r="J45" s="26">
        <v>43</v>
      </c>
      <c r="K45" s="28">
        <v>138.29999999999998</v>
      </c>
    </row>
    <row r="46" spans="5:11" x14ac:dyDescent="0.4">
      <c r="E46" s="68" t="s">
        <v>112</v>
      </c>
      <c r="F46" s="64" t="s">
        <v>119</v>
      </c>
      <c r="G46" s="50">
        <v>0</v>
      </c>
      <c r="H46" s="27">
        <f>IF(B$25=0,0,G46/B$25)</f>
        <v>0</v>
      </c>
      <c r="J46" s="26">
        <v>44</v>
      </c>
      <c r="K46" s="28">
        <v>146.69999999999999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136.29999999999998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164.2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143.69999999999999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112.6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128.79999999999998</v>
      </c>
    </row>
    <row r="52" spans="5:11" x14ac:dyDescent="0.4">
      <c r="J52" s="26">
        <v>50</v>
      </c>
      <c r="K52" s="28">
        <v>123.89999999999998</v>
      </c>
    </row>
    <row r="53" spans="5:11" x14ac:dyDescent="0.4">
      <c r="J53" s="26">
        <v>51</v>
      </c>
      <c r="K53" s="28">
        <v>136.69999999999999</v>
      </c>
    </row>
    <row r="54" spans="5:11" x14ac:dyDescent="0.4">
      <c r="J54" s="26">
        <v>52</v>
      </c>
      <c r="K54" s="28">
        <v>137.39999999999998</v>
      </c>
    </row>
    <row r="55" spans="5:11" x14ac:dyDescent="0.4">
      <c r="J55" s="26">
        <v>53</v>
      </c>
      <c r="K55" s="28">
        <v>130.69999999999999</v>
      </c>
    </row>
    <row r="56" spans="5:11" x14ac:dyDescent="0.4">
      <c r="J56" s="26">
        <v>54</v>
      </c>
      <c r="K56" s="28">
        <v>102.69999999999999</v>
      </c>
    </row>
    <row r="57" spans="5:11" x14ac:dyDescent="0.4">
      <c r="J57" s="26">
        <v>55</v>
      </c>
      <c r="K57" s="28">
        <v>119.39999999999999</v>
      </c>
    </row>
    <row r="58" spans="5:11" x14ac:dyDescent="0.4">
      <c r="J58" s="26">
        <v>56</v>
      </c>
      <c r="K58" s="28">
        <v>112.39999999999999</v>
      </c>
    </row>
    <row r="59" spans="5:11" x14ac:dyDescent="0.4">
      <c r="J59" s="26">
        <v>57</v>
      </c>
      <c r="K59" s="28">
        <v>144</v>
      </c>
    </row>
    <row r="60" spans="5:11" x14ac:dyDescent="0.4">
      <c r="J60" s="26">
        <v>58</v>
      </c>
      <c r="K60" s="28">
        <v>159.80000000000001</v>
      </c>
    </row>
    <row r="61" spans="5:11" x14ac:dyDescent="0.4">
      <c r="J61" s="26">
        <v>59</v>
      </c>
      <c r="K61" s="28">
        <v>216.8</v>
      </c>
    </row>
    <row r="62" spans="5:11" x14ac:dyDescent="0.4">
      <c r="J62" s="26">
        <v>60</v>
      </c>
      <c r="K62" s="28">
        <v>222.10000000000002</v>
      </c>
    </row>
    <row r="63" spans="5:11" x14ac:dyDescent="0.4">
      <c r="J63" s="26">
        <v>61</v>
      </c>
      <c r="K63" s="28">
        <v>176.00000000000003</v>
      </c>
    </row>
    <row r="64" spans="5:11" x14ac:dyDescent="0.4">
      <c r="J64" s="26">
        <v>62</v>
      </c>
      <c r="K64" s="28">
        <v>197.10000000000002</v>
      </c>
    </row>
    <row r="65" spans="10:11" x14ac:dyDescent="0.4">
      <c r="J65" s="26">
        <v>63</v>
      </c>
      <c r="K65" s="28">
        <v>131.10000000000002</v>
      </c>
    </row>
    <row r="66" spans="10:11" x14ac:dyDescent="0.4">
      <c r="J66" s="26">
        <v>64</v>
      </c>
      <c r="K66" s="28">
        <v>126.10000000000002</v>
      </c>
    </row>
    <row r="67" spans="10:11" x14ac:dyDescent="0.4">
      <c r="J67" s="26">
        <v>65</v>
      </c>
      <c r="K67" s="28">
        <v>127.10000000000002</v>
      </c>
    </row>
    <row r="68" spans="10:11" x14ac:dyDescent="0.4">
      <c r="J68" s="26">
        <v>66</v>
      </c>
      <c r="K68" s="28">
        <v>158.70000000000002</v>
      </c>
    </row>
    <row r="69" spans="10:11" x14ac:dyDescent="0.4">
      <c r="J69" s="26">
        <v>67</v>
      </c>
      <c r="K69" s="28">
        <v>139.70000000000002</v>
      </c>
    </row>
    <row r="70" spans="10:11" x14ac:dyDescent="0.4">
      <c r="J70" s="26">
        <v>68</v>
      </c>
      <c r="K70" s="28">
        <v>129.80000000000001</v>
      </c>
    </row>
    <row r="71" spans="10:11" x14ac:dyDescent="0.4">
      <c r="J71" s="26">
        <v>69</v>
      </c>
      <c r="K71" s="28">
        <v>130.70000000000002</v>
      </c>
    </row>
    <row r="72" spans="10:11" x14ac:dyDescent="0.4">
      <c r="J72" s="26">
        <v>70</v>
      </c>
      <c r="K72" s="28">
        <v>163</v>
      </c>
    </row>
    <row r="73" spans="10:11" x14ac:dyDescent="0.4">
      <c r="J73" s="26">
        <v>71</v>
      </c>
      <c r="K73" s="28">
        <v>191.4</v>
      </c>
    </row>
    <row r="74" spans="10:11" x14ac:dyDescent="0.4">
      <c r="J74" s="26">
        <v>72</v>
      </c>
      <c r="K74" s="28">
        <v>184</v>
      </c>
    </row>
    <row r="75" spans="10:11" x14ac:dyDescent="0.4">
      <c r="J75" s="26">
        <v>73</v>
      </c>
      <c r="K75" s="28">
        <v>202.3</v>
      </c>
    </row>
    <row r="76" spans="10:11" x14ac:dyDescent="0.4">
      <c r="J76" s="26">
        <v>74</v>
      </c>
      <c r="K76" s="28">
        <v>188.4</v>
      </c>
    </row>
    <row r="77" spans="10:11" x14ac:dyDescent="0.4">
      <c r="J77" s="26">
        <v>75</v>
      </c>
      <c r="K77" s="28">
        <v>228.4</v>
      </c>
    </row>
    <row r="78" spans="10:11" x14ac:dyDescent="0.4">
      <c r="J78" s="26">
        <v>76</v>
      </c>
      <c r="K78" s="28">
        <v>233.6</v>
      </c>
    </row>
    <row r="79" spans="10:11" x14ac:dyDescent="0.4">
      <c r="J79" s="26">
        <v>77</v>
      </c>
      <c r="K79" s="28">
        <v>219.9</v>
      </c>
    </row>
    <row r="80" spans="10:11" x14ac:dyDescent="0.4">
      <c r="J80" s="26">
        <v>78</v>
      </c>
      <c r="K80" s="28">
        <v>225</v>
      </c>
    </row>
    <row r="81" spans="10:11" x14ac:dyDescent="0.4">
      <c r="J81" s="26">
        <v>79</v>
      </c>
      <c r="K81" s="28">
        <v>256.89999999999998</v>
      </c>
    </row>
    <row r="82" spans="10:11" x14ac:dyDescent="0.4">
      <c r="J82" s="26">
        <v>80</v>
      </c>
      <c r="K82" s="28">
        <v>296.89999999999998</v>
      </c>
    </row>
    <row r="83" spans="10:11" x14ac:dyDescent="0.4">
      <c r="J83" s="26">
        <v>81</v>
      </c>
      <c r="K83" s="28">
        <v>319.39999999999998</v>
      </c>
    </row>
    <row r="84" spans="10:11" x14ac:dyDescent="0.4">
      <c r="J84" s="26">
        <v>82</v>
      </c>
      <c r="K84" s="28">
        <v>350.9</v>
      </c>
    </row>
    <row r="85" spans="10:11" x14ac:dyDescent="0.4">
      <c r="J85" s="26">
        <v>83</v>
      </c>
      <c r="K85" s="28">
        <v>410.7</v>
      </c>
    </row>
    <row r="86" spans="10:11" x14ac:dyDescent="0.4">
      <c r="J86" s="26">
        <v>84</v>
      </c>
      <c r="K86" s="28">
        <v>421.8</v>
      </c>
    </row>
    <row r="87" spans="10:11" x14ac:dyDescent="0.4">
      <c r="J87" s="26">
        <v>85</v>
      </c>
      <c r="K87" s="28">
        <v>423.40000000000003</v>
      </c>
    </row>
    <row r="88" spans="10:11" x14ac:dyDescent="0.4">
      <c r="J88" s="26">
        <v>86</v>
      </c>
      <c r="K88" s="28">
        <v>402.00000000000006</v>
      </c>
    </row>
    <row r="89" spans="10:11" x14ac:dyDescent="0.4">
      <c r="J89" s="26">
        <v>87</v>
      </c>
      <c r="K89" s="28">
        <v>405.50000000000006</v>
      </c>
    </row>
    <row r="90" spans="10:11" x14ac:dyDescent="0.4">
      <c r="J90" s="26">
        <v>88</v>
      </c>
      <c r="K90" s="28">
        <v>360.00000000000006</v>
      </c>
    </row>
    <row r="91" spans="10:11" x14ac:dyDescent="0.4">
      <c r="J91" s="26">
        <v>89</v>
      </c>
      <c r="K91" s="28">
        <v>359.40000000000003</v>
      </c>
    </row>
    <row r="92" spans="10:11" x14ac:dyDescent="0.4">
      <c r="J92" s="26">
        <v>90</v>
      </c>
      <c r="K92" s="28">
        <v>385.8</v>
      </c>
    </row>
    <row r="93" spans="10:11" x14ac:dyDescent="0.4">
      <c r="J93" s="26">
        <v>91</v>
      </c>
      <c r="K93" s="28">
        <v>395.5</v>
      </c>
    </row>
    <row r="94" spans="10:11" x14ac:dyDescent="0.4">
      <c r="J94" s="26">
        <v>92</v>
      </c>
      <c r="K94" s="28">
        <v>416.6</v>
      </c>
    </row>
    <row r="95" spans="10:11" x14ac:dyDescent="0.4">
      <c r="J95" s="26">
        <v>93</v>
      </c>
      <c r="K95" s="28">
        <v>459.70000000000005</v>
      </c>
    </row>
    <row r="96" spans="10:11" x14ac:dyDescent="0.4">
      <c r="J96" s="26">
        <v>94</v>
      </c>
      <c r="K96" s="28">
        <v>453.70000000000005</v>
      </c>
    </row>
    <row r="97" spans="10:11" x14ac:dyDescent="0.4">
      <c r="J97" s="26">
        <v>95</v>
      </c>
      <c r="K97" s="28">
        <v>416.20000000000005</v>
      </c>
    </row>
    <row r="98" spans="10:11" x14ac:dyDescent="0.4">
      <c r="J98" s="26">
        <v>96</v>
      </c>
      <c r="K98" s="28">
        <v>376.70000000000005</v>
      </c>
    </row>
    <row r="99" spans="10:11" x14ac:dyDescent="0.4">
      <c r="J99" s="26">
        <v>97</v>
      </c>
      <c r="K99" s="28">
        <v>387.80000000000007</v>
      </c>
    </row>
    <row r="100" spans="10:11" x14ac:dyDescent="0.4">
      <c r="J100" s="26">
        <v>98</v>
      </c>
      <c r="K100" s="28">
        <v>385.80000000000007</v>
      </c>
    </row>
    <row r="101" spans="10:11" x14ac:dyDescent="0.4">
      <c r="J101" s="26">
        <v>99</v>
      </c>
      <c r="K101" s="28">
        <v>429.30000000000007</v>
      </c>
    </row>
    <row r="102" spans="10:11" x14ac:dyDescent="0.4">
      <c r="J102" s="26">
        <v>100</v>
      </c>
      <c r="K102" s="28">
        <v>423.70000000000005</v>
      </c>
    </row>
    <row r="103" spans="10:11" x14ac:dyDescent="0.4">
      <c r="J103" s="26">
        <v>101</v>
      </c>
      <c r="K103" s="28">
        <v>416.30000000000007</v>
      </c>
    </row>
    <row r="104" spans="10:11" x14ac:dyDescent="0.4">
      <c r="J104" s="26">
        <v>102</v>
      </c>
      <c r="K104" s="28">
        <v>378.30000000000007</v>
      </c>
    </row>
    <row r="105" spans="10:11" x14ac:dyDescent="0.4">
      <c r="J105" s="26">
        <v>103</v>
      </c>
      <c r="K105" s="28">
        <v>359.50000000000006</v>
      </c>
    </row>
    <row r="106" spans="10:11" x14ac:dyDescent="0.4">
      <c r="J106" s="26">
        <v>104</v>
      </c>
      <c r="K106" s="28">
        <v>386.50000000000006</v>
      </c>
    </row>
    <row r="107" spans="10:11" x14ac:dyDescent="0.4">
      <c r="J107" s="26">
        <v>105</v>
      </c>
      <c r="K107" s="28">
        <v>431.10000000000008</v>
      </c>
    </row>
    <row r="108" spans="10:11" x14ac:dyDescent="0.4">
      <c r="J108" s="26">
        <v>106</v>
      </c>
      <c r="K108" s="28">
        <v>438.10000000000008</v>
      </c>
    </row>
    <row r="109" spans="10:11" x14ac:dyDescent="0.4">
      <c r="J109" s="26">
        <v>107</v>
      </c>
      <c r="K109" s="28">
        <v>426.80000000000007</v>
      </c>
    </row>
    <row r="110" spans="10:11" x14ac:dyDescent="0.4">
      <c r="J110" s="26">
        <v>108</v>
      </c>
      <c r="K110" s="28">
        <v>411.30000000000007</v>
      </c>
    </row>
    <row r="111" spans="10:11" x14ac:dyDescent="0.4">
      <c r="J111" s="26">
        <v>109</v>
      </c>
      <c r="K111" s="28">
        <v>392.00000000000006</v>
      </c>
    </row>
    <row r="112" spans="10:11" x14ac:dyDescent="0.4">
      <c r="J112" s="26">
        <v>110</v>
      </c>
      <c r="K112" s="28">
        <v>416.00000000000006</v>
      </c>
    </row>
    <row r="113" spans="10:11" x14ac:dyDescent="0.4">
      <c r="J113" s="26">
        <v>111</v>
      </c>
      <c r="K113" s="28">
        <v>435.50000000000006</v>
      </c>
    </row>
    <row r="114" spans="10:11" x14ac:dyDescent="0.4">
      <c r="J114" s="26">
        <v>112</v>
      </c>
      <c r="K114" s="28">
        <v>430.10000000000008</v>
      </c>
    </row>
    <row r="115" spans="10:11" x14ac:dyDescent="0.4">
      <c r="J115" s="26">
        <v>113</v>
      </c>
      <c r="K115" s="28">
        <v>486.10000000000008</v>
      </c>
    </row>
    <row r="116" spans="10:11" x14ac:dyDescent="0.4">
      <c r="J116" s="26">
        <v>114</v>
      </c>
      <c r="K116" s="28">
        <v>503.2000000000001</v>
      </c>
    </row>
    <row r="117" spans="10:11" x14ac:dyDescent="0.4">
      <c r="J117" s="26">
        <v>115</v>
      </c>
      <c r="K117" s="28">
        <v>465.2000000000001</v>
      </c>
    </row>
    <row r="118" spans="10:11" x14ac:dyDescent="0.4">
      <c r="J118" s="26">
        <v>116</v>
      </c>
      <c r="K118" s="28">
        <v>481.7000000000001</v>
      </c>
    </row>
    <row r="119" spans="10:11" x14ac:dyDescent="0.4">
      <c r="J119" s="26">
        <v>117</v>
      </c>
      <c r="K119" s="28">
        <v>497.00000000000011</v>
      </c>
    </row>
    <row r="120" spans="10:11" x14ac:dyDescent="0.4">
      <c r="J120" s="26">
        <v>118</v>
      </c>
      <c r="K120" s="28">
        <v>508.60000000000014</v>
      </c>
    </row>
    <row r="121" spans="10:11" x14ac:dyDescent="0.4">
      <c r="J121" s="26">
        <v>119</v>
      </c>
      <c r="K121" s="28">
        <v>525.50000000000011</v>
      </c>
    </row>
    <row r="122" spans="10:11" x14ac:dyDescent="0.4">
      <c r="J122" s="26">
        <v>120</v>
      </c>
      <c r="K122" s="28">
        <v>488.00000000000011</v>
      </c>
    </row>
    <row r="123" spans="10:11" x14ac:dyDescent="0.4">
      <c r="J123" s="26">
        <v>121</v>
      </c>
      <c r="K123" s="28">
        <v>526.50000000000011</v>
      </c>
    </row>
    <row r="124" spans="10:11" x14ac:dyDescent="0.4">
      <c r="J124" s="26">
        <v>122</v>
      </c>
      <c r="K124" s="28">
        <v>480.00000000000011</v>
      </c>
    </row>
    <row r="125" spans="10:11" x14ac:dyDescent="0.4">
      <c r="J125" s="26">
        <v>123</v>
      </c>
      <c r="K125" s="28">
        <v>493.2000000000001</v>
      </c>
    </row>
    <row r="126" spans="10:11" x14ac:dyDescent="0.4">
      <c r="J126" s="26">
        <v>124</v>
      </c>
      <c r="K126" s="28">
        <v>473.7000000000001</v>
      </c>
    </row>
    <row r="127" spans="10:11" x14ac:dyDescent="0.4">
      <c r="J127" s="26">
        <v>125</v>
      </c>
      <c r="K127" s="28">
        <v>515.10000000000014</v>
      </c>
    </row>
    <row r="128" spans="10:11" x14ac:dyDescent="0.4">
      <c r="J128" s="26">
        <v>126</v>
      </c>
      <c r="K128" s="28">
        <v>542.20000000000016</v>
      </c>
    </row>
    <row r="129" spans="10:11" x14ac:dyDescent="0.4">
      <c r="J129" s="26">
        <v>127</v>
      </c>
      <c r="K129" s="28">
        <v>550.70000000000016</v>
      </c>
    </row>
    <row r="130" spans="10:11" x14ac:dyDescent="0.4">
      <c r="J130" s="26">
        <v>128</v>
      </c>
      <c r="K130" s="28">
        <v>594.00000000000011</v>
      </c>
    </row>
    <row r="131" spans="10:11" x14ac:dyDescent="0.4">
      <c r="J131" s="26">
        <v>129</v>
      </c>
      <c r="K131" s="28">
        <v>620.00000000000011</v>
      </c>
    </row>
    <row r="132" spans="10:11" x14ac:dyDescent="0.4">
      <c r="J132" s="26">
        <v>130</v>
      </c>
      <c r="K132" s="28">
        <v>631.00000000000011</v>
      </c>
    </row>
    <row r="133" spans="10:11" x14ac:dyDescent="0.4">
      <c r="J133" s="26">
        <v>131</v>
      </c>
      <c r="K133" s="28">
        <v>672.00000000000011</v>
      </c>
    </row>
    <row r="134" spans="10:11" x14ac:dyDescent="0.4">
      <c r="J134" s="26">
        <v>132</v>
      </c>
      <c r="K134" s="28">
        <v>652.20000000000016</v>
      </c>
    </row>
    <row r="135" spans="10:11" x14ac:dyDescent="0.4">
      <c r="J135" s="26">
        <v>133</v>
      </c>
      <c r="K135" s="28">
        <v>689.80000000000018</v>
      </c>
    </row>
    <row r="136" spans="10:11" x14ac:dyDescent="0.4">
      <c r="J136" s="26">
        <v>134</v>
      </c>
      <c r="K136" s="28">
        <v>697.60000000000014</v>
      </c>
    </row>
    <row r="137" spans="10:11" x14ac:dyDescent="0.4">
      <c r="J137" s="26">
        <v>135</v>
      </c>
      <c r="K137" s="28">
        <v>765.70000000000016</v>
      </c>
    </row>
    <row r="138" spans="10:11" x14ac:dyDescent="0.4">
      <c r="J138" s="26">
        <v>136</v>
      </c>
      <c r="K138" s="28">
        <v>770.9000000000002</v>
      </c>
    </row>
    <row r="139" spans="10:11" x14ac:dyDescent="0.4">
      <c r="J139" s="26">
        <v>137</v>
      </c>
      <c r="K139" s="28">
        <v>787.10000000000025</v>
      </c>
    </row>
    <row r="140" spans="10:11" x14ac:dyDescent="0.4">
      <c r="J140" s="26">
        <v>138</v>
      </c>
      <c r="K140" s="28">
        <v>811.3000000000003</v>
      </c>
    </row>
    <row r="141" spans="10:11" x14ac:dyDescent="0.4">
      <c r="J141" s="26">
        <v>139</v>
      </c>
      <c r="K141" s="28">
        <v>831.90000000000032</v>
      </c>
    </row>
  </sheetData>
  <sortState ref="E2:H14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233FD-33AC-4C01-BAEA-8B80CB2499B3}">
  <sheetPr codeName="Sheet5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183</v>
      </c>
      <c r="C1" s="93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86">
        <v>4</v>
      </c>
      <c r="C2" s="87"/>
      <c r="E2" s="67" t="s">
        <v>69</v>
      </c>
      <c r="F2" s="63" t="s">
        <v>23</v>
      </c>
      <c r="G2" s="49">
        <v>0</v>
      </c>
      <c r="H2" s="24">
        <f>IF(B$25=0,0,G2/B$25)</f>
        <v>0</v>
      </c>
      <c r="J2" s="23">
        <v>0</v>
      </c>
      <c r="K2" s="25">
        <v>0</v>
      </c>
      <c r="M2" s="23" t="s">
        <v>189</v>
      </c>
      <c r="N2" s="44">
        <f t="shared" ref="N2:N7" si="0">IF(P2=0,0,O2/P2)</f>
        <v>-9250</v>
      </c>
      <c r="O2" s="41">
        <v>-37000</v>
      </c>
      <c r="P2" s="39">
        <v>4</v>
      </c>
    </row>
    <row r="3" spans="1:16" x14ac:dyDescent="0.4">
      <c r="A3" s="58" t="s">
        <v>8</v>
      </c>
      <c r="B3" s="94">
        <v>25</v>
      </c>
      <c r="C3" s="95"/>
      <c r="E3" s="68" t="s">
        <v>70</v>
      </c>
      <c r="F3" s="64" t="s">
        <v>24</v>
      </c>
      <c r="G3" s="50">
        <v>0</v>
      </c>
      <c r="H3" s="27">
        <f>IF(B$25=0,0,G3/B$25)</f>
        <v>0</v>
      </c>
      <c r="J3" s="26">
        <v>1</v>
      </c>
      <c r="K3" s="28">
        <v>-22</v>
      </c>
      <c r="M3" s="26" t="s">
        <v>190</v>
      </c>
      <c r="N3" s="45">
        <f t="shared" si="0"/>
        <v>-7225</v>
      </c>
      <c r="O3" s="42">
        <v>-28900</v>
      </c>
      <c r="P3" s="37">
        <v>4</v>
      </c>
    </row>
    <row r="4" spans="1:16" x14ac:dyDescent="0.4">
      <c r="A4" s="58" t="s">
        <v>6</v>
      </c>
      <c r="B4" s="96">
        <v>-132.1</v>
      </c>
      <c r="C4" s="97"/>
      <c r="E4" s="68" t="s">
        <v>71</v>
      </c>
      <c r="F4" s="64" t="s">
        <v>25</v>
      </c>
      <c r="G4" s="50">
        <v>0</v>
      </c>
      <c r="H4" s="27">
        <f>IF(B$25=0,0,G4/B$25)</f>
        <v>0</v>
      </c>
      <c r="J4" s="26">
        <v>2</v>
      </c>
      <c r="K4" s="28">
        <v>-60.4</v>
      </c>
      <c r="M4" s="26" t="s">
        <v>191</v>
      </c>
      <c r="N4" s="45">
        <f t="shared" si="0"/>
        <v>-10875</v>
      </c>
      <c r="O4" s="42">
        <v>-43500</v>
      </c>
      <c r="P4" s="37">
        <v>4</v>
      </c>
    </row>
    <row r="5" spans="1:16" x14ac:dyDescent="0.4">
      <c r="A5" s="58" t="s">
        <v>7</v>
      </c>
      <c r="B5" s="96">
        <f>IF(B$2=0,0,B$4/B$2)</f>
        <v>-33.024999999999999</v>
      </c>
      <c r="C5" s="97"/>
      <c r="E5" s="68" t="s">
        <v>72</v>
      </c>
      <c r="F5" s="64" t="s">
        <v>26</v>
      </c>
      <c r="G5" s="50">
        <v>0</v>
      </c>
      <c r="H5" s="27">
        <f>IF(B$25=0,0,G5/B$25)</f>
        <v>0</v>
      </c>
      <c r="J5" s="26">
        <v>3</v>
      </c>
      <c r="K5" s="28">
        <v>-85.6</v>
      </c>
      <c r="M5" s="26" t="s">
        <v>192</v>
      </c>
      <c r="N5" s="45">
        <f t="shared" si="0"/>
        <v>-2850</v>
      </c>
      <c r="O5" s="42">
        <v>-5700</v>
      </c>
      <c r="P5" s="37">
        <v>2</v>
      </c>
    </row>
    <row r="6" spans="1:16" x14ac:dyDescent="0.4">
      <c r="A6" s="58" t="s">
        <v>1</v>
      </c>
      <c r="B6" s="98">
        <f>IF(B$2=0,0,(B$7*1+B$8*2+B$9*3)/B$2)</f>
        <v>3</v>
      </c>
      <c r="C6" s="99"/>
      <c r="E6" s="68" t="s">
        <v>73</v>
      </c>
      <c r="F6" s="64" t="s">
        <v>27</v>
      </c>
      <c r="G6" s="50">
        <v>0</v>
      </c>
      <c r="H6" s="27">
        <f>IF(B$25=0,0,G6/B$25)</f>
        <v>0</v>
      </c>
      <c r="J6" s="26">
        <v>4</v>
      </c>
      <c r="K6" s="28">
        <v>-132.1</v>
      </c>
      <c r="M6" s="26" t="s">
        <v>193</v>
      </c>
      <c r="N6" s="45">
        <f t="shared" si="0"/>
        <v>-6000</v>
      </c>
      <c r="O6" s="42">
        <v>-12000</v>
      </c>
      <c r="P6" s="37">
        <v>2</v>
      </c>
    </row>
    <row r="7" spans="1:16" x14ac:dyDescent="0.4">
      <c r="A7" s="58" t="s">
        <v>2</v>
      </c>
      <c r="B7" s="50">
        <v>0</v>
      </c>
      <c r="C7" s="27">
        <f>IF(B$2=0,0,B7/B$2)</f>
        <v>0</v>
      </c>
      <c r="E7" s="68" t="s">
        <v>74</v>
      </c>
      <c r="F7" s="64" t="s">
        <v>12</v>
      </c>
      <c r="G7" s="50">
        <v>0</v>
      </c>
      <c r="H7" s="27">
        <f>IF(B$25=0,0,G7/B$25)</f>
        <v>0</v>
      </c>
      <c r="M7" s="31" t="s">
        <v>194</v>
      </c>
      <c r="N7" s="46">
        <f t="shared" si="0"/>
        <v>-5000</v>
      </c>
      <c r="O7" s="43">
        <v>-5000</v>
      </c>
      <c r="P7" s="38">
        <v>1</v>
      </c>
    </row>
    <row r="8" spans="1:16" x14ac:dyDescent="0.4">
      <c r="A8" s="58" t="s">
        <v>3</v>
      </c>
      <c r="B8" s="50">
        <v>0</v>
      </c>
      <c r="C8" s="27">
        <f t="shared" ref="C8:C9" si="1">IF(B$2=0,0,B8/B$2)</f>
        <v>0</v>
      </c>
      <c r="E8" s="68" t="s">
        <v>75</v>
      </c>
      <c r="F8" s="64" t="s">
        <v>28</v>
      </c>
      <c r="G8" s="50">
        <v>0</v>
      </c>
      <c r="H8" s="27">
        <f>IF(B$25=0,0,G8/B$25)</f>
        <v>0</v>
      </c>
    </row>
    <row r="9" spans="1:16" x14ac:dyDescent="0.4">
      <c r="A9" s="59" t="s">
        <v>4</v>
      </c>
      <c r="B9" s="51">
        <v>4</v>
      </c>
      <c r="C9" s="29">
        <f t="shared" si="1"/>
        <v>1</v>
      </c>
      <c r="E9" s="68" t="s">
        <v>76</v>
      </c>
      <c r="F9" s="64" t="s">
        <v>29</v>
      </c>
      <c r="G9" s="50">
        <v>0</v>
      </c>
      <c r="H9" s="27">
        <f>IF(B$25=0,0,G9/B$25)</f>
        <v>0</v>
      </c>
    </row>
    <row r="10" spans="1:16" x14ac:dyDescent="0.4">
      <c r="A10" s="59" t="s">
        <v>21</v>
      </c>
      <c r="B10" s="51">
        <v>2</v>
      </c>
      <c r="C10" s="29">
        <f>IF(B$2=0,0,B10/B$2)</f>
        <v>0.5</v>
      </c>
      <c r="E10" s="68" t="s">
        <v>77</v>
      </c>
      <c r="F10" s="64" t="s">
        <v>30</v>
      </c>
      <c r="G10" s="50">
        <v>0</v>
      </c>
      <c r="H10" s="27">
        <f>IF(B$25=0,0,G10/B$25)</f>
        <v>0</v>
      </c>
    </row>
    <row r="11" spans="1:16" x14ac:dyDescent="0.4">
      <c r="A11" s="60" t="s">
        <v>199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>IF(B$25=0,0,G11/B$25)</f>
        <v>0</v>
      </c>
    </row>
    <row r="12" spans="1:16" x14ac:dyDescent="0.4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B18+B17</f>
        <v>1</v>
      </c>
      <c r="C16" s="24">
        <f>IF(B$3=0,0,B16/B$3)</f>
        <v>0.04</v>
      </c>
      <c r="E16" s="68" t="s">
        <v>83</v>
      </c>
      <c r="F16" s="64" t="s">
        <v>36</v>
      </c>
      <c r="G16" s="50">
        <v>0</v>
      </c>
      <c r="H16" s="27">
        <f>IF(B$25=0,0,G16/B$25)</f>
        <v>0</v>
      </c>
    </row>
    <row r="17" spans="1:8" x14ac:dyDescent="0.4">
      <c r="A17" s="58" t="s">
        <v>12</v>
      </c>
      <c r="B17" s="50">
        <v>1</v>
      </c>
      <c r="C17" s="27">
        <f>IF(B$16=0,0,B17/B$16)</f>
        <v>1</v>
      </c>
      <c r="E17" s="68" t="s">
        <v>84</v>
      </c>
      <c r="F17" s="64" t="s">
        <v>37</v>
      </c>
      <c r="G17" s="50">
        <v>0</v>
      </c>
      <c r="H17" s="27">
        <f>IF(B$25=0,0,G17/B$25)</f>
        <v>0</v>
      </c>
    </row>
    <row r="18" spans="1:8" x14ac:dyDescent="0.4">
      <c r="A18" s="58" t="s">
        <v>11</v>
      </c>
      <c r="B18" s="50">
        <v>0</v>
      </c>
      <c r="C18" s="27">
        <f>IF(B$16=0,0,B18/B$16)</f>
        <v>0</v>
      </c>
      <c r="E18" s="68" t="s">
        <v>85</v>
      </c>
      <c r="F18" s="64" t="s">
        <v>38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10</v>
      </c>
      <c r="C19" s="27">
        <f>IF(B$3=0,0,B19/B$3)</f>
        <v>0.4</v>
      </c>
      <c r="E19" s="68" t="s">
        <v>86</v>
      </c>
      <c r="F19" s="64" t="s">
        <v>39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7800</v>
      </c>
      <c r="C20" s="30">
        <v>7800</v>
      </c>
      <c r="E20" s="68" t="s">
        <v>87</v>
      </c>
      <c r="F20" s="64" t="s">
        <v>40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-8240</v>
      </c>
      <c r="C21" s="48">
        <v>-82400</v>
      </c>
      <c r="E21" s="68" t="s">
        <v>88</v>
      </c>
      <c r="F21" s="64" t="s">
        <v>41</v>
      </c>
      <c r="G21" s="50">
        <v>0</v>
      </c>
      <c r="H21" s="27">
        <f>IF(B$25=0,0,G21/B$25)</f>
        <v>0</v>
      </c>
    </row>
    <row r="22" spans="1:8" x14ac:dyDescent="0.4">
      <c r="A22" s="57" t="s">
        <v>186</v>
      </c>
      <c r="B22" s="49">
        <v>0</v>
      </c>
      <c r="C22" s="24">
        <f>IF(B$3=0,0,B22/B$3)</f>
        <v>0</v>
      </c>
      <c r="E22" s="68" t="s">
        <v>89</v>
      </c>
      <c r="F22" s="64" t="s">
        <v>42</v>
      </c>
      <c r="G22" s="50">
        <v>0</v>
      </c>
      <c r="H22" s="27">
        <f>IF(B$25=0,0,G22/B$25)</f>
        <v>0</v>
      </c>
    </row>
    <row r="23" spans="1:8" x14ac:dyDescent="0.4">
      <c r="A23" s="60" t="s">
        <v>187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6">
        <v>0</v>
      </c>
      <c r="C24" s="87"/>
      <c r="E24" s="68" t="s">
        <v>91</v>
      </c>
      <c r="F24" s="64" t="s">
        <v>44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8">
        <v>0</v>
      </c>
      <c r="C25" s="89"/>
      <c r="E25" s="68" t="s">
        <v>92</v>
      </c>
      <c r="F25" s="64" t="s">
        <v>45</v>
      </c>
      <c r="G25" s="50">
        <v>0</v>
      </c>
      <c r="H25" s="27">
        <f>IF(B$25=0,0,G25/B$25)</f>
        <v>0</v>
      </c>
    </row>
    <row r="26" spans="1:8" x14ac:dyDescent="0.4">
      <c r="A26" s="78" t="s">
        <v>210</v>
      </c>
      <c r="B26" s="90">
        <v>0</v>
      </c>
      <c r="C26" s="91"/>
      <c r="E26" s="68" t="s">
        <v>93</v>
      </c>
      <c r="F26" s="64" t="s">
        <v>46</v>
      </c>
      <c r="G26" s="50">
        <v>0</v>
      </c>
      <c r="H26" s="27">
        <f>IF(B$25=0,0,G26/B$25)</f>
        <v>0</v>
      </c>
    </row>
    <row r="27" spans="1:8" x14ac:dyDescent="0.4">
      <c r="A27" s="60" t="s">
        <v>212</v>
      </c>
      <c r="B27" s="79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AE862-EEB8-490A-AC6F-3C22E96F7B0A}">
  <sheetPr codeName="Sheet6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225</v>
      </c>
      <c r="C1" s="93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86">
        <v>3</v>
      </c>
      <c r="C2" s="87"/>
      <c r="E2" s="67" t="s">
        <v>72</v>
      </c>
      <c r="F2" s="63" t="s">
        <v>26</v>
      </c>
      <c r="G2" s="49">
        <v>2</v>
      </c>
      <c r="H2" s="24">
        <f>IF(B$25=0,0,G2/B$25)</f>
        <v>2</v>
      </c>
      <c r="J2" s="23">
        <v>0</v>
      </c>
      <c r="K2" s="25">
        <v>0</v>
      </c>
      <c r="M2" s="23" t="s">
        <v>189</v>
      </c>
      <c r="N2" s="44">
        <f t="shared" ref="N2:N7" si="0">IF(P2=0,0,O2/P2)</f>
        <v>-8666.6666666666661</v>
      </c>
      <c r="O2" s="41">
        <v>-26000</v>
      </c>
      <c r="P2" s="39">
        <v>3</v>
      </c>
    </row>
    <row r="3" spans="1:16" x14ac:dyDescent="0.4">
      <c r="A3" s="58" t="s">
        <v>8</v>
      </c>
      <c r="B3" s="94">
        <v>16</v>
      </c>
      <c r="C3" s="95"/>
      <c r="E3" s="68" t="s">
        <v>69</v>
      </c>
      <c r="F3" s="64" t="s">
        <v>23</v>
      </c>
      <c r="G3" s="50">
        <v>1</v>
      </c>
      <c r="H3" s="27">
        <f>IF(B$25=0,0,G3/B$25)</f>
        <v>1</v>
      </c>
      <c r="J3" s="26">
        <v>1</v>
      </c>
      <c r="K3" s="28">
        <v>7</v>
      </c>
      <c r="M3" s="26" t="s">
        <v>190</v>
      </c>
      <c r="N3" s="45">
        <f t="shared" si="0"/>
        <v>-250</v>
      </c>
      <c r="O3" s="42">
        <v>-500</v>
      </c>
      <c r="P3" s="37">
        <v>2</v>
      </c>
    </row>
    <row r="4" spans="1:16" x14ac:dyDescent="0.4">
      <c r="A4" s="58" t="s">
        <v>6</v>
      </c>
      <c r="B4" s="96">
        <v>-26.5</v>
      </c>
      <c r="C4" s="97"/>
      <c r="E4" s="68" t="s">
        <v>75</v>
      </c>
      <c r="F4" s="64" t="s">
        <v>28</v>
      </c>
      <c r="G4" s="50">
        <v>1</v>
      </c>
      <c r="H4" s="27">
        <f>IF(B$25=0,0,G4/B$25)</f>
        <v>1</v>
      </c>
      <c r="J4" s="26">
        <v>2</v>
      </c>
      <c r="K4" s="28">
        <v>-24.5</v>
      </c>
      <c r="M4" s="26" t="s">
        <v>191</v>
      </c>
      <c r="N4" s="45">
        <f t="shared" si="0"/>
        <v>-3500</v>
      </c>
      <c r="O4" s="42">
        <v>-7000</v>
      </c>
      <c r="P4" s="37">
        <v>2</v>
      </c>
    </row>
    <row r="5" spans="1:16" x14ac:dyDescent="0.4">
      <c r="A5" s="58" t="s">
        <v>7</v>
      </c>
      <c r="B5" s="96">
        <f>IF(B$2=0,0,B$4/B$2)</f>
        <v>-8.8333333333333339</v>
      </c>
      <c r="C5" s="97"/>
      <c r="E5" s="68" t="s">
        <v>77</v>
      </c>
      <c r="F5" s="64" t="s">
        <v>30</v>
      </c>
      <c r="G5" s="50">
        <v>1</v>
      </c>
      <c r="H5" s="27">
        <f>IF(B$25=0,0,G5/B$25)</f>
        <v>1</v>
      </c>
      <c r="J5" s="26">
        <v>3</v>
      </c>
      <c r="K5" s="28">
        <v>-26.5</v>
      </c>
      <c r="M5" s="26" t="s">
        <v>192</v>
      </c>
      <c r="N5" s="45">
        <f t="shared" si="0"/>
        <v>0</v>
      </c>
      <c r="O5" s="42">
        <v>0</v>
      </c>
      <c r="P5" s="37">
        <v>1</v>
      </c>
    </row>
    <row r="6" spans="1:16" x14ac:dyDescent="0.4">
      <c r="A6" s="58" t="s">
        <v>1</v>
      </c>
      <c r="B6" s="98">
        <f>IF(B$2=0,0,(B$7*1+B$8*2+B$9*3)/B$2)</f>
        <v>2.3333333333333335</v>
      </c>
      <c r="C6" s="99"/>
      <c r="E6" s="68" t="s">
        <v>70</v>
      </c>
      <c r="F6" s="64" t="s">
        <v>24</v>
      </c>
      <c r="G6" s="50">
        <v>0</v>
      </c>
      <c r="H6" s="27">
        <f>IF(B$25=0,0,G6/B$25)</f>
        <v>0</v>
      </c>
      <c r="M6" s="26" t="s">
        <v>193</v>
      </c>
      <c r="N6" s="45">
        <f t="shared" si="0"/>
        <v>8000</v>
      </c>
      <c r="O6" s="42">
        <v>8000</v>
      </c>
      <c r="P6" s="37">
        <v>1</v>
      </c>
    </row>
    <row r="7" spans="1:16" x14ac:dyDescent="0.4">
      <c r="A7" s="58" t="s">
        <v>2</v>
      </c>
      <c r="B7" s="50">
        <v>0</v>
      </c>
      <c r="C7" s="27">
        <f>IF(B$2=0,0,B7/B$2)</f>
        <v>0</v>
      </c>
      <c r="E7" s="68" t="s">
        <v>71</v>
      </c>
      <c r="F7" s="64" t="s">
        <v>25</v>
      </c>
      <c r="G7" s="50">
        <v>0</v>
      </c>
      <c r="H7" s="27">
        <f>IF(B$25=0,0,G7/B$25)</f>
        <v>0</v>
      </c>
      <c r="M7" s="31" t="s">
        <v>194</v>
      </c>
      <c r="N7" s="46">
        <f t="shared" si="0"/>
        <v>-1000</v>
      </c>
      <c r="O7" s="43">
        <v>-1000</v>
      </c>
      <c r="P7" s="38">
        <v>1</v>
      </c>
    </row>
    <row r="8" spans="1:16" x14ac:dyDescent="0.4">
      <c r="A8" s="58" t="s">
        <v>3</v>
      </c>
      <c r="B8" s="50">
        <v>2</v>
      </c>
      <c r="C8" s="27">
        <f t="shared" ref="C8:C9" si="1">IF(B$2=0,0,B8/B$2)</f>
        <v>0.66666666666666663</v>
      </c>
      <c r="E8" s="68" t="s">
        <v>73</v>
      </c>
      <c r="F8" s="64" t="s">
        <v>27</v>
      </c>
      <c r="G8" s="50">
        <v>0</v>
      </c>
      <c r="H8" s="27">
        <f>IF(B$25=0,0,G8/B$25)</f>
        <v>0</v>
      </c>
    </row>
    <row r="9" spans="1:16" x14ac:dyDescent="0.4">
      <c r="A9" s="59" t="s">
        <v>4</v>
      </c>
      <c r="B9" s="51">
        <v>1</v>
      </c>
      <c r="C9" s="29">
        <f t="shared" si="1"/>
        <v>0.33333333333333331</v>
      </c>
      <c r="E9" s="68" t="s">
        <v>74</v>
      </c>
      <c r="F9" s="64" t="s">
        <v>12</v>
      </c>
      <c r="G9" s="50">
        <v>0</v>
      </c>
      <c r="H9" s="27">
        <f>IF(B$25=0,0,G9/B$25)</f>
        <v>0</v>
      </c>
    </row>
    <row r="10" spans="1:16" x14ac:dyDescent="0.4">
      <c r="A10" s="59" t="s">
        <v>21</v>
      </c>
      <c r="B10" s="51">
        <v>0</v>
      </c>
      <c r="C10" s="29">
        <f>IF(B$2=0,0,B10/B$2)</f>
        <v>0</v>
      </c>
      <c r="E10" s="68" t="s">
        <v>76</v>
      </c>
      <c r="F10" s="64" t="s">
        <v>29</v>
      </c>
      <c r="G10" s="50">
        <v>0</v>
      </c>
      <c r="H10" s="27">
        <f>IF(B$25=0,0,G10/B$25)</f>
        <v>0</v>
      </c>
    </row>
    <row r="11" spans="1:16" x14ac:dyDescent="0.4">
      <c r="A11" s="60" t="s">
        <v>199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>IF(B$25=0,0,G11/B$25)</f>
        <v>0</v>
      </c>
    </row>
    <row r="12" spans="1:16" x14ac:dyDescent="0.4">
      <c r="A12" s="61" t="s">
        <v>130</v>
      </c>
      <c r="B12" s="53">
        <v>5</v>
      </c>
      <c r="C12" s="35">
        <f>IF(B$24=0,0,B12/B$24)</f>
        <v>0.45454545454545453</v>
      </c>
      <c r="E12" s="68" t="s">
        <v>79</v>
      </c>
      <c r="F12" s="64" t="s">
        <v>32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1</v>
      </c>
      <c r="C14" s="24">
        <f>IF(B$12=0,0,B14/B$12)</f>
        <v>0.2</v>
      </c>
      <c r="E14" s="68" t="s">
        <v>81</v>
      </c>
      <c r="F14" s="64" t="s">
        <v>34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B18+B17</f>
        <v>3</v>
      </c>
      <c r="C16" s="24">
        <f>IF(B$3=0,0,B16/B$3)</f>
        <v>0.1875</v>
      </c>
      <c r="E16" s="68" t="s">
        <v>83</v>
      </c>
      <c r="F16" s="64" t="s">
        <v>36</v>
      </c>
      <c r="G16" s="50">
        <v>0</v>
      </c>
      <c r="H16" s="27">
        <f>IF(B$25=0,0,G16/B$25)</f>
        <v>0</v>
      </c>
    </row>
    <row r="17" spans="1:8" x14ac:dyDescent="0.4">
      <c r="A17" s="58" t="s">
        <v>12</v>
      </c>
      <c r="B17" s="50">
        <v>0</v>
      </c>
      <c r="C17" s="27">
        <f>IF(B$16=0,0,B17/B$16)</f>
        <v>0</v>
      </c>
      <c r="E17" s="68" t="s">
        <v>84</v>
      </c>
      <c r="F17" s="64" t="s">
        <v>37</v>
      </c>
      <c r="G17" s="50">
        <v>0</v>
      </c>
      <c r="H17" s="27">
        <f>IF(B$25=0,0,G17/B$25)</f>
        <v>0</v>
      </c>
    </row>
    <row r="18" spans="1:8" x14ac:dyDescent="0.4">
      <c r="A18" s="58" t="s">
        <v>11</v>
      </c>
      <c r="B18" s="50">
        <v>3</v>
      </c>
      <c r="C18" s="27">
        <f>IF(B$16=0,0,B18/B$16)</f>
        <v>1</v>
      </c>
      <c r="E18" s="68" t="s">
        <v>85</v>
      </c>
      <c r="F18" s="64" t="s">
        <v>38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2</v>
      </c>
      <c r="C19" s="27">
        <f>IF(B$3=0,0,B19/B$3)</f>
        <v>0.125</v>
      </c>
      <c r="E19" s="68" t="s">
        <v>86</v>
      </c>
      <c r="F19" s="64" t="s">
        <v>39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8000</v>
      </c>
      <c r="C20" s="30">
        <v>24000</v>
      </c>
      <c r="E20" s="68" t="s">
        <v>87</v>
      </c>
      <c r="F20" s="64" t="s">
        <v>40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-12000</v>
      </c>
      <c r="C21" s="48">
        <v>-24000</v>
      </c>
      <c r="E21" s="68" t="s">
        <v>88</v>
      </c>
      <c r="F21" s="64" t="s">
        <v>41</v>
      </c>
      <c r="G21" s="50">
        <v>0</v>
      </c>
      <c r="H21" s="27">
        <f>IF(B$25=0,0,G21/B$25)</f>
        <v>0</v>
      </c>
    </row>
    <row r="22" spans="1:8" x14ac:dyDescent="0.4">
      <c r="A22" s="57" t="s">
        <v>186</v>
      </c>
      <c r="B22" s="49">
        <v>3</v>
      </c>
      <c r="C22" s="24">
        <f>IF(B$3=0,0,B22/B$3)</f>
        <v>0.1875</v>
      </c>
      <c r="E22" s="68" t="s">
        <v>89</v>
      </c>
      <c r="F22" s="64" t="s">
        <v>42</v>
      </c>
      <c r="G22" s="50">
        <v>0</v>
      </c>
      <c r="H22" s="27">
        <f>IF(B$25=0,0,G22/B$25)</f>
        <v>0</v>
      </c>
    </row>
    <row r="23" spans="1:8" x14ac:dyDescent="0.4">
      <c r="A23" s="60" t="s">
        <v>187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6">
        <v>11</v>
      </c>
      <c r="C24" s="87"/>
      <c r="E24" s="68" t="s">
        <v>91</v>
      </c>
      <c r="F24" s="64" t="s">
        <v>44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8">
        <v>1</v>
      </c>
      <c r="C25" s="89"/>
      <c r="E25" s="68" t="s">
        <v>92</v>
      </c>
      <c r="F25" s="64" t="s">
        <v>45</v>
      </c>
      <c r="G25" s="50">
        <v>0</v>
      </c>
      <c r="H25" s="27">
        <f>IF(B$25=0,0,G25/B$25)</f>
        <v>0</v>
      </c>
    </row>
    <row r="26" spans="1:8" x14ac:dyDescent="0.4">
      <c r="A26" s="78" t="s">
        <v>210</v>
      </c>
      <c r="B26" s="90">
        <v>2</v>
      </c>
      <c r="C26" s="91"/>
      <c r="E26" s="68" t="s">
        <v>93</v>
      </c>
      <c r="F26" s="64" t="s">
        <v>46</v>
      </c>
      <c r="G26" s="50">
        <v>0</v>
      </c>
      <c r="H26" s="27">
        <f>IF(B$25=0,0,G26/B$25)</f>
        <v>0</v>
      </c>
    </row>
    <row r="27" spans="1:8" x14ac:dyDescent="0.4">
      <c r="A27" s="60" t="s">
        <v>212</v>
      </c>
      <c r="B27" s="79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E18A8-7184-4FE8-B9F9-CDC06769D98B}">
  <sheetPr codeName="Sheet7"/>
  <dimension ref="A1:P98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179</v>
      </c>
      <c r="C1" s="93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86">
        <v>96</v>
      </c>
      <c r="C2" s="87"/>
      <c r="E2" s="67" t="s">
        <v>73</v>
      </c>
      <c r="F2" s="63" t="s">
        <v>27</v>
      </c>
      <c r="G2" s="49">
        <v>94</v>
      </c>
      <c r="H2" s="24">
        <f>IF(B$25=0,0,G2/B$25)</f>
        <v>0.76422764227642281</v>
      </c>
      <c r="J2" s="23">
        <v>0</v>
      </c>
      <c r="K2" s="25">
        <v>0</v>
      </c>
      <c r="M2" s="23" t="s">
        <v>189</v>
      </c>
      <c r="N2" s="44">
        <f t="shared" ref="N2:N7" si="0">IF(P2=0,0,O2/P2)</f>
        <v>-746.80851063829789</v>
      </c>
      <c r="O2" s="41">
        <v>-70200</v>
      </c>
      <c r="P2" s="39">
        <v>94</v>
      </c>
    </row>
    <row r="3" spans="1:16" x14ac:dyDescent="0.4">
      <c r="A3" s="58" t="s">
        <v>8</v>
      </c>
      <c r="B3" s="94">
        <v>723</v>
      </c>
      <c r="C3" s="95"/>
      <c r="E3" s="68" t="s">
        <v>71</v>
      </c>
      <c r="F3" s="64" t="s">
        <v>25</v>
      </c>
      <c r="G3" s="50">
        <v>85</v>
      </c>
      <c r="H3" s="27">
        <f>IF(B$25=0,0,G3/B$25)</f>
        <v>0.69105691056910568</v>
      </c>
      <c r="J3" s="26">
        <v>1</v>
      </c>
      <c r="K3" s="28">
        <v>40.9</v>
      </c>
      <c r="M3" s="26" t="s">
        <v>190</v>
      </c>
      <c r="N3" s="45">
        <f t="shared" si="0"/>
        <v>-1688.8888888888889</v>
      </c>
      <c r="O3" s="42">
        <v>-152000</v>
      </c>
      <c r="P3" s="37">
        <v>90</v>
      </c>
    </row>
    <row r="4" spans="1:16" x14ac:dyDescent="0.4">
      <c r="A4" s="58" t="s">
        <v>6</v>
      </c>
      <c r="B4" s="96">
        <v>-381</v>
      </c>
      <c r="C4" s="97"/>
      <c r="E4" s="68" t="s">
        <v>69</v>
      </c>
      <c r="F4" s="64" t="s">
        <v>23</v>
      </c>
      <c r="G4" s="50">
        <v>72</v>
      </c>
      <c r="H4" s="27">
        <f>IF(B$25=0,0,G4/B$25)</f>
        <v>0.58536585365853655</v>
      </c>
      <c r="J4" s="26">
        <v>2</v>
      </c>
      <c r="K4" s="28">
        <v>-0.89999999999999858</v>
      </c>
      <c r="M4" s="26" t="s">
        <v>191</v>
      </c>
      <c r="N4" s="45">
        <f t="shared" si="0"/>
        <v>2085.0574712643679</v>
      </c>
      <c r="O4" s="42">
        <v>181400</v>
      </c>
      <c r="P4" s="37">
        <v>87</v>
      </c>
    </row>
    <row r="5" spans="1:16" x14ac:dyDescent="0.4">
      <c r="A5" s="58" t="s">
        <v>7</v>
      </c>
      <c r="B5" s="96">
        <f>IF(B$2=0,0,B$4/B$2)</f>
        <v>-3.96875</v>
      </c>
      <c r="C5" s="97"/>
      <c r="E5" s="68" t="s">
        <v>78</v>
      </c>
      <c r="F5" s="64" t="s">
        <v>31</v>
      </c>
      <c r="G5" s="50">
        <v>68</v>
      </c>
      <c r="H5" s="27">
        <f>IF(B$25=0,0,G5/B$25)</f>
        <v>0.55284552845528456</v>
      </c>
      <c r="J5" s="26">
        <v>3</v>
      </c>
      <c r="K5" s="28">
        <v>-36.4</v>
      </c>
      <c r="M5" s="26" t="s">
        <v>192</v>
      </c>
      <c r="N5" s="45">
        <f t="shared" si="0"/>
        <v>-2153.2467532467531</v>
      </c>
      <c r="O5" s="42">
        <v>-165800</v>
      </c>
      <c r="P5" s="37">
        <v>77</v>
      </c>
    </row>
    <row r="6" spans="1:16" x14ac:dyDescent="0.4">
      <c r="A6" s="58" t="s">
        <v>1</v>
      </c>
      <c r="B6" s="98">
        <f>IF(B$2=0,0,(B$7*1+B$8*2+B$9*3)/B$2)</f>
        <v>2.1041666666666665</v>
      </c>
      <c r="C6" s="99"/>
      <c r="E6" s="68" t="s">
        <v>74</v>
      </c>
      <c r="F6" s="64" t="s">
        <v>12</v>
      </c>
      <c r="G6" s="50">
        <v>40</v>
      </c>
      <c r="H6" s="27">
        <f>IF(B$25=0,0,G6/B$25)</f>
        <v>0.32520325203252032</v>
      </c>
      <c r="J6" s="26">
        <v>4</v>
      </c>
      <c r="K6" s="28">
        <v>3.6000000000000014</v>
      </c>
      <c r="M6" s="26" t="s">
        <v>193</v>
      </c>
      <c r="N6" s="45">
        <f t="shared" si="0"/>
        <v>-1843.5483870967741</v>
      </c>
      <c r="O6" s="42">
        <v>-114300</v>
      </c>
      <c r="P6" s="37">
        <v>62</v>
      </c>
    </row>
    <row r="7" spans="1:16" x14ac:dyDescent="0.4">
      <c r="A7" s="58" t="s">
        <v>2</v>
      </c>
      <c r="B7" s="50">
        <v>29</v>
      </c>
      <c r="C7" s="27">
        <f>IF(B$2=0,0,B7/B$2)</f>
        <v>0.30208333333333331</v>
      </c>
      <c r="E7" s="68" t="s">
        <v>72</v>
      </c>
      <c r="F7" s="64" t="s">
        <v>26</v>
      </c>
      <c r="G7" s="50">
        <v>34</v>
      </c>
      <c r="H7" s="27">
        <f>IF(B$25=0,0,G7/B$25)</f>
        <v>0.27642276422764228</v>
      </c>
      <c r="J7" s="26">
        <v>5</v>
      </c>
      <c r="K7" s="28">
        <v>14.600000000000001</v>
      </c>
      <c r="M7" s="31" t="s">
        <v>194</v>
      </c>
      <c r="N7" s="46">
        <f t="shared" si="0"/>
        <v>-2087.2340425531916</v>
      </c>
      <c r="O7" s="43">
        <v>-98100</v>
      </c>
      <c r="P7" s="38">
        <v>47</v>
      </c>
    </row>
    <row r="8" spans="1:16" x14ac:dyDescent="0.4">
      <c r="A8" s="58" t="s">
        <v>3</v>
      </c>
      <c r="B8" s="50">
        <v>28</v>
      </c>
      <c r="C8" s="27">
        <f t="shared" ref="C8:C9" si="1">IF(B$2=0,0,B8/B$2)</f>
        <v>0.29166666666666669</v>
      </c>
      <c r="E8" s="68" t="s">
        <v>76</v>
      </c>
      <c r="F8" s="64" t="s">
        <v>29</v>
      </c>
      <c r="G8" s="50">
        <v>20</v>
      </c>
      <c r="H8" s="27">
        <f>IF(B$25=0,0,G8/B$25)</f>
        <v>0.16260162601626016</v>
      </c>
      <c r="J8" s="26">
        <v>6</v>
      </c>
      <c r="K8" s="28">
        <v>47.6</v>
      </c>
    </row>
    <row r="9" spans="1:16" x14ac:dyDescent="0.4">
      <c r="A9" s="59" t="s">
        <v>4</v>
      </c>
      <c r="B9" s="51">
        <v>39</v>
      </c>
      <c r="C9" s="29">
        <f t="shared" si="1"/>
        <v>0.40625</v>
      </c>
      <c r="E9" s="68" t="s">
        <v>96</v>
      </c>
      <c r="F9" s="64" t="s">
        <v>49</v>
      </c>
      <c r="G9" s="50">
        <v>20</v>
      </c>
      <c r="H9" s="27">
        <f>IF(B$25=0,0,G9/B$25)</f>
        <v>0.16260162601626016</v>
      </c>
      <c r="J9" s="26">
        <v>7</v>
      </c>
      <c r="K9" s="28">
        <v>100.1</v>
      </c>
    </row>
    <row r="10" spans="1:16" x14ac:dyDescent="0.4">
      <c r="A10" s="59" t="s">
        <v>21</v>
      </c>
      <c r="B10" s="51">
        <v>22</v>
      </c>
      <c r="C10" s="29">
        <f>IF(B$2=0,0,B10/B$2)</f>
        <v>0.22916666666666666</v>
      </c>
      <c r="E10" s="68" t="s">
        <v>75</v>
      </c>
      <c r="F10" s="64" t="s">
        <v>28</v>
      </c>
      <c r="G10" s="50">
        <v>19</v>
      </c>
      <c r="H10" s="27">
        <f>IF(B$25=0,0,G10/B$25)</f>
        <v>0.15447154471544716</v>
      </c>
      <c r="J10" s="26">
        <v>8</v>
      </c>
      <c r="K10" s="28">
        <v>60.199999999999996</v>
      </c>
    </row>
    <row r="11" spans="1:16" x14ac:dyDescent="0.4">
      <c r="A11" s="60" t="s">
        <v>199</v>
      </c>
      <c r="B11" s="52">
        <v>14</v>
      </c>
      <c r="C11" s="32">
        <f>IF(B$2=0,0,B11/B$2)</f>
        <v>0.14583333333333334</v>
      </c>
      <c r="E11" s="68" t="s">
        <v>70</v>
      </c>
      <c r="F11" s="64" t="s">
        <v>24</v>
      </c>
      <c r="G11" s="50">
        <v>14</v>
      </c>
      <c r="H11" s="27">
        <f>IF(B$25=0,0,G11/B$25)</f>
        <v>0.11382113821138211</v>
      </c>
      <c r="J11" s="26">
        <v>9</v>
      </c>
      <c r="K11" s="28">
        <v>24.4</v>
      </c>
    </row>
    <row r="12" spans="1:16" x14ac:dyDescent="0.4">
      <c r="A12" s="61" t="s">
        <v>130</v>
      </c>
      <c r="B12" s="53">
        <v>130</v>
      </c>
      <c r="C12" s="35">
        <f>IF(B$24=0,0,B12/B$24)</f>
        <v>0.2813852813852814</v>
      </c>
      <c r="E12" s="68" t="s">
        <v>93</v>
      </c>
      <c r="F12" s="64" t="s">
        <v>46</v>
      </c>
      <c r="G12" s="50">
        <v>13</v>
      </c>
      <c r="H12" s="27">
        <f>IF(B$25=0,0,G12/B$25)</f>
        <v>0.10569105691056911</v>
      </c>
      <c r="J12" s="26">
        <v>10</v>
      </c>
      <c r="K12" s="28">
        <v>-20.100000000000001</v>
      </c>
    </row>
    <row r="13" spans="1:16" x14ac:dyDescent="0.4">
      <c r="A13" s="58" t="s">
        <v>125</v>
      </c>
      <c r="B13" s="50">
        <v>87</v>
      </c>
      <c r="C13" s="27">
        <f>IF(B$24=0,0,B13/B$24)</f>
        <v>0.18831168831168832</v>
      </c>
      <c r="E13" s="68" t="s">
        <v>90</v>
      </c>
      <c r="F13" s="64" t="s">
        <v>43</v>
      </c>
      <c r="G13" s="50">
        <v>11</v>
      </c>
      <c r="H13" s="27">
        <f>IF(B$25=0,0,G13/B$25)</f>
        <v>8.943089430894309E-2</v>
      </c>
      <c r="J13" s="26">
        <v>11</v>
      </c>
      <c r="K13" s="28">
        <v>-3.6000000000000014</v>
      </c>
    </row>
    <row r="14" spans="1:16" x14ac:dyDescent="0.4">
      <c r="A14" s="57" t="s">
        <v>132</v>
      </c>
      <c r="B14" s="49">
        <v>73</v>
      </c>
      <c r="C14" s="24">
        <f>IF(B$12=0,0,B14/B$12)</f>
        <v>0.56153846153846154</v>
      </c>
      <c r="E14" s="68" t="s">
        <v>98</v>
      </c>
      <c r="F14" s="64" t="s">
        <v>51</v>
      </c>
      <c r="G14" s="50">
        <v>6</v>
      </c>
      <c r="H14" s="27">
        <f>IF(B$25=0,0,G14/B$25)</f>
        <v>4.878048780487805E-2</v>
      </c>
      <c r="J14" s="26">
        <v>12</v>
      </c>
      <c r="K14" s="28">
        <v>-12.000000000000002</v>
      </c>
    </row>
    <row r="15" spans="1:16" x14ac:dyDescent="0.4">
      <c r="A15" s="57" t="s">
        <v>133</v>
      </c>
      <c r="B15" s="49">
        <v>32</v>
      </c>
      <c r="C15" s="24">
        <f>IF(B$13=0,0,B15/B$13)</f>
        <v>0.36781609195402298</v>
      </c>
      <c r="E15" s="68" t="s">
        <v>88</v>
      </c>
      <c r="F15" s="64" t="s">
        <v>41</v>
      </c>
      <c r="G15" s="50">
        <v>5</v>
      </c>
      <c r="H15" s="27">
        <f>IF(B$25=0,0,G15/B$25)</f>
        <v>4.065040650406504E-2</v>
      </c>
      <c r="J15" s="26">
        <v>13</v>
      </c>
      <c r="K15" s="28">
        <v>49.5</v>
      </c>
    </row>
    <row r="16" spans="1:16" x14ac:dyDescent="0.4">
      <c r="A16" s="57" t="s">
        <v>10</v>
      </c>
      <c r="B16" s="49">
        <f>B18+B17</f>
        <v>184</v>
      </c>
      <c r="C16" s="24">
        <f>IF(B$3=0,0,B16/B$3)</f>
        <v>0.2544951590594744</v>
      </c>
      <c r="E16" s="68" t="s">
        <v>77</v>
      </c>
      <c r="F16" s="64" t="s">
        <v>30</v>
      </c>
      <c r="G16" s="50">
        <v>4</v>
      </c>
      <c r="H16" s="27">
        <f>IF(B$25=0,0,G16/B$25)</f>
        <v>3.2520325203252036E-2</v>
      </c>
      <c r="J16" s="26">
        <v>14</v>
      </c>
      <c r="K16" s="28">
        <v>33</v>
      </c>
    </row>
    <row r="17" spans="1:11" x14ac:dyDescent="0.4">
      <c r="A17" s="58" t="s">
        <v>12</v>
      </c>
      <c r="B17" s="50">
        <v>75</v>
      </c>
      <c r="C17" s="27">
        <f>IF(B$16=0,0,B17/B$16)</f>
        <v>0.40760869565217389</v>
      </c>
      <c r="E17" s="68" t="s">
        <v>84</v>
      </c>
      <c r="F17" s="64" t="s">
        <v>37</v>
      </c>
      <c r="G17" s="50">
        <v>2</v>
      </c>
      <c r="H17" s="27">
        <f>IF(B$25=0,0,G17/B$25)</f>
        <v>1.6260162601626018E-2</v>
      </c>
      <c r="J17" s="26">
        <v>15</v>
      </c>
      <c r="K17" s="28">
        <v>38.5</v>
      </c>
    </row>
    <row r="18" spans="1:11" x14ac:dyDescent="0.4">
      <c r="A18" s="58" t="s">
        <v>11</v>
      </c>
      <c r="B18" s="50">
        <v>109</v>
      </c>
      <c r="C18" s="27">
        <f>IF(B$16=0,0,B18/B$16)</f>
        <v>0.59239130434782605</v>
      </c>
      <c r="E18" s="68" t="s">
        <v>85</v>
      </c>
      <c r="F18" s="64" t="s">
        <v>38</v>
      </c>
      <c r="G18" s="50">
        <v>2</v>
      </c>
      <c r="H18" s="27">
        <f>IF(B$25=0,0,G18/B$25)</f>
        <v>1.6260162601626018E-2</v>
      </c>
      <c r="J18" s="26">
        <v>16</v>
      </c>
      <c r="K18" s="28">
        <v>14.600000000000001</v>
      </c>
    </row>
    <row r="19" spans="1:11" x14ac:dyDescent="0.4">
      <c r="A19" s="58" t="s">
        <v>13</v>
      </c>
      <c r="B19" s="50">
        <v>141</v>
      </c>
      <c r="C19" s="27">
        <f>IF(B$3=0,0,B19/B$3)</f>
        <v>0.19502074688796681</v>
      </c>
      <c r="E19" s="68" t="s">
        <v>92</v>
      </c>
      <c r="F19" s="64" t="s">
        <v>45</v>
      </c>
      <c r="G19" s="50">
        <v>2</v>
      </c>
      <c r="H19" s="27">
        <f>IF(B$25=0,0,G19/B$25)</f>
        <v>1.6260162601626018E-2</v>
      </c>
      <c r="J19" s="26">
        <v>17</v>
      </c>
      <c r="K19" s="28">
        <v>13.900000000000002</v>
      </c>
    </row>
    <row r="20" spans="1:11" x14ac:dyDescent="0.4">
      <c r="A20" s="58" t="s">
        <v>5</v>
      </c>
      <c r="B20" s="54">
        <f>IF(B$16=0,0,C20/B$16)</f>
        <v>11308.152173913044</v>
      </c>
      <c r="C20" s="30">
        <v>2080700</v>
      </c>
      <c r="E20" s="68" t="s">
        <v>99</v>
      </c>
      <c r="F20" s="64" t="s">
        <v>52</v>
      </c>
      <c r="G20" s="50">
        <v>2</v>
      </c>
      <c r="H20" s="27">
        <f>IF(B$25=0,0,G20/B$25)</f>
        <v>1.6260162601626018E-2</v>
      </c>
      <c r="J20" s="26">
        <v>18</v>
      </c>
      <c r="K20" s="28">
        <v>-21.999999999999996</v>
      </c>
    </row>
    <row r="21" spans="1:11" x14ac:dyDescent="0.4">
      <c r="A21" s="60" t="s">
        <v>14</v>
      </c>
      <c r="B21" s="55">
        <f>IF(B$19=0,0,C21/B$19)</f>
        <v>-10026.950354609929</v>
      </c>
      <c r="C21" s="48">
        <v>-1413800</v>
      </c>
      <c r="E21" s="68" t="s">
        <v>87</v>
      </c>
      <c r="F21" s="64" t="s">
        <v>40</v>
      </c>
      <c r="G21" s="50">
        <v>1</v>
      </c>
      <c r="H21" s="27">
        <f>IF(B$25=0,0,G21/B$25)</f>
        <v>8.130081300813009E-3</v>
      </c>
      <c r="J21" s="26">
        <v>19</v>
      </c>
      <c r="K21" s="28">
        <v>-26.699999999999996</v>
      </c>
    </row>
    <row r="22" spans="1:11" x14ac:dyDescent="0.4">
      <c r="A22" s="57" t="s">
        <v>186</v>
      </c>
      <c r="B22" s="49">
        <v>226</v>
      </c>
      <c r="C22" s="24">
        <f>IF(B$3=0,0,B22/B$3)</f>
        <v>0.31258644536652835</v>
      </c>
      <c r="E22" s="68" t="s">
        <v>91</v>
      </c>
      <c r="F22" s="64" t="s">
        <v>44</v>
      </c>
      <c r="G22" s="50">
        <v>1</v>
      </c>
      <c r="H22" s="27">
        <f>IF(B$25=0,0,G22/B$25)</f>
        <v>8.130081300813009E-3</v>
      </c>
      <c r="J22" s="26">
        <v>20</v>
      </c>
      <c r="K22" s="28">
        <v>-57.899999999999991</v>
      </c>
    </row>
    <row r="23" spans="1:11" x14ac:dyDescent="0.4">
      <c r="A23" s="60" t="s">
        <v>187</v>
      </c>
      <c r="B23" s="52">
        <v>69</v>
      </c>
      <c r="C23" s="32">
        <f>IF(B$22=0,0,B23/B$22)</f>
        <v>0.30530973451327431</v>
      </c>
      <c r="E23" s="68" t="s">
        <v>94</v>
      </c>
      <c r="F23" s="64" t="s">
        <v>47</v>
      </c>
      <c r="G23" s="50">
        <v>1</v>
      </c>
      <c r="H23" s="27">
        <f>IF(B$25=0,0,G23/B$25)</f>
        <v>8.130081300813009E-3</v>
      </c>
      <c r="J23" s="26">
        <v>21</v>
      </c>
      <c r="K23" s="28">
        <v>-82.699999999999989</v>
      </c>
    </row>
    <row r="24" spans="1:11" x14ac:dyDescent="0.4">
      <c r="A24" s="57" t="s">
        <v>128</v>
      </c>
      <c r="B24" s="86">
        <v>462</v>
      </c>
      <c r="C24" s="87"/>
      <c r="E24" s="68" t="s">
        <v>95</v>
      </c>
      <c r="F24" s="64" t="s">
        <v>48</v>
      </c>
      <c r="G24" s="50">
        <v>1</v>
      </c>
      <c r="H24" s="27">
        <f>IF(B$25=0,0,G24/B$25)</f>
        <v>8.130081300813009E-3</v>
      </c>
      <c r="J24" s="26">
        <v>22</v>
      </c>
      <c r="K24" s="28">
        <v>-94.6</v>
      </c>
    </row>
    <row r="25" spans="1:11" x14ac:dyDescent="0.4">
      <c r="A25" s="60" t="s">
        <v>129</v>
      </c>
      <c r="B25" s="88">
        <v>123</v>
      </c>
      <c r="C25" s="89"/>
      <c r="E25" s="68" t="s">
        <v>79</v>
      </c>
      <c r="F25" s="64" t="s">
        <v>32</v>
      </c>
      <c r="G25" s="50">
        <v>0</v>
      </c>
      <c r="H25" s="27">
        <f>IF(B$25=0,0,G25/B$25)</f>
        <v>0</v>
      </c>
      <c r="J25" s="26">
        <v>23</v>
      </c>
      <c r="K25" s="28">
        <v>-111.3</v>
      </c>
    </row>
    <row r="26" spans="1:11" x14ac:dyDescent="0.4">
      <c r="A26" s="78" t="s">
        <v>210</v>
      </c>
      <c r="B26" s="90">
        <v>10</v>
      </c>
      <c r="C26" s="91"/>
      <c r="E26" s="68" t="s">
        <v>80</v>
      </c>
      <c r="F26" s="64" t="s">
        <v>33</v>
      </c>
      <c r="G26" s="50">
        <v>0</v>
      </c>
      <c r="H26" s="27">
        <f>IF(B$25=0,0,G26/B$25)</f>
        <v>0</v>
      </c>
      <c r="J26" s="26">
        <v>24</v>
      </c>
      <c r="K26" s="28">
        <v>-68.099999999999994</v>
      </c>
    </row>
    <row r="27" spans="1:11" x14ac:dyDescent="0.4">
      <c r="A27" s="60" t="s">
        <v>212</v>
      </c>
      <c r="B27" s="79">
        <v>4</v>
      </c>
      <c r="C27" s="32">
        <f>IF(B$3=0,0,B27/B$3)</f>
        <v>5.5325034578146614E-3</v>
      </c>
      <c r="E27" s="68" t="s">
        <v>81</v>
      </c>
      <c r="F27" s="64" t="s">
        <v>34</v>
      </c>
      <c r="G27" s="50">
        <v>0</v>
      </c>
      <c r="H27" s="27">
        <f>IF(B$25=0,0,G27/B$25)</f>
        <v>0</v>
      </c>
      <c r="J27" s="26">
        <v>25</v>
      </c>
      <c r="K27" s="28">
        <v>-70.899999999999991</v>
      </c>
    </row>
    <row r="28" spans="1:11" x14ac:dyDescent="0.4">
      <c r="E28" s="68" t="s">
        <v>82</v>
      </c>
      <c r="F28" s="64" t="s">
        <v>35</v>
      </c>
      <c r="G28" s="50">
        <v>0</v>
      </c>
      <c r="H28" s="27">
        <f>IF(B$25=0,0,G28/B$25)</f>
        <v>0</v>
      </c>
      <c r="J28" s="26">
        <v>26</v>
      </c>
      <c r="K28" s="28">
        <v>-125.89999999999999</v>
      </c>
    </row>
    <row r="29" spans="1:11" x14ac:dyDescent="0.4">
      <c r="E29" s="68" t="s">
        <v>83</v>
      </c>
      <c r="F29" s="64" t="s">
        <v>36</v>
      </c>
      <c r="G29" s="50">
        <v>0</v>
      </c>
      <c r="H29" s="27">
        <f>IF(B$25=0,0,G29/B$25)</f>
        <v>0</v>
      </c>
      <c r="J29" s="26">
        <v>27</v>
      </c>
      <c r="K29" s="28">
        <v>-163.6</v>
      </c>
    </row>
    <row r="30" spans="1:11" x14ac:dyDescent="0.4">
      <c r="E30" s="68" t="s">
        <v>86</v>
      </c>
      <c r="F30" s="64" t="s">
        <v>39</v>
      </c>
      <c r="G30" s="50">
        <v>0</v>
      </c>
      <c r="H30" s="27">
        <f>IF(B$25=0,0,G30/B$25)</f>
        <v>0</v>
      </c>
      <c r="J30" s="26">
        <v>28</v>
      </c>
      <c r="K30" s="28">
        <v>-169.5</v>
      </c>
    </row>
    <row r="31" spans="1:11" x14ac:dyDescent="0.4">
      <c r="E31" s="68" t="s">
        <v>89</v>
      </c>
      <c r="F31" s="64" t="s">
        <v>42</v>
      </c>
      <c r="G31" s="50">
        <v>0</v>
      </c>
      <c r="H31" s="27">
        <f>IF(B$25=0,0,G31/B$25)</f>
        <v>0</v>
      </c>
      <c r="J31" s="26">
        <v>29</v>
      </c>
      <c r="K31" s="28">
        <v>-163.30000000000001</v>
      </c>
    </row>
    <row r="32" spans="1:11" x14ac:dyDescent="0.4">
      <c r="E32" s="68" t="s">
        <v>97</v>
      </c>
      <c r="F32" s="64" t="s">
        <v>50</v>
      </c>
      <c r="G32" s="50">
        <v>0</v>
      </c>
      <c r="H32" s="27">
        <f>IF(B$25=0,0,G32/B$25)</f>
        <v>0</v>
      </c>
      <c r="J32" s="26">
        <v>30</v>
      </c>
      <c r="K32" s="28">
        <v>-209.4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-259.89999999999998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-253.59999999999997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-234.89999999999998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-229.79999999999998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-254.29999999999998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-204.29999999999998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-249.29999999999998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-242.49999999999997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-244.59999999999997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-279.7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-320.09999999999997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-314.29999999999995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-284.79999999999995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-239.89999999999995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-256.29999999999995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-280.59999999999997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-264.59999999999997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-288.79999999999995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-282.99999999999994</v>
      </c>
    </row>
    <row r="52" spans="5:11" x14ac:dyDescent="0.4">
      <c r="J52" s="26">
        <v>50</v>
      </c>
      <c r="K52" s="28">
        <v>-287.09999999999997</v>
      </c>
    </row>
    <row r="53" spans="5:11" x14ac:dyDescent="0.4">
      <c r="J53" s="26">
        <v>51</v>
      </c>
      <c r="K53" s="28">
        <v>-269.59999999999997</v>
      </c>
    </row>
    <row r="54" spans="5:11" x14ac:dyDescent="0.4">
      <c r="J54" s="26">
        <v>52</v>
      </c>
      <c r="K54" s="28">
        <v>-308.09999999999997</v>
      </c>
    </row>
    <row r="55" spans="5:11" x14ac:dyDescent="0.4">
      <c r="J55" s="26">
        <v>53</v>
      </c>
      <c r="K55" s="28">
        <v>-336.49999999999994</v>
      </c>
    </row>
    <row r="56" spans="5:11" x14ac:dyDescent="0.4">
      <c r="J56" s="26">
        <v>54</v>
      </c>
      <c r="K56" s="28">
        <v>-378.89999999999992</v>
      </c>
    </row>
    <row r="57" spans="5:11" x14ac:dyDescent="0.4">
      <c r="J57" s="26">
        <v>55</v>
      </c>
      <c r="K57" s="28">
        <v>-364.2999999999999</v>
      </c>
    </row>
    <row r="58" spans="5:11" x14ac:dyDescent="0.4">
      <c r="J58" s="26">
        <v>56</v>
      </c>
      <c r="K58" s="28">
        <v>-316.2999999999999</v>
      </c>
    </row>
    <row r="59" spans="5:11" x14ac:dyDescent="0.4">
      <c r="J59" s="26">
        <v>57</v>
      </c>
      <c r="K59" s="28">
        <v>-312.49999999999989</v>
      </c>
    </row>
    <row r="60" spans="5:11" x14ac:dyDescent="0.4">
      <c r="J60" s="26">
        <v>58</v>
      </c>
      <c r="K60" s="28">
        <v>-254.59999999999988</v>
      </c>
    </row>
    <row r="61" spans="5:11" x14ac:dyDescent="0.4">
      <c r="J61" s="26">
        <v>59</v>
      </c>
      <c r="K61" s="28">
        <v>-205.09999999999988</v>
      </c>
    </row>
    <row r="62" spans="5:11" x14ac:dyDescent="0.4">
      <c r="J62" s="26">
        <v>60</v>
      </c>
      <c r="K62" s="28">
        <v>-214.59999999999988</v>
      </c>
    </row>
    <row r="63" spans="5:11" x14ac:dyDescent="0.4">
      <c r="J63" s="26">
        <v>61</v>
      </c>
      <c r="K63" s="28">
        <v>-211.89999999999989</v>
      </c>
    </row>
    <row r="64" spans="5:11" x14ac:dyDescent="0.4">
      <c r="J64" s="26">
        <v>62</v>
      </c>
      <c r="K64" s="28">
        <v>-250.89999999999989</v>
      </c>
    </row>
    <row r="65" spans="10:11" x14ac:dyDescent="0.4">
      <c r="J65" s="26">
        <v>63</v>
      </c>
      <c r="K65" s="28">
        <v>-290.99999999999989</v>
      </c>
    </row>
    <row r="66" spans="10:11" x14ac:dyDescent="0.4">
      <c r="J66" s="26">
        <v>64</v>
      </c>
      <c r="K66" s="28">
        <v>-356.99999999999989</v>
      </c>
    </row>
    <row r="67" spans="10:11" x14ac:dyDescent="0.4">
      <c r="J67" s="26">
        <v>65</v>
      </c>
      <c r="K67" s="28">
        <v>-381.09999999999991</v>
      </c>
    </row>
    <row r="68" spans="10:11" x14ac:dyDescent="0.4">
      <c r="J68" s="26">
        <v>66</v>
      </c>
      <c r="K68" s="28">
        <v>-378.49999999999989</v>
      </c>
    </row>
    <row r="69" spans="10:11" x14ac:dyDescent="0.4">
      <c r="J69" s="26">
        <v>67</v>
      </c>
      <c r="K69" s="28">
        <v>-371.19999999999987</v>
      </c>
    </row>
    <row r="70" spans="10:11" x14ac:dyDescent="0.4">
      <c r="J70" s="26">
        <v>68</v>
      </c>
      <c r="K70" s="28">
        <v>-407.2999999999999</v>
      </c>
    </row>
    <row r="71" spans="10:11" x14ac:dyDescent="0.4">
      <c r="J71" s="26">
        <v>69</v>
      </c>
      <c r="K71" s="28">
        <v>-412.49999999999989</v>
      </c>
    </row>
    <row r="72" spans="10:11" x14ac:dyDescent="0.4">
      <c r="J72" s="26">
        <v>70</v>
      </c>
      <c r="K72" s="28">
        <v>-379.49999999999989</v>
      </c>
    </row>
    <row r="73" spans="10:11" x14ac:dyDescent="0.4">
      <c r="J73" s="26">
        <v>71</v>
      </c>
      <c r="K73" s="28">
        <v>-374.2999999999999</v>
      </c>
    </row>
    <row r="74" spans="10:11" x14ac:dyDescent="0.4">
      <c r="J74" s="26">
        <v>72</v>
      </c>
      <c r="K74" s="28">
        <v>-409.7999999999999</v>
      </c>
    </row>
    <row r="75" spans="10:11" x14ac:dyDescent="0.4">
      <c r="J75" s="26">
        <v>73</v>
      </c>
      <c r="K75" s="28">
        <v>-393.59999999999991</v>
      </c>
    </row>
    <row r="76" spans="10:11" x14ac:dyDescent="0.4">
      <c r="J76" s="26">
        <v>74</v>
      </c>
      <c r="K76" s="28">
        <v>-399.49999999999989</v>
      </c>
    </row>
    <row r="77" spans="10:11" x14ac:dyDescent="0.4">
      <c r="J77" s="26">
        <v>75</v>
      </c>
      <c r="K77" s="28">
        <v>-419.69999999999987</v>
      </c>
    </row>
    <row r="78" spans="10:11" x14ac:dyDescent="0.4">
      <c r="J78" s="26">
        <v>76</v>
      </c>
      <c r="K78" s="28">
        <v>-369.69999999999987</v>
      </c>
    </row>
    <row r="79" spans="10:11" x14ac:dyDescent="0.4">
      <c r="J79" s="26">
        <v>77</v>
      </c>
      <c r="K79" s="28">
        <v>-381.7999999999999</v>
      </c>
    </row>
    <row r="80" spans="10:11" x14ac:dyDescent="0.4">
      <c r="J80" s="26">
        <v>78</v>
      </c>
      <c r="K80" s="28">
        <v>-365.99999999999989</v>
      </c>
    </row>
    <row r="81" spans="10:11" x14ac:dyDescent="0.4">
      <c r="J81" s="26">
        <v>79</v>
      </c>
      <c r="K81" s="28">
        <v>-383.99999999999989</v>
      </c>
    </row>
    <row r="82" spans="10:11" x14ac:dyDescent="0.4">
      <c r="J82" s="26">
        <v>80</v>
      </c>
      <c r="K82" s="28">
        <v>-390.7999999999999</v>
      </c>
    </row>
    <row r="83" spans="10:11" x14ac:dyDescent="0.4">
      <c r="J83" s="26">
        <v>81</v>
      </c>
      <c r="K83" s="28">
        <v>-378.99999999999989</v>
      </c>
    </row>
    <row r="84" spans="10:11" x14ac:dyDescent="0.4">
      <c r="J84" s="26">
        <v>82</v>
      </c>
      <c r="K84" s="28">
        <v>-398.59999999999991</v>
      </c>
    </row>
    <row r="85" spans="10:11" x14ac:dyDescent="0.4">
      <c r="J85" s="26">
        <v>83</v>
      </c>
      <c r="K85" s="28">
        <v>-397.39999999999992</v>
      </c>
    </row>
    <row r="86" spans="10:11" x14ac:dyDescent="0.4">
      <c r="J86" s="26">
        <v>84</v>
      </c>
      <c r="K86" s="28">
        <v>-371.89999999999992</v>
      </c>
    </row>
    <row r="87" spans="10:11" x14ac:dyDescent="0.4">
      <c r="J87" s="26">
        <v>85</v>
      </c>
      <c r="K87" s="28">
        <v>-409.89999999999992</v>
      </c>
    </row>
    <row r="88" spans="10:11" x14ac:dyDescent="0.4">
      <c r="J88" s="26">
        <v>86</v>
      </c>
      <c r="K88" s="28">
        <v>-386.39999999999992</v>
      </c>
    </row>
    <row r="89" spans="10:11" x14ac:dyDescent="0.4">
      <c r="J89" s="26">
        <v>87</v>
      </c>
      <c r="K89" s="28">
        <v>-360.69999999999993</v>
      </c>
    </row>
    <row r="90" spans="10:11" x14ac:dyDescent="0.4">
      <c r="J90" s="26">
        <v>88</v>
      </c>
      <c r="K90" s="28">
        <v>-377.49999999999994</v>
      </c>
    </row>
    <row r="91" spans="10:11" x14ac:dyDescent="0.4">
      <c r="J91" s="26">
        <v>89</v>
      </c>
      <c r="K91" s="28">
        <v>-410.29999999999995</v>
      </c>
    </row>
    <row r="92" spans="10:11" x14ac:dyDescent="0.4">
      <c r="J92" s="26">
        <v>90</v>
      </c>
      <c r="K92" s="28">
        <v>-405.79999999999995</v>
      </c>
    </row>
    <row r="93" spans="10:11" x14ac:dyDescent="0.4">
      <c r="J93" s="26">
        <v>91</v>
      </c>
      <c r="K93" s="28">
        <v>-395.29999999999995</v>
      </c>
    </row>
    <row r="94" spans="10:11" x14ac:dyDescent="0.4">
      <c r="J94" s="26">
        <v>92</v>
      </c>
      <c r="K94" s="28">
        <v>-365.49999999999994</v>
      </c>
    </row>
    <row r="95" spans="10:11" x14ac:dyDescent="0.4">
      <c r="J95" s="26">
        <v>93</v>
      </c>
      <c r="K95" s="28">
        <v>-401.99999999999994</v>
      </c>
    </row>
    <row r="96" spans="10:11" x14ac:dyDescent="0.4">
      <c r="J96" s="26">
        <v>94</v>
      </c>
      <c r="K96" s="28">
        <v>-372.59999999999997</v>
      </c>
    </row>
    <row r="97" spans="10:11" x14ac:dyDescent="0.4">
      <c r="J97" s="26">
        <v>95</v>
      </c>
      <c r="K97" s="28">
        <v>-399.4</v>
      </c>
    </row>
    <row r="98" spans="10:11" x14ac:dyDescent="0.4">
      <c r="J98" s="26">
        <v>96</v>
      </c>
      <c r="K98" s="28">
        <v>-381</v>
      </c>
    </row>
  </sheetData>
  <sortState ref="E2:H98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77C72-6781-49E8-AAB9-5C9654AAFAA1}">
  <sheetPr codeName="Sheet8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180</v>
      </c>
      <c r="C1" s="93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86">
        <v>48</v>
      </c>
      <c r="C2" s="87"/>
      <c r="E2" s="67" t="s">
        <v>71</v>
      </c>
      <c r="F2" s="63" t="s">
        <v>25</v>
      </c>
      <c r="G2" s="49">
        <v>34</v>
      </c>
      <c r="H2" s="24">
        <f>IF(B$25=0,0,G2/B$25)</f>
        <v>1</v>
      </c>
      <c r="J2" s="23">
        <v>0</v>
      </c>
      <c r="K2" s="25">
        <v>0</v>
      </c>
      <c r="M2" s="23" t="s">
        <v>189</v>
      </c>
      <c r="N2" s="44">
        <f t="shared" ref="N2:N7" si="0">IF(P2=0,0,O2/P2)</f>
        <v>-718.75</v>
      </c>
      <c r="O2" s="41">
        <v>-34500</v>
      </c>
      <c r="P2" s="39">
        <v>48</v>
      </c>
    </row>
    <row r="3" spans="1:16" x14ac:dyDescent="0.4">
      <c r="A3" s="58" t="s">
        <v>8</v>
      </c>
      <c r="B3" s="94">
        <v>343</v>
      </c>
      <c r="C3" s="95"/>
      <c r="E3" s="68" t="s">
        <v>73</v>
      </c>
      <c r="F3" s="64" t="s">
        <v>27</v>
      </c>
      <c r="G3" s="50">
        <v>30</v>
      </c>
      <c r="H3" s="27">
        <f>IF(B$25=0,0,G3/B$25)</f>
        <v>0.88235294117647056</v>
      </c>
      <c r="J3" s="26">
        <v>1</v>
      </c>
      <c r="K3" s="28">
        <v>-39.9</v>
      </c>
      <c r="M3" s="26" t="s">
        <v>190</v>
      </c>
      <c r="N3" s="45">
        <f t="shared" si="0"/>
        <v>2878.2608695652175</v>
      </c>
      <c r="O3" s="42">
        <v>132400</v>
      </c>
      <c r="P3" s="37">
        <v>46</v>
      </c>
    </row>
    <row r="4" spans="1:16" x14ac:dyDescent="0.4">
      <c r="A4" s="58" t="s">
        <v>6</v>
      </c>
      <c r="B4" s="96">
        <v>213.70000000000005</v>
      </c>
      <c r="C4" s="97"/>
      <c r="E4" s="68" t="s">
        <v>78</v>
      </c>
      <c r="F4" s="64" t="s">
        <v>31</v>
      </c>
      <c r="G4" s="50">
        <v>24</v>
      </c>
      <c r="H4" s="27">
        <f>IF(B$25=0,0,G4/B$25)</f>
        <v>0.70588235294117652</v>
      </c>
      <c r="J4" s="26">
        <v>2</v>
      </c>
      <c r="K4" s="28">
        <v>-13.2</v>
      </c>
      <c r="M4" s="26" t="s">
        <v>191</v>
      </c>
      <c r="N4" s="45">
        <f t="shared" si="0"/>
        <v>-272.72727272727275</v>
      </c>
      <c r="O4" s="42">
        <v>-12000</v>
      </c>
      <c r="P4" s="37">
        <v>44</v>
      </c>
    </row>
    <row r="5" spans="1:16" x14ac:dyDescent="0.4">
      <c r="A5" s="58" t="s">
        <v>7</v>
      </c>
      <c r="B5" s="96">
        <f>IF(B$2=0,0,B$4/B$2)</f>
        <v>4.4520833333333343</v>
      </c>
      <c r="C5" s="97"/>
      <c r="E5" s="68" t="s">
        <v>69</v>
      </c>
      <c r="F5" s="64" t="s">
        <v>23</v>
      </c>
      <c r="G5" s="50">
        <v>15</v>
      </c>
      <c r="H5" s="27">
        <f>IF(B$25=0,0,G5/B$25)</f>
        <v>0.44117647058823528</v>
      </c>
      <c r="J5" s="26">
        <v>3</v>
      </c>
      <c r="K5" s="28">
        <v>-57.7</v>
      </c>
      <c r="M5" s="26" t="s">
        <v>192</v>
      </c>
      <c r="N5" s="45">
        <f t="shared" si="0"/>
        <v>-1586.4864864864865</v>
      </c>
      <c r="O5" s="42">
        <v>-58700</v>
      </c>
      <c r="P5" s="37">
        <v>37</v>
      </c>
    </row>
    <row r="6" spans="1:16" x14ac:dyDescent="0.4">
      <c r="A6" s="58" t="s">
        <v>1</v>
      </c>
      <c r="B6" s="98">
        <f>IF(B$2=0,0,(B$7*1+B$8*2+B$9*3)/B$2)</f>
        <v>1.8958333333333333</v>
      </c>
      <c r="C6" s="99"/>
      <c r="E6" s="68" t="s">
        <v>72</v>
      </c>
      <c r="F6" s="64" t="s">
        <v>26</v>
      </c>
      <c r="G6" s="50">
        <v>10</v>
      </c>
      <c r="H6" s="27">
        <f>IF(B$25=0,0,G6/B$25)</f>
        <v>0.29411764705882354</v>
      </c>
      <c r="J6" s="26">
        <v>4</v>
      </c>
      <c r="K6" s="28">
        <v>-53.7</v>
      </c>
      <c r="M6" s="26" t="s">
        <v>193</v>
      </c>
      <c r="N6" s="45">
        <f t="shared" si="0"/>
        <v>6312.9032258064517</v>
      </c>
      <c r="O6" s="42">
        <v>195700</v>
      </c>
      <c r="P6" s="37">
        <v>31</v>
      </c>
    </row>
    <row r="7" spans="1:16" x14ac:dyDescent="0.4">
      <c r="A7" s="58" t="s">
        <v>2</v>
      </c>
      <c r="B7" s="50">
        <v>17</v>
      </c>
      <c r="C7" s="27">
        <f>IF(B$2=0,0,B7/B$2)</f>
        <v>0.35416666666666669</v>
      </c>
      <c r="E7" s="68" t="s">
        <v>74</v>
      </c>
      <c r="F7" s="64" t="s">
        <v>12</v>
      </c>
      <c r="G7" s="50">
        <v>7</v>
      </c>
      <c r="H7" s="27">
        <f>IF(B$25=0,0,G7/B$25)</f>
        <v>0.20588235294117646</v>
      </c>
      <c r="J7" s="26">
        <v>5</v>
      </c>
      <c r="K7" s="28">
        <v>-45.7</v>
      </c>
      <c r="M7" s="31" t="s">
        <v>194</v>
      </c>
      <c r="N7" s="46">
        <f t="shared" si="0"/>
        <v>-323.8095238095238</v>
      </c>
      <c r="O7" s="43">
        <v>-6800</v>
      </c>
      <c r="P7" s="38">
        <v>21</v>
      </c>
    </row>
    <row r="8" spans="1:16" x14ac:dyDescent="0.4">
      <c r="A8" s="58" t="s">
        <v>3</v>
      </c>
      <c r="B8" s="50">
        <v>19</v>
      </c>
      <c r="C8" s="27">
        <f t="shared" ref="C8:C9" si="1">IF(B$2=0,0,B8/B$2)</f>
        <v>0.39583333333333331</v>
      </c>
      <c r="E8" s="68" t="s">
        <v>70</v>
      </c>
      <c r="F8" s="64" t="s">
        <v>24</v>
      </c>
      <c r="G8" s="50">
        <v>3</v>
      </c>
      <c r="H8" s="27">
        <f>IF(B$25=0,0,G8/B$25)</f>
        <v>8.8235294117647065E-2</v>
      </c>
      <c r="J8" s="26">
        <v>6</v>
      </c>
      <c r="K8" s="28">
        <v>-50.6</v>
      </c>
    </row>
    <row r="9" spans="1:16" x14ac:dyDescent="0.4">
      <c r="A9" s="59" t="s">
        <v>4</v>
      </c>
      <c r="B9" s="51">
        <v>12</v>
      </c>
      <c r="C9" s="29">
        <f t="shared" si="1"/>
        <v>0.25</v>
      </c>
      <c r="E9" s="68" t="s">
        <v>75</v>
      </c>
      <c r="F9" s="64" t="s">
        <v>28</v>
      </c>
      <c r="G9" s="50">
        <v>3</v>
      </c>
      <c r="H9" s="27">
        <f>IF(B$25=0,0,G9/B$25)</f>
        <v>8.8235294117647065E-2</v>
      </c>
      <c r="J9" s="26">
        <v>7</v>
      </c>
      <c r="K9" s="28">
        <v>-47.6</v>
      </c>
    </row>
    <row r="10" spans="1:16" x14ac:dyDescent="0.4">
      <c r="A10" s="59" t="s">
        <v>21</v>
      </c>
      <c r="B10" s="51">
        <v>6</v>
      </c>
      <c r="C10" s="29">
        <f>IF(B$2=0,0,B10/B$2)</f>
        <v>0.125</v>
      </c>
      <c r="E10" s="68" t="s">
        <v>76</v>
      </c>
      <c r="F10" s="64" t="s">
        <v>29</v>
      </c>
      <c r="G10" s="50">
        <v>3</v>
      </c>
      <c r="H10" s="27">
        <f>IF(B$25=0,0,G10/B$25)</f>
        <v>8.8235294117647065E-2</v>
      </c>
      <c r="J10" s="26">
        <v>8</v>
      </c>
      <c r="K10" s="28">
        <v>-59.1</v>
      </c>
    </row>
    <row r="11" spans="1:16" x14ac:dyDescent="0.4">
      <c r="A11" s="60" t="s">
        <v>199</v>
      </c>
      <c r="B11" s="52">
        <v>9</v>
      </c>
      <c r="C11" s="32">
        <f>IF(B$2=0,0,B11/B$2)</f>
        <v>0.1875</v>
      </c>
      <c r="E11" s="68" t="s">
        <v>90</v>
      </c>
      <c r="F11" s="64" t="s">
        <v>43</v>
      </c>
      <c r="G11" s="50">
        <v>3</v>
      </c>
      <c r="H11" s="27">
        <f>IF(B$25=0,0,G11/B$25)</f>
        <v>8.8235294117647065E-2</v>
      </c>
      <c r="J11" s="26">
        <v>9</v>
      </c>
      <c r="K11" s="28">
        <v>-77.900000000000006</v>
      </c>
    </row>
    <row r="12" spans="1:16" x14ac:dyDescent="0.4">
      <c r="A12" s="61" t="s">
        <v>130</v>
      </c>
      <c r="B12" s="53">
        <v>22</v>
      </c>
      <c r="C12" s="35">
        <f>IF(B$24=0,0,B12/B$24)</f>
        <v>0.20952380952380953</v>
      </c>
      <c r="E12" s="68" t="s">
        <v>88</v>
      </c>
      <c r="F12" s="64" t="s">
        <v>41</v>
      </c>
      <c r="G12" s="50">
        <v>2</v>
      </c>
      <c r="H12" s="27">
        <f>IF(B$25=0,0,G12/B$25)</f>
        <v>5.8823529411764705E-2</v>
      </c>
      <c r="J12" s="26">
        <v>10</v>
      </c>
      <c r="K12" s="28">
        <v>-78.900000000000006</v>
      </c>
    </row>
    <row r="13" spans="1:16" x14ac:dyDescent="0.4">
      <c r="A13" s="58" t="s">
        <v>125</v>
      </c>
      <c r="B13" s="50">
        <v>34</v>
      </c>
      <c r="C13" s="27">
        <f>IF(B$24=0,0,B13/B$24)</f>
        <v>0.32380952380952382</v>
      </c>
      <c r="E13" s="68" t="s">
        <v>93</v>
      </c>
      <c r="F13" s="64" t="s">
        <v>46</v>
      </c>
      <c r="G13" s="50">
        <v>2</v>
      </c>
      <c r="H13" s="27">
        <f>IF(B$25=0,0,G13/B$25)</f>
        <v>5.8823529411764705E-2</v>
      </c>
      <c r="J13" s="26">
        <v>11</v>
      </c>
      <c r="K13" s="28">
        <v>-88.9</v>
      </c>
    </row>
    <row r="14" spans="1:16" x14ac:dyDescent="0.4">
      <c r="A14" s="57" t="s">
        <v>132</v>
      </c>
      <c r="B14" s="49">
        <v>15</v>
      </c>
      <c r="C14" s="24">
        <f>IF(B$12=0,0,B14/B$12)</f>
        <v>0.68181818181818177</v>
      </c>
      <c r="E14" s="68" t="s">
        <v>96</v>
      </c>
      <c r="F14" s="64" t="s">
        <v>49</v>
      </c>
      <c r="G14" s="50">
        <v>2</v>
      </c>
      <c r="H14" s="27">
        <f>IF(B$25=0,0,G14/B$25)</f>
        <v>5.8823529411764705E-2</v>
      </c>
      <c r="J14" s="26">
        <v>12</v>
      </c>
      <c r="K14" s="28">
        <v>-23.5</v>
      </c>
    </row>
    <row r="15" spans="1:16" x14ac:dyDescent="0.4">
      <c r="A15" s="57" t="s">
        <v>133</v>
      </c>
      <c r="B15" s="49">
        <v>13</v>
      </c>
      <c r="C15" s="24">
        <f>IF(B$13=0,0,B15/B$13)</f>
        <v>0.38235294117647056</v>
      </c>
      <c r="E15" s="68" t="s">
        <v>84</v>
      </c>
      <c r="F15" s="64" t="s">
        <v>37</v>
      </c>
      <c r="G15" s="50">
        <v>1</v>
      </c>
      <c r="H15" s="27">
        <f>IF(B$25=0,0,G15/B$25)</f>
        <v>2.9411764705882353E-2</v>
      </c>
      <c r="J15" s="26">
        <v>13</v>
      </c>
      <c r="K15" s="28">
        <v>-12.4</v>
      </c>
    </row>
    <row r="16" spans="1:16" x14ac:dyDescent="0.4">
      <c r="A16" s="57" t="s">
        <v>10</v>
      </c>
      <c r="B16" s="49">
        <f>B18+B17</f>
        <v>121</v>
      </c>
      <c r="C16" s="24">
        <f>IF(B$3=0,0,B16/B$3)</f>
        <v>0.35276967930029157</v>
      </c>
      <c r="E16" s="68" t="s">
        <v>77</v>
      </c>
      <c r="F16" s="64" t="s">
        <v>30</v>
      </c>
      <c r="G16" s="50">
        <v>0</v>
      </c>
      <c r="H16" s="27">
        <f>IF(B$25=0,0,G16/B$25)</f>
        <v>0</v>
      </c>
      <c r="J16" s="26">
        <v>14</v>
      </c>
      <c r="K16" s="28">
        <v>38.6</v>
      </c>
    </row>
    <row r="17" spans="1:11" x14ac:dyDescent="0.4">
      <c r="A17" s="58" t="s">
        <v>12</v>
      </c>
      <c r="B17" s="50">
        <v>51</v>
      </c>
      <c r="C17" s="27">
        <f>IF(B$16=0,0,B17/B$16)</f>
        <v>0.42148760330578511</v>
      </c>
      <c r="E17" s="68" t="s">
        <v>79</v>
      </c>
      <c r="F17" s="64" t="s">
        <v>32</v>
      </c>
      <c r="G17" s="50">
        <v>0</v>
      </c>
      <c r="H17" s="27">
        <f>IF(B$25=0,0,G17/B$25)</f>
        <v>0</v>
      </c>
      <c r="J17" s="26">
        <v>15</v>
      </c>
      <c r="K17" s="28">
        <v>55.8</v>
      </c>
    </row>
    <row r="18" spans="1:11" x14ac:dyDescent="0.4">
      <c r="A18" s="58" t="s">
        <v>11</v>
      </c>
      <c r="B18" s="50">
        <v>70</v>
      </c>
      <c r="C18" s="27">
        <f>IF(B$16=0,0,B18/B$16)</f>
        <v>0.57851239669421484</v>
      </c>
      <c r="E18" s="68" t="s">
        <v>80</v>
      </c>
      <c r="F18" s="64" t="s">
        <v>33</v>
      </c>
      <c r="G18" s="50">
        <v>0</v>
      </c>
      <c r="H18" s="27">
        <f>IF(B$25=0,0,G18/B$25)</f>
        <v>0</v>
      </c>
      <c r="J18" s="26">
        <v>16</v>
      </c>
      <c r="K18" s="28">
        <v>40.299999999999997</v>
      </c>
    </row>
    <row r="19" spans="1:11" x14ac:dyDescent="0.4">
      <c r="A19" s="58" t="s">
        <v>13</v>
      </c>
      <c r="B19" s="50">
        <v>53</v>
      </c>
      <c r="C19" s="27">
        <f>IF(B$3=0,0,B19/B$3)</f>
        <v>0.15451895043731778</v>
      </c>
      <c r="E19" s="68" t="s">
        <v>81</v>
      </c>
      <c r="F19" s="64" t="s">
        <v>34</v>
      </c>
      <c r="G19" s="50">
        <v>0</v>
      </c>
      <c r="H19" s="27">
        <f>IF(B$25=0,0,G19/B$25)</f>
        <v>0</v>
      </c>
      <c r="J19" s="26">
        <v>17</v>
      </c>
      <c r="K19" s="28">
        <v>15.799999999999997</v>
      </c>
    </row>
    <row r="20" spans="1:11" x14ac:dyDescent="0.4">
      <c r="A20" s="58" t="s">
        <v>5</v>
      </c>
      <c r="B20" s="54">
        <f>IF(B$16=0,0,C20/B$16)</f>
        <v>9616.5289256198339</v>
      </c>
      <c r="C20" s="30">
        <v>1163600</v>
      </c>
      <c r="E20" s="68" t="s">
        <v>82</v>
      </c>
      <c r="F20" s="64" t="s">
        <v>35</v>
      </c>
      <c r="G20" s="50">
        <v>0</v>
      </c>
      <c r="H20" s="27">
        <f>IF(B$25=0,0,G20/B$25)</f>
        <v>0</v>
      </c>
      <c r="J20" s="26">
        <v>18</v>
      </c>
      <c r="K20" s="28">
        <v>-25.700000000000003</v>
      </c>
    </row>
    <row r="21" spans="1:11" x14ac:dyDescent="0.4">
      <c r="A21" s="60" t="s">
        <v>14</v>
      </c>
      <c r="B21" s="55">
        <f>IF(B$19=0,0,C21/B$19)</f>
        <v>-8954.7169811320746</v>
      </c>
      <c r="C21" s="48">
        <v>-474600</v>
      </c>
      <c r="E21" s="68" t="s">
        <v>83</v>
      </c>
      <c r="F21" s="64" t="s">
        <v>36</v>
      </c>
      <c r="G21" s="50">
        <v>0</v>
      </c>
      <c r="H21" s="27">
        <f>IF(B$25=0,0,G21/B$25)</f>
        <v>0</v>
      </c>
      <c r="J21" s="26">
        <v>19</v>
      </c>
      <c r="K21" s="28">
        <v>-17.700000000000003</v>
      </c>
    </row>
    <row r="22" spans="1:11" x14ac:dyDescent="0.4">
      <c r="A22" s="57" t="s">
        <v>186</v>
      </c>
      <c r="B22" s="49">
        <v>125</v>
      </c>
      <c r="C22" s="24">
        <f>IF(B$3=0,0,B22/B$3)</f>
        <v>0.36443148688046645</v>
      </c>
      <c r="E22" s="68" t="s">
        <v>85</v>
      </c>
      <c r="F22" s="64" t="s">
        <v>38</v>
      </c>
      <c r="G22" s="50">
        <v>0</v>
      </c>
      <c r="H22" s="27">
        <f>IF(B$25=0,0,G22/B$25)</f>
        <v>0</v>
      </c>
      <c r="J22" s="26">
        <v>20</v>
      </c>
      <c r="K22" s="28">
        <v>7.4999999999999964</v>
      </c>
    </row>
    <row r="23" spans="1:11" x14ac:dyDescent="0.4">
      <c r="A23" s="60" t="s">
        <v>187</v>
      </c>
      <c r="B23" s="52">
        <v>45</v>
      </c>
      <c r="C23" s="32">
        <f>IF(B$22=0,0,B23/B$22)</f>
        <v>0.36</v>
      </c>
      <c r="E23" s="68" t="s">
        <v>86</v>
      </c>
      <c r="F23" s="64" t="s">
        <v>39</v>
      </c>
      <c r="G23" s="50">
        <v>0</v>
      </c>
      <c r="H23" s="27">
        <f>IF(B$25=0,0,G23/B$25)</f>
        <v>0</v>
      </c>
      <c r="J23" s="26">
        <v>21</v>
      </c>
      <c r="K23" s="28">
        <v>69.8</v>
      </c>
    </row>
    <row r="24" spans="1:11" x14ac:dyDescent="0.4">
      <c r="A24" s="57" t="s">
        <v>128</v>
      </c>
      <c r="B24" s="86">
        <v>105</v>
      </c>
      <c r="C24" s="87"/>
      <c r="E24" s="68" t="s">
        <v>87</v>
      </c>
      <c r="F24" s="64" t="s">
        <v>40</v>
      </c>
      <c r="G24" s="50">
        <v>0</v>
      </c>
      <c r="H24" s="27">
        <f>IF(B$25=0,0,G24/B$25)</f>
        <v>0</v>
      </c>
      <c r="J24" s="26">
        <v>22</v>
      </c>
      <c r="K24" s="28">
        <v>78.399999999999991</v>
      </c>
    </row>
    <row r="25" spans="1:11" x14ac:dyDescent="0.4">
      <c r="A25" s="60" t="s">
        <v>129</v>
      </c>
      <c r="B25" s="88">
        <v>34</v>
      </c>
      <c r="C25" s="89"/>
      <c r="E25" s="68" t="s">
        <v>89</v>
      </c>
      <c r="F25" s="64" t="s">
        <v>42</v>
      </c>
      <c r="G25" s="50">
        <v>0</v>
      </c>
      <c r="H25" s="27">
        <f>IF(B$25=0,0,G25/B$25)</f>
        <v>0</v>
      </c>
      <c r="J25" s="26">
        <v>23</v>
      </c>
      <c r="K25" s="28">
        <v>93.199999999999989</v>
      </c>
    </row>
    <row r="26" spans="1:11" x14ac:dyDescent="0.4">
      <c r="A26" s="78" t="s">
        <v>210</v>
      </c>
      <c r="B26" s="90">
        <v>6</v>
      </c>
      <c r="C26" s="91"/>
      <c r="E26" s="68" t="s">
        <v>91</v>
      </c>
      <c r="F26" s="64" t="s">
        <v>44</v>
      </c>
      <c r="G26" s="50">
        <v>0</v>
      </c>
      <c r="H26" s="27">
        <f>IF(B$25=0,0,G26/B$25)</f>
        <v>0</v>
      </c>
      <c r="J26" s="26">
        <v>24</v>
      </c>
      <c r="K26" s="28">
        <v>49.29999999999999</v>
      </c>
    </row>
    <row r="27" spans="1:11" x14ac:dyDescent="0.4">
      <c r="A27" s="60" t="s">
        <v>212</v>
      </c>
      <c r="B27" s="79">
        <v>1</v>
      </c>
      <c r="C27" s="32">
        <f>IF(B$3=0,0,B27/B$3)</f>
        <v>2.9154518950437317E-3</v>
      </c>
      <c r="E27" s="68" t="s">
        <v>92</v>
      </c>
      <c r="F27" s="64" t="s">
        <v>45</v>
      </c>
      <c r="G27" s="50">
        <v>0</v>
      </c>
      <c r="H27" s="27">
        <f>IF(B$25=0,0,G27/B$25)</f>
        <v>0</v>
      </c>
      <c r="J27" s="26">
        <v>25</v>
      </c>
      <c r="K27" s="28">
        <v>58.79999999999999</v>
      </c>
    </row>
    <row r="28" spans="1:11" x14ac:dyDescent="0.4">
      <c r="E28" s="68" t="s">
        <v>94</v>
      </c>
      <c r="F28" s="64" t="s">
        <v>47</v>
      </c>
      <c r="G28" s="50">
        <v>0</v>
      </c>
      <c r="H28" s="27">
        <f>IF(B$25=0,0,G28/B$25)</f>
        <v>0</v>
      </c>
      <c r="J28" s="26">
        <v>26</v>
      </c>
      <c r="K28" s="28">
        <v>141.79999999999998</v>
      </c>
    </row>
    <row r="29" spans="1:11" x14ac:dyDescent="0.4">
      <c r="E29" s="68" t="s">
        <v>95</v>
      </c>
      <c r="F29" s="64" t="s">
        <v>48</v>
      </c>
      <c r="G29" s="50">
        <v>0</v>
      </c>
      <c r="H29" s="27">
        <f>IF(B$25=0,0,G29/B$25)</f>
        <v>0</v>
      </c>
      <c r="J29" s="26">
        <v>27</v>
      </c>
      <c r="K29" s="28">
        <v>162.79999999999998</v>
      </c>
    </row>
    <row r="30" spans="1:11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  <c r="J30" s="26">
        <v>28</v>
      </c>
      <c r="K30" s="28">
        <v>174.7</v>
      </c>
    </row>
    <row r="31" spans="1:11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  <c r="J31" s="26">
        <v>29</v>
      </c>
      <c r="K31" s="28">
        <v>205</v>
      </c>
    </row>
    <row r="32" spans="1:11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  <c r="J32" s="26">
        <v>30</v>
      </c>
      <c r="K32" s="28">
        <v>198.5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186.9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204.4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245.4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234.9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188.9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236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250.8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232.60000000000002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233.00000000000003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236.10000000000002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234.10000000000002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255.3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288.10000000000002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279.3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248.10000000000002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212.60000000000002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191.90000000000003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213.70000000000005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B19BF-00C4-4E18-98AD-2AE12A068D09}">
  <sheetPr codeName="Sheet9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228</v>
      </c>
      <c r="C1" s="93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86">
        <v>5</v>
      </c>
      <c r="C2" s="87"/>
      <c r="E2" s="67" t="s">
        <v>69</v>
      </c>
      <c r="F2" s="63" t="s">
        <v>23</v>
      </c>
      <c r="G2" s="49">
        <v>6</v>
      </c>
      <c r="H2" s="24">
        <f>IF(B$25=0,0,G2/B$25)</f>
        <v>0.66666666666666663</v>
      </c>
      <c r="J2" s="23">
        <v>0</v>
      </c>
      <c r="K2" s="25">
        <v>0</v>
      </c>
      <c r="M2" s="23" t="s">
        <v>189</v>
      </c>
      <c r="N2" s="44">
        <f t="shared" ref="N2:N7" si="0">IF(P2=0,0,O2/P2)</f>
        <v>-2740</v>
      </c>
      <c r="O2" s="41">
        <v>-13700</v>
      </c>
      <c r="P2" s="39">
        <v>5</v>
      </c>
    </row>
    <row r="3" spans="1:16" x14ac:dyDescent="0.4">
      <c r="A3" s="58" t="s">
        <v>8</v>
      </c>
      <c r="B3" s="94">
        <v>37</v>
      </c>
      <c r="C3" s="95"/>
      <c r="E3" s="68" t="s">
        <v>73</v>
      </c>
      <c r="F3" s="64" t="s">
        <v>27</v>
      </c>
      <c r="G3" s="50">
        <v>6</v>
      </c>
      <c r="H3" s="27">
        <f>IF(B$25=0,0,G3/B$25)</f>
        <v>0.66666666666666663</v>
      </c>
      <c r="J3" s="26">
        <v>1</v>
      </c>
      <c r="K3" s="28">
        <v>-40.700000000000003</v>
      </c>
      <c r="M3" s="26" t="s">
        <v>190</v>
      </c>
      <c r="N3" s="45">
        <f t="shared" si="0"/>
        <v>1500</v>
      </c>
      <c r="O3" s="42">
        <v>7500</v>
      </c>
      <c r="P3" s="37">
        <v>5</v>
      </c>
    </row>
    <row r="4" spans="1:16" x14ac:dyDescent="0.4">
      <c r="A4" s="58" t="s">
        <v>6</v>
      </c>
      <c r="B4" s="96">
        <v>-86.4</v>
      </c>
      <c r="C4" s="97"/>
      <c r="E4" s="68" t="s">
        <v>70</v>
      </c>
      <c r="F4" s="64" t="s">
        <v>24</v>
      </c>
      <c r="G4" s="50">
        <v>4</v>
      </c>
      <c r="H4" s="27">
        <f>IF(B$25=0,0,G4/B$25)</f>
        <v>0.44444444444444442</v>
      </c>
      <c r="J4" s="26">
        <v>2</v>
      </c>
      <c r="K4" s="28">
        <v>-81.7</v>
      </c>
      <c r="M4" s="26" t="s">
        <v>191</v>
      </c>
      <c r="N4" s="45">
        <f t="shared" si="0"/>
        <v>-11250</v>
      </c>
      <c r="O4" s="42">
        <v>-45000</v>
      </c>
      <c r="P4" s="37">
        <v>4</v>
      </c>
    </row>
    <row r="5" spans="1:16" x14ac:dyDescent="0.4">
      <c r="A5" s="58" t="s">
        <v>7</v>
      </c>
      <c r="B5" s="96">
        <f>IF(B$2=0,0,B$4/B$2)</f>
        <v>-17.28</v>
      </c>
      <c r="C5" s="97"/>
      <c r="E5" s="68" t="s">
        <v>78</v>
      </c>
      <c r="F5" s="64" t="s">
        <v>31</v>
      </c>
      <c r="G5" s="50">
        <v>4</v>
      </c>
      <c r="H5" s="27">
        <f>IF(B$25=0,0,G5/B$25)</f>
        <v>0.44444444444444442</v>
      </c>
      <c r="J5" s="26">
        <v>3</v>
      </c>
      <c r="K5" s="28">
        <v>-88.9</v>
      </c>
      <c r="M5" s="26" t="s">
        <v>192</v>
      </c>
      <c r="N5" s="45">
        <f t="shared" si="0"/>
        <v>-12000</v>
      </c>
      <c r="O5" s="42">
        <v>-36000</v>
      </c>
      <c r="P5" s="37">
        <v>3</v>
      </c>
    </row>
    <row r="6" spans="1:16" x14ac:dyDescent="0.4">
      <c r="A6" s="58" t="s">
        <v>1</v>
      </c>
      <c r="B6" s="98">
        <f>IF(B$2=0,0,(B$7*1+B$8*2+B$9*3)/B$2)</f>
        <v>2.2000000000000002</v>
      </c>
      <c r="C6" s="99"/>
      <c r="E6" s="68" t="s">
        <v>74</v>
      </c>
      <c r="F6" s="64" t="s">
        <v>12</v>
      </c>
      <c r="G6" s="50">
        <v>3</v>
      </c>
      <c r="H6" s="27">
        <f>IF(B$25=0,0,G6/B$25)</f>
        <v>0.33333333333333331</v>
      </c>
      <c r="J6" s="26">
        <v>4</v>
      </c>
      <c r="K6" s="28">
        <v>-109.2</v>
      </c>
      <c r="M6" s="26" t="s">
        <v>193</v>
      </c>
      <c r="N6" s="45">
        <f t="shared" si="0"/>
        <v>5400</v>
      </c>
      <c r="O6" s="42">
        <v>10800</v>
      </c>
      <c r="P6" s="37">
        <v>2</v>
      </c>
    </row>
    <row r="7" spans="1:16" x14ac:dyDescent="0.4">
      <c r="A7" s="58" t="s">
        <v>2</v>
      </c>
      <c r="B7" s="50">
        <v>1</v>
      </c>
      <c r="C7" s="27">
        <f>IF(B$2=0,0,B7/B$2)</f>
        <v>0.2</v>
      </c>
      <c r="E7" s="68" t="s">
        <v>72</v>
      </c>
      <c r="F7" s="64" t="s">
        <v>26</v>
      </c>
      <c r="G7" s="50">
        <v>2</v>
      </c>
      <c r="H7" s="27">
        <f>IF(B$25=0,0,G7/B$25)</f>
        <v>0.22222222222222221</v>
      </c>
      <c r="J7" s="26">
        <v>5</v>
      </c>
      <c r="K7" s="28">
        <v>-86.4</v>
      </c>
      <c r="M7" s="31" t="s">
        <v>194</v>
      </c>
      <c r="N7" s="46">
        <f t="shared" si="0"/>
        <v>-5000</v>
      </c>
      <c r="O7" s="43">
        <v>-10000</v>
      </c>
      <c r="P7" s="38">
        <v>2</v>
      </c>
    </row>
    <row r="8" spans="1:16" x14ac:dyDescent="0.4">
      <c r="A8" s="58" t="s">
        <v>3</v>
      </c>
      <c r="B8" s="50">
        <v>2</v>
      </c>
      <c r="C8" s="27">
        <f t="shared" ref="C8:C9" si="1">IF(B$2=0,0,B8/B$2)</f>
        <v>0.4</v>
      </c>
      <c r="E8" s="68" t="s">
        <v>85</v>
      </c>
      <c r="F8" s="64" t="s">
        <v>38</v>
      </c>
      <c r="G8" s="50">
        <v>2</v>
      </c>
      <c r="H8" s="27">
        <f>IF(B$25=0,0,G8/B$25)</f>
        <v>0.22222222222222221</v>
      </c>
    </row>
    <row r="9" spans="1:16" x14ac:dyDescent="0.4">
      <c r="A9" s="59" t="s">
        <v>4</v>
      </c>
      <c r="B9" s="51">
        <v>2</v>
      </c>
      <c r="C9" s="29">
        <f t="shared" si="1"/>
        <v>0.4</v>
      </c>
      <c r="E9" s="68" t="s">
        <v>71</v>
      </c>
      <c r="F9" s="64" t="s">
        <v>25</v>
      </c>
      <c r="G9" s="50">
        <v>1</v>
      </c>
      <c r="H9" s="27">
        <f>IF(B$25=0,0,G9/B$25)</f>
        <v>0.1111111111111111</v>
      </c>
    </row>
    <row r="10" spans="1:16" x14ac:dyDescent="0.4">
      <c r="A10" s="59" t="s">
        <v>21</v>
      </c>
      <c r="B10" s="51">
        <v>2</v>
      </c>
      <c r="C10" s="29">
        <f>IF(B$2=0,0,B10/B$2)</f>
        <v>0.4</v>
      </c>
      <c r="E10" s="68" t="s">
        <v>75</v>
      </c>
      <c r="F10" s="64" t="s">
        <v>28</v>
      </c>
      <c r="G10" s="50">
        <v>1</v>
      </c>
      <c r="H10" s="27">
        <f>IF(B$25=0,0,G10/B$25)</f>
        <v>0.1111111111111111</v>
      </c>
    </row>
    <row r="11" spans="1:16" x14ac:dyDescent="0.4">
      <c r="A11" s="60" t="s">
        <v>199</v>
      </c>
      <c r="B11" s="52">
        <v>1</v>
      </c>
      <c r="C11" s="32">
        <f>IF(B$2=0,0,B11/B$2)</f>
        <v>0.2</v>
      </c>
      <c r="E11" s="68" t="s">
        <v>93</v>
      </c>
      <c r="F11" s="64" t="s">
        <v>46</v>
      </c>
      <c r="G11" s="50">
        <v>1</v>
      </c>
      <c r="H11" s="27">
        <f>IF(B$25=0,0,G11/B$25)</f>
        <v>0.1111111111111111</v>
      </c>
    </row>
    <row r="12" spans="1:16" x14ac:dyDescent="0.4">
      <c r="A12" s="61" t="s">
        <v>130</v>
      </c>
      <c r="B12" s="53">
        <v>8</v>
      </c>
      <c r="C12" s="35">
        <f>IF(B$24=0,0,B12/B$24)</f>
        <v>0.25806451612903225</v>
      </c>
      <c r="E12" s="68" t="s">
        <v>76</v>
      </c>
      <c r="F12" s="64" t="s">
        <v>29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5</v>
      </c>
      <c r="C13" s="27">
        <f>IF(B$24=0,0,B13/B$24)</f>
        <v>0.16129032258064516</v>
      </c>
      <c r="E13" s="68" t="s">
        <v>77</v>
      </c>
      <c r="F13" s="64" t="s">
        <v>30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6</v>
      </c>
      <c r="C14" s="24">
        <f>IF(B$12=0,0,B14/B$12)</f>
        <v>0.75</v>
      </c>
      <c r="E14" s="68" t="s">
        <v>79</v>
      </c>
      <c r="F14" s="64" t="s">
        <v>32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1</v>
      </c>
      <c r="C15" s="24">
        <f>IF(B$13=0,0,B15/B$13)</f>
        <v>0.2</v>
      </c>
      <c r="E15" s="68" t="s">
        <v>80</v>
      </c>
      <c r="F15" s="64" t="s">
        <v>33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B18+B17</f>
        <v>10</v>
      </c>
      <c r="C16" s="24">
        <f>IF(B$3=0,0,B16/B$3)</f>
        <v>0.27027027027027029</v>
      </c>
      <c r="E16" s="68" t="s">
        <v>81</v>
      </c>
      <c r="F16" s="64" t="s">
        <v>34</v>
      </c>
      <c r="G16" s="50">
        <v>0</v>
      </c>
      <c r="H16" s="27">
        <f>IF(B$25=0,0,G16/B$25)</f>
        <v>0</v>
      </c>
    </row>
    <row r="17" spans="1:8" x14ac:dyDescent="0.4">
      <c r="A17" s="58" t="s">
        <v>12</v>
      </c>
      <c r="B17" s="50">
        <v>3</v>
      </c>
      <c r="C17" s="27">
        <f>IF(B$16=0,0,B17/B$16)</f>
        <v>0.3</v>
      </c>
      <c r="E17" s="68" t="s">
        <v>82</v>
      </c>
      <c r="F17" s="64" t="s">
        <v>35</v>
      </c>
      <c r="G17" s="50">
        <v>0</v>
      </c>
      <c r="H17" s="27">
        <f>IF(B$25=0,0,G17/B$25)</f>
        <v>0</v>
      </c>
    </row>
    <row r="18" spans="1:8" x14ac:dyDescent="0.4">
      <c r="A18" s="58" t="s">
        <v>11</v>
      </c>
      <c r="B18" s="50">
        <v>7</v>
      </c>
      <c r="C18" s="27">
        <f>IF(B$16=0,0,B18/B$16)</f>
        <v>0.7</v>
      </c>
      <c r="E18" s="68" t="s">
        <v>83</v>
      </c>
      <c r="F18" s="64" t="s">
        <v>36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8</v>
      </c>
      <c r="C19" s="27">
        <f>IF(B$3=0,0,B19/B$3)</f>
        <v>0.21621621621621623</v>
      </c>
      <c r="E19" s="68" t="s">
        <v>84</v>
      </c>
      <c r="F19" s="64" t="s">
        <v>37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7100</v>
      </c>
      <c r="C20" s="30">
        <v>71000</v>
      </c>
      <c r="E20" s="68" t="s">
        <v>86</v>
      </c>
      <c r="F20" s="64" t="s">
        <v>39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-12487.5</v>
      </c>
      <c r="C21" s="48">
        <v>-99900</v>
      </c>
      <c r="E21" s="68" t="s">
        <v>87</v>
      </c>
      <c r="F21" s="64" t="s">
        <v>40</v>
      </c>
      <c r="G21" s="50">
        <v>0</v>
      </c>
      <c r="H21" s="27">
        <f>IF(B$25=0,0,G21/B$25)</f>
        <v>0</v>
      </c>
    </row>
    <row r="22" spans="1:8" x14ac:dyDescent="0.4">
      <c r="A22" s="57" t="s">
        <v>186</v>
      </c>
      <c r="B22" s="49">
        <v>13</v>
      </c>
      <c r="C22" s="24">
        <f>IF(B$3=0,0,B22/B$3)</f>
        <v>0.35135135135135137</v>
      </c>
      <c r="E22" s="68" t="s">
        <v>88</v>
      </c>
      <c r="F22" s="64" t="s">
        <v>41</v>
      </c>
      <c r="G22" s="50">
        <v>0</v>
      </c>
      <c r="H22" s="27">
        <f>IF(B$25=0,0,G22/B$25)</f>
        <v>0</v>
      </c>
    </row>
    <row r="23" spans="1:8" x14ac:dyDescent="0.4">
      <c r="A23" s="60" t="s">
        <v>187</v>
      </c>
      <c r="B23" s="52">
        <v>6</v>
      </c>
      <c r="C23" s="32">
        <f>IF(B$22=0,0,B23/B$22)</f>
        <v>0.46153846153846156</v>
      </c>
      <c r="E23" s="68" t="s">
        <v>89</v>
      </c>
      <c r="F23" s="64" t="s">
        <v>42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6">
        <v>31</v>
      </c>
      <c r="C24" s="87"/>
      <c r="E24" s="68" t="s">
        <v>90</v>
      </c>
      <c r="F24" s="64" t="s">
        <v>43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8">
        <v>9</v>
      </c>
      <c r="C25" s="89"/>
      <c r="E25" s="68" t="s">
        <v>91</v>
      </c>
      <c r="F25" s="64" t="s">
        <v>44</v>
      </c>
      <c r="G25" s="50">
        <v>0</v>
      </c>
      <c r="H25" s="27">
        <f>IF(B$25=0,0,G25/B$25)</f>
        <v>0</v>
      </c>
    </row>
    <row r="26" spans="1:8" x14ac:dyDescent="0.4">
      <c r="A26" s="78" t="s">
        <v>210</v>
      </c>
      <c r="B26" s="90">
        <v>3</v>
      </c>
      <c r="C26" s="91"/>
      <c r="E26" s="68" t="s">
        <v>92</v>
      </c>
      <c r="F26" s="64" t="s">
        <v>45</v>
      </c>
      <c r="G26" s="50">
        <v>0</v>
      </c>
      <c r="H26" s="27">
        <f>IF(B$25=0,0,G26/B$25)</f>
        <v>0</v>
      </c>
    </row>
    <row r="27" spans="1:8" x14ac:dyDescent="0.4">
      <c r="A27" s="60" t="s">
        <v>212</v>
      </c>
      <c r="B27" s="79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82405-F5B7-475F-8746-F32409DD63E5}">
  <sheetPr codeName="Sheet10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181</v>
      </c>
      <c r="C1" s="93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86">
        <v>47</v>
      </c>
      <c r="C2" s="87"/>
      <c r="E2" s="67" t="s">
        <v>73</v>
      </c>
      <c r="F2" s="63" t="s">
        <v>27</v>
      </c>
      <c r="G2" s="49">
        <v>36</v>
      </c>
      <c r="H2" s="24">
        <f>IF(B$25=0,0,G2/B$25)</f>
        <v>0.94736842105263153</v>
      </c>
      <c r="J2" s="23">
        <v>0</v>
      </c>
      <c r="K2" s="25">
        <v>0</v>
      </c>
      <c r="M2" s="23" t="s">
        <v>189</v>
      </c>
      <c r="N2" s="44">
        <f t="shared" ref="N2:N7" si="0">IF(P2=0,0,O2/P2)</f>
        <v>-2706.3829787234044</v>
      </c>
      <c r="O2" s="41">
        <v>-127200</v>
      </c>
      <c r="P2" s="39">
        <v>47</v>
      </c>
    </row>
    <row r="3" spans="1:16" x14ac:dyDescent="0.4">
      <c r="A3" s="58" t="s">
        <v>8</v>
      </c>
      <c r="B3" s="94">
        <v>362</v>
      </c>
      <c r="C3" s="95"/>
      <c r="E3" s="68" t="s">
        <v>78</v>
      </c>
      <c r="F3" s="64" t="s">
        <v>31</v>
      </c>
      <c r="G3" s="50">
        <v>27</v>
      </c>
      <c r="H3" s="27">
        <f>IF(B$25=0,0,G3/B$25)</f>
        <v>0.71052631578947367</v>
      </c>
      <c r="J3" s="26">
        <v>1</v>
      </c>
      <c r="K3" s="28">
        <v>68.2</v>
      </c>
      <c r="M3" s="26" t="s">
        <v>190</v>
      </c>
      <c r="N3" s="45">
        <f t="shared" si="0"/>
        <v>-2675</v>
      </c>
      <c r="O3" s="42">
        <v>-117700</v>
      </c>
      <c r="P3" s="37">
        <v>44</v>
      </c>
    </row>
    <row r="4" spans="1:16" x14ac:dyDescent="0.4">
      <c r="A4" s="58" t="s">
        <v>6</v>
      </c>
      <c r="B4" s="96">
        <v>-293.7</v>
      </c>
      <c r="C4" s="97"/>
      <c r="E4" s="68" t="s">
        <v>71</v>
      </c>
      <c r="F4" s="64" t="s">
        <v>25</v>
      </c>
      <c r="G4" s="50">
        <v>26</v>
      </c>
      <c r="H4" s="27">
        <f>IF(B$25=0,0,G4/B$25)</f>
        <v>0.68421052631578949</v>
      </c>
      <c r="J4" s="26">
        <v>2</v>
      </c>
      <c r="K4" s="28">
        <v>58.5</v>
      </c>
      <c r="M4" s="26" t="s">
        <v>191</v>
      </c>
      <c r="N4" s="45">
        <f t="shared" si="0"/>
        <v>-994.73684210526312</v>
      </c>
      <c r="O4" s="42">
        <v>-37800</v>
      </c>
      <c r="P4" s="37">
        <v>38</v>
      </c>
    </row>
    <row r="5" spans="1:16" x14ac:dyDescent="0.4">
      <c r="A5" s="58" t="s">
        <v>7</v>
      </c>
      <c r="B5" s="96">
        <f>IF(B$2=0,0,B$4/B$2)</f>
        <v>-6.2489361702127662</v>
      </c>
      <c r="C5" s="97"/>
      <c r="E5" s="68" t="s">
        <v>69</v>
      </c>
      <c r="F5" s="64" t="s">
        <v>23</v>
      </c>
      <c r="G5" s="50">
        <v>15</v>
      </c>
      <c r="H5" s="27">
        <f>IF(B$25=0,0,G5/B$25)</f>
        <v>0.39473684210526316</v>
      </c>
      <c r="J5" s="26">
        <v>3</v>
      </c>
      <c r="K5" s="28">
        <v>82.1</v>
      </c>
      <c r="M5" s="26" t="s">
        <v>192</v>
      </c>
      <c r="N5" s="45">
        <f t="shared" si="0"/>
        <v>1694.4444444444443</v>
      </c>
      <c r="O5" s="42">
        <v>61000</v>
      </c>
      <c r="P5" s="37">
        <v>36</v>
      </c>
    </row>
    <row r="6" spans="1:16" x14ac:dyDescent="0.4">
      <c r="A6" s="58" t="s">
        <v>1</v>
      </c>
      <c r="B6" s="98">
        <f>IF(B$2=0,0,(B$7*1+B$8*2+B$9*3)/B$2)</f>
        <v>2.1702127659574466</v>
      </c>
      <c r="C6" s="99"/>
      <c r="E6" s="68" t="s">
        <v>70</v>
      </c>
      <c r="F6" s="64" t="s">
        <v>24</v>
      </c>
      <c r="G6" s="50">
        <v>7</v>
      </c>
      <c r="H6" s="27">
        <f>IF(B$25=0,0,G6/B$25)</f>
        <v>0.18421052631578946</v>
      </c>
      <c r="J6" s="26">
        <v>4</v>
      </c>
      <c r="K6" s="28">
        <v>58.199999999999996</v>
      </c>
      <c r="M6" s="26" t="s">
        <v>193</v>
      </c>
      <c r="N6" s="45">
        <f t="shared" si="0"/>
        <v>-2866.6666666666665</v>
      </c>
      <c r="O6" s="42">
        <v>-77400</v>
      </c>
      <c r="P6" s="37">
        <v>27</v>
      </c>
    </row>
    <row r="7" spans="1:16" x14ac:dyDescent="0.4">
      <c r="A7" s="58" t="s">
        <v>2</v>
      </c>
      <c r="B7" s="50">
        <v>10</v>
      </c>
      <c r="C7" s="27">
        <f>IF(B$2=0,0,B7/B$2)</f>
        <v>0.21276595744680851</v>
      </c>
      <c r="E7" s="68" t="s">
        <v>74</v>
      </c>
      <c r="F7" s="64" t="s">
        <v>12</v>
      </c>
      <c r="G7" s="50">
        <v>7</v>
      </c>
      <c r="H7" s="27">
        <f>IF(B$25=0,0,G7/B$25)</f>
        <v>0.18421052631578946</v>
      </c>
      <c r="J7" s="26">
        <v>5</v>
      </c>
      <c r="K7" s="28">
        <v>124.19999999999999</v>
      </c>
      <c r="M7" s="31" t="s">
        <v>194</v>
      </c>
      <c r="N7" s="46">
        <f t="shared" si="0"/>
        <v>257.14285714285717</v>
      </c>
      <c r="O7" s="43">
        <v>5400</v>
      </c>
      <c r="P7" s="38">
        <v>21</v>
      </c>
    </row>
    <row r="8" spans="1:16" x14ac:dyDescent="0.4">
      <c r="A8" s="58" t="s">
        <v>3</v>
      </c>
      <c r="B8" s="50">
        <v>19</v>
      </c>
      <c r="C8" s="27">
        <f t="shared" ref="C8:C9" si="1">IF(B$2=0,0,B8/B$2)</f>
        <v>0.40425531914893614</v>
      </c>
      <c r="E8" s="68" t="s">
        <v>72</v>
      </c>
      <c r="F8" s="64" t="s">
        <v>26</v>
      </c>
      <c r="G8" s="50">
        <v>4</v>
      </c>
      <c r="H8" s="27">
        <f>IF(B$25=0,0,G8/B$25)</f>
        <v>0.10526315789473684</v>
      </c>
      <c r="J8" s="26">
        <v>6</v>
      </c>
      <c r="K8" s="28">
        <v>125.69999999999999</v>
      </c>
    </row>
    <row r="9" spans="1:16" x14ac:dyDescent="0.4">
      <c r="A9" s="59" t="s">
        <v>4</v>
      </c>
      <c r="B9" s="51">
        <v>18</v>
      </c>
      <c r="C9" s="29">
        <f t="shared" si="1"/>
        <v>0.38297872340425532</v>
      </c>
      <c r="E9" s="68" t="s">
        <v>75</v>
      </c>
      <c r="F9" s="64" t="s">
        <v>28</v>
      </c>
      <c r="G9" s="50">
        <v>3</v>
      </c>
      <c r="H9" s="27">
        <f>IF(B$25=0,0,G9/B$25)</f>
        <v>7.8947368421052627E-2</v>
      </c>
      <c r="J9" s="26">
        <v>7</v>
      </c>
      <c r="K9" s="28">
        <v>129.5</v>
      </c>
    </row>
    <row r="10" spans="1:16" x14ac:dyDescent="0.4">
      <c r="A10" s="59" t="s">
        <v>21</v>
      </c>
      <c r="B10" s="51">
        <v>10</v>
      </c>
      <c r="C10" s="29">
        <f>IF(B$2=0,0,B10/B$2)</f>
        <v>0.21276595744680851</v>
      </c>
      <c r="E10" s="68" t="s">
        <v>96</v>
      </c>
      <c r="F10" s="64" t="s">
        <v>49</v>
      </c>
      <c r="G10" s="50">
        <v>3</v>
      </c>
      <c r="H10" s="27">
        <f>IF(B$25=0,0,G10/B$25)</f>
        <v>7.8947368421052627E-2</v>
      </c>
      <c r="J10" s="26">
        <v>8</v>
      </c>
      <c r="K10" s="28">
        <v>97</v>
      </c>
    </row>
    <row r="11" spans="1:16" x14ac:dyDescent="0.4">
      <c r="A11" s="60" t="s">
        <v>199</v>
      </c>
      <c r="B11" s="52">
        <v>7</v>
      </c>
      <c r="C11" s="32">
        <f>IF(B$2=0,0,B11/B$2)</f>
        <v>0.14893617021276595</v>
      </c>
      <c r="E11" s="68" t="s">
        <v>84</v>
      </c>
      <c r="F11" s="64" t="s">
        <v>37</v>
      </c>
      <c r="G11" s="50">
        <v>2</v>
      </c>
      <c r="H11" s="27">
        <f>IF(B$25=0,0,G11/B$25)</f>
        <v>5.2631578947368418E-2</v>
      </c>
      <c r="J11" s="26">
        <v>9</v>
      </c>
      <c r="K11" s="28">
        <v>83.3</v>
      </c>
    </row>
    <row r="12" spans="1:16" x14ac:dyDescent="0.4">
      <c r="A12" s="61" t="s">
        <v>130</v>
      </c>
      <c r="B12" s="53">
        <v>39</v>
      </c>
      <c r="C12" s="35">
        <f>IF(B$24=0,0,B12/B$24)</f>
        <v>0.22285714285714286</v>
      </c>
      <c r="E12" s="68" t="s">
        <v>85</v>
      </c>
      <c r="F12" s="64" t="s">
        <v>38</v>
      </c>
      <c r="G12" s="50">
        <v>2</v>
      </c>
      <c r="H12" s="27">
        <f>IF(B$25=0,0,G12/B$25)</f>
        <v>5.2631578947368418E-2</v>
      </c>
      <c r="J12" s="26">
        <v>10</v>
      </c>
      <c r="K12" s="28">
        <v>111</v>
      </c>
    </row>
    <row r="13" spans="1:16" x14ac:dyDescent="0.4">
      <c r="A13" s="58" t="s">
        <v>125</v>
      </c>
      <c r="B13" s="50">
        <v>49</v>
      </c>
      <c r="C13" s="27">
        <f>IF(B$24=0,0,B13/B$24)</f>
        <v>0.28000000000000003</v>
      </c>
      <c r="E13" s="68" t="s">
        <v>93</v>
      </c>
      <c r="F13" s="64" t="s">
        <v>46</v>
      </c>
      <c r="G13" s="50">
        <v>2</v>
      </c>
      <c r="H13" s="27">
        <f>IF(B$25=0,0,G13/B$25)</f>
        <v>5.2631578947368418E-2</v>
      </c>
      <c r="J13" s="26">
        <v>11</v>
      </c>
      <c r="K13" s="28">
        <v>138.69999999999999</v>
      </c>
    </row>
    <row r="14" spans="1:16" x14ac:dyDescent="0.4">
      <c r="A14" s="57" t="s">
        <v>132</v>
      </c>
      <c r="B14" s="49">
        <v>14</v>
      </c>
      <c r="C14" s="24">
        <f>IF(B$12=0,0,B14/B$12)</f>
        <v>0.35897435897435898</v>
      </c>
      <c r="E14" s="68" t="s">
        <v>76</v>
      </c>
      <c r="F14" s="64" t="s">
        <v>29</v>
      </c>
      <c r="G14" s="50">
        <v>1</v>
      </c>
      <c r="H14" s="27">
        <f>IF(B$25=0,0,G14/B$25)</f>
        <v>2.6315789473684209E-2</v>
      </c>
      <c r="J14" s="26">
        <v>12</v>
      </c>
      <c r="K14" s="28">
        <v>99.799999999999983</v>
      </c>
    </row>
    <row r="15" spans="1:16" x14ac:dyDescent="0.4">
      <c r="A15" s="57" t="s">
        <v>133</v>
      </c>
      <c r="B15" s="49">
        <v>18</v>
      </c>
      <c r="C15" s="24">
        <f>IF(B$13=0,0,B15/B$13)</f>
        <v>0.36734693877551022</v>
      </c>
      <c r="E15" s="68" t="s">
        <v>77</v>
      </c>
      <c r="F15" s="64" t="s">
        <v>30</v>
      </c>
      <c r="G15" s="50">
        <v>1</v>
      </c>
      <c r="H15" s="27">
        <f>IF(B$25=0,0,G15/B$25)</f>
        <v>2.6315789473684209E-2</v>
      </c>
      <c r="J15" s="26">
        <v>13</v>
      </c>
      <c r="K15" s="28">
        <v>61.799999999999983</v>
      </c>
    </row>
    <row r="16" spans="1:16" x14ac:dyDescent="0.4">
      <c r="A16" s="57" t="s">
        <v>10</v>
      </c>
      <c r="B16" s="49">
        <f>B18+B17</f>
        <v>92</v>
      </c>
      <c r="C16" s="24">
        <f>IF(B$3=0,0,B16/B$3)</f>
        <v>0.2541436464088398</v>
      </c>
      <c r="E16" s="68" t="s">
        <v>81</v>
      </c>
      <c r="F16" s="64" t="s">
        <v>34</v>
      </c>
      <c r="G16" s="50">
        <v>1</v>
      </c>
      <c r="H16" s="27">
        <f>IF(B$25=0,0,G16/B$25)</f>
        <v>2.6315789473684209E-2</v>
      </c>
      <c r="J16" s="26">
        <v>14</v>
      </c>
      <c r="K16" s="28">
        <v>41.499999999999986</v>
      </c>
    </row>
    <row r="17" spans="1:11" x14ac:dyDescent="0.4">
      <c r="A17" s="58" t="s">
        <v>12</v>
      </c>
      <c r="B17" s="50">
        <v>39</v>
      </c>
      <c r="C17" s="27">
        <f>IF(B$16=0,0,B17/B$16)</f>
        <v>0.42391304347826086</v>
      </c>
      <c r="E17" s="68" t="s">
        <v>88</v>
      </c>
      <c r="F17" s="64" t="s">
        <v>41</v>
      </c>
      <c r="G17" s="50">
        <v>1</v>
      </c>
      <c r="H17" s="27">
        <f>IF(B$25=0,0,G17/B$25)</f>
        <v>2.6315789473684209E-2</v>
      </c>
      <c r="J17" s="26">
        <v>15</v>
      </c>
      <c r="K17" s="28">
        <v>32.999999999999986</v>
      </c>
    </row>
    <row r="18" spans="1:11" x14ac:dyDescent="0.4">
      <c r="A18" s="58" t="s">
        <v>11</v>
      </c>
      <c r="B18" s="50">
        <v>53</v>
      </c>
      <c r="C18" s="27">
        <f>IF(B$16=0,0,B18/B$16)</f>
        <v>0.57608695652173914</v>
      </c>
      <c r="E18" s="68" t="s">
        <v>90</v>
      </c>
      <c r="F18" s="64" t="s">
        <v>43</v>
      </c>
      <c r="G18" s="50">
        <v>1</v>
      </c>
      <c r="H18" s="27">
        <f>IF(B$25=0,0,G18/B$25)</f>
        <v>2.6315789473684209E-2</v>
      </c>
      <c r="J18" s="26">
        <v>16</v>
      </c>
      <c r="K18" s="28">
        <v>-5.5000000000000142</v>
      </c>
    </row>
    <row r="19" spans="1:11" x14ac:dyDescent="0.4">
      <c r="A19" s="58" t="s">
        <v>13</v>
      </c>
      <c r="B19" s="50">
        <v>75</v>
      </c>
      <c r="C19" s="27">
        <f>IF(B$3=0,0,B19/B$3)</f>
        <v>0.20718232044198895</v>
      </c>
      <c r="E19" s="68" t="s">
        <v>79</v>
      </c>
      <c r="F19" s="64" t="s">
        <v>32</v>
      </c>
      <c r="G19" s="50">
        <v>0</v>
      </c>
      <c r="H19" s="27">
        <f>IF(B$25=0,0,G19/B$25)</f>
        <v>0</v>
      </c>
      <c r="J19" s="26">
        <v>17</v>
      </c>
      <c r="K19" s="28">
        <v>-17.100000000000016</v>
      </c>
    </row>
    <row r="20" spans="1:11" x14ac:dyDescent="0.4">
      <c r="A20" s="58" t="s">
        <v>5</v>
      </c>
      <c r="B20" s="54">
        <f>IF(B$16=0,0,C20/B$16)</f>
        <v>9814.1304347826081</v>
      </c>
      <c r="C20" s="30">
        <v>902900</v>
      </c>
      <c r="E20" s="68" t="s">
        <v>80</v>
      </c>
      <c r="F20" s="64" t="s">
        <v>33</v>
      </c>
      <c r="G20" s="50">
        <v>0</v>
      </c>
      <c r="H20" s="27">
        <f>IF(B$25=0,0,G20/B$25)</f>
        <v>0</v>
      </c>
      <c r="J20" s="26">
        <v>18</v>
      </c>
      <c r="K20" s="28">
        <v>-16.800000000000015</v>
      </c>
    </row>
    <row r="21" spans="1:11" x14ac:dyDescent="0.4">
      <c r="A21" s="60" t="s">
        <v>14</v>
      </c>
      <c r="B21" s="55">
        <f>IF(B$19=0,0,C21/B$19)</f>
        <v>-8580</v>
      </c>
      <c r="C21" s="48">
        <v>-643500</v>
      </c>
      <c r="E21" s="68" t="s">
        <v>82</v>
      </c>
      <c r="F21" s="64" t="s">
        <v>35</v>
      </c>
      <c r="G21" s="50">
        <v>0</v>
      </c>
      <c r="H21" s="27">
        <f>IF(B$25=0,0,G21/B$25)</f>
        <v>0</v>
      </c>
      <c r="J21" s="26">
        <v>19</v>
      </c>
      <c r="K21" s="28">
        <v>-2.1000000000000156</v>
      </c>
    </row>
    <row r="22" spans="1:11" x14ac:dyDescent="0.4">
      <c r="A22" s="57" t="s">
        <v>186</v>
      </c>
      <c r="B22" s="49">
        <v>101</v>
      </c>
      <c r="C22" s="24">
        <f>IF(B$3=0,0,B22/B$3)</f>
        <v>0.27900552486187846</v>
      </c>
      <c r="E22" s="68" t="s">
        <v>83</v>
      </c>
      <c r="F22" s="64" t="s">
        <v>36</v>
      </c>
      <c r="G22" s="50">
        <v>0</v>
      </c>
      <c r="H22" s="27">
        <f>IF(B$25=0,0,G22/B$25)</f>
        <v>0</v>
      </c>
      <c r="J22" s="26">
        <v>20</v>
      </c>
      <c r="K22" s="28">
        <v>45.899999999999984</v>
      </c>
    </row>
    <row r="23" spans="1:11" x14ac:dyDescent="0.4">
      <c r="A23" s="60" t="s">
        <v>187</v>
      </c>
      <c r="B23" s="52">
        <v>36</v>
      </c>
      <c r="C23" s="32">
        <f>IF(B$22=0,0,B23/B$22)</f>
        <v>0.35643564356435642</v>
      </c>
      <c r="E23" s="68" t="s">
        <v>86</v>
      </c>
      <c r="F23" s="64" t="s">
        <v>39</v>
      </c>
      <c r="G23" s="50">
        <v>0</v>
      </c>
      <c r="H23" s="27">
        <f>IF(B$25=0,0,G23/B$25)</f>
        <v>0</v>
      </c>
      <c r="J23" s="26">
        <v>21</v>
      </c>
      <c r="K23" s="28">
        <v>4.0999999999999872</v>
      </c>
    </row>
    <row r="24" spans="1:11" x14ac:dyDescent="0.4">
      <c r="A24" s="57" t="s">
        <v>128</v>
      </c>
      <c r="B24" s="86">
        <v>175</v>
      </c>
      <c r="C24" s="87"/>
      <c r="E24" s="68" t="s">
        <v>87</v>
      </c>
      <c r="F24" s="64" t="s">
        <v>40</v>
      </c>
      <c r="G24" s="50">
        <v>0</v>
      </c>
      <c r="H24" s="27">
        <f>IF(B$25=0,0,G24/B$25)</f>
        <v>0</v>
      </c>
      <c r="J24" s="26">
        <v>22</v>
      </c>
      <c r="K24" s="28">
        <v>-1.4000000000000128</v>
      </c>
    </row>
    <row r="25" spans="1:11" x14ac:dyDescent="0.4">
      <c r="A25" s="60" t="s">
        <v>129</v>
      </c>
      <c r="B25" s="88">
        <v>38</v>
      </c>
      <c r="C25" s="89"/>
      <c r="E25" s="68" t="s">
        <v>89</v>
      </c>
      <c r="F25" s="64" t="s">
        <v>42</v>
      </c>
      <c r="G25" s="50">
        <v>0</v>
      </c>
      <c r="H25" s="27">
        <f>IF(B$25=0,0,G25/B$25)</f>
        <v>0</v>
      </c>
      <c r="J25" s="26">
        <v>23</v>
      </c>
      <c r="K25" s="28">
        <v>23.499999999999986</v>
      </c>
    </row>
    <row r="26" spans="1:11" x14ac:dyDescent="0.4">
      <c r="A26" s="78" t="s">
        <v>210</v>
      </c>
      <c r="B26" s="90">
        <v>5</v>
      </c>
      <c r="C26" s="91"/>
      <c r="E26" s="68" t="s">
        <v>91</v>
      </c>
      <c r="F26" s="64" t="s">
        <v>44</v>
      </c>
      <c r="G26" s="50">
        <v>0</v>
      </c>
      <c r="H26" s="27">
        <f>IF(B$25=0,0,G26/B$25)</f>
        <v>0</v>
      </c>
      <c r="J26" s="26">
        <v>24</v>
      </c>
      <c r="K26" s="28">
        <v>9.5999999999999854</v>
      </c>
    </row>
    <row r="27" spans="1:11" x14ac:dyDescent="0.4">
      <c r="A27" s="60" t="s">
        <v>212</v>
      </c>
      <c r="B27" s="79">
        <v>1</v>
      </c>
      <c r="C27" s="32">
        <f>IF(B$3=0,0,B27/B$3)</f>
        <v>2.7624309392265192E-3</v>
      </c>
      <c r="E27" s="68" t="s">
        <v>92</v>
      </c>
      <c r="F27" s="64" t="s">
        <v>45</v>
      </c>
      <c r="G27" s="50">
        <v>0</v>
      </c>
      <c r="H27" s="27">
        <f>IF(B$25=0,0,G27/B$25)</f>
        <v>0</v>
      </c>
      <c r="J27" s="26">
        <v>25</v>
      </c>
      <c r="K27" s="28">
        <v>1.2999999999999847</v>
      </c>
    </row>
    <row r="28" spans="1:11" x14ac:dyDescent="0.4">
      <c r="E28" s="68" t="s">
        <v>94</v>
      </c>
      <c r="F28" s="64" t="s">
        <v>47</v>
      </c>
      <c r="G28" s="50">
        <v>0</v>
      </c>
      <c r="H28" s="27">
        <f>IF(B$25=0,0,G28/B$25)</f>
        <v>0</v>
      </c>
      <c r="J28" s="26">
        <v>26</v>
      </c>
      <c r="K28" s="28">
        <v>-9.7000000000000153</v>
      </c>
    </row>
    <row r="29" spans="1:11" x14ac:dyDescent="0.4">
      <c r="E29" s="68" t="s">
        <v>95</v>
      </c>
      <c r="F29" s="64" t="s">
        <v>48</v>
      </c>
      <c r="G29" s="50">
        <v>0</v>
      </c>
      <c r="H29" s="27">
        <f>IF(B$25=0,0,G29/B$25)</f>
        <v>0</v>
      </c>
      <c r="J29" s="26">
        <v>27</v>
      </c>
      <c r="K29" s="28">
        <v>-31.600000000000016</v>
      </c>
    </row>
    <row r="30" spans="1:11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  <c r="J30" s="26">
        <v>28</v>
      </c>
      <c r="K30" s="28">
        <v>-25.500000000000014</v>
      </c>
    </row>
    <row r="31" spans="1:11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  <c r="J31" s="26">
        <v>29</v>
      </c>
      <c r="K31" s="28">
        <v>-24.900000000000013</v>
      </c>
    </row>
    <row r="32" spans="1:11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  <c r="J32" s="26">
        <v>30</v>
      </c>
      <c r="K32" s="28">
        <v>15.29999999999999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-20.400000000000013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-36.400000000000013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-42.20000000000001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-94.100000000000009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-106.10000000000001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-72.700000000000017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-78.300000000000011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-105.30000000000001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-100.10000000000001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-107.80000000000001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-122.80000000000001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-173.4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-168.6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-214.1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-215.2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-252.39999999999998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-293.7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A739F-F888-4133-80CB-798A2AB89875}">
  <sheetPr codeName="Sheet11"/>
  <dimension ref="A1:P53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182</v>
      </c>
      <c r="C1" s="93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86">
        <v>51</v>
      </c>
      <c r="C2" s="87"/>
      <c r="E2" s="67" t="s">
        <v>73</v>
      </c>
      <c r="F2" s="63" t="s">
        <v>27</v>
      </c>
      <c r="G2" s="49">
        <v>76</v>
      </c>
      <c r="H2" s="24">
        <f>IF(B$25=0,0,G2/B$25)</f>
        <v>0.90476190476190477</v>
      </c>
      <c r="J2" s="23">
        <v>0</v>
      </c>
      <c r="K2" s="25">
        <v>0</v>
      </c>
      <c r="M2" s="23" t="s">
        <v>189</v>
      </c>
      <c r="N2" s="44">
        <f t="shared" ref="N2:N7" si="0">IF(P2=0,0,O2/P2)</f>
        <v>3357.1428571428573</v>
      </c>
      <c r="O2" s="41">
        <v>164500</v>
      </c>
      <c r="P2" s="39">
        <v>49</v>
      </c>
    </row>
    <row r="3" spans="1:16" x14ac:dyDescent="0.4">
      <c r="A3" s="58" t="s">
        <v>8</v>
      </c>
      <c r="B3" s="94">
        <v>390</v>
      </c>
      <c r="C3" s="95"/>
      <c r="E3" s="68" t="s">
        <v>71</v>
      </c>
      <c r="F3" s="64" t="s">
        <v>25</v>
      </c>
      <c r="G3" s="50">
        <v>75</v>
      </c>
      <c r="H3" s="27">
        <f>IF(B$25=0,0,G3/B$25)</f>
        <v>0.8928571428571429</v>
      </c>
      <c r="J3" s="26">
        <v>1</v>
      </c>
      <c r="K3" s="28">
        <v>-36.700000000000003</v>
      </c>
      <c r="M3" s="26" t="s">
        <v>190</v>
      </c>
      <c r="N3" s="45">
        <f t="shared" si="0"/>
        <v>-45.652173913043477</v>
      </c>
      <c r="O3" s="42">
        <v>-2100</v>
      </c>
      <c r="P3" s="37">
        <v>46</v>
      </c>
    </row>
    <row r="4" spans="1:16" x14ac:dyDescent="0.4">
      <c r="A4" s="58" t="s">
        <v>6</v>
      </c>
      <c r="B4" s="96">
        <v>166.69999999999996</v>
      </c>
      <c r="C4" s="97"/>
      <c r="E4" s="68" t="s">
        <v>69</v>
      </c>
      <c r="F4" s="64" t="s">
        <v>23</v>
      </c>
      <c r="G4" s="50">
        <v>52</v>
      </c>
      <c r="H4" s="27">
        <f>IF(B$25=0,0,G4/B$25)</f>
        <v>0.61904761904761907</v>
      </c>
      <c r="J4" s="26">
        <v>2</v>
      </c>
      <c r="K4" s="28">
        <v>-45.300000000000004</v>
      </c>
      <c r="M4" s="26" t="s">
        <v>191</v>
      </c>
      <c r="N4" s="45">
        <f t="shared" si="0"/>
        <v>-26.19047619047619</v>
      </c>
      <c r="O4" s="42">
        <v>-1100</v>
      </c>
      <c r="P4" s="37">
        <v>42</v>
      </c>
    </row>
    <row r="5" spans="1:16" x14ac:dyDescent="0.4">
      <c r="A5" s="58" t="s">
        <v>7</v>
      </c>
      <c r="B5" s="96">
        <f>IF(B$2=0,0,B$4/B$2)</f>
        <v>3.2686274509803912</v>
      </c>
      <c r="C5" s="97"/>
      <c r="E5" s="68" t="s">
        <v>78</v>
      </c>
      <c r="F5" s="64" t="s">
        <v>31</v>
      </c>
      <c r="G5" s="50">
        <v>49</v>
      </c>
      <c r="H5" s="27">
        <f>IF(B$25=0,0,G5/B$25)</f>
        <v>0.58333333333333337</v>
      </c>
      <c r="J5" s="26">
        <v>3</v>
      </c>
      <c r="K5" s="28">
        <v>-81.7</v>
      </c>
      <c r="M5" s="26" t="s">
        <v>192</v>
      </c>
      <c r="N5" s="45">
        <f t="shared" si="0"/>
        <v>-1146.1538461538462</v>
      </c>
      <c r="O5" s="42">
        <v>-44700</v>
      </c>
      <c r="P5" s="37">
        <v>39</v>
      </c>
    </row>
    <row r="6" spans="1:16" x14ac:dyDescent="0.4">
      <c r="A6" s="58" t="s">
        <v>1</v>
      </c>
      <c r="B6" s="98">
        <f>IF(B$2=0,0,(B$7*1+B$8*2+B$9*3)/B$2)</f>
        <v>1.9215686274509804</v>
      </c>
      <c r="C6" s="99"/>
      <c r="E6" s="68" t="s">
        <v>72</v>
      </c>
      <c r="F6" s="64" t="s">
        <v>26</v>
      </c>
      <c r="G6" s="50">
        <v>29</v>
      </c>
      <c r="H6" s="27">
        <f>IF(B$25=0,0,G6/B$25)</f>
        <v>0.34523809523809523</v>
      </c>
      <c r="J6" s="26">
        <v>4</v>
      </c>
      <c r="K6" s="28">
        <v>-113.80000000000001</v>
      </c>
      <c r="M6" s="26" t="s">
        <v>193</v>
      </c>
      <c r="N6" s="45">
        <f t="shared" si="0"/>
        <v>1250</v>
      </c>
      <c r="O6" s="42">
        <v>37500</v>
      </c>
      <c r="P6" s="37">
        <v>30</v>
      </c>
    </row>
    <row r="7" spans="1:16" x14ac:dyDescent="0.4">
      <c r="A7" s="58" t="s">
        <v>2</v>
      </c>
      <c r="B7" s="50">
        <v>20</v>
      </c>
      <c r="C7" s="27">
        <f>IF(B$2=0,0,B7/B$2)</f>
        <v>0.39215686274509803</v>
      </c>
      <c r="E7" s="68" t="s">
        <v>74</v>
      </c>
      <c r="F7" s="64" t="s">
        <v>12</v>
      </c>
      <c r="G7" s="50">
        <v>26</v>
      </c>
      <c r="H7" s="27">
        <f>IF(B$25=0,0,G7/B$25)</f>
        <v>0.30952380952380953</v>
      </c>
      <c r="J7" s="26">
        <v>5</v>
      </c>
      <c r="K7" s="28">
        <v>-135.80000000000001</v>
      </c>
      <c r="M7" s="31" t="s">
        <v>194</v>
      </c>
      <c r="N7" s="46">
        <f t="shared" si="0"/>
        <v>-1080.7692307692307</v>
      </c>
      <c r="O7" s="43">
        <v>-28100</v>
      </c>
      <c r="P7" s="38">
        <v>26</v>
      </c>
    </row>
    <row r="8" spans="1:16" x14ac:dyDescent="0.4">
      <c r="A8" s="58" t="s">
        <v>3</v>
      </c>
      <c r="B8" s="50">
        <v>15</v>
      </c>
      <c r="C8" s="27">
        <f t="shared" ref="C8:C9" si="1">IF(B$2=0,0,B8/B$2)</f>
        <v>0.29411764705882354</v>
      </c>
      <c r="E8" s="68" t="s">
        <v>75</v>
      </c>
      <c r="F8" s="64" t="s">
        <v>28</v>
      </c>
      <c r="G8" s="50">
        <v>17</v>
      </c>
      <c r="H8" s="27">
        <f>IF(B$25=0,0,G8/B$25)</f>
        <v>0.20238095238095238</v>
      </c>
      <c r="J8" s="26">
        <v>6</v>
      </c>
      <c r="K8" s="28">
        <v>-100.30000000000001</v>
      </c>
    </row>
    <row r="9" spans="1:16" x14ac:dyDescent="0.4">
      <c r="A9" s="59" t="s">
        <v>4</v>
      </c>
      <c r="B9" s="51">
        <v>16</v>
      </c>
      <c r="C9" s="29">
        <f t="shared" si="1"/>
        <v>0.31372549019607843</v>
      </c>
      <c r="E9" s="68" t="s">
        <v>70</v>
      </c>
      <c r="F9" s="64" t="s">
        <v>24</v>
      </c>
      <c r="G9" s="50">
        <v>12</v>
      </c>
      <c r="H9" s="27">
        <f>IF(B$25=0,0,G9/B$25)</f>
        <v>0.14285714285714285</v>
      </c>
      <c r="J9" s="26">
        <v>7</v>
      </c>
      <c r="K9" s="28">
        <v>-105.70000000000002</v>
      </c>
    </row>
    <row r="10" spans="1:16" x14ac:dyDescent="0.4">
      <c r="A10" s="59" t="s">
        <v>21</v>
      </c>
      <c r="B10" s="51">
        <v>8</v>
      </c>
      <c r="C10" s="29">
        <f>IF(B$2=0,0,B10/B$2)</f>
        <v>0.15686274509803921</v>
      </c>
      <c r="E10" s="68" t="s">
        <v>96</v>
      </c>
      <c r="F10" s="64" t="s">
        <v>49</v>
      </c>
      <c r="G10" s="50">
        <v>11</v>
      </c>
      <c r="H10" s="27">
        <f>IF(B$25=0,0,G10/B$25)</f>
        <v>0.13095238095238096</v>
      </c>
      <c r="J10" s="26">
        <v>8</v>
      </c>
      <c r="K10" s="28">
        <v>-51.800000000000018</v>
      </c>
    </row>
    <row r="11" spans="1:16" x14ac:dyDescent="0.4">
      <c r="A11" s="60" t="s">
        <v>199</v>
      </c>
      <c r="B11" s="52">
        <v>10</v>
      </c>
      <c r="C11" s="32">
        <f>IF(B$2=0,0,B11/B$2)</f>
        <v>0.19607843137254902</v>
      </c>
      <c r="E11" s="68" t="s">
        <v>76</v>
      </c>
      <c r="F11" s="64" t="s">
        <v>29</v>
      </c>
      <c r="G11" s="50">
        <v>7</v>
      </c>
      <c r="H11" s="27">
        <f>IF(B$25=0,0,G11/B$25)</f>
        <v>8.3333333333333329E-2</v>
      </c>
      <c r="J11" s="26">
        <v>9</v>
      </c>
      <c r="K11" s="28">
        <v>-53.000000000000021</v>
      </c>
    </row>
    <row r="12" spans="1:16" x14ac:dyDescent="0.4">
      <c r="A12" s="61" t="s">
        <v>130</v>
      </c>
      <c r="B12" s="53">
        <v>87</v>
      </c>
      <c r="C12" s="35">
        <f>IF(B$24=0,0,B12/B$24)</f>
        <v>0.33852140077821014</v>
      </c>
      <c r="E12" s="68" t="s">
        <v>77</v>
      </c>
      <c r="F12" s="64" t="s">
        <v>30</v>
      </c>
      <c r="G12" s="50">
        <v>6</v>
      </c>
      <c r="H12" s="27">
        <f>IF(B$25=0,0,G12/B$25)</f>
        <v>7.1428571428571425E-2</v>
      </c>
      <c r="J12" s="26">
        <v>10</v>
      </c>
      <c r="K12" s="28">
        <v>-72.300000000000026</v>
      </c>
    </row>
    <row r="13" spans="1:16" x14ac:dyDescent="0.4">
      <c r="A13" s="58" t="s">
        <v>125</v>
      </c>
      <c r="B13" s="50">
        <v>60</v>
      </c>
      <c r="C13" s="27">
        <f>IF(B$24=0,0,B13/B$24)</f>
        <v>0.23346303501945526</v>
      </c>
      <c r="E13" s="68" t="s">
        <v>93</v>
      </c>
      <c r="F13" s="64" t="s">
        <v>46</v>
      </c>
      <c r="G13" s="50">
        <v>5</v>
      </c>
      <c r="H13" s="27">
        <f>IF(B$25=0,0,G13/B$25)</f>
        <v>5.9523809523809521E-2</v>
      </c>
      <c r="J13" s="26">
        <v>11</v>
      </c>
      <c r="K13" s="28">
        <v>-91.600000000000023</v>
      </c>
    </row>
    <row r="14" spans="1:16" x14ac:dyDescent="0.4">
      <c r="A14" s="57" t="s">
        <v>132</v>
      </c>
      <c r="B14" s="49">
        <v>53</v>
      </c>
      <c r="C14" s="24">
        <f>IF(B$12=0,0,B14/B$12)</f>
        <v>0.60919540229885061</v>
      </c>
      <c r="E14" s="68" t="s">
        <v>84</v>
      </c>
      <c r="F14" s="64" t="s">
        <v>37</v>
      </c>
      <c r="G14" s="50">
        <v>4</v>
      </c>
      <c r="H14" s="27">
        <f>IF(B$25=0,0,G14/B$25)</f>
        <v>4.7619047619047616E-2</v>
      </c>
      <c r="J14" s="26">
        <v>12</v>
      </c>
      <c r="K14" s="28">
        <v>-88.600000000000023</v>
      </c>
    </row>
    <row r="15" spans="1:16" x14ac:dyDescent="0.4">
      <c r="A15" s="57" t="s">
        <v>133</v>
      </c>
      <c r="B15" s="49">
        <v>23</v>
      </c>
      <c r="C15" s="24">
        <f>IF(B$13=0,0,B15/B$13)</f>
        <v>0.38333333333333336</v>
      </c>
      <c r="E15" s="68" t="s">
        <v>88</v>
      </c>
      <c r="F15" s="64" t="s">
        <v>41</v>
      </c>
      <c r="G15" s="50">
        <v>2</v>
      </c>
      <c r="H15" s="27">
        <f>IF(B$25=0,0,G15/B$25)</f>
        <v>2.3809523809523808E-2</v>
      </c>
      <c r="J15" s="26">
        <v>13</v>
      </c>
      <c r="K15" s="28">
        <v>-73.100000000000023</v>
      </c>
    </row>
    <row r="16" spans="1:16" x14ac:dyDescent="0.4">
      <c r="A16" s="57" t="s">
        <v>10</v>
      </c>
      <c r="B16" s="49">
        <f>B18+B17</f>
        <v>122</v>
      </c>
      <c r="C16" s="24">
        <f>IF(B$3=0,0,B16/B$3)</f>
        <v>0.31282051282051282</v>
      </c>
      <c r="E16" s="68" t="s">
        <v>80</v>
      </c>
      <c r="F16" s="64" t="s">
        <v>33</v>
      </c>
      <c r="G16" s="50">
        <v>1</v>
      </c>
      <c r="H16" s="27">
        <f>IF(B$25=0,0,G16/B$25)</f>
        <v>1.1904761904761904E-2</v>
      </c>
      <c r="J16" s="26">
        <v>14</v>
      </c>
      <c r="K16" s="28">
        <v>-62.000000000000021</v>
      </c>
    </row>
    <row r="17" spans="1:11" x14ac:dyDescent="0.4">
      <c r="A17" s="58" t="s">
        <v>12</v>
      </c>
      <c r="B17" s="50">
        <v>49</v>
      </c>
      <c r="C17" s="27">
        <f>IF(B$16=0,0,B17/B$16)</f>
        <v>0.40163934426229508</v>
      </c>
      <c r="E17" s="68" t="s">
        <v>90</v>
      </c>
      <c r="F17" s="64" t="s">
        <v>43</v>
      </c>
      <c r="G17" s="50">
        <v>1</v>
      </c>
      <c r="H17" s="27">
        <f>IF(B$25=0,0,G17/B$25)</f>
        <v>1.1904761904761904E-2</v>
      </c>
      <c r="J17" s="26">
        <v>15</v>
      </c>
      <c r="K17" s="28">
        <v>-69.200000000000017</v>
      </c>
    </row>
    <row r="18" spans="1:11" x14ac:dyDescent="0.4">
      <c r="A18" s="58" t="s">
        <v>11</v>
      </c>
      <c r="B18" s="50">
        <v>73</v>
      </c>
      <c r="C18" s="27">
        <f>IF(B$16=0,0,B18/B$16)</f>
        <v>0.59836065573770492</v>
      </c>
      <c r="E18" s="68" t="s">
        <v>91</v>
      </c>
      <c r="F18" s="64" t="s">
        <v>44</v>
      </c>
      <c r="G18" s="50">
        <v>1</v>
      </c>
      <c r="H18" s="27">
        <f>IF(B$25=0,0,G18/B$25)</f>
        <v>1.1904761904761904E-2</v>
      </c>
      <c r="J18" s="26">
        <v>16</v>
      </c>
      <c r="K18" s="28">
        <v>5.0999999999999801</v>
      </c>
    </row>
    <row r="19" spans="1:11" x14ac:dyDescent="0.4">
      <c r="A19" s="58" t="s">
        <v>13</v>
      </c>
      <c r="B19" s="50">
        <v>64</v>
      </c>
      <c r="C19" s="27">
        <f>IF(B$3=0,0,B19/B$3)</f>
        <v>0.1641025641025641</v>
      </c>
      <c r="E19" s="68" t="s">
        <v>98</v>
      </c>
      <c r="F19" s="64" t="s">
        <v>51</v>
      </c>
      <c r="G19" s="50">
        <v>1</v>
      </c>
      <c r="H19" s="27">
        <f>IF(B$25=0,0,G19/B$25)</f>
        <v>1.1904761904761904E-2</v>
      </c>
      <c r="J19" s="26">
        <v>17</v>
      </c>
      <c r="K19" s="28">
        <v>40.09999999999998</v>
      </c>
    </row>
    <row r="20" spans="1:11" x14ac:dyDescent="0.4">
      <c r="A20" s="58" t="s">
        <v>5</v>
      </c>
      <c r="B20" s="54">
        <f>IF(B$16=0,0,C20/B$16)</f>
        <v>10903.27868852459</v>
      </c>
      <c r="C20" s="30">
        <v>1330200</v>
      </c>
      <c r="E20" s="68" t="s">
        <v>79</v>
      </c>
      <c r="F20" s="64" t="s">
        <v>32</v>
      </c>
      <c r="G20" s="50">
        <v>0</v>
      </c>
      <c r="H20" s="27">
        <f>IF(B$25=0,0,G20/B$25)</f>
        <v>0</v>
      </c>
      <c r="J20" s="26">
        <v>18</v>
      </c>
      <c r="K20" s="28">
        <v>39.799999999999983</v>
      </c>
    </row>
    <row r="21" spans="1:11" x14ac:dyDescent="0.4">
      <c r="A21" s="60" t="s">
        <v>14</v>
      </c>
      <c r="B21" s="55">
        <f>IF(B$19=0,0,C21/B$19)</f>
        <v>-9809.375</v>
      </c>
      <c r="C21" s="48">
        <v>-627800</v>
      </c>
      <c r="E21" s="68" t="s">
        <v>81</v>
      </c>
      <c r="F21" s="64" t="s">
        <v>34</v>
      </c>
      <c r="G21" s="50">
        <v>0</v>
      </c>
      <c r="H21" s="27">
        <f>IF(B$25=0,0,G21/B$25)</f>
        <v>0</v>
      </c>
      <c r="J21" s="26">
        <v>19</v>
      </c>
      <c r="K21" s="28">
        <v>103.79999999999998</v>
      </c>
    </row>
    <row r="22" spans="1:11" x14ac:dyDescent="0.4">
      <c r="A22" s="57" t="s">
        <v>186</v>
      </c>
      <c r="B22" s="49">
        <v>143</v>
      </c>
      <c r="C22" s="24">
        <f>IF(B$3=0,0,B22/B$3)</f>
        <v>0.36666666666666664</v>
      </c>
      <c r="E22" s="68" t="s">
        <v>82</v>
      </c>
      <c r="F22" s="64" t="s">
        <v>35</v>
      </c>
      <c r="G22" s="50">
        <v>0</v>
      </c>
      <c r="H22" s="27">
        <f>IF(B$25=0,0,G22/B$25)</f>
        <v>0</v>
      </c>
      <c r="J22" s="26">
        <v>20</v>
      </c>
      <c r="K22" s="28">
        <v>106.89999999999998</v>
      </c>
    </row>
    <row r="23" spans="1:11" x14ac:dyDescent="0.4">
      <c r="A23" s="60" t="s">
        <v>187</v>
      </c>
      <c r="B23" s="52">
        <v>57</v>
      </c>
      <c r="C23" s="32">
        <f>IF(B$22=0,0,B23/B$22)</f>
        <v>0.39860139860139859</v>
      </c>
      <c r="E23" s="68" t="s">
        <v>83</v>
      </c>
      <c r="F23" s="64" t="s">
        <v>36</v>
      </c>
      <c r="G23" s="50">
        <v>0</v>
      </c>
      <c r="H23" s="27">
        <f>IF(B$25=0,0,G23/B$25)</f>
        <v>0</v>
      </c>
      <c r="J23" s="26">
        <v>21</v>
      </c>
      <c r="K23" s="28">
        <v>108.09999999999998</v>
      </c>
    </row>
    <row r="24" spans="1:11" x14ac:dyDescent="0.4">
      <c r="A24" s="57" t="s">
        <v>128</v>
      </c>
      <c r="B24" s="86">
        <v>257</v>
      </c>
      <c r="C24" s="87"/>
      <c r="E24" s="68" t="s">
        <v>85</v>
      </c>
      <c r="F24" s="64" t="s">
        <v>38</v>
      </c>
      <c r="G24" s="50">
        <v>0</v>
      </c>
      <c r="H24" s="27">
        <f>IF(B$25=0,0,G24/B$25)</f>
        <v>0</v>
      </c>
      <c r="J24" s="26">
        <v>22</v>
      </c>
      <c r="K24" s="28">
        <v>110.89999999999998</v>
      </c>
    </row>
    <row r="25" spans="1:11" x14ac:dyDescent="0.4">
      <c r="A25" s="60" t="s">
        <v>129</v>
      </c>
      <c r="B25" s="88">
        <v>84</v>
      </c>
      <c r="C25" s="89"/>
      <c r="E25" s="68" t="s">
        <v>86</v>
      </c>
      <c r="F25" s="64" t="s">
        <v>39</v>
      </c>
      <c r="G25" s="50">
        <v>0</v>
      </c>
      <c r="H25" s="27">
        <f>IF(B$25=0,0,G25/B$25)</f>
        <v>0</v>
      </c>
      <c r="J25" s="26">
        <v>23</v>
      </c>
      <c r="K25" s="28">
        <v>155.49999999999997</v>
      </c>
    </row>
    <row r="26" spans="1:11" x14ac:dyDescent="0.4">
      <c r="A26" s="78" t="s">
        <v>210</v>
      </c>
      <c r="B26" s="90">
        <v>9</v>
      </c>
      <c r="C26" s="91"/>
      <c r="E26" s="68" t="s">
        <v>87</v>
      </c>
      <c r="F26" s="64" t="s">
        <v>40</v>
      </c>
      <c r="G26" s="50">
        <v>0</v>
      </c>
      <c r="H26" s="27">
        <f>IF(B$25=0,0,G26/B$25)</f>
        <v>0</v>
      </c>
      <c r="J26" s="26">
        <v>24</v>
      </c>
      <c r="K26" s="28">
        <v>154.09999999999997</v>
      </c>
    </row>
    <row r="27" spans="1:11" x14ac:dyDescent="0.4">
      <c r="A27" s="60" t="s">
        <v>212</v>
      </c>
      <c r="B27" s="79">
        <v>3</v>
      </c>
      <c r="C27" s="32">
        <f>IF(B$3=0,0,B27/B$3)</f>
        <v>7.6923076923076927E-3</v>
      </c>
      <c r="E27" s="68" t="s">
        <v>89</v>
      </c>
      <c r="F27" s="64" t="s">
        <v>42</v>
      </c>
      <c r="G27" s="50">
        <v>0</v>
      </c>
      <c r="H27" s="27">
        <f>IF(B$25=0,0,G27/B$25)</f>
        <v>0</v>
      </c>
      <c r="J27" s="26">
        <v>25</v>
      </c>
      <c r="K27" s="28">
        <v>114.39999999999996</v>
      </c>
    </row>
    <row r="28" spans="1:11" x14ac:dyDescent="0.4">
      <c r="E28" s="68" t="s">
        <v>92</v>
      </c>
      <c r="F28" s="64" t="s">
        <v>45</v>
      </c>
      <c r="G28" s="50">
        <v>0</v>
      </c>
      <c r="H28" s="27">
        <f>IF(B$25=0,0,G28/B$25)</f>
        <v>0</v>
      </c>
      <c r="J28" s="26">
        <v>26</v>
      </c>
      <c r="K28" s="28">
        <v>98.599999999999966</v>
      </c>
    </row>
    <row r="29" spans="1:11" x14ac:dyDescent="0.4">
      <c r="E29" s="68" t="s">
        <v>94</v>
      </c>
      <c r="F29" s="64" t="s">
        <v>47</v>
      </c>
      <c r="G29" s="50">
        <v>0</v>
      </c>
      <c r="H29" s="27">
        <f>IF(B$25=0,0,G29/B$25)</f>
        <v>0</v>
      </c>
      <c r="J29" s="26">
        <v>27</v>
      </c>
      <c r="K29" s="28">
        <v>109.89999999999996</v>
      </c>
    </row>
    <row r="30" spans="1:11" x14ac:dyDescent="0.4">
      <c r="E30" s="68" t="s">
        <v>95</v>
      </c>
      <c r="F30" s="64" t="s">
        <v>48</v>
      </c>
      <c r="G30" s="50">
        <v>0</v>
      </c>
      <c r="H30" s="27">
        <f>IF(B$25=0,0,G30/B$25)</f>
        <v>0</v>
      </c>
      <c r="J30" s="26">
        <v>28</v>
      </c>
      <c r="K30" s="28">
        <v>65.899999999999963</v>
      </c>
    </row>
    <row r="31" spans="1:11" x14ac:dyDescent="0.4">
      <c r="E31" s="68" t="s">
        <v>97</v>
      </c>
      <c r="F31" s="64" t="s">
        <v>50</v>
      </c>
      <c r="G31" s="50">
        <v>0</v>
      </c>
      <c r="H31" s="27">
        <f>IF(B$25=0,0,G31/B$25)</f>
        <v>0</v>
      </c>
      <c r="J31" s="26">
        <v>29</v>
      </c>
      <c r="K31" s="28">
        <v>24.899999999999963</v>
      </c>
    </row>
    <row r="32" spans="1:11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  <c r="J32" s="26">
        <v>30</v>
      </c>
      <c r="K32" s="28">
        <v>14.099999999999962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29.69999999999996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-13.700000000000038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-13.000000000000039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-0.80000000000003979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-38.100000000000037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10.899999999999963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-2.9000000000000377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38.099999999999966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34.699999999999967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106.29999999999995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137.79999999999995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173.19999999999996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184.69999999999996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193.79999999999995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145.39999999999995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190.29999999999995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200.19999999999996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180.19999999999996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175.29999999999995</v>
      </c>
    </row>
    <row r="52" spans="5:11" x14ac:dyDescent="0.4">
      <c r="J52" s="26">
        <v>50</v>
      </c>
      <c r="K52" s="28">
        <v>193.09999999999997</v>
      </c>
    </row>
    <row r="53" spans="5:11" x14ac:dyDescent="0.4">
      <c r="J53" s="26">
        <v>51</v>
      </c>
      <c r="K53" s="28">
        <v>166.69999999999996</v>
      </c>
    </row>
  </sheetData>
  <sortState ref="E2:H53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3BA9C-40B6-4812-BA02-81320570D3EC}">
  <sheetPr codeName="Sheet12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184</v>
      </c>
      <c r="C1" s="93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86">
        <v>12</v>
      </c>
      <c r="C2" s="87"/>
      <c r="E2" s="67" t="s">
        <v>69</v>
      </c>
      <c r="F2" s="63" t="s">
        <v>23</v>
      </c>
      <c r="G2" s="49">
        <v>0</v>
      </c>
      <c r="H2" s="24">
        <f>IF(B$25=0,0,G2/B$25)</f>
        <v>0</v>
      </c>
      <c r="J2" s="23">
        <v>0</v>
      </c>
      <c r="K2" s="25">
        <v>0</v>
      </c>
      <c r="M2" s="23" t="s">
        <v>189</v>
      </c>
      <c r="N2" s="44">
        <f t="shared" ref="N2:N7" si="0">IF(P2=0,0,O2/P2)</f>
        <v>2608.3333333333335</v>
      </c>
      <c r="O2" s="41">
        <v>31300</v>
      </c>
      <c r="P2" s="39">
        <v>12</v>
      </c>
    </row>
    <row r="3" spans="1:16" x14ac:dyDescent="0.4">
      <c r="A3" s="58" t="s">
        <v>8</v>
      </c>
      <c r="B3" s="94">
        <v>82</v>
      </c>
      <c r="C3" s="95"/>
      <c r="E3" s="68" t="s">
        <v>70</v>
      </c>
      <c r="F3" s="64" t="s">
        <v>24</v>
      </c>
      <c r="G3" s="50">
        <v>0</v>
      </c>
      <c r="H3" s="27">
        <f>IF(B$25=0,0,G3/B$25)</f>
        <v>0</v>
      </c>
      <c r="J3" s="26">
        <v>1</v>
      </c>
      <c r="K3" s="28">
        <v>-14.4</v>
      </c>
      <c r="M3" s="26" t="s">
        <v>190</v>
      </c>
      <c r="N3" s="45">
        <f t="shared" si="0"/>
        <v>2650</v>
      </c>
      <c r="O3" s="42">
        <v>26500</v>
      </c>
      <c r="P3" s="37">
        <v>10</v>
      </c>
    </row>
    <row r="4" spans="1:16" x14ac:dyDescent="0.4">
      <c r="A4" s="58" t="s">
        <v>6</v>
      </c>
      <c r="B4" s="96">
        <v>80.800000000000011</v>
      </c>
      <c r="C4" s="97"/>
      <c r="E4" s="68" t="s">
        <v>71</v>
      </c>
      <c r="F4" s="64" t="s">
        <v>25</v>
      </c>
      <c r="G4" s="50">
        <v>0</v>
      </c>
      <c r="H4" s="27">
        <f>IF(B$25=0,0,G4/B$25)</f>
        <v>0</v>
      </c>
      <c r="J4" s="26">
        <v>2</v>
      </c>
      <c r="K4" s="28">
        <v>37.6</v>
      </c>
      <c r="M4" s="26" t="s">
        <v>191</v>
      </c>
      <c r="N4" s="45">
        <f t="shared" si="0"/>
        <v>-900</v>
      </c>
      <c r="O4" s="42">
        <v>-7200</v>
      </c>
      <c r="P4" s="37">
        <v>8</v>
      </c>
    </row>
    <row r="5" spans="1:16" x14ac:dyDescent="0.4">
      <c r="A5" s="58" t="s">
        <v>7</v>
      </c>
      <c r="B5" s="96">
        <f>IF(B$2=0,0,B$4/B$2)</f>
        <v>6.7333333333333343</v>
      </c>
      <c r="C5" s="97"/>
      <c r="E5" s="68" t="s">
        <v>72</v>
      </c>
      <c r="F5" s="64" t="s">
        <v>26</v>
      </c>
      <c r="G5" s="50">
        <v>0</v>
      </c>
      <c r="H5" s="27">
        <f>IF(B$25=0,0,G5/B$25)</f>
        <v>0</v>
      </c>
      <c r="J5" s="26">
        <v>3</v>
      </c>
      <c r="K5" s="28">
        <v>-2.7999999999999972</v>
      </c>
      <c r="M5" s="26" t="s">
        <v>192</v>
      </c>
      <c r="N5" s="45">
        <f t="shared" si="0"/>
        <v>2062.5</v>
      </c>
      <c r="O5" s="42">
        <v>16500</v>
      </c>
      <c r="P5" s="37">
        <v>8</v>
      </c>
    </row>
    <row r="6" spans="1:16" x14ac:dyDescent="0.4">
      <c r="A6" s="58" t="s">
        <v>1</v>
      </c>
      <c r="B6" s="98">
        <f>IF(B$2=0,0,(B$7*1+B$8*2+B$9*3)/B$2)</f>
        <v>1.75</v>
      </c>
      <c r="C6" s="99"/>
      <c r="E6" s="68" t="s">
        <v>73</v>
      </c>
      <c r="F6" s="64" t="s">
        <v>27</v>
      </c>
      <c r="G6" s="50">
        <v>0</v>
      </c>
      <c r="H6" s="27">
        <f>IF(B$25=0,0,G6/B$25)</f>
        <v>0</v>
      </c>
      <c r="J6" s="26">
        <v>4</v>
      </c>
      <c r="K6" s="28">
        <v>-44.3</v>
      </c>
      <c r="M6" s="26" t="s">
        <v>193</v>
      </c>
      <c r="N6" s="45">
        <f t="shared" si="0"/>
        <v>-1266.6666666666667</v>
      </c>
      <c r="O6" s="42">
        <v>-7600</v>
      </c>
      <c r="P6" s="37">
        <v>6</v>
      </c>
    </row>
    <row r="7" spans="1:16" x14ac:dyDescent="0.4">
      <c r="A7" s="58" t="s">
        <v>2</v>
      </c>
      <c r="B7" s="50">
        <v>6</v>
      </c>
      <c r="C7" s="27">
        <f>IF(B$2=0,0,B7/B$2)</f>
        <v>0.5</v>
      </c>
      <c r="E7" s="68" t="s">
        <v>74</v>
      </c>
      <c r="F7" s="64" t="s">
        <v>12</v>
      </c>
      <c r="G7" s="50">
        <v>0</v>
      </c>
      <c r="H7" s="27">
        <f>IF(B$25=0,0,G7/B$25)</f>
        <v>0</v>
      </c>
      <c r="J7" s="26">
        <v>5</v>
      </c>
      <c r="K7" s="28">
        <v>8.2000000000000028</v>
      </c>
      <c r="M7" s="31" t="s">
        <v>194</v>
      </c>
      <c r="N7" s="46">
        <f t="shared" si="0"/>
        <v>5325</v>
      </c>
      <c r="O7" s="43">
        <v>21300</v>
      </c>
      <c r="P7" s="38">
        <v>4</v>
      </c>
    </row>
    <row r="8" spans="1:16" x14ac:dyDescent="0.4">
      <c r="A8" s="58" t="s">
        <v>3</v>
      </c>
      <c r="B8" s="50">
        <v>3</v>
      </c>
      <c r="C8" s="27">
        <f t="shared" ref="C8:C9" si="1">IF(B$2=0,0,B8/B$2)</f>
        <v>0.25</v>
      </c>
      <c r="E8" s="68" t="s">
        <v>75</v>
      </c>
      <c r="F8" s="64" t="s">
        <v>28</v>
      </c>
      <c r="G8" s="50">
        <v>0</v>
      </c>
      <c r="H8" s="27">
        <f>IF(B$25=0,0,G8/B$25)</f>
        <v>0</v>
      </c>
      <c r="J8" s="26">
        <v>6</v>
      </c>
      <c r="K8" s="28">
        <v>23.200000000000003</v>
      </c>
    </row>
    <row r="9" spans="1:16" x14ac:dyDescent="0.4">
      <c r="A9" s="59" t="s">
        <v>4</v>
      </c>
      <c r="B9" s="51">
        <v>3</v>
      </c>
      <c r="C9" s="29">
        <f t="shared" si="1"/>
        <v>0.25</v>
      </c>
      <c r="E9" s="68" t="s">
        <v>76</v>
      </c>
      <c r="F9" s="64" t="s">
        <v>29</v>
      </c>
      <c r="G9" s="50">
        <v>0</v>
      </c>
      <c r="H9" s="27">
        <f>IF(B$25=0,0,G9/B$25)</f>
        <v>0</v>
      </c>
      <c r="J9" s="26">
        <v>7</v>
      </c>
      <c r="K9" s="28">
        <v>40</v>
      </c>
    </row>
    <row r="10" spans="1:16" x14ac:dyDescent="0.4">
      <c r="A10" s="59" t="s">
        <v>21</v>
      </c>
      <c r="B10" s="51">
        <v>3</v>
      </c>
      <c r="C10" s="29">
        <f>IF(B$2=0,0,B10/B$2)</f>
        <v>0.25</v>
      </c>
      <c r="E10" s="68" t="s">
        <v>77</v>
      </c>
      <c r="F10" s="64" t="s">
        <v>30</v>
      </c>
      <c r="G10" s="50">
        <v>0</v>
      </c>
      <c r="H10" s="27">
        <f>IF(B$25=0,0,G10/B$25)</f>
        <v>0</v>
      </c>
      <c r="J10" s="26">
        <v>8</v>
      </c>
      <c r="K10" s="28">
        <v>4.2000000000000028</v>
      </c>
    </row>
    <row r="11" spans="1:16" x14ac:dyDescent="0.4">
      <c r="A11" s="60" t="s">
        <v>199</v>
      </c>
      <c r="B11" s="52">
        <v>3</v>
      </c>
      <c r="C11" s="32">
        <f>IF(B$2=0,0,B11/B$2)</f>
        <v>0.25</v>
      </c>
      <c r="E11" s="68" t="s">
        <v>78</v>
      </c>
      <c r="F11" s="64" t="s">
        <v>31</v>
      </c>
      <c r="G11" s="50">
        <v>0</v>
      </c>
      <c r="H11" s="27">
        <f>IF(B$25=0,0,G11/B$25)</f>
        <v>0</v>
      </c>
      <c r="J11" s="26">
        <v>9</v>
      </c>
      <c r="K11" s="28">
        <v>6.8000000000000025</v>
      </c>
    </row>
    <row r="12" spans="1:16" x14ac:dyDescent="0.4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>IF(B$25=0,0,G12/B$25)</f>
        <v>0</v>
      </c>
      <c r="J12" s="26">
        <v>10</v>
      </c>
      <c r="K12" s="28">
        <v>56.800000000000004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>IF(B$25=0,0,G13/B$25)</f>
        <v>0</v>
      </c>
      <c r="J13" s="26">
        <v>11</v>
      </c>
      <c r="K13" s="28">
        <v>69.300000000000011</v>
      </c>
    </row>
    <row r="14" spans="1:16" x14ac:dyDescent="0.4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>IF(B$25=0,0,G14/B$25)</f>
        <v>0</v>
      </c>
      <c r="J14" s="26">
        <v>12</v>
      </c>
      <c r="K14" s="28">
        <v>80.800000000000011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B18+B17</f>
        <v>28</v>
      </c>
      <c r="C16" s="24">
        <f>IF(B$3=0,0,B16/B$3)</f>
        <v>0.34146341463414637</v>
      </c>
      <c r="E16" s="68" t="s">
        <v>83</v>
      </c>
      <c r="F16" s="64" t="s">
        <v>36</v>
      </c>
      <c r="G16" s="50">
        <v>0</v>
      </c>
      <c r="H16" s="27">
        <f>IF(B$25=0,0,G16/B$25)</f>
        <v>0</v>
      </c>
    </row>
    <row r="17" spans="1:8" x14ac:dyDescent="0.4">
      <c r="A17" s="58" t="s">
        <v>12</v>
      </c>
      <c r="B17" s="50">
        <v>13</v>
      </c>
      <c r="C17" s="27">
        <f>IF(B$16=0,0,B17/B$16)</f>
        <v>0.4642857142857143</v>
      </c>
      <c r="E17" s="68" t="s">
        <v>84</v>
      </c>
      <c r="F17" s="64" t="s">
        <v>37</v>
      </c>
      <c r="G17" s="50">
        <v>0</v>
      </c>
      <c r="H17" s="27">
        <f>IF(B$25=0,0,G17/B$25)</f>
        <v>0</v>
      </c>
    </row>
    <row r="18" spans="1:8" x14ac:dyDescent="0.4">
      <c r="A18" s="58" t="s">
        <v>11</v>
      </c>
      <c r="B18" s="50">
        <v>15</v>
      </c>
      <c r="C18" s="27">
        <f>IF(B$16=0,0,B18/B$16)</f>
        <v>0.5357142857142857</v>
      </c>
      <c r="E18" s="68" t="s">
        <v>85</v>
      </c>
      <c r="F18" s="64" t="s">
        <v>38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11</v>
      </c>
      <c r="C19" s="27">
        <f>IF(B$3=0,0,B19/B$3)</f>
        <v>0.13414634146341464</v>
      </c>
      <c r="E19" s="68" t="s">
        <v>86</v>
      </c>
      <c r="F19" s="64" t="s">
        <v>39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10857.142857142857</v>
      </c>
      <c r="C20" s="30">
        <v>304000</v>
      </c>
      <c r="E20" s="68" t="s">
        <v>87</v>
      </c>
      <c r="F20" s="64" t="s">
        <v>40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-9927.2727272727279</v>
      </c>
      <c r="C21" s="48">
        <v>-109200</v>
      </c>
      <c r="E21" s="68" t="s">
        <v>88</v>
      </c>
      <c r="F21" s="64" t="s">
        <v>41</v>
      </c>
      <c r="G21" s="50">
        <v>0</v>
      </c>
      <c r="H21" s="27">
        <f>IF(B$25=0,0,G21/B$25)</f>
        <v>0</v>
      </c>
    </row>
    <row r="22" spans="1:8" x14ac:dyDescent="0.4">
      <c r="A22" s="57" t="s">
        <v>186</v>
      </c>
      <c r="B22" s="49">
        <v>33</v>
      </c>
      <c r="C22" s="24">
        <f>IF(B$3=0,0,B22/B$3)</f>
        <v>0.40243902439024393</v>
      </c>
      <c r="E22" s="68" t="s">
        <v>89</v>
      </c>
      <c r="F22" s="64" t="s">
        <v>42</v>
      </c>
      <c r="G22" s="50">
        <v>0</v>
      </c>
      <c r="H22" s="27">
        <f>IF(B$25=0,0,G22/B$25)</f>
        <v>0</v>
      </c>
    </row>
    <row r="23" spans="1:8" x14ac:dyDescent="0.4">
      <c r="A23" s="60" t="s">
        <v>187</v>
      </c>
      <c r="B23" s="52">
        <v>15</v>
      </c>
      <c r="C23" s="32">
        <f>IF(B$22=0,0,B23/B$22)</f>
        <v>0.45454545454545453</v>
      </c>
      <c r="E23" s="68" t="s">
        <v>90</v>
      </c>
      <c r="F23" s="64" t="s">
        <v>43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6">
        <v>0</v>
      </c>
      <c r="C24" s="87"/>
      <c r="E24" s="68" t="s">
        <v>91</v>
      </c>
      <c r="F24" s="64" t="s">
        <v>44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8">
        <v>0</v>
      </c>
      <c r="C25" s="89"/>
      <c r="E25" s="68" t="s">
        <v>92</v>
      </c>
      <c r="F25" s="64" t="s">
        <v>45</v>
      </c>
      <c r="G25" s="50">
        <v>0</v>
      </c>
      <c r="H25" s="27">
        <f>IF(B$25=0,0,G25/B$25)</f>
        <v>0</v>
      </c>
    </row>
    <row r="26" spans="1:8" x14ac:dyDescent="0.4">
      <c r="A26" s="78" t="s">
        <v>210</v>
      </c>
      <c r="B26" s="90">
        <v>0</v>
      </c>
      <c r="C26" s="91"/>
      <c r="E26" s="68" t="s">
        <v>93</v>
      </c>
      <c r="F26" s="64" t="s">
        <v>46</v>
      </c>
      <c r="G26" s="50">
        <v>0</v>
      </c>
      <c r="H26" s="27">
        <f>IF(B$25=0,0,G26/B$25)</f>
        <v>0</v>
      </c>
    </row>
    <row r="27" spans="1:8" x14ac:dyDescent="0.4">
      <c r="A27" s="60" t="s">
        <v>212</v>
      </c>
      <c r="B27" s="79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FC192-E674-40AF-B116-BCBA244E207A}">
  <sheetPr codeName="Sheet13"/>
  <dimension ref="A1:P58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185</v>
      </c>
      <c r="C1" s="93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86">
        <v>56</v>
      </c>
      <c r="C2" s="87"/>
      <c r="E2" s="67" t="s">
        <v>73</v>
      </c>
      <c r="F2" s="63" t="s">
        <v>27</v>
      </c>
      <c r="G2" s="49">
        <v>114</v>
      </c>
      <c r="H2" s="24">
        <f>IF(B$25=0,0,G2/B$25)</f>
        <v>1</v>
      </c>
      <c r="J2" s="23">
        <v>0</v>
      </c>
      <c r="K2" s="25">
        <v>0</v>
      </c>
      <c r="M2" s="23" t="s">
        <v>189</v>
      </c>
      <c r="N2" s="44">
        <f t="shared" ref="N2:N7" si="0">IF(P2=0,0,O2/P2)</f>
        <v>-1778.8461538461538</v>
      </c>
      <c r="O2" s="41">
        <v>-92500</v>
      </c>
      <c r="P2" s="39">
        <v>52</v>
      </c>
    </row>
    <row r="3" spans="1:16" x14ac:dyDescent="0.4">
      <c r="A3" s="58" t="s">
        <v>8</v>
      </c>
      <c r="B3" s="94">
        <v>430</v>
      </c>
      <c r="C3" s="95"/>
      <c r="E3" s="68" t="s">
        <v>71</v>
      </c>
      <c r="F3" s="64" t="s">
        <v>25</v>
      </c>
      <c r="G3" s="50">
        <v>92</v>
      </c>
      <c r="H3" s="27">
        <f>IF(B$25=0,0,G3/B$25)</f>
        <v>0.80701754385964908</v>
      </c>
      <c r="J3" s="26">
        <v>1</v>
      </c>
      <c r="K3" s="28">
        <v>3.9</v>
      </c>
      <c r="M3" s="26" t="s">
        <v>190</v>
      </c>
      <c r="N3" s="45">
        <f t="shared" si="0"/>
        <v>-1196.1538461538462</v>
      </c>
      <c r="O3" s="42">
        <v>-62200</v>
      </c>
      <c r="P3" s="37">
        <v>52</v>
      </c>
    </row>
    <row r="4" spans="1:16" x14ac:dyDescent="0.4">
      <c r="A4" s="58" t="s">
        <v>6</v>
      </c>
      <c r="B4" s="96">
        <v>-395.39999999999992</v>
      </c>
      <c r="C4" s="97"/>
      <c r="E4" s="68" t="s">
        <v>78</v>
      </c>
      <c r="F4" s="64" t="s">
        <v>31</v>
      </c>
      <c r="G4" s="50">
        <v>83</v>
      </c>
      <c r="H4" s="27">
        <f>IF(B$25=0,0,G4/B$25)</f>
        <v>0.72807017543859653</v>
      </c>
      <c r="J4" s="26">
        <v>2</v>
      </c>
      <c r="K4" s="28">
        <v>-33.9</v>
      </c>
      <c r="M4" s="26" t="s">
        <v>191</v>
      </c>
      <c r="N4" s="45">
        <f t="shared" si="0"/>
        <v>-3277.5510204081634</v>
      </c>
      <c r="O4" s="42">
        <v>-160600</v>
      </c>
      <c r="P4" s="37">
        <v>49</v>
      </c>
    </row>
    <row r="5" spans="1:16" x14ac:dyDescent="0.4">
      <c r="A5" s="58" t="s">
        <v>7</v>
      </c>
      <c r="B5" s="96">
        <f>IF(B$2=0,0,B$4/B$2)</f>
        <v>-7.0607142857142842</v>
      </c>
      <c r="C5" s="97"/>
      <c r="E5" s="68" t="s">
        <v>69</v>
      </c>
      <c r="F5" s="64" t="s">
        <v>23</v>
      </c>
      <c r="G5" s="50">
        <v>65</v>
      </c>
      <c r="H5" s="27">
        <f>IF(B$25=0,0,G5/B$25)</f>
        <v>0.57017543859649122</v>
      </c>
      <c r="J5" s="26">
        <v>3</v>
      </c>
      <c r="K5" s="28">
        <v>-70.099999999999994</v>
      </c>
      <c r="M5" s="26" t="s">
        <v>192</v>
      </c>
      <c r="N5" s="45">
        <f t="shared" si="0"/>
        <v>-882.22222222222217</v>
      </c>
      <c r="O5" s="42">
        <v>-39700</v>
      </c>
      <c r="P5" s="37">
        <v>45</v>
      </c>
    </row>
    <row r="6" spans="1:16" x14ac:dyDescent="0.4">
      <c r="A6" s="58" t="s">
        <v>1</v>
      </c>
      <c r="B6" s="98">
        <f>IF(B$2=0,0,(B$7*1+B$8*2+B$9*3)/B$2)</f>
        <v>2.1964285714285716</v>
      </c>
      <c r="C6" s="99"/>
      <c r="E6" s="68" t="s">
        <v>72</v>
      </c>
      <c r="F6" s="64" t="s">
        <v>26</v>
      </c>
      <c r="G6" s="50">
        <v>42</v>
      </c>
      <c r="H6" s="27">
        <f>IF(B$25=0,0,G6/B$25)</f>
        <v>0.36842105263157893</v>
      </c>
      <c r="J6" s="26">
        <v>4</v>
      </c>
      <c r="K6" s="28">
        <v>-35.099999999999994</v>
      </c>
      <c r="M6" s="26" t="s">
        <v>193</v>
      </c>
      <c r="N6" s="45">
        <f t="shared" si="0"/>
        <v>-1212.1951219512196</v>
      </c>
      <c r="O6" s="42">
        <v>-49700</v>
      </c>
      <c r="P6" s="37">
        <v>41</v>
      </c>
    </row>
    <row r="7" spans="1:16" x14ac:dyDescent="0.4">
      <c r="A7" s="58" t="s">
        <v>2</v>
      </c>
      <c r="B7" s="50">
        <v>14</v>
      </c>
      <c r="C7" s="27">
        <f>IF(B$2=0,0,B7/B$2)</f>
        <v>0.25</v>
      </c>
      <c r="E7" s="68" t="s">
        <v>74</v>
      </c>
      <c r="F7" s="64" t="s">
        <v>12</v>
      </c>
      <c r="G7" s="50">
        <v>38</v>
      </c>
      <c r="H7" s="27">
        <f>IF(B$25=0,0,G7/B$25)</f>
        <v>0.33333333333333331</v>
      </c>
      <c r="J7" s="26">
        <v>5</v>
      </c>
      <c r="K7" s="28">
        <v>-80.099999999999994</v>
      </c>
      <c r="M7" s="31" t="s">
        <v>194</v>
      </c>
      <c r="N7" s="46">
        <f t="shared" si="0"/>
        <v>4053.3333333333335</v>
      </c>
      <c r="O7" s="43">
        <v>121600</v>
      </c>
      <c r="P7" s="38">
        <v>30</v>
      </c>
    </row>
    <row r="8" spans="1:16" x14ac:dyDescent="0.4">
      <c r="A8" s="58" t="s">
        <v>3</v>
      </c>
      <c r="B8" s="50">
        <v>17</v>
      </c>
      <c r="C8" s="27">
        <f t="shared" ref="C8:C9" si="1">IF(B$2=0,0,B8/B$2)</f>
        <v>0.30357142857142855</v>
      </c>
      <c r="E8" s="68" t="s">
        <v>96</v>
      </c>
      <c r="F8" s="64" t="s">
        <v>49</v>
      </c>
      <c r="G8" s="50">
        <v>17</v>
      </c>
      <c r="H8" s="27">
        <f>IF(B$25=0,0,G8/B$25)</f>
        <v>0.14912280701754385</v>
      </c>
      <c r="J8" s="26">
        <v>6</v>
      </c>
      <c r="K8" s="28">
        <v>-116.1</v>
      </c>
    </row>
    <row r="9" spans="1:16" x14ac:dyDescent="0.4">
      <c r="A9" s="59" t="s">
        <v>4</v>
      </c>
      <c r="B9" s="51">
        <v>25</v>
      </c>
      <c r="C9" s="29">
        <f t="shared" si="1"/>
        <v>0.44642857142857145</v>
      </c>
      <c r="E9" s="68" t="s">
        <v>75</v>
      </c>
      <c r="F9" s="64" t="s">
        <v>28</v>
      </c>
      <c r="G9" s="50">
        <v>16</v>
      </c>
      <c r="H9" s="27">
        <f>IF(B$25=0,0,G9/B$25)</f>
        <v>0.14035087719298245</v>
      </c>
      <c r="J9" s="26">
        <v>7</v>
      </c>
      <c r="K9" s="28">
        <v>-147.4</v>
      </c>
    </row>
    <row r="10" spans="1:16" x14ac:dyDescent="0.4">
      <c r="A10" s="59" t="s">
        <v>21</v>
      </c>
      <c r="B10" s="51">
        <v>12</v>
      </c>
      <c r="C10" s="29">
        <f>IF(B$2=0,0,B10/B$2)</f>
        <v>0.21428571428571427</v>
      </c>
      <c r="E10" s="68" t="s">
        <v>76</v>
      </c>
      <c r="F10" s="64" t="s">
        <v>29</v>
      </c>
      <c r="G10" s="50">
        <v>12</v>
      </c>
      <c r="H10" s="27">
        <f>IF(B$25=0,0,G10/B$25)</f>
        <v>0.10526315789473684</v>
      </c>
      <c r="J10" s="26">
        <v>8</v>
      </c>
      <c r="K10" s="28">
        <v>-146</v>
      </c>
    </row>
    <row r="11" spans="1:16" x14ac:dyDescent="0.4">
      <c r="A11" s="60" t="s">
        <v>199</v>
      </c>
      <c r="B11" s="52">
        <v>6</v>
      </c>
      <c r="C11" s="32">
        <f>IF(B$2=0,0,B11/B$2)</f>
        <v>0.10714285714285714</v>
      </c>
      <c r="E11" s="68" t="s">
        <v>70</v>
      </c>
      <c r="F11" s="64" t="s">
        <v>24</v>
      </c>
      <c r="G11" s="50">
        <v>11</v>
      </c>
      <c r="H11" s="27">
        <f>IF(B$25=0,0,G11/B$25)</f>
        <v>9.6491228070175433E-2</v>
      </c>
      <c r="J11" s="26">
        <v>9</v>
      </c>
      <c r="K11" s="28">
        <v>-173</v>
      </c>
    </row>
    <row r="12" spans="1:16" x14ac:dyDescent="0.4">
      <c r="A12" s="61" t="s">
        <v>130</v>
      </c>
      <c r="B12" s="53">
        <v>116</v>
      </c>
      <c r="C12" s="35">
        <f>IF(B$24=0,0,B12/B$24)</f>
        <v>0.2951653944020356</v>
      </c>
      <c r="E12" s="68" t="s">
        <v>93</v>
      </c>
      <c r="F12" s="64" t="s">
        <v>46</v>
      </c>
      <c r="G12" s="50">
        <v>9</v>
      </c>
      <c r="H12" s="27">
        <f>IF(B$25=0,0,G12/B$25)</f>
        <v>7.8947368421052627E-2</v>
      </c>
      <c r="J12" s="26">
        <v>10</v>
      </c>
      <c r="K12" s="28">
        <v>-206.1</v>
      </c>
    </row>
    <row r="13" spans="1:16" x14ac:dyDescent="0.4">
      <c r="A13" s="58" t="s">
        <v>125</v>
      </c>
      <c r="B13" s="50">
        <v>86</v>
      </c>
      <c r="C13" s="27">
        <f>IF(B$24=0,0,B13/B$24)</f>
        <v>0.21882951653944022</v>
      </c>
      <c r="E13" s="68" t="s">
        <v>84</v>
      </c>
      <c r="F13" s="64" t="s">
        <v>37</v>
      </c>
      <c r="G13" s="50">
        <v>9</v>
      </c>
      <c r="H13" s="27">
        <f>IF(B$25=0,0,G13/B$25)</f>
        <v>7.8947368421052627E-2</v>
      </c>
      <c r="J13" s="26">
        <v>11</v>
      </c>
      <c r="K13" s="28">
        <v>-174</v>
      </c>
    </row>
    <row r="14" spans="1:16" x14ac:dyDescent="0.4">
      <c r="A14" s="57" t="s">
        <v>132</v>
      </c>
      <c r="B14" s="49">
        <v>69</v>
      </c>
      <c r="C14" s="24">
        <f>IF(B$12=0,0,B14/B$12)</f>
        <v>0.59482758620689657</v>
      </c>
      <c r="E14" s="68" t="s">
        <v>90</v>
      </c>
      <c r="F14" s="64" t="s">
        <v>43</v>
      </c>
      <c r="G14" s="50">
        <v>4</v>
      </c>
      <c r="H14" s="27">
        <f>IF(B$25=0,0,G14/B$25)</f>
        <v>3.5087719298245612E-2</v>
      </c>
      <c r="J14" s="26">
        <v>12</v>
      </c>
      <c r="K14" s="28">
        <v>-197</v>
      </c>
    </row>
    <row r="15" spans="1:16" x14ac:dyDescent="0.4">
      <c r="A15" s="57" t="s">
        <v>133</v>
      </c>
      <c r="B15" s="49">
        <v>34</v>
      </c>
      <c r="C15" s="24">
        <f>IF(B$13=0,0,B15/B$13)</f>
        <v>0.39534883720930231</v>
      </c>
      <c r="E15" s="68" t="s">
        <v>77</v>
      </c>
      <c r="F15" s="64" t="s">
        <v>30</v>
      </c>
      <c r="G15" s="50">
        <v>3</v>
      </c>
      <c r="H15" s="27">
        <f>IF(B$25=0,0,G15/B$25)</f>
        <v>2.6315789473684209E-2</v>
      </c>
      <c r="J15" s="26">
        <v>13</v>
      </c>
      <c r="K15" s="28">
        <v>-235</v>
      </c>
    </row>
    <row r="16" spans="1:16" x14ac:dyDescent="0.4">
      <c r="A16" s="57" t="s">
        <v>10</v>
      </c>
      <c r="B16" s="49">
        <f>B18+B17</f>
        <v>124</v>
      </c>
      <c r="C16" s="24">
        <f>IF(B$3=0,0,B16/B$3)</f>
        <v>0.28837209302325584</v>
      </c>
      <c r="E16" s="68" t="s">
        <v>79</v>
      </c>
      <c r="F16" s="64" t="s">
        <v>32</v>
      </c>
      <c r="G16" s="50">
        <v>3</v>
      </c>
      <c r="H16" s="27">
        <f>IF(B$25=0,0,G16/B$25)</f>
        <v>2.6315789473684209E-2</v>
      </c>
      <c r="J16" s="26">
        <v>14</v>
      </c>
      <c r="K16" s="28">
        <v>-231</v>
      </c>
    </row>
    <row r="17" spans="1:11" x14ac:dyDescent="0.4">
      <c r="A17" s="58" t="s">
        <v>12</v>
      </c>
      <c r="B17" s="50">
        <v>58</v>
      </c>
      <c r="C17" s="27">
        <f>IF(B$16=0,0,B17/B$16)</f>
        <v>0.46774193548387094</v>
      </c>
      <c r="E17" s="68" t="s">
        <v>88</v>
      </c>
      <c r="F17" s="64" t="s">
        <v>41</v>
      </c>
      <c r="G17" s="50">
        <v>3</v>
      </c>
      <c r="H17" s="27">
        <f>IF(B$25=0,0,G17/B$25)</f>
        <v>2.6315789473684209E-2</v>
      </c>
      <c r="J17" s="26">
        <v>15</v>
      </c>
      <c r="K17" s="28">
        <v>-212.5</v>
      </c>
    </row>
    <row r="18" spans="1:11" x14ac:dyDescent="0.4">
      <c r="A18" s="58" t="s">
        <v>11</v>
      </c>
      <c r="B18" s="50">
        <v>66</v>
      </c>
      <c r="C18" s="27">
        <f>IF(B$16=0,0,B18/B$16)</f>
        <v>0.532258064516129</v>
      </c>
      <c r="E18" s="68" t="s">
        <v>81</v>
      </c>
      <c r="F18" s="64" t="s">
        <v>34</v>
      </c>
      <c r="G18" s="50">
        <v>1</v>
      </c>
      <c r="H18" s="27">
        <f>IF(B$25=0,0,G18/B$25)</f>
        <v>8.771929824561403E-3</v>
      </c>
      <c r="J18" s="26">
        <v>16</v>
      </c>
      <c r="K18" s="28">
        <v>-233.2</v>
      </c>
    </row>
    <row r="19" spans="1:11" x14ac:dyDescent="0.4">
      <c r="A19" s="58" t="s">
        <v>13</v>
      </c>
      <c r="B19" s="50">
        <v>103</v>
      </c>
      <c r="C19" s="27">
        <f>IF(B$3=0,0,B19/B$3)</f>
        <v>0.23953488372093024</v>
      </c>
      <c r="E19" s="68" t="s">
        <v>83</v>
      </c>
      <c r="F19" s="64" t="s">
        <v>36</v>
      </c>
      <c r="G19" s="50">
        <v>1</v>
      </c>
      <c r="H19" s="27">
        <f>IF(B$25=0,0,G19/B$25)</f>
        <v>8.771929824561403E-3</v>
      </c>
      <c r="J19" s="26">
        <v>17</v>
      </c>
      <c r="K19" s="28">
        <v>-268.7</v>
      </c>
    </row>
    <row r="20" spans="1:11" x14ac:dyDescent="0.4">
      <c r="A20" s="58" t="s">
        <v>5</v>
      </c>
      <c r="B20" s="54">
        <f>IF(B$16=0,0,C20/B$16)</f>
        <v>10838.709677419354</v>
      </c>
      <c r="C20" s="30">
        <v>1344000</v>
      </c>
      <c r="E20" s="68" t="s">
        <v>85</v>
      </c>
      <c r="F20" s="64" t="s">
        <v>38</v>
      </c>
      <c r="G20" s="50">
        <v>1</v>
      </c>
      <c r="H20" s="27">
        <f>IF(B$25=0,0,G20/B$25)</f>
        <v>8.771929824561403E-3</v>
      </c>
      <c r="J20" s="26">
        <v>18</v>
      </c>
      <c r="K20" s="28">
        <v>-295.8</v>
      </c>
    </row>
    <row r="21" spans="1:11" x14ac:dyDescent="0.4">
      <c r="A21" s="60" t="s">
        <v>14</v>
      </c>
      <c r="B21" s="55">
        <f>IF(B$19=0,0,C21/B$19)</f>
        <v>-9733.0097087378635</v>
      </c>
      <c r="C21" s="48">
        <v>-1002500</v>
      </c>
      <c r="E21" s="68" t="s">
        <v>91</v>
      </c>
      <c r="F21" s="64" t="s">
        <v>44</v>
      </c>
      <c r="G21" s="50">
        <v>1</v>
      </c>
      <c r="H21" s="27">
        <f>IF(B$25=0,0,G21/B$25)</f>
        <v>8.771929824561403E-3</v>
      </c>
      <c r="J21" s="26">
        <v>19</v>
      </c>
      <c r="K21" s="28">
        <v>-273.2</v>
      </c>
    </row>
    <row r="22" spans="1:11" x14ac:dyDescent="0.4">
      <c r="A22" s="57" t="s">
        <v>186</v>
      </c>
      <c r="B22" s="49">
        <v>136</v>
      </c>
      <c r="C22" s="24">
        <f>IF(B$3=0,0,B22/B$3)</f>
        <v>0.31627906976744186</v>
      </c>
      <c r="E22" s="68" t="s">
        <v>98</v>
      </c>
      <c r="F22" s="64" t="s">
        <v>51</v>
      </c>
      <c r="G22" s="50">
        <v>1</v>
      </c>
      <c r="H22" s="27">
        <f>IF(B$25=0,0,G22/B$25)</f>
        <v>8.771929824561403E-3</v>
      </c>
      <c r="J22" s="26">
        <v>20</v>
      </c>
      <c r="K22" s="28">
        <v>-270</v>
      </c>
    </row>
    <row r="23" spans="1:11" x14ac:dyDescent="0.4">
      <c r="A23" s="60" t="s">
        <v>187</v>
      </c>
      <c r="B23" s="52">
        <v>44</v>
      </c>
      <c r="C23" s="32">
        <f>IF(B$22=0,0,B23/B$22)</f>
        <v>0.3235294117647059</v>
      </c>
      <c r="E23" s="68" t="s">
        <v>100</v>
      </c>
      <c r="F23" s="64" t="s">
        <v>53</v>
      </c>
      <c r="G23" s="50">
        <v>1</v>
      </c>
      <c r="H23" s="27">
        <f>IF(B$25=0,0,G23/B$25)</f>
        <v>8.771929824561403E-3</v>
      </c>
      <c r="J23" s="26">
        <v>21</v>
      </c>
      <c r="K23" s="28">
        <v>-242</v>
      </c>
    </row>
    <row r="24" spans="1:11" x14ac:dyDescent="0.4">
      <c r="A24" s="57" t="s">
        <v>128</v>
      </c>
      <c r="B24" s="86">
        <v>393</v>
      </c>
      <c r="C24" s="87"/>
      <c r="E24" s="68" t="s">
        <v>80</v>
      </c>
      <c r="F24" s="64" t="s">
        <v>33</v>
      </c>
      <c r="G24" s="50">
        <v>0</v>
      </c>
      <c r="H24" s="27">
        <f>IF(B$25=0,0,G24/B$25)</f>
        <v>0</v>
      </c>
      <c r="J24" s="26">
        <v>22</v>
      </c>
      <c r="K24" s="28">
        <v>-202.9</v>
      </c>
    </row>
    <row r="25" spans="1:11" x14ac:dyDescent="0.4">
      <c r="A25" s="60" t="s">
        <v>129</v>
      </c>
      <c r="B25" s="88">
        <v>114</v>
      </c>
      <c r="C25" s="89"/>
      <c r="E25" s="68" t="s">
        <v>82</v>
      </c>
      <c r="F25" s="64" t="s">
        <v>35</v>
      </c>
      <c r="G25" s="50">
        <v>0</v>
      </c>
      <c r="H25" s="27">
        <f>IF(B$25=0,0,G25/B$25)</f>
        <v>0</v>
      </c>
      <c r="J25" s="26">
        <v>23</v>
      </c>
      <c r="K25" s="28">
        <v>-200.9</v>
      </c>
    </row>
    <row r="26" spans="1:11" x14ac:dyDescent="0.4">
      <c r="A26" s="78" t="s">
        <v>210</v>
      </c>
      <c r="B26" s="90">
        <v>7</v>
      </c>
      <c r="C26" s="91"/>
      <c r="E26" s="68" t="s">
        <v>86</v>
      </c>
      <c r="F26" s="64" t="s">
        <v>39</v>
      </c>
      <c r="G26" s="50">
        <v>0</v>
      </c>
      <c r="H26" s="27">
        <f>IF(B$25=0,0,G26/B$25)</f>
        <v>0</v>
      </c>
      <c r="J26" s="26">
        <v>24</v>
      </c>
      <c r="K26" s="28">
        <v>-168.2</v>
      </c>
    </row>
    <row r="27" spans="1:11" x14ac:dyDescent="0.4">
      <c r="A27" s="60" t="s">
        <v>212</v>
      </c>
      <c r="B27" s="79">
        <v>5</v>
      </c>
      <c r="C27" s="32">
        <f>IF(B$3=0,0,B27/B$3)</f>
        <v>1.1627906976744186E-2</v>
      </c>
      <c r="E27" s="68" t="s">
        <v>87</v>
      </c>
      <c r="F27" s="64" t="s">
        <v>40</v>
      </c>
      <c r="G27" s="50">
        <v>0</v>
      </c>
      <c r="H27" s="27">
        <f>IF(B$25=0,0,G27/B$25)</f>
        <v>0</v>
      </c>
      <c r="J27" s="26">
        <v>25</v>
      </c>
      <c r="K27" s="28">
        <v>-216.89999999999998</v>
      </c>
    </row>
    <row r="28" spans="1:11" x14ac:dyDescent="0.4">
      <c r="E28" s="68" t="s">
        <v>89</v>
      </c>
      <c r="F28" s="64" t="s">
        <v>42</v>
      </c>
      <c r="G28" s="50">
        <v>0</v>
      </c>
      <c r="H28" s="27">
        <f>IF(B$25=0,0,G28/B$25)</f>
        <v>0</v>
      </c>
      <c r="J28" s="26">
        <v>26</v>
      </c>
      <c r="K28" s="28">
        <v>-256.29999999999995</v>
      </c>
    </row>
    <row r="29" spans="1:11" x14ac:dyDescent="0.4">
      <c r="E29" s="68" t="s">
        <v>92</v>
      </c>
      <c r="F29" s="64" t="s">
        <v>45</v>
      </c>
      <c r="G29" s="50">
        <v>0</v>
      </c>
      <c r="H29" s="27">
        <f>IF(B$25=0,0,G29/B$25)</f>
        <v>0</v>
      </c>
      <c r="J29" s="26">
        <v>27</v>
      </c>
      <c r="K29" s="28">
        <v>-296.29999999999995</v>
      </c>
    </row>
    <row r="30" spans="1:11" x14ac:dyDescent="0.4">
      <c r="E30" s="68" t="s">
        <v>94</v>
      </c>
      <c r="F30" s="64" t="s">
        <v>47</v>
      </c>
      <c r="G30" s="50">
        <v>0</v>
      </c>
      <c r="H30" s="27">
        <f>IF(B$25=0,0,G30/B$25)</f>
        <v>0</v>
      </c>
      <c r="J30" s="26">
        <v>28</v>
      </c>
      <c r="K30" s="28">
        <v>-290.19999999999993</v>
      </c>
    </row>
    <row r="31" spans="1:11" x14ac:dyDescent="0.4">
      <c r="E31" s="68" t="s">
        <v>95</v>
      </c>
      <c r="F31" s="64" t="s">
        <v>48</v>
      </c>
      <c r="G31" s="50">
        <v>0</v>
      </c>
      <c r="H31" s="27">
        <f>IF(B$25=0,0,G31/B$25)</f>
        <v>0</v>
      </c>
      <c r="J31" s="26">
        <v>29</v>
      </c>
      <c r="K31" s="28">
        <v>-239.19999999999993</v>
      </c>
    </row>
    <row r="32" spans="1:11" x14ac:dyDescent="0.4">
      <c r="E32" s="68" t="s">
        <v>97</v>
      </c>
      <c r="F32" s="64" t="s">
        <v>50</v>
      </c>
      <c r="G32" s="50">
        <v>0</v>
      </c>
      <c r="H32" s="27">
        <f>IF(B$25=0,0,G32/B$25)</f>
        <v>0</v>
      </c>
      <c r="J32" s="26">
        <v>30</v>
      </c>
      <c r="K32" s="28">
        <v>-257.29999999999995</v>
      </c>
    </row>
    <row r="33" spans="5:11" x14ac:dyDescent="0.4">
      <c r="E33" s="68" t="s">
        <v>99</v>
      </c>
      <c r="F33" s="64" t="s">
        <v>52</v>
      </c>
      <c r="G33" s="50">
        <v>0</v>
      </c>
      <c r="H33" s="27">
        <f>IF(B$25=0,0,G33/B$25)</f>
        <v>0</v>
      </c>
      <c r="J33" s="26">
        <v>31</v>
      </c>
      <c r="K33" s="28">
        <v>-265.39999999999998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-283.89999999999998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-291.29999999999995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-301.69999999999993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-339.69999999999993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-328.09999999999991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-371.59999999999991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-380.09999999999991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-360.49999999999989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-378.59999999999991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-366.59999999999991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-367.09999999999991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-325.09999999999991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-330.89999999999992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-329.19999999999993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-363.39999999999992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-351.39999999999992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-359.19999999999993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-364.49999999999994</v>
      </c>
    </row>
    <row r="52" spans="5:11" x14ac:dyDescent="0.4">
      <c r="J52" s="26">
        <v>50</v>
      </c>
      <c r="K52" s="28">
        <v>-399.99999999999994</v>
      </c>
    </row>
    <row r="53" spans="5:11" x14ac:dyDescent="0.4">
      <c r="J53" s="26">
        <v>51</v>
      </c>
      <c r="K53" s="28">
        <v>-409.99999999999994</v>
      </c>
    </row>
    <row r="54" spans="5:11" x14ac:dyDescent="0.4">
      <c r="J54" s="26">
        <v>52</v>
      </c>
      <c r="K54" s="28">
        <v>-426.39999999999992</v>
      </c>
    </row>
    <row r="55" spans="5:11" x14ac:dyDescent="0.4">
      <c r="J55" s="26">
        <v>53</v>
      </c>
      <c r="K55" s="28">
        <v>-399.89999999999992</v>
      </c>
    </row>
    <row r="56" spans="5:11" x14ac:dyDescent="0.4">
      <c r="J56" s="26">
        <v>54</v>
      </c>
      <c r="K56" s="28">
        <v>-411.19999999999993</v>
      </c>
    </row>
    <row r="57" spans="5:11" x14ac:dyDescent="0.4">
      <c r="J57" s="26">
        <v>55</v>
      </c>
      <c r="K57" s="28">
        <v>-420.49999999999994</v>
      </c>
    </row>
    <row r="58" spans="5:11" x14ac:dyDescent="0.4">
      <c r="J58" s="26">
        <v>56</v>
      </c>
      <c r="K58" s="28">
        <v>-395.39999999999992</v>
      </c>
    </row>
  </sheetData>
  <sortState ref="E2:H58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3DC3C-F9F6-4D70-BE80-BC7A53DCE218}">
  <sheetPr codeName="Sheet14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227</v>
      </c>
      <c r="C1" s="93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86">
        <v>5</v>
      </c>
      <c r="C2" s="87"/>
      <c r="E2" s="67" t="s">
        <v>71</v>
      </c>
      <c r="F2" s="63" t="s">
        <v>25</v>
      </c>
      <c r="G2" s="49">
        <v>12</v>
      </c>
      <c r="H2" s="24">
        <f>IF(B$25=0,0,G2/B$25)</f>
        <v>0.66666666666666663</v>
      </c>
      <c r="J2" s="23">
        <v>0</v>
      </c>
      <c r="K2" s="25">
        <v>0</v>
      </c>
      <c r="M2" s="23" t="s">
        <v>189</v>
      </c>
      <c r="N2" s="44">
        <f t="shared" ref="N2:N7" si="0">IF(P2=0,0,O2/P2)</f>
        <v>9780</v>
      </c>
      <c r="O2" s="41">
        <v>48900</v>
      </c>
      <c r="P2" s="39">
        <v>5</v>
      </c>
    </row>
    <row r="3" spans="1:16" x14ac:dyDescent="0.4">
      <c r="A3" s="58" t="s">
        <v>8</v>
      </c>
      <c r="B3" s="94">
        <v>46</v>
      </c>
      <c r="C3" s="95"/>
      <c r="E3" s="68" t="s">
        <v>73</v>
      </c>
      <c r="F3" s="64" t="s">
        <v>27</v>
      </c>
      <c r="G3" s="50">
        <v>12</v>
      </c>
      <c r="H3" s="27">
        <f>IF(B$25=0,0,G3/B$25)</f>
        <v>0.66666666666666663</v>
      </c>
      <c r="J3" s="26">
        <v>1</v>
      </c>
      <c r="K3" s="28">
        <v>28.3</v>
      </c>
      <c r="M3" s="26" t="s">
        <v>190</v>
      </c>
      <c r="N3" s="45">
        <f t="shared" si="0"/>
        <v>-4740</v>
      </c>
      <c r="O3" s="42">
        <v>-23700</v>
      </c>
      <c r="P3" s="37">
        <v>5</v>
      </c>
    </row>
    <row r="4" spans="1:16" x14ac:dyDescent="0.4">
      <c r="A4" s="58" t="s">
        <v>6</v>
      </c>
      <c r="B4" s="96">
        <v>89</v>
      </c>
      <c r="C4" s="97"/>
      <c r="E4" s="68" t="s">
        <v>69</v>
      </c>
      <c r="F4" s="64" t="s">
        <v>23</v>
      </c>
      <c r="G4" s="50">
        <v>11</v>
      </c>
      <c r="H4" s="27">
        <f>IF(B$25=0,0,G4/B$25)</f>
        <v>0.61111111111111116</v>
      </c>
      <c r="J4" s="26">
        <v>2</v>
      </c>
      <c r="K4" s="28">
        <v>71.3</v>
      </c>
      <c r="M4" s="26" t="s">
        <v>191</v>
      </c>
      <c r="N4" s="45">
        <f t="shared" si="0"/>
        <v>3000</v>
      </c>
      <c r="O4" s="42">
        <v>15000</v>
      </c>
      <c r="P4" s="37">
        <v>5</v>
      </c>
    </row>
    <row r="5" spans="1:16" x14ac:dyDescent="0.4">
      <c r="A5" s="58" t="s">
        <v>7</v>
      </c>
      <c r="B5" s="96">
        <f>IF(B$2=0,0,B$4/B$2)</f>
        <v>17.8</v>
      </c>
      <c r="C5" s="97"/>
      <c r="E5" s="68" t="s">
        <v>78</v>
      </c>
      <c r="F5" s="64" t="s">
        <v>31</v>
      </c>
      <c r="G5" s="50">
        <v>10</v>
      </c>
      <c r="H5" s="27">
        <f>IF(B$25=0,0,G5/B$25)</f>
        <v>0.55555555555555558</v>
      </c>
      <c r="J5" s="26">
        <v>3</v>
      </c>
      <c r="K5" s="28">
        <v>57.3</v>
      </c>
      <c r="M5" s="26" t="s">
        <v>192</v>
      </c>
      <c r="N5" s="45">
        <f t="shared" si="0"/>
        <v>10700</v>
      </c>
      <c r="O5" s="42">
        <v>42800</v>
      </c>
      <c r="P5" s="37">
        <v>4</v>
      </c>
    </row>
    <row r="6" spans="1:16" x14ac:dyDescent="0.4">
      <c r="A6" s="58" t="s">
        <v>1</v>
      </c>
      <c r="B6" s="98">
        <f>IF(B$2=0,0,(B$7*1+B$8*2+B$9*3)/B$2)</f>
        <v>1.6</v>
      </c>
      <c r="C6" s="99"/>
      <c r="E6" s="68" t="s">
        <v>72</v>
      </c>
      <c r="F6" s="64" t="s">
        <v>26</v>
      </c>
      <c r="G6" s="50">
        <v>6</v>
      </c>
      <c r="H6" s="27">
        <f>IF(B$25=0,0,G6/B$25)</f>
        <v>0.33333333333333331</v>
      </c>
      <c r="J6" s="26">
        <v>4</v>
      </c>
      <c r="K6" s="28">
        <v>64.5</v>
      </c>
      <c r="M6" s="26" t="s">
        <v>193</v>
      </c>
      <c r="N6" s="45">
        <f t="shared" si="0"/>
        <v>-1000</v>
      </c>
      <c r="O6" s="42">
        <v>-4000</v>
      </c>
      <c r="P6" s="37">
        <v>4</v>
      </c>
    </row>
    <row r="7" spans="1:16" x14ac:dyDescent="0.4">
      <c r="A7" s="58" t="s">
        <v>2</v>
      </c>
      <c r="B7" s="50">
        <v>3</v>
      </c>
      <c r="C7" s="27">
        <f>IF(B$2=0,0,B7/B$2)</f>
        <v>0.6</v>
      </c>
      <c r="E7" s="68" t="s">
        <v>76</v>
      </c>
      <c r="F7" s="64" t="s">
        <v>29</v>
      </c>
      <c r="G7" s="50">
        <v>4</v>
      </c>
      <c r="H7" s="27">
        <f>IF(B$25=0,0,G7/B$25)</f>
        <v>0.22222222222222221</v>
      </c>
      <c r="J7" s="26">
        <v>5</v>
      </c>
      <c r="K7" s="28">
        <v>89</v>
      </c>
      <c r="M7" s="31" t="s">
        <v>194</v>
      </c>
      <c r="N7" s="46">
        <f t="shared" si="0"/>
        <v>2500</v>
      </c>
      <c r="O7" s="43">
        <v>10000</v>
      </c>
      <c r="P7" s="38">
        <v>4</v>
      </c>
    </row>
    <row r="8" spans="1:16" x14ac:dyDescent="0.4">
      <c r="A8" s="58" t="s">
        <v>3</v>
      </c>
      <c r="B8" s="50">
        <v>1</v>
      </c>
      <c r="C8" s="27">
        <f t="shared" ref="C8:C9" si="1">IF(B$2=0,0,B8/B$2)</f>
        <v>0.2</v>
      </c>
      <c r="E8" s="68" t="s">
        <v>74</v>
      </c>
      <c r="F8" s="64" t="s">
        <v>12</v>
      </c>
      <c r="G8" s="50">
        <v>3</v>
      </c>
      <c r="H8" s="27">
        <f>IF(B$25=0,0,G8/B$25)</f>
        <v>0.16666666666666666</v>
      </c>
    </row>
    <row r="9" spans="1:16" x14ac:dyDescent="0.4">
      <c r="A9" s="59" t="s">
        <v>4</v>
      </c>
      <c r="B9" s="51">
        <v>1</v>
      </c>
      <c r="C9" s="29">
        <f t="shared" si="1"/>
        <v>0.2</v>
      </c>
      <c r="E9" s="68" t="s">
        <v>75</v>
      </c>
      <c r="F9" s="64" t="s">
        <v>28</v>
      </c>
      <c r="G9" s="50">
        <v>3</v>
      </c>
      <c r="H9" s="27">
        <f>IF(B$25=0,0,G9/B$25)</f>
        <v>0.16666666666666666</v>
      </c>
    </row>
    <row r="10" spans="1:16" x14ac:dyDescent="0.4">
      <c r="A10" s="59" t="s">
        <v>21</v>
      </c>
      <c r="B10" s="51">
        <v>0</v>
      </c>
      <c r="C10" s="29">
        <f>IF(B$2=0,0,B10/B$2)</f>
        <v>0</v>
      </c>
      <c r="E10" s="68" t="s">
        <v>93</v>
      </c>
      <c r="F10" s="64" t="s">
        <v>46</v>
      </c>
      <c r="G10" s="50">
        <v>3</v>
      </c>
      <c r="H10" s="27">
        <f>IF(B$25=0,0,G10/B$25)</f>
        <v>0.16666666666666666</v>
      </c>
    </row>
    <row r="11" spans="1:16" x14ac:dyDescent="0.4">
      <c r="A11" s="60" t="s">
        <v>199</v>
      </c>
      <c r="B11" s="52">
        <v>1</v>
      </c>
      <c r="C11" s="32">
        <f>IF(B$2=0,0,B11/B$2)</f>
        <v>0.2</v>
      </c>
      <c r="E11" s="68" t="s">
        <v>96</v>
      </c>
      <c r="F11" s="64" t="s">
        <v>49</v>
      </c>
      <c r="G11" s="50">
        <v>3</v>
      </c>
      <c r="H11" s="27">
        <f>IF(B$25=0,0,G11/B$25)</f>
        <v>0.16666666666666666</v>
      </c>
    </row>
    <row r="12" spans="1:16" x14ac:dyDescent="0.4">
      <c r="A12" s="61" t="s">
        <v>130</v>
      </c>
      <c r="B12" s="53">
        <v>20</v>
      </c>
      <c r="C12" s="35">
        <f>IF(B$24=0,0,B12/B$24)</f>
        <v>0.43478260869565216</v>
      </c>
      <c r="E12" s="68" t="s">
        <v>70</v>
      </c>
      <c r="F12" s="64" t="s">
        <v>24</v>
      </c>
      <c r="G12" s="50">
        <v>2</v>
      </c>
      <c r="H12" s="27">
        <f>IF(B$25=0,0,G12/B$25)</f>
        <v>0.1111111111111111</v>
      </c>
    </row>
    <row r="13" spans="1:16" x14ac:dyDescent="0.4">
      <c r="A13" s="58" t="s">
        <v>125</v>
      </c>
      <c r="B13" s="50">
        <v>6</v>
      </c>
      <c r="C13" s="27">
        <f>IF(B$24=0,0,B13/B$24)</f>
        <v>0.13043478260869565</v>
      </c>
      <c r="E13" s="68" t="s">
        <v>77</v>
      </c>
      <c r="F13" s="64" t="s">
        <v>30</v>
      </c>
      <c r="G13" s="50">
        <v>1</v>
      </c>
      <c r="H13" s="27">
        <f>IF(B$25=0,0,G13/B$25)</f>
        <v>5.5555555555555552E-2</v>
      </c>
    </row>
    <row r="14" spans="1:16" x14ac:dyDescent="0.4">
      <c r="A14" s="57" t="s">
        <v>132</v>
      </c>
      <c r="B14" s="49">
        <v>12</v>
      </c>
      <c r="C14" s="24">
        <f>IF(B$12=0,0,B14/B$12)</f>
        <v>0.6</v>
      </c>
      <c r="E14" s="68" t="s">
        <v>98</v>
      </c>
      <c r="F14" s="64" t="s">
        <v>51</v>
      </c>
      <c r="G14" s="50">
        <v>1</v>
      </c>
      <c r="H14" s="27">
        <f>IF(B$25=0,0,G14/B$25)</f>
        <v>5.5555555555555552E-2</v>
      </c>
    </row>
    <row r="15" spans="1:16" x14ac:dyDescent="0.4">
      <c r="A15" s="57" t="s">
        <v>133</v>
      </c>
      <c r="B15" s="49">
        <v>3</v>
      </c>
      <c r="C15" s="24">
        <f>IF(B$13=0,0,B15/B$13)</f>
        <v>0.5</v>
      </c>
      <c r="E15" s="68" t="s">
        <v>79</v>
      </c>
      <c r="F15" s="64" t="s">
        <v>32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B18+B17</f>
        <v>18</v>
      </c>
      <c r="C16" s="24">
        <f>IF(B$3=0,0,B16/B$3)</f>
        <v>0.39130434782608697</v>
      </c>
      <c r="E16" s="68" t="s">
        <v>80</v>
      </c>
      <c r="F16" s="64" t="s">
        <v>33</v>
      </c>
      <c r="G16" s="50">
        <v>0</v>
      </c>
      <c r="H16" s="27">
        <f>IF(B$25=0,0,G16/B$25)</f>
        <v>0</v>
      </c>
    </row>
    <row r="17" spans="1:8" x14ac:dyDescent="0.4">
      <c r="A17" s="58" t="s">
        <v>12</v>
      </c>
      <c r="B17" s="50">
        <v>5</v>
      </c>
      <c r="C17" s="27">
        <f>IF(B$16=0,0,B17/B$16)</f>
        <v>0.27777777777777779</v>
      </c>
      <c r="E17" s="68" t="s">
        <v>81</v>
      </c>
      <c r="F17" s="64" t="s">
        <v>34</v>
      </c>
      <c r="G17" s="50">
        <v>0</v>
      </c>
      <c r="H17" s="27">
        <f>IF(B$25=0,0,G17/B$25)</f>
        <v>0</v>
      </c>
    </row>
    <row r="18" spans="1:8" x14ac:dyDescent="0.4">
      <c r="A18" s="58" t="s">
        <v>11</v>
      </c>
      <c r="B18" s="50">
        <v>13</v>
      </c>
      <c r="C18" s="27">
        <f>IF(B$16=0,0,B18/B$16)</f>
        <v>0.72222222222222221</v>
      </c>
      <c r="E18" s="68" t="s">
        <v>82</v>
      </c>
      <c r="F18" s="64" t="s">
        <v>35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3</v>
      </c>
      <c r="C19" s="27">
        <f>IF(B$3=0,0,B19/B$3)</f>
        <v>6.5217391304347824E-2</v>
      </c>
      <c r="E19" s="68" t="s">
        <v>83</v>
      </c>
      <c r="F19" s="64" t="s">
        <v>36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9227.7777777777774</v>
      </c>
      <c r="C20" s="30">
        <v>166100</v>
      </c>
      <c r="E20" s="68" t="s">
        <v>84</v>
      </c>
      <c r="F20" s="64" t="s">
        <v>37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-5366.666666666667</v>
      </c>
      <c r="C21" s="48">
        <v>-16100</v>
      </c>
      <c r="E21" s="68" t="s">
        <v>85</v>
      </c>
      <c r="F21" s="64" t="s">
        <v>38</v>
      </c>
      <c r="G21" s="50">
        <v>0</v>
      </c>
      <c r="H21" s="27">
        <f>IF(B$25=0,0,G21/B$25)</f>
        <v>0</v>
      </c>
    </row>
    <row r="22" spans="1:8" x14ac:dyDescent="0.4">
      <c r="A22" s="57" t="s">
        <v>186</v>
      </c>
      <c r="B22" s="49">
        <v>15</v>
      </c>
      <c r="C22" s="24">
        <f>IF(B$3=0,0,B22/B$3)</f>
        <v>0.32608695652173914</v>
      </c>
      <c r="E22" s="68" t="s">
        <v>86</v>
      </c>
      <c r="F22" s="64" t="s">
        <v>39</v>
      </c>
      <c r="G22" s="50">
        <v>0</v>
      </c>
      <c r="H22" s="27">
        <f>IF(B$25=0,0,G22/B$25)</f>
        <v>0</v>
      </c>
    </row>
    <row r="23" spans="1:8" x14ac:dyDescent="0.4">
      <c r="A23" s="60" t="s">
        <v>187</v>
      </c>
      <c r="B23" s="52">
        <v>7</v>
      </c>
      <c r="C23" s="32">
        <f>IF(B$22=0,0,B23/B$22)</f>
        <v>0.46666666666666667</v>
      </c>
      <c r="E23" s="68" t="s">
        <v>87</v>
      </c>
      <c r="F23" s="64" t="s">
        <v>40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6">
        <v>46</v>
      </c>
      <c r="C24" s="87"/>
      <c r="E24" s="68" t="s">
        <v>88</v>
      </c>
      <c r="F24" s="64" t="s">
        <v>41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8">
        <v>18</v>
      </c>
      <c r="C25" s="89"/>
      <c r="E25" s="68" t="s">
        <v>89</v>
      </c>
      <c r="F25" s="64" t="s">
        <v>42</v>
      </c>
      <c r="G25" s="50">
        <v>0</v>
      </c>
      <c r="H25" s="27">
        <f>IF(B$25=0,0,G25/B$25)</f>
        <v>0</v>
      </c>
    </row>
    <row r="26" spans="1:8" x14ac:dyDescent="0.4">
      <c r="A26" s="78" t="s">
        <v>210</v>
      </c>
      <c r="B26" s="90">
        <v>5</v>
      </c>
      <c r="C26" s="91"/>
      <c r="E26" s="68" t="s">
        <v>90</v>
      </c>
      <c r="F26" s="64" t="s">
        <v>43</v>
      </c>
      <c r="G26" s="50">
        <v>0</v>
      </c>
      <c r="H26" s="27">
        <f>IF(B$25=0,0,G26/B$25)</f>
        <v>0</v>
      </c>
    </row>
    <row r="27" spans="1:8" x14ac:dyDescent="0.4">
      <c r="A27" s="60" t="s">
        <v>212</v>
      </c>
      <c r="B27" s="79">
        <v>0</v>
      </c>
      <c r="C27" s="32">
        <f>IF(B$3=0,0,B27/B$3)</f>
        <v>0</v>
      </c>
      <c r="E27" s="68" t="s">
        <v>91</v>
      </c>
      <c r="F27" s="64" t="s">
        <v>44</v>
      </c>
      <c r="G27" s="50">
        <v>0</v>
      </c>
      <c r="H27" s="27">
        <f>IF(B$25=0,0,G27/B$25)</f>
        <v>0</v>
      </c>
    </row>
    <row r="28" spans="1:8" x14ac:dyDescent="0.4">
      <c r="E28" s="68" t="s">
        <v>92</v>
      </c>
      <c r="F28" s="64" t="s">
        <v>45</v>
      </c>
      <c r="G28" s="50">
        <v>0</v>
      </c>
      <c r="H28" s="27">
        <f>IF(B$25=0,0,G28/B$25)</f>
        <v>0</v>
      </c>
    </row>
    <row r="29" spans="1:8" x14ac:dyDescent="0.4">
      <c r="E29" s="68" t="s">
        <v>94</v>
      </c>
      <c r="F29" s="64" t="s">
        <v>47</v>
      </c>
      <c r="G29" s="50">
        <v>0</v>
      </c>
      <c r="H29" s="27">
        <f>IF(B$25=0,0,G29/B$25)</f>
        <v>0</v>
      </c>
    </row>
    <row r="30" spans="1:8" x14ac:dyDescent="0.4">
      <c r="E30" s="68" t="s">
        <v>95</v>
      </c>
      <c r="F30" s="64" t="s">
        <v>48</v>
      </c>
      <c r="G30" s="50">
        <v>0</v>
      </c>
      <c r="H30" s="27">
        <f>IF(B$25=0,0,G30/B$25)</f>
        <v>0</v>
      </c>
    </row>
    <row r="31" spans="1:8" x14ac:dyDescent="0.4">
      <c r="E31" s="68" t="s">
        <v>97</v>
      </c>
      <c r="F31" s="64" t="s">
        <v>50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932AC-A22D-4E51-AD30-0FDBB35EE98D}">
  <sheetPr codeName="Sheet15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229</v>
      </c>
      <c r="C1" s="93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86">
        <v>11</v>
      </c>
      <c r="C2" s="87"/>
      <c r="E2" s="67" t="s">
        <v>73</v>
      </c>
      <c r="F2" s="63" t="s">
        <v>27</v>
      </c>
      <c r="G2" s="49">
        <v>23</v>
      </c>
      <c r="H2" s="24">
        <f>IF(B$25=0,0,G2/B$25)</f>
        <v>1.2777777777777777</v>
      </c>
      <c r="J2" s="23">
        <v>0</v>
      </c>
      <c r="K2" s="25">
        <v>0</v>
      </c>
      <c r="M2" s="23" t="s">
        <v>189</v>
      </c>
      <c r="N2" s="44">
        <f t="shared" ref="N2:N7" si="0">IF(P2=0,0,O2/P2)</f>
        <v>-1300</v>
      </c>
      <c r="O2" s="41">
        <v>-14300</v>
      </c>
      <c r="P2" s="39">
        <v>11</v>
      </c>
    </row>
    <row r="3" spans="1:16" x14ac:dyDescent="0.4">
      <c r="A3" s="58" t="s">
        <v>8</v>
      </c>
      <c r="B3" s="94">
        <v>85</v>
      </c>
      <c r="C3" s="95"/>
      <c r="E3" s="68" t="s">
        <v>71</v>
      </c>
      <c r="F3" s="64" t="s">
        <v>25</v>
      </c>
      <c r="G3" s="50">
        <v>15</v>
      </c>
      <c r="H3" s="27">
        <f>IF(B$25=0,0,G3/B$25)</f>
        <v>0.83333333333333337</v>
      </c>
      <c r="J3" s="26">
        <v>1</v>
      </c>
      <c r="K3" s="28">
        <v>15</v>
      </c>
      <c r="M3" s="26" t="s">
        <v>190</v>
      </c>
      <c r="N3" s="45">
        <f t="shared" si="0"/>
        <v>800</v>
      </c>
      <c r="O3" s="42">
        <v>8800</v>
      </c>
      <c r="P3" s="37">
        <v>11</v>
      </c>
    </row>
    <row r="4" spans="1:16" x14ac:dyDescent="0.4">
      <c r="A4" s="58" t="s">
        <v>6</v>
      </c>
      <c r="B4" s="96">
        <v>-70</v>
      </c>
      <c r="C4" s="97"/>
      <c r="E4" s="68" t="s">
        <v>78</v>
      </c>
      <c r="F4" s="64" t="s">
        <v>31</v>
      </c>
      <c r="G4" s="50">
        <v>13</v>
      </c>
      <c r="H4" s="27">
        <f>IF(B$25=0,0,G4/B$25)</f>
        <v>0.72222222222222221</v>
      </c>
      <c r="J4" s="26">
        <v>2</v>
      </c>
      <c r="K4" s="28">
        <v>-24.299999999999997</v>
      </c>
      <c r="M4" s="26" t="s">
        <v>191</v>
      </c>
      <c r="N4" s="45">
        <f t="shared" si="0"/>
        <v>233.33333333333334</v>
      </c>
      <c r="O4" s="42">
        <v>2100</v>
      </c>
      <c r="P4" s="37">
        <v>9</v>
      </c>
    </row>
    <row r="5" spans="1:16" x14ac:dyDescent="0.4">
      <c r="A5" s="58" t="s">
        <v>7</v>
      </c>
      <c r="B5" s="96">
        <f>IF(B$2=0,0,B$4/B$2)</f>
        <v>-6.3636363636363633</v>
      </c>
      <c r="C5" s="97"/>
      <c r="E5" s="68" t="s">
        <v>90</v>
      </c>
      <c r="F5" s="64" t="s">
        <v>43</v>
      </c>
      <c r="G5" s="50">
        <v>4</v>
      </c>
      <c r="H5" s="27">
        <f>IF(B$25=0,0,G5/B$25)</f>
        <v>0.22222222222222221</v>
      </c>
      <c r="J5" s="26">
        <v>3</v>
      </c>
      <c r="K5" s="28">
        <v>-15.599999999999998</v>
      </c>
      <c r="M5" s="26" t="s">
        <v>192</v>
      </c>
      <c r="N5" s="45">
        <f t="shared" si="0"/>
        <v>-1562.5</v>
      </c>
      <c r="O5" s="42">
        <v>-12500</v>
      </c>
      <c r="P5" s="37">
        <v>8</v>
      </c>
    </row>
    <row r="6" spans="1:16" x14ac:dyDescent="0.4">
      <c r="A6" s="58" t="s">
        <v>1</v>
      </c>
      <c r="B6" s="98">
        <f>IF(B$2=0,0,(B$7*1+B$8*2+B$9*3)/B$2)</f>
        <v>2.3636363636363638</v>
      </c>
      <c r="C6" s="99"/>
      <c r="E6" s="68" t="s">
        <v>96</v>
      </c>
      <c r="F6" s="64" t="s">
        <v>49</v>
      </c>
      <c r="G6" s="50">
        <v>3</v>
      </c>
      <c r="H6" s="27">
        <f>IF(B$25=0,0,G6/B$25)</f>
        <v>0.16666666666666666</v>
      </c>
      <c r="J6" s="26">
        <v>4</v>
      </c>
      <c r="K6" s="28">
        <v>5.1000000000000014</v>
      </c>
      <c r="M6" s="26" t="s">
        <v>193</v>
      </c>
      <c r="N6" s="45">
        <f t="shared" si="0"/>
        <v>-4942.8571428571431</v>
      </c>
      <c r="O6" s="42">
        <v>-34600</v>
      </c>
      <c r="P6" s="37">
        <v>7</v>
      </c>
    </row>
    <row r="7" spans="1:16" x14ac:dyDescent="0.4">
      <c r="A7" s="58" t="s">
        <v>2</v>
      </c>
      <c r="B7" s="50">
        <v>1</v>
      </c>
      <c r="C7" s="27">
        <f>IF(B$2=0,0,B7/B$2)</f>
        <v>9.0909090909090912E-2</v>
      </c>
      <c r="E7" s="68" t="s">
        <v>69</v>
      </c>
      <c r="F7" s="64" t="s">
        <v>23</v>
      </c>
      <c r="G7" s="50">
        <v>3</v>
      </c>
      <c r="H7" s="27">
        <f>IF(B$25=0,0,G7/B$25)</f>
        <v>0.16666666666666666</v>
      </c>
      <c r="J7" s="26">
        <v>5</v>
      </c>
      <c r="K7" s="28">
        <v>9.6000000000000014</v>
      </c>
      <c r="M7" s="31" t="s">
        <v>194</v>
      </c>
      <c r="N7" s="46">
        <f t="shared" si="0"/>
        <v>-4875</v>
      </c>
      <c r="O7" s="43">
        <v>-19500</v>
      </c>
      <c r="P7" s="38">
        <v>4</v>
      </c>
    </row>
    <row r="8" spans="1:16" x14ac:dyDescent="0.4">
      <c r="A8" s="58" t="s">
        <v>3</v>
      </c>
      <c r="B8" s="50">
        <v>5</v>
      </c>
      <c r="C8" s="27">
        <f t="shared" ref="C8:C9" si="1">IF(B$2=0,0,B8/B$2)</f>
        <v>0.45454545454545453</v>
      </c>
      <c r="E8" s="68" t="s">
        <v>85</v>
      </c>
      <c r="F8" s="64" t="s">
        <v>38</v>
      </c>
      <c r="G8" s="50">
        <v>2</v>
      </c>
      <c r="H8" s="27">
        <f>IF(B$25=0,0,G8/B$25)</f>
        <v>0.1111111111111111</v>
      </c>
      <c r="J8" s="26">
        <v>6</v>
      </c>
      <c r="K8" s="28">
        <v>2.2000000000000011</v>
      </c>
    </row>
    <row r="9" spans="1:16" x14ac:dyDescent="0.4">
      <c r="A9" s="59" t="s">
        <v>4</v>
      </c>
      <c r="B9" s="51">
        <v>5</v>
      </c>
      <c r="C9" s="29">
        <f t="shared" si="1"/>
        <v>0.45454545454545453</v>
      </c>
      <c r="E9" s="68" t="s">
        <v>93</v>
      </c>
      <c r="F9" s="64" t="s">
        <v>46</v>
      </c>
      <c r="G9" s="50">
        <v>2</v>
      </c>
      <c r="H9" s="27">
        <f>IF(B$25=0,0,G9/B$25)</f>
        <v>0.1111111111111111</v>
      </c>
      <c r="J9" s="26">
        <v>7</v>
      </c>
      <c r="K9" s="28">
        <v>27.200000000000003</v>
      </c>
    </row>
    <row r="10" spans="1:16" x14ac:dyDescent="0.4">
      <c r="A10" s="59" t="s">
        <v>21</v>
      </c>
      <c r="B10" s="51">
        <v>2</v>
      </c>
      <c r="C10" s="29">
        <f>IF(B$2=0,0,B10/B$2)</f>
        <v>0.18181818181818182</v>
      </c>
      <c r="E10" s="68" t="s">
        <v>76</v>
      </c>
      <c r="F10" s="64" t="s">
        <v>29</v>
      </c>
      <c r="G10" s="50">
        <v>2</v>
      </c>
      <c r="H10" s="27">
        <f>IF(B$25=0,0,G10/B$25)</f>
        <v>0.1111111111111111</v>
      </c>
      <c r="J10" s="26">
        <v>8</v>
      </c>
      <c r="K10" s="28">
        <v>-4.4999999999999964</v>
      </c>
    </row>
    <row r="11" spans="1:16" x14ac:dyDescent="0.4">
      <c r="A11" s="60" t="s">
        <v>199</v>
      </c>
      <c r="B11" s="52">
        <v>1</v>
      </c>
      <c r="C11" s="32">
        <f>IF(B$2=0,0,B11/B$2)</f>
        <v>9.0909090909090912E-2</v>
      </c>
      <c r="E11" s="68" t="s">
        <v>72</v>
      </c>
      <c r="F11" s="64" t="s">
        <v>26</v>
      </c>
      <c r="G11" s="50">
        <v>2</v>
      </c>
      <c r="H11" s="27">
        <f>IF(B$25=0,0,G11/B$25)</f>
        <v>0.1111111111111111</v>
      </c>
      <c r="J11" s="26">
        <v>9</v>
      </c>
      <c r="K11" s="28">
        <v>-9.3999999999999968</v>
      </c>
    </row>
    <row r="12" spans="1:16" x14ac:dyDescent="0.4">
      <c r="A12" s="61" t="s">
        <v>130</v>
      </c>
      <c r="B12" s="53">
        <v>8</v>
      </c>
      <c r="C12" s="35">
        <f>IF(B$24=0,0,B12/B$24)</f>
        <v>9.4117647058823528E-2</v>
      </c>
      <c r="E12" s="68" t="s">
        <v>74</v>
      </c>
      <c r="F12" s="64" t="s">
        <v>12</v>
      </c>
      <c r="G12" s="50">
        <v>2</v>
      </c>
      <c r="H12" s="27">
        <f>IF(B$25=0,0,G12/B$25)</f>
        <v>0.1111111111111111</v>
      </c>
      <c r="J12" s="26">
        <v>10</v>
      </c>
      <c r="K12" s="28">
        <v>-24.299999999999997</v>
      </c>
    </row>
    <row r="13" spans="1:16" x14ac:dyDescent="0.4">
      <c r="A13" s="58" t="s">
        <v>125</v>
      </c>
      <c r="B13" s="50">
        <v>40</v>
      </c>
      <c r="C13" s="27">
        <f>IF(B$24=0,0,B13/B$24)</f>
        <v>0.47058823529411764</v>
      </c>
      <c r="E13" s="68" t="s">
        <v>92</v>
      </c>
      <c r="F13" s="64" t="s">
        <v>45</v>
      </c>
      <c r="G13" s="50">
        <v>1</v>
      </c>
      <c r="H13" s="27">
        <f>IF(B$25=0,0,G13/B$25)</f>
        <v>5.5555555555555552E-2</v>
      </c>
      <c r="J13" s="26">
        <v>11</v>
      </c>
      <c r="K13" s="28">
        <v>-70</v>
      </c>
    </row>
    <row r="14" spans="1:16" x14ac:dyDescent="0.4">
      <c r="A14" s="57" t="s">
        <v>132</v>
      </c>
      <c r="B14" s="49">
        <v>4</v>
      </c>
      <c r="C14" s="24">
        <f>IF(B$12=0,0,B14/B$12)</f>
        <v>0.5</v>
      </c>
      <c r="E14" s="68" t="s">
        <v>75</v>
      </c>
      <c r="F14" s="64" t="s">
        <v>28</v>
      </c>
      <c r="G14" s="50">
        <v>1</v>
      </c>
      <c r="H14" s="27">
        <f>IF(B$25=0,0,G14/B$25)</f>
        <v>5.5555555555555552E-2</v>
      </c>
    </row>
    <row r="15" spans="1:16" x14ac:dyDescent="0.4">
      <c r="A15" s="57" t="s">
        <v>133</v>
      </c>
      <c r="B15" s="49">
        <v>12</v>
      </c>
      <c r="C15" s="24">
        <f>IF(B$13=0,0,B15/B$13)</f>
        <v>0.3</v>
      </c>
      <c r="E15" s="68" t="s">
        <v>83</v>
      </c>
      <c r="F15" s="64" t="s">
        <v>36</v>
      </c>
      <c r="G15" s="50">
        <v>1</v>
      </c>
      <c r="H15" s="27">
        <f>IF(B$25=0,0,G15/B$25)</f>
        <v>5.5555555555555552E-2</v>
      </c>
    </row>
    <row r="16" spans="1:16" x14ac:dyDescent="0.4">
      <c r="A16" s="57" t="s">
        <v>10</v>
      </c>
      <c r="B16" s="49">
        <f>B18+B17</f>
        <v>18</v>
      </c>
      <c r="C16" s="24">
        <f>IF(B$3=0,0,B16/B$3)</f>
        <v>0.21176470588235294</v>
      </c>
      <c r="E16" s="68" t="s">
        <v>70</v>
      </c>
      <c r="F16" s="64" t="s">
        <v>24</v>
      </c>
      <c r="G16" s="50">
        <v>0</v>
      </c>
      <c r="H16" s="27">
        <f>IF(B$25=0,0,G16/B$25)</f>
        <v>0</v>
      </c>
    </row>
    <row r="17" spans="1:8" x14ac:dyDescent="0.4">
      <c r="A17" s="58" t="s">
        <v>12</v>
      </c>
      <c r="B17" s="50">
        <v>3</v>
      </c>
      <c r="C17" s="27">
        <f>IF(B$16=0,0,B17/B$16)</f>
        <v>0.16666666666666666</v>
      </c>
      <c r="E17" s="68" t="s">
        <v>77</v>
      </c>
      <c r="F17" s="64" t="s">
        <v>30</v>
      </c>
      <c r="G17" s="50">
        <v>0</v>
      </c>
      <c r="H17" s="27">
        <f>IF(B$25=0,0,G17/B$25)</f>
        <v>0</v>
      </c>
    </row>
    <row r="18" spans="1:8" x14ac:dyDescent="0.4">
      <c r="A18" s="58" t="s">
        <v>11</v>
      </c>
      <c r="B18" s="50">
        <v>15</v>
      </c>
      <c r="C18" s="27">
        <f>IF(B$16=0,0,B18/B$16)</f>
        <v>0.83333333333333337</v>
      </c>
      <c r="E18" s="68" t="s">
        <v>79</v>
      </c>
      <c r="F18" s="64" t="s">
        <v>32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15</v>
      </c>
      <c r="C19" s="27">
        <f>IF(B$3=0,0,B19/B$3)</f>
        <v>0.17647058823529413</v>
      </c>
      <c r="E19" s="68" t="s">
        <v>80</v>
      </c>
      <c r="F19" s="64" t="s">
        <v>33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8566.6666666666661</v>
      </c>
      <c r="C20" s="30">
        <v>154200</v>
      </c>
      <c r="E20" s="68" t="s">
        <v>81</v>
      </c>
      <c r="F20" s="64" t="s">
        <v>34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-7726.666666666667</v>
      </c>
      <c r="C21" s="48">
        <v>-115900</v>
      </c>
      <c r="E21" s="68" t="s">
        <v>82</v>
      </c>
      <c r="F21" s="64" t="s">
        <v>35</v>
      </c>
      <c r="G21" s="50">
        <v>0</v>
      </c>
      <c r="H21" s="27">
        <f>IF(B$25=0,0,G21/B$25)</f>
        <v>0</v>
      </c>
    </row>
    <row r="22" spans="1:8" x14ac:dyDescent="0.4">
      <c r="A22" s="57" t="s">
        <v>186</v>
      </c>
      <c r="B22" s="49">
        <v>22</v>
      </c>
      <c r="C22" s="24">
        <f>IF(B$3=0,0,B22/B$3)</f>
        <v>0.25882352941176473</v>
      </c>
      <c r="E22" s="68" t="s">
        <v>84</v>
      </c>
      <c r="F22" s="64" t="s">
        <v>37</v>
      </c>
      <c r="G22" s="50">
        <v>0</v>
      </c>
      <c r="H22" s="27">
        <f>IF(B$25=0,0,G22/B$25)</f>
        <v>0</v>
      </c>
    </row>
    <row r="23" spans="1:8" x14ac:dyDescent="0.4">
      <c r="A23" s="60" t="s">
        <v>187</v>
      </c>
      <c r="B23" s="52">
        <v>3</v>
      </c>
      <c r="C23" s="32">
        <f>IF(B$22=0,0,B23/B$22)</f>
        <v>0.13636363636363635</v>
      </c>
      <c r="E23" s="68" t="s">
        <v>86</v>
      </c>
      <c r="F23" s="64" t="s">
        <v>39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6">
        <v>85</v>
      </c>
      <c r="C24" s="87"/>
      <c r="E24" s="68" t="s">
        <v>87</v>
      </c>
      <c r="F24" s="64" t="s">
        <v>40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8">
        <v>18</v>
      </c>
      <c r="C25" s="89"/>
      <c r="E25" s="68" t="s">
        <v>88</v>
      </c>
      <c r="F25" s="64" t="s">
        <v>41</v>
      </c>
      <c r="G25" s="50">
        <v>0</v>
      </c>
      <c r="H25" s="27">
        <f>IF(B$25=0,0,G25/B$25)</f>
        <v>0</v>
      </c>
    </row>
    <row r="26" spans="1:8" x14ac:dyDescent="0.4">
      <c r="A26" s="78" t="s">
        <v>210</v>
      </c>
      <c r="B26" s="90">
        <v>5</v>
      </c>
      <c r="C26" s="91"/>
      <c r="E26" s="68" t="s">
        <v>89</v>
      </c>
      <c r="F26" s="64" t="s">
        <v>42</v>
      </c>
      <c r="G26" s="50">
        <v>0</v>
      </c>
      <c r="H26" s="27">
        <f>IF(B$25=0,0,G26/B$25)</f>
        <v>0</v>
      </c>
    </row>
    <row r="27" spans="1:8" x14ac:dyDescent="0.4">
      <c r="A27" s="60" t="s">
        <v>212</v>
      </c>
      <c r="B27" s="79">
        <v>0</v>
      </c>
      <c r="C27" s="32">
        <f>IF(B$3=0,0,B27/B$3)</f>
        <v>0</v>
      </c>
      <c r="E27" s="68" t="s">
        <v>91</v>
      </c>
      <c r="F27" s="64" t="s">
        <v>44</v>
      </c>
      <c r="G27" s="50">
        <v>0</v>
      </c>
      <c r="H27" s="27">
        <f>IF(B$25=0,0,G27/B$25)</f>
        <v>0</v>
      </c>
    </row>
    <row r="28" spans="1:8" x14ac:dyDescent="0.4">
      <c r="E28" s="68" t="s">
        <v>94</v>
      </c>
      <c r="F28" s="64" t="s">
        <v>47</v>
      </c>
      <c r="G28" s="50">
        <v>0</v>
      </c>
      <c r="H28" s="27">
        <f>IF(B$25=0,0,G28/B$25)</f>
        <v>0</v>
      </c>
    </row>
    <row r="29" spans="1:8" x14ac:dyDescent="0.4">
      <c r="E29" s="68" t="s">
        <v>95</v>
      </c>
      <c r="F29" s="64" t="s">
        <v>48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/>
      <c r="C1" s="93"/>
      <c r="E1" s="66" t="s">
        <v>201</v>
      </c>
      <c r="F1" s="47" t="s">
        <v>122</v>
      </c>
      <c r="G1" s="62" t="s">
        <v>123</v>
      </c>
      <c r="H1" s="20" t="s">
        <v>124</v>
      </c>
      <c r="J1" s="21" t="s">
        <v>22</v>
      </c>
      <c r="K1" s="22" t="s">
        <v>127</v>
      </c>
      <c r="M1" s="21" t="s">
        <v>195</v>
      </c>
      <c r="N1" s="20" t="s">
        <v>197</v>
      </c>
      <c r="O1" s="40" t="s">
        <v>198</v>
      </c>
      <c r="P1" s="36" t="s">
        <v>196</v>
      </c>
    </row>
    <row r="2" spans="1:16" x14ac:dyDescent="0.4">
      <c r="A2" s="57" t="s">
        <v>9</v>
      </c>
      <c r="B2" s="86">
        <v>0</v>
      </c>
      <c r="C2" s="87"/>
      <c r="E2" s="67" t="s">
        <v>69</v>
      </c>
      <c r="F2" s="63" t="s">
        <v>23</v>
      </c>
      <c r="G2" s="49">
        <v>0</v>
      </c>
      <c r="H2" s="24">
        <f t="shared" ref="H2:H33" si="0">IF(B$25=0,0,G2/B$25)</f>
        <v>0</v>
      </c>
      <c r="J2" s="23">
        <v>0</v>
      </c>
      <c r="K2" s="25">
        <v>0</v>
      </c>
      <c r="M2" s="23" t="s">
        <v>189</v>
      </c>
      <c r="N2" s="44">
        <f t="shared" ref="N2:N7" si="1">IF(P2=0,0,O2/P2)</f>
        <v>0</v>
      </c>
      <c r="O2" s="41">
        <v>0</v>
      </c>
      <c r="P2" s="39">
        <v>0</v>
      </c>
    </row>
    <row r="3" spans="1:16" x14ac:dyDescent="0.4">
      <c r="A3" s="58" t="s">
        <v>8</v>
      </c>
      <c r="B3" s="94">
        <v>0</v>
      </c>
      <c r="C3" s="95"/>
      <c r="E3" s="68" t="s">
        <v>70</v>
      </c>
      <c r="F3" s="64" t="s">
        <v>24</v>
      </c>
      <c r="G3" s="50">
        <v>0</v>
      </c>
      <c r="H3" s="27">
        <f t="shared" si="0"/>
        <v>0</v>
      </c>
      <c r="M3" s="26" t="s">
        <v>190</v>
      </c>
      <c r="N3" s="45">
        <f t="shared" si="1"/>
        <v>0</v>
      </c>
      <c r="O3" s="42">
        <v>0</v>
      </c>
      <c r="P3" s="37">
        <v>0</v>
      </c>
    </row>
    <row r="4" spans="1:16" x14ac:dyDescent="0.4">
      <c r="A4" s="58" t="s">
        <v>6</v>
      </c>
      <c r="B4" s="96">
        <v>0</v>
      </c>
      <c r="C4" s="97"/>
      <c r="E4" s="68" t="s">
        <v>71</v>
      </c>
      <c r="F4" s="64" t="s">
        <v>25</v>
      </c>
      <c r="G4" s="50">
        <v>0</v>
      </c>
      <c r="H4" s="27">
        <f t="shared" si="0"/>
        <v>0</v>
      </c>
      <c r="M4" s="26" t="s">
        <v>191</v>
      </c>
      <c r="N4" s="45">
        <f t="shared" si="1"/>
        <v>0</v>
      </c>
      <c r="O4" s="42">
        <v>0</v>
      </c>
      <c r="P4" s="37">
        <v>0</v>
      </c>
    </row>
    <row r="5" spans="1:16" x14ac:dyDescent="0.4">
      <c r="A5" s="58" t="s">
        <v>7</v>
      </c>
      <c r="B5" s="96">
        <f>IF(B$2=0,0,B$4/B$2)</f>
        <v>0</v>
      </c>
      <c r="C5" s="97"/>
      <c r="E5" s="68" t="s">
        <v>72</v>
      </c>
      <c r="F5" s="64" t="s">
        <v>26</v>
      </c>
      <c r="G5" s="50">
        <v>0</v>
      </c>
      <c r="H5" s="27">
        <f t="shared" si="0"/>
        <v>0</v>
      </c>
      <c r="M5" s="26" t="s">
        <v>192</v>
      </c>
      <c r="N5" s="45">
        <f t="shared" si="1"/>
        <v>0</v>
      </c>
      <c r="O5" s="42">
        <v>0</v>
      </c>
      <c r="P5" s="37">
        <v>0</v>
      </c>
    </row>
    <row r="6" spans="1:16" x14ac:dyDescent="0.4">
      <c r="A6" s="58" t="s">
        <v>1</v>
      </c>
      <c r="B6" s="98">
        <f>IF(B$2=0,0,(B$7*1+B$8*2+B$9*3)/B$2)</f>
        <v>0</v>
      </c>
      <c r="C6" s="99"/>
      <c r="E6" s="68" t="s">
        <v>73</v>
      </c>
      <c r="F6" s="64" t="s">
        <v>27</v>
      </c>
      <c r="G6" s="50">
        <v>0</v>
      </c>
      <c r="H6" s="27">
        <f t="shared" si="0"/>
        <v>0</v>
      </c>
      <c r="M6" s="26" t="s">
        <v>193</v>
      </c>
      <c r="N6" s="45">
        <f t="shared" si="1"/>
        <v>0</v>
      </c>
      <c r="O6" s="42">
        <v>0</v>
      </c>
      <c r="P6" s="37">
        <v>0</v>
      </c>
    </row>
    <row r="7" spans="1:16" x14ac:dyDescent="0.4">
      <c r="A7" s="58" t="s">
        <v>2</v>
      </c>
      <c r="B7" s="50">
        <v>0</v>
      </c>
      <c r="C7" s="27">
        <f>IF(B$2=0,0,B7/B$2)</f>
        <v>0</v>
      </c>
      <c r="E7" s="68" t="s">
        <v>74</v>
      </c>
      <c r="F7" s="64" t="s">
        <v>12</v>
      </c>
      <c r="G7" s="50">
        <v>0</v>
      </c>
      <c r="H7" s="27">
        <f t="shared" si="0"/>
        <v>0</v>
      </c>
      <c r="M7" s="31" t="s">
        <v>194</v>
      </c>
      <c r="N7" s="46">
        <f t="shared" si="1"/>
        <v>0</v>
      </c>
      <c r="O7" s="43">
        <v>0</v>
      </c>
      <c r="P7" s="38">
        <v>0</v>
      </c>
    </row>
    <row r="8" spans="1:16" x14ac:dyDescent="0.4">
      <c r="A8" s="58" t="s">
        <v>3</v>
      </c>
      <c r="B8" s="50">
        <v>0</v>
      </c>
      <c r="C8" s="27">
        <f t="shared" ref="C8:C9" si="2">IF(B$2=0,0,B8/B$2)</f>
        <v>0</v>
      </c>
      <c r="E8" s="68" t="s">
        <v>75</v>
      </c>
      <c r="F8" s="64" t="s">
        <v>28</v>
      </c>
      <c r="G8" s="50">
        <v>0</v>
      </c>
      <c r="H8" s="27">
        <f t="shared" si="0"/>
        <v>0</v>
      </c>
    </row>
    <row r="9" spans="1:16" x14ac:dyDescent="0.4">
      <c r="A9" s="59" t="s">
        <v>4</v>
      </c>
      <c r="B9" s="51">
        <v>0</v>
      </c>
      <c r="C9" s="29">
        <f t="shared" si="2"/>
        <v>0</v>
      </c>
      <c r="E9" s="68" t="s">
        <v>76</v>
      </c>
      <c r="F9" s="64" t="s">
        <v>29</v>
      </c>
      <c r="G9" s="50">
        <v>0</v>
      </c>
      <c r="H9" s="27">
        <f t="shared" si="0"/>
        <v>0</v>
      </c>
    </row>
    <row r="10" spans="1:16" x14ac:dyDescent="0.4">
      <c r="A10" s="59" t="s">
        <v>21</v>
      </c>
      <c r="B10" s="51">
        <v>0</v>
      </c>
      <c r="C10" s="29">
        <f>IF(B$2=0,0,B10/B$2)</f>
        <v>0</v>
      </c>
      <c r="E10" s="68" t="s">
        <v>77</v>
      </c>
      <c r="F10" s="64" t="s">
        <v>30</v>
      </c>
      <c r="G10" s="50">
        <v>0</v>
      </c>
      <c r="H10" s="27">
        <f t="shared" si="0"/>
        <v>0</v>
      </c>
    </row>
    <row r="11" spans="1:16" x14ac:dyDescent="0.4">
      <c r="A11" s="60" t="s">
        <v>199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 t="shared" si="0"/>
        <v>0</v>
      </c>
    </row>
    <row r="12" spans="1:16" x14ac:dyDescent="0.4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 t="shared" si="0"/>
        <v>0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 t="shared" si="0"/>
        <v>0</v>
      </c>
    </row>
    <row r="14" spans="1:16" x14ac:dyDescent="0.4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 t="shared" si="0"/>
        <v>0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 t="shared" si="0"/>
        <v>0</v>
      </c>
    </row>
    <row r="16" spans="1:16" x14ac:dyDescent="0.4">
      <c r="A16" s="57" t="s">
        <v>10</v>
      </c>
      <c r="B16" s="49">
        <f>B18+B17</f>
        <v>0</v>
      </c>
      <c r="C16" s="24">
        <f>IF(B$3=0,0,B16/B$3)</f>
        <v>0</v>
      </c>
      <c r="E16" s="68" t="s">
        <v>83</v>
      </c>
      <c r="F16" s="64" t="s">
        <v>36</v>
      </c>
      <c r="G16" s="50">
        <v>0</v>
      </c>
      <c r="H16" s="27">
        <f t="shared" si="0"/>
        <v>0</v>
      </c>
    </row>
    <row r="17" spans="1:8" x14ac:dyDescent="0.4">
      <c r="A17" s="58" t="s">
        <v>12</v>
      </c>
      <c r="B17" s="50">
        <v>0</v>
      </c>
      <c r="C17" s="27">
        <f>IF(B$16=0,0,B17/B$16)</f>
        <v>0</v>
      </c>
      <c r="E17" s="68" t="s">
        <v>84</v>
      </c>
      <c r="F17" s="64" t="s">
        <v>37</v>
      </c>
      <c r="G17" s="50">
        <v>0</v>
      </c>
      <c r="H17" s="27">
        <f t="shared" si="0"/>
        <v>0</v>
      </c>
    </row>
    <row r="18" spans="1:8" x14ac:dyDescent="0.4">
      <c r="A18" s="58" t="s">
        <v>11</v>
      </c>
      <c r="B18" s="50">
        <v>0</v>
      </c>
      <c r="C18" s="27">
        <f>IF(B$16=0,0,B18/B$16)</f>
        <v>0</v>
      </c>
      <c r="E18" s="68" t="s">
        <v>85</v>
      </c>
      <c r="F18" s="64" t="s">
        <v>38</v>
      </c>
      <c r="G18" s="50">
        <v>0</v>
      </c>
      <c r="H18" s="27">
        <f t="shared" si="0"/>
        <v>0</v>
      </c>
    </row>
    <row r="19" spans="1:8" x14ac:dyDescent="0.4">
      <c r="A19" s="58" t="s">
        <v>13</v>
      </c>
      <c r="B19" s="50">
        <v>0</v>
      </c>
      <c r="C19" s="27">
        <f>IF(B$3=0,0,B19/B$3)</f>
        <v>0</v>
      </c>
      <c r="E19" s="68" t="s">
        <v>86</v>
      </c>
      <c r="F19" s="64" t="s">
        <v>39</v>
      </c>
      <c r="G19" s="50">
        <v>0</v>
      </c>
      <c r="H19" s="27">
        <f t="shared" si="0"/>
        <v>0</v>
      </c>
    </row>
    <row r="20" spans="1:8" x14ac:dyDescent="0.4">
      <c r="A20" s="58" t="s">
        <v>5</v>
      </c>
      <c r="B20" s="54">
        <f>IF(B$16=0,0,C20/B$16)</f>
        <v>0</v>
      </c>
      <c r="C20" s="30">
        <v>0</v>
      </c>
      <c r="E20" s="68" t="s">
        <v>87</v>
      </c>
      <c r="F20" s="64" t="s">
        <v>40</v>
      </c>
      <c r="G20" s="50">
        <v>0</v>
      </c>
      <c r="H20" s="27">
        <f t="shared" si="0"/>
        <v>0</v>
      </c>
    </row>
    <row r="21" spans="1:8" x14ac:dyDescent="0.4">
      <c r="A21" s="60" t="s">
        <v>14</v>
      </c>
      <c r="B21" s="55">
        <f>IF(B$19=0,0,C21/B$19)</f>
        <v>0</v>
      </c>
      <c r="C21" s="48">
        <v>0</v>
      </c>
      <c r="E21" s="68" t="s">
        <v>88</v>
      </c>
      <c r="F21" s="64" t="s">
        <v>41</v>
      </c>
      <c r="G21" s="50">
        <v>0</v>
      </c>
      <c r="H21" s="27">
        <f t="shared" si="0"/>
        <v>0</v>
      </c>
    </row>
    <row r="22" spans="1:8" x14ac:dyDescent="0.4">
      <c r="A22" s="57" t="s">
        <v>186</v>
      </c>
      <c r="B22" s="49">
        <v>0</v>
      </c>
      <c r="C22" s="24">
        <f>IF(B$3=0,0,B22/B$3)</f>
        <v>0</v>
      </c>
      <c r="E22" s="68" t="s">
        <v>89</v>
      </c>
      <c r="F22" s="64" t="s">
        <v>42</v>
      </c>
      <c r="G22" s="50">
        <v>0</v>
      </c>
      <c r="H22" s="27">
        <f t="shared" si="0"/>
        <v>0</v>
      </c>
    </row>
    <row r="23" spans="1:8" x14ac:dyDescent="0.4">
      <c r="A23" s="60" t="s">
        <v>187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 t="shared" si="0"/>
        <v>0</v>
      </c>
    </row>
    <row r="24" spans="1:8" x14ac:dyDescent="0.4">
      <c r="A24" s="57" t="s">
        <v>128</v>
      </c>
      <c r="B24" s="86">
        <v>0</v>
      </c>
      <c r="C24" s="87"/>
      <c r="E24" s="68" t="s">
        <v>91</v>
      </c>
      <c r="F24" s="64" t="s">
        <v>44</v>
      </c>
      <c r="G24" s="50">
        <v>0</v>
      </c>
      <c r="H24" s="27">
        <f t="shared" si="0"/>
        <v>0</v>
      </c>
    </row>
    <row r="25" spans="1:8" x14ac:dyDescent="0.4">
      <c r="A25" s="60" t="s">
        <v>129</v>
      </c>
      <c r="B25" s="88">
        <v>0</v>
      </c>
      <c r="C25" s="89"/>
      <c r="E25" s="68" t="s">
        <v>92</v>
      </c>
      <c r="F25" s="64" t="s">
        <v>45</v>
      </c>
      <c r="G25" s="50">
        <v>0</v>
      </c>
      <c r="H25" s="27">
        <f t="shared" si="0"/>
        <v>0</v>
      </c>
    </row>
    <row r="26" spans="1:8" x14ac:dyDescent="0.4">
      <c r="A26" s="78" t="s">
        <v>210</v>
      </c>
      <c r="B26" s="90">
        <v>0</v>
      </c>
      <c r="C26" s="91"/>
      <c r="E26" s="68" t="s">
        <v>93</v>
      </c>
      <c r="F26" s="64" t="s">
        <v>46</v>
      </c>
      <c r="G26" s="50">
        <v>0</v>
      </c>
      <c r="H26" s="27">
        <f t="shared" si="0"/>
        <v>0</v>
      </c>
    </row>
    <row r="27" spans="1:8" x14ac:dyDescent="0.4">
      <c r="A27" s="60" t="s">
        <v>212</v>
      </c>
      <c r="B27" s="79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 t="shared" si="0"/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 t="shared" si="0"/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 t="shared" si="0"/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 t="shared" si="0"/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 t="shared" si="0"/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 t="shared" si="0"/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 t="shared" si="0"/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 t="shared" ref="H34:H65" si="3"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 t="shared" si="3"/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 t="shared" si="3"/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 t="shared" si="3"/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 t="shared" si="3"/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 t="shared" si="3"/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 t="shared" si="3"/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 t="shared" si="3"/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 t="shared" si="3"/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 t="shared" si="3"/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 t="shared" si="3"/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 t="shared" si="3"/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 t="shared" si="3"/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 t="shared" si="3"/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 t="shared" si="3"/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 t="shared" si="3"/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 t="shared" si="3"/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 t="shared" si="3"/>
        <v>0</v>
      </c>
    </row>
  </sheetData>
  <mergeCells count="9">
    <mergeCell ref="B26:C26"/>
    <mergeCell ref="B6:C6"/>
    <mergeCell ref="B24:C24"/>
    <mergeCell ref="B25:C25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41"/>
  <sheetViews>
    <sheetView workbookViewId="0"/>
  </sheetViews>
  <sheetFormatPr defaultColWidth="9" defaultRowHeight="18.75" x14ac:dyDescent="0.4"/>
  <cols>
    <col min="1" max="1" width="16.375" style="74" bestFit="1" customWidth="1"/>
    <col min="2" max="2" width="16.875" style="75" bestFit="1" customWidth="1"/>
    <col min="3" max="16384" width="9" style="74"/>
  </cols>
  <sheetData>
    <row r="1" spans="1:14" x14ac:dyDescent="0.4">
      <c r="A1" s="73">
        <v>32874</v>
      </c>
      <c r="B1" s="73">
        <v>2958465</v>
      </c>
    </row>
    <row r="2" spans="1:14" x14ac:dyDescent="0.4">
      <c r="A2" s="74" t="s">
        <v>136</v>
      </c>
      <c r="B2" s="75">
        <v>43454.62740740741</v>
      </c>
      <c r="C2" s="74" t="s">
        <v>166</v>
      </c>
    </row>
    <row r="3" spans="1:14" x14ac:dyDescent="0.4">
      <c r="A3" s="74" t="s">
        <v>140</v>
      </c>
      <c r="B3" s="75">
        <v>43454.62740740741</v>
      </c>
      <c r="C3" s="74" t="s">
        <v>166</v>
      </c>
    </row>
    <row r="4" spans="1:14" x14ac:dyDescent="0.4">
      <c r="A4" s="74" t="s">
        <v>143</v>
      </c>
      <c r="B4" s="75">
        <v>43454.62740740741</v>
      </c>
      <c r="C4" s="74" t="s">
        <v>166</v>
      </c>
    </row>
    <row r="5" spans="1:14" x14ac:dyDescent="0.4">
      <c r="A5" s="74" t="s">
        <v>144</v>
      </c>
      <c r="B5" s="75">
        <v>43454.62740740741</v>
      </c>
      <c r="C5" s="74" t="s">
        <v>166</v>
      </c>
      <c r="D5" s="74" t="s">
        <v>167</v>
      </c>
      <c r="E5" s="74" t="s">
        <v>168</v>
      </c>
      <c r="F5" s="74" t="s">
        <v>169</v>
      </c>
      <c r="G5" s="74" t="s">
        <v>170</v>
      </c>
    </row>
    <row r="6" spans="1:14" x14ac:dyDescent="0.4">
      <c r="A6" s="74" t="s">
        <v>146</v>
      </c>
      <c r="B6" s="75">
        <v>43454.62740740741</v>
      </c>
      <c r="C6" s="74" t="s">
        <v>166</v>
      </c>
    </row>
    <row r="7" spans="1:14" x14ac:dyDescent="0.4">
      <c r="A7" s="74" t="s">
        <v>147</v>
      </c>
      <c r="B7" s="75">
        <v>43454.62740740741</v>
      </c>
      <c r="C7" s="74" t="s">
        <v>166</v>
      </c>
      <c r="D7" s="74" t="s">
        <v>167</v>
      </c>
      <c r="E7" s="74" t="s">
        <v>168</v>
      </c>
    </row>
    <row r="8" spans="1:14" x14ac:dyDescent="0.4">
      <c r="A8" s="74" t="s">
        <v>150</v>
      </c>
      <c r="B8" s="75">
        <v>43454.62740740741</v>
      </c>
      <c r="C8" s="74" t="s">
        <v>166</v>
      </c>
      <c r="D8" s="74" t="s">
        <v>167</v>
      </c>
    </row>
    <row r="9" spans="1:14" x14ac:dyDescent="0.4">
      <c r="A9" s="74" t="s">
        <v>151</v>
      </c>
      <c r="B9" s="75">
        <v>43454.62740740741</v>
      </c>
      <c r="C9" s="74" t="s">
        <v>166</v>
      </c>
      <c r="D9" s="74" t="s">
        <v>167</v>
      </c>
      <c r="E9" s="74" t="s">
        <v>168</v>
      </c>
      <c r="F9" s="74" t="s">
        <v>169</v>
      </c>
    </row>
    <row r="10" spans="1:14" x14ac:dyDescent="0.4">
      <c r="A10" s="74" t="s">
        <v>152</v>
      </c>
      <c r="B10" s="75">
        <v>43454.62740740741</v>
      </c>
      <c r="C10" s="74" t="s">
        <v>166</v>
      </c>
      <c r="D10" s="74" t="s">
        <v>167</v>
      </c>
      <c r="E10" s="74" t="s">
        <v>168</v>
      </c>
    </row>
    <row r="11" spans="1:14" x14ac:dyDescent="0.4">
      <c r="A11" s="74" t="s">
        <v>153</v>
      </c>
      <c r="B11" s="75">
        <v>43454.62740740741</v>
      </c>
      <c r="C11" s="74" t="s">
        <v>166</v>
      </c>
      <c r="D11" s="74" t="s">
        <v>167</v>
      </c>
      <c r="E11" s="74" t="s">
        <v>168</v>
      </c>
      <c r="F11" s="74" t="s">
        <v>169</v>
      </c>
      <c r="G11" s="74" t="s">
        <v>170</v>
      </c>
      <c r="H11" s="74" t="s">
        <v>171</v>
      </c>
      <c r="I11" s="74" t="s">
        <v>172</v>
      </c>
    </row>
    <row r="12" spans="1:14" x14ac:dyDescent="0.4">
      <c r="A12" s="74" t="s">
        <v>154</v>
      </c>
      <c r="B12" s="75">
        <v>43454.62740740741</v>
      </c>
      <c r="C12" s="74" t="s">
        <v>166</v>
      </c>
      <c r="D12" s="74" t="s">
        <v>167</v>
      </c>
    </row>
    <row r="13" spans="1:14" x14ac:dyDescent="0.4">
      <c r="A13" s="74" t="s">
        <v>155</v>
      </c>
      <c r="B13" s="75">
        <v>43454.62740740741</v>
      </c>
      <c r="C13" s="74" t="s">
        <v>166</v>
      </c>
      <c r="D13" s="74" t="s">
        <v>167</v>
      </c>
      <c r="E13" s="74" t="s">
        <v>168</v>
      </c>
      <c r="F13" s="74" t="s">
        <v>169</v>
      </c>
      <c r="G13" s="74" t="s">
        <v>170</v>
      </c>
      <c r="H13" s="74" t="s">
        <v>171</v>
      </c>
      <c r="I13" s="74" t="s">
        <v>172</v>
      </c>
      <c r="J13" s="74" t="s">
        <v>173</v>
      </c>
      <c r="K13" s="74" t="s">
        <v>174</v>
      </c>
      <c r="L13" s="74" t="s">
        <v>175</v>
      </c>
      <c r="M13" s="74" t="s">
        <v>176</v>
      </c>
      <c r="N13" s="74" t="s">
        <v>177</v>
      </c>
    </row>
    <row r="14" spans="1:14" x14ac:dyDescent="0.4">
      <c r="A14" s="74" t="s">
        <v>157</v>
      </c>
      <c r="B14" s="75">
        <v>43454.62740740741</v>
      </c>
      <c r="C14" s="74" t="s">
        <v>166</v>
      </c>
      <c r="D14" s="74" t="s">
        <v>167</v>
      </c>
      <c r="E14" s="74" t="s">
        <v>168</v>
      </c>
    </row>
    <row r="15" spans="1:14" x14ac:dyDescent="0.4">
      <c r="A15" s="74" t="s">
        <v>158</v>
      </c>
      <c r="B15" s="75">
        <v>43454.62740740741</v>
      </c>
      <c r="C15" s="74" t="s">
        <v>166</v>
      </c>
      <c r="D15" s="74" t="s">
        <v>167</v>
      </c>
      <c r="E15" s="74" t="s">
        <v>168</v>
      </c>
    </row>
    <row r="16" spans="1:14" x14ac:dyDescent="0.4">
      <c r="A16" s="74" t="s">
        <v>159</v>
      </c>
      <c r="B16" s="75">
        <v>43454.62740740741</v>
      </c>
      <c r="C16" s="74" t="s">
        <v>166</v>
      </c>
      <c r="D16" s="74" t="s">
        <v>167</v>
      </c>
      <c r="E16" s="74" t="s">
        <v>168</v>
      </c>
    </row>
    <row r="17" spans="1:9" x14ac:dyDescent="0.4">
      <c r="A17" s="74" t="s">
        <v>161</v>
      </c>
      <c r="B17" s="75">
        <v>43471.701018518521</v>
      </c>
      <c r="C17" s="74" t="s">
        <v>166</v>
      </c>
      <c r="D17" s="74" t="s">
        <v>167</v>
      </c>
      <c r="E17" s="74" t="s">
        <v>168</v>
      </c>
      <c r="F17" s="74" t="s">
        <v>169</v>
      </c>
      <c r="G17" s="74" t="s">
        <v>170</v>
      </c>
      <c r="H17" s="74" t="s">
        <v>171</v>
      </c>
    </row>
    <row r="18" spans="1:9" x14ac:dyDescent="0.4">
      <c r="A18" s="74" t="s">
        <v>162</v>
      </c>
      <c r="B18" s="75">
        <v>43454.62740740741</v>
      </c>
      <c r="C18" s="74" t="s">
        <v>166</v>
      </c>
      <c r="D18" s="74" t="s">
        <v>167</v>
      </c>
      <c r="E18" s="74" t="s">
        <v>168</v>
      </c>
      <c r="F18" s="74" t="s">
        <v>169</v>
      </c>
      <c r="G18" s="74" t="s">
        <v>170</v>
      </c>
      <c r="H18" s="74" t="s">
        <v>171</v>
      </c>
    </row>
    <row r="19" spans="1:9" x14ac:dyDescent="0.4">
      <c r="A19" s="74" t="s">
        <v>163</v>
      </c>
      <c r="B19" s="75">
        <v>43454.62740740741</v>
      </c>
      <c r="C19" s="74" t="s">
        <v>166</v>
      </c>
      <c r="D19" s="74" t="s">
        <v>167</v>
      </c>
    </row>
    <row r="20" spans="1:9" x14ac:dyDescent="0.4">
      <c r="A20" s="74" t="s">
        <v>164</v>
      </c>
      <c r="B20" s="75">
        <v>43471.701018518521</v>
      </c>
      <c r="C20" s="74" t="s">
        <v>166</v>
      </c>
      <c r="D20" s="74" t="s">
        <v>167</v>
      </c>
      <c r="E20" s="74" t="s">
        <v>168</v>
      </c>
    </row>
    <row r="21" spans="1:9" x14ac:dyDescent="0.4">
      <c r="A21" s="74" t="s">
        <v>165</v>
      </c>
      <c r="B21" s="75">
        <v>43484.832372685189</v>
      </c>
      <c r="C21" s="74" t="s">
        <v>166</v>
      </c>
      <c r="D21" s="74" t="s">
        <v>167</v>
      </c>
      <c r="E21" s="74" t="s">
        <v>168</v>
      </c>
      <c r="F21" s="74" t="s">
        <v>169</v>
      </c>
    </row>
    <row r="22" spans="1:9" x14ac:dyDescent="0.4">
      <c r="A22" s="74" t="s">
        <v>213</v>
      </c>
      <c r="B22" s="75">
        <v>43454.62740740741</v>
      </c>
      <c r="C22" s="74" t="s">
        <v>166</v>
      </c>
      <c r="D22" s="74" t="s">
        <v>167</v>
      </c>
      <c r="E22" s="74" t="s">
        <v>168</v>
      </c>
      <c r="F22" s="74" t="s">
        <v>169</v>
      </c>
    </row>
    <row r="23" spans="1:9" x14ac:dyDescent="0.4">
      <c r="A23" s="74" t="s">
        <v>214</v>
      </c>
      <c r="B23" s="75">
        <v>43454.62740740741</v>
      </c>
      <c r="C23" s="74" t="s">
        <v>166</v>
      </c>
      <c r="D23" s="74" t="s">
        <v>167</v>
      </c>
      <c r="E23" s="74" t="s">
        <v>168</v>
      </c>
      <c r="F23" s="74" t="s">
        <v>169</v>
      </c>
      <c r="G23" s="74" t="s">
        <v>170</v>
      </c>
      <c r="H23" s="74" t="s">
        <v>171</v>
      </c>
      <c r="I23" s="74" t="s">
        <v>172</v>
      </c>
    </row>
    <row r="24" spans="1:9" x14ac:dyDescent="0.4">
      <c r="A24" s="74" t="s">
        <v>215</v>
      </c>
      <c r="B24" s="75">
        <v>43454.62740740741</v>
      </c>
      <c r="C24" s="74" t="s">
        <v>166</v>
      </c>
      <c r="D24" s="74" t="s">
        <v>167</v>
      </c>
      <c r="E24" s="74" t="s">
        <v>168</v>
      </c>
    </row>
    <row r="25" spans="1:9" x14ac:dyDescent="0.4">
      <c r="A25" s="74" t="s">
        <v>216</v>
      </c>
      <c r="B25" s="75">
        <v>43454.62740740741</v>
      </c>
      <c r="C25" s="74" t="s">
        <v>166</v>
      </c>
      <c r="D25" s="74" t="s">
        <v>167</v>
      </c>
      <c r="E25" s="74" t="s">
        <v>168</v>
      </c>
      <c r="F25" s="74" t="s">
        <v>169</v>
      </c>
      <c r="G25" s="74" t="s">
        <v>170</v>
      </c>
      <c r="H25" s="74" t="s">
        <v>171</v>
      </c>
    </row>
    <row r="26" spans="1:9" x14ac:dyDescent="0.4">
      <c r="A26" s="74" t="s">
        <v>217</v>
      </c>
      <c r="B26" s="75">
        <v>43454.62740740741</v>
      </c>
      <c r="C26" s="74" t="s">
        <v>166</v>
      </c>
      <c r="D26" s="74" t="s">
        <v>167</v>
      </c>
    </row>
    <row r="27" spans="1:9" x14ac:dyDescent="0.4">
      <c r="A27" s="74" t="s">
        <v>218</v>
      </c>
      <c r="B27" s="75">
        <v>43454.62740740741</v>
      </c>
      <c r="C27" s="74" t="s">
        <v>166</v>
      </c>
      <c r="D27" s="74" t="s">
        <v>167</v>
      </c>
    </row>
    <row r="28" spans="1:9" x14ac:dyDescent="0.4">
      <c r="A28" s="74" t="s">
        <v>219</v>
      </c>
      <c r="B28" s="75">
        <v>43454.62740740741</v>
      </c>
      <c r="C28" s="74" t="s">
        <v>166</v>
      </c>
      <c r="D28" s="74" t="s">
        <v>167</v>
      </c>
      <c r="E28" s="74" t="s">
        <v>168</v>
      </c>
      <c r="F28" s="74" t="s">
        <v>169</v>
      </c>
    </row>
    <row r="29" spans="1:9" x14ac:dyDescent="0.4">
      <c r="A29" s="74" t="s">
        <v>220</v>
      </c>
      <c r="B29" s="75">
        <v>43455.084918981483</v>
      </c>
      <c r="C29" s="74" t="s">
        <v>166</v>
      </c>
      <c r="D29" s="74" t="s">
        <v>167</v>
      </c>
      <c r="E29" s="74" t="s">
        <v>168</v>
      </c>
      <c r="F29" s="74" t="s">
        <v>169</v>
      </c>
      <c r="G29" s="74" t="s">
        <v>170</v>
      </c>
      <c r="H29" s="74" t="s">
        <v>171</v>
      </c>
    </row>
    <row r="30" spans="1:9" x14ac:dyDescent="0.4">
      <c r="A30" s="74" t="s">
        <v>221</v>
      </c>
      <c r="B30" s="75">
        <v>43456.147789351853</v>
      </c>
      <c r="C30" s="74" t="s">
        <v>166</v>
      </c>
      <c r="D30" s="74" t="s">
        <v>167</v>
      </c>
      <c r="E30" s="74" t="s">
        <v>168</v>
      </c>
      <c r="F30" s="74" t="s">
        <v>169</v>
      </c>
      <c r="G30" s="74" t="s">
        <v>170</v>
      </c>
    </row>
    <row r="31" spans="1:9" x14ac:dyDescent="0.4">
      <c r="A31" s="74" t="s">
        <v>222</v>
      </c>
      <c r="B31" s="75">
        <v>43471.8909375</v>
      </c>
      <c r="C31" s="74" t="s">
        <v>166</v>
      </c>
      <c r="D31" s="74" t="s">
        <v>167</v>
      </c>
      <c r="E31" s="74" t="s">
        <v>168</v>
      </c>
      <c r="F31" s="74" t="s">
        <v>169</v>
      </c>
    </row>
    <row r="32" spans="1:9" x14ac:dyDescent="0.4">
      <c r="A32" s="74" t="s">
        <v>223</v>
      </c>
      <c r="B32" s="75">
        <v>43475.056238425925</v>
      </c>
      <c r="C32" s="74" t="s">
        <v>166</v>
      </c>
    </row>
    <row r="33" spans="1:10" x14ac:dyDescent="0.4">
      <c r="A33" s="74" t="s">
        <v>224</v>
      </c>
      <c r="B33" s="75">
        <v>43478.456446759257</v>
      </c>
      <c r="C33" s="74" t="s">
        <v>166</v>
      </c>
      <c r="D33" s="74" t="s">
        <v>167</v>
      </c>
      <c r="E33" s="74" t="s">
        <v>168</v>
      </c>
    </row>
    <row r="34" spans="1:10" x14ac:dyDescent="0.4">
      <c r="A34" s="74" t="s">
        <v>226</v>
      </c>
      <c r="B34" s="75">
        <v>43479.152256944442</v>
      </c>
      <c r="C34" s="74" t="s">
        <v>166</v>
      </c>
      <c r="D34" s="74" t="s">
        <v>167</v>
      </c>
      <c r="E34" s="74" t="s">
        <v>168</v>
      </c>
      <c r="F34" s="74" t="s">
        <v>169</v>
      </c>
      <c r="G34" s="74" t="s">
        <v>170</v>
      </c>
      <c r="H34" s="74" t="s">
        <v>171</v>
      </c>
      <c r="I34" s="74" t="s">
        <v>172</v>
      </c>
      <c r="J34" s="74" t="s">
        <v>173</v>
      </c>
    </row>
    <row r="35" spans="1:10" x14ac:dyDescent="0.4">
      <c r="A35" s="74" t="s">
        <v>230</v>
      </c>
      <c r="B35" s="75">
        <v>43480.04891203704</v>
      </c>
      <c r="C35" s="74" t="s">
        <v>166</v>
      </c>
      <c r="D35" s="74" t="s">
        <v>167</v>
      </c>
      <c r="E35" s="74" t="s">
        <v>168</v>
      </c>
      <c r="F35" s="74" t="s">
        <v>169</v>
      </c>
      <c r="G35" s="74" t="s">
        <v>170</v>
      </c>
      <c r="H35" s="74" t="s">
        <v>171</v>
      </c>
      <c r="I35" s="74" t="s">
        <v>172</v>
      </c>
      <c r="J35" s="74" t="s">
        <v>173</v>
      </c>
    </row>
    <row r="36" spans="1:10" x14ac:dyDescent="0.4">
      <c r="A36" s="74" t="s">
        <v>231</v>
      </c>
      <c r="B36" s="75">
        <v>43481.046527777777</v>
      </c>
      <c r="C36" s="74" t="s">
        <v>166</v>
      </c>
      <c r="D36" s="74" t="s">
        <v>167</v>
      </c>
      <c r="E36" s="74" t="s">
        <v>168</v>
      </c>
    </row>
    <row r="37" spans="1:10" x14ac:dyDescent="0.4">
      <c r="A37" s="74" t="s">
        <v>232</v>
      </c>
      <c r="B37" s="75">
        <v>43482.020208333335</v>
      </c>
      <c r="C37" s="74" t="s">
        <v>166</v>
      </c>
      <c r="D37" s="74" t="s">
        <v>167</v>
      </c>
    </row>
    <row r="38" spans="1:10" x14ac:dyDescent="0.4">
      <c r="A38" s="74" t="s">
        <v>233</v>
      </c>
      <c r="B38" s="75">
        <v>43483.045300925929</v>
      </c>
      <c r="C38" s="74" t="s">
        <v>166</v>
      </c>
      <c r="D38" s="74" t="s">
        <v>167</v>
      </c>
      <c r="E38" s="74" t="s">
        <v>168</v>
      </c>
      <c r="F38" s="74" t="s">
        <v>169</v>
      </c>
      <c r="G38" s="74" t="s">
        <v>170</v>
      </c>
    </row>
    <row r="39" spans="1:10" x14ac:dyDescent="0.4">
      <c r="A39" s="74" t="s">
        <v>234</v>
      </c>
      <c r="B39" s="75">
        <v>43484.815625000003</v>
      </c>
      <c r="C39" s="74" t="s">
        <v>166</v>
      </c>
      <c r="D39" s="74" t="s">
        <v>167</v>
      </c>
      <c r="E39" s="74" t="s">
        <v>168</v>
      </c>
      <c r="F39" s="74" t="s">
        <v>169</v>
      </c>
      <c r="G39" s="74" t="s">
        <v>170</v>
      </c>
      <c r="H39" s="74" t="s">
        <v>171</v>
      </c>
    </row>
    <row r="40" spans="1:10" x14ac:dyDescent="0.4">
      <c r="A40" s="74" t="s">
        <v>235</v>
      </c>
      <c r="B40" s="75">
        <v>43485.111226851855</v>
      </c>
      <c r="C40" s="74" t="s">
        <v>166</v>
      </c>
      <c r="D40" s="74" t="s">
        <v>167</v>
      </c>
      <c r="E40" s="74" t="s">
        <v>168</v>
      </c>
      <c r="F40" s="74" t="s">
        <v>169</v>
      </c>
    </row>
    <row r="41" spans="1:10" x14ac:dyDescent="0.4">
      <c r="A41" s="74" t="s">
        <v>237</v>
      </c>
      <c r="B41" s="75">
        <v>43486.060254629629</v>
      </c>
      <c r="C41" s="74" t="s">
        <v>166</v>
      </c>
      <c r="D41" s="74" t="s">
        <v>167</v>
      </c>
      <c r="E41" s="74" t="s">
        <v>168</v>
      </c>
      <c r="F41" s="74" t="s">
        <v>169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ランキング</vt:lpstr>
      <vt:lpstr>役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Template</vt:lpstr>
      <vt:lpstr>Cache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2019-01-20T16:35:28Z</dcterms:modified>
</cp:coreProperties>
</file>