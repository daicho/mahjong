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D88634F0-8551-40E0-8C37-5A28BDF9ABB5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566" r:id="rId2"/>
    <sheet name="かこたろう" sheetId="1567" r:id="rId3"/>
    <sheet name="ともき" sheetId="1568" r:id="rId4"/>
    <sheet name="りくと" sheetId="1569" r:id="rId5"/>
    <sheet name="いっしー" sheetId="1570" r:id="rId6"/>
    <sheet name="がくと" sheetId="1571" r:id="rId7"/>
    <sheet name="たかの" sheetId="1572" r:id="rId8"/>
    <sheet name="ただ" sheetId="1573" r:id="rId9"/>
    <sheet name="やがさき" sheetId="1574" r:id="rId10"/>
    <sheet name="れんたろう" sheetId="157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575" l="1"/>
  <c r="C15" i="1575"/>
  <c r="C14" i="1575"/>
  <c r="C13" i="1575"/>
  <c r="B12" i="1575"/>
  <c r="H51" i="1575" s="1"/>
  <c r="C11" i="1575"/>
  <c r="C10" i="1575"/>
  <c r="C9" i="1575"/>
  <c r="C8" i="1575"/>
  <c r="C7" i="1575"/>
  <c r="B6" i="1575"/>
  <c r="B5" i="1575"/>
  <c r="H30" i="1575" l="1"/>
  <c r="H7" i="1575"/>
  <c r="H10" i="1575"/>
  <c r="H12" i="1575"/>
  <c r="H40" i="1575"/>
  <c r="H3" i="1575"/>
  <c r="H5" i="1575"/>
  <c r="H6" i="1575"/>
  <c r="H36" i="1575"/>
  <c r="H25" i="1575"/>
  <c r="H4" i="1575"/>
  <c r="H2" i="1575"/>
  <c r="H9" i="1575"/>
  <c r="H27" i="1575"/>
  <c r="H44" i="1575"/>
  <c r="H33" i="1575"/>
  <c r="H48" i="1575"/>
  <c r="H20" i="1575"/>
  <c r="H21" i="1575"/>
  <c r="H11" i="1575"/>
  <c r="H16" i="1575"/>
  <c r="H28" i="1575"/>
  <c r="H8" i="1575"/>
  <c r="H18" i="1575"/>
  <c r="H37" i="1575"/>
  <c r="H41" i="1575"/>
  <c r="H45" i="1575"/>
  <c r="H49" i="1575"/>
  <c r="H19" i="1575"/>
  <c r="C12" i="1575"/>
  <c r="B16" i="1575"/>
  <c r="H23" i="1575"/>
  <c r="H26" i="1575"/>
  <c r="H17" i="1575"/>
  <c r="H31" i="1575"/>
  <c r="H34" i="1575"/>
  <c r="H38" i="1575"/>
  <c r="H42" i="1575"/>
  <c r="H46" i="1575"/>
  <c r="H50" i="1575"/>
  <c r="H13" i="1575"/>
  <c r="H15" i="1575"/>
  <c r="H22" i="1575"/>
  <c r="H24" i="1575"/>
  <c r="H14" i="1575"/>
  <c r="H29" i="1575"/>
  <c r="H32" i="1575"/>
  <c r="H35" i="1575"/>
  <c r="H39" i="1575"/>
  <c r="H43" i="1575"/>
  <c r="H47" i="1575"/>
  <c r="B17" i="1574" l="1"/>
  <c r="C15" i="1574"/>
  <c r="C14" i="1574"/>
  <c r="C13" i="1574"/>
  <c r="B12" i="1574"/>
  <c r="H48" i="1574" s="1"/>
  <c r="C11" i="1574"/>
  <c r="C10" i="1574"/>
  <c r="C9" i="1574"/>
  <c r="C8" i="1574"/>
  <c r="C7" i="1574"/>
  <c r="B6" i="1574"/>
  <c r="B5" i="1574"/>
  <c r="H3" i="1574"/>
  <c r="H13" i="1574" l="1"/>
  <c r="H15" i="1574"/>
  <c r="H17" i="1574"/>
  <c r="H21" i="1574"/>
  <c r="H25" i="1574"/>
  <c r="H29" i="1574"/>
  <c r="H33" i="1574"/>
  <c r="H37" i="1574"/>
  <c r="H41" i="1574"/>
  <c r="H45" i="1574"/>
  <c r="H49" i="1574"/>
  <c r="H4" i="1574"/>
  <c r="H6" i="1574"/>
  <c r="H8" i="1574"/>
  <c r="H10" i="1574"/>
  <c r="C12" i="1574"/>
  <c r="B16" i="1574"/>
  <c r="H18" i="1574"/>
  <c r="H22" i="1574"/>
  <c r="H26" i="1574"/>
  <c r="H30" i="1574"/>
  <c r="H34" i="1574"/>
  <c r="H38" i="1574"/>
  <c r="H42" i="1574"/>
  <c r="H46" i="1574"/>
  <c r="H50" i="1574"/>
  <c r="H12" i="1574"/>
  <c r="H14" i="1574"/>
  <c r="H16" i="1574"/>
  <c r="H19" i="1574"/>
  <c r="H23" i="1574"/>
  <c r="H27" i="1574"/>
  <c r="H31" i="1574"/>
  <c r="H35" i="1574"/>
  <c r="H39" i="1574"/>
  <c r="H43" i="1574"/>
  <c r="H47" i="1574"/>
  <c r="H51" i="1574"/>
  <c r="H2" i="1574"/>
  <c r="H5" i="1574"/>
  <c r="H7" i="1574"/>
  <c r="H9" i="1574"/>
  <c r="H11" i="1574"/>
  <c r="H20" i="1574"/>
  <c r="H24" i="1574"/>
  <c r="H28" i="1574"/>
  <c r="H32" i="1574"/>
  <c r="H36" i="1574"/>
  <c r="H40" i="1574"/>
  <c r="H44" i="1574"/>
  <c r="B17" i="1573" l="1"/>
  <c r="C15" i="1573"/>
  <c r="C14" i="1573"/>
  <c r="C13" i="1573"/>
  <c r="B12" i="1573"/>
  <c r="H50" i="1573" s="1"/>
  <c r="C11" i="1573"/>
  <c r="C10" i="1573"/>
  <c r="C9" i="1573"/>
  <c r="C8" i="1573"/>
  <c r="C7" i="1573"/>
  <c r="B6" i="1573"/>
  <c r="B5" i="1573"/>
  <c r="B17" i="1572"/>
  <c r="C15" i="1572"/>
  <c r="C14" i="1572"/>
  <c r="C13" i="1572"/>
  <c r="B12" i="1572"/>
  <c r="H48" i="1572" s="1"/>
  <c r="C11" i="1572"/>
  <c r="C10" i="1572"/>
  <c r="C9" i="1572"/>
  <c r="C8" i="1572"/>
  <c r="C7" i="1572"/>
  <c r="B6" i="1572"/>
  <c r="B5" i="1572"/>
  <c r="H10" i="1572"/>
  <c r="H25" i="1573" l="1"/>
  <c r="H21" i="1573"/>
  <c r="H43" i="1573"/>
  <c r="H11" i="1573"/>
  <c r="H17" i="1573"/>
  <c r="H35" i="1573"/>
  <c r="H16" i="1573"/>
  <c r="H39" i="1573"/>
  <c r="H19" i="1573"/>
  <c r="H28" i="1573"/>
  <c r="H31" i="1573"/>
  <c r="H47" i="1573"/>
  <c r="H51" i="1573"/>
  <c r="H4" i="1573"/>
  <c r="H5" i="1573"/>
  <c r="H7" i="1573"/>
  <c r="H9" i="1573"/>
  <c r="H6" i="1573"/>
  <c r="H22" i="1573"/>
  <c r="H26" i="1573"/>
  <c r="H29" i="1573"/>
  <c r="H32" i="1573"/>
  <c r="H36" i="1573"/>
  <c r="H40" i="1573"/>
  <c r="H44" i="1573"/>
  <c r="H48" i="1573"/>
  <c r="H14" i="1573"/>
  <c r="H18" i="1573"/>
  <c r="H15" i="1573"/>
  <c r="H23" i="1573"/>
  <c r="H27" i="1573"/>
  <c r="H13" i="1573"/>
  <c r="H33" i="1573"/>
  <c r="H37" i="1573"/>
  <c r="H41" i="1573"/>
  <c r="H45" i="1573"/>
  <c r="H49" i="1573"/>
  <c r="H2" i="1573"/>
  <c r="H3" i="1573"/>
  <c r="H8" i="1573"/>
  <c r="H12" i="1573"/>
  <c r="C12" i="1573"/>
  <c r="B16" i="1573"/>
  <c r="H20" i="1573"/>
  <c r="H24" i="1573"/>
  <c r="H10" i="1573"/>
  <c r="H30" i="1573"/>
  <c r="H34" i="1573"/>
  <c r="H38" i="1573"/>
  <c r="H42" i="1573"/>
  <c r="H46" i="1573"/>
  <c r="H19" i="1572"/>
  <c r="H20" i="1572"/>
  <c r="H12" i="1572"/>
  <c r="H24" i="1572"/>
  <c r="H27" i="1572"/>
  <c r="H6" i="1572"/>
  <c r="H33" i="1572"/>
  <c r="H37" i="1572"/>
  <c r="H41" i="1572"/>
  <c r="H45" i="1572"/>
  <c r="H49" i="1572"/>
  <c r="H4" i="1572"/>
  <c r="H3" i="1572"/>
  <c r="H15" i="1572"/>
  <c r="H17" i="1572"/>
  <c r="C12" i="1572"/>
  <c r="B16" i="1572"/>
  <c r="H8" i="1572"/>
  <c r="H25" i="1572"/>
  <c r="H9" i="1572"/>
  <c r="H30" i="1572"/>
  <c r="H34" i="1572"/>
  <c r="H38" i="1572"/>
  <c r="H42" i="1572"/>
  <c r="H46" i="1572"/>
  <c r="H50" i="1572"/>
  <c r="H18" i="1572"/>
  <c r="H11" i="1572"/>
  <c r="H21" i="1572"/>
  <c r="H22" i="1572"/>
  <c r="H13" i="1572"/>
  <c r="H28" i="1572"/>
  <c r="H31" i="1572"/>
  <c r="H35" i="1572"/>
  <c r="H39" i="1572"/>
  <c r="H43" i="1572"/>
  <c r="H47" i="1572"/>
  <c r="H51" i="1572"/>
  <c r="H5" i="1572"/>
  <c r="H14" i="1572"/>
  <c r="H7" i="1572"/>
  <c r="H16" i="1572"/>
  <c r="H2" i="1572"/>
  <c r="H23" i="1572"/>
  <c r="H26" i="1572"/>
  <c r="H29" i="1572"/>
  <c r="H32" i="1572"/>
  <c r="H36" i="1572"/>
  <c r="H40" i="1572"/>
  <c r="H44" i="1572"/>
  <c r="H51" i="1571" l="1"/>
  <c r="H46" i="1571"/>
  <c r="H40" i="1571"/>
  <c r="H35" i="1571"/>
  <c r="H30" i="1571"/>
  <c r="H24" i="1571"/>
  <c r="H19" i="1571"/>
  <c r="B17" i="1571"/>
  <c r="B16" i="1571"/>
  <c r="C15" i="1571"/>
  <c r="C14" i="1571"/>
  <c r="C13" i="1571"/>
  <c r="C12" i="1571"/>
  <c r="B12" i="1571"/>
  <c r="H49" i="1571" s="1"/>
  <c r="H11" i="1571"/>
  <c r="C11" i="1571"/>
  <c r="H10" i="1571"/>
  <c r="C10" i="1571"/>
  <c r="H9" i="1571"/>
  <c r="C9" i="1571"/>
  <c r="H8" i="1571"/>
  <c r="C8" i="1571"/>
  <c r="H7" i="1571"/>
  <c r="C7" i="1571"/>
  <c r="H6" i="1571"/>
  <c r="B6" i="1571"/>
  <c r="H5" i="1571"/>
  <c r="B5" i="1571"/>
  <c r="H4" i="1571"/>
  <c r="H3" i="1571"/>
  <c r="H2" i="1571"/>
  <c r="H16" i="1571" l="1"/>
  <c r="H20" i="1571"/>
  <c r="H26" i="1571"/>
  <c r="H31" i="1571"/>
  <c r="H36" i="1571"/>
  <c r="H42" i="1571"/>
  <c r="H47" i="1571"/>
  <c r="H14" i="1571"/>
  <c r="H22" i="1571"/>
  <c r="H27" i="1571"/>
  <c r="H32" i="1571"/>
  <c r="H38" i="1571"/>
  <c r="H43" i="1571"/>
  <c r="H48" i="1571"/>
  <c r="H12" i="1571"/>
  <c r="H18" i="1571"/>
  <c r="H23" i="1571"/>
  <c r="H28" i="1571"/>
  <c r="H34" i="1571"/>
  <c r="H39" i="1571"/>
  <c r="H44" i="1571"/>
  <c r="H50" i="1571"/>
  <c r="H13" i="1571"/>
  <c r="H15" i="1571"/>
  <c r="H17" i="1571"/>
  <c r="H21" i="1571"/>
  <c r="H25" i="1571"/>
  <c r="H29" i="1571"/>
  <c r="H33" i="1571"/>
  <c r="H37" i="1571"/>
  <c r="H41" i="1571"/>
  <c r="H45" i="1571"/>
  <c r="B17" i="1570" l="1"/>
  <c r="C15" i="1570"/>
  <c r="C14" i="1570"/>
  <c r="C13" i="1570"/>
  <c r="B12" i="1570"/>
  <c r="H48" i="1570" s="1"/>
  <c r="C11" i="1570"/>
  <c r="C10" i="1570"/>
  <c r="C9" i="1570"/>
  <c r="C8" i="1570"/>
  <c r="C7" i="1570"/>
  <c r="B6" i="1570"/>
  <c r="B5" i="1570"/>
  <c r="H8" i="1570"/>
  <c r="B17" i="1569"/>
  <c r="C15" i="1569"/>
  <c r="C14" i="1569"/>
  <c r="C13" i="1569"/>
  <c r="B12" i="1569"/>
  <c r="H48" i="1569" s="1"/>
  <c r="C11" i="1569"/>
  <c r="C10" i="1569"/>
  <c r="C9" i="1569"/>
  <c r="C8" i="1569"/>
  <c r="C7" i="1569"/>
  <c r="B6" i="1569"/>
  <c r="B5" i="1569"/>
  <c r="H13" i="1569" l="1"/>
  <c r="H15" i="1570"/>
  <c r="H17" i="1570"/>
  <c r="H19" i="1570"/>
  <c r="H10" i="1570"/>
  <c r="H25" i="1570"/>
  <c r="H29" i="1570"/>
  <c r="H33" i="1570"/>
  <c r="H37" i="1570"/>
  <c r="H41" i="1570"/>
  <c r="H45" i="1570"/>
  <c r="H49" i="1570"/>
  <c r="H2" i="1570"/>
  <c r="H3" i="1570"/>
  <c r="H9" i="1570"/>
  <c r="H13" i="1570"/>
  <c r="C12" i="1570"/>
  <c r="B16" i="1570"/>
  <c r="H20" i="1570"/>
  <c r="H23" i="1570"/>
  <c r="H26" i="1570"/>
  <c r="H30" i="1570"/>
  <c r="H34" i="1570"/>
  <c r="H38" i="1570"/>
  <c r="H42" i="1570"/>
  <c r="H46" i="1570"/>
  <c r="H50" i="1570"/>
  <c r="H14" i="1570"/>
  <c r="H16" i="1570"/>
  <c r="H18" i="1570"/>
  <c r="H21" i="1570"/>
  <c r="H11" i="1570"/>
  <c r="H27" i="1570"/>
  <c r="H31" i="1570"/>
  <c r="H35" i="1570"/>
  <c r="H39" i="1570"/>
  <c r="H43" i="1570"/>
  <c r="H47" i="1570"/>
  <c r="H51" i="1570"/>
  <c r="H5" i="1570"/>
  <c r="H6" i="1570"/>
  <c r="H7" i="1570"/>
  <c r="H12" i="1570"/>
  <c r="H4" i="1570"/>
  <c r="H22" i="1570"/>
  <c r="H24" i="1570"/>
  <c r="H28" i="1570"/>
  <c r="H32" i="1570"/>
  <c r="H36" i="1570"/>
  <c r="H40" i="1570"/>
  <c r="H44" i="1570"/>
  <c r="H20" i="1569"/>
  <c r="H22" i="1569"/>
  <c r="H24" i="1569"/>
  <c r="H15" i="1569"/>
  <c r="H16" i="1569"/>
  <c r="H9" i="1569"/>
  <c r="H33" i="1569"/>
  <c r="H37" i="1569"/>
  <c r="H41" i="1569"/>
  <c r="H45" i="1569"/>
  <c r="H49" i="1569"/>
  <c r="H6" i="1569"/>
  <c r="H2" i="1569"/>
  <c r="H10" i="1569"/>
  <c r="H14" i="1569"/>
  <c r="C12" i="1569"/>
  <c r="B16" i="1569"/>
  <c r="H25" i="1569"/>
  <c r="H28" i="1569"/>
  <c r="H12" i="1569"/>
  <c r="H31" i="1569"/>
  <c r="H34" i="1569"/>
  <c r="H38" i="1569"/>
  <c r="H42" i="1569"/>
  <c r="H46" i="1569"/>
  <c r="H50" i="1569"/>
  <c r="H19" i="1569"/>
  <c r="H21" i="1569"/>
  <c r="H23" i="1569"/>
  <c r="H26" i="1569"/>
  <c r="H11" i="1569"/>
  <c r="H30" i="1569"/>
  <c r="H32" i="1569"/>
  <c r="H35" i="1569"/>
  <c r="H39" i="1569"/>
  <c r="H43" i="1569"/>
  <c r="H47" i="1569"/>
  <c r="H51" i="1569"/>
  <c r="H3" i="1569"/>
  <c r="H7" i="1569"/>
  <c r="H5" i="1569"/>
  <c r="H8" i="1569"/>
  <c r="H4" i="1569"/>
  <c r="H27" i="1569"/>
  <c r="H29" i="1569"/>
  <c r="H17" i="1569"/>
  <c r="H18" i="1569"/>
  <c r="H36" i="1569"/>
  <c r="H40" i="1569"/>
  <c r="H44" i="1569"/>
  <c r="B17" i="1568" l="1"/>
  <c r="C15" i="1568"/>
  <c r="C14" i="1568"/>
  <c r="C13" i="1568"/>
  <c r="B12" i="1568"/>
  <c r="H48" i="1568" s="1"/>
  <c r="C11" i="1568"/>
  <c r="C10" i="1568"/>
  <c r="C9" i="1568"/>
  <c r="C8" i="1568"/>
  <c r="C7" i="1568"/>
  <c r="B6" i="1568"/>
  <c r="B5" i="1568"/>
  <c r="H3" i="1568"/>
  <c r="B17" i="1567"/>
  <c r="C15" i="1567"/>
  <c r="C14" i="1567"/>
  <c r="C13" i="1567"/>
  <c r="B12" i="1567"/>
  <c r="H48" i="1567" s="1"/>
  <c r="C11" i="1567"/>
  <c r="C10" i="1567"/>
  <c r="C9" i="1567"/>
  <c r="C8" i="1567"/>
  <c r="C7" i="1567"/>
  <c r="B6" i="1567"/>
  <c r="B5" i="1567"/>
  <c r="H3" i="1567"/>
  <c r="B17" i="1566"/>
  <c r="C15" i="1566"/>
  <c r="C14" i="1566"/>
  <c r="C13" i="1566"/>
  <c r="B12" i="1566"/>
  <c r="H49" i="1566" s="1"/>
  <c r="C11" i="1566"/>
  <c r="C10" i="1566"/>
  <c r="C9" i="1566"/>
  <c r="C8" i="1566"/>
  <c r="C7" i="1566"/>
  <c r="B6" i="1566"/>
  <c r="B5" i="1566"/>
  <c r="H12" i="1566" l="1"/>
  <c r="H13" i="1568"/>
  <c r="H15" i="1568"/>
  <c r="H17" i="1568"/>
  <c r="H21" i="1568"/>
  <c r="H25" i="1568"/>
  <c r="H29" i="1568"/>
  <c r="H33" i="1568"/>
  <c r="H37" i="1568"/>
  <c r="H41" i="1568"/>
  <c r="H45" i="1568"/>
  <c r="H49" i="1568"/>
  <c r="H4" i="1568"/>
  <c r="H6" i="1568"/>
  <c r="H8" i="1568"/>
  <c r="H10" i="1568"/>
  <c r="C12" i="1568"/>
  <c r="B16" i="1568"/>
  <c r="H18" i="1568"/>
  <c r="H22" i="1568"/>
  <c r="H26" i="1568"/>
  <c r="H30" i="1568"/>
  <c r="H34" i="1568"/>
  <c r="H38" i="1568"/>
  <c r="H42" i="1568"/>
  <c r="H46" i="1568"/>
  <c r="H50" i="1568"/>
  <c r="H12" i="1568"/>
  <c r="H14" i="1568"/>
  <c r="H16" i="1568"/>
  <c r="H19" i="1568"/>
  <c r="H23" i="1568"/>
  <c r="H27" i="1568"/>
  <c r="H31" i="1568"/>
  <c r="H35" i="1568"/>
  <c r="H39" i="1568"/>
  <c r="H43" i="1568"/>
  <c r="H47" i="1568"/>
  <c r="H51" i="1568"/>
  <c r="H2" i="1568"/>
  <c r="H5" i="1568"/>
  <c r="H7" i="1568"/>
  <c r="H9" i="1568"/>
  <c r="H11" i="1568"/>
  <c r="H20" i="1568"/>
  <c r="H24" i="1568"/>
  <c r="H28" i="1568"/>
  <c r="H32" i="1568"/>
  <c r="H36" i="1568"/>
  <c r="H40" i="1568"/>
  <c r="H44" i="1568"/>
  <c r="H13" i="1567"/>
  <c r="H15" i="1567"/>
  <c r="H17" i="1567"/>
  <c r="H21" i="1567"/>
  <c r="H25" i="1567"/>
  <c r="H29" i="1567"/>
  <c r="H33" i="1567"/>
  <c r="H37" i="1567"/>
  <c r="H41" i="1567"/>
  <c r="H45" i="1567"/>
  <c r="H49" i="1567"/>
  <c r="H4" i="1567"/>
  <c r="H6" i="1567"/>
  <c r="H8" i="1567"/>
  <c r="H10" i="1567"/>
  <c r="C12" i="1567"/>
  <c r="B16" i="1567"/>
  <c r="H18" i="1567"/>
  <c r="H22" i="1567"/>
  <c r="H26" i="1567"/>
  <c r="H30" i="1567"/>
  <c r="H34" i="1567"/>
  <c r="H38" i="1567"/>
  <c r="H42" i="1567"/>
  <c r="H46" i="1567"/>
  <c r="H50" i="1567"/>
  <c r="H12" i="1567"/>
  <c r="H14" i="1567"/>
  <c r="H16" i="1567"/>
  <c r="H19" i="1567"/>
  <c r="H23" i="1567"/>
  <c r="H27" i="1567"/>
  <c r="H31" i="1567"/>
  <c r="H35" i="1567"/>
  <c r="H39" i="1567"/>
  <c r="H43" i="1567"/>
  <c r="H47" i="1567"/>
  <c r="H51" i="1567"/>
  <c r="H2" i="1567"/>
  <c r="H5" i="1567"/>
  <c r="H7" i="1567"/>
  <c r="H9" i="1567"/>
  <c r="H11" i="1567"/>
  <c r="H20" i="1567"/>
  <c r="H24" i="1567"/>
  <c r="H28" i="1567"/>
  <c r="H32" i="1567"/>
  <c r="H36" i="1567"/>
  <c r="H40" i="1567"/>
  <c r="H44" i="1567"/>
  <c r="H14" i="1566"/>
  <c r="H28" i="1566"/>
  <c r="H33" i="1566"/>
  <c r="H39" i="1566"/>
  <c r="H20" i="1566"/>
  <c r="H4" i="1566"/>
  <c r="H2" i="1566"/>
  <c r="H8" i="1566"/>
  <c r="H10" i="1566"/>
  <c r="C12" i="1566"/>
  <c r="H23" i="1566"/>
  <c r="H15" i="1566"/>
  <c r="H19" i="1566"/>
  <c r="H40" i="1566"/>
  <c r="H47" i="1566"/>
  <c r="H21" i="1566"/>
  <c r="H17" i="1566"/>
  <c r="H11" i="1566"/>
  <c r="H35" i="1566"/>
  <c r="H43" i="1566"/>
  <c r="H50" i="1566"/>
  <c r="H5" i="1566"/>
  <c r="H6" i="1566"/>
  <c r="H7" i="1566"/>
  <c r="H13" i="1566"/>
  <c r="H3" i="1566"/>
  <c r="B16" i="1566"/>
  <c r="H26" i="1566"/>
  <c r="H31" i="1566"/>
  <c r="H36" i="1566"/>
  <c r="H44" i="1566"/>
  <c r="H51" i="1566"/>
  <c r="H27" i="1566"/>
  <c r="H29" i="1566"/>
  <c r="H32" i="1566"/>
  <c r="H16" i="1566"/>
  <c r="H37" i="1566"/>
  <c r="H41" i="1566"/>
  <c r="H45" i="1566"/>
  <c r="H48" i="1566"/>
  <c r="H22" i="1566"/>
  <c r="H24" i="1566"/>
  <c r="H25" i="1566"/>
  <c r="H18" i="1566"/>
  <c r="H30" i="1566"/>
  <c r="H9" i="1566"/>
  <c r="H34" i="1566"/>
  <c r="H38" i="1566"/>
  <c r="H42" i="1566"/>
  <c r="H46" i="156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5" i="1"/>
  <c r="B6" i="1"/>
  <c r="H2" i="1"/>
  <c r="C10" i="1"/>
  <c r="C9" i="1"/>
  <c r="C8" i="1"/>
  <c r="C7" i="1"/>
  <c r="B17" i="1"/>
  <c r="B16" i="1"/>
  <c r="C15" i="1"/>
  <c r="C14" i="1"/>
  <c r="C13" i="1"/>
  <c r="C11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<sst xmlns="http://schemas.openxmlformats.org/spreadsheetml/2006/main" count="1462" uniqueCount="147">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</sst>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2" fontId="0" fillId="0" borderId="3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だいち!$K$2:$K$93</c:f>
              <c:numCache>
                <c:formatCode>\+0;\-0;\±0</c:formatCode>
                <c:ptCount val="9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D2-4922-A0FA-7ADD8D9EA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A1-48E5-BDF3-CCD6BB961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60-4F1A-B243-5684CBC12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りくと!$K$2:$K$56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C-4141-8664-4C88F0ECE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87-4BC9-9092-905D011A1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4-45A9-8E9B-4835EB77C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たかの!$K$2:$K$32</c:f>
              <c:numCache>
                <c:formatCode>\+0;\-0;\±0</c:formatCode>
                <c:ptCount val="31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98-4906-A18A-5C32847E6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ただ!$K$2:$K$34</c:f>
              <c:numCache>
                <c:formatCode>\+0;\-0;\±0</c:formatCode>
                <c:ptCount val="33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C0-47D8-BE16-1ADC7BEA6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38-4D71-BCEB-DCE96B11F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れんたろう!$K$2:$K$26</c:f>
              <c:numCache>
                <c:formatCode>\+0;\-0;\±0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94-49E4-84EE-A66E9A78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C23627-93A2-4B95-9C7E-0A13886B61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60261A-8066-4443-8C53-D4C300AFB0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749071-5C20-4803-9867-DDEBA1240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477AB4-A296-480F-BA24-90BCB4A46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23DB08-7DE1-4B75-A4D3-B99F85DE69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7E147B-E56B-4470-B727-C2AD975A85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E8D90B-D022-4DB1-B364-B759B203A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10E7503-84BB-4EEE-902B-1D9A816AC7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171F7D-5E1B-48B8-8C59-9E677FBF27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DD63915-E6F0-456F-BFEA-B99514A17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0" customWidth="1"/>
    <col min="10" max="10" width="10.75" style="18" customWidth="1"/>
    <col min="11" max="11" width="10.75" style="50" customWidth="1"/>
    <col min="12" max="12" width="10.75" style="18" customWidth="1"/>
    <col min="13" max="13" width="10.75" style="48" customWidth="1"/>
    <col min="14" max="14" width="10.75" style="18" customWidth="1"/>
    <col min="15" max="15" width="10.75" style="48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20" width="10.75" style="18" customWidth="1"/>
    <col min="21" max="21" width="10.75" style="48" customWidth="1"/>
    <col min="22" max="16384" width="9" style="22"/>
  </cols>
  <sheetData>
    <row r="1" spans="1:21" x14ac:dyDescent="0.4">
      <c r="A1" s="39"/>
      <c r="B1" s="66" t="s">
        <v>6</v>
      </c>
      <c r="C1" s="67"/>
      <c r="D1" s="66" t="s">
        <v>7</v>
      </c>
      <c r="E1" s="67"/>
      <c r="F1" s="66" t="s">
        <v>23</v>
      </c>
      <c r="G1" s="67"/>
      <c r="H1" s="66" t="s">
        <v>22</v>
      </c>
      <c r="I1" s="67"/>
      <c r="J1" s="66" t="s">
        <v>33</v>
      </c>
      <c r="K1" s="67"/>
      <c r="L1" s="66" t="s">
        <v>24</v>
      </c>
      <c r="M1" s="67"/>
      <c r="N1" s="66" t="s">
        <v>25</v>
      </c>
      <c r="O1" s="67"/>
      <c r="P1" s="66" t="s">
        <v>5</v>
      </c>
      <c r="Q1" s="67"/>
      <c r="R1" s="66" t="s">
        <v>32</v>
      </c>
      <c r="S1" s="67"/>
      <c r="T1" s="66" t="s">
        <v>146</v>
      </c>
      <c r="U1" s="67"/>
    </row>
    <row r="2" spans="1:21" x14ac:dyDescent="0.4">
      <c r="A2" s="32">
        <v>1</v>
      </c>
      <c r="B2" s="33" t="s">
        <v>26</v>
      </c>
      <c r="C2" s="34">
        <v>397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49">
        <v>0.5</v>
      </c>
      <c r="J2" s="35" t="s">
        <v>18</v>
      </c>
      <c r="K2" s="49">
        <v>0</v>
      </c>
      <c r="L2" s="35" t="s">
        <v>18</v>
      </c>
      <c r="M2" s="47">
        <v>0.4</v>
      </c>
      <c r="N2" s="35" t="s">
        <v>28</v>
      </c>
      <c r="O2" s="47">
        <v>0.13284132841328414</v>
      </c>
      <c r="P2" s="35" t="s">
        <v>27</v>
      </c>
      <c r="Q2" s="38">
        <v>11200</v>
      </c>
      <c r="R2" s="35" t="s">
        <v>30</v>
      </c>
      <c r="S2" s="38">
        <v>-7400</v>
      </c>
      <c r="T2" s="35" t="s">
        <v>29</v>
      </c>
      <c r="U2" s="47">
        <v>0.18085106382978725</v>
      </c>
    </row>
    <row r="3" spans="1:21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0">
        <v>0.37362637362637363</v>
      </c>
      <c r="J3" s="18" t="s">
        <v>26</v>
      </c>
      <c r="K3" s="50">
        <v>0.12087912087912088</v>
      </c>
      <c r="L3" s="18" t="s">
        <v>28</v>
      </c>
      <c r="M3" s="48">
        <v>0.35793357933579334</v>
      </c>
      <c r="N3" s="18" t="s">
        <v>35</v>
      </c>
      <c r="O3" s="48">
        <v>0.13414634146341464</v>
      </c>
      <c r="P3" s="18" t="s">
        <v>29</v>
      </c>
      <c r="Q3" s="19">
        <v>11100</v>
      </c>
      <c r="R3" s="18" t="s">
        <v>37</v>
      </c>
      <c r="S3" s="19">
        <v>-8200</v>
      </c>
      <c r="T3" s="18" t="s">
        <v>31</v>
      </c>
      <c r="U3" s="48">
        <v>9.012875536480687E-2</v>
      </c>
    </row>
    <row r="4" spans="1:21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1.8681318681318682</v>
      </c>
      <c r="H4" s="18" t="s">
        <v>28</v>
      </c>
      <c r="I4" s="50">
        <v>0.35897435897435898</v>
      </c>
      <c r="J4" s="18" t="s">
        <v>28</v>
      </c>
      <c r="K4" s="50">
        <v>0.12820512820512819</v>
      </c>
      <c r="L4" s="18" t="s">
        <v>26</v>
      </c>
      <c r="M4" s="48">
        <v>0.35375191424196017</v>
      </c>
      <c r="N4" s="18" t="s">
        <v>31</v>
      </c>
      <c r="O4" s="48">
        <v>0.15879828326180256</v>
      </c>
      <c r="P4" s="18" t="s">
        <v>35</v>
      </c>
      <c r="Q4" s="19">
        <v>10900</v>
      </c>
      <c r="R4" s="18" t="s">
        <v>21</v>
      </c>
      <c r="S4" s="19">
        <v>-8500</v>
      </c>
      <c r="T4" s="18" t="s">
        <v>30</v>
      </c>
      <c r="U4" s="48">
        <v>7.9831932773109238E-2</v>
      </c>
    </row>
    <row r="5" spans="1:21" x14ac:dyDescent="0.4">
      <c r="A5" s="28">
        <v>4</v>
      </c>
      <c r="B5" s="27" t="s">
        <v>30</v>
      </c>
      <c r="C5" s="21">
        <v>14</v>
      </c>
      <c r="D5" s="18" t="s">
        <v>26</v>
      </c>
      <c r="E5" s="20">
        <v>4.3626373626373622</v>
      </c>
      <c r="F5" s="18" t="s">
        <v>18</v>
      </c>
      <c r="G5" s="26">
        <v>2</v>
      </c>
      <c r="H5" s="18" t="s">
        <v>31</v>
      </c>
      <c r="I5" s="50">
        <v>0.34375</v>
      </c>
      <c r="J5" s="18" t="s">
        <v>30</v>
      </c>
      <c r="K5" s="50">
        <v>0.13333333333333333</v>
      </c>
      <c r="L5" s="18" t="s">
        <v>35</v>
      </c>
      <c r="M5" s="48">
        <v>0.34146341463414637</v>
      </c>
      <c r="N5" s="18" t="s">
        <v>26</v>
      </c>
      <c r="O5" s="48">
        <v>0.15926493108728942</v>
      </c>
      <c r="P5" s="18" t="s">
        <v>31</v>
      </c>
      <c r="Q5" s="19">
        <v>10800</v>
      </c>
      <c r="R5" s="18" t="s">
        <v>28</v>
      </c>
      <c r="S5" s="19">
        <v>-9600</v>
      </c>
      <c r="T5" s="18" t="s">
        <v>27</v>
      </c>
      <c r="U5" s="48">
        <v>7.0175438596491224E-2</v>
      </c>
    </row>
    <row r="6" spans="1:21" x14ac:dyDescent="0.4">
      <c r="A6" s="28">
        <v>5</v>
      </c>
      <c r="B6" s="27" t="s">
        <v>18</v>
      </c>
      <c r="C6" s="21">
        <v>7</v>
      </c>
      <c r="D6" s="18" t="s">
        <v>30</v>
      </c>
      <c r="E6" s="20">
        <v>0.46666666666666667</v>
      </c>
      <c r="F6" s="18" t="s">
        <v>21</v>
      </c>
      <c r="G6" s="26">
        <v>2</v>
      </c>
      <c r="H6" s="18" t="s">
        <v>30</v>
      </c>
      <c r="I6" s="50">
        <v>0.3</v>
      </c>
      <c r="J6" s="18" t="s">
        <v>31</v>
      </c>
      <c r="K6" s="50">
        <v>0.1875</v>
      </c>
      <c r="L6" s="18" t="s">
        <v>30</v>
      </c>
      <c r="M6" s="48">
        <v>0.29411764705882354</v>
      </c>
      <c r="N6" s="18" t="s">
        <v>18</v>
      </c>
      <c r="O6" s="48">
        <v>0.2</v>
      </c>
      <c r="P6" s="18" t="s">
        <v>30</v>
      </c>
      <c r="Q6" s="19">
        <v>10600</v>
      </c>
      <c r="R6" s="18" t="s">
        <v>29</v>
      </c>
      <c r="S6" s="19">
        <v>-9600</v>
      </c>
      <c r="T6" s="18" t="s">
        <v>26</v>
      </c>
      <c r="U6" s="48">
        <v>6.738131699846861E-2</v>
      </c>
    </row>
    <row r="7" spans="1:21" x14ac:dyDescent="0.4">
      <c r="A7" s="28">
        <v>6</v>
      </c>
      <c r="B7" s="27" t="s">
        <v>31</v>
      </c>
      <c r="C7" s="21">
        <v>-11</v>
      </c>
      <c r="D7" s="18" t="s">
        <v>31</v>
      </c>
      <c r="E7" s="20">
        <v>-0.34375</v>
      </c>
      <c r="F7" s="18" t="s">
        <v>31</v>
      </c>
      <c r="G7" s="26">
        <v>2</v>
      </c>
      <c r="H7" s="18" t="s">
        <v>27</v>
      </c>
      <c r="I7" s="50">
        <v>0.29629629629629628</v>
      </c>
      <c r="J7" s="18" t="s">
        <v>35</v>
      </c>
      <c r="K7" s="50">
        <v>0.25</v>
      </c>
      <c r="L7" s="18" t="s">
        <v>31</v>
      </c>
      <c r="M7" s="48">
        <v>0.29184549356223177</v>
      </c>
      <c r="N7" s="18" t="s">
        <v>30</v>
      </c>
      <c r="O7" s="48">
        <v>0.20168067226890757</v>
      </c>
      <c r="P7" s="18" t="s">
        <v>26</v>
      </c>
      <c r="Q7" s="19">
        <v>10100</v>
      </c>
      <c r="R7" s="18" t="s">
        <v>35</v>
      </c>
      <c r="S7" s="19">
        <v>-9900</v>
      </c>
      <c r="T7" s="18" t="s">
        <v>28</v>
      </c>
      <c r="U7" s="48">
        <v>4.0590405904059039E-2</v>
      </c>
    </row>
    <row r="8" spans="1:21" x14ac:dyDescent="0.4">
      <c r="A8" s="28">
        <v>7</v>
      </c>
      <c r="B8" s="27" t="s">
        <v>21</v>
      </c>
      <c r="C8" s="21">
        <v>-41</v>
      </c>
      <c r="D8" s="18" t="s">
        <v>27</v>
      </c>
      <c r="E8" s="20">
        <v>-7</v>
      </c>
      <c r="F8" s="18" t="s">
        <v>30</v>
      </c>
      <c r="G8" s="26">
        <v>2.0333333333333332</v>
      </c>
      <c r="H8" s="18" t="s">
        <v>29</v>
      </c>
      <c r="I8" s="50">
        <v>0.25</v>
      </c>
      <c r="J8" s="18" t="s">
        <v>29</v>
      </c>
      <c r="K8" s="50">
        <v>0.25</v>
      </c>
      <c r="L8" s="18" t="s">
        <v>29</v>
      </c>
      <c r="M8" s="48">
        <v>0.27659574468085107</v>
      </c>
      <c r="N8" s="18" t="s">
        <v>29</v>
      </c>
      <c r="O8" s="48">
        <v>0.20212765957446807</v>
      </c>
      <c r="P8" s="18" t="s">
        <v>28</v>
      </c>
      <c r="Q8" s="19">
        <v>9600</v>
      </c>
      <c r="R8" s="18" t="s">
        <v>26</v>
      </c>
      <c r="S8" s="19">
        <v>-10000</v>
      </c>
      <c r="T8" s="18" t="s">
        <v>37</v>
      </c>
      <c r="U8" s="48">
        <v>0</v>
      </c>
    </row>
    <row r="9" spans="1:21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-7</v>
      </c>
      <c r="F9" s="18" t="s">
        <v>27</v>
      </c>
      <c r="G9" s="26">
        <v>2.1851851851851851</v>
      </c>
      <c r="H9" s="18" t="s">
        <v>37</v>
      </c>
      <c r="I9" s="50">
        <v>0</v>
      </c>
      <c r="J9" s="18" t="s">
        <v>27</v>
      </c>
      <c r="K9" s="50">
        <v>0.27777777777777779</v>
      </c>
      <c r="L9" s="18" t="s">
        <v>27</v>
      </c>
      <c r="M9" s="48">
        <v>0.23558897243107768</v>
      </c>
      <c r="N9" s="18" t="s">
        <v>27</v>
      </c>
      <c r="O9" s="48">
        <v>0.21303258145363407</v>
      </c>
      <c r="P9" s="18" t="s">
        <v>18</v>
      </c>
      <c r="Q9" s="19">
        <v>8000</v>
      </c>
      <c r="R9" s="18" t="s">
        <v>31</v>
      </c>
      <c r="S9" s="19">
        <v>-10200</v>
      </c>
      <c r="T9" s="18" t="s">
        <v>18</v>
      </c>
      <c r="U9" s="48">
        <v>0</v>
      </c>
    </row>
    <row r="10" spans="1:21" x14ac:dyDescent="0.4">
      <c r="A10" s="28">
        <v>9</v>
      </c>
      <c r="B10" s="27" t="s">
        <v>29</v>
      </c>
      <c r="C10" s="21">
        <v>-168</v>
      </c>
      <c r="D10" s="18" t="s">
        <v>37</v>
      </c>
      <c r="E10" s="20">
        <v>-33</v>
      </c>
      <c r="F10" s="18" t="s">
        <v>29</v>
      </c>
      <c r="G10" s="26">
        <v>2.25</v>
      </c>
      <c r="H10" s="18" t="s">
        <v>18</v>
      </c>
      <c r="I10" s="50">
        <v>0</v>
      </c>
      <c r="J10" s="18" t="s">
        <v>37</v>
      </c>
      <c r="K10" s="50">
        <v>0.5</v>
      </c>
      <c r="L10" s="18" t="s">
        <v>21</v>
      </c>
      <c r="M10" s="48">
        <v>0.16666666666666666</v>
      </c>
      <c r="N10" s="18" t="s">
        <v>21</v>
      </c>
      <c r="O10" s="48">
        <v>0.33333333333333331</v>
      </c>
      <c r="P10" s="18" t="s">
        <v>37</v>
      </c>
      <c r="Q10" s="19">
        <v>7800</v>
      </c>
      <c r="R10" s="18" t="s">
        <v>27</v>
      </c>
      <c r="S10" s="19">
        <v>-10400</v>
      </c>
      <c r="T10" s="18" t="s">
        <v>21</v>
      </c>
      <c r="U10" s="48">
        <v>0</v>
      </c>
    </row>
    <row r="11" spans="1:21" x14ac:dyDescent="0.4">
      <c r="A11" s="28">
        <v>10</v>
      </c>
      <c r="B11" s="27" t="s">
        <v>27</v>
      </c>
      <c r="C11" s="21">
        <v>-378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0">
        <v>0</v>
      </c>
      <c r="J11" s="18" t="s">
        <v>21</v>
      </c>
      <c r="K11" s="50">
        <v>1</v>
      </c>
      <c r="L11" s="18" t="s">
        <v>37</v>
      </c>
      <c r="M11" s="48">
        <v>0.04</v>
      </c>
      <c r="N11" s="18" t="s">
        <v>37</v>
      </c>
      <c r="O11" s="48">
        <v>0.4</v>
      </c>
      <c r="P11" s="18" t="s">
        <v>21</v>
      </c>
      <c r="Q11" s="19">
        <v>1300</v>
      </c>
      <c r="R11" s="18" t="s">
        <v>18</v>
      </c>
      <c r="S11" s="19">
        <v>-12000</v>
      </c>
      <c r="T11" s="18" t="s">
        <v>35</v>
      </c>
      <c r="U11" s="4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9B5CF-BC34-4A90-AE37-892A38AE8DD5}">
  <sheetPr codeName="Sheet2"/>
  <dimension ref="A1:K93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15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91</v>
      </c>
      <c r="C2" s="10"/>
      <c r="E2" s="58" t="s">
        <v>93</v>
      </c>
      <c r="F2" s="59" t="s">
        <v>46</v>
      </c>
      <c r="G2" s="8">
        <v>66</v>
      </c>
      <c r="H2" s="46">
        <f>G2/B$12</f>
        <v>0.2857142857142857</v>
      </c>
      <c r="J2" s="4">
        <v>0</v>
      </c>
      <c r="K2" s="40">
        <v>0</v>
      </c>
    </row>
    <row r="3" spans="1:11" x14ac:dyDescent="0.4">
      <c r="A3" s="5" t="s">
        <v>8</v>
      </c>
      <c r="B3" s="1">
        <v>653</v>
      </c>
      <c r="C3" s="11"/>
      <c r="E3" s="52" t="s">
        <v>98</v>
      </c>
      <c r="F3" s="55" t="s">
        <v>50</v>
      </c>
      <c r="G3" s="1">
        <v>42</v>
      </c>
      <c r="H3" s="43">
        <f>G3/B$12</f>
        <v>0.18181818181818182</v>
      </c>
      <c r="J3" s="5">
        <v>1</v>
      </c>
      <c r="K3" s="12">
        <v>15</v>
      </c>
    </row>
    <row r="4" spans="1:11" x14ac:dyDescent="0.4">
      <c r="A4" s="5" t="s">
        <v>6</v>
      </c>
      <c r="B4" s="2">
        <v>397</v>
      </c>
      <c r="C4" s="12"/>
      <c r="E4" s="52" t="s">
        <v>91</v>
      </c>
      <c r="F4" s="55" t="s">
        <v>44</v>
      </c>
      <c r="G4" s="1">
        <v>40</v>
      </c>
      <c r="H4" s="43">
        <f>G4/B$12</f>
        <v>0.17316017316017315</v>
      </c>
      <c r="J4" s="5">
        <v>2</v>
      </c>
      <c r="K4" s="12">
        <v>14</v>
      </c>
    </row>
    <row r="5" spans="1:11" x14ac:dyDescent="0.4">
      <c r="A5" s="5" t="s">
        <v>7</v>
      </c>
      <c r="B5" s="9">
        <f>B$4/B$2</f>
        <v>4.3626373626373622</v>
      </c>
      <c r="C5" s="13"/>
      <c r="E5" s="52" t="s">
        <v>89</v>
      </c>
      <c r="F5" s="55" t="s">
        <v>42</v>
      </c>
      <c r="G5" s="1">
        <v>37</v>
      </c>
      <c r="H5" s="43">
        <f>G5/B$12</f>
        <v>0.16017316017316016</v>
      </c>
      <c r="J5" s="5">
        <v>3</v>
      </c>
      <c r="K5" s="12">
        <v>29</v>
      </c>
    </row>
    <row r="6" spans="1:11" x14ac:dyDescent="0.4">
      <c r="A6" s="5" t="s">
        <v>1</v>
      </c>
      <c r="B6" s="25">
        <f>(B$7*1+B$8*2+B$9*3)/B$2</f>
        <v>1.8681318681318682</v>
      </c>
      <c r="C6" s="14"/>
      <c r="E6" s="52" t="s">
        <v>92</v>
      </c>
      <c r="F6" s="55" t="s">
        <v>45</v>
      </c>
      <c r="G6" s="1">
        <v>25</v>
      </c>
      <c r="H6" s="43">
        <f>G6/B$12</f>
        <v>0.10822510822510822</v>
      </c>
      <c r="J6" s="5">
        <v>4</v>
      </c>
      <c r="K6" s="12">
        <v>114</v>
      </c>
    </row>
    <row r="7" spans="1:11" x14ac:dyDescent="0.4">
      <c r="A7" s="5" t="s">
        <v>2</v>
      </c>
      <c r="B7" s="1">
        <v>34</v>
      </c>
      <c r="C7" s="43">
        <f>B7/B$2</f>
        <v>0.37362637362637363</v>
      </c>
      <c r="E7" s="52" t="s">
        <v>94</v>
      </c>
      <c r="F7" s="55" t="s">
        <v>12</v>
      </c>
      <c r="G7" s="1">
        <v>17</v>
      </c>
      <c r="H7" s="43">
        <f>G7/B$12</f>
        <v>7.3593073593073599E-2</v>
      </c>
      <c r="J7" s="5">
        <v>5</v>
      </c>
      <c r="K7" s="12">
        <v>146</v>
      </c>
    </row>
    <row r="8" spans="1:11" x14ac:dyDescent="0.4">
      <c r="A8" s="5" t="s">
        <v>3</v>
      </c>
      <c r="B8" s="1">
        <v>35</v>
      </c>
      <c r="C8" s="43">
        <f t="shared" ref="C8:C10" si="0">B8/B$2</f>
        <v>0.38461538461538464</v>
      </c>
      <c r="E8" s="52" t="s">
        <v>95</v>
      </c>
      <c r="F8" s="55" t="s">
        <v>47</v>
      </c>
      <c r="G8" s="1">
        <v>11</v>
      </c>
      <c r="H8" s="43">
        <f>G8/B$12</f>
        <v>4.7619047619047616E-2</v>
      </c>
      <c r="J8" s="5">
        <v>6</v>
      </c>
      <c r="K8" s="12">
        <v>98</v>
      </c>
    </row>
    <row r="9" spans="1:11" x14ac:dyDescent="0.4">
      <c r="A9" s="23" t="s">
        <v>4</v>
      </c>
      <c r="B9" s="24">
        <v>22</v>
      </c>
      <c r="C9" s="44">
        <f t="shared" si="0"/>
        <v>0.24175824175824176</v>
      </c>
      <c r="E9" s="52" t="s">
        <v>116</v>
      </c>
      <c r="F9" s="55" t="s">
        <v>68</v>
      </c>
      <c r="G9" s="1">
        <v>8</v>
      </c>
      <c r="H9" s="43">
        <f>G9/B$12</f>
        <v>3.4632034632034632E-2</v>
      </c>
      <c r="J9" s="5">
        <v>7</v>
      </c>
      <c r="K9" s="12">
        <v>92</v>
      </c>
    </row>
    <row r="10" spans="1:11" ht="19.5" thickBot="1" x14ac:dyDescent="0.45">
      <c r="A10" s="30" t="s">
        <v>34</v>
      </c>
      <c r="B10" s="31">
        <v>11</v>
      </c>
      <c r="C10" s="45">
        <f t="shared" si="0"/>
        <v>0.12087912087912088</v>
      </c>
      <c r="E10" s="52" t="s">
        <v>97</v>
      </c>
      <c r="F10" s="55" t="s">
        <v>49</v>
      </c>
      <c r="G10" s="1">
        <v>4</v>
      </c>
      <c r="H10" s="43">
        <f>G10/B$12</f>
        <v>1.7316017316017316E-2</v>
      </c>
      <c r="J10" s="5">
        <v>8</v>
      </c>
      <c r="K10" s="12">
        <v>56</v>
      </c>
    </row>
    <row r="11" spans="1:11" ht="19.5" thickTop="1" x14ac:dyDescent="0.4">
      <c r="A11" s="63" t="s">
        <v>145</v>
      </c>
      <c r="B11" s="64">
        <v>44</v>
      </c>
      <c r="C11" s="65">
        <f t="shared" ref="C11" si="1">B11/B$3</f>
        <v>6.738131699846861E-2</v>
      </c>
      <c r="E11" s="52" t="s">
        <v>113</v>
      </c>
      <c r="F11" s="55" t="s">
        <v>65</v>
      </c>
      <c r="G11" s="1">
        <v>3</v>
      </c>
      <c r="H11" s="43">
        <f>G11/B$12</f>
        <v>1.2987012987012988E-2</v>
      </c>
      <c r="J11" s="5">
        <v>9</v>
      </c>
      <c r="K11" s="12">
        <v>15</v>
      </c>
    </row>
    <row r="12" spans="1:11" x14ac:dyDescent="0.4">
      <c r="A12" s="4" t="s">
        <v>10</v>
      </c>
      <c r="B12" s="8">
        <f>B13+B14</f>
        <v>231</v>
      </c>
      <c r="C12" s="46">
        <f>B12/B$3</f>
        <v>0.35375191424196017</v>
      </c>
      <c r="E12" s="52" t="s">
        <v>90</v>
      </c>
      <c r="F12" s="55" t="s">
        <v>43</v>
      </c>
      <c r="G12" s="1">
        <v>2</v>
      </c>
      <c r="H12" s="43">
        <f>G12/B$12</f>
        <v>8.658008658008658E-3</v>
      </c>
      <c r="J12" s="5">
        <v>10</v>
      </c>
      <c r="K12" s="12">
        <v>-17</v>
      </c>
    </row>
    <row r="13" spans="1:11" x14ac:dyDescent="0.4">
      <c r="A13" s="5" t="s">
        <v>11</v>
      </c>
      <c r="B13" s="1">
        <v>149</v>
      </c>
      <c r="C13" s="43">
        <f t="shared" ref="C13:C15" si="2">B13/B$3</f>
        <v>0.22817764165390506</v>
      </c>
      <c r="E13" s="52" t="s">
        <v>96</v>
      </c>
      <c r="F13" s="55" t="s">
        <v>48</v>
      </c>
      <c r="G13" s="1">
        <v>2</v>
      </c>
      <c r="H13" s="43">
        <f>G13/B$12</f>
        <v>8.658008658008658E-3</v>
      </c>
      <c r="J13" s="5">
        <v>11</v>
      </c>
      <c r="K13" s="12">
        <v>1</v>
      </c>
    </row>
    <row r="14" spans="1:11" x14ac:dyDescent="0.4">
      <c r="A14" s="5" t="s">
        <v>12</v>
      </c>
      <c r="B14" s="1">
        <v>82</v>
      </c>
      <c r="C14" s="43">
        <f t="shared" si="2"/>
        <v>0.12557427258805512</v>
      </c>
      <c r="E14" s="52" t="s">
        <v>103</v>
      </c>
      <c r="F14" s="55" t="s">
        <v>55</v>
      </c>
      <c r="G14" s="1">
        <v>2</v>
      </c>
      <c r="H14" s="43">
        <f>G14/B$12</f>
        <v>8.658008658008658E-3</v>
      </c>
      <c r="J14" s="5">
        <v>12</v>
      </c>
      <c r="K14" s="12">
        <v>14</v>
      </c>
    </row>
    <row r="15" spans="1:11" x14ac:dyDescent="0.4">
      <c r="A15" s="5" t="s">
        <v>13</v>
      </c>
      <c r="B15" s="1">
        <v>104</v>
      </c>
      <c r="C15" s="43">
        <f t="shared" si="2"/>
        <v>0.15926493108728942</v>
      </c>
      <c r="E15" s="52" t="s">
        <v>110</v>
      </c>
      <c r="F15" s="55" t="s">
        <v>62</v>
      </c>
      <c r="G15" s="1">
        <v>2</v>
      </c>
      <c r="H15" s="43">
        <f>G15/B$12</f>
        <v>8.658008658008658E-3</v>
      </c>
      <c r="J15" s="5">
        <v>13</v>
      </c>
      <c r="K15" s="12">
        <v>71</v>
      </c>
    </row>
    <row r="16" spans="1:11" x14ac:dyDescent="0.4">
      <c r="A16" s="5" t="s">
        <v>5</v>
      </c>
      <c r="B16" s="7">
        <f>IF(B$12=0,0,ROUND(C16/B$12,-2))</f>
        <v>10100</v>
      </c>
      <c r="C16" s="15">
        <v>2323200</v>
      </c>
      <c r="E16" s="52" t="s">
        <v>119</v>
      </c>
      <c r="F16" s="55" t="s">
        <v>71</v>
      </c>
      <c r="G16" s="1">
        <v>2</v>
      </c>
      <c r="H16" s="43">
        <f>G16/B$12</f>
        <v>8.658008658008658E-3</v>
      </c>
      <c r="J16" s="5">
        <v>14</v>
      </c>
      <c r="K16" s="12">
        <v>27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-1039300</v>
      </c>
      <c r="E17" s="52" t="s">
        <v>105</v>
      </c>
      <c r="F17" s="55" t="s">
        <v>57</v>
      </c>
      <c r="G17" s="1">
        <v>1</v>
      </c>
      <c r="H17" s="43">
        <f>G17/B$12</f>
        <v>4.329004329004329E-3</v>
      </c>
      <c r="J17" s="5">
        <v>15</v>
      </c>
      <c r="K17" s="12">
        <v>-10</v>
      </c>
    </row>
    <row r="18" spans="1:11" x14ac:dyDescent="0.4">
      <c r="E18" s="52" t="s">
        <v>108</v>
      </c>
      <c r="F18" s="55" t="s">
        <v>60</v>
      </c>
      <c r="G18" s="1">
        <v>1</v>
      </c>
      <c r="H18" s="43">
        <f>G18/B$12</f>
        <v>4.329004329004329E-3</v>
      </c>
      <c r="J18" s="5">
        <v>16</v>
      </c>
      <c r="K18" s="12">
        <v>-8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4.329004329004329E-3</v>
      </c>
      <c r="J19" s="5">
        <v>17</v>
      </c>
      <c r="K19" s="12">
        <v>-29</v>
      </c>
    </row>
    <row r="20" spans="1:11" x14ac:dyDescent="0.4">
      <c r="E20" s="52" t="s">
        <v>133</v>
      </c>
      <c r="F20" s="55" t="s">
        <v>140</v>
      </c>
      <c r="G20" s="1">
        <v>1</v>
      </c>
      <c r="H20" s="43">
        <f>G20/B$12</f>
        <v>4.329004329004329E-3</v>
      </c>
      <c r="J20" s="5">
        <v>18</v>
      </c>
      <c r="K20" s="12">
        <v>-14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43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69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126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100</v>
      </c>
    </row>
    <row r="25" spans="1:11" x14ac:dyDescent="0.4">
      <c r="E25" s="52" t="s">
        <v>104</v>
      </c>
      <c r="F25" s="55" t="s">
        <v>56</v>
      </c>
      <c r="G25" s="1">
        <v>0</v>
      </c>
      <c r="H25" s="43">
        <f>G25/B$12</f>
        <v>0</v>
      </c>
      <c r="J25" s="5">
        <v>23</v>
      </c>
      <c r="K25" s="12">
        <v>125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118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84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108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71</v>
      </c>
    </row>
    <row r="30" spans="1:11" x14ac:dyDescent="0.4">
      <c r="E30" s="52" t="s">
        <v>112</v>
      </c>
      <c r="F30" s="55" t="s">
        <v>64</v>
      </c>
      <c r="G30" s="1">
        <v>0</v>
      </c>
      <c r="H30" s="43">
        <f>G30/B$12</f>
        <v>0</v>
      </c>
      <c r="J30" s="5">
        <v>28</v>
      </c>
      <c r="K30" s="12">
        <v>129</v>
      </c>
    </row>
    <row r="31" spans="1:11" x14ac:dyDescent="0.4">
      <c r="E31" s="52" t="s">
        <v>114</v>
      </c>
      <c r="F31" s="55" t="s">
        <v>66</v>
      </c>
      <c r="G31" s="1">
        <v>0</v>
      </c>
      <c r="H31" s="43">
        <f>G31/B$12</f>
        <v>0</v>
      </c>
      <c r="J31" s="5">
        <v>29</v>
      </c>
      <c r="K31" s="12">
        <v>121</v>
      </c>
    </row>
    <row r="32" spans="1:11" x14ac:dyDescent="0.4">
      <c r="E32" s="52" t="s">
        <v>115</v>
      </c>
      <c r="F32" s="55" t="s">
        <v>67</v>
      </c>
      <c r="G32" s="1">
        <v>0</v>
      </c>
      <c r="H32" s="43">
        <f>G32/B$12</f>
        <v>0</v>
      </c>
      <c r="J32" s="5">
        <v>30</v>
      </c>
      <c r="K32" s="12">
        <v>113</v>
      </c>
    </row>
    <row r="33" spans="5:11" x14ac:dyDescent="0.4">
      <c r="E33" s="52" t="s">
        <v>117</v>
      </c>
      <c r="F33" s="55" t="s">
        <v>69</v>
      </c>
      <c r="G33" s="1">
        <v>0</v>
      </c>
      <c r="H33" s="43">
        <f>G33/B$12</f>
        <v>0</v>
      </c>
      <c r="J33" s="5">
        <v>31</v>
      </c>
      <c r="K33" s="12">
        <v>166</v>
      </c>
    </row>
    <row r="34" spans="5:11" x14ac:dyDescent="0.4">
      <c r="E34" s="52" t="s">
        <v>120</v>
      </c>
      <c r="F34" s="55" t="s">
        <v>72</v>
      </c>
      <c r="G34" s="1">
        <v>0</v>
      </c>
      <c r="H34" s="43">
        <f>G34/B$12</f>
        <v>0</v>
      </c>
      <c r="J34" s="5">
        <v>32</v>
      </c>
      <c r="K34" s="12">
        <v>152</v>
      </c>
    </row>
    <row r="35" spans="5:11" x14ac:dyDescent="0.4">
      <c r="E35" s="52" t="s">
        <v>121</v>
      </c>
      <c r="F35" s="55" t="s">
        <v>73</v>
      </c>
      <c r="G35" s="1">
        <v>0</v>
      </c>
      <c r="H35" s="43">
        <f>G35/B$12</f>
        <v>0</v>
      </c>
      <c r="J35" s="5">
        <v>33</v>
      </c>
      <c r="K35" s="12">
        <v>213</v>
      </c>
    </row>
    <row r="36" spans="5:11" x14ac:dyDescent="0.4">
      <c r="E36" s="52" t="s">
        <v>122</v>
      </c>
      <c r="F36" s="55" t="s">
        <v>74</v>
      </c>
      <c r="G36" s="1">
        <v>0</v>
      </c>
      <c r="H36" s="43">
        <f>G36/B$12</f>
        <v>0</v>
      </c>
      <c r="J36" s="5">
        <v>34</v>
      </c>
      <c r="K36" s="12">
        <v>263</v>
      </c>
    </row>
    <row r="37" spans="5:11" x14ac:dyDescent="0.4">
      <c r="E37" s="52" t="s">
        <v>123</v>
      </c>
      <c r="F37" s="55" t="s">
        <v>75</v>
      </c>
      <c r="G37" s="1">
        <v>0</v>
      </c>
      <c r="H37" s="43">
        <f>G37/B$12</f>
        <v>0</v>
      </c>
      <c r="J37" s="5">
        <v>35</v>
      </c>
      <c r="K37" s="12">
        <v>249</v>
      </c>
    </row>
    <row r="38" spans="5:11" x14ac:dyDescent="0.4">
      <c r="E38" s="52" t="s">
        <v>124</v>
      </c>
      <c r="F38" s="55" t="s">
        <v>76</v>
      </c>
      <c r="G38" s="1">
        <v>0</v>
      </c>
      <c r="H38" s="43">
        <f>G38/B$12</f>
        <v>0</v>
      </c>
      <c r="J38" s="5">
        <v>36</v>
      </c>
      <c r="K38" s="12">
        <v>246</v>
      </c>
    </row>
    <row r="39" spans="5:11" x14ac:dyDescent="0.4">
      <c r="E39" s="52" t="s">
        <v>125</v>
      </c>
      <c r="F39" s="55" t="s">
        <v>77</v>
      </c>
      <c r="G39" s="1">
        <v>0</v>
      </c>
      <c r="H39" s="43">
        <f>G39/B$12</f>
        <v>0</v>
      </c>
      <c r="J39" s="5">
        <v>37</v>
      </c>
      <c r="K39" s="12">
        <v>229</v>
      </c>
    </row>
    <row r="40" spans="5:11" x14ac:dyDescent="0.4">
      <c r="E40" s="52" t="s">
        <v>126</v>
      </c>
      <c r="F40" s="55" t="s">
        <v>78</v>
      </c>
      <c r="G40" s="1">
        <v>0</v>
      </c>
      <c r="H40" s="43">
        <f>G40/B$12</f>
        <v>0</v>
      </c>
      <c r="J40" s="5">
        <v>38</v>
      </c>
      <c r="K40" s="12">
        <v>250</v>
      </c>
    </row>
    <row r="41" spans="5:11" x14ac:dyDescent="0.4">
      <c r="E41" s="52" t="s">
        <v>127</v>
      </c>
      <c r="F41" s="55" t="s">
        <v>79</v>
      </c>
      <c r="G41" s="1">
        <v>0</v>
      </c>
      <c r="H41" s="43">
        <f>G41/B$12</f>
        <v>0</v>
      </c>
      <c r="J41" s="5">
        <v>39</v>
      </c>
      <c r="K41" s="12">
        <v>199</v>
      </c>
    </row>
    <row r="42" spans="5:11" x14ac:dyDescent="0.4">
      <c r="E42" s="52" t="s">
        <v>128</v>
      </c>
      <c r="F42" s="55" t="s">
        <v>80</v>
      </c>
      <c r="G42" s="1">
        <v>0</v>
      </c>
      <c r="H42" s="43">
        <f>G42/B$12</f>
        <v>0</v>
      </c>
      <c r="J42" s="5">
        <v>40</v>
      </c>
      <c r="K42" s="12">
        <v>191</v>
      </c>
    </row>
    <row r="43" spans="5:11" x14ac:dyDescent="0.4">
      <c r="E43" s="52" t="s">
        <v>129</v>
      </c>
      <c r="F43" s="55" t="s">
        <v>81</v>
      </c>
      <c r="G43" s="1">
        <v>0</v>
      </c>
      <c r="H43" s="43">
        <f>G43/B$12</f>
        <v>0</v>
      </c>
      <c r="J43" s="5">
        <v>41</v>
      </c>
      <c r="K43" s="12">
        <v>184</v>
      </c>
    </row>
    <row r="44" spans="5:11" x14ac:dyDescent="0.4">
      <c r="E44" s="52" t="s">
        <v>130</v>
      </c>
      <c r="F44" s="55" t="s">
        <v>82</v>
      </c>
      <c r="G44" s="1">
        <v>0</v>
      </c>
      <c r="H44" s="43">
        <f>G44/B$12</f>
        <v>0</v>
      </c>
      <c r="J44" s="5">
        <v>42</v>
      </c>
      <c r="K44" s="12">
        <v>148</v>
      </c>
    </row>
    <row r="45" spans="5:11" x14ac:dyDescent="0.4">
      <c r="E45" s="52" t="s">
        <v>131</v>
      </c>
      <c r="F45" s="55" t="s">
        <v>83</v>
      </c>
      <c r="G45" s="1">
        <v>0</v>
      </c>
      <c r="H45" s="43">
        <f>G45/B$12</f>
        <v>0</v>
      </c>
      <c r="J45" s="5">
        <v>43</v>
      </c>
      <c r="K45" s="12">
        <v>139</v>
      </c>
    </row>
    <row r="46" spans="5:11" x14ac:dyDescent="0.4">
      <c r="E46" s="52" t="s">
        <v>132</v>
      </c>
      <c r="F46" s="55" t="s">
        <v>139</v>
      </c>
      <c r="G46" s="1">
        <v>0</v>
      </c>
      <c r="H46" s="43">
        <f>G46/B$12</f>
        <v>0</v>
      </c>
      <c r="J46" s="5">
        <v>44</v>
      </c>
      <c r="K46" s="12">
        <v>147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137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165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144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113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129</v>
      </c>
    </row>
    <row r="52" spans="5:11" x14ac:dyDescent="0.4">
      <c r="J52" s="5">
        <v>50</v>
      </c>
      <c r="K52" s="12">
        <v>124</v>
      </c>
    </row>
    <row r="53" spans="5:11" x14ac:dyDescent="0.4">
      <c r="J53" s="5">
        <v>51</v>
      </c>
      <c r="K53" s="12">
        <v>137</v>
      </c>
    </row>
    <row r="54" spans="5:11" x14ac:dyDescent="0.4">
      <c r="J54" s="5">
        <v>52</v>
      </c>
      <c r="K54" s="12">
        <v>138</v>
      </c>
    </row>
    <row r="55" spans="5:11" x14ac:dyDescent="0.4">
      <c r="J55" s="5">
        <v>53</v>
      </c>
      <c r="K55" s="12">
        <v>131</v>
      </c>
    </row>
    <row r="56" spans="5:11" x14ac:dyDescent="0.4">
      <c r="J56" s="5">
        <v>54</v>
      </c>
      <c r="K56" s="12">
        <v>103</v>
      </c>
    </row>
    <row r="57" spans="5:11" x14ac:dyDescent="0.4">
      <c r="J57" s="5">
        <v>55</v>
      </c>
      <c r="K57" s="12">
        <v>120</v>
      </c>
    </row>
    <row r="58" spans="5:11" x14ac:dyDescent="0.4">
      <c r="J58" s="5">
        <v>56</v>
      </c>
      <c r="K58" s="12">
        <v>113</v>
      </c>
    </row>
    <row r="59" spans="5:11" x14ac:dyDescent="0.4">
      <c r="J59" s="5">
        <v>57</v>
      </c>
      <c r="K59" s="12">
        <v>145</v>
      </c>
    </row>
    <row r="60" spans="5:11" x14ac:dyDescent="0.4">
      <c r="J60" s="5">
        <v>58</v>
      </c>
      <c r="K60" s="12">
        <v>161</v>
      </c>
    </row>
    <row r="61" spans="5:11" x14ac:dyDescent="0.4">
      <c r="J61" s="5">
        <v>59</v>
      </c>
      <c r="K61" s="12">
        <v>218</v>
      </c>
    </row>
    <row r="62" spans="5:11" x14ac:dyDescent="0.4">
      <c r="J62" s="5">
        <v>60</v>
      </c>
      <c r="K62" s="12">
        <v>223</v>
      </c>
    </row>
    <row r="63" spans="5:11" x14ac:dyDescent="0.4">
      <c r="J63" s="5">
        <v>61</v>
      </c>
      <c r="K63" s="12">
        <v>177</v>
      </c>
    </row>
    <row r="64" spans="5:11" x14ac:dyDescent="0.4">
      <c r="J64" s="5">
        <v>62</v>
      </c>
      <c r="K64" s="12">
        <v>198</v>
      </c>
    </row>
    <row r="65" spans="10:11" x14ac:dyDescent="0.4">
      <c r="J65" s="5">
        <v>63</v>
      </c>
      <c r="K65" s="12">
        <v>132</v>
      </c>
    </row>
    <row r="66" spans="10:11" x14ac:dyDescent="0.4">
      <c r="J66" s="5">
        <v>64</v>
      </c>
      <c r="K66" s="12">
        <v>127</v>
      </c>
    </row>
    <row r="67" spans="10:11" x14ac:dyDescent="0.4">
      <c r="J67" s="5">
        <v>65</v>
      </c>
      <c r="K67" s="12">
        <v>128</v>
      </c>
    </row>
    <row r="68" spans="10:11" x14ac:dyDescent="0.4">
      <c r="J68" s="5">
        <v>66</v>
      </c>
      <c r="K68" s="12">
        <v>160</v>
      </c>
    </row>
    <row r="69" spans="10:11" x14ac:dyDescent="0.4">
      <c r="J69" s="5">
        <v>67</v>
      </c>
      <c r="K69" s="12">
        <v>141</v>
      </c>
    </row>
    <row r="70" spans="10:11" x14ac:dyDescent="0.4">
      <c r="J70" s="5">
        <v>68</v>
      </c>
      <c r="K70" s="12">
        <v>131</v>
      </c>
    </row>
    <row r="71" spans="10:11" x14ac:dyDescent="0.4">
      <c r="J71" s="5">
        <v>69</v>
      </c>
      <c r="K71" s="12">
        <v>132</v>
      </c>
    </row>
    <row r="72" spans="10:11" x14ac:dyDescent="0.4">
      <c r="J72" s="5">
        <v>70</v>
      </c>
      <c r="K72" s="12">
        <v>164</v>
      </c>
    </row>
    <row r="73" spans="10:11" x14ac:dyDescent="0.4">
      <c r="J73" s="5">
        <v>71</v>
      </c>
      <c r="K73" s="12">
        <v>192</v>
      </c>
    </row>
    <row r="74" spans="10:11" x14ac:dyDescent="0.4">
      <c r="J74" s="5">
        <v>72</v>
      </c>
      <c r="K74" s="12">
        <v>185</v>
      </c>
    </row>
    <row r="75" spans="10:11" x14ac:dyDescent="0.4">
      <c r="J75" s="5">
        <v>73</v>
      </c>
      <c r="K75" s="12">
        <v>203</v>
      </c>
    </row>
    <row r="76" spans="10:11" x14ac:dyDescent="0.4">
      <c r="J76" s="5">
        <v>74</v>
      </c>
      <c r="K76" s="12">
        <v>189</v>
      </c>
    </row>
    <row r="77" spans="10:11" x14ac:dyDescent="0.4">
      <c r="J77" s="5">
        <v>75</v>
      </c>
      <c r="K77" s="12">
        <v>229</v>
      </c>
    </row>
    <row r="78" spans="10:11" x14ac:dyDescent="0.4">
      <c r="J78" s="5">
        <v>76</v>
      </c>
      <c r="K78" s="12">
        <v>234</v>
      </c>
    </row>
    <row r="79" spans="10:11" x14ac:dyDescent="0.4">
      <c r="J79" s="5">
        <v>77</v>
      </c>
      <c r="K79" s="12">
        <v>220</v>
      </c>
    </row>
    <row r="80" spans="10:11" x14ac:dyDescent="0.4">
      <c r="J80" s="5">
        <v>78</v>
      </c>
      <c r="K80" s="12">
        <v>225</v>
      </c>
    </row>
    <row r="81" spans="10:11" x14ac:dyDescent="0.4">
      <c r="J81" s="5">
        <v>79</v>
      </c>
      <c r="K81" s="12">
        <v>257</v>
      </c>
    </row>
    <row r="82" spans="10:11" x14ac:dyDescent="0.4">
      <c r="J82" s="5">
        <v>80</v>
      </c>
      <c r="K82" s="12">
        <v>297</v>
      </c>
    </row>
    <row r="83" spans="10:11" x14ac:dyDescent="0.4">
      <c r="J83" s="5">
        <v>81</v>
      </c>
      <c r="K83" s="12">
        <v>320</v>
      </c>
    </row>
    <row r="84" spans="10:11" x14ac:dyDescent="0.4">
      <c r="J84" s="5">
        <v>82</v>
      </c>
      <c r="K84" s="12">
        <v>352</v>
      </c>
    </row>
    <row r="85" spans="10:11" x14ac:dyDescent="0.4">
      <c r="J85" s="5">
        <v>83</v>
      </c>
      <c r="K85" s="12">
        <v>412</v>
      </c>
    </row>
    <row r="86" spans="10:11" x14ac:dyDescent="0.4">
      <c r="J86" s="5">
        <v>84</v>
      </c>
      <c r="K86" s="12">
        <v>423</v>
      </c>
    </row>
    <row r="87" spans="10:11" x14ac:dyDescent="0.4">
      <c r="J87" s="5">
        <v>85</v>
      </c>
      <c r="K87" s="12">
        <v>425</v>
      </c>
    </row>
    <row r="88" spans="10:11" x14ac:dyDescent="0.4">
      <c r="J88" s="5">
        <v>86</v>
      </c>
      <c r="K88" s="12">
        <v>404</v>
      </c>
    </row>
    <row r="89" spans="10:11" x14ac:dyDescent="0.4">
      <c r="J89" s="5">
        <v>87</v>
      </c>
      <c r="K89" s="12">
        <v>408</v>
      </c>
    </row>
    <row r="90" spans="10:11" x14ac:dyDescent="0.4">
      <c r="J90" s="5">
        <v>88</v>
      </c>
      <c r="K90" s="12">
        <v>362</v>
      </c>
    </row>
    <row r="91" spans="10:11" x14ac:dyDescent="0.4">
      <c r="J91" s="5">
        <v>89</v>
      </c>
      <c r="K91" s="12">
        <v>361</v>
      </c>
    </row>
    <row r="92" spans="10:11" x14ac:dyDescent="0.4">
      <c r="J92" s="5">
        <v>90</v>
      </c>
      <c r="K92" s="12">
        <v>387</v>
      </c>
    </row>
    <row r="93" spans="10:11" x14ac:dyDescent="0.4">
      <c r="J93" s="5">
        <v>91</v>
      </c>
      <c r="K93" s="12">
        <v>397</v>
      </c>
    </row>
  </sheetData>
  <sortState ref="E2:H93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43A6-D308-4692-B588-19F0E542842A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4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25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-22</v>
      </c>
    </row>
    <row r="4" spans="1:11" x14ac:dyDescent="0.4">
      <c r="A4" s="5" t="s">
        <v>6</v>
      </c>
      <c r="B4" s="2">
        <v>-132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-60</v>
      </c>
    </row>
    <row r="5" spans="1:11" x14ac:dyDescent="0.4">
      <c r="A5" s="5" t="s">
        <v>7</v>
      </c>
      <c r="B5" s="9">
        <f>B$4/B$2</f>
        <v>-33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-85</v>
      </c>
    </row>
    <row r="6" spans="1:11" x14ac:dyDescent="0.4">
      <c r="A6" s="5" t="s">
        <v>1</v>
      </c>
      <c r="B6" s="25">
        <f>(B$7*1+B$8*2+B$9*3)/B$2</f>
        <v>3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-132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0</v>
      </c>
      <c r="C8" s="43">
        <f t="shared" ref="C8:C10" si="0">B8/B$2</f>
        <v>0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4</v>
      </c>
      <c r="C9" s="44">
        <f t="shared" si="0"/>
        <v>1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2</v>
      </c>
      <c r="C10" s="45">
        <f t="shared" si="0"/>
        <v>0.5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0.04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0</v>
      </c>
      <c r="C13" s="43">
        <f t="shared" ref="C13:C15" si="2">B13/B$3</f>
        <v>0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1</v>
      </c>
      <c r="C14" s="43">
        <f t="shared" si="2"/>
        <v>0.04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10</v>
      </c>
      <c r="C15" s="43">
        <f t="shared" si="2"/>
        <v>0.4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7800</v>
      </c>
      <c r="C16" s="15">
        <v>7800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-8200</v>
      </c>
      <c r="C17" s="17">
        <v>-82400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0AF71-6F3E-4C5D-9B50-0EE6F493743A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7</v>
      </c>
    </row>
    <row r="4" spans="1:11" x14ac:dyDescent="0.4">
      <c r="A4" s="5" t="s">
        <v>6</v>
      </c>
      <c r="B4" s="2">
        <v>7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0</v>
      </c>
      <c r="C10" s="45">
        <f t="shared" si="0"/>
        <v>0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2</v>
      </c>
      <c r="C12" s="46">
        <f>B12/B$3</f>
        <v>0.4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2</v>
      </c>
      <c r="C13" s="43">
        <f t="shared" ref="C13:C15" si="2">B13/B$3</f>
        <v>0.4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</v>
      </c>
      <c r="C15" s="43">
        <f t="shared" si="2"/>
        <v>0.2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8000</v>
      </c>
      <c r="C16" s="15">
        <v>16000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-12000</v>
      </c>
      <c r="C17" s="17">
        <v>-12000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174A0-115E-4F78-9779-A69CAEE95EA9}">
  <sheetPr codeName="Sheet5"/>
  <dimension ref="A1:K56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54</v>
      </c>
      <c r="C2" s="10"/>
      <c r="E2" s="58" t="s">
        <v>93</v>
      </c>
      <c r="F2" s="59" t="s">
        <v>46</v>
      </c>
      <c r="G2" s="8">
        <v>21</v>
      </c>
      <c r="H2" s="46">
        <f>G2/B$12</f>
        <v>0.22340425531914893</v>
      </c>
      <c r="J2" s="4">
        <v>0</v>
      </c>
      <c r="K2" s="40">
        <v>0</v>
      </c>
    </row>
    <row r="3" spans="1:11" x14ac:dyDescent="0.4">
      <c r="A3" s="5" t="s">
        <v>8</v>
      </c>
      <c r="B3" s="1">
        <v>399</v>
      </c>
      <c r="C3" s="11"/>
      <c r="E3" s="52" t="s">
        <v>89</v>
      </c>
      <c r="F3" s="55" t="s">
        <v>42</v>
      </c>
      <c r="G3" s="1">
        <v>20</v>
      </c>
      <c r="H3" s="43">
        <f>G3/B$12</f>
        <v>0.21276595744680851</v>
      </c>
      <c r="J3" s="5">
        <v>1</v>
      </c>
      <c r="K3" s="12">
        <v>41</v>
      </c>
    </row>
    <row r="4" spans="1:11" x14ac:dyDescent="0.4">
      <c r="A4" s="5" t="s">
        <v>6</v>
      </c>
      <c r="B4" s="2">
        <v>-378</v>
      </c>
      <c r="C4" s="12"/>
      <c r="E4" s="52" t="s">
        <v>98</v>
      </c>
      <c r="F4" s="55" t="s">
        <v>50</v>
      </c>
      <c r="G4" s="1">
        <v>19</v>
      </c>
      <c r="H4" s="43">
        <f>G4/B$12</f>
        <v>0.20212765957446807</v>
      </c>
      <c r="J4" s="5">
        <v>2</v>
      </c>
      <c r="K4" s="12">
        <v>-1</v>
      </c>
    </row>
    <row r="5" spans="1:11" x14ac:dyDescent="0.4">
      <c r="A5" s="5" t="s">
        <v>7</v>
      </c>
      <c r="B5" s="9">
        <f>B$4/B$2</f>
        <v>-7</v>
      </c>
      <c r="C5" s="13"/>
      <c r="E5" s="52" t="s">
        <v>94</v>
      </c>
      <c r="F5" s="55" t="s">
        <v>12</v>
      </c>
      <c r="G5" s="1">
        <v>16</v>
      </c>
      <c r="H5" s="43">
        <f>G5/B$12</f>
        <v>0.1702127659574468</v>
      </c>
      <c r="J5" s="5">
        <v>3</v>
      </c>
      <c r="K5" s="12">
        <v>-37</v>
      </c>
    </row>
    <row r="6" spans="1:11" x14ac:dyDescent="0.4">
      <c r="A6" s="5" t="s">
        <v>1</v>
      </c>
      <c r="B6" s="25">
        <f>(B$7*1+B$8*2+B$9*3)/B$2</f>
        <v>2.1851851851851851</v>
      </c>
      <c r="C6" s="14"/>
      <c r="E6" s="52" t="s">
        <v>91</v>
      </c>
      <c r="F6" s="55" t="s">
        <v>44</v>
      </c>
      <c r="G6" s="1">
        <v>13</v>
      </c>
      <c r="H6" s="43">
        <f>G6/B$12</f>
        <v>0.13829787234042554</v>
      </c>
      <c r="J6" s="5">
        <v>4</v>
      </c>
      <c r="K6" s="12">
        <v>3</v>
      </c>
    </row>
    <row r="7" spans="1:11" x14ac:dyDescent="0.4">
      <c r="A7" s="5" t="s">
        <v>2</v>
      </c>
      <c r="B7" s="1">
        <v>16</v>
      </c>
      <c r="C7" s="43">
        <f>B7/B$2</f>
        <v>0.29629629629629628</v>
      </c>
      <c r="E7" s="52" t="s">
        <v>92</v>
      </c>
      <c r="F7" s="55" t="s">
        <v>45</v>
      </c>
      <c r="G7" s="1">
        <v>8</v>
      </c>
      <c r="H7" s="43">
        <f>G7/B$12</f>
        <v>8.5106382978723402E-2</v>
      </c>
      <c r="J7" s="5">
        <v>5</v>
      </c>
      <c r="K7" s="12">
        <v>14</v>
      </c>
    </row>
    <row r="8" spans="1:11" x14ac:dyDescent="0.4">
      <c r="A8" s="5" t="s">
        <v>3</v>
      </c>
      <c r="B8" s="1">
        <v>12</v>
      </c>
      <c r="C8" s="43">
        <f t="shared" ref="C8:C10" si="0">B8/B$2</f>
        <v>0.22222222222222221</v>
      </c>
      <c r="E8" s="52" t="s">
        <v>96</v>
      </c>
      <c r="F8" s="55" t="s">
        <v>48</v>
      </c>
      <c r="G8" s="1">
        <v>6</v>
      </c>
      <c r="H8" s="43">
        <f>G8/B$12</f>
        <v>6.3829787234042548E-2</v>
      </c>
      <c r="J8" s="5">
        <v>6</v>
      </c>
      <c r="K8" s="12">
        <v>47</v>
      </c>
    </row>
    <row r="9" spans="1:11" x14ac:dyDescent="0.4">
      <c r="A9" s="23" t="s">
        <v>4</v>
      </c>
      <c r="B9" s="24">
        <v>26</v>
      </c>
      <c r="C9" s="44">
        <f t="shared" si="0"/>
        <v>0.48148148148148145</v>
      </c>
      <c r="E9" s="52" t="s">
        <v>116</v>
      </c>
      <c r="F9" s="55" t="s">
        <v>68</v>
      </c>
      <c r="G9" s="1">
        <v>6</v>
      </c>
      <c r="H9" s="43">
        <f>G9/B$12</f>
        <v>6.3829787234042548E-2</v>
      </c>
      <c r="J9" s="5">
        <v>7</v>
      </c>
      <c r="K9" s="12">
        <v>100</v>
      </c>
    </row>
    <row r="10" spans="1:11" ht="19.5" thickBot="1" x14ac:dyDescent="0.45">
      <c r="A10" s="30" t="s">
        <v>34</v>
      </c>
      <c r="B10" s="31">
        <v>15</v>
      </c>
      <c r="C10" s="45">
        <f t="shared" si="0"/>
        <v>0.27777777777777779</v>
      </c>
      <c r="E10" s="52" t="s">
        <v>95</v>
      </c>
      <c r="F10" s="55" t="s">
        <v>47</v>
      </c>
      <c r="G10" s="1">
        <v>4</v>
      </c>
      <c r="H10" s="43">
        <f>G10/B$12</f>
        <v>4.2553191489361701E-2</v>
      </c>
      <c r="J10" s="5">
        <v>8</v>
      </c>
      <c r="K10" s="12">
        <v>60</v>
      </c>
    </row>
    <row r="11" spans="1:11" ht="19.5" thickTop="1" x14ac:dyDescent="0.4">
      <c r="A11" s="63" t="s">
        <v>145</v>
      </c>
      <c r="B11" s="64">
        <v>28</v>
      </c>
      <c r="C11" s="65">
        <f t="shared" ref="C11" si="1">B11/B$3</f>
        <v>7.0175438596491224E-2</v>
      </c>
      <c r="E11" s="52" t="s">
        <v>110</v>
      </c>
      <c r="F11" s="55" t="s">
        <v>62</v>
      </c>
      <c r="G11" s="1">
        <v>4</v>
      </c>
      <c r="H11" s="43">
        <f>G11/B$12</f>
        <v>4.2553191489361701E-2</v>
      </c>
      <c r="J11" s="5">
        <v>9</v>
      </c>
      <c r="K11" s="12">
        <v>24</v>
      </c>
    </row>
    <row r="12" spans="1:11" x14ac:dyDescent="0.4">
      <c r="A12" s="4" t="s">
        <v>10</v>
      </c>
      <c r="B12" s="8">
        <f>B13+B14</f>
        <v>94</v>
      </c>
      <c r="C12" s="46">
        <f>B12/B$3</f>
        <v>0.23558897243107768</v>
      </c>
      <c r="E12" s="52" t="s">
        <v>113</v>
      </c>
      <c r="F12" s="55" t="s">
        <v>65</v>
      </c>
      <c r="G12" s="1">
        <v>4</v>
      </c>
      <c r="H12" s="43">
        <f>G12/B$12</f>
        <v>4.2553191489361701E-2</v>
      </c>
      <c r="J12" s="5">
        <v>10</v>
      </c>
      <c r="K12" s="12">
        <v>-21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0.13283208020050125</v>
      </c>
      <c r="E13" s="52" t="s">
        <v>90</v>
      </c>
      <c r="F13" s="55" t="s">
        <v>43</v>
      </c>
      <c r="G13" s="1">
        <v>3</v>
      </c>
      <c r="H13" s="43">
        <f>G13/B$12</f>
        <v>3.1914893617021274E-2</v>
      </c>
      <c r="J13" s="5">
        <v>11</v>
      </c>
      <c r="K13" s="12">
        <v>-4</v>
      </c>
    </row>
    <row r="14" spans="1:11" x14ac:dyDescent="0.4">
      <c r="A14" s="5" t="s">
        <v>12</v>
      </c>
      <c r="B14" s="1">
        <v>41</v>
      </c>
      <c r="C14" s="43">
        <f t="shared" si="2"/>
        <v>0.10275689223057644</v>
      </c>
      <c r="E14" s="52" t="s">
        <v>97</v>
      </c>
      <c r="F14" s="55" t="s">
        <v>49</v>
      </c>
      <c r="G14" s="1">
        <v>2</v>
      </c>
      <c r="H14" s="43">
        <f>G14/B$12</f>
        <v>2.1276595744680851E-2</v>
      </c>
      <c r="J14" s="5">
        <v>12</v>
      </c>
      <c r="K14" s="12">
        <v>-12</v>
      </c>
    </row>
    <row r="15" spans="1:11" x14ac:dyDescent="0.4">
      <c r="A15" s="5" t="s">
        <v>13</v>
      </c>
      <c r="B15" s="1">
        <v>85</v>
      </c>
      <c r="C15" s="43">
        <f t="shared" si="2"/>
        <v>0.21303258145363407</v>
      </c>
      <c r="E15" s="52" t="s">
        <v>108</v>
      </c>
      <c r="F15" s="55" t="s">
        <v>60</v>
      </c>
      <c r="G15" s="1">
        <v>2</v>
      </c>
      <c r="H15" s="43">
        <f>G15/B$12</f>
        <v>2.1276595744680851E-2</v>
      </c>
      <c r="J15" s="5">
        <v>13</v>
      </c>
      <c r="K15" s="12">
        <v>50</v>
      </c>
    </row>
    <row r="16" spans="1:11" x14ac:dyDescent="0.4">
      <c r="A16" s="5" t="s">
        <v>5</v>
      </c>
      <c r="B16" s="7">
        <f>IF(B$12=0,0,ROUND(C16/B$12,-2))</f>
        <v>11200</v>
      </c>
      <c r="C16" s="15">
        <v>1052500</v>
      </c>
      <c r="E16" s="52" t="s">
        <v>112</v>
      </c>
      <c r="F16" s="55" t="s">
        <v>64</v>
      </c>
      <c r="G16" s="1">
        <v>1</v>
      </c>
      <c r="H16" s="43">
        <f>G16/B$12</f>
        <v>1.0638297872340425E-2</v>
      </c>
      <c r="J16" s="5">
        <v>14</v>
      </c>
      <c r="K16" s="12">
        <v>33</v>
      </c>
    </row>
    <row r="17" spans="1:11" x14ac:dyDescent="0.4">
      <c r="A17" s="6" t="s">
        <v>14</v>
      </c>
      <c r="B17" s="16">
        <f>IF(B$15=0,0,ROUND(C17/B$15,-2))</f>
        <v>-10400</v>
      </c>
      <c r="C17" s="17">
        <v>-888100</v>
      </c>
      <c r="E17" s="52" t="s">
        <v>115</v>
      </c>
      <c r="F17" s="55" t="s">
        <v>67</v>
      </c>
      <c r="G17" s="1">
        <v>1</v>
      </c>
      <c r="H17" s="43">
        <f>G17/B$12</f>
        <v>1.0638297872340425E-2</v>
      </c>
      <c r="J17" s="5">
        <v>15</v>
      </c>
      <c r="K17" s="12">
        <v>39</v>
      </c>
    </row>
    <row r="18" spans="1:11" x14ac:dyDescent="0.4">
      <c r="E18" s="52" t="s">
        <v>119</v>
      </c>
      <c r="F18" s="55" t="s">
        <v>71</v>
      </c>
      <c r="G18" s="1">
        <v>1</v>
      </c>
      <c r="H18" s="43">
        <f>G18/B$12</f>
        <v>1.0638297872340425E-2</v>
      </c>
      <c r="J18" s="5">
        <v>16</v>
      </c>
      <c r="K18" s="12">
        <v>15</v>
      </c>
    </row>
    <row r="19" spans="1:11" x14ac:dyDescent="0.4">
      <c r="E19" s="52" t="s">
        <v>99</v>
      </c>
      <c r="F19" s="55" t="s">
        <v>51</v>
      </c>
      <c r="G19" s="1">
        <v>0</v>
      </c>
      <c r="H19" s="43">
        <f>G19/B$12</f>
        <v>0</v>
      </c>
      <c r="J19" s="5">
        <v>17</v>
      </c>
      <c r="K19" s="12">
        <v>14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-22</v>
      </c>
    </row>
    <row r="21" spans="1:11" x14ac:dyDescent="0.4">
      <c r="E21" s="52" t="s">
        <v>101</v>
      </c>
      <c r="F21" s="55" t="s">
        <v>53</v>
      </c>
      <c r="G21" s="1">
        <v>0</v>
      </c>
      <c r="H21" s="43">
        <f>G21/B$12</f>
        <v>0</v>
      </c>
      <c r="J21" s="5">
        <v>19</v>
      </c>
      <c r="K21" s="12">
        <v>-27</v>
      </c>
    </row>
    <row r="22" spans="1:11" x14ac:dyDescent="0.4">
      <c r="E22" s="52" t="s">
        <v>102</v>
      </c>
      <c r="F22" s="55" t="s">
        <v>54</v>
      </c>
      <c r="G22" s="1">
        <v>0</v>
      </c>
      <c r="H22" s="43">
        <f>G22/B$12</f>
        <v>0</v>
      </c>
      <c r="J22" s="5">
        <v>20</v>
      </c>
      <c r="K22" s="12">
        <v>-58</v>
      </c>
    </row>
    <row r="23" spans="1:11" x14ac:dyDescent="0.4">
      <c r="E23" s="52" t="s">
        <v>103</v>
      </c>
      <c r="F23" s="55" t="s">
        <v>55</v>
      </c>
      <c r="G23" s="1">
        <v>0</v>
      </c>
      <c r="H23" s="43">
        <f>G23/B$12</f>
        <v>0</v>
      </c>
      <c r="J23" s="5">
        <v>21</v>
      </c>
      <c r="K23" s="12">
        <v>-83</v>
      </c>
    </row>
    <row r="24" spans="1:11" x14ac:dyDescent="0.4">
      <c r="E24" s="52" t="s">
        <v>104</v>
      </c>
      <c r="F24" s="55" t="s">
        <v>56</v>
      </c>
      <c r="G24" s="1">
        <v>0</v>
      </c>
      <c r="H24" s="43">
        <f>G24/B$12</f>
        <v>0</v>
      </c>
      <c r="J24" s="5">
        <v>22</v>
      </c>
      <c r="K24" s="12">
        <v>-95</v>
      </c>
    </row>
    <row r="25" spans="1:11" x14ac:dyDescent="0.4">
      <c r="E25" s="52" t="s">
        <v>105</v>
      </c>
      <c r="F25" s="55" t="s">
        <v>57</v>
      </c>
      <c r="G25" s="1">
        <v>0</v>
      </c>
      <c r="H25" s="43">
        <f>G25/B$12</f>
        <v>0</v>
      </c>
      <c r="J25" s="5">
        <v>23</v>
      </c>
      <c r="K25" s="12">
        <v>-112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-69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-72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-127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-165</v>
      </c>
    </row>
    <row r="30" spans="1:11" x14ac:dyDescent="0.4">
      <c r="E30" s="52" t="s">
        <v>114</v>
      </c>
      <c r="F30" s="55" t="s">
        <v>66</v>
      </c>
      <c r="G30" s="1">
        <v>0</v>
      </c>
      <c r="H30" s="43">
        <f>G30/B$12</f>
        <v>0</v>
      </c>
      <c r="J30" s="5">
        <v>28</v>
      </c>
      <c r="K30" s="12">
        <v>-171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  <c r="J31" s="5">
        <v>29</v>
      </c>
      <c r="K31" s="12">
        <v>-165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  <c r="J32" s="5">
        <v>30</v>
      </c>
      <c r="K32" s="12">
        <v>-211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-262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-256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-237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-232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-257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-207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-252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-245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-247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  <c r="J42" s="5">
        <v>40</v>
      </c>
      <c r="K42" s="12">
        <v>-282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  <c r="J43" s="5">
        <v>41</v>
      </c>
      <c r="K43" s="12">
        <v>-322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  <c r="J44" s="5">
        <v>42</v>
      </c>
      <c r="K44" s="12">
        <v>-316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  <c r="J45" s="5">
        <v>43</v>
      </c>
      <c r="K45" s="12">
        <v>-286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  <c r="J46" s="5">
        <v>44</v>
      </c>
      <c r="K46" s="12">
        <v>-241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-257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-281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-265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-289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-283</v>
      </c>
    </row>
    <row r="52" spans="5:11" x14ac:dyDescent="0.4">
      <c r="J52" s="5">
        <v>50</v>
      </c>
      <c r="K52" s="12">
        <v>-287</v>
      </c>
    </row>
    <row r="53" spans="5:11" x14ac:dyDescent="0.4">
      <c r="J53" s="5">
        <v>51</v>
      </c>
      <c r="K53" s="12">
        <v>-269</v>
      </c>
    </row>
    <row r="54" spans="5:11" x14ac:dyDescent="0.4">
      <c r="J54" s="5">
        <v>52</v>
      </c>
      <c r="K54" s="12">
        <v>-308</v>
      </c>
    </row>
    <row r="55" spans="5:11" x14ac:dyDescent="0.4">
      <c r="J55" s="5">
        <v>53</v>
      </c>
      <c r="K55" s="12">
        <v>-336</v>
      </c>
    </row>
    <row r="56" spans="5:11" x14ac:dyDescent="0.4">
      <c r="J56" s="5">
        <v>54</v>
      </c>
      <c r="K56" s="12">
        <v>-378</v>
      </c>
    </row>
  </sheetData>
  <sortState ref="E2:H56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C68C-225F-49A9-A4C1-CD40BBEDC13F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20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39</v>
      </c>
      <c r="C2" s="10"/>
      <c r="E2" s="58" t="s">
        <v>91</v>
      </c>
      <c r="F2" s="59" t="s">
        <v>44</v>
      </c>
      <c r="G2" s="8">
        <v>8</v>
      </c>
      <c r="H2" s="46">
        <f>G2/B$12</f>
        <v>8.247422680412371E-2</v>
      </c>
      <c r="J2" s="4">
        <v>0</v>
      </c>
      <c r="K2" s="40">
        <v>0</v>
      </c>
    </row>
    <row r="3" spans="1:11" x14ac:dyDescent="0.4">
      <c r="A3" s="5" t="s">
        <v>8</v>
      </c>
      <c r="B3" s="1">
        <v>271</v>
      </c>
      <c r="C3" s="11"/>
      <c r="E3" s="52" t="s">
        <v>93</v>
      </c>
      <c r="F3" s="55" t="s">
        <v>46</v>
      </c>
      <c r="G3" s="1">
        <v>8</v>
      </c>
      <c r="H3" s="43">
        <f>G3/B$12</f>
        <v>8.247422680412371E-2</v>
      </c>
      <c r="J3" s="5">
        <v>1</v>
      </c>
      <c r="K3" s="12">
        <v>-40</v>
      </c>
    </row>
    <row r="4" spans="1:11" x14ac:dyDescent="0.4">
      <c r="A4" s="5" t="s">
        <v>6</v>
      </c>
      <c r="B4" s="2">
        <v>229</v>
      </c>
      <c r="C4" s="12"/>
      <c r="E4" s="52" t="s">
        <v>98</v>
      </c>
      <c r="F4" s="55" t="s">
        <v>50</v>
      </c>
      <c r="G4" s="1">
        <v>8</v>
      </c>
      <c r="H4" s="43">
        <f>G4/B$12</f>
        <v>8.247422680412371E-2</v>
      </c>
      <c r="J4" s="5">
        <v>2</v>
      </c>
      <c r="K4" s="12">
        <v>-13</v>
      </c>
    </row>
    <row r="5" spans="1:11" x14ac:dyDescent="0.4">
      <c r="A5" s="5" t="s">
        <v>7</v>
      </c>
      <c r="B5" s="9">
        <f>B$4/B$2</f>
        <v>5.8717948717948714</v>
      </c>
      <c r="C5" s="13"/>
      <c r="E5" s="52" t="s">
        <v>89</v>
      </c>
      <c r="F5" s="55" t="s">
        <v>42</v>
      </c>
      <c r="G5" s="1">
        <v>3</v>
      </c>
      <c r="H5" s="43">
        <f>G5/B$12</f>
        <v>3.0927835051546393E-2</v>
      </c>
      <c r="J5" s="5">
        <v>3</v>
      </c>
      <c r="K5" s="12">
        <v>-58</v>
      </c>
    </row>
    <row r="6" spans="1:11" x14ac:dyDescent="0.4">
      <c r="A6" s="5" t="s">
        <v>1</v>
      </c>
      <c r="B6" s="25">
        <f>(B$7*1+B$8*2+B$9*3)/B$2</f>
        <v>1.8461538461538463</v>
      </c>
      <c r="C6" s="14"/>
      <c r="E6" s="52" t="s">
        <v>92</v>
      </c>
      <c r="F6" s="55" t="s">
        <v>45</v>
      </c>
      <c r="G6" s="1">
        <v>3</v>
      </c>
      <c r="H6" s="43">
        <f>G6/B$12</f>
        <v>3.0927835051546393E-2</v>
      </c>
      <c r="J6" s="5">
        <v>4</v>
      </c>
      <c r="K6" s="12">
        <v>-54</v>
      </c>
    </row>
    <row r="7" spans="1:11" x14ac:dyDescent="0.4">
      <c r="A7" s="5" t="s">
        <v>2</v>
      </c>
      <c r="B7" s="1">
        <v>14</v>
      </c>
      <c r="C7" s="43">
        <f>B7/B$2</f>
        <v>0.35897435897435898</v>
      </c>
      <c r="E7" s="52" t="s">
        <v>94</v>
      </c>
      <c r="F7" s="55" t="s">
        <v>12</v>
      </c>
      <c r="G7" s="1">
        <v>2</v>
      </c>
      <c r="H7" s="43">
        <f>G7/B$12</f>
        <v>2.0618556701030927E-2</v>
      </c>
      <c r="J7" s="5">
        <v>5</v>
      </c>
      <c r="K7" s="12">
        <v>-46</v>
      </c>
    </row>
    <row r="8" spans="1:11" x14ac:dyDescent="0.4">
      <c r="A8" s="5" t="s">
        <v>3</v>
      </c>
      <c r="B8" s="1">
        <v>17</v>
      </c>
      <c r="C8" s="43">
        <f t="shared" ref="C8:C10" si="0">B8/B$2</f>
        <v>0.4358974358974359</v>
      </c>
      <c r="E8" s="52" t="s">
        <v>90</v>
      </c>
      <c r="F8" s="55" t="s">
        <v>43</v>
      </c>
      <c r="G8" s="1">
        <v>1</v>
      </c>
      <c r="H8" s="43">
        <f>G8/B$12</f>
        <v>1.0309278350515464E-2</v>
      </c>
      <c r="J8" s="5">
        <v>6</v>
      </c>
      <c r="K8" s="12">
        <v>-51</v>
      </c>
    </row>
    <row r="9" spans="1:11" x14ac:dyDescent="0.4">
      <c r="A9" s="23" t="s">
        <v>4</v>
      </c>
      <c r="B9" s="24">
        <v>8</v>
      </c>
      <c r="C9" s="44">
        <f t="shared" si="0"/>
        <v>0.20512820512820512</v>
      </c>
      <c r="E9" s="52" t="s">
        <v>95</v>
      </c>
      <c r="F9" s="55" t="s">
        <v>47</v>
      </c>
      <c r="G9" s="1">
        <v>1</v>
      </c>
      <c r="H9" s="43">
        <f>G9/B$12</f>
        <v>1.0309278350515464E-2</v>
      </c>
      <c r="J9" s="5">
        <v>7</v>
      </c>
      <c r="K9" s="12">
        <v>-48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0.12820512820512819</v>
      </c>
      <c r="E10" s="52" t="s">
        <v>108</v>
      </c>
      <c r="F10" s="55" t="s">
        <v>60</v>
      </c>
      <c r="G10" s="1">
        <v>1</v>
      </c>
      <c r="H10" s="43">
        <f>G10/B$12</f>
        <v>1.0309278350515464E-2</v>
      </c>
      <c r="J10" s="5">
        <v>8</v>
      </c>
      <c r="K10" s="12">
        <v>-60</v>
      </c>
    </row>
    <row r="11" spans="1:11" ht="19.5" thickTop="1" x14ac:dyDescent="0.4">
      <c r="A11" s="63" t="s">
        <v>145</v>
      </c>
      <c r="B11" s="64">
        <v>11</v>
      </c>
      <c r="C11" s="65">
        <f t="shared" ref="C11" si="1">B11/B$3</f>
        <v>4.0590405904059039E-2</v>
      </c>
      <c r="E11" s="52" t="s">
        <v>110</v>
      </c>
      <c r="F11" s="55" t="s">
        <v>62</v>
      </c>
      <c r="G11" s="1">
        <v>1</v>
      </c>
      <c r="H11" s="43">
        <f>G11/B$12</f>
        <v>1.0309278350515464E-2</v>
      </c>
      <c r="J11" s="5">
        <v>9</v>
      </c>
      <c r="K11" s="12">
        <v>-79</v>
      </c>
    </row>
    <row r="12" spans="1:11" x14ac:dyDescent="0.4">
      <c r="A12" s="4" t="s">
        <v>10</v>
      </c>
      <c r="B12" s="8">
        <f>B13+B14</f>
        <v>97</v>
      </c>
      <c r="C12" s="46">
        <f>B12/B$3</f>
        <v>0.35793357933579334</v>
      </c>
      <c r="E12" s="52" t="s">
        <v>96</v>
      </c>
      <c r="F12" s="55" t="s">
        <v>48</v>
      </c>
      <c r="G12" s="1">
        <v>0</v>
      </c>
      <c r="H12" s="43">
        <f>G12/B$12</f>
        <v>0</v>
      </c>
      <c r="J12" s="5">
        <v>10</v>
      </c>
      <c r="K12" s="12">
        <v>-80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0.19557195571955718</v>
      </c>
      <c r="E13" s="52" t="s">
        <v>97</v>
      </c>
      <c r="F13" s="55" t="s">
        <v>49</v>
      </c>
      <c r="G13" s="1">
        <v>0</v>
      </c>
      <c r="H13" s="43">
        <f>G13/B$12</f>
        <v>0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44</v>
      </c>
      <c r="C14" s="43">
        <f t="shared" si="2"/>
        <v>0.16236162361623616</v>
      </c>
      <c r="E14" s="52" t="s">
        <v>99</v>
      </c>
      <c r="F14" s="55" t="s">
        <v>51</v>
      </c>
      <c r="G14" s="1">
        <v>0</v>
      </c>
      <c r="H14" s="43">
        <f>G14/B$12</f>
        <v>0</v>
      </c>
      <c r="J14" s="5">
        <v>12</v>
      </c>
      <c r="K14" s="12">
        <v>-25</v>
      </c>
    </row>
    <row r="15" spans="1:11" x14ac:dyDescent="0.4">
      <c r="A15" s="5" t="s">
        <v>13</v>
      </c>
      <c r="B15" s="1">
        <v>36</v>
      </c>
      <c r="C15" s="43">
        <f t="shared" si="2"/>
        <v>0.13284132841328414</v>
      </c>
      <c r="E15" s="52" t="s">
        <v>100</v>
      </c>
      <c r="F15" s="55" t="s">
        <v>52</v>
      </c>
      <c r="G15" s="1">
        <v>0</v>
      </c>
      <c r="H15" s="43">
        <f>G15/B$12</f>
        <v>0</v>
      </c>
      <c r="J15" s="5">
        <v>13</v>
      </c>
      <c r="K15" s="12">
        <v>-14</v>
      </c>
    </row>
    <row r="16" spans="1:11" x14ac:dyDescent="0.4">
      <c r="A16" s="5" t="s">
        <v>5</v>
      </c>
      <c r="B16" s="7">
        <f>IF(B$12=0,0,ROUND(C16/B$12,-2))</f>
        <v>9600</v>
      </c>
      <c r="C16" s="15">
        <v>934300</v>
      </c>
      <c r="E16" s="52" t="s">
        <v>101</v>
      </c>
      <c r="F16" s="55" t="s">
        <v>53</v>
      </c>
      <c r="G16" s="1">
        <v>0</v>
      </c>
      <c r="H16" s="43">
        <f>G16/B$12</f>
        <v>0</v>
      </c>
      <c r="J16" s="5">
        <v>14</v>
      </c>
      <c r="K16" s="12">
        <v>37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-346100</v>
      </c>
      <c r="E17" s="52" t="s">
        <v>102</v>
      </c>
      <c r="F17" s="55" t="s">
        <v>54</v>
      </c>
      <c r="G17" s="1">
        <v>0</v>
      </c>
      <c r="H17" s="43">
        <f>G17/B$12</f>
        <v>0</v>
      </c>
      <c r="J17" s="5">
        <v>15</v>
      </c>
      <c r="K17" s="12">
        <v>54</v>
      </c>
    </row>
    <row r="18" spans="1:11" x14ac:dyDescent="0.4">
      <c r="E18" s="52" t="s">
        <v>103</v>
      </c>
      <c r="F18" s="55" t="s">
        <v>55</v>
      </c>
      <c r="G18" s="1">
        <v>0</v>
      </c>
      <c r="H18" s="43">
        <f>G18/B$12</f>
        <v>0</v>
      </c>
      <c r="J18" s="5">
        <v>16</v>
      </c>
      <c r="K18" s="12">
        <v>38</v>
      </c>
    </row>
    <row r="19" spans="1:11" x14ac:dyDescent="0.4">
      <c r="E19" s="52" t="s">
        <v>104</v>
      </c>
      <c r="F19" s="55" t="s">
        <v>56</v>
      </c>
      <c r="G19" s="1">
        <v>0</v>
      </c>
      <c r="H19" s="43">
        <f>G19/B$12</f>
        <v>0</v>
      </c>
      <c r="J19" s="5">
        <v>17</v>
      </c>
      <c r="K19" s="12">
        <v>13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-29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-21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4</v>
      </c>
    </row>
    <row r="23" spans="1:11" x14ac:dyDescent="0.4">
      <c r="E23" s="52" t="s">
        <v>109</v>
      </c>
      <c r="F23" s="55" t="s">
        <v>61</v>
      </c>
      <c r="G23" s="1">
        <v>0</v>
      </c>
      <c r="H23" s="43">
        <f>G23/B$12</f>
        <v>0</v>
      </c>
      <c r="J23" s="5">
        <v>21</v>
      </c>
      <c r="K23" s="12">
        <v>66</v>
      </c>
    </row>
    <row r="24" spans="1:11" x14ac:dyDescent="0.4">
      <c r="E24" s="52" t="s">
        <v>111</v>
      </c>
      <c r="F24" s="55" t="s">
        <v>63</v>
      </c>
      <c r="G24" s="1">
        <v>0</v>
      </c>
      <c r="H24" s="43">
        <f>G24/B$12</f>
        <v>0</v>
      </c>
      <c r="J24" s="5">
        <v>22</v>
      </c>
      <c r="K24" s="12">
        <v>75</v>
      </c>
    </row>
    <row r="25" spans="1:11" x14ac:dyDescent="0.4">
      <c r="E25" s="52" t="s">
        <v>112</v>
      </c>
      <c r="F25" s="55" t="s">
        <v>64</v>
      </c>
      <c r="G25" s="1">
        <v>0</v>
      </c>
      <c r="H25" s="43">
        <f>G25/B$12</f>
        <v>0</v>
      </c>
      <c r="J25" s="5">
        <v>23</v>
      </c>
      <c r="K25" s="12">
        <v>90</v>
      </c>
    </row>
    <row r="26" spans="1:11" x14ac:dyDescent="0.4">
      <c r="E26" s="52" t="s">
        <v>113</v>
      </c>
      <c r="F26" s="55" t="s">
        <v>65</v>
      </c>
      <c r="G26" s="1">
        <v>0</v>
      </c>
      <c r="H26" s="43">
        <f>G26/B$12</f>
        <v>0</v>
      </c>
      <c r="J26" s="5">
        <v>24</v>
      </c>
      <c r="K26" s="12">
        <v>46</v>
      </c>
    </row>
    <row r="27" spans="1:11" x14ac:dyDescent="0.4">
      <c r="E27" s="52" t="s">
        <v>114</v>
      </c>
      <c r="F27" s="55" t="s">
        <v>66</v>
      </c>
      <c r="G27" s="1">
        <v>0</v>
      </c>
      <c r="H27" s="43">
        <f>G27/B$12</f>
        <v>0</v>
      </c>
      <c r="J27" s="5">
        <v>25</v>
      </c>
      <c r="K27" s="12">
        <v>56</v>
      </c>
    </row>
    <row r="28" spans="1:11" x14ac:dyDescent="0.4">
      <c r="E28" s="52" t="s">
        <v>115</v>
      </c>
      <c r="F28" s="55" t="s">
        <v>67</v>
      </c>
      <c r="G28" s="1">
        <v>0</v>
      </c>
      <c r="H28" s="43">
        <f>G28/B$12</f>
        <v>0</v>
      </c>
      <c r="J28" s="5">
        <v>26</v>
      </c>
      <c r="K28" s="12">
        <v>139</v>
      </c>
    </row>
    <row r="29" spans="1:11" x14ac:dyDescent="0.4">
      <c r="E29" s="52" t="s">
        <v>116</v>
      </c>
      <c r="F29" s="55" t="s">
        <v>68</v>
      </c>
      <c r="G29" s="1">
        <v>0</v>
      </c>
      <c r="H29" s="43">
        <f>G29/B$12</f>
        <v>0</v>
      </c>
      <c r="J29" s="5">
        <v>27</v>
      </c>
      <c r="K29" s="12">
        <v>160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172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202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195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183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201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242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231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185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232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247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229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229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DD8AA-221F-4DB8-A0CA-401D15A30FDA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21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6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-41</v>
      </c>
    </row>
    <row r="4" spans="1:11" x14ac:dyDescent="0.4">
      <c r="A4" s="5" t="s">
        <v>6</v>
      </c>
      <c r="B4" s="2">
        <v>-41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-41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1</v>
      </c>
      <c r="C10" s="45">
        <f t="shared" si="0"/>
        <v>1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0.16666666666666666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1</v>
      </c>
      <c r="C13" s="43">
        <f t="shared" ref="C13:C15" si="2">B13/B$3</f>
        <v>0.16666666666666666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2</v>
      </c>
      <c r="C15" s="43">
        <f t="shared" si="2"/>
        <v>0.33333333333333331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1300</v>
      </c>
      <c r="C16" s="15">
        <v>1300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-8500</v>
      </c>
      <c r="C17" s="17">
        <v>-17000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75A7F-CCEC-4AB4-A33D-2B629EE18C38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30</v>
      </c>
      <c r="C2" s="10"/>
      <c r="E2" s="58" t="s">
        <v>98</v>
      </c>
      <c r="F2" s="59" t="s">
        <v>50</v>
      </c>
      <c r="G2" s="8">
        <v>14</v>
      </c>
      <c r="H2" s="46">
        <f>G2/B$12</f>
        <v>0.2</v>
      </c>
      <c r="J2" s="4">
        <v>0</v>
      </c>
      <c r="K2" s="40">
        <v>0</v>
      </c>
    </row>
    <row r="3" spans="1:11" x14ac:dyDescent="0.4">
      <c r="A3" s="5" t="s">
        <v>8</v>
      </c>
      <c r="B3" s="1">
        <v>238</v>
      </c>
      <c r="C3" s="11"/>
      <c r="E3" s="52" t="s">
        <v>93</v>
      </c>
      <c r="F3" s="55" t="s">
        <v>46</v>
      </c>
      <c r="G3" s="1">
        <v>13</v>
      </c>
      <c r="H3" s="43">
        <f>G3/B$12</f>
        <v>0.18571428571428572</v>
      </c>
      <c r="J3" s="5">
        <v>1</v>
      </c>
      <c r="K3" s="12">
        <v>68</v>
      </c>
    </row>
    <row r="4" spans="1:11" x14ac:dyDescent="0.4">
      <c r="A4" s="5" t="s">
        <v>6</v>
      </c>
      <c r="B4" s="2">
        <v>14</v>
      </c>
      <c r="C4" s="12"/>
      <c r="E4" s="52" t="s">
        <v>91</v>
      </c>
      <c r="F4" s="55" t="s">
        <v>44</v>
      </c>
      <c r="G4" s="1">
        <v>11</v>
      </c>
      <c r="H4" s="43">
        <f>G4/B$12</f>
        <v>0.15714285714285714</v>
      </c>
      <c r="J4" s="5">
        <v>2</v>
      </c>
      <c r="K4" s="12">
        <v>58</v>
      </c>
    </row>
    <row r="5" spans="1:11" x14ac:dyDescent="0.4">
      <c r="A5" s="5" t="s">
        <v>7</v>
      </c>
      <c r="B5" s="9">
        <f>B$4/B$2</f>
        <v>0.46666666666666667</v>
      </c>
      <c r="C5" s="13"/>
      <c r="E5" s="52" t="s">
        <v>89</v>
      </c>
      <c r="F5" s="55" t="s">
        <v>42</v>
      </c>
      <c r="G5" s="1">
        <v>3</v>
      </c>
      <c r="H5" s="43">
        <f>G5/B$12</f>
        <v>4.2857142857142858E-2</v>
      </c>
      <c r="J5" s="5">
        <v>3</v>
      </c>
      <c r="K5" s="12">
        <v>82</v>
      </c>
    </row>
    <row r="6" spans="1:11" x14ac:dyDescent="0.4">
      <c r="A6" s="5" t="s">
        <v>1</v>
      </c>
      <c r="B6" s="25">
        <f>(B$7*1+B$8*2+B$9*3)/B$2</f>
        <v>2.0333333333333332</v>
      </c>
      <c r="C6" s="14"/>
      <c r="E6" s="52" t="s">
        <v>116</v>
      </c>
      <c r="F6" s="55" t="s">
        <v>68</v>
      </c>
      <c r="G6" s="1">
        <v>3</v>
      </c>
      <c r="H6" s="43">
        <f>G6/B$12</f>
        <v>4.2857142857142858E-2</v>
      </c>
      <c r="J6" s="5">
        <v>4</v>
      </c>
      <c r="K6" s="12">
        <v>58</v>
      </c>
    </row>
    <row r="7" spans="1:11" x14ac:dyDescent="0.4">
      <c r="A7" s="5" t="s">
        <v>2</v>
      </c>
      <c r="B7" s="1">
        <v>9</v>
      </c>
      <c r="C7" s="43">
        <f>B7/B$2</f>
        <v>0.3</v>
      </c>
      <c r="E7" s="52" t="s">
        <v>94</v>
      </c>
      <c r="F7" s="55" t="s">
        <v>12</v>
      </c>
      <c r="G7" s="1">
        <v>2</v>
      </c>
      <c r="H7" s="43">
        <f>G7/B$12</f>
        <v>2.8571428571428571E-2</v>
      </c>
      <c r="J7" s="5">
        <v>5</v>
      </c>
      <c r="K7" s="12">
        <v>124</v>
      </c>
    </row>
    <row r="8" spans="1:11" x14ac:dyDescent="0.4">
      <c r="A8" s="5" t="s">
        <v>3</v>
      </c>
      <c r="B8" s="1">
        <v>11</v>
      </c>
      <c r="C8" s="43">
        <f t="shared" ref="C8:C10" si="0">B8/B$2</f>
        <v>0.36666666666666664</v>
      </c>
      <c r="E8" s="52" t="s">
        <v>105</v>
      </c>
      <c r="F8" s="55" t="s">
        <v>57</v>
      </c>
      <c r="G8" s="1">
        <v>2</v>
      </c>
      <c r="H8" s="43">
        <f>G8/B$12</f>
        <v>2.8571428571428571E-2</v>
      </c>
      <c r="J8" s="5">
        <v>6</v>
      </c>
      <c r="K8" s="12">
        <v>126</v>
      </c>
    </row>
    <row r="9" spans="1:11" x14ac:dyDescent="0.4">
      <c r="A9" s="23" t="s">
        <v>4</v>
      </c>
      <c r="B9" s="24">
        <v>10</v>
      </c>
      <c r="C9" s="44">
        <f t="shared" si="0"/>
        <v>0.33333333333333331</v>
      </c>
      <c r="E9" s="52" t="s">
        <v>113</v>
      </c>
      <c r="F9" s="55" t="s">
        <v>65</v>
      </c>
      <c r="G9" s="1">
        <v>2</v>
      </c>
      <c r="H9" s="43">
        <f>G9/B$12</f>
        <v>2.8571428571428571E-2</v>
      </c>
      <c r="J9" s="5">
        <v>7</v>
      </c>
      <c r="K9" s="12">
        <v>130</v>
      </c>
    </row>
    <row r="10" spans="1:11" ht="19.5" thickBot="1" x14ac:dyDescent="0.45">
      <c r="A10" s="30" t="s">
        <v>34</v>
      </c>
      <c r="B10" s="31">
        <v>4</v>
      </c>
      <c r="C10" s="45">
        <f t="shared" si="0"/>
        <v>0.13333333333333333</v>
      </c>
      <c r="E10" s="52" t="s">
        <v>90</v>
      </c>
      <c r="F10" s="55" t="s">
        <v>43</v>
      </c>
      <c r="G10" s="1">
        <v>1</v>
      </c>
      <c r="H10" s="43">
        <f>G10/B$12</f>
        <v>1.4285714285714285E-2</v>
      </c>
      <c r="J10" s="5">
        <v>8</v>
      </c>
      <c r="K10" s="12">
        <v>97</v>
      </c>
    </row>
    <row r="11" spans="1:11" ht="19.5" thickTop="1" x14ac:dyDescent="0.4">
      <c r="A11" s="63" t="s">
        <v>145</v>
      </c>
      <c r="B11" s="64">
        <v>19</v>
      </c>
      <c r="C11" s="65">
        <f t="shared" ref="C11" si="1">B11/B$3</f>
        <v>7.9831932773109238E-2</v>
      </c>
      <c r="E11" s="52" t="s">
        <v>101</v>
      </c>
      <c r="F11" s="55" t="s">
        <v>53</v>
      </c>
      <c r="G11" s="1">
        <v>1</v>
      </c>
      <c r="H11" s="43">
        <f>G11/B$12</f>
        <v>1.4285714285714285E-2</v>
      </c>
      <c r="J11" s="5">
        <v>9</v>
      </c>
      <c r="K11" s="12">
        <v>83</v>
      </c>
    </row>
    <row r="12" spans="1:11" x14ac:dyDescent="0.4">
      <c r="A12" s="4" t="s">
        <v>10</v>
      </c>
      <c r="B12" s="8">
        <f>B13+B14</f>
        <v>70</v>
      </c>
      <c r="C12" s="46">
        <f>B12/B$3</f>
        <v>0.29411764705882354</v>
      </c>
      <c r="E12" s="52" t="s">
        <v>104</v>
      </c>
      <c r="F12" s="55" t="s">
        <v>56</v>
      </c>
      <c r="G12" s="1">
        <v>1</v>
      </c>
      <c r="H12" s="43">
        <f>G12/B$12</f>
        <v>1.4285714285714285E-2</v>
      </c>
      <c r="J12" s="5">
        <v>10</v>
      </c>
      <c r="K12" s="12">
        <v>111</v>
      </c>
    </row>
    <row r="13" spans="1:11" x14ac:dyDescent="0.4">
      <c r="A13" s="5" t="s">
        <v>11</v>
      </c>
      <c r="B13" s="1">
        <v>40</v>
      </c>
      <c r="C13" s="43">
        <f t="shared" ref="C13:C15" si="2">B13/B$3</f>
        <v>0.16806722689075632</v>
      </c>
      <c r="E13" s="52" t="s">
        <v>110</v>
      </c>
      <c r="F13" s="55" t="s">
        <v>62</v>
      </c>
      <c r="G13" s="1">
        <v>1</v>
      </c>
      <c r="H13" s="43">
        <f>G13/B$12</f>
        <v>1.4285714285714285E-2</v>
      </c>
      <c r="J13" s="5">
        <v>11</v>
      </c>
      <c r="K13" s="12">
        <v>139</v>
      </c>
    </row>
    <row r="14" spans="1:11" x14ac:dyDescent="0.4">
      <c r="A14" s="5" t="s">
        <v>12</v>
      </c>
      <c r="B14" s="1">
        <v>30</v>
      </c>
      <c r="C14" s="43">
        <f t="shared" si="2"/>
        <v>0.12605042016806722</v>
      </c>
      <c r="E14" s="52" t="s">
        <v>92</v>
      </c>
      <c r="F14" s="55" t="s">
        <v>45</v>
      </c>
      <c r="G14" s="1">
        <v>0</v>
      </c>
      <c r="H14" s="43">
        <f>G14/B$12</f>
        <v>0</v>
      </c>
      <c r="J14" s="5">
        <v>12</v>
      </c>
      <c r="K14" s="12">
        <v>100</v>
      </c>
    </row>
    <row r="15" spans="1:11" x14ac:dyDescent="0.4">
      <c r="A15" s="5" t="s">
        <v>13</v>
      </c>
      <c r="B15" s="1">
        <v>48</v>
      </c>
      <c r="C15" s="43">
        <f t="shared" si="2"/>
        <v>0.20168067226890757</v>
      </c>
      <c r="E15" s="52" t="s">
        <v>95</v>
      </c>
      <c r="F15" s="55" t="s">
        <v>47</v>
      </c>
      <c r="G15" s="1">
        <v>0</v>
      </c>
      <c r="H15" s="43">
        <f>G15/B$12</f>
        <v>0</v>
      </c>
      <c r="J15" s="5">
        <v>13</v>
      </c>
      <c r="K15" s="12">
        <v>62</v>
      </c>
    </row>
    <row r="16" spans="1:11" x14ac:dyDescent="0.4">
      <c r="A16" s="5" t="s">
        <v>5</v>
      </c>
      <c r="B16" s="7">
        <f>IF(B$12=0,0,ROUND(C16/B$12,-2))</f>
        <v>10600</v>
      </c>
      <c r="C16" s="15">
        <v>739900</v>
      </c>
      <c r="E16" s="52" t="s">
        <v>96</v>
      </c>
      <c r="F16" s="55" t="s">
        <v>48</v>
      </c>
      <c r="G16" s="1">
        <v>0</v>
      </c>
      <c r="H16" s="43">
        <f>G16/B$12</f>
        <v>0</v>
      </c>
      <c r="J16" s="5">
        <v>14</v>
      </c>
      <c r="K16" s="12">
        <v>42</v>
      </c>
    </row>
    <row r="17" spans="1:11" x14ac:dyDescent="0.4">
      <c r="A17" s="6" t="s">
        <v>14</v>
      </c>
      <c r="B17" s="16">
        <f>IF(B$15=0,0,ROUND(C17/B$15,-2))</f>
        <v>-7400</v>
      </c>
      <c r="C17" s="17">
        <v>-356700</v>
      </c>
      <c r="E17" s="52" t="s">
        <v>97</v>
      </c>
      <c r="F17" s="55" t="s">
        <v>49</v>
      </c>
      <c r="G17" s="1">
        <v>0</v>
      </c>
      <c r="H17" s="43">
        <f>G17/B$12</f>
        <v>0</v>
      </c>
      <c r="J17" s="5">
        <v>15</v>
      </c>
      <c r="K17" s="12">
        <v>33</v>
      </c>
    </row>
    <row r="18" spans="1:11" x14ac:dyDescent="0.4">
      <c r="E18" s="52" t="s">
        <v>99</v>
      </c>
      <c r="F18" s="55" t="s">
        <v>51</v>
      </c>
      <c r="G18" s="1">
        <v>0</v>
      </c>
      <c r="H18" s="43">
        <f>G18/B$12</f>
        <v>0</v>
      </c>
      <c r="J18" s="5">
        <v>16</v>
      </c>
      <c r="K18" s="12">
        <v>-6</v>
      </c>
    </row>
    <row r="19" spans="1:11" x14ac:dyDescent="0.4">
      <c r="E19" s="52" t="s">
        <v>100</v>
      </c>
      <c r="F19" s="55" t="s">
        <v>52</v>
      </c>
      <c r="G19" s="1">
        <v>0</v>
      </c>
      <c r="H19" s="43">
        <f>G19/B$12</f>
        <v>0</v>
      </c>
      <c r="J19" s="5">
        <v>17</v>
      </c>
      <c r="K19" s="12">
        <v>-18</v>
      </c>
    </row>
    <row r="20" spans="1:11" x14ac:dyDescent="0.4">
      <c r="E20" s="52" t="s">
        <v>102</v>
      </c>
      <c r="F20" s="55" t="s">
        <v>54</v>
      </c>
      <c r="G20" s="1">
        <v>0</v>
      </c>
      <c r="H20" s="43">
        <f>G20/B$12</f>
        <v>0</v>
      </c>
      <c r="J20" s="5">
        <v>18</v>
      </c>
      <c r="K20" s="12">
        <v>-18</v>
      </c>
    </row>
    <row r="21" spans="1:11" x14ac:dyDescent="0.4">
      <c r="E21" s="52" t="s">
        <v>103</v>
      </c>
      <c r="F21" s="55" t="s">
        <v>55</v>
      </c>
      <c r="G21" s="1">
        <v>0</v>
      </c>
      <c r="H21" s="43">
        <f>G21/B$12</f>
        <v>0</v>
      </c>
      <c r="J21" s="5">
        <v>19</v>
      </c>
      <c r="K21" s="12">
        <v>-3</v>
      </c>
    </row>
    <row r="22" spans="1:11" x14ac:dyDescent="0.4">
      <c r="E22" s="52" t="s">
        <v>106</v>
      </c>
      <c r="F22" s="55" t="s">
        <v>58</v>
      </c>
      <c r="G22" s="1">
        <v>0</v>
      </c>
      <c r="H22" s="43">
        <f>G22/B$12</f>
        <v>0</v>
      </c>
      <c r="J22" s="5">
        <v>20</v>
      </c>
      <c r="K22" s="12">
        <v>45</v>
      </c>
    </row>
    <row r="23" spans="1:11" x14ac:dyDescent="0.4">
      <c r="E23" s="52" t="s">
        <v>107</v>
      </c>
      <c r="F23" s="55" t="s">
        <v>59</v>
      </c>
      <c r="G23" s="1">
        <v>0</v>
      </c>
      <c r="H23" s="43">
        <f>G23/B$12</f>
        <v>0</v>
      </c>
      <c r="J23" s="5">
        <v>21</v>
      </c>
      <c r="K23" s="12">
        <v>3</v>
      </c>
    </row>
    <row r="24" spans="1:11" x14ac:dyDescent="0.4">
      <c r="E24" s="52" t="s">
        <v>108</v>
      </c>
      <c r="F24" s="55" t="s">
        <v>60</v>
      </c>
      <c r="G24" s="1">
        <v>0</v>
      </c>
      <c r="H24" s="43">
        <f>G24/B$12</f>
        <v>0</v>
      </c>
      <c r="J24" s="5">
        <v>22</v>
      </c>
      <c r="K24" s="12">
        <v>-3</v>
      </c>
    </row>
    <row r="25" spans="1:11" x14ac:dyDescent="0.4">
      <c r="E25" s="52" t="s">
        <v>109</v>
      </c>
      <c r="F25" s="55" t="s">
        <v>61</v>
      </c>
      <c r="G25" s="1">
        <v>0</v>
      </c>
      <c r="H25" s="43">
        <f>G25/B$12</f>
        <v>0</v>
      </c>
      <c r="J25" s="5">
        <v>23</v>
      </c>
      <c r="K25" s="12">
        <v>22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8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0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-11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-33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-27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-26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14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E93BD-C3BE-4F45-884A-872C99C965D1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17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32</v>
      </c>
      <c r="C2" s="10"/>
      <c r="E2" s="58" t="s">
        <v>91</v>
      </c>
      <c r="F2" s="59" t="s">
        <v>44</v>
      </c>
      <c r="G2" s="8">
        <v>33</v>
      </c>
      <c r="H2" s="46">
        <f>G2/B$12</f>
        <v>0.48529411764705882</v>
      </c>
      <c r="J2" s="4">
        <v>0</v>
      </c>
      <c r="K2" s="40">
        <v>0</v>
      </c>
    </row>
    <row r="3" spans="1:11" x14ac:dyDescent="0.4">
      <c r="A3" s="5" t="s">
        <v>8</v>
      </c>
      <c r="B3" s="1">
        <v>233</v>
      </c>
      <c r="C3" s="11"/>
      <c r="E3" s="52" t="s">
        <v>93</v>
      </c>
      <c r="F3" s="55" t="s">
        <v>46</v>
      </c>
      <c r="G3" s="1">
        <v>25</v>
      </c>
      <c r="H3" s="43">
        <f>G3/B$12</f>
        <v>0.36764705882352944</v>
      </c>
      <c r="J3" s="5">
        <v>1</v>
      </c>
      <c r="K3" s="12">
        <v>-37</v>
      </c>
    </row>
    <row r="4" spans="1:11" x14ac:dyDescent="0.4">
      <c r="A4" s="5" t="s">
        <v>6</v>
      </c>
      <c r="B4" s="2">
        <v>-11</v>
      </c>
      <c r="C4" s="12"/>
      <c r="E4" s="52" t="s">
        <v>89</v>
      </c>
      <c r="F4" s="55" t="s">
        <v>42</v>
      </c>
      <c r="G4" s="1">
        <v>22</v>
      </c>
      <c r="H4" s="43">
        <f>G4/B$12</f>
        <v>0.3235294117647059</v>
      </c>
      <c r="J4" s="5">
        <v>2</v>
      </c>
      <c r="K4" s="12">
        <v>-46</v>
      </c>
    </row>
    <row r="5" spans="1:11" x14ac:dyDescent="0.4">
      <c r="A5" s="5" t="s">
        <v>7</v>
      </c>
      <c r="B5" s="9">
        <f>B$4/B$2</f>
        <v>-0.34375</v>
      </c>
      <c r="C5" s="13"/>
      <c r="E5" s="52" t="s">
        <v>92</v>
      </c>
      <c r="F5" s="55" t="s">
        <v>45</v>
      </c>
      <c r="G5" s="1">
        <v>16</v>
      </c>
      <c r="H5" s="43">
        <f>G5/B$12</f>
        <v>0.23529411764705882</v>
      </c>
      <c r="J5" s="5">
        <v>3</v>
      </c>
      <c r="K5" s="12">
        <v>-82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98</v>
      </c>
      <c r="F6" s="55" t="s">
        <v>50</v>
      </c>
      <c r="G6" s="1">
        <v>10</v>
      </c>
      <c r="H6" s="43">
        <f>G6/B$12</f>
        <v>0.14705882352941177</v>
      </c>
      <c r="J6" s="5">
        <v>4</v>
      </c>
      <c r="K6" s="12">
        <v>-114</v>
      </c>
    </row>
    <row r="7" spans="1:11" x14ac:dyDescent="0.4">
      <c r="A7" s="5" t="s">
        <v>2</v>
      </c>
      <c r="B7" s="1">
        <v>11</v>
      </c>
      <c r="C7" s="43">
        <f>B7/B$2</f>
        <v>0.34375</v>
      </c>
      <c r="E7" s="52" t="s">
        <v>94</v>
      </c>
      <c r="F7" s="55" t="s">
        <v>12</v>
      </c>
      <c r="G7" s="1">
        <v>9</v>
      </c>
      <c r="H7" s="43">
        <f>G7/B$12</f>
        <v>0.13235294117647059</v>
      </c>
      <c r="J7" s="5">
        <v>5</v>
      </c>
      <c r="K7" s="12">
        <v>-136</v>
      </c>
    </row>
    <row r="8" spans="1:11" x14ac:dyDescent="0.4">
      <c r="A8" s="5" t="s">
        <v>3</v>
      </c>
      <c r="B8" s="1">
        <v>10</v>
      </c>
      <c r="C8" s="43">
        <f t="shared" ref="C8:C10" si="0">B8/B$2</f>
        <v>0.3125</v>
      </c>
      <c r="E8" s="52" t="s">
        <v>95</v>
      </c>
      <c r="F8" s="55" t="s">
        <v>47</v>
      </c>
      <c r="G8" s="1">
        <v>6</v>
      </c>
      <c r="H8" s="43">
        <f>G8/B$12</f>
        <v>8.8235294117647065E-2</v>
      </c>
      <c r="J8" s="5">
        <v>6</v>
      </c>
      <c r="K8" s="12">
        <v>-100</v>
      </c>
    </row>
    <row r="9" spans="1:11" x14ac:dyDescent="0.4">
      <c r="A9" s="23" t="s">
        <v>4</v>
      </c>
      <c r="B9" s="24">
        <v>11</v>
      </c>
      <c r="C9" s="44">
        <f t="shared" si="0"/>
        <v>0.34375</v>
      </c>
      <c r="E9" s="52" t="s">
        <v>96</v>
      </c>
      <c r="F9" s="55" t="s">
        <v>48</v>
      </c>
      <c r="G9" s="1">
        <v>5</v>
      </c>
      <c r="H9" s="43">
        <f>G9/B$12</f>
        <v>7.3529411764705885E-2</v>
      </c>
      <c r="J9" s="5">
        <v>7</v>
      </c>
      <c r="K9" s="12">
        <v>-105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0.1875</v>
      </c>
      <c r="E10" s="52" t="s">
        <v>113</v>
      </c>
      <c r="F10" s="55" t="s">
        <v>65</v>
      </c>
      <c r="G10" s="1">
        <v>4</v>
      </c>
      <c r="H10" s="43">
        <f>G10/B$12</f>
        <v>5.8823529411764705E-2</v>
      </c>
      <c r="J10" s="5">
        <v>8</v>
      </c>
      <c r="K10" s="12">
        <v>-51</v>
      </c>
    </row>
    <row r="11" spans="1:11" ht="19.5" thickTop="1" x14ac:dyDescent="0.4">
      <c r="A11" s="63" t="s">
        <v>145</v>
      </c>
      <c r="B11" s="64">
        <v>21</v>
      </c>
      <c r="C11" s="65">
        <f t="shared" ref="C11" si="1">B11/B$3</f>
        <v>9.012875536480687E-2</v>
      </c>
      <c r="E11" s="52" t="s">
        <v>90</v>
      </c>
      <c r="F11" s="55" t="s">
        <v>43</v>
      </c>
      <c r="G11" s="1">
        <v>3</v>
      </c>
      <c r="H11" s="43">
        <f>G11/B$12</f>
        <v>4.4117647058823532E-2</v>
      </c>
      <c r="J11" s="5">
        <v>9</v>
      </c>
      <c r="K11" s="12">
        <v>-52</v>
      </c>
    </row>
    <row r="12" spans="1:11" x14ac:dyDescent="0.4">
      <c r="A12" s="4" t="s">
        <v>10</v>
      </c>
      <c r="B12" s="8">
        <f>B13+B14</f>
        <v>68</v>
      </c>
      <c r="C12" s="46">
        <f>B12/B$3</f>
        <v>0.29184549356223177</v>
      </c>
      <c r="E12" s="52" t="s">
        <v>97</v>
      </c>
      <c r="F12" s="55" t="s">
        <v>49</v>
      </c>
      <c r="G12" s="1">
        <v>3</v>
      </c>
      <c r="H12" s="43">
        <f>G12/B$12</f>
        <v>4.4117647058823532E-2</v>
      </c>
      <c r="J12" s="5">
        <v>10</v>
      </c>
      <c r="K12" s="12">
        <v>-71</v>
      </c>
    </row>
    <row r="13" spans="1:11" x14ac:dyDescent="0.4">
      <c r="A13" s="5" t="s">
        <v>11</v>
      </c>
      <c r="B13" s="1">
        <v>44</v>
      </c>
      <c r="C13" s="43">
        <f t="shared" ref="C13:C15" si="2">B13/B$3</f>
        <v>0.18884120171673821</v>
      </c>
      <c r="E13" s="52" t="s">
        <v>116</v>
      </c>
      <c r="F13" s="55" t="s">
        <v>68</v>
      </c>
      <c r="G13" s="1">
        <v>2</v>
      </c>
      <c r="H13" s="43">
        <f>G13/B$12</f>
        <v>2.9411764705882353E-2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24</v>
      </c>
      <c r="C14" s="43">
        <f t="shared" si="2"/>
        <v>0.10300429184549356</v>
      </c>
      <c r="E14" s="52" t="s">
        <v>100</v>
      </c>
      <c r="F14" s="55" t="s">
        <v>52</v>
      </c>
      <c r="G14" s="1">
        <v>1</v>
      </c>
      <c r="H14" s="43">
        <f>G14/B$12</f>
        <v>1.4705882352941176E-2</v>
      </c>
      <c r="J14" s="5">
        <v>12</v>
      </c>
      <c r="K14" s="12">
        <v>-87</v>
      </c>
    </row>
    <row r="15" spans="1:11" x14ac:dyDescent="0.4">
      <c r="A15" s="5" t="s">
        <v>13</v>
      </c>
      <c r="B15" s="1">
        <v>37</v>
      </c>
      <c r="C15" s="43">
        <f t="shared" si="2"/>
        <v>0.15879828326180256</v>
      </c>
      <c r="E15" s="52" t="s">
        <v>104</v>
      </c>
      <c r="F15" s="55" t="s">
        <v>56</v>
      </c>
      <c r="G15" s="1">
        <v>1</v>
      </c>
      <c r="H15" s="43">
        <f>G15/B$12</f>
        <v>1.4705882352941176E-2</v>
      </c>
      <c r="J15" s="5">
        <v>13</v>
      </c>
      <c r="K15" s="12">
        <v>-71</v>
      </c>
    </row>
    <row r="16" spans="1:11" x14ac:dyDescent="0.4">
      <c r="A16" s="5" t="s">
        <v>5</v>
      </c>
      <c r="B16" s="7">
        <f>IF(B$12=0,0,ROUND(C16/B$12,-2))</f>
        <v>10800</v>
      </c>
      <c r="C16" s="15">
        <v>732800</v>
      </c>
      <c r="E16" s="52" t="s">
        <v>99</v>
      </c>
      <c r="F16" s="55" t="s">
        <v>51</v>
      </c>
      <c r="G16" s="1">
        <v>0</v>
      </c>
      <c r="H16" s="43">
        <f>G16/B$12</f>
        <v>0</v>
      </c>
      <c r="J16" s="5">
        <v>14</v>
      </c>
      <c r="K16" s="12">
        <v>-60</v>
      </c>
    </row>
    <row r="17" spans="1:11" x14ac:dyDescent="0.4">
      <c r="A17" s="6" t="s">
        <v>14</v>
      </c>
      <c r="B17" s="16">
        <f>IF(B$15=0,0,ROUND(C17/B$15,-2))</f>
        <v>-10200</v>
      </c>
      <c r="C17" s="17">
        <v>-376200</v>
      </c>
      <c r="E17" s="52" t="s">
        <v>101</v>
      </c>
      <c r="F17" s="55" t="s">
        <v>53</v>
      </c>
      <c r="G17" s="1">
        <v>0</v>
      </c>
      <c r="H17" s="43">
        <f>G17/B$12</f>
        <v>0</v>
      </c>
      <c r="J17" s="5">
        <v>15</v>
      </c>
      <c r="K17" s="12">
        <v>-67</v>
      </c>
    </row>
    <row r="18" spans="1:11" x14ac:dyDescent="0.4">
      <c r="E18" s="52" t="s">
        <v>102</v>
      </c>
      <c r="F18" s="55" t="s">
        <v>54</v>
      </c>
      <c r="G18" s="1">
        <v>0</v>
      </c>
      <c r="H18" s="43">
        <f>G18/B$12</f>
        <v>0</v>
      </c>
      <c r="J18" s="5">
        <v>16</v>
      </c>
      <c r="K18" s="12">
        <v>7</v>
      </c>
    </row>
    <row r="19" spans="1:11" x14ac:dyDescent="0.4">
      <c r="E19" s="52" t="s">
        <v>103</v>
      </c>
      <c r="F19" s="55" t="s">
        <v>55</v>
      </c>
      <c r="G19" s="1">
        <v>0</v>
      </c>
      <c r="H19" s="43">
        <f>G19/B$12</f>
        <v>0</v>
      </c>
      <c r="J19" s="5">
        <v>17</v>
      </c>
      <c r="K19" s="12">
        <v>42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42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106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109</v>
      </c>
    </row>
    <row r="23" spans="1:11" x14ac:dyDescent="0.4">
      <c r="E23" s="52" t="s">
        <v>108</v>
      </c>
      <c r="F23" s="55" t="s">
        <v>60</v>
      </c>
      <c r="G23" s="1">
        <v>0</v>
      </c>
      <c r="H23" s="43">
        <f>G23/B$12</f>
        <v>0</v>
      </c>
      <c r="J23" s="5">
        <v>21</v>
      </c>
      <c r="K23" s="12">
        <v>110</v>
      </c>
    </row>
    <row r="24" spans="1:11" x14ac:dyDescent="0.4">
      <c r="E24" s="52" t="s">
        <v>109</v>
      </c>
      <c r="F24" s="55" t="s">
        <v>61</v>
      </c>
      <c r="G24" s="1">
        <v>0</v>
      </c>
      <c r="H24" s="43">
        <f>G24/B$12</f>
        <v>0</v>
      </c>
      <c r="J24" s="5">
        <v>22</v>
      </c>
      <c r="K24" s="12">
        <v>113</v>
      </c>
    </row>
    <row r="25" spans="1:11" x14ac:dyDescent="0.4">
      <c r="E25" s="52" t="s">
        <v>110</v>
      </c>
      <c r="F25" s="55" t="s">
        <v>62</v>
      </c>
      <c r="G25" s="1">
        <v>0</v>
      </c>
      <c r="H25" s="43">
        <f>G25/B$12</f>
        <v>0</v>
      </c>
      <c r="J25" s="5">
        <v>23</v>
      </c>
      <c r="K25" s="12">
        <v>158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157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117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101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112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68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27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16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32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-11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9C09E-F5EA-4881-904F-EFDCF55F361C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12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82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-14</v>
      </c>
    </row>
    <row r="4" spans="1:11" x14ac:dyDescent="0.4">
      <c r="A4" s="5" t="s">
        <v>6</v>
      </c>
      <c r="B4" s="2">
        <v>83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38</v>
      </c>
    </row>
    <row r="5" spans="1:11" x14ac:dyDescent="0.4">
      <c r="A5" s="5" t="s">
        <v>7</v>
      </c>
      <c r="B5" s="9">
        <f>B$4/B$2</f>
        <v>6.916666666666667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-2</v>
      </c>
    </row>
    <row r="6" spans="1:11" x14ac:dyDescent="0.4">
      <c r="A6" s="5" t="s">
        <v>1</v>
      </c>
      <c r="B6" s="25">
        <f>(B$7*1+B$8*2+B$9*3)/B$2</f>
        <v>1.75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-44</v>
      </c>
    </row>
    <row r="7" spans="1:11" x14ac:dyDescent="0.4">
      <c r="A7" s="5" t="s">
        <v>2</v>
      </c>
      <c r="B7" s="1">
        <v>6</v>
      </c>
      <c r="C7" s="43">
        <f>B7/B$2</f>
        <v>0.5</v>
      </c>
      <c r="E7" s="52" t="s">
        <v>94</v>
      </c>
      <c r="F7" s="55" t="s">
        <v>12</v>
      </c>
      <c r="G7" s="1">
        <v>0</v>
      </c>
      <c r="H7" s="43">
        <f>G7/B$12</f>
        <v>0</v>
      </c>
      <c r="J7" s="5">
        <v>5</v>
      </c>
      <c r="K7" s="12">
        <v>9</v>
      </c>
    </row>
    <row r="8" spans="1:11" x14ac:dyDescent="0.4">
      <c r="A8" s="5" t="s">
        <v>3</v>
      </c>
      <c r="B8" s="1">
        <v>3</v>
      </c>
      <c r="C8" s="43">
        <f t="shared" ref="C8:C10" si="0">B8/B$2</f>
        <v>0.25</v>
      </c>
      <c r="E8" s="52" t="s">
        <v>95</v>
      </c>
      <c r="F8" s="55" t="s">
        <v>47</v>
      </c>
      <c r="G8" s="1">
        <v>0</v>
      </c>
      <c r="H8" s="43">
        <f>G8/B$12</f>
        <v>0</v>
      </c>
      <c r="J8" s="5">
        <v>6</v>
      </c>
      <c r="K8" s="12">
        <v>24</v>
      </c>
    </row>
    <row r="9" spans="1:11" x14ac:dyDescent="0.4">
      <c r="A9" s="23" t="s">
        <v>4</v>
      </c>
      <c r="B9" s="24">
        <v>3</v>
      </c>
      <c r="C9" s="44">
        <f t="shared" si="0"/>
        <v>0.25</v>
      </c>
      <c r="E9" s="52" t="s">
        <v>96</v>
      </c>
      <c r="F9" s="55" t="s">
        <v>48</v>
      </c>
      <c r="G9" s="1">
        <v>0</v>
      </c>
      <c r="H9" s="43">
        <f>G9/B$12</f>
        <v>0</v>
      </c>
      <c r="J9" s="5">
        <v>7</v>
      </c>
      <c r="K9" s="12">
        <v>41</v>
      </c>
    </row>
    <row r="10" spans="1:11" ht="19.5" thickBot="1" x14ac:dyDescent="0.45">
      <c r="A10" s="30" t="s">
        <v>34</v>
      </c>
      <c r="B10" s="31">
        <v>3</v>
      </c>
      <c r="C10" s="45">
        <f t="shared" si="0"/>
        <v>0.25</v>
      </c>
      <c r="E10" s="52" t="s">
        <v>97</v>
      </c>
      <c r="F10" s="55" t="s">
        <v>49</v>
      </c>
      <c r="G10" s="1">
        <v>0</v>
      </c>
      <c r="H10" s="43">
        <f>G10/B$12</f>
        <v>0</v>
      </c>
      <c r="J10" s="5">
        <v>8</v>
      </c>
      <c r="K10" s="12">
        <v>5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  <c r="J11" s="5">
        <v>9</v>
      </c>
      <c r="K11" s="12">
        <v>8</v>
      </c>
    </row>
    <row r="12" spans="1:11" x14ac:dyDescent="0.4">
      <c r="A12" s="4" t="s">
        <v>10</v>
      </c>
      <c r="B12" s="8">
        <f>B13+B14</f>
        <v>28</v>
      </c>
      <c r="C12" s="46">
        <f>B12/B$3</f>
        <v>0.34146341463414637</v>
      </c>
      <c r="E12" s="52" t="s">
        <v>99</v>
      </c>
      <c r="F12" s="55" t="s">
        <v>51</v>
      </c>
      <c r="G12" s="1">
        <v>0</v>
      </c>
      <c r="H12" s="43">
        <f>G12/B$12</f>
        <v>0</v>
      </c>
      <c r="J12" s="5">
        <v>10</v>
      </c>
      <c r="K12" s="12">
        <v>58</v>
      </c>
    </row>
    <row r="13" spans="1:11" x14ac:dyDescent="0.4">
      <c r="A13" s="5" t="s">
        <v>11</v>
      </c>
      <c r="B13" s="1">
        <v>15</v>
      </c>
      <c r="C13" s="43">
        <f t="shared" ref="C13:C15" si="2">B13/B$3</f>
        <v>0.18292682926829268</v>
      </c>
      <c r="E13" s="52" t="s">
        <v>100</v>
      </c>
      <c r="F13" s="55" t="s">
        <v>52</v>
      </c>
      <c r="G13" s="1">
        <v>0</v>
      </c>
      <c r="H13" s="43">
        <f>G13/B$12</f>
        <v>0</v>
      </c>
      <c r="J13" s="5">
        <v>11</v>
      </c>
      <c r="K13" s="12">
        <v>71</v>
      </c>
    </row>
    <row r="14" spans="1:11" x14ac:dyDescent="0.4">
      <c r="A14" s="5" t="s">
        <v>12</v>
      </c>
      <c r="B14" s="1">
        <v>13</v>
      </c>
      <c r="C14" s="43">
        <f t="shared" si="2"/>
        <v>0.15853658536585366</v>
      </c>
      <c r="E14" s="52" t="s">
        <v>101</v>
      </c>
      <c r="F14" s="55" t="s">
        <v>53</v>
      </c>
      <c r="G14" s="1">
        <v>0</v>
      </c>
      <c r="H14" s="43">
        <f>G14/B$12</f>
        <v>0</v>
      </c>
      <c r="J14" s="5">
        <v>12</v>
      </c>
      <c r="K14" s="12">
        <v>83</v>
      </c>
    </row>
    <row r="15" spans="1:11" x14ac:dyDescent="0.4">
      <c r="A15" s="5" t="s">
        <v>13</v>
      </c>
      <c r="B15" s="1">
        <v>11</v>
      </c>
      <c r="C15" s="43">
        <f t="shared" si="2"/>
        <v>0.13414634146341464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10900</v>
      </c>
      <c r="C16" s="15">
        <v>304000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-9900</v>
      </c>
      <c r="C17" s="17">
        <v>-109200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65BCA-B45B-4AB9-BFFC-592212BF6622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24</v>
      </c>
      <c r="C2" s="10"/>
      <c r="E2" s="58" t="s">
        <v>93</v>
      </c>
      <c r="F2" s="59" t="s">
        <v>46</v>
      </c>
      <c r="G2" s="8">
        <v>41</v>
      </c>
      <c r="H2" s="46">
        <f>G2/B$12</f>
        <v>0.78846153846153844</v>
      </c>
      <c r="J2" s="4">
        <v>0</v>
      </c>
      <c r="K2" s="40">
        <v>0</v>
      </c>
    </row>
    <row r="3" spans="1:11" x14ac:dyDescent="0.4">
      <c r="A3" s="5" t="s">
        <v>8</v>
      </c>
      <c r="B3" s="1">
        <v>188</v>
      </c>
      <c r="C3" s="11"/>
      <c r="E3" s="52" t="s">
        <v>98</v>
      </c>
      <c r="F3" s="55" t="s">
        <v>50</v>
      </c>
      <c r="G3" s="1">
        <v>35</v>
      </c>
      <c r="H3" s="43">
        <f>G3/B$12</f>
        <v>0.67307692307692313</v>
      </c>
      <c r="J3" s="5">
        <v>1</v>
      </c>
      <c r="K3" s="12">
        <v>4</v>
      </c>
    </row>
    <row r="4" spans="1:11" x14ac:dyDescent="0.4">
      <c r="A4" s="5" t="s">
        <v>6</v>
      </c>
      <c r="B4" s="2">
        <v>-168</v>
      </c>
      <c r="C4" s="12"/>
      <c r="E4" s="52" t="s">
        <v>91</v>
      </c>
      <c r="F4" s="55" t="s">
        <v>44</v>
      </c>
      <c r="G4" s="1">
        <v>27</v>
      </c>
      <c r="H4" s="43">
        <f>G4/B$12</f>
        <v>0.51923076923076927</v>
      </c>
      <c r="J4" s="5">
        <v>2</v>
      </c>
      <c r="K4" s="12">
        <v>-34</v>
      </c>
    </row>
    <row r="5" spans="1:11" x14ac:dyDescent="0.4">
      <c r="A5" s="5" t="s">
        <v>7</v>
      </c>
      <c r="B5" s="9">
        <f>B$4/B$2</f>
        <v>-7</v>
      </c>
      <c r="C5" s="13"/>
      <c r="E5" s="52" t="s">
        <v>89</v>
      </c>
      <c r="F5" s="55" t="s">
        <v>42</v>
      </c>
      <c r="G5" s="1">
        <v>23</v>
      </c>
      <c r="H5" s="43">
        <f>G5/B$12</f>
        <v>0.44230769230769229</v>
      </c>
      <c r="J5" s="5">
        <v>3</v>
      </c>
      <c r="K5" s="12">
        <v>-70</v>
      </c>
    </row>
    <row r="6" spans="1:11" x14ac:dyDescent="0.4">
      <c r="A6" s="5" t="s">
        <v>1</v>
      </c>
      <c r="B6" s="25">
        <f>(B$7*1+B$8*2+B$9*3)/B$2</f>
        <v>2.25</v>
      </c>
      <c r="C6" s="14"/>
      <c r="E6" s="52" t="s">
        <v>94</v>
      </c>
      <c r="F6" s="55" t="s">
        <v>12</v>
      </c>
      <c r="G6" s="1">
        <v>17</v>
      </c>
      <c r="H6" s="43">
        <f>G6/B$12</f>
        <v>0.32692307692307693</v>
      </c>
      <c r="J6" s="5">
        <v>4</v>
      </c>
      <c r="K6" s="12">
        <v>-35</v>
      </c>
    </row>
    <row r="7" spans="1:11" x14ac:dyDescent="0.4">
      <c r="A7" s="5" t="s">
        <v>2</v>
      </c>
      <c r="B7" s="1">
        <v>6</v>
      </c>
      <c r="C7" s="43">
        <f>B7/B$2</f>
        <v>0.25</v>
      </c>
      <c r="E7" s="52" t="s">
        <v>92</v>
      </c>
      <c r="F7" s="55" t="s">
        <v>45</v>
      </c>
      <c r="G7" s="1">
        <v>14</v>
      </c>
      <c r="H7" s="43">
        <f>G7/B$12</f>
        <v>0.26923076923076922</v>
      </c>
      <c r="J7" s="5">
        <v>5</v>
      </c>
      <c r="K7" s="12">
        <v>-80</v>
      </c>
    </row>
    <row r="8" spans="1:11" x14ac:dyDescent="0.4">
      <c r="A8" s="5" t="s">
        <v>3</v>
      </c>
      <c r="B8" s="1">
        <v>6</v>
      </c>
      <c r="C8" s="43">
        <f t="shared" ref="C8:C10" si="0">B8/B$2</f>
        <v>0.25</v>
      </c>
      <c r="E8" s="52" t="s">
        <v>116</v>
      </c>
      <c r="F8" s="55" t="s">
        <v>68</v>
      </c>
      <c r="G8" s="1">
        <v>8</v>
      </c>
      <c r="H8" s="43">
        <f>G8/B$12</f>
        <v>0.15384615384615385</v>
      </c>
      <c r="J8" s="5">
        <v>6</v>
      </c>
      <c r="K8" s="12">
        <v>-116</v>
      </c>
    </row>
    <row r="9" spans="1:11" x14ac:dyDescent="0.4">
      <c r="A9" s="23" t="s">
        <v>4</v>
      </c>
      <c r="B9" s="24">
        <v>12</v>
      </c>
      <c r="C9" s="44">
        <f t="shared" si="0"/>
        <v>0.5</v>
      </c>
      <c r="E9" s="52" t="s">
        <v>95</v>
      </c>
      <c r="F9" s="55" t="s">
        <v>47</v>
      </c>
      <c r="G9" s="1">
        <v>7</v>
      </c>
      <c r="H9" s="43">
        <f>G9/B$12</f>
        <v>0.13461538461538461</v>
      </c>
      <c r="J9" s="5">
        <v>7</v>
      </c>
      <c r="K9" s="12">
        <v>-147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0.25</v>
      </c>
      <c r="E10" s="52" t="s">
        <v>96</v>
      </c>
      <c r="F10" s="55" t="s">
        <v>48</v>
      </c>
      <c r="G10" s="1">
        <v>4</v>
      </c>
      <c r="H10" s="43">
        <f>G10/B$12</f>
        <v>7.6923076923076927E-2</v>
      </c>
      <c r="J10" s="5">
        <v>8</v>
      </c>
      <c r="K10" s="12">
        <v>-146</v>
      </c>
    </row>
    <row r="11" spans="1:11" ht="19.5" thickTop="1" x14ac:dyDescent="0.4">
      <c r="A11" s="63" t="s">
        <v>145</v>
      </c>
      <c r="B11" s="64">
        <v>34</v>
      </c>
      <c r="C11" s="65">
        <f t="shared" ref="C11" si="1">B11/B$3</f>
        <v>0.18085106382978725</v>
      </c>
      <c r="E11" s="52" t="s">
        <v>104</v>
      </c>
      <c r="F11" s="55" t="s">
        <v>56</v>
      </c>
      <c r="G11" s="1">
        <v>4</v>
      </c>
      <c r="H11" s="43">
        <f>G11/B$12</f>
        <v>7.6923076923076927E-2</v>
      </c>
      <c r="J11" s="5">
        <v>9</v>
      </c>
      <c r="K11" s="12">
        <v>-173</v>
      </c>
    </row>
    <row r="12" spans="1:11" x14ac:dyDescent="0.4">
      <c r="A12" s="4" t="s">
        <v>10</v>
      </c>
      <c r="B12" s="8">
        <f>B13+B14</f>
        <v>52</v>
      </c>
      <c r="C12" s="46">
        <f>B12/B$3</f>
        <v>0.27659574468085107</v>
      </c>
      <c r="E12" s="52" t="s">
        <v>90</v>
      </c>
      <c r="F12" s="55" t="s">
        <v>43</v>
      </c>
      <c r="G12" s="1">
        <v>3</v>
      </c>
      <c r="H12" s="43">
        <f>G12/B$12</f>
        <v>5.7692307692307696E-2</v>
      </c>
      <c r="J12" s="5">
        <v>10</v>
      </c>
      <c r="K12" s="12">
        <v>-206</v>
      </c>
    </row>
    <row r="13" spans="1:11" x14ac:dyDescent="0.4">
      <c r="A13" s="5" t="s">
        <v>11</v>
      </c>
      <c r="B13" s="1">
        <v>25</v>
      </c>
      <c r="C13" s="43">
        <f t="shared" ref="C13:C15" si="2">B13/B$3</f>
        <v>0.13297872340425532</v>
      </c>
      <c r="E13" s="52" t="s">
        <v>99</v>
      </c>
      <c r="F13" s="55" t="s">
        <v>51</v>
      </c>
      <c r="G13" s="1">
        <v>2</v>
      </c>
      <c r="H13" s="43">
        <f>G13/B$12</f>
        <v>3.8461538461538464E-2</v>
      </c>
      <c r="J13" s="5">
        <v>11</v>
      </c>
      <c r="K13" s="12">
        <v>-174</v>
      </c>
    </row>
    <row r="14" spans="1:11" x14ac:dyDescent="0.4">
      <c r="A14" s="5" t="s">
        <v>12</v>
      </c>
      <c r="B14" s="1">
        <v>27</v>
      </c>
      <c r="C14" s="43">
        <f t="shared" si="2"/>
        <v>0.14361702127659576</v>
      </c>
      <c r="E14" s="52" t="s">
        <v>110</v>
      </c>
      <c r="F14" s="55" t="s">
        <v>62</v>
      </c>
      <c r="G14" s="1">
        <v>2</v>
      </c>
      <c r="H14" s="43">
        <f>G14/B$12</f>
        <v>3.8461538461538464E-2</v>
      </c>
      <c r="J14" s="5">
        <v>12</v>
      </c>
      <c r="K14" s="12">
        <v>-197</v>
      </c>
    </row>
    <row r="15" spans="1:11" x14ac:dyDescent="0.4">
      <c r="A15" s="5" t="s">
        <v>13</v>
      </c>
      <c r="B15" s="1">
        <v>38</v>
      </c>
      <c r="C15" s="43">
        <f t="shared" si="2"/>
        <v>0.20212765957446807</v>
      </c>
      <c r="E15" s="52" t="s">
        <v>101</v>
      </c>
      <c r="F15" s="55" t="s">
        <v>53</v>
      </c>
      <c r="G15" s="1">
        <v>1</v>
      </c>
      <c r="H15" s="43">
        <f>G15/B$12</f>
        <v>1.9230769230769232E-2</v>
      </c>
      <c r="J15" s="5">
        <v>13</v>
      </c>
      <c r="K15" s="12">
        <v>-235</v>
      </c>
    </row>
    <row r="16" spans="1:11" x14ac:dyDescent="0.4">
      <c r="A16" s="5" t="s">
        <v>5</v>
      </c>
      <c r="B16" s="7">
        <f>IF(B$12=0,0,ROUND(C16/B$12,-2))</f>
        <v>11100</v>
      </c>
      <c r="C16" s="15">
        <v>576400</v>
      </c>
      <c r="E16" s="52" t="s">
        <v>108</v>
      </c>
      <c r="F16" s="55" t="s">
        <v>60</v>
      </c>
      <c r="G16" s="1">
        <v>1</v>
      </c>
      <c r="H16" s="43">
        <f>G16/B$12</f>
        <v>1.9230769230769232E-2</v>
      </c>
      <c r="J16" s="5">
        <v>14</v>
      </c>
      <c r="K16" s="12">
        <v>-231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-366400</v>
      </c>
      <c r="E17" s="52" t="s">
        <v>113</v>
      </c>
      <c r="F17" s="55" t="s">
        <v>65</v>
      </c>
      <c r="G17" s="1">
        <v>1</v>
      </c>
      <c r="H17" s="43">
        <f>G17/B$12</f>
        <v>1.9230769230769232E-2</v>
      </c>
      <c r="J17" s="5">
        <v>15</v>
      </c>
      <c r="K17" s="12">
        <v>-212</v>
      </c>
    </row>
    <row r="18" spans="1:11" x14ac:dyDescent="0.4">
      <c r="E18" s="52" t="s">
        <v>120</v>
      </c>
      <c r="F18" s="55" t="s">
        <v>72</v>
      </c>
      <c r="G18" s="1">
        <v>1</v>
      </c>
      <c r="H18" s="43">
        <f>G18/B$12</f>
        <v>1.9230769230769232E-2</v>
      </c>
      <c r="J18" s="5">
        <v>16</v>
      </c>
      <c r="K18" s="12">
        <v>-233</v>
      </c>
    </row>
    <row r="19" spans="1:11" x14ac:dyDescent="0.4">
      <c r="E19" s="52" t="s">
        <v>97</v>
      </c>
      <c r="F19" s="55" t="s">
        <v>49</v>
      </c>
      <c r="G19" s="1">
        <v>0</v>
      </c>
      <c r="H19" s="43">
        <f>G19/B$12</f>
        <v>0</v>
      </c>
      <c r="J19" s="5">
        <v>17</v>
      </c>
      <c r="K19" s="12">
        <v>-269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-296</v>
      </c>
    </row>
    <row r="21" spans="1:11" x14ac:dyDescent="0.4">
      <c r="E21" s="52" t="s">
        <v>102</v>
      </c>
      <c r="F21" s="55" t="s">
        <v>54</v>
      </c>
      <c r="G21" s="1">
        <v>0</v>
      </c>
      <c r="H21" s="43">
        <f>G21/B$12</f>
        <v>0</v>
      </c>
      <c r="J21" s="5">
        <v>19</v>
      </c>
      <c r="K21" s="12">
        <v>-273</v>
      </c>
    </row>
    <row r="22" spans="1:11" x14ac:dyDescent="0.4">
      <c r="E22" s="52" t="s">
        <v>103</v>
      </c>
      <c r="F22" s="55" t="s">
        <v>55</v>
      </c>
      <c r="G22" s="1">
        <v>0</v>
      </c>
      <c r="H22" s="43">
        <f>G22/B$12</f>
        <v>0</v>
      </c>
      <c r="J22" s="5">
        <v>20</v>
      </c>
      <c r="K22" s="12">
        <v>-270</v>
      </c>
    </row>
    <row r="23" spans="1:11" x14ac:dyDescent="0.4">
      <c r="E23" s="52" t="s">
        <v>105</v>
      </c>
      <c r="F23" s="55" t="s">
        <v>57</v>
      </c>
      <c r="G23" s="1">
        <v>0</v>
      </c>
      <c r="H23" s="43">
        <f>G23/B$12</f>
        <v>0</v>
      </c>
      <c r="J23" s="5">
        <v>21</v>
      </c>
      <c r="K23" s="12">
        <v>-242</v>
      </c>
    </row>
    <row r="24" spans="1:11" x14ac:dyDescent="0.4">
      <c r="E24" s="52" t="s">
        <v>106</v>
      </c>
      <c r="F24" s="55" t="s">
        <v>58</v>
      </c>
      <c r="G24" s="1">
        <v>0</v>
      </c>
      <c r="H24" s="43">
        <f>G24/B$12</f>
        <v>0</v>
      </c>
      <c r="J24" s="5">
        <v>22</v>
      </c>
      <c r="K24" s="12">
        <v>-203</v>
      </c>
    </row>
    <row r="25" spans="1:11" x14ac:dyDescent="0.4">
      <c r="E25" s="52" t="s">
        <v>107</v>
      </c>
      <c r="F25" s="55" t="s">
        <v>59</v>
      </c>
      <c r="G25" s="1">
        <v>0</v>
      </c>
      <c r="H25" s="43">
        <f>G25/B$12</f>
        <v>0</v>
      </c>
      <c r="J25" s="5">
        <v>23</v>
      </c>
      <c r="K25" s="12">
        <v>-201</v>
      </c>
    </row>
    <row r="26" spans="1:11" x14ac:dyDescent="0.4">
      <c r="E26" s="52" t="s">
        <v>109</v>
      </c>
      <c r="F26" s="55" t="s">
        <v>61</v>
      </c>
      <c r="G26" s="1">
        <v>0</v>
      </c>
      <c r="H26" s="43">
        <f>G26/B$12</f>
        <v>0</v>
      </c>
      <c r="J26" s="5">
        <v>24</v>
      </c>
      <c r="K26" s="12">
        <v>-168</v>
      </c>
    </row>
    <row r="27" spans="1:11" x14ac:dyDescent="0.4">
      <c r="E27" s="52" t="s">
        <v>111</v>
      </c>
      <c r="F27" s="55" t="s">
        <v>63</v>
      </c>
      <c r="G27" s="1">
        <v>0</v>
      </c>
      <c r="H27" s="43">
        <f>G27/B$12</f>
        <v>0</v>
      </c>
    </row>
    <row r="28" spans="1:11" x14ac:dyDescent="0.4">
      <c r="E28" s="52" t="s">
        <v>112</v>
      </c>
      <c r="F28" s="55" t="s">
        <v>64</v>
      </c>
      <c r="G28" s="1">
        <v>0</v>
      </c>
      <c r="H28" s="43">
        <f>G28/B$12</f>
        <v>0</v>
      </c>
    </row>
    <row r="29" spans="1:11" x14ac:dyDescent="0.4">
      <c r="E29" s="52" t="s">
        <v>114</v>
      </c>
      <c r="F29" s="55" t="s">
        <v>66</v>
      </c>
      <c r="G29" s="1">
        <v>0</v>
      </c>
      <c r="H29" s="43">
        <f>G29/B$12</f>
        <v>0</v>
      </c>
    </row>
    <row r="30" spans="1:11" x14ac:dyDescent="0.4">
      <c r="E30" s="52" t="s">
        <v>115</v>
      </c>
      <c r="F30" s="55" t="s">
        <v>67</v>
      </c>
      <c r="G30" s="1">
        <v>0</v>
      </c>
      <c r="H30" s="43">
        <f>G30/B$12</f>
        <v>0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</row>
    <row r="33" spans="5:8" x14ac:dyDescent="0.4">
      <c r="E33" s="52" t="s">
        <v>119</v>
      </c>
      <c r="F33" s="55" t="s">
        <v>71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/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40</v>
      </c>
    </row>
    <row r="2" spans="1:11" ht="19.5" thickTop="1" x14ac:dyDescent="0.4">
      <c r="A2" s="4" t="s">
        <v>9</v>
      </c>
      <c r="B2" s="8">
        <v>0</v>
      </c>
      <c r="C2" s="10"/>
      <c r="E2" s="58" t="s">
        <v>89</v>
      </c>
      <c r="F2" s="59" t="s">
        <v>42</v>
      </c>
      <c r="G2" s="8">
        <v>0</v>
      </c>
      <c r="H2" s="46" t="e">
        <f>G2/B$12</f>
        <v>#DIV/0!</v>
      </c>
      <c r="J2" s="4">
        <v>0</v>
      </c>
      <c r="K2" s="40">
        <v>0</v>
      </c>
    </row>
    <row r="3" spans="1:11" x14ac:dyDescent="0.4">
      <c r="A3" s="5" t="s">
        <v>8</v>
      </c>
      <c r="B3" s="1">
        <v>0</v>
      </c>
      <c r="C3" s="11"/>
      <c r="E3" s="52" t="s">
        <v>90</v>
      </c>
      <c r="F3" s="55" t="s">
        <v>43</v>
      </c>
      <c r="G3" s="1">
        <v>0</v>
      </c>
      <c r="H3" s="43" t="e">
        <f t="shared" ref="H3:H51" si="0">G3/B$12</f>
        <v>#DIV/0!</v>
      </c>
    </row>
    <row r="4" spans="1:11" x14ac:dyDescent="0.4">
      <c r="A4" s="5" t="s">
        <v>6</v>
      </c>
      <c r="B4" s="2">
        <v>0</v>
      </c>
      <c r="C4" s="12"/>
      <c r="E4" s="52" t="s">
        <v>91</v>
      </c>
      <c r="F4" s="55" t="s">
        <v>44</v>
      </c>
      <c r="G4" s="1">
        <v>0</v>
      </c>
      <c r="H4" s="43" t="e">
        <f t="shared" si="0"/>
        <v>#DIV/0!</v>
      </c>
    </row>
    <row r="5" spans="1:11" x14ac:dyDescent="0.4">
      <c r="A5" s="5" t="s">
        <v>7</v>
      </c>
      <c r="B5" s="9" t="e">
        <f>B$4/B$2</f>
        <v>#DIV/0!</v>
      </c>
      <c r="C5" s="13"/>
      <c r="E5" s="52" t="s">
        <v>92</v>
      </c>
      <c r="F5" s="55" t="s">
        <v>45</v>
      </c>
      <c r="G5" s="1">
        <v>0</v>
      </c>
      <c r="H5" s="43" t="e">
        <f t="shared" si="0"/>
        <v>#DIV/0!</v>
      </c>
    </row>
    <row r="6" spans="1:11" x14ac:dyDescent="0.4">
      <c r="A6" s="5" t="s">
        <v>1</v>
      </c>
      <c r="B6" s="25" t="e">
        <f>(B$7*1+B$8*2+B$9*3)/B$2</f>
        <v>#DIV/0!</v>
      </c>
      <c r="C6" s="14"/>
      <c r="E6" s="52" t="s">
        <v>93</v>
      </c>
      <c r="F6" s="55" t="s">
        <v>46</v>
      </c>
      <c r="G6" s="1">
        <v>0</v>
      </c>
      <c r="H6" s="43" t="e">
        <f t="shared" si="0"/>
        <v>#DIV/0!</v>
      </c>
    </row>
    <row r="7" spans="1:11" x14ac:dyDescent="0.4">
      <c r="A7" s="5" t="s">
        <v>2</v>
      </c>
      <c r="B7" s="1">
        <v>0</v>
      </c>
      <c r="C7" s="43" t="e">
        <f>B7/B$2</f>
        <v>#DIV/0!</v>
      </c>
      <c r="E7" s="52" t="s">
        <v>94</v>
      </c>
      <c r="F7" s="55" t="s">
        <v>88</v>
      </c>
      <c r="G7" s="1">
        <v>0</v>
      </c>
      <c r="H7" s="43" t="e">
        <f t="shared" si="0"/>
        <v>#DIV/0!</v>
      </c>
    </row>
    <row r="8" spans="1:11" x14ac:dyDescent="0.4">
      <c r="A8" s="5" t="s">
        <v>3</v>
      </c>
      <c r="B8" s="1">
        <v>0</v>
      </c>
      <c r="C8" s="43" t="e">
        <f t="shared" ref="C8:C10" si="1">B8/B$2</f>
        <v>#DIV/0!</v>
      </c>
      <c r="E8" s="52" t="s">
        <v>95</v>
      </c>
      <c r="F8" s="55" t="s">
        <v>47</v>
      </c>
      <c r="G8" s="1">
        <v>0</v>
      </c>
      <c r="H8" s="43" t="e">
        <f t="shared" si="0"/>
        <v>#DIV/0!</v>
      </c>
    </row>
    <row r="9" spans="1:11" x14ac:dyDescent="0.4">
      <c r="A9" s="23" t="s">
        <v>4</v>
      </c>
      <c r="B9" s="24">
        <v>0</v>
      </c>
      <c r="C9" s="44" t="e">
        <f t="shared" si="1"/>
        <v>#DIV/0!</v>
      </c>
      <c r="E9" s="52" t="s">
        <v>96</v>
      </c>
      <c r="F9" s="55" t="s">
        <v>48</v>
      </c>
      <c r="G9" s="1">
        <v>0</v>
      </c>
      <c r="H9" s="43" t="e">
        <f t="shared" si="0"/>
        <v>#DIV/0!</v>
      </c>
    </row>
    <row r="10" spans="1:11" ht="19.5" thickBot="1" x14ac:dyDescent="0.45">
      <c r="A10" s="30" t="s">
        <v>34</v>
      </c>
      <c r="B10" s="31">
        <v>0</v>
      </c>
      <c r="C10" s="45" t="e">
        <f t="shared" si="1"/>
        <v>#DIV/0!</v>
      </c>
      <c r="E10" s="52" t="s">
        <v>97</v>
      </c>
      <c r="F10" s="55" t="s">
        <v>49</v>
      </c>
      <c r="G10" s="1">
        <v>0</v>
      </c>
      <c r="H10" s="43" t="e">
        <f t="shared" si="0"/>
        <v>#DIV/0!</v>
      </c>
    </row>
    <row r="11" spans="1:11" ht="19.5" thickTop="1" x14ac:dyDescent="0.4">
      <c r="A11" s="63" t="s">
        <v>145</v>
      </c>
      <c r="B11" s="64">
        <v>0</v>
      </c>
      <c r="C11" s="65" t="e">
        <f t="shared" ref="C11" si="2">B11/B$3</f>
        <v>#DIV/0!</v>
      </c>
      <c r="E11" s="52" t="s">
        <v>98</v>
      </c>
      <c r="F11" s="55" t="s">
        <v>50</v>
      </c>
      <c r="G11" s="1">
        <v>0</v>
      </c>
      <c r="H11" s="43" t="e">
        <f t="shared" si="0"/>
        <v>#DIV/0!</v>
      </c>
    </row>
    <row r="12" spans="1:11" x14ac:dyDescent="0.4">
      <c r="A12" s="4" t="s">
        <v>10</v>
      </c>
      <c r="B12" s="8">
        <f>B13+B14</f>
        <v>0</v>
      </c>
      <c r="C12" s="46" t="e">
        <f>B12/B$3</f>
        <v>#DIV/0!</v>
      </c>
      <c r="E12" s="52" t="s">
        <v>99</v>
      </c>
      <c r="F12" s="55" t="s">
        <v>51</v>
      </c>
      <c r="G12" s="1">
        <v>0</v>
      </c>
      <c r="H12" s="43" t="e">
        <f t="shared" si="0"/>
        <v>#DIV/0!</v>
      </c>
    </row>
    <row r="13" spans="1:11" x14ac:dyDescent="0.4">
      <c r="A13" s="5" t="s">
        <v>11</v>
      </c>
      <c r="B13" s="1">
        <v>0</v>
      </c>
      <c r="C13" s="43" t="e">
        <f t="shared" ref="C13:C15" si="3">B13/B$3</f>
        <v>#DIV/0!</v>
      </c>
      <c r="E13" s="52" t="s">
        <v>100</v>
      </c>
      <c r="F13" s="55" t="s">
        <v>52</v>
      </c>
      <c r="G13" s="1">
        <v>0</v>
      </c>
      <c r="H13" s="43" t="e">
        <f t="shared" si="0"/>
        <v>#DIV/0!</v>
      </c>
    </row>
    <row r="14" spans="1:11" x14ac:dyDescent="0.4">
      <c r="A14" s="5" t="s">
        <v>12</v>
      </c>
      <c r="B14" s="1">
        <v>0</v>
      </c>
      <c r="C14" s="43" t="e">
        <f t="shared" si="3"/>
        <v>#DIV/0!</v>
      </c>
      <c r="E14" s="52" t="s">
        <v>101</v>
      </c>
      <c r="F14" s="55" t="s">
        <v>53</v>
      </c>
      <c r="G14" s="1">
        <v>0</v>
      </c>
      <c r="H14" s="43" t="e">
        <f t="shared" si="0"/>
        <v>#DIV/0!</v>
      </c>
    </row>
    <row r="15" spans="1:11" x14ac:dyDescent="0.4">
      <c r="A15" s="5" t="s">
        <v>13</v>
      </c>
      <c r="B15" s="1">
        <v>0</v>
      </c>
      <c r="C15" s="43" t="e">
        <f t="shared" si="3"/>
        <v>#DIV/0!</v>
      </c>
      <c r="E15" s="52" t="s">
        <v>102</v>
      </c>
      <c r="F15" s="55" t="s">
        <v>54</v>
      </c>
      <c r="G15" s="1">
        <v>0</v>
      </c>
      <c r="H15" s="43" t="e">
        <f t="shared" si="0"/>
        <v>#DIV/0!</v>
      </c>
    </row>
    <row r="16" spans="1:11" x14ac:dyDescent="0.4">
      <c r="A16" s="5" t="s">
        <v>5</v>
      </c>
      <c r="B16" s="7">
        <f>IF(B$12=0,0,ROUND(C16/B$12,-2))</f>
        <v>0</v>
      </c>
      <c r="C16" s="15">
        <v>0</v>
      </c>
      <c r="E16" s="52" t="s">
        <v>103</v>
      </c>
      <c r="F16" s="55" t="s">
        <v>55</v>
      </c>
      <c r="G16" s="1">
        <v>0</v>
      </c>
      <c r="H16" s="43" t="e">
        <f t="shared" si="0"/>
        <v>#DIV/0!</v>
      </c>
    </row>
    <row r="17" spans="1:8" x14ac:dyDescent="0.4">
      <c r="A17" s="6" t="s">
        <v>14</v>
      </c>
      <c r="B17" s="16">
        <f>IF(B$15=0,0,ROUND(C17/B$15,-2))</f>
        <v>0</v>
      </c>
      <c r="C17" s="17">
        <v>0</v>
      </c>
      <c r="E17" s="52" t="s">
        <v>104</v>
      </c>
      <c r="F17" s="55" t="s">
        <v>56</v>
      </c>
      <c r="G17" s="1">
        <v>0</v>
      </c>
      <c r="H17" s="43" t="e">
        <f t="shared" si="0"/>
        <v>#DIV/0!</v>
      </c>
    </row>
    <row r="18" spans="1:8" x14ac:dyDescent="0.4">
      <c r="E18" s="52" t="s">
        <v>105</v>
      </c>
      <c r="F18" s="55" t="s">
        <v>57</v>
      </c>
      <c r="G18" s="1">
        <v>0</v>
      </c>
      <c r="H18" s="43" t="e">
        <f t="shared" si="0"/>
        <v>#DIV/0!</v>
      </c>
    </row>
    <row r="19" spans="1:8" x14ac:dyDescent="0.4">
      <c r="E19" s="52" t="s">
        <v>106</v>
      </c>
      <c r="F19" s="55" t="s">
        <v>58</v>
      </c>
      <c r="G19" s="1">
        <v>0</v>
      </c>
      <c r="H19" s="43" t="e">
        <f t="shared" si="0"/>
        <v>#DIV/0!</v>
      </c>
    </row>
    <row r="20" spans="1:8" x14ac:dyDescent="0.4">
      <c r="E20" s="52" t="s">
        <v>107</v>
      </c>
      <c r="F20" s="55" t="s">
        <v>59</v>
      </c>
      <c r="G20" s="1">
        <v>0</v>
      </c>
      <c r="H20" s="43" t="e">
        <f t="shared" si="0"/>
        <v>#DIV/0!</v>
      </c>
    </row>
    <row r="21" spans="1:8" x14ac:dyDescent="0.4">
      <c r="E21" s="52" t="s">
        <v>108</v>
      </c>
      <c r="F21" s="55" t="s">
        <v>60</v>
      </c>
      <c r="G21" s="1">
        <v>0</v>
      </c>
      <c r="H21" s="43" t="e">
        <f t="shared" si="0"/>
        <v>#DIV/0!</v>
      </c>
    </row>
    <row r="22" spans="1:8" x14ac:dyDescent="0.4">
      <c r="E22" s="52" t="s">
        <v>109</v>
      </c>
      <c r="F22" s="55" t="s">
        <v>61</v>
      </c>
      <c r="G22" s="1">
        <v>0</v>
      </c>
      <c r="H22" s="43" t="e">
        <f t="shared" si="0"/>
        <v>#DIV/0!</v>
      </c>
    </row>
    <row r="23" spans="1:8" x14ac:dyDescent="0.4">
      <c r="E23" s="52" t="s">
        <v>110</v>
      </c>
      <c r="F23" s="55" t="s">
        <v>62</v>
      </c>
      <c r="G23" s="1">
        <v>0</v>
      </c>
      <c r="H23" s="43" t="e">
        <f t="shared" si="0"/>
        <v>#DIV/0!</v>
      </c>
    </row>
    <row r="24" spans="1:8" x14ac:dyDescent="0.4">
      <c r="E24" s="52" t="s">
        <v>111</v>
      </c>
      <c r="F24" s="55" t="s">
        <v>63</v>
      </c>
      <c r="G24" s="1">
        <v>0</v>
      </c>
      <c r="H24" s="43" t="e">
        <f t="shared" si="0"/>
        <v>#DIV/0!</v>
      </c>
    </row>
    <row r="25" spans="1:8" x14ac:dyDescent="0.4">
      <c r="E25" s="52" t="s">
        <v>112</v>
      </c>
      <c r="F25" s="55" t="s">
        <v>64</v>
      </c>
      <c r="G25" s="1">
        <v>0</v>
      </c>
      <c r="H25" s="43" t="e">
        <f t="shared" si="0"/>
        <v>#DIV/0!</v>
      </c>
    </row>
    <row r="26" spans="1:8" x14ac:dyDescent="0.4">
      <c r="E26" s="52" t="s">
        <v>113</v>
      </c>
      <c r="F26" s="55" t="s">
        <v>65</v>
      </c>
      <c r="G26" s="1">
        <v>0</v>
      </c>
      <c r="H26" s="43" t="e">
        <f t="shared" si="0"/>
        <v>#DIV/0!</v>
      </c>
    </row>
    <row r="27" spans="1:8" x14ac:dyDescent="0.4">
      <c r="E27" s="52" t="s">
        <v>114</v>
      </c>
      <c r="F27" s="55" t="s">
        <v>66</v>
      </c>
      <c r="G27" s="1">
        <v>0</v>
      </c>
      <c r="H27" s="43" t="e">
        <f t="shared" si="0"/>
        <v>#DIV/0!</v>
      </c>
    </row>
    <row r="28" spans="1:8" x14ac:dyDescent="0.4">
      <c r="E28" s="52" t="s">
        <v>115</v>
      </c>
      <c r="F28" s="55" t="s">
        <v>67</v>
      </c>
      <c r="G28" s="1">
        <v>0</v>
      </c>
      <c r="H28" s="43" t="e">
        <f t="shared" si="0"/>
        <v>#DIV/0!</v>
      </c>
    </row>
    <row r="29" spans="1:8" x14ac:dyDescent="0.4">
      <c r="E29" s="52" t="s">
        <v>116</v>
      </c>
      <c r="F29" s="55" t="s">
        <v>68</v>
      </c>
      <c r="G29" s="1">
        <v>0</v>
      </c>
      <c r="H29" s="43" t="e">
        <f t="shared" si="0"/>
        <v>#DIV/0!</v>
      </c>
    </row>
    <row r="30" spans="1:8" x14ac:dyDescent="0.4">
      <c r="E30" s="52" t="s">
        <v>117</v>
      </c>
      <c r="F30" s="55" t="s">
        <v>69</v>
      </c>
      <c r="G30" s="1">
        <v>0</v>
      </c>
      <c r="H30" s="43" t="e">
        <f t="shared" si="0"/>
        <v>#DIV/0!</v>
      </c>
    </row>
    <row r="31" spans="1:8" x14ac:dyDescent="0.4">
      <c r="E31" s="52" t="s">
        <v>118</v>
      </c>
      <c r="F31" s="55" t="s">
        <v>70</v>
      </c>
      <c r="G31" s="1">
        <v>0</v>
      </c>
      <c r="H31" s="43" t="e">
        <f t="shared" si="0"/>
        <v>#DIV/0!</v>
      </c>
    </row>
    <row r="32" spans="1:8" x14ac:dyDescent="0.4">
      <c r="E32" s="52" t="s">
        <v>119</v>
      </c>
      <c r="F32" s="55" t="s">
        <v>71</v>
      </c>
      <c r="G32" s="1">
        <v>0</v>
      </c>
      <c r="H32" s="43" t="e">
        <f t="shared" si="0"/>
        <v>#DIV/0!</v>
      </c>
    </row>
    <row r="33" spans="5:8" x14ac:dyDescent="0.4">
      <c r="E33" s="52" t="s">
        <v>120</v>
      </c>
      <c r="F33" s="55" t="s">
        <v>72</v>
      </c>
      <c r="G33" s="1">
        <v>0</v>
      </c>
      <c r="H33" s="43" t="e">
        <f t="shared" si="0"/>
        <v>#DIV/0!</v>
      </c>
    </row>
    <row r="34" spans="5:8" x14ac:dyDescent="0.4">
      <c r="E34" s="52" t="s">
        <v>121</v>
      </c>
      <c r="F34" s="55" t="s">
        <v>73</v>
      </c>
      <c r="G34" s="1">
        <v>0</v>
      </c>
      <c r="H34" s="43" t="e">
        <f t="shared" si="0"/>
        <v>#DIV/0!</v>
      </c>
    </row>
    <row r="35" spans="5:8" x14ac:dyDescent="0.4">
      <c r="E35" s="52" t="s">
        <v>122</v>
      </c>
      <c r="F35" s="55" t="s">
        <v>74</v>
      </c>
      <c r="G35" s="1">
        <v>0</v>
      </c>
      <c r="H35" s="43" t="e">
        <f t="shared" si="0"/>
        <v>#DIV/0!</v>
      </c>
    </row>
    <row r="36" spans="5:8" x14ac:dyDescent="0.4">
      <c r="E36" s="52" t="s">
        <v>123</v>
      </c>
      <c r="F36" s="55" t="s">
        <v>75</v>
      </c>
      <c r="G36" s="1">
        <v>0</v>
      </c>
      <c r="H36" s="43" t="e">
        <f t="shared" si="0"/>
        <v>#DIV/0!</v>
      </c>
    </row>
    <row r="37" spans="5:8" x14ac:dyDescent="0.4">
      <c r="E37" s="52" t="s">
        <v>124</v>
      </c>
      <c r="F37" s="55" t="s">
        <v>76</v>
      </c>
      <c r="G37" s="1">
        <v>0</v>
      </c>
      <c r="H37" s="43" t="e">
        <f t="shared" si="0"/>
        <v>#DIV/0!</v>
      </c>
    </row>
    <row r="38" spans="5:8" x14ac:dyDescent="0.4">
      <c r="E38" s="52" t="s">
        <v>125</v>
      </c>
      <c r="F38" s="55" t="s">
        <v>77</v>
      </c>
      <c r="G38" s="1">
        <v>0</v>
      </c>
      <c r="H38" s="43" t="e">
        <f t="shared" si="0"/>
        <v>#DIV/0!</v>
      </c>
    </row>
    <row r="39" spans="5:8" x14ac:dyDescent="0.4">
      <c r="E39" s="52" t="s">
        <v>126</v>
      </c>
      <c r="F39" s="55" t="s">
        <v>78</v>
      </c>
      <c r="G39" s="1">
        <v>0</v>
      </c>
      <c r="H39" s="43" t="e">
        <f t="shared" si="0"/>
        <v>#DIV/0!</v>
      </c>
    </row>
    <row r="40" spans="5:8" x14ac:dyDescent="0.4">
      <c r="E40" s="52" t="s">
        <v>127</v>
      </c>
      <c r="F40" s="55" t="s">
        <v>79</v>
      </c>
      <c r="G40" s="1">
        <v>0</v>
      </c>
      <c r="H40" s="43" t="e">
        <f t="shared" si="0"/>
        <v>#DIV/0!</v>
      </c>
    </row>
    <row r="41" spans="5:8" x14ac:dyDescent="0.4">
      <c r="E41" s="52" t="s">
        <v>128</v>
      </c>
      <c r="F41" s="55" t="s">
        <v>80</v>
      </c>
      <c r="G41" s="1">
        <v>0</v>
      </c>
      <c r="H41" s="43" t="e">
        <f t="shared" si="0"/>
        <v>#DIV/0!</v>
      </c>
    </row>
    <row r="42" spans="5:8" x14ac:dyDescent="0.4">
      <c r="E42" s="52" t="s">
        <v>129</v>
      </c>
      <c r="F42" s="55" t="s">
        <v>81</v>
      </c>
      <c r="G42" s="1">
        <v>0</v>
      </c>
      <c r="H42" s="43" t="e">
        <f t="shared" si="0"/>
        <v>#DIV/0!</v>
      </c>
    </row>
    <row r="43" spans="5:8" x14ac:dyDescent="0.4">
      <c r="E43" s="52" t="s">
        <v>130</v>
      </c>
      <c r="F43" s="55" t="s">
        <v>82</v>
      </c>
      <c r="G43" s="1">
        <v>0</v>
      </c>
      <c r="H43" s="43" t="e">
        <f t="shared" si="0"/>
        <v>#DIV/0!</v>
      </c>
    </row>
    <row r="44" spans="5:8" x14ac:dyDescent="0.4">
      <c r="E44" s="52" t="s">
        <v>131</v>
      </c>
      <c r="F44" s="55" t="s">
        <v>83</v>
      </c>
      <c r="G44" s="1">
        <v>0</v>
      </c>
      <c r="H44" s="43" t="e">
        <f t="shared" si="0"/>
        <v>#DIV/0!</v>
      </c>
    </row>
    <row r="45" spans="5:8" x14ac:dyDescent="0.4">
      <c r="E45" s="52" t="s">
        <v>132</v>
      </c>
      <c r="F45" s="55" t="s">
        <v>139</v>
      </c>
      <c r="G45" s="1">
        <v>0</v>
      </c>
      <c r="H45" s="43" t="e">
        <f t="shared" si="0"/>
        <v>#DIV/0!</v>
      </c>
    </row>
    <row r="46" spans="5:8" x14ac:dyDescent="0.4">
      <c r="E46" s="52" t="s">
        <v>133</v>
      </c>
      <c r="F46" s="55" t="s">
        <v>140</v>
      </c>
      <c r="G46" s="1">
        <v>0</v>
      </c>
      <c r="H46" s="43" t="e">
        <f t="shared" si="0"/>
        <v>#DIV/0!</v>
      </c>
    </row>
    <row r="47" spans="5:8" x14ac:dyDescent="0.4">
      <c r="E47" s="52" t="s">
        <v>134</v>
      </c>
      <c r="F47" s="55" t="s">
        <v>141</v>
      </c>
      <c r="G47" s="1">
        <v>0</v>
      </c>
      <c r="H47" s="43" t="e">
        <f t="shared" si="0"/>
        <v>#DIV/0!</v>
      </c>
    </row>
    <row r="48" spans="5:8" x14ac:dyDescent="0.4">
      <c r="E48" s="52" t="s">
        <v>135</v>
      </c>
      <c r="F48" s="55" t="s">
        <v>84</v>
      </c>
      <c r="G48" s="1">
        <v>0</v>
      </c>
      <c r="H48" s="43" t="e">
        <f t="shared" si="0"/>
        <v>#DIV/0!</v>
      </c>
    </row>
    <row r="49" spans="5:8" x14ac:dyDescent="0.4">
      <c r="E49" s="52" t="s">
        <v>136</v>
      </c>
      <c r="F49" s="55" t="s">
        <v>85</v>
      </c>
      <c r="G49" s="1">
        <v>0</v>
      </c>
      <c r="H49" s="43" t="e">
        <f t="shared" si="0"/>
        <v>#DIV/0!</v>
      </c>
    </row>
    <row r="50" spans="5:8" x14ac:dyDescent="0.4">
      <c r="E50" s="52" t="s">
        <v>137</v>
      </c>
      <c r="F50" s="55" t="s">
        <v>86</v>
      </c>
      <c r="G50" s="1">
        <v>0</v>
      </c>
      <c r="H50" s="43" t="e">
        <f t="shared" si="0"/>
        <v>#DIV/0!</v>
      </c>
    </row>
    <row r="51" spans="5:8" x14ac:dyDescent="0.4">
      <c r="E51" s="53" t="s">
        <v>138</v>
      </c>
      <c r="F51" s="16" t="s">
        <v>87</v>
      </c>
      <c r="G51" s="57">
        <v>0</v>
      </c>
      <c r="H51" s="54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2018-12-19T11:44:24Z</dcterms:modified>
</cp:coreProperties>
</file>