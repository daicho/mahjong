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00D54152-DA0C-49EE-9412-E00E411D6B97}" xr6:coauthVersionLast="31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555" r:id="rId3"/>
    <sheet name="かこたろう" sheetId="2556" r:id="rId4"/>
    <sheet name="ともき" sheetId="2557" r:id="rId5"/>
    <sheet name="りくと" sheetId="2558" r:id="rId6"/>
    <sheet name="いっしー" sheetId="2559" r:id="rId7"/>
    <sheet name="がくと" sheetId="2560" r:id="rId8"/>
    <sheet name="たかの" sheetId="2561" r:id="rId9"/>
    <sheet name="ただ" sheetId="2562" r:id="rId10"/>
    <sheet name="やがさき" sheetId="2563" r:id="rId11"/>
    <sheet name="れんたろう" sheetId="2564" r:id="rId12"/>
    <sheet name="あさひ" sheetId="2565" r:id="rId13"/>
    <sheet name="まっつん" sheetId="2566" r:id="rId14"/>
    <sheet name="Template" sheetId="2228" state="hidden" r:id="rId15"/>
    <sheet name="Cache" sheetId="2227" state="hidden" r:id="rId16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51" i="2566" l="1"/>
  <c r="H50" i="2566"/>
  <c r="H49" i="2566"/>
  <c r="H48" i="2566"/>
  <c r="H47" i="2566"/>
  <c r="H46" i="2566"/>
  <c r="H45" i="2566"/>
  <c r="H44" i="2566"/>
  <c r="H43" i="2566"/>
  <c r="H42" i="2566"/>
  <c r="H41" i="2566"/>
  <c r="H40" i="2566"/>
  <c r="H39" i="2566"/>
  <c r="H38" i="2566"/>
  <c r="H37" i="2566"/>
  <c r="H36" i="2566"/>
  <c r="H35" i="2566"/>
  <c r="H34" i="2566"/>
  <c r="H33" i="2566"/>
  <c r="H32" i="2566"/>
  <c r="H31" i="2566"/>
  <c r="H30" i="2566"/>
  <c r="H6" i="2566"/>
  <c r="H29" i="2566"/>
  <c r="H28" i="2566"/>
  <c r="H27" i="2566"/>
  <c r="H10" i="2566"/>
  <c r="H26" i="2566"/>
  <c r="H5" i="2566"/>
  <c r="C23" i="2566"/>
  <c r="H25" i="2566"/>
  <c r="C22" i="2566"/>
  <c r="H24" i="2566"/>
  <c r="B21" i="2566"/>
  <c r="H23" i="2566"/>
  <c r="H22" i="2566"/>
  <c r="C19" i="2566"/>
  <c r="H9" i="2566"/>
  <c r="C18" i="2566"/>
  <c r="H21" i="2566"/>
  <c r="C17" i="2566"/>
  <c r="H20" i="2566"/>
  <c r="B16" i="2566"/>
  <c r="B20" i="2566" s="1"/>
  <c r="H19" i="2566"/>
  <c r="C15" i="2566"/>
  <c r="H18" i="2566"/>
  <c r="C14" i="2566"/>
  <c r="H17" i="2566"/>
  <c r="C13" i="2566"/>
  <c r="H16" i="2566"/>
  <c r="C12" i="2566"/>
  <c r="H4" i="2566"/>
  <c r="C11" i="2566"/>
  <c r="H15" i="2566"/>
  <c r="C10" i="2566"/>
  <c r="H8" i="2566"/>
  <c r="C9" i="2566"/>
  <c r="H14" i="2566"/>
  <c r="C8" i="2566"/>
  <c r="N7" i="2566"/>
  <c r="H13" i="2566"/>
  <c r="C7" i="2566"/>
  <c r="N6" i="2566"/>
  <c r="H2" i="2566"/>
  <c r="B6" i="2566"/>
  <c r="N5" i="2566"/>
  <c r="H12" i="2566"/>
  <c r="B5" i="2566"/>
  <c r="N4" i="2566"/>
  <c r="H3" i="2566"/>
  <c r="N3" i="2566"/>
  <c r="H11" i="2566"/>
  <c r="N2" i="2566"/>
  <c r="H7" i="2566"/>
  <c r="C16" i="2566" l="1"/>
  <c r="H51" i="2565" l="1"/>
  <c r="H50" i="2565"/>
  <c r="H49" i="2565"/>
  <c r="H48" i="2565"/>
  <c r="H47" i="2565"/>
  <c r="H46" i="2565"/>
  <c r="H45" i="2565"/>
  <c r="H44" i="2565"/>
  <c r="H43" i="2565"/>
  <c r="H42" i="2565"/>
  <c r="H41" i="2565"/>
  <c r="H40" i="2565"/>
  <c r="H39" i="2565"/>
  <c r="H38" i="2565"/>
  <c r="H37" i="2565"/>
  <c r="H36" i="2565"/>
  <c r="H35" i="2565"/>
  <c r="H34" i="2565"/>
  <c r="H33" i="2565"/>
  <c r="H32" i="2565"/>
  <c r="H14" i="2565"/>
  <c r="H31" i="2565"/>
  <c r="H11" i="2565"/>
  <c r="H30" i="2565"/>
  <c r="H29" i="2565"/>
  <c r="H10" i="2565"/>
  <c r="H28" i="2565"/>
  <c r="H27" i="2565"/>
  <c r="H26" i="2565"/>
  <c r="C23" i="2565"/>
  <c r="H25" i="2565"/>
  <c r="C22" i="2565"/>
  <c r="H24" i="2565"/>
  <c r="B21" i="2565"/>
  <c r="H23" i="2565"/>
  <c r="H22" i="2565"/>
  <c r="C19" i="2565"/>
  <c r="H21" i="2565"/>
  <c r="C18" i="2565"/>
  <c r="H20" i="2565"/>
  <c r="C17" i="2565"/>
  <c r="H19" i="2565"/>
  <c r="B16" i="2565"/>
  <c r="B20" i="2565" s="1"/>
  <c r="H18" i="2565"/>
  <c r="C15" i="2565"/>
  <c r="H17" i="2565"/>
  <c r="C14" i="2565"/>
  <c r="H16" i="2565"/>
  <c r="C13" i="2565"/>
  <c r="H15" i="2565"/>
  <c r="C12" i="2565"/>
  <c r="H5" i="2565"/>
  <c r="C11" i="2565"/>
  <c r="H13" i="2565"/>
  <c r="C10" i="2565"/>
  <c r="H7" i="2565"/>
  <c r="C9" i="2565"/>
  <c r="H9" i="2565"/>
  <c r="C8" i="2565"/>
  <c r="N7" i="2565"/>
  <c r="H8" i="2565"/>
  <c r="C7" i="2565"/>
  <c r="N6" i="2565"/>
  <c r="H3" i="2565"/>
  <c r="B6" i="2565"/>
  <c r="N5" i="2565"/>
  <c r="H6" i="2565"/>
  <c r="B5" i="2565"/>
  <c r="N4" i="2565"/>
  <c r="H2" i="2565"/>
  <c r="N3" i="2565"/>
  <c r="H12" i="2565"/>
  <c r="N2" i="2565"/>
  <c r="H4" i="2565"/>
  <c r="C16" i="2565" l="1"/>
  <c r="H51" i="2564" l="1"/>
  <c r="H50" i="2564"/>
  <c r="H49" i="2564"/>
  <c r="H48" i="2564"/>
  <c r="H47" i="2564"/>
  <c r="H46" i="2564"/>
  <c r="H45" i="2564"/>
  <c r="H44" i="2564"/>
  <c r="H43" i="2564"/>
  <c r="H42" i="2564"/>
  <c r="H41" i="2564"/>
  <c r="H40" i="2564"/>
  <c r="H39" i="2564"/>
  <c r="H38" i="2564"/>
  <c r="H37" i="2564"/>
  <c r="H36" i="2564"/>
  <c r="H35" i="2564"/>
  <c r="H34" i="2564"/>
  <c r="H21" i="2564"/>
  <c r="H33" i="2564"/>
  <c r="H32" i="2564"/>
  <c r="H31" i="2564"/>
  <c r="H8" i="2564"/>
  <c r="H30" i="2564"/>
  <c r="H29" i="2564"/>
  <c r="H13" i="2564"/>
  <c r="H28" i="2564"/>
  <c r="H20" i="2564"/>
  <c r="H15" i="2564"/>
  <c r="C23" i="2564"/>
  <c r="H27" i="2564"/>
  <c r="C22" i="2564"/>
  <c r="H17" i="2564"/>
  <c r="B21" i="2564"/>
  <c r="H26" i="2564"/>
  <c r="H25" i="2564"/>
  <c r="C19" i="2564"/>
  <c r="H19" i="2564"/>
  <c r="C18" i="2564"/>
  <c r="H12" i="2564"/>
  <c r="C17" i="2564"/>
  <c r="H24" i="2564"/>
  <c r="B16" i="2564"/>
  <c r="B20" i="2564" s="1"/>
  <c r="H23" i="2564"/>
  <c r="C15" i="2564"/>
  <c r="H18" i="2564"/>
  <c r="C14" i="2564"/>
  <c r="H22" i="2564"/>
  <c r="C13" i="2564"/>
  <c r="H14" i="2564"/>
  <c r="C12" i="2564"/>
  <c r="H3" i="2564"/>
  <c r="C11" i="2564"/>
  <c r="H16" i="2564"/>
  <c r="C10" i="2564"/>
  <c r="H10" i="2564"/>
  <c r="C9" i="2564"/>
  <c r="H9" i="2564"/>
  <c r="C8" i="2564"/>
  <c r="N7" i="2564"/>
  <c r="H7" i="2564"/>
  <c r="C7" i="2564"/>
  <c r="N6" i="2564"/>
  <c r="H2" i="2564"/>
  <c r="B6" i="2564"/>
  <c r="N5" i="2564"/>
  <c r="H6" i="2564"/>
  <c r="B5" i="2564"/>
  <c r="N4" i="2564"/>
  <c r="H4" i="2564"/>
  <c r="N3" i="2564"/>
  <c r="H11" i="2564"/>
  <c r="N2" i="2564"/>
  <c r="H5" i="2564"/>
  <c r="C16" i="2564" l="1"/>
  <c r="H51" i="2563" l="1"/>
  <c r="H50" i="2563"/>
  <c r="H49" i="2563"/>
  <c r="H48" i="2563"/>
  <c r="H47" i="2563"/>
  <c r="H46" i="2563"/>
  <c r="H45" i="2563"/>
  <c r="H44" i="2563"/>
  <c r="H43" i="2563"/>
  <c r="H42" i="2563"/>
  <c r="H41" i="2563"/>
  <c r="H40" i="2563"/>
  <c r="H39" i="2563"/>
  <c r="H38" i="2563"/>
  <c r="H37" i="2563"/>
  <c r="H36" i="2563"/>
  <c r="H35" i="2563"/>
  <c r="H34" i="2563"/>
  <c r="H33" i="2563"/>
  <c r="H32" i="2563"/>
  <c r="H31" i="2563"/>
  <c r="H30" i="2563"/>
  <c r="H29" i="2563"/>
  <c r="H28" i="2563"/>
  <c r="H27" i="2563"/>
  <c r="H26" i="2563"/>
  <c r="H25" i="2563"/>
  <c r="H24" i="2563"/>
  <c r="H23" i="2563"/>
  <c r="C23" i="2563"/>
  <c r="H22" i="2563"/>
  <c r="C22" i="2563"/>
  <c r="H21" i="2563"/>
  <c r="B21" i="2563"/>
  <c r="H20" i="2563"/>
  <c r="B20" i="2563"/>
  <c r="H19" i="2563"/>
  <c r="C19" i="2563"/>
  <c r="H18" i="2563"/>
  <c r="C18" i="2563"/>
  <c r="H17" i="2563"/>
  <c r="C17" i="2563"/>
  <c r="H16" i="2563"/>
  <c r="C16" i="2563"/>
  <c r="B16" i="2563"/>
  <c r="H15" i="2563"/>
  <c r="C15" i="2563"/>
  <c r="H14" i="2563"/>
  <c r="C14" i="2563"/>
  <c r="H13" i="2563"/>
  <c r="C13" i="2563"/>
  <c r="H12" i="2563"/>
  <c r="C12" i="2563"/>
  <c r="H11" i="2563"/>
  <c r="C11" i="2563"/>
  <c r="H10" i="2563"/>
  <c r="C10" i="2563"/>
  <c r="H9" i="2563"/>
  <c r="C9" i="2563"/>
  <c r="H8" i="2563"/>
  <c r="C8" i="2563"/>
  <c r="N7" i="2563"/>
  <c r="H7" i="2563"/>
  <c r="C7" i="2563"/>
  <c r="N6" i="2563"/>
  <c r="H6" i="2563"/>
  <c r="B6" i="2563"/>
  <c r="N5" i="2563"/>
  <c r="H5" i="2563"/>
  <c r="B5" i="2563"/>
  <c r="N4" i="2563"/>
  <c r="H4" i="2563"/>
  <c r="N3" i="2563"/>
  <c r="H3" i="2563"/>
  <c r="N2" i="2563"/>
  <c r="H2" i="2563"/>
  <c r="H51" i="2562" l="1"/>
  <c r="H50" i="2562"/>
  <c r="H49" i="2562"/>
  <c r="H48" i="2562"/>
  <c r="H47" i="2562"/>
  <c r="H46" i="2562"/>
  <c r="H45" i="2562"/>
  <c r="H44" i="2562"/>
  <c r="H43" i="2562"/>
  <c r="H42" i="2562"/>
  <c r="H41" i="2562"/>
  <c r="H40" i="2562"/>
  <c r="H39" i="2562"/>
  <c r="H38" i="2562"/>
  <c r="H37" i="2562"/>
  <c r="H36" i="2562"/>
  <c r="H35" i="2562"/>
  <c r="H34" i="2562"/>
  <c r="H33" i="2562"/>
  <c r="H32" i="2562"/>
  <c r="H19" i="2562"/>
  <c r="H31" i="2562"/>
  <c r="H10" i="2562"/>
  <c r="H30" i="2562"/>
  <c r="H29" i="2562"/>
  <c r="H13" i="2562"/>
  <c r="H28" i="2562"/>
  <c r="H18" i="2562"/>
  <c r="H17" i="2562"/>
  <c r="C23" i="2562"/>
  <c r="H27" i="2562"/>
  <c r="C22" i="2562"/>
  <c r="H15" i="2562"/>
  <c r="B21" i="2562"/>
  <c r="H26" i="2562"/>
  <c r="H25" i="2562"/>
  <c r="C19" i="2562"/>
  <c r="H24" i="2562"/>
  <c r="C18" i="2562"/>
  <c r="H14" i="2562"/>
  <c r="C17" i="2562"/>
  <c r="H23" i="2562"/>
  <c r="B16" i="2562"/>
  <c r="B20" i="2562" s="1"/>
  <c r="H22" i="2562"/>
  <c r="C15" i="2562"/>
  <c r="H21" i="2562"/>
  <c r="C14" i="2562"/>
  <c r="H16" i="2562"/>
  <c r="C13" i="2562"/>
  <c r="H20" i="2562"/>
  <c r="C12" i="2562"/>
  <c r="H5" i="2562"/>
  <c r="C11" i="2562"/>
  <c r="H12" i="2562"/>
  <c r="C10" i="2562"/>
  <c r="H11" i="2562"/>
  <c r="C9" i="2562"/>
  <c r="H8" i="2562"/>
  <c r="C8" i="2562"/>
  <c r="N7" i="2562"/>
  <c r="H7" i="2562"/>
  <c r="C7" i="2562"/>
  <c r="N6" i="2562"/>
  <c r="H2" i="2562"/>
  <c r="B6" i="2562"/>
  <c r="N5" i="2562"/>
  <c r="H6" i="2562"/>
  <c r="B5" i="2562"/>
  <c r="N4" i="2562"/>
  <c r="H3" i="2562"/>
  <c r="N3" i="2562"/>
  <c r="H9" i="2562"/>
  <c r="N2" i="2562"/>
  <c r="H4" i="2562"/>
  <c r="H51" i="2561"/>
  <c r="H50" i="2561"/>
  <c r="H49" i="2561"/>
  <c r="H48" i="2561"/>
  <c r="H47" i="2561"/>
  <c r="H46" i="2561"/>
  <c r="H45" i="2561"/>
  <c r="H44" i="2561"/>
  <c r="H43" i="2561"/>
  <c r="H42" i="2561"/>
  <c r="H41" i="2561"/>
  <c r="H40" i="2561"/>
  <c r="H39" i="2561"/>
  <c r="H38" i="2561"/>
  <c r="H37" i="2561"/>
  <c r="H36" i="2561"/>
  <c r="H35" i="2561"/>
  <c r="H34" i="2561"/>
  <c r="H33" i="2561"/>
  <c r="H32" i="2561"/>
  <c r="H31" i="2561"/>
  <c r="H30" i="2561"/>
  <c r="H10" i="2561"/>
  <c r="H29" i="2561"/>
  <c r="H28" i="2561"/>
  <c r="H13" i="2561"/>
  <c r="H27" i="2561"/>
  <c r="H26" i="2561"/>
  <c r="H18" i="2561"/>
  <c r="C23" i="2561"/>
  <c r="H25" i="2561"/>
  <c r="C22" i="2561"/>
  <c r="H17" i="2561"/>
  <c r="B21" i="2561"/>
  <c r="H24" i="2561"/>
  <c r="H23" i="2561"/>
  <c r="C19" i="2561"/>
  <c r="H12" i="2561"/>
  <c r="C18" i="2561"/>
  <c r="H11" i="2561"/>
  <c r="C17" i="2561"/>
  <c r="H22" i="2561"/>
  <c r="B16" i="2561"/>
  <c r="B20" i="2561" s="1"/>
  <c r="H21" i="2561"/>
  <c r="C15" i="2561"/>
  <c r="H16" i="2561"/>
  <c r="C14" i="2561"/>
  <c r="H20" i="2561"/>
  <c r="C13" i="2561"/>
  <c r="H19" i="2561"/>
  <c r="C12" i="2561"/>
  <c r="H3" i="2561"/>
  <c r="C11" i="2561"/>
  <c r="H15" i="2561"/>
  <c r="C10" i="2561"/>
  <c r="H14" i="2561"/>
  <c r="C9" i="2561"/>
  <c r="H9" i="2561"/>
  <c r="C8" i="2561"/>
  <c r="N7" i="2561"/>
  <c r="H7" i="2561"/>
  <c r="C7" i="2561"/>
  <c r="N6" i="2561"/>
  <c r="H2" i="2561"/>
  <c r="B6" i="2561"/>
  <c r="N5" i="2561"/>
  <c r="H8" i="2561"/>
  <c r="B5" i="2561"/>
  <c r="N4" i="2561"/>
  <c r="H4" i="2561"/>
  <c r="N3" i="2561"/>
  <c r="H6" i="2561"/>
  <c r="N2" i="2561"/>
  <c r="H5" i="2561"/>
  <c r="C16" i="2562" l="1"/>
  <c r="C16" i="2561"/>
  <c r="H51" i="2560" l="1"/>
  <c r="H50" i="2560"/>
  <c r="H49" i="2560"/>
  <c r="H48" i="2560"/>
  <c r="H47" i="2560"/>
  <c r="H46" i="2560"/>
  <c r="H45" i="2560"/>
  <c r="H44" i="2560"/>
  <c r="H43" i="2560"/>
  <c r="H42" i="2560"/>
  <c r="H41" i="2560"/>
  <c r="H40" i="2560"/>
  <c r="H39" i="2560"/>
  <c r="H38" i="2560"/>
  <c r="H37" i="2560"/>
  <c r="H36" i="2560"/>
  <c r="H35" i="2560"/>
  <c r="H34" i="2560"/>
  <c r="H33" i="2560"/>
  <c r="H32" i="2560"/>
  <c r="H31" i="2560"/>
  <c r="H30" i="2560"/>
  <c r="H29" i="2560"/>
  <c r="H28" i="2560"/>
  <c r="H27" i="2560"/>
  <c r="H11" i="2560"/>
  <c r="H26" i="2560"/>
  <c r="H25" i="2560"/>
  <c r="H24" i="2560"/>
  <c r="C23" i="2560"/>
  <c r="H23" i="2560"/>
  <c r="C22" i="2560"/>
  <c r="H22" i="2560"/>
  <c r="B21" i="2560"/>
  <c r="H21" i="2560"/>
  <c r="H20" i="2560"/>
  <c r="C19" i="2560"/>
  <c r="H8" i="2560"/>
  <c r="C18" i="2560"/>
  <c r="H19" i="2560"/>
  <c r="C17" i="2560"/>
  <c r="H18" i="2560"/>
  <c r="B16" i="2560"/>
  <c r="B20" i="2560" s="1"/>
  <c r="H17" i="2560"/>
  <c r="C15" i="2560"/>
  <c r="H16" i="2560"/>
  <c r="C14" i="2560"/>
  <c r="H15" i="2560"/>
  <c r="C13" i="2560"/>
  <c r="H14" i="2560"/>
  <c r="C12" i="2560"/>
  <c r="H5" i="2560"/>
  <c r="C11" i="2560"/>
  <c r="H13" i="2560"/>
  <c r="C10" i="2560"/>
  <c r="H12" i="2560"/>
  <c r="C9" i="2560"/>
  <c r="H10" i="2560"/>
  <c r="C8" i="2560"/>
  <c r="N7" i="2560"/>
  <c r="H6" i="2560"/>
  <c r="C7" i="2560"/>
  <c r="N6" i="2560"/>
  <c r="H3" i="2560"/>
  <c r="B6" i="2560"/>
  <c r="N5" i="2560"/>
  <c r="H7" i="2560"/>
  <c r="B5" i="2560"/>
  <c r="N4" i="2560"/>
  <c r="H9" i="2560"/>
  <c r="N3" i="2560"/>
  <c r="H4" i="2560"/>
  <c r="N2" i="2560"/>
  <c r="H2" i="2560"/>
  <c r="C16" i="2560" l="1"/>
  <c r="H51" i="2559" l="1"/>
  <c r="H50" i="2559"/>
  <c r="H49" i="2559"/>
  <c r="H48" i="2559"/>
  <c r="H47" i="2559"/>
  <c r="H46" i="2559"/>
  <c r="H45" i="2559"/>
  <c r="H44" i="2559"/>
  <c r="H43" i="2559"/>
  <c r="H42" i="2559"/>
  <c r="H41" i="2559"/>
  <c r="H40" i="2559"/>
  <c r="H39" i="2559"/>
  <c r="H38" i="2559"/>
  <c r="H37" i="2559"/>
  <c r="H36" i="2559"/>
  <c r="H35" i="2559"/>
  <c r="H34" i="2559"/>
  <c r="H33" i="2559"/>
  <c r="H32" i="2559"/>
  <c r="H31" i="2559"/>
  <c r="H30" i="2559"/>
  <c r="H13" i="2559"/>
  <c r="H29" i="2559"/>
  <c r="H28" i="2559"/>
  <c r="H15" i="2559"/>
  <c r="H27" i="2559"/>
  <c r="H26" i="2559"/>
  <c r="H9" i="2559"/>
  <c r="C23" i="2559"/>
  <c r="H25" i="2559"/>
  <c r="C22" i="2559"/>
  <c r="H12" i="2559"/>
  <c r="B21" i="2559"/>
  <c r="H24" i="2559"/>
  <c r="H23" i="2559"/>
  <c r="C19" i="2559"/>
  <c r="H22" i="2559"/>
  <c r="C18" i="2559"/>
  <c r="H14" i="2559"/>
  <c r="C17" i="2559"/>
  <c r="H21" i="2559"/>
  <c r="B16" i="2559"/>
  <c r="B20" i="2559" s="1"/>
  <c r="H20" i="2559"/>
  <c r="C15" i="2559"/>
  <c r="H19" i="2559"/>
  <c r="C14" i="2559"/>
  <c r="H18" i="2559"/>
  <c r="C13" i="2559"/>
  <c r="H17" i="2559"/>
  <c r="C12" i="2559"/>
  <c r="H4" i="2559"/>
  <c r="C11" i="2559"/>
  <c r="H16" i="2559"/>
  <c r="C10" i="2559"/>
  <c r="H11" i="2559"/>
  <c r="C9" i="2559"/>
  <c r="H10" i="2559"/>
  <c r="C8" i="2559"/>
  <c r="N7" i="2559"/>
  <c r="H7" i="2559"/>
  <c r="C7" i="2559"/>
  <c r="N6" i="2559"/>
  <c r="H3" i="2559"/>
  <c r="B6" i="2559"/>
  <c r="N5" i="2559"/>
  <c r="H6" i="2559"/>
  <c r="B5" i="2559"/>
  <c r="N4" i="2559"/>
  <c r="H2" i="2559"/>
  <c r="N3" i="2559"/>
  <c r="H8" i="2559"/>
  <c r="N2" i="2559"/>
  <c r="H5" i="2559"/>
  <c r="H51" i="2558"/>
  <c r="H50" i="2558"/>
  <c r="H49" i="2558"/>
  <c r="H48" i="2558"/>
  <c r="H47" i="2558"/>
  <c r="H46" i="2558"/>
  <c r="H45" i="2558"/>
  <c r="H44" i="2558"/>
  <c r="H43" i="2558"/>
  <c r="H42" i="2558"/>
  <c r="H41" i="2558"/>
  <c r="H40" i="2558"/>
  <c r="H39" i="2558"/>
  <c r="H38" i="2558"/>
  <c r="H37" i="2558"/>
  <c r="H36" i="2558"/>
  <c r="H35" i="2558"/>
  <c r="H34" i="2558"/>
  <c r="H33" i="2558"/>
  <c r="H20" i="2558"/>
  <c r="H14" i="2558"/>
  <c r="H32" i="2558"/>
  <c r="H10" i="2558"/>
  <c r="H24" i="2558"/>
  <c r="H23" i="2558"/>
  <c r="H11" i="2558"/>
  <c r="H19" i="2558"/>
  <c r="H22" i="2558"/>
  <c r="H13" i="2558"/>
  <c r="C23" i="2558"/>
  <c r="H31" i="2558"/>
  <c r="C22" i="2558"/>
  <c r="H16" i="2558"/>
  <c r="B21" i="2558"/>
  <c r="H21" i="2558"/>
  <c r="H30" i="2558"/>
  <c r="C19" i="2558"/>
  <c r="H18" i="2558"/>
  <c r="C18" i="2558"/>
  <c r="H17" i="2558"/>
  <c r="C17" i="2558"/>
  <c r="H29" i="2558"/>
  <c r="B16" i="2558"/>
  <c r="B20" i="2558" s="1"/>
  <c r="H28" i="2558"/>
  <c r="C15" i="2558"/>
  <c r="H27" i="2558"/>
  <c r="C14" i="2558"/>
  <c r="H26" i="2558"/>
  <c r="C13" i="2558"/>
  <c r="H25" i="2558"/>
  <c r="C12" i="2558"/>
  <c r="H5" i="2558"/>
  <c r="C11" i="2558"/>
  <c r="H15" i="2558"/>
  <c r="C10" i="2558"/>
  <c r="H9" i="2558"/>
  <c r="C9" i="2558"/>
  <c r="H8" i="2558"/>
  <c r="C8" i="2558"/>
  <c r="N7" i="2558"/>
  <c r="H6" i="2558"/>
  <c r="C7" i="2558"/>
  <c r="N6" i="2558"/>
  <c r="H2" i="2558"/>
  <c r="B6" i="2558"/>
  <c r="N5" i="2558"/>
  <c r="H7" i="2558"/>
  <c r="B5" i="2558"/>
  <c r="N4" i="2558"/>
  <c r="H3" i="2558"/>
  <c r="N3" i="2558"/>
  <c r="H12" i="2558"/>
  <c r="N2" i="2558"/>
  <c r="H4" i="2558"/>
  <c r="C16" i="2559" l="1"/>
  <c r="C16" i="2558"/>
  <c r="H51" i="2557" l="1"/>
  <c r="H50" i="2557"/>
  <c r="H49" i="2557"/>
  <c r="H48" i="2557"/>
  <c r="H47" i="2557"/>
  <c r="H46" i="2557"/>
  <c r="H45" i="2557"/>
  <c r="H44" i="2557"/>
  <c r="H43" i="2557"/>
  <c r="H42" i="2557"/>
  <c r="H41" i="2557"/>
  <c r="H40" i="2557"/>
  <c r="H39" i="2557"/>
  <c r="H38" i="2557"/>
  <c r="H37" i="2557"/>
  <c r="H36" i="2557"/>
  <c r="H35" i="2557"/>
  <c r="H34" i="2557"/>
  <c r="H33" i="2557"/>
  <c r="H32" i="2557"/>
  <c r="H31" i="2557"/>
  <c r="H30" i="2557"/>
  <c r="H29" i="2557"/>
  <c r="H28" i="2557"/>
  <c r="H27" i="2557"/>
  <c r="H26" i="2557"/>
  <c r="H25" i="2557"/>
  <c r="H24" i="2557"/>
  <c r="H23" i="2557"/>
  <c r="C23" i="2557"/>
  <c r="H22" i="2557"/>
  <c r="C22" i="2557"/>
  <c r="H21" i="2557"/>
  <c r="B21" i="2557"/>
  <c r="H20" i="2557"/>
  <c r="H19" i="2557"/>
  <c r="C19" i="2557"/>
  <c r="H18" i="2557"/>
  <c r="C18" i="2557"/>
  <c r="H17" i="2557"/>
  <c r="C17" i="2557"/>
  <c r="H16" i="2557"/>
  <c r="B16" i="2557"/>
  <c r="B20" i="2557" s="1"/>
  <c r="H15" i="2557"/>
  <c r="C15" i="2557"/>
  <c r="H14" i="2557"/>
  <c r="C14" i="2557"/>
  <c r="H13" i="2557"/>
  <c r="C13" i="2557"/>
  <c r="H12" i="2557"/>
  <c r="C12" i="2557"/>
  <c r="H11" i="2557"/>
  <c r="C11" i="2557"/>
  <c r="H10" i="2557"/>
  <c r="C10" i="2557"/>
  <c r="H9" i="2557"/>
  <c r="C9" i="2557"/>
  <c r="H8" i="2557"/>
  <c r="C8" i="2557"/>
  <c r="N7" i="2557"/>
  <c r="H7" i="2557"/>
  <c r="C7" i="2557"/>
  <c r="N6" i="2557"/>
  <c r="H6" i="2557"/>
  <c r="B6" i="2557"/>
  <c r="N5" i="2557"/>
  <c r="H5" i="2557"/>
  <c r="B5" i="2557"/>
  <c r="N4" i="2557"/>
  <c r="H4" i="2557"/>
  <c r="N3" i="2557"/>
  <c r="H3" i="2557"/>
  <c r="N2" i="2557"/>
  <c r="H2" i="2557"/>
  <c r="H51" i="2556"/>
  <c r="H50" i="2556"/>
  <c r="H49" i="2556"/>
  <c r="H48" i="2556"/>
  <c r="H47" i="2556"/>
  <c r="H46" i="2556"/>
  <c r="H45" i="2556"/>
  <c r="H44" i="2556"/>
  <c r="H43" i="2556"/>
  <c r="H42" i="2556"/>
  <c r="H41" i="2556"/>
  <c r="H40" i="2556"/>
  <c r="H39" i="2556"/>
  <c r="H38" i="2556"/>
  <c r="H37" i="2556"/>
  <c r="H36" i="2556"/>
  <c r="H35" i="2556"/>
  <c r="H34" i="2556"/>
  <c r="H33" i="2556"/>
  <c r="H32" i="2556"/>
  <c r="H31" i="2556"/>
  <c r="H30" i="2556"/>
  <c r="H29" i="2556"/>
  <c r="H28" i="2556"/>
  <c r="H27" i="2556"/>
  <c r="H26" i="2556"/>
  <c r="H25" i="2556"/>
  <c r="H24" i="2556"/>
  <c r="H23" i="2556"/>
  <c r="C23" i="2556"/>
  <c r="H22" i="2556"/>
  <c r="C22" i="2556"/>
  <c r="H21" i="2556"/>
  <c r="B21" i="2556"/>
  <c r="H20" i="2556"/>
  <c r="H19" i="2556"/>
  <c r="C19" i="2556"/>
  <c r="H18" i="2556"/>
  <c r="C18" i="2556"/>
  <c r="H17" i="2556"/>
  <c r="C17" i="2556"/>
  <c r="H16" i="2556"/>
  <c r="B16" i="2556"/>
  <c r="B20" i="2556" s="1"/>
  <c r="H15" i="2556"/>
  <c r="C15" i="2556"/>
  <c r="H14" i="2556"/>
  <c r="C14" i="2556"/>
  <c r="H13" i="2556"/>
  <c r="C13" i="2556"/>
  <c r="H12" i="2556"/>
  <c r="C12" i="2556"/>
  <c r="H11" i="2556"/>
  <c r="C11" i="2556"/>
  <c r="H10" i="2556"/>
  <c r="C10" i="2556"/>
  <c r="H9" i="2556"/>
  <c r="C9" i="2556"/>
  <c r="H8" i="2556"/>
  <c r="C8" i="2556"/>
  <c r="N7" i="2556"/>
  <c r="H7" i="2556"/>
  <c r="C7" i="2556"/>
  <c r="N6" i="2556"/>
  <c r="H6" i="2556"/>
  <c r="B6" i="2556"/>
  <c r="N5" i="2556"/>
  <c r="H5" i="2556"/>
  <c r="B5" i="2556"/>
  <c r="N4" i="2556"/>
  <c r="H4" i="2556"/>
  <c r="N3" i="2556"/>
  <c r="H3" i="2556"/>
  <c r="N2" i="2556"/>
  <c r="H2" i="2556"/>
  <c r="H51" i="2555"/>
  <c r="H50" i="2555"/>
  <c r="H49" i="2555"/>
  <c r="H48" i="2555"/>
  <c r="H47" i="2555"/>
  <c r="H26" i="2555"/>
  <c r="H46" i="2555"/>
  <c r="H45" i="2555"/>
  <c r="H44" i="2555"/>
  <c r="H43" i="2555"/>
  <c r="H42" i="2555"/>
  <c r="H41" i="2555"/>
  <c r="H40" i="2555"/>
  <c r="H39" i="2555"/>
  <c r="H38" i="2555"/>
  <c r="H37" i="2555"/>
  <c r="H36" i="2555"/>
  <c r="H35" i="2555"/>
  <c r="H34" i="2555"/>
  <c r="H18" i="2555"/>
  <c r="H25" i="2555"/>
  <c r="H24" i="2555"/>
  <c r="H9" i="2555"/>
  <c r="H33" i="2555"/>
  <c r="H23" i="2555"/>
  <c r="H13" i="2555"/>
  <c r="H22" i="2555"/>
  <c r="H32" i="2555"/>
  <c r="H14" i="2555"/>
  <c r="C23" i="2555"/>
  <c r="H31" i="2555"/>
  <c r="C22" i="2555"/>
  <c r="H16" i="2555"/>
  <c r="B21" i="2555"/>
  <c r="H30" i="2555"/>
  <c r="H29" i="2555"/>
  <c r="C19" i="2555"/>
  <c r="H21" i="2555"/>
  <c r="C18" i="2555"/>
  <c r="H20" i="2555"/>
  <c r="C17" i="2555"/>
  <c r="H15" i="2555"/>
  <c r="B16" i="2555"/>
  <c r="B20" i="2555" s="1"/>
  <c r="H28" i="2555"/>
  <c r="C15" i="2555"/>
  <c r="H19" i="2555"/>
  <c r="C14" i="2555"/>
  <c r="H27" i="2555"/>
  <c r="C13" i="2555"/>
  <c r="H17" i="2555"/>
  <c r="C12" i="2555"/>
  <c r="H4" i="2555"/>
  <c r="C11" i="2555"/>
  <c r="H12" i="2555"/>
  <c r="C10" i="2555"/>
  <c r="H11" i="2555"/>
  <c r="C9" i="2555"/>
  <c r="H8" i="2555"/>
  <c r="C8" i="2555"/>
  <c r="N7" i="2555"/>
  <c r="H6" i="2555"/>
  <c r="C7" i="2555"/>
  <c r="N6" i="2555"/>
  <c r="H2" i="2555"/>
  <c r="B6" i="2555"/>
  <c r="N5" i="2555"/>
  <c r="H7" i="2555"/>
  <c r="B5" i="2555"/>
  <c r="N4" i="2555"/>
  <c r="H3" i="2555"/>
  <c r="N3" i="2555"/>
  <c r="H10" i="2555"/>
  <c r="N2" i="2555"/>
  <c r="H5" i="2555"/>
  <c r="C16" i="2556" l="1"/>
  <c r="C16" i="2557"/>
  <c r="C16" i="2555"/>
  <c r="D2" i="2416" l="1"/>
  <c r="D5" i="2416" l="1"/>
  <c r="D10" i="2416"/>
  <c r="D51" i="2416"/>
  <c r="D50" i="2416"/>
  <c r="D49" i="2416"/>
  <c r="D48" i="2416"/>
  <c r="D47" i="2416"/>
  <c r="D30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29" i="2416"/>
  <c r="D21" i="2416"/>
  <c r="D18" i="2416"/>
  <c r="D31" i="2416"/>
  <c r="D9" i="2416"/>
  <c r="D28" i="2416"/>
  <c r="D25" i="2416"/>
  <c r="D12" i="2416"/>
  <c r="D20" i="2416"/>
  <c r="D22" i="2416"/>
  <c r="D13" i="2416"/>
  <c r="D34" i="2416"/>
  <c r="D16" i="2416"/>
  <c r="D26" i="2416"/>
  <c r="D33" i="2416"/>
  <c r="D17" i="2416"/>
  <c r="D15" i="2416"/>
  <c r="D24" i="2416"/>
  <c r="D32" i="2416"/>
  <c r="D23" i="2416"/>
  <c r="D27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<sst xmlns="http://schemas.openxmlformats.org/spreadsheetml/2006/main" count="2324" uniqueCount="231">
  <si>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</si>
  <si>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</si>
  <si>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</si>
  <si>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</si>
  <si>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</si>
  <si>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</si>
  <si>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</si>
  <si>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</si>
  <si>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</si>
  <si>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</si>
  <si>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</si>
  <si>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</si>
  <si>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</si>
  <si>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</si>
  <si>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</si>
  <si>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</si>
  <si>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</si>
  <si>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</si>
  <si>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</si>
  <si>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</si>
  <si>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</si>
  <si>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</si>
  <si>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</si>
  <si>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</si>
  <si>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</si>
  <si>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</si>
  <si>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</si>
  <si>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</si>
  <si>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</si>
  <si>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</si>
  <si>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</si>
  <si>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</si>
  <si>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</si>
  <si>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</si>
  <si>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</si>
  <si>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</si>
  <si>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</si>
  <si>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</si>
  <si>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</si>
  <si>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</si>
  <si>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</si>
  <si>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</si>
  <si>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</si>
  <si>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</si>
  <si>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</si>
  <si>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</si>
  <si>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</si>
  <si>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</si>
  <si>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</si>
  <si>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</si>
  <si>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</si>
  <si>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</si>
  <si>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</si>
  <si>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</si>
  <si>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</si>
  <si>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</si>
  <si>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</si>
  <si>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</si>
  <si>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</si>
  <si>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</si>
  <si>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</si>
  <si>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</si>
  <si>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</si>
  <si>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</si>
  <si>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</si>
  <si>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</si>
  <si>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</si>
  <si>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</si>
  <si>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</si>
  <si>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</si>
  <si>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</si>
  <si>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</si>
  <si>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</si>
  <si>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</si>
  <si>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</si>
  <si>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</si>
  <si>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</si>
  <si>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</si>
  <si>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</si>
  <si>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</si>
  <si>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</si>
  <si>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</si>
  <si>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</si>
  <si>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</si>
  <si>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</si>
  <si>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</si>
  <si>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</si>
  <si>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</si>
  <si>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</si>
  <si>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</si>
  <si>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</si>
  <si>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</si>
  <si>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</si>
  <si>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</si>
  <si>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</si>
  <si>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</si>
  <si>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</si>
  <si>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</si>
  <si>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</si>
  <si>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</si>
  <si>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</si>
  <si>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</si>
  <si>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</si>
  <si>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</si>
  <si>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</si>
  <si>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</si>
  <si>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</si>
  <si>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</si>
  <si>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</si>
  <si>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</si>
  <si>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</si>
  <si>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</si>
  <si>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</si>
  <si>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</si>
  <si>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</si>
  <si>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</si>
  <si>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</si>
  <si>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</si>
  <si>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</si>
  <si>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</si>
  <si>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</si>
  <si>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</si>
  <si>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</si>
  <si>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</si>
  <si>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</si>
  <si>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</si>
  <si>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</si>
  <si>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</si>
  <si>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</si>
  <si>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</si>
  <si>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</si>
  <si>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</si>
  <si>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</si>
  <si>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</si>
  <si>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</si>
  <si>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</si>
  <si>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</si>
  <si>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</si>
  <si>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</si>
  <si>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</si>
  <si>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</si>
  <si>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</si>
  <si>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</si>
  <si>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</si>
  <si>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</si>
  <si>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</si>
  <si>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</si>
  <si>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</si>
  <si>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</si>
  <si>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</si>
  <si>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</si>
  <si>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</si>
  <si>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</si>
  <si>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</si>
  <si>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</si>
  <si>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</si>
  <si>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</si>
  <si>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</si>
  <si>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</si>
  <si>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</si>
  <si>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</si>
  <si>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</si>
  <si>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</si>
  <si>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</si>
  <si>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</si>
  <si>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</si>
  <si>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</si>
  <si>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</si>
  <si>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</si>
  <si>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</si>
  <si>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</si>
  <si>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</si>
  <si>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</si>
  <si>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</si>
  <si>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</si>
  <si>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</si>
  <si>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</si>
  <si>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</si>
  <si>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</si>
  <si>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</si>
  <si>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</si>
  <si>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</si>
  <si>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</si>
  <si>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</si>
  <si>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</si>
  <si>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</si>
  <si>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</si>
  <si>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</si>
  <si>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</si>
  <si>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</si>
  <si>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</si>
  <si>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</si>
  <si>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</si>
  <si>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</si>
  <si>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</si>
  <si>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</si>
  <si>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</si>
  <si>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</si>
  <si>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</si>
  <si>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</si>
  <si>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</si>
  <si>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</si>
  <si>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</si>
  <si>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</si>
  <si>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</si>
  <si>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</si>
  <si>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</si>
  <si>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</si>
  <si>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</si>
  <si>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</si>
  <si>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</si>
  <si>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</si>
  <si>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</si>
  <si>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</si>
  <si>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</si>
  <si>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</si>
  <si>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</si>
  <si>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</si>
  <si>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</si>
  <si>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</si>
  <si>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</si>
  <si>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</si>
  <si>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</si>
  <si>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</si>
  <si>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</si>
  <si>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</si>
  <si>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</si>
  <si>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</si>
  <si>
    <t>2019-01-15.xlsm</t>
  </si>
  <si>
    <t>2019-01-16.xlsm</t>
  </si>
  <si>
    <t>2019-01-17.xlsm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</si>
</sst>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2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だいち!$J$2:$J$127</c:f>
              <c:numCache>
                <c:formatCode>General</c:formatCode>
                <c:ptCount val="12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</c:numCache>
            </c:numRef>
          </c:xVal>
          <c:yVal>
            <c:numRef>
              <c:f>だいち!$K$2:$K$127</c:f>
              <c:numCache>
                <c:formatCode>\+0;\-0;\±0</c:formatCode>
                <c:ptCount val="126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57-4A9D-9556-6343336AE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742.14876033057851</c:v>
                </c:pt>
                <c:pt idx="1">
                  <c:v>1298.2608695652175</c:v>
                </c:pt>
                <c:pt idx="2">
                  <c:v>1023.8095238095239</c:v>
                </c:pt>
                <c:pt idx="3">
                  <c:v>1353.2608695652175</c:v>
                </c:pt>
                <c:pt idx="4">
                  <c:v>220</c:v>
                </c:pt>
                <c:pt idx="5">
                  <c:v>-154.54545454545453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7-47CC-813B-629AB0C21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38-4D6A-B98E-9116AA1F8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55-40C2-8589-026716296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BE-45EF-8970-251A04B06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06-4B3C-BCB9-07DF16F047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りくと!$J$2:$J$87</c:f>
              <c:numCache>
                <c:formatCode>General</c:formatCode>
                <c:ptCount val="8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</c:numCache>
            </c:numRef>
          </c:xVal>
          <c:yVal>
            <c:numRef>
              <c:f>りくと!$K$2:$K$87</c:f>
              <c:numCache>
                <c:formatCode>\+0;\-0;\±0</c:formatCode>
                <c:ptCount val="86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14-4D0A-AEC1-244BA10CE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-93.975903614457835</c:v>
                </c:pt>
                <c:pt idx="1">
                  <c:v>-2065.8227848101264</c:v>
                </c:pt>
                <c:pt idx="2">
                  <c:v>1719.7368421052631</c:v>
                </c:pt>
                <c:pt idx="3">
                  <c:v>-2104.4776119402986</c:v>
                </c:pt>
                <c:pt idx="4">
                  <c:v>-2888.8888888888887</c:v>
                </c:pt>
                <c:pt idx="5">
                  <c:v>-2697.560975609756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30-4F9A-A208-B7BC6E7CB6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いっしー!$K$2:$K$47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3-451F-A788-F43E8E0CEC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-895.55555555555554</c:v>
                </c:pt>
                <c:pt idx="1">
                  <c:v>3279.0697674418607</c:v>
                </c:pt>
                <c:pt idx="2">
                  <c:v>-307.3170731707317</c:v>
                </c:pt>
                <c:pt idx="3">
                  <c:v>-1417.6470588235295</c:v>
                </c:pt>
                <c:pt idx="4">
                  <c:v>7442.8571428571431</c:v>
                </c:pt>
                <c:pt idx="5">
                  <c:v>122.22222222222223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19-4AFC-82CB-981B3DFDA1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7E-4BF0-93F4-9D168E2332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80-49B2-A568-79B026C6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たかの!$K$2:$K$43</c:f>
              <c:numCache>
                <c:formatCode>\+0;\-0;\±0</c:formatCode>
                <c:ptCount val="42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C65-402E-849B-AABB0FDB2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-1958.5365853658536</c:v>
                </c:pt>
                <c:pt idx="1">
                  <c:v>-2589.4736842105262</c:v>
                </c:pt>
                <c:pt idx="2">
                  <c:v>-1159.375</c:v>
                </c:pt>
                <c:pt idx="3">
                  <c:v>3043.3333333333335</c:v>
                </c:pt>
                <c:pt idx="4">
                  <c:v>-943.47826086956525</c:v>
                </c:pt>
                <c:pt idx="5">
                  <c:v>1231.578947368421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E24-4826-BF08-7D3DF09011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20-4DB5-9281-14DC77C7C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C1F-4DE0-9402-164DBE8E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E8-4DF8-AFC8-FC2A079366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33-4F1F-8CEB-599E2136C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れんたろう!$K$2:$K$47</c:f>
              <c:numCache>
                <c:formatCode>\+0;\-0;\±0</c:formatCode>
                <c:ptCount val="4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5-456A-B45B-FF76B968C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-3307.3170731707319</c:v>
                </c:pt>
                <c:pt idx="1">
                  <c:v>-926.82926829268297</c:v>
                </c:pt>
                <c:pt idx="2">
                  <c:v>-2352.6315789473683</c:v>
                </c:pt>
                <c:pt idx="3">
                  <c:v>-251.42857142857142</c:v>
                </c:pt>
                <c:pt idx="4">
                  <c:v>-1851.6129032258063</c:v>
                </c:pt>
                <c:pt idx="5">
                  <c:v>5347.6190476190477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08-4074-B490-EBE25E7220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9F-40A6-85F2-328176F57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45-4928-A13B-A1E3EBCA2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まっつん!$K$2:$K$8</c:f>
              <c:numCache>
                <c:formatCode>\+0;\-0;\±0</c:formatCode>
                <c:ptCount val="7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F9-48D2-A3D2-428F985C4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-550</c:v>
                </c:pt>
                <c:pt idx="1">
                  <c:v>4833.333333333333</c:v>
                </c:pt>
                <c:pt idx="2">
                  <c:v>-2575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76-41E7-AA02-7AFAC6876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E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16384" width="9" style="4"/>
  </cols>
  <sheetData>
    <row r="1" spans="1:31" x14ac:dyDescent="0.4">
      <c r="A1" s="14"/>
      <c r="B1" s="78" t="s">
        <v>6</v>
      </c>
      <c r="C1" s="79"/>
      <c r="D1" s="78" t="s">
        <v>7</v>
      </c>
      <c r="E1" s="79"/>
      <c r="F1" s="78" t="s">
        <v>16</v>
      </c>
      <c r="G1" s="79"/>
      <c r="H1" s="78" t="s">
        <v>15</v>
      </c>
      <c r="I1" s="79"/>
      <c r="J1" s="78" t="s">
        <v>17</v>
      </c>
      <c r="K1" s="79"/>
      <c r="L1" s="78" t="s">
        <v>18</v>
      </c>
      <c r="M1" s="79"/>
      <c r="N1" s="78" t="s">
        <v>5</v>
      </c>
      <c r="O1" s="79"/>
      <c r="P1" s="78" t="s">
        <v>19</v>
      </c>
      <c r="Q1" s="79"/>
      <c r="R1" s="78" t="s">
        <v>20</v>
      </c>
      <c r="S1" s="79"/>
      <c r="T1" s="78" t="s">
        <v>209</v>
      </c>
      <c r="U1" s="79"/>
      <c r="V1" s="78" t="s">
        <v>131</v>
      </c>
      <c r="W1" s="79"/>
      <c r="X1" s="78" t="s">
        <v>126</v>
      </c>
      <c r="Y1" s="79"/>
      <c r="Z1" s="78" t="s">
        <v>134</v>
      </c>
      <c r="AA1" s="79"/>
      <c r="AB1" s="78" t="s">
        <v>135</v>
      </c>
      <c r="AC1" s="79"/>
      <c r="AD1" s="78" t="s">
        <v>197</v>
      </c>
      <c r="AE1" s="79"/>
    </row>
    <row r="2" spans="1:31" x14ac:dyDescent="0.4">
      <c r="A2" s="8">
        <v>1</v>
      </c>
      <c r="B2" s="9" t="s">
        <v>137</v>
      </c>
      <c r="C2" s="11">
        <v>515.10000000000014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141</v>
      </c>
      <c r="O2" s="13">
        <v>11440.372670807454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0.48837209302325579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</row>
    <row r="3" spans="1:31" x14ac:dyDescent="0.4">
      <c r="A3" s="7">
        <v>2</v>
      </c>
      <c r="B3" s="6" t="s">
        <v>142</v>
      </c>
      <c r="C3" s="3">
        <v>248.10000000000002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142</v>
      </c>
      <c r="K3" s="16">
        <v>0.35015772870662459</v>
      </c>
      <c r="L3" s="1" t="s">
        <v>156</v>
      </c>
      <c r="M3" s="16">
        <v>0.13414634146341464</v>
      </c>
      <c r="N3" s="1" t="s">
        <v>149</v>
      </c>
      <c r="O3" s="2">
        <v>10903.27868852459</v>
      </c>
      <c r="P3" s="1" t="s">
        <v>219</v>
      </c>
      <c r="Q3" s="2">
        <v>-6914.2857142857147</v>
      </c>
      <c r="R3" s="1" t="s">
        <v>214</v>
      </c>
      <c r="S3" s="18">
        <v>0</v>
      </c>
      <c r="T3" s="1" t="s">
        <v>137</v>
      </c>
      <c r="U3" s="18">
        <v>0.216</v>
      </c>
      <c r="V3" s="1" t="s">
        <v>214</v>
      </c>
      <c r="W3" s="16">
        <v>0.43478260869565216</v>
      </c>
      <c r="X3" s="1" t="s">
        <v>142</v>
      </c>
      <c r="Y3" s="16">
        <v>0.35443037974683544</v>
      </c>
      <c r="Z3" s="1" t="s">
        <v>137</v>
      </c>
      <c r="AA3" s="16">
        <v>0.68</v>
      </c>
      <c r="AB3" s="1" t="s">
        <v>137</v>
      </c>
      <c r="AC3" s="16">
        <v>0.43478260869565216</v>
      </c>
      <c r="AD3" s="1" t="s">
        <v>145</v>
      </c>
      <c r="AE3" s="16">
        <v>0.46153846153846156</v>
      </c>
    </row>
    <row r="4" spans="1:31" x14ac:dyDescent="0.4">
      <c r="A4" s="7">
        <v>3</v>
      </c>
      <c r="B4" s="6" t="s">
        <v>149</v>
      </c>
      <c r="C4" s="3">
        <v>166.69999999999996</v>
      </c>
      <c r="D4" s="1" t="s">
        <v>142</v>
      </c>
      <c r="E4" s="3">
        <v>5.5133333333333336</v>
      </c>
      <c r="F4" s="1" t="s">
        <v>137</v>
      </c>
      <c r="G4" s="5">
        <v>1.8560000000000001</v>
      </c>
      <c r="H4" s="1" t="s">
        <v>137</v>
      </c>
      <c r="I4" s="18">
        <v>0.4</v>
      </c>
      <c r="J4" s="1" t="s">
        <v>137</v>
      </c>
      <c r="K4" s="16">
        <v>0.34811529933481156</v>
      </c>
      <c r="L4" s="1" t="s">
        <v>142</v>
      </c>
      <c r="M4" s="16">
        <v>0.15457413249211358</v>
      </c>
      <c r="N4" s="1" t="s">
        <v>156</v>
      </c>
      <c r="O4" s="2">
        <v>10857.142857142857</v>
      </c>
      <c r="P4" s="1" t="s">
        <v>148</v>
      </c>
      <c r="Q4" s="2">
        <v>-8088.7096774193551</v>
      </c>
      <c r="R4" s="1" t="s">
        <v>142</v>
      </c>
      <c r="S4" s="18">
        <v>0.1111111111111111</v>
      </c>
      <c r="T4" s="1" t="s">
        <v>142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0.30708661417322836</v>
      </c>
      <c r="Z4" s="1" t="s">
        <v>160</v>
      </c>
      <c r="AA4" s="16">
        <v>0.6428571428571429</v>
      </c>
      <c r="AB4" s="1" t="s">
        <v>148</v>
      </c>
      <c r="AC4" s="16">
        <v>0.41025641025641024</v>
      </c>
      <c r="AD4" s="1" t="s">
        <v>156</v>
      </c>
      <c r="AE4" s="16">
        <v>0.45454545454545453</v>
      </c>
    </row>
    <row r="5" spans="1:31" x14ac:dyDescent="0.4">
      <c r="A5" s="7">
        <v>4</v>
      </c>
      <c r="B5" s="6" t="s">
        <v>214</v>
      </c>
      <c r="C5" s="3">
        <v>89</v>
      </c>
      <c r="D5" s="1" t="s">
        <v>137</v>
      </c>
      <c r="E5" s="3">
        <v>4.1208000000000009</v>
      </c>
      <c r="F5" s="1" t="s">
        <v>142</v>
      </c>
      <c r="G5" s="5">
        <v>1.8666666666666667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137</v>
      </c>
      <c r="M5" s="16">
        <v>0.15964523281596452</v>
      </c>
      <c r="N5" s="1" t="s">
        <v>160</v>
      </c>
      <c r="O5" s="2">
        <v>10793.939393939394</v>
      </c>
      <c r="P5" s="1" t="s">
        <v>138</v>
      </c>
      <c r="Q5" s="2">
        <v>-8240</v>
      </c>
      <c r="R5" s="1" t="s">
        <v>137</v>
      </c>
      <c r="S5" s="18">
        <v>0.13600000000000001</v>
      </c>
      <c r="T5" s="1" t="s">
        <v>145</v>
      </c>
      <c r="U5" s="18">
        <v>0.2</v>
      </c>
      <c r="V5" s="1" t="s">
        <v>137</v>
      </c>
      <c r="W5" s="16">
        <v>0.2847380410022779</v>
      </c>
      <c r="X5" s="1" t="s">
        <v>149</v>
      </c>
      <c r="Y5" s="16">
        <v>0.23346303501945526</v>
      </c>
      <c r="Z5" s="1" t="s">
        <v>149</v>
      </c>
      <c r="AA5" s="16">
        <v>0.60919540229885061</v>
      </c>
      <c r="AB5" s="1" t="s">
        <v>141</v>
      </c>
      <c r="AC5" s="16">
        <v>0.38805970149253732</v>
      </c>
      <c r="AD5" s="1" t="s">
        <v>137</v>
      </c>
      <c r="AE5" s="16">
        <v>0.41772151898734178</v>
      </c>
    </row>
    <row r="6" spans="1:31" x14ac:dyDescent="0.4">
      <c r="A6" s="7">
        <v>5</v>
      </c>
      <c r="B6" s="6" t="s">
        <v>156</v>
      </c>
      <c r="C6" s="3">
        <v>80.800000000000011</v>
      </c>
      <c r="D6" s="1" t="s">
        <v>149</v>
      </c>
      <c r="E6" s="3">
        <v>3.2686274509803912</v>
      </c>
      <c r="F6" s="1" t="s">
        <v>149</v>
      </c>
      <c r="G6" s="5">
        <v>1.9215686274509804</v>
      </c>
      <c r="H6" s="1" t="s">
        <v>142</v>
      </c>
      <c r="I6" s="18">
        <v>0.35555555555555557</v>
      </c>
      <c r="J6" s="1" t="s">
        <v>149</v>
      </c>
      <c r="K6" s="16">
        <v>0.31282051282051282</v>
      </c>
      <c r="L6" s="1" t="s">
        <v>219</v>
      </c>
      <c r="M6" s="16">
        <v>0.16279069767441862</v>
      </c>
      <c r="N6" s="1" t="s">
        <v>137</v>
      </c>
      <c r="O6" s="2">
        <v>10003.184713375796</v>
      </c>
      <c r="P6" s="1" t="s">
        <v>142</v>
      </c>
      <c r="Q6" s="2">
        <v>-9134.6938775510207</v>
      </c>
      <c r="R6" s="1" t="s">
        <v>148</v>
      </c>
      <c r="S6" s="18">
        <v>0.14634146341463414</v>
      </c>
      <c r="T6" s="1" t="s">
        <v>214</v>
      </c>
      <c r="U6" s="18">
        <v>0.2</v>
      </c>
      <c r="V6" s="1" t="s">
        <v>141</v>
      </c>
      <c r="W6" s="16">
        <v>0.28342245989304815</v>
      </c>
      <c r="X6" s="1" t="s">
        <v>160</v>
      </c>
      <c r="Y6" s="16">
        <v>0.22666666666666666</v>
      </c>
      <c r="Z6" s="1" t="s">
        <v>214</v>
      </c>
      <c r="AA6" s="16">
        <v>0.6</v>
      </c>
      <c r="AB6" s="1" t="s">
        <v>149</v>
      </c>
      <c r="AC6" s="16">
        <v>0.38333333333333336</v>
      </c>
      <c r="AD6" s="1" t="s">
        <v>149</v>
      </c>
      <c r="AE6" s="16">
        <v>0.39860139860139859</v>
      </c>
    </row>
    <row r="7" spans="1:31" x14ac:dyDescent="0.4">
      <c r="A7" s="7">
        <v>6</v>
      </c>
      <c r="B7" s="6" t="s">
        <v>219</v>
      </c>
      <c r="C7" s="3">
        <v>2.2000000000000011</v>
      </c>
      <c r="D7" s="1" t="s">
        <v>219</v>
      </c>
      <c r="E7" s="3">
        <v>0.36666666666666686</v>
      </c>
      <c r="F7" s="1" t="s">
        <v>148</v>
      </c>
      <c r="G7" s="5">
        <v>2.0975609756097562</v>
      </c>
      <c r="H7" s="1" t="s">
        <v>141</v>
      </c>
      <c r="I7" s="18">
        <v>0.29411764705882354</v>
      </c>
      <c r="J7" s="1" t="s">
        <v>160</v>
      </c>
      <c r="K7" s="16">
        <v>0.29376854599406527</v>
      </c>
      <c r="L7" s="1" t="s">
        <v>149</v>
      </c>
      <c r="M7" s="16">
        <v>0.1641025641025641</v>
      </c>
      <c r="N7" s="1" t="s">
        <v>219</v>
      </c>
      <c r="O7" s="2">
        <v>9988.8888888888887</v>
      </c>
      <c r="P7" s="1" t="s">
        <v>137</v>
      </c>
      <c r="Q7" s="2">
        <v>-9804.1666666666661</v>
      </c>
      <c r="R7" s="1" t="s">
        <v>149</v>
      </c>
      <c r="S7" s="18">
        <v>0.15686274509803921</v>
      </c>
      <c r="T7" s="1" t="s">
        <v>149</v>
      </c>
      <c r="U7" s="18">
        <v>0.19607843137254902</v>
      </c>
      <c r="V7" s="1" t="s">
        <v>160</v>
      </c>
      <c r="W7" s="16">
        <v>0.28000000000000003</v>
      </c>
      <c r="X7" s="1" t="s">
        <v>137</v>
      </c>
      <c r="Y7" s="16">
        <v>0.20956719817767655</v>
      </c>
      <c r="Z7" s="1" t="s">
        <v>142</v>
      </c>
      <c r="AA7" s="16">
        <v>0.5625</v>
      </c>
      <c r="AB7" s="1" t="s">
        <v>160</v>
      </c>
      <c r="AC7" s="16">
        <v>0.38235294117647056</v>
      </c>
      <c r="AD7" s="1" t="s">
        <v>148</v>
      </c>
      <c r="AE7" s="16">
        <v>0.39325842696629215</v>
      </c>
    </row>
    <row r="8" spans="1:31" x14ac:dyDescent="0.4">
      <c r="A8" s="7">
        <v>7</v>
      </c>
      <c r="B8" s="6" t="s">
        <v>139</v>
      </c>
      <c r="C8" s="3">
        <v>-24.5</v>
      </c>
      <c r="D8" s="1" t="s">
        <v>148</v>
      </c>
      <c r="E8" s="3">
        <v>-2.9951219512195126</v>
      </c>
      <c r="F8" s="1" t="s">
        <v>141</v>
      </c>
      <c r="G8" s="5">
        <v>2.1294117647058823</v>
      </c>
      <c r="H8" s="1" t="s">
        <v>160</v>
      </c>
      <c r="I8" s="18">
        <v>0.24444444444444444</v>
      </c>
      <c r="J8" s="1" t="s">
        <v>139</v>
      </c>
      <c r="K8" s="16">
        <v>0.2857142857142857</v>
      </c>
      <c r="L8" s="1" t="s">
        <v>141</v>
      </c>
      <c r="M8" s="16">
        <v>0.19685039370078741</v>
      </c>
      <c r="N8" s="1" t="s">
        <v>148</v>
      </c>
      <c r="O8" s="2">
        <v>9869.7674418604656</v>
      </c>
      <c r="P8" s="1" t="s">
        <v>149</v>
      </c>
      <c r="Q8" s="2">
        <v>-9809.375</v>
      </c>
      <c r="R8" s="1" t="s">
        <v>219</v>
      </c>
      <c r="S8" s="18">
        <v>0.16666666666666666</v>
      </c>
      <c r="T8" s="1" t="s">
        <v>148</v>
      </c>
      <c r="U8" s="18">
        <v>0.17073170731707318</v>
      </c>
      <c r="V8" s="1" t="s">
        <v>145</v>
      </c>
      <c r="W8" s="16">
        <v>0.25806451612903225</v>
      </c>
      <c r="X8" s="1" t="s">
        <v>141</v>
      </c>
      <c r="Y8" s="16">
        <v>0.17914438502673796</v>
      </c>
      <c r="Z8" s="1" t="s">
        <v>141</v>
      </c>
      <c r="AA8" s="16">
        <v>0.55660377358490565</v>
      </c>
      <c r="AB8" s="1" t="s">
        <v>219</v>
      </c>
      <c r="AC8" s="16">
        <v>0.38095238095238093</v>
      </c>
      <c r="AD8" s="1" t="s">
        <v>142</v>
      </c>
      <c r="AE8" s="16">
        <v>0.35652173913043478</v>
      </c>
    </row>
    <row r="9" spans="1:31" x14ac:dyDescent="0.4">
      <c r="A9" s="7">
        <v>8</v>
      </c>
      <c r="B9" s="6" t="s">
        <v>145</v>
      </c>
      <c r="C9" s="3">
        <v>-86.4</v>
      </c>
      <c r="D9" s="1" t="s">
        <v>141</v>
      </c>
      <c r="E9" s="3">
        <v>-4.8223529411764696</v>
      </c>
      <c r="F9" s="1" t="s">
        <v>145</v>
      </c>
      <c r="G9" s="5">
        <v>2.2000000000000002</v>
      </c>
      <c r="H9" s="1" t="s">
        <v>148</v>
      </c>
      <c r="I9" s="18">
        <v>0.24390243902439024</v>
      </c>
      <c r="J9" s="1" t="s">
        <v>148</v>
      </c>
      <c r="K9" s="16">
        <v>0.27388535031847133</v>
      </c>
      <c r="L9" s="1" t="s">
        <v>148</v>
      </c>
      <c r="M9" s="16">
        <v>0.19745222929936307</v>
      </c>
      <c r="N9" s="1" t="s">
        <v>142</v>
      </c>
      <c r="O9" s="2">
        <v>9851.3513513513517</v>
      </c>
      <c r="P9" s="1" t="s">
        <v>156</v>
      </c>
      <c r="Q9" s="2">
        <v>-9927.2727272727279</v>
      </c>
      <c r="R9" s="1" t="s">
        <v>160</v>
      </c>
      <c r="S9" s="18">
        <v>0.24444444444444444</v>
      </c>
      <c r="T9" s="1" t="s">
        <v>141</v>
      </c>
      <c r="U9" s="18">
        <v>0.15294117647058825</v>
      </c>
      <c r="V9" s="1" t="s">
        <v>148</v>
      </c>
      <c r="W9" s="16">
        <v>0.20472440944881889</v>
      </c>
      <c r="X9" s="1" t="s">
        <v>145</v>
      </c>
      <c r="Y9" s="16">
        <v>0.16129032258064516</v>
      </c>
      <c r="Z9" s="1" t="s">
        <v>148</v>
      </c>
      <c r="AA9" s="16">
        <v>0.38461538461538464</v>
      </c>
      <c r="AB9" s="1" t="s">
        <v>142</v>
      </c>
      <c r="AC9" s="16">
        <v>0.35714285714285715</v>
      </c>
      <c r="AD9" s="1" t="s">
        <v>160</v>
      </c>
      <c r="AE9" s="16">
        <v>0.35514018691588783</v>
      </c>
    </row>
    <row r="10" spans="1:31" x14ac:dyDescent="0.4">
      <c r="A10" s="7">
        <v>9</v>
      </c>
      <c r="B10" s="6" t="s">
        <v>148</v>
      </c>
      <c r="C10" s="3">
        <v>-122.80000000000001</v>
      </c>
      <c r="D10" s="1" t="s">
        <v>160</v>
      </c>
      <c r="E10" s="3">
        <v>-7.3155555555555543</v>
      </c>
      <c r="F10" s="1" t="s">
        <v>160</v>
      </c>
      <c r="G10" s="5">
        <v>2.2222222222222223</v>
      </c>
      <c r="H10" s="1" t="s">
        <v>145</v>
      </c>
      <c r="I10" s="18">
        <v>0.2</v>
      </c>
      <c r="J10" s="1" t="s">
        <v>145</v>
      </c>
      <c r="K10" s="16">
        <v>0.27027027027027029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160</v>
      </c>
      <c r="Q10" s="2">
        <v>-10196.25</v>
      </c>
      <c r="R10" s="1" t="s">
        <v>141</v>
      </c>
      <c r="S10" s="18">
        <v>0.24705882352941178</v>
      </c>
      <c r="T10" s="1" t="s">
        <v>160</v>
      </c>
      <c r="U10" s="18">
        <v>0.1111111111111111</v>
      </c>
      <c r="V10" s="1" t="s">
        <v>142</v>
      </c>
      <c r="W10" s="16">
        <v>0.20253164556962025</v>
      </c>
      <c r="X10" s="1" t="s">
        <v>214</v>
      </c>
      <c r="Y10" s="16">
        <v>0.13043478260869565</v>
      </c>
      <c r="Z10" s="1" t="s">
        <v>219</v>
      </c>
      <c r="AA10" s="16">
        <v>0.33333333333333331</v>
      </c>
      <c r="AB10" s="1" t="s">
        <v>145</v>
      </c>
      <c r="AC10" s="16">
        <v>0.2</v>
      </c>
      <c r="AD10" s="1" t="s">
        <v>141</v>
      </c>
      <c r="AE10" s="16">
        <v>0.30612244897959184</v>
      </c>
    </row>
    <row r="11" spans="1:31" x14ac:dyDescent="0.4">
      <c r="A11" s="7">
        <v>10</v>
      </c>
      <c r="B11" s="6" t="s">
        <v>138</v>
      </c>
      <c r="C11" s="3">
        <v>-132.1</v>
      </c>
      <c r="D11" s="1" t="s">
        <v>139</v>
      </c>
      <c r="E11" s="3">
        <v>-12.25</v>
      </c>
      <c r="F11" s="1" t="s">
        <v>219</v>
      </c>
      <c r="G11" s="5">
        <v>2.3333333333333335</v>
      </c>
      <c r="H11" s="1" t="s">
        <v>138</v>
      </c>
      <c r="I11" s="18">
        <v>0</v>
      </c>
      <c r="J11" s="1" t="s">
        <v>141</v>
      </c>
      <c r="K11" s="16">
        <v>0.25354330708661416</v>
      </c>
      <c r="L11" s="1" t="s">
        <v>160</v>
      </c>
      <c r="M11" s="16">
        <v>0.23738872403560832</v>
      </c>
      <c r="N11" s="1" t="s">
        <v>139</v>
      </c>
      <c r="O11" s="2">
        <v>8000</v>
      </c>
      <c r="P11" s="1" t="s">
        <v>141</v>
      </c>
      <c r="Q11" s="2">
        <v>-10404</v>
      </c>
      <c r="R11" s="1" t="s">
        <v>156</v>
      </c>
      <c r="S11" s="18">
        <v>0.25</v>
      </c>
      <c r="T11" s="1" t="s">
        <v>138</v>
      </c>
      <c r="U11" s="18">
        <v>0</v>
      </c>
      <c r="V11" s="1" t="s">
        <v>219</v>
      </c>
      <c r="W11" s="16">
        <v>6.9767441860465115E-2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</v>
      </c>
    </row>
    <row r="12" spans="1:31" x14ac:dyDescent="0.4">
      <c r="A12" s="7">
        <v>11</v>
      </c>
      <c r="B12" s="6" t="s">
        <v>160</v>
      </c>
      <c r="C12" s="3">
        <v>-329.19999999999993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139</v>
      </c>
      <c r="I12" s="18">
        <v>0</v>
      </c>
      <c r="J12" s="1" t="s">
        <v>219</v>
      </c>
      <c r="K12" s="16">
        <v>0.20930232558139536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139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</row>
    <row r="13" spans="1:31" x14ac:dyDescent="0.4">
      <c r="A13" s="7">
        <v>12</v>
      </c>
      <c r="B13" s="6" t="s">
        <v>141</v>
      </c>
      <c r="C13" s="3">
        <v>-409.89999999999992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219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219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</row>
  </sheetData>
  <sortState ref="AD2:AE27">
    <sortCondition descending="1" ref="AE1"/>
  </sortState>
  <mergeCells count="15"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520</v>
      </c>
    </row>
    <row r="2" spans="1:7" x14ac:dyDescent="0.4">
      <c r="A2" s="67" t="s">
        <v>73</v>
      </c>
      <c r="B2" s="63" t="s">
        <v>27</v>
      </c>
      <c r="C2" s="49">
        <v>468</v>
      </c>
      <c r="D2" s="24">
        <f>IF(G$1=0,0,C2/G$1)</f>
        <v>0.9</v>
      </c>
    </row>
    <row r="3" spans="1:7" x14ac:dyDescent="0.4">
      <c r="A3" s="68" t="s">
        <v>71</v>
      </c>
      <c r="B3" s="64" t="s">
        <v>25</v>
      </c>
      <c r="C3" s="50">
        <v>365</v>
      </c>
      <c r="D3" s="27">
        <f>IF(G$1=0,0,C3/G$1)</f>
        <v>0.70192307692307687</v>
      </c>
    </row>
    <row r="4" spans="1:7" x14ac:dyDescent="0.4">
      <c r="A4" s="68" t="s">
        <v>78</v>
      </c>
      <c r="B4" s="64" t="s">
        <v>31</v>
      </c>
      <c r="C4" s="50">
        <v>319</v>
      </c>
      <c r="D4" s="27">
        <f>IF(G$1=0,0,C4/G$1)</f>
        <v>0.6134615384615385</v>
      </c>
    </row>
    <row r="5" spans="1:7" x14ac:dyDescent="0.4">
      <c r="A5" s="68" t="s">
        <v>226</v>
      </c>
      <c r="B5" s="64" t="s">
        <v>23</v>
      </c>
      <c r="C5" s="50">
        <v>280</v>
      </c>
      <c r="D5" s="27">
        <f>IF(G$1=0,0,C5/G$1)</f>
        <v>0.53846153846153844</v>
      </c>
    </row>
    <row r="6" spans="1:7" x14ac:dyDescent="0.4">
      <c r="A6" s="68" t="s">
        <v>72</v>
      </c>
      <c r="B6" s="64" t="s">
        <v>26</v>
      </c>
      <c r="C6" s="50">
        <v>148</v>
      </c>
      <c r="D6" s="27">
        <f>IF(G$1=0,0,C6/G$1)</f>
        <v>0.2846153846153846</v>
      </c>
    </row>
    <row r="7" spans="1:7" x14ac:dyDescent="0.4">
      <c r="A7" s="68" t="s">
        <v>74</v>
      </c>
      <c r="B7" s="64" t="s">
        <v>222</v>
      </c>
      <c r="C7" s="50">
        <v>145</v>
      </c>
      <c r="D7" s="27">
        <f>IF(G$1=0,0,C7/G$1)</f>
        <v>0.27884615384615385</v>
      </c>
    </row>
    <row r="8" spans="1:7" x14ac:dyDescent="0.4">
      <c r="A8" s="68" t="s">
        <v>75</v>
      </c>
      <c r="B8" s="64" t="s">
        <v>28</v>
      </c>
      <c r="C8" s="50">
        <v>82</v>
      </c>
      <c r="D8" s="27">
        <f>IF(G$1=0,0,C8/G$1)</f>
        <v>0.15769230769230769</v>
      </c>
    </row>
    <row r="9" spans="1:7" x14ac:dyDescent="0.4">
      <c r="A9" s="68" t="s">
        <v>96</v>
      </c>
      <c r="B9" s="64" t="s">
        <v>49</v>
      </c>
      <c r="C9" s="50">
        <v>73</v>
      </c>
      <c r="D9" s="27">
        <f>IF(G$1=0,0,C9/G$1)</f>
        <v>0.14038461538461539</v>
      </c>
    </row>
    <row r="10" spans="1:7" x14ac:dyDescent="0.4">
      <c r="A10" s="68" t="s">
        <v>227</v>
      </c>
      <c r="B10" s="64" t="s">
        <v>24</v>
      </c>
      <c r="C10" s="50">
        <v>59</v>
      </c>
      <c r="D10" s="27">
        <f>IF(G$1=0,0,C10/G$1)</f>
        <v>0.11346153846153846</v>
      </c>
    </row>
    <row r="11" spans="1:7" x14ac:dyDescent="0.4">
      <c r="A11" s="68" t="s">
        <v>76</v>
      </c>
      <c r="B11" s="64" t="s">
        <v>29</v>
      </c>
      <c r="C11" s="50">
        <v>50</v>
      </c>
      <c r="D11" s="27">
        <f>IF(G$1=0,0,C11/G$1)</f>
        <v>9.6153846153846159E-2</v>
      </c>
    </row>
    <row r="12" spans="1:7" x14ac:dyDescent="0.4">
      <c r="A12" s="68" t="s">
        <v>93</v>
      </c>
      <c r="B12" s="64" t="s">
        <v>46</v>
      </c>
      <c r="C12" s="50">
        <v>39</v>
      </c>
      <c r="D12" s="27">
        <f>IF(G$1=0,0,C12/G$1)</f>
        <v>7.4999999999999997E-2</v>
      </c>
    </row>
    <row r="13" spans="1:7" x14ac:dyDescent="0.4">
      <c r="A13" s="68" t="s">
        <v>90</v>
      </c>
      <c r="B13" s="64" t="s">
        <v>43</v>
      </c>
      <c r="C13" s="50">
        <v>28</v>
      </c>
      <c r="D13" s="27">
        <f>IF(G$1=0,0,C13/G$1)</f>
        <v>5.3846153846153849E-2</v>
      </c>
    </row>
    <row r="14" spans="1:7" x14ac:dyDescent="0.4">
      <c r="A14" s="68" t="s">
        <v>77</v>
      </c>
      <c r="B14" s="64" t="s">
        <v>30</v>
      </c>
      <c r="C14" s="50">
        <v>25</v>
      </c>
      <c r="D14" s="27">
        <f>IF(G$1=0,0,C14/G$1)</f>
        <v>4.807692307692308E-2</v>
      </c>
    </row>
    <row r="15" spans="1:7" x14ac:dyDescent="0.4">
      <c r="A15" s="68" t="s">
        <v>84</v>
      </c>
      <c r="B15" s="64" t="s">
        <v>37</v>
      </c>
      <c r="C15" s="50">
        <v>16</v>
      </c>
      <c r="D15" s="27">
        <f>IF(G$1=0,0,C15/G$1)</f>
        <v>3.0769230769230771E-2</v>
      </c>
    </row>
    <row r="16" spans="1:7" x14ac:dyDescent="0.4">
      <c r="A16" s="68" t="s">
        <v>88</v>
      </c>
      <c r="B16" s="64" t="s">
        <v>41</v>
      </c>
      <c r="C16" s="50">
        <v>14</v>
      </c>
      <c r="D16" s="27">
        <f>IF(G$1=0,0,C16/G$1)</f>
        <v>2.6923076923076925E-2</v>
      </c>
    </row>
    <row r="17" spans="1:4" x14ac:dyDescent="0.4">
      <c r="A17" s="68" t="s">
        <v>85</v>
      </c>
      <c r="B17" s="64" t="s">
        <v>38</v>
      </c>
      <c r="C17" s="50">
        <v>9</v>
      </c>
      <c r="D17" s="27">
        <f>IF(G$1=0,0,C17/G$1)</f>
        <v>1.7307692307692309E-2</v>
      </c>
    </row>
    <row r="18" spans="1:4" x14ac:dyDescent="0.4">
      <c r="A18" s="68" t="s">
        <v>98</v>
      </c>
      <c r="B18" s="64" t="s">
        <v>51</v>
      </c>
      <c r="C18" s="50">
        <v>9</v>
      </c>
      <c r="D18" s="27">
        <f>IF(G$1=0,0,C18/G$1)</f>
        <v>1.7307692307692309E-2</v>
      </c>
    </row>
    <row r="19" spans="1:4" x14ac:dyDescent="0.4">
      <c r="A19" s="68" t="s">
        <v>79</v>
      </c>
      <c r="B19" s="64" t="s">
        <v>32</v>
      </c>
      <c r="C19" s="50">
        <v>5</v>
      </c>
      <c r="D19" s="27">
        <f>IF(G$1=0,0,C19/G$1)</f>
        <v>9.6153846153846159E-3</v>
      </c>
    </row>
    <row r="20" spans="1:4" x14ac:dyDescent="0.4">
      <c r="A20" s="68" t="s">
        <v>92</v>
      </c>
      <c r="B20" s="64" t="s">
        <v>45</v>
      </c>
      <c r="C20" s="50">
        <v>4</v>
      </c>
      <c r="D20" s="27">
        <f>IF(G$1=0,0,C20/G$1)</f>
        <v>7.6923076923076927E-3</v>
      </c>
    </row>
    <row r="21" spans="1:4" x14ac:dyDescent="0.4">
      <c r="A21" s="68" t="s">
        <v>99</v>
      </c>
      <c r="B21" s="64" t="s">
        <v>52</v>
      </c>
      <c r="C21" s="50">
        <v>4</v>
      </c>
      <c r="D21" s="27">
        <f>IF(G$1=0,0,C21/G$1)</f>
        <v>7.6923076923076927E-3</v>
      </c>
    </row>
    <row r="22" spans="1:4" x14ac:dyDescent="0.4">
      <c r="A22" s="68" t="s">
        <v>91</v>
      </c>
      <c r="B22" s="64" t="s">
        <v>44</v>
      </c>
      <c r="C22" s="50">
        <v>3</v>
      </c>
      <c r="D22" s="27">
        <f>IF(G$1=0,0,C22/G$1)</f>
        <v>5.7692307692307696E-3</v>
      </c>
    </row>
    <row r="23" spans="1:4" x14ac:dyDescent="0.4">
      <c r="A23" s="68" t="s">
        <v>81</v>
      </c>
      <c r="B23" s="64" t="s">
        <v>34</v>
      </c>
      <c r="C23" s="50">
        <v>3</v>
      </c>
      <c r="D23" s="27">
        <f>IF(G$1=0,0,C23/G$1)</f>
        <v>5.7692307692307696E-3</v>
      </c>
    </row>
    <row r="24" spans="1:4" x14ac:dyDescent="0.4">
      <c r="A24" s="68" t="s">
        <v>83</v>
      </c>
      <c r="B24" s="64" t="s">
        <v>36</v>
      </c>
      <c r="C24" s="50">
        <v>3</v>
      </c>
      <c r="D24" s="27">
        <f>IF(G$1=0,0,C24/G$1)</f>
        <v>5.7692307692307696E-3</v>
      </c>
    </row>
    <row r="25" spans="1:4" x14ac:dyDescent="0.4">
      <c r="A25" s="68" t="s">
        <v>94</v>
      </c>
      <c r="B25" s="64" t="s">
        <v>47</v>
      </c>
      <c r="C25" s="50">
        <v>2</v>
      </c>
      <c r="D25" s="27">
        <f>IF(G$1=0,0,C25/G$1)</f>
        <v>3.8461538461538464E-3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1.9230769230769232E-3</v>
      </c>
    </row>
    <row r="27" spans="1:4" x14ac:dyDescent="0.4">
      <c r="A27" s="68" t="s">
        <v>80</v>
      </c>
      <c r="B27" s="64" t="s">
        <v>33</v>
      </c>
      <c r="C27" s="50">
        <v>1</v>
      </c>
      <c r="D27" s="27">
        <f>IF(G$1=0,0,C27/G$1)</f>
        <v>1.9230769230769232E-3</v>
      </c>
    </row>
    <row r="28" spans="1:4" x14ac:dyDescent="0.4">
      <c r="A28" s="68" t="s">
        <v>95</v>
      </c>
      <c r="B28" s="64" t="s">
        <v>48</v>
      </c>
      <c r="C28" s="50">
        <v>1</v>
      </c>
      <c r="D28" s="27">
        <f>IF(G$1=0,0,C28/G$1)</f>
        <v>1.9230769230769232E-3</v>
      </c>
    </row>
    <row r="29" spans="1:4" x14ac:dyDescent="0.4">
      <c r="A29" s="68" t="s">
        <v>100</v>
      </c>
      <c r="B29" s="64" t="s">
        <v>53</v>
      </c>
      <c r="C29" s="50">
        <v>1</v>
      </c>
      <c r="D29" s="27">
        <f>IF(G$1=0,0,C29/G$1)</f>
        <v>1.9230769230769232E-3</v>
      </c>
    </row>
    <row r="30" spans="1:4" x14ac:dyDescent="0.4">
      <c r="A30" s="68" t="s">
        <v>113</v>
      </c>
      <c r="B30" s="64" t="s">
        <v>224</v>
      </c>
      <c r="C30" s="50">
        <v>1</v>
      </c>
      <c r="D30" s="27">
        <f>IF(G$1=0,0,C30/G$1)</f>
        <v>1.9230769230769232E-3</v>
      </c>
    </row>
    <row r="31" spans="1:4" x14ac:dyDescent="0.4">
      <c r="A31" s="68" t="s">
        <v>97</v>
      </c>
      <c r="B31" s="64" t="s">
        <v>50</v>
      </c>
      <c r="C31" s="50">
        <v>1</v>
      </c>
      <c r="D31" s="27">
        <f>IF(G$1=0,0,C31/G$1)</f>
        <v>1.9230769230769232E-3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223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225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03BBB-BBAC-40D6-A73B-93357014AB24}">
  <sheetPr codeName="Sheet4"/>
  <dimension ref="A1:P12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186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125</v>
      </c>
      <c r="C2" s="81"/>
      <c r="E2" s="67" t="s">
        <v>73</v>
      </c>
      <c r="F2" s="63" t="s">
        <v>27</v>
      </c>
      <c r="G2" s="49">
        <v>148</v>
      </c>
      <c r="H2" s="24">
        <f>IF(B$25=0,0,G2/B$25)</f>
        <v>0.95483870967741935</v>
      </c>
      <c r="J2" s="23">
        <v>0</v>
      </c>
      <c r="K2" s="25">
        <v>0</v>
      </c>
      <c r="M2" s="23" t="s">
        <v>198</v>
      </c>
      <c r="N2" s="44">
        <f t="shared" ref="N2:N7" si="0">IF(P2=0,0,O2/P2)</f>
        <v>742.14876033057851</v>
      </c>
      <c r="O2" s="41">
        <v>89800</v>
      </c>
      <c r="P2" s="39">
        <v>121</v>
      </c>
    </row>
    <row r="3" spans="1:16" x14ac:dyDescent="0.4">
      <c r="A3" s="58" t="s">
        <v>8</v>
      </c>
      <c r="B3" s="86">
        <v>902</v>
      </c>
      <c r="C3" s="87"/>
      <c r="E3" s="68" t="s">
        <v>71</v>
      </c>
      <c r="F3" s="64" t="s">
        <v>25</v>
      </c>
      <c r="G3" s="50">
        <v>95</v>
      </c>
      <c r="H3" s="27">
        <f>IF(B$25=0,0,G3/B$25)</f>
        <v>0.61290322580645162</v>
      </c>
      <c r="J3" s="26">
        <v>1</v>
      </c>
      <c r="K3" s="28">
        <v>15</v>
      </c>
      <c r="M3" s="26" t="s">
        <v>199</v>
      </c>
      <c r="N3" s="45">
        <f t="shared" si="0"/>
        <v>1298.2608695652175</v>
      </c>
      <c r="O3" s="42">
        <v>149300</v>
      </c>
      <c r="P3" s="37">
        <v>115</v>
      </c>
    </row>
    <row r="4" spans="1:16" x14ac:dyDescent="0.4">
      <c r="A4" s="58" t="s">
        <v>6</v>
      </c>
      <c r="B4" s="88">
        <v>515.10000000000014</v>
      </c>
      <c r="C4" s="89"/>
      <c r="E4" s="68" t="s">
        <v>78</v>
      </c>
      <c r="F4" s="64" t="s">
        <v>31</v>
      </c>
      <c r="G4" s="50">
        <v>84</v>
      </c>
      <c r="H4" s="27">
        <f>IF(B$25=0,0,G4/B$25)</f>
        <v>0.54193548387096779</v>
      </c>
      <c r="J4" s="26">
        <v>2</v>
      </c>
      <c r="K4" s="28">
        <v>14</v>
      </c>
      <c r="M4" s="26" t="s">
        <v>200</v>
      </c>
      <c r="N4" s="45">
        <f t="shared" si="0"/>
        <v>1023.8095238095239</v>
      </c>
      <c r="O4" s="42">
        <v>107500</v>
      </c>
      <c r="P4" s="37">
        <v>105</v>
      </c>
    </row>
    <row r="5" spans="1:16" x14ac:dyDescent="0.4">
      <c r="A5" s="58" t="s">
        <v>7</v>
      </c>
      <c r="B5" s="88">
        <f>IF(B$2=0,0,B$4/B$2)</f>
        <v>4.1208000000000009</v>
      </c>
      <c r="C5" s="89"/>
      <c r="E5" s="68" t="s">
        <v>69</v>
      </c>
      <c r="F5" s="64" t="s">
        <v>23</v>
      </c>
      <c r="G5" s="50">
        <v>81</v>
      </c>
      <c r="H5" s="27">
        <f>IF(B$25=0,0,G5/B$25)</f>
        <v>0.52258064516129032</v>
      </c>
      <c r="J5" s="26">
        <v>3</v>
      </c>
      <c r="K5" s="28">
        <v>29.1</v>
      </c>
      <c r="M5" s="26" t="s">
        <v>201</v>
      </c>
      <c r="N5" s="45">
        <f t="shared" si="0"/>
        <v>1353.2608695652175</v>
      </c>
      <c r="O5" s="42">
        <v>124500</v>
      </c>
      <c r="P5" s="37">
        <v>92</v>
      </c>
    </row>
    <row r="6" spans="1:16" x14ac:dyDescent="0.4">
      <c r="A6" s="58" t="s">
        <v>1</v>
      </c>
      <c r="B6" s="90">
        <f>IF(B$2=0,0,(B$7*1+B$8*2+B$9*3)/B$2)</f>
        <v>1.8560000000000001</v>
      </c>
      <c r="C6" s="91"/>
      <c r="E6" s="68" t="s">
        <v>74</v>
      </c>
      <c r="F6" s="64" t="s">
        <v>12</v>
      </c>
      <c r="G6" s="50">
        <v>41</v>
      </c>
      <c r="H6" s="27">
        <f>IF(B$25=0,0,G6/B$25)</f>
        <v>0.26451612903225807</v>
      </c>
      <c r="J6" s="26">
        <v>4</v>
      </c>
      <c r="K6" s="28">
        <v>114.30000000000001</v>
      </c>
      <c r="M6" s="26" t="s">
        <v>202</v>
      </c>
      <c r="N6" s="45">
        <f t="shared" si="0"/>
        <v>220</v>
      </c>
      <c r="O6" s="42">
        <v>16500</v>
      </c>
      <c r="P6" s="37">
        <v>75</v>
      </c>
    </row>
    <row r="7" spans="1:16" x14ac:dyDescent="0.4">
      <c r="A7" s="58" t="s">
        <v>2</v>
      </c>
      <c r="B7" s="50">
        <v>50</v>
      </c>
      <c r="C7" s="27">
        <f>IF(B$2=0,0,B7/B$2)</f>
        <v>0.4</v>
      </c>
      <c r="E7" s="68" t="s">
        <v>72</v>
      </c>
      <c r="F7" s="64" t="s">
        <v>26</v>
      </c>
      <c r="G7" s="50">
        <v>36</v>
      </c>
      <c r="H7" s="27">
        <f>IF(B$25=0,0,G7/B$25)</f>
        <v>0.23225806451612904</v>
      </c>
      <c r="J7" s="26">
        <v>5</v>
      </c>
      <c r="K7" s="28">
        <v>145.80000000000001</v>
      </c>
      <c r="M7" s="31" t="s">
        <v>203</v>
      </c>
      <c r="N7" s="46">
        <f t="shared" si="0"/>
        <v>-154.54545454545453</v>
      </c>
      <c r="O7" s="43">
        <v>-8500</v>
      </c>
      <c r="P7" s="38">
        <v>55</v>
      </c>
    </row>
    <row r="8" spans="1:16" x14ac:dyDescent="0.4">
      <c r="A8" s="58" t="s">
        <v>3</v>
      </c>
      <c r="B8" s="50">
        <v>43</v>
      </c>
      <c r="C8" s="27">
        <f t="shared" ref="C8:C9" si="1">IF(B$2=0,0,B8/B$2)</f>
        <v>0.34399999999999997</v>
      </c>
      <c r="E8" s="68" t="s">
        <v>75</v>
      </c>
      <c r="F8" s="64" t="s">
        <v>28</v>
      </c>
      <c r="G8" s="50">
        <v>28</v>
      </c>
      <c r="H8" s="27">
        <f>IF(B$25=0,0,G8/B$25)</f>
        <v>0.18064516129032257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32</v>
      </c>
      <c r="C9" s="29">
        <f t="shared" si="1"/>
        <v>0.25600000000000001</v>
      </c>
      <c r="E9" s="68" t="s">
        <v>96</v>
      </c>
      <c r="F9" s="64" t="s">
        <v>49</v>
      </c>
      <c r="G9" s="50">
        <v>24</v>
      </c>
      <c r="H9" s="27">
        <f>IF(B$25=0,0,G9/B$25)</f>
        <v>0.15483870967741936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0.13600000000000001</v>
      </c>
      <c r="E10" s="68" t="s">
        <v>70</v>
      </c>
      <c r="F10" s="64" t="s">
        <v>24</v>
      </c>
      <c r="G10" s="50">
        <v>13</v>
      </c>
      <c r="H10" s="27">
        <f>IF(B$25=0,0,G10/B$25)</f>
        <v>8.387096774193549E-2</v>
      </c>
      <c r="J10" s="26">
        <v>8</v>
      </c>
      <c r="K10" s="28">
        <v>55.700000000000017</v>
      </c>
    </row>
    <row r="11" spans="1:16" x14ac:dyDescent="0.4">
      <c r="A11" s="60" t="s">
        <v>208</v>
      </c>
      <c r="B11" s="52">
        <v>27</v>
      </c>
      <c r="C11" s="32">
        <f>IF(B$2=0,0,B11/B$2)</f>
        <v>0.216</v>
      </c>
      <c r="E11" s="68" t="s">
        <v>76</v>
      </c>
      <c r="F11" s="64" t="s">
        <v>29</v>
      </c>
      <c r="G11" s="50">
        <v>12</v>
      </c>
      <c r="H11" s="27">
        <f>IF(B$25=0,0,G11/B$25)</f>
        <v>7.7419354838709681E-2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125</v>
      </c>
      <c r="C12" s="35">
        <f>IF(B$24=0,0,B12/B$24)</f>
        <v>0.2847380410022779</v>
      </c>
      <c r="E12" s="68" t="s">
        <v>77</v>
      </c>
      <c r="F12" s="64" t="s">
        <v>30</v>
      </c>
      <c r="G12" s="50">
        <v>11</v>
      </c>
      <c r="H12" s="27">
        <f>IF(B$25=0,0,G12/B$25)</f>
        <v>7.0967741935483872E-2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92</v>
      </c>
      <c r="C13" s="27">
        <f>IF(B$24=0,0,B13/B$24)</f>
        <v>0.20956719817767655</v>
      </c>
      <c r="E13" s="68" t="s">
        <v>93</v>
      </c>
      <c r="F13" s="64" t="s">
        <v>46</v>
      </c>
      <c r="G13" s="50">
        <v>9</v>
      </c>
      <c r="H13" s="27">
        <f>IF(B$25=0,0,G13/B$25)</f>
        <v>5.8064516129032261E-2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85</v>
      </c>
      <c r="C14" s="24">
        <f>IF(B$12=0,0,B14/B$12)</f>
        <v>0.68</v>
      </c>
      <c r="E14" s="68" t="s">
        <v>90</v>
      </c>
      <c r="F14" s="64" t="s">
        <v>43</v>
      </c>
      <c r="G14" s="50">
        <v>6</v>
      </c>
      <c r="H14" s="27">
        <f>IF(B$25=0,0,G14/B$25)</f>
        <v>3.870967741935484E-2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40</v>
      </c>
      <c r="C15" s="24">
        <f>IF(B$13=0,0,B15/B$13)</f>
        <v>0.43478260869565216</v>
      </c>
      <c r="E15" s="68" t="s">
        <v>83</v>
      </c>
      <c r="F15" s="64" t="s">
        <v>36</v>
      </c>
      <c r="G15" s="50">
        <v>3</v>
      </c>
      <c r="H15" s="27">
        <f>IF(B$25=0,0,G15/B$25)</f>
        <v>1.935483870967742E-2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B17+B18</f>
        <v>314</v>
      </c>
      <c r="C16" s="24">
        <f>IF(B$3=0,0,B16/B$3)</f>
        <v>0.34811529933481156</v>
      </c>
      <c r="E16" s="68" t="s">
        <v>88</v>
      </c>
      <c r="F16" s="64" t="s">
        <v>41</v>
      </c>
      <c r="G16" s="50">
        <v>3</v>
      </c>
      <c r="H16" s="27">
        <f>IF(B$25=0,0,G16/B$25)</f>
        <v>1.935483870967742E-2</v>
      </c>
      <c r="J16" s="26">
        <v>14</v>
      </c>
      <c r="K16" s="28">
        <v>27.300000000000011</v>
      </c>
    </row>
    <row r="17" spans="1:11" x14ac:dyDescent="0.4">
      <c r="A17" s="58" t="s">
        <v>11</v>
      </c>
      <c r="B17" s="50">
        <v>199</v>
      </c>
      <c r="C17" s="27">
        <f>IF(B$3=0,0,B17/B$3)</f>
        <v>0.22062084257206208</v>
      </c>
      <c r="E17" s="68" t="s">
        <v>79</v>
      </c>
      <c r="F17" s="64" t="s">
        <v>32</v>
      </c>
      <c r="G17" s="50">
        <v>2</v>
      </c>
      <c r="H17" s="27">
        <f>IF(B$25=0,0,G17/B$25)</f>
        <v>1.2903225806451613E-2</v>
      </c>
      <c r="J17" s="26">
        <v>15</v>
      </c>
      <c r="K17" s="28">
        <v>-9.6999999999999886</v>
      </c>
    </row>
    <row r="18" spans="1:11" x14ac:dyDescent="0.4">
      <c r="A18" s="58" t="s">
        <v>12</v>
      </c>
      <c r="B18" s="50">
        <v>115</v>
      </c>
      <c r="C18" s="27">
        <f>IF(B$3=0,0,B18/B$3)</f>
        <v>0.12749445676274945</v>
      </c>
      <c r="E18" s="68" t="s">
        <v>99</v>
      </c>
      <c r="F18" s="64" t="s">
        <v>52</v>
      </c>
      <c r="G18" s="50">
        <v>2</v>
      </c>
      <c r="H18" s="27">
        <f>IF(B$25=0,0,G18/B$25)</f>
        <v>1.2903225806451613E-2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144</v>
      </c>
      <c r="C19" s="27">
        <f>IF(B$3=0,0,B19/B$3)</f>
        <v>0.15964523281596452</v>
      </c>
      <c r="E19" s="68" t="s">
        <v>81</v>
      </c>
      <c r="F19" s="64" t="s">
        <v>34</v>
      </c>
      <c r="G19" s="50">
        <v>1</v>
      </c>
      <c r="H19" s="27">
        <f>IF(B$25=0,0,G19/B$25)</f>
        <v>6.4516129032258064E-3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10003.184713375796</v>
      </c>
      <c r="C20" s="30">
        <v>3141000</v>
      </c>
      <c r="E20" s="68" t="s">
        <v>84</v>
      </c>
      <c r="F20" s="64" t="s">
        <v>37</v>
      </c>
      <c r="G20" s="50">
        <v>1</v>
      </c>
      <c r="H20" s="27">
        <f>IF(B$25=0,0,G20/B$25)</f>
        <v>6.4516129032258064E-3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-9804.1666666666661</v>
      </c>
      <c r="C21" s="48">
        <v>-1411800</v>
      </c>
      <c r="E21" s="68" t="s">
        <v>85</v>
      </c>
      <c r="F21" s="64" t="s">
        <v>38</v>
      </c>
      <c r="G21" s="50">
        <v>1</v>
      </c>
      <c r="H21" s="27">
        <f>IF(B$25=0,0,G21/B$25)</f>
        <v>6.4516129032258064E-3</v>
      </c>
      <c r="J21" s="26">
        <v>19</v>
      </c>
      <c r="K21" s="28">
        <v>42.600000000000016</v>
      </c>
    </row>
    <row r="22" spans="1:11" x14ac:dyDescent="0.4">
      <c r="A22" s="57" t="s">
        <v>195</v>
      </c>
      <c r="B22" s="49">
        <v>316</v>
      </c>
      <c r="C22" s="24">
        <f>IF(B$3=0,0,B22/B$3)</f>
        <v>0.35033259423503327</v>
      </c>
      <c r="E22" s="68" t="s">
        <v>92</v>
      </c>
      <c r="F22" s="64" t="s">
        <v>45</v>
      </c>
      <c r="G22" s="50">
        <v>1</v>
      </c>
      <c r="H22" s="27">
        <f>IF(B$25=0,0,G22/B$25)</f>
        <v>6.4516129032258064E-3</v>
      </c>
      <c r="J22" s="26">
        <v>20</v>
      </c>
      <c r="K22" s="28">
        <v>68.800000000000011</v>
      </c>
    </row>
    <row r="23" spans="1:11" x14ac:dyDescent="0.4">
      <c r="A23" s="60" t="s">
        <v>196</v>
      </c>
      <c r="B23" s="52">
        <v>132</v>
      </c>
      <c r="C23" s="32">
        <f>IF(B$22=0,0,B23/B$22)</f>
        <v>0.41772151898734178</v>
      </c>
      <c r="E23" s="68" t="s">
        <v>94</v>
      </c>
      <c r="F23" s="64" t="s">
        <v>47</v>
      </c>
      <c r="G23" s="50">
        <v>1</v>
      </c>
      <c r="H23" s="27">
        <f>IF(B$25=0,0,G23/B$25)</f>
        <v>6.4516129032258064E-3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0">
        <v>439</v>
      </c>
      <c r="C24" s="81"/>
      <c r="E24" s="68" t="s">
        <v>97</v>
      </c>
      <c r="F24" s="64" t="s">
        <v>50</v>
      </c>
      <c r="G24" s="50">
        <v>1</v>
      </c>
      <c r="H24" s="27">
        <f>IF(B$25=0,0,G24/B$25)</f>
        <v>6.4516129032258064E-3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2">
        <v>155</v>
      </c>
      <c r="C25" s="83"/>
      <c r="E25" s="68" t="s">
        <v>98</v>
      </c>
      <c r="F25" s="64" t="s">
        <v>51</v>
      </c>
      <c r="G25" s="50">
        <v>1</v>
      </c>
      <c r="H25" s="27">
        <f>IF(B$25=0,0,G25/B$25)</f>
        <v>6.4516129032258064E-3</v>
      </c>
      <c r="J25" s="26">
        <v>23</v>
      </c>
      <c r="K25" s="28">
        <v>124.50000000000001</v>
      </c>
    </row>
    <row r="26" spans="1:11" x14ac:dyDescent="0.4">
      <c r="E26" s="68" t="s">
        <v>113</v>
      </c>
      <c r="F26" s="64" t="s">
        <v>120</v>
      </c>
      <c r="G26" s="50">
        <v>1</v>
      </c>
      <c r="H26" s="27">
        <f>IF(B$25=0,0,G26/B$25)</f>
        <v>6.4516129032258064E-3</v>
      </c>
      <c r="J26" s="26">
        <v>24</v>
      </c>
      <c r="K26" s="28">
        <v>118.00000000000001</v>
      </c>
    </row>
    <row r="27" spans="1:11" x14ac:dyDescent="0.4"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</sheetData>
  <sortState ref="E2:H127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28A050-0330-4FED-A8B5-AECDEFF52A90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191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86">
        <v>25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199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88">
        <v>-132.1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200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88">
        <f>IF(B$2=0,0,B$4/B$2)</f>
        <v>-33.024999999999999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201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0">
        <f>IF(B$2=0,0,(B$7*1+B$8*2+B$9*3)/B$2)</f>
        <v>3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202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926F1-8423-4548-871C-27733C1E9950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215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2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">
      <c r="A3" s="58" t="s">
        <v>8</v>
      </c>
      <c r="B3" s="86">
        <v>7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199</v>
      </c>
      <c r="N3" s="45">
        <f t="shared" si="0"/>
        <v>0</v>
      </c>
      <c r="O3" s="42">
        <v>0</v>
      </c>
      <c r="P3" s="37">
        <v>1</v>
      </c>
    </row>
    <row r="4" spans="1:16" x14ac:dyDescent="0.4">
      <c r="A4" s="58" t="s">
        <v>6</v>
      </c>
      <c r="B4" s="88">
        <v>-24.5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200</v>
      </c>
      <c r="N4" s="45">
        <f t="shared" si="0"/>
        <v>-2000</v>
      </c>
      <c r="O4" s="42">
        <v>-2000</v>
      </c>
      <c r="P4" s="37">
        <v>1</v>
      </c>
    </row>
    <row r="5" spans="1:16" x14ac:dyDescent="0.4">
      <c r="A5" s="58" t="s">
        <v>7</v>
      </c>
      <c r="B5" s="88">
        <f>IF(B$2=0,0,B$4/B$2)</f>
        <v>-12.25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201</v>
      </c>
      <c r="N5" s="45">
        <f t="shared" si="0"/>
        <v>0</v>
      </c>
      <c r="O5" s="42">
        <v>0</v>
      </c>
      <c r="P5" s="37">
        <v>0</v>
      </c>
    </row>
    <row r="6" spans="1:16" x14ac:dyDescent="0.4">
      <c r="A6" s="58" t="s">
        <v>1</v>
      </c>
      <c r="B6" s="90">
        <f>IF(B$2=0,0,(B$7*1+B$8*2+B$9*3)/B$2)</f>
        <v>2.5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202</v>
      </c>
      <c r="N6" s="45">
        <f t="shared" si="0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2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90C65-4CBE-48A5-B72A-3788260022FE}">
  <sheetPr codeName="Sheet7"/>
  <dimension ref="A1:P87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187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85</v>
      </c>
      <c r="C2" s="81"/>
      <c r="E2" s="67" t="s">
        <v>73</v>
      </c>
      <c r="F2" s="63" t="s">
        <v>27</v>
      </c>
      <c r="G2" s="49">
        <v>78</v>
      </c>
      <c r="H2" s="24">
        <f>IF(B$25=0,0,G2/B$25)</f>
        <v>0.78</v>
      </c>
      <c r="J2" s="23">
        <v>0</v>
      </c>
      <c r="K2" s="25">
        <v>0</v>
      </c>
      <c r="M2" s="23" t="s">
        <v>198</v>
      </c>
      <c r="N2" s="44">
        <f t="shared" ref="N2:N7" si="0">IF(P2=0,0,O2/P2)</f>
        <v>-93.975903614457835</v>
      </c>
      <c r="O2" s="41">
        <v>-7800</v>
      </c>
      <c r="P2" s="39">
        <v>83</v>
      </c>
    </row>
    <row r="3" spans="1:16" x14ac:dyDescent="0.4">
      <c r="A3" s="58" t="s">
        <v>8</v>
      </c>
      <c r="B3" s="86">
        <v>635</v>
      </c>
      <c r="C3" s="87"/>
      <c r="E3" s="68" t="s">
        <v>71</v>
      </c>
      <c r="F3" s="64" t="s">
        <v>25</v>
      </c>
      <c r="G3" s="50">
        <v>67</v>
      </c>
      <c r="H3" s="27">
        <f>IF(B$25=0,0,G3/B$25)</f>
        <v>0.67</v>
      </c>
      <c r="J3" s="26">
        <v>1</v>
      </c>
      <c r="K3" s="28">
        <v>40.9</v>
      </c>
      <c r="M3" s="26" t="s">
        <v>199</v>
      </c>
      <c r="N3" s="45">
        <f t="shared" si="0"/>
        <v>-2065.8227848101264</v>
      </c>
      <c r="O3" s="42">
        <v>-163200</v>
      </c>
      <c r="P3" s="37">
        <v>79</v>
      </c>
    </row>
    <row r="4" spans="1:16" x14ac:dyDescent="0.4">
      <c r="A4" s="58" t="s">
        <v>6</v>
      </c>
      <c r="B4" s="88">
        <v>-409.89999999999992</v>
      </c>
      <c r="C4" s="89"/>
      <c r="E4" s="68" t="s">
        <v>69</v>
      </c>
      <c r="F4" s="64" t="s">
        <v>23</v>
      </c>
      <c r="G4" s="50">
        <v>58</v>
      </c>
      <c r="H4" s="27">
        <f>IF(B$25=0,0,G4/B$25)</f>
        <v>0.57999999999999996</v>
      </c>
      <c r="J4" s="26">
        <v>2</v>
      </c>
      <c r="K4" s="28">
        <v>-0.89999999999999858</v>
      </c>
      <c r="M4" s="26" t="s">
        <v>200</v>
      </c>
      <c r="N4" s="45">
        <f t="shared" si="0"/>
        <v>1719.7368421052631</v>
      </c>
      <c r="O4" s="42">
        <v>130700</v>
      </c>
      <c r="P4" s="37">
        <v>76</v>
      </c>
    </row>
    <row r="5" spans="1:16" x14ac:dyDescent="0.4">
      <c r="A5" s="58" t="s">
        <v>7</v>
      </c>
      <c r="B5" s="88">
        <f>IF(B$2=0,0,B$4/B$2)</f>
        <v>-4.8223529411764696</v>
      </c>
      <c r="C5" s="89"/>
      <c r="E5" s="68" t="s">
        <v>78</v>
      </c>
      <c r="F5" s="64" t="s">
        <v>31</v>
      </c>
      <c r="G5" s="50">
        <v>55</v>
      </c>
      <c r="H5" s="27">
        <f>IF(B$25=0,0,G5/B$25)</f>
        <v>0.55000000000000004</v>
      </c>
      <c r="J5" s="26">
        <v>3</v>
      </c>
      <c r="K5" s="28">
        <v>-36.4</v>
      </c>
      <c r="M5" s="26" t="s">
        <v>201</v>
      </c>
      <c r="N5" s="45">
        <f t="shared" si="0"/>
        <v>-2104.4776119402986</v>
      </c>
      <c r="O5" s="42">
        <v>-141000</v>
      </c>
      <c r="P5" s="37">
        <v>67</v>
      </c>
    </row>
    <row r="6" spans="1:16" x14ac:dyDescent="0.4">
      <c r="A6" s="58" t="s">
        <v>1</v>
      </c>
      <c r="B6" s="90">
        <f>IF(B$2=0,0,(B$7*1+B$8*2+B$9*3)/B$2)</f>
        <v>2.1294117647058823</v>
      </c>
      <c r="C6" s="91"/>
      <c r="E6" s="68" t="s">
        <v>74</v>
      </c>
      <c r="F6" s="64" t="s">
        <v>12</v>
      </c>
      <c r="G6" s="50">
        <v>32</v>
      </c>
      <c r="H6" s="27">
        <f>IF(B$25=0,0,G6/B$25)</f>
        <v>0.32</v>
      </c>
      <c r="J6" s="26">
        <v>4</v>
      </c>
      <c r="K6" s="28">
        <v>3.6000000000000014</v>
      </c>
      <c r="M6" s="26" t="s">
        <v>202</v>
      </c>
      <c r="N6" s="45">
        <f t="shared" si="0"/>
        <v>-2888.8888888888887</v>
      </c>
      <c r="O6" s="42">
        <v>-156000</v>
      </c>
      <c r="P6" s="37">
        <v>54</v>
      </c>
    </row>
    <row r="7" spans="1:16" x14ac:dyDescent="0.4">
      <c r="A7" s="58" t="s">
        <v>2</v>
      </c>
      <c r="B7" s="50">
        <v>25</v>
      </c>
      <c r="C7" s="27">
        <f>IF(B$2=0,0,B7/B$2)</f>
        <v>0.29411764705882354</v>
      </c>
      <c r="E7" s="68" t="s">
        <v>72</v>
      </c>
      <c r="F7" s="64" t="s">
        <v>26</v>
      </c>
      <c r="G7" s="50">
        <v>24</v>
      </c>
      <c r="H7" s="27">
        <f>IF(B$25=0,0,G7/B$25)</f>
        <v>0.24</v>
      </c>
      <c r="J7" s="26">
        <v>5</v>
      </c>
      <c r="K7" s="28">
        <v>14.600000000000001</v>
      </c>
      <c r="M7" s="31" t="s">
        <v>203</v>
      </c>
      <c r="N7" s="46">
        <f t="shared" si="0"/>
        <v>-2697.560975609756</v>
      </c>
      <c r="O7" s="43">
        <v>-110600</v>
      </c>
      <c r="P7" s="38">
        <v>41</v>
      </c>
    </row>
    <row r="8" spans="1:16" x14ac:dyDescent="0.4">
      <c r="A8" s="58" t="s">
        <v>3</v>
      </c>
      <c r="B8" s="50">
        <v>24</v>
      </c>
      <c r="C8" s="27">
        <f t="shared" ref="C8:C9" si="1">IF(B$2=0,0,B8/B$2)</f>
        <v>0.28235294117647058</v>
      </c>
      <c r="E8" s="68" t="s">
        <v>75</v>
      </c>
      <c r="F8" s="64" t="s">
        <v>28</v>
      </c>
      <c r="G8" s="50">
        <v>14</v>
      </c>
      <c r="H8" s="27">
        <f>IF(B$25=0,0,G8/B$25)</f>
        <v>0.14000000000000001</v>
      </c>
      <c r="J8" s="26">
        <v>6</v>
      </c>
      <c r="K8" s="28">
        <v>47.6</v>
      </c>
    </row>
    <row r="9" spans="1:16" x14ac:dyDescent="0.4">
      <c r="A9" s="59" t="s">
        <v>4</v>
      </c>
      <c r="B9" s="51">
        <v>36</v>
      </c>
      <c r="C9" s="29">
        <f t="shared" si="1"/>
        <v>0.42352941176470588</v>
      </c>
      <c r="E9" s="68" t="s">
        <v>76</v>
      </c>
      <c r="F9" s="64" t="s">
        <v>29</v>
      </c>
      <c r="G9" s="50">
        <v>14</v>
      </c>
      <c r="H9" s="27">
        <f>IF(B$25=0,0,G9/B$25)</f>
        <v>0.14000000000000001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21</v>
      </c>
      <c r="C10" s="29">
        <f>IF(B$2=0,0,B10/B$2)</f>
        <v>0.24705882352941178</v>
      </c>
      <c r="E10" s="68" t="s">
        <v>96</v>
      </c>
      <c r="F10" s="64" t="s">
        <v>49</v>
      </c>
      <c r="G10" s="50">
        <v>14</v>
      </c>
      <c r="H10" s="27">
        <f>IF(B$25=0,0,G10/B$25)</f>
        <v>0.14000000000000001</v>
      </c>
      <c r="J10" s="26">
        <v>8</v>
      </c>
      <c r="K10" s="28">
        <v>60.199999999999996</v>
      </c>
    </row>
    <row r="11" spans="1:16" x14ac:dyDescent="0.4">
      <c r="A11" s="60" t="s">
        <v>208</v>
      </c>
      <c r="B11" s="52">
        <v>13</v>
      </c>
      <c r="C11" s="32">
        <f>IF(B$2=0,0,B11/B$2)</f>
        <v>0.15294117647058825</v>
      </c>
      <c r="E11" s="68" t="s">
        <v>93</v>
      </c>
      <c r="F11" s="64" t="s">
        <v>46</v>
      </c>
      <c r="G11" s="50">
        <v>13</v>
      </c>
      <c r="H11" s="27">
        <f>IF(B$25=0,0,G11/B$25)</f>
        <v>0.13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106</v>
      </c>
      <c r="C12" s="35">
        <f>IF(B$24=0,0,B12/B$24)</f>
        <v>0.28342245989304815</v>
      </c>
      <c r="E12" s="68" t="s">
        <v>70</v>
      </c>
      <c r="F12" s="64" t="s">
        <v>24</v>
      </c>
      <c r="G12" s="50">
        <v>12</v>
      </c>
      <c r="H12" s="27">
        <f>IF(B$25=0,0,G12/B$25)</f>
        <v>0.12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67</v>
      </c>
      <c r="C13" s="27">
        <f>IF(B$24=0,0,B13/B$24)</f>
        <v>0.17914438502673796</v>
      </c>
      <c r="E13" s="68" t="s">
        <v>90</v>
      </c>
      <c r="F13" s="64" t="s">
        <v>43</v>
      </c>
      <c r="G13" s="50">
        <v>10</v>
      </c>
      <c r="H13" s="27">
        <f>IF(B$25=0,0,G13/B$25)</f>
        <v>0.1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59</v>
      </c>
      <c r="C14" s="24">
        <f>IF(B$12=0,0,B14/B$12)</f>
        <v>0.55660377358490565</v>
      </c>
      <c r="E14" s="68" t="s">
        <v>98</v>
      </c>
      <c r="F14" s="64" t="s">
        <v>51</v>
      </c>
      <c r="G14" s="50">
        <v>6</v>
      </c>
      <c r="H14" s="27">
        <f>IF(B$25=0,0,G14/B$25)</f>
        <v>0.06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26</v>
      </c>
      <c r="C15" s="24">
        <f>IF(B$13=0,0,B15/B$13)</f>
        <v>0.38805970149253732</v>
      </c>
      <c r="E15" s="68" t="s">
        <v>77</v>
      </c>
      <c r="F15" s="64" t="s">
        <v>30</v>
      </c>
      <c r="G15" s="50">
        <v>4</v>
      </c>
      <c r="H15" s="27">
        <f>IF(B$25=0,0,G15/B$25)</f>
        <v>0.04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B17+B18</f>
        <v>161</v>
      </c>
      <c r="C16" s="24">
        <f>IF(B$3=0,0,B16/B$3)</f>
        <v>0.25354330708661416</v>
      </c>
      <c r="E16" s="68" t="s">
        <v>88</v>
      </c>
      <c r="F16" s="64" t="s">
        <v>41</v>
      </c>
      <c r="G16" s="50">
        <v>4</v>
      </c>
      <c r="H16" s="27">
        <f>IF(B$25=0,0,G16/B$25)</f>
        <v>0.04</v>
      </c>
      <c r="J16" s="26">
        <v>14</v>
      </c>
      <c r="K16" s="28">
        <v>33</v>
      </c>
    </row>
    <row r="17" spans="1:11" x14ac:dyDescent="0.4">
      <c r="A17" s="58" t="s">
        <v>11</v>
      </c>
      <c r="B17" s="50">
        <v>96</v>
      </c>
      <c r="C17" s="27">
        <f>IF(B$3=0,0,B17/B$3)</f>
        <v>0.15118110236220472</v>
      </c>
      <c r="E17" s="68" t="s">
        <v>84</v>
      </c>
      <c r="F17" s="64" t="s">
        <v>37</v>
      </c>
      <c r="G17" s="50">
        <v>2</v>
      </c>
      <c r="H17" s="27">
        <f>IF(B$25=0,0,G17/B$25)</f>
        <v>0.02</v>
      </c>
      <c r="J17" s="26">
        <v>15</v>
      </c>
      <c r="K17" s="28">
        <v>38.5</v>
      </c>
    </row>
    <row r="18" spans="1:11" x14ac:dyDescent="0.4">
      <c r="A18" s="58" t="s">
        <v>12</v>
      </c>
      <c r="B18" s="50">
        <v>65</v>
      </c>
      <c r="C18" s="27">
        <f>IF(B$3=0,0,B18/B$3)</f>
        <v>0.10236220472440945</v>
      </c>
      <c r="E18" s="68" t="s">
        <v>85</v>
      </c>
      <c r="F18" s="64" t="s">
        <v>38</v>
      </c>
      <c r="G18" s="50">
        <v>2</v>
      </c>
      <c r="H18" s="27">
        <f>IF(B$25=0,0,G18/B$25)</f>
        <v>0.02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125</v>
      </c>
      <c r="C19" s="27">
        <f>IF(B$3=0,0,B19/B$3)</f>
        <v>0.19685039370078741</v>
      </c>
      <c r="E19" s="68" t="s">
        <v>92</v>
      </c>
      <c r="F19" s="64" t="s">
        <v>45</v>
      </c>
      <c r="G19" s="50">
        <v>2</v>
      </c>
      <c r="H19" s="27">
        <f>IF(B$25=0,0,G19/B$25)</f>
        <v>0.02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11440.372670807454</v>
      </c>
      <c r="C20" s="30">
        <v>1841900</v>
      </c>
      <c r="E20" s="68" t="s">
        <v>99</v>
      </c>
      <c r="F20" s="64" t="s">
        <v>52</v>
      </c>
      <c r="G20" s="50">
        <v>2</v>
      </c>
      <c r="H20" s="27">
        <f>IF(B$25=0,0,G20/B$25)</f>
        <v>0.02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-10404</v>
      </c>
      <c r="C21" s="48">
        <v>-1300500</v>
      </c>
      <c r="E21" s="68" t="s">
        <v>87</v>
      </c>
      <c r="F21" s="64" t="s">
        <v>40</v>
      </c>
      <c r="G21" s="50">
        <v>1</v>
      </c>
      <c r="H21" s="27">
        <f>IF(B$25=0,0,G21/B$25)</f>
        <v>0.01</v>
      </c>
      <c r="J21" s="26">
        <v>19</v>
      </c>
      <c r="K21" s="28">
        <v>-26.699999999999996</v>
      </c>
    </row>
    <row r="22" spans="1:11" x14ac:dyDescent="0.4">
      <c r="A22" s="57" t="s">
        <v>195</v>
      </c>
      <c r="B22" s="49">
        <v>196</v>
      </c>
      <c r="C22" s="24">
        <f>IF(B$3=0,0,B22/B$3)</f>
        <v>0.30866141732283464</v>
      </c>
      <c r="E22" s="68" t="s">
        <v>91</v>
      </c>
      <c r="F22" s="64" t="s">
        <v>44</v>
      </c>
      <c r="G22" s="50">
        <v>1</v>
      </c>
      <c r="H22" s="27">
        <f>IF(B$25=0,0,G22/B$25)</f>
        <v>0.01</v>
      </c>
      <c r="J22" s="26">
        <v>20</v>
      </c>
      <c r="K22" s="28">
        <v>-57.899999999999991</v>
      </c>
    </row>
    <row r="23" spans="1:11" x14ac:dyDescent="0.4">
      <c r="A23" s="60" t="s">
        <v>196</v>
      </c>
      <c r="B23" s="52">
        <v>60</v>
      </c>
      <c r="C23" s="32">
        <f>IF(B$22=0,0,B23/B$22)</f>
        <v>0.30612244897959184</v>
      </c>
      <c r="E23" s="68" t="s">
        <v>94</v>
      </c>
      <c r="F23" s="64" t="s">
        <v>47</v>
      </c>
      <c r="G23" s="50">
        <v>1</v>
      </c>
      <c r="H23" s="27">
        <f>IF(B$25=0,0,G23/B$25)</f>
        <v>0.01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0">
        <v>374</v>
      </c>
      <c r="C24" s="81"/>
      <c r="E24" s="68" t="s">
        <v>95</v>
      </c>
      <c r="F24" s="64" t="s">
        <v>48</v>
      </c>
      <c r="G24" s="50">
        <v>1</v>
      </c>
      <c r="H24" s="27">
        <f>IF(B$25=0,0,G24/B$25)</f>
        <v>0.01</v>
      </c>
      <c r="J24" s="26">
        <v>22</v>
      </c>
      <c r="K24" s="28">
        <v>-94.6</v>
      </c>
    </row>
    <row r="25" spans="1:11" x14ac:dyDescent="0.4">
      <c r="A25" s="60" t="s">
        <v>129</v>
      </c>
      <c r="B25" s="82">
        <v>100</v>
      </c>
      <c r="C25" s="83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</sheetData>
  <sortState ref="E2:H87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A2F9F-0FD4-4047-A739-7AA829AC6284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188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45</v>
      </c>
      <c r="C2" s="81"/>
      <c r="E2" s="67" t="s">
        <v>71</v>
      </c>
      <c r="F2" s="63" t="s">
        <v>25</v>
      </c>
      <c r="G2" s="49">
        <v>23</v>
      </c>
      <c r="H2" s="24">
        <f>IF(B$25=0,0,G2/B$25)</f>
        <v>0.95833333333333337</v>
      </c>
      <c r="J2" s="23">
        <v>0</v>
      </c>
      <c r="K2" s="25">
        <v>0</v>
      </c>
      <c r="M2" s="23" t="s">
        <v>198</v>
      </c>
      <c r="N2" s="44">
        <f t="shared" ref="N2:N7" si="0">IF(P2=0,0,O2/P2)</f>
        <v>-895.55555555555554</v>
      </c>
      <c r="O2" s="41">
        <v>-40300</v>
      </c>
      <c r="P2" s="39">
        <v>45</v>
      </c>
    </row>
    <row r="3" spans="1:16" x14ac:dyDescent="0.4">
      <c r="A3" s="58" t="s">
        <v>8</v>
      </c>
      <c r="B3" s="86">
        <v>317</v>
      </c>
      <c r="C3" s="87"/>
      <c r="E3" s="68" t="s">
        <v>73</v>
      </c>
      <c r="F3" s="64" t="s">
        <v>27</v>
      </c>
      <c r="G3" s="50">
        <v>22</v>
      </c>
      <c r="H3" s="27">
        <f>IF(B$25=0,0,G3/B$25)</f>
        <v>0.91666666666666663</v>
      </c>
      <c r="J3" s="26">
        <v>1</v>
      </c>
      <c r="K3" s="28">
        <v>-39.9</v>
      </c>
      <c r="M3" s="26" t="s">
        <v>199</v>
      </c>
      <c r="N3" s="45">
        <f t="shared" si="0"/>
        <v>3279.0697674418607</v>
      </c>
      <c r="O3" s="42">
        <v>141000</v>
      </c>
      <c r="P3" s="37">
        <v>43</v>
      </c>
    </row>
    <row r="4" spans="1:16" x14ac:dyDescent="0.4">
      <c r="A4" s="58" t="s">
        <v>6</v>
      </c>
      <c r="B4" s="88">
        <v>248.10000000000002</v>
      </c>
      <c r="C4" s="89"/>
      <c r="E4" s="68" t="s">
        <v>78</v>
      </c>
      <c r="F4" s="64" t="s">
        <v>31</v>
      </c>
      <c r="G4" s="50">
        <v>18</v>
      </c>
      <c r="H4" s="27">
        <f>IF(B$25=0,0,G4/B$25)</f>
        <v>0.75</v>
      </c>
      <c r="J4" s="26">
        <v>2</v>
      </c>
      <c r="K4" s="28">
        <v>-13.2</v>
      </c>
      <c r="M4" s="26" t="s">
        <v>200</v>
      </c>
      <c r="N4" s="45">
        <f t="shared" si="0"/>
        <v>-307.3170731707317</v>
      </c>
      <c r="O4" s="42">
        <v>-12600</v>
      </c>
      <c r="P4" s="37">
        <v>41</v>
      </c>
    </row>
    <row r="5" spans="1:16" x14ac:dyDescent="0.4">
      <c r="A5" s="58" t="s">
        <v>7</v>
      </c>
      <c r="B5" s="88">
        <f>IF(B$2=0,0,B$4/B$2)</f>
        <v>5.5133333333333336</v>
      </c>
      <c r="C5" s="89"/>
      <c r="E5" s="68" t="s">
        <v>69</v>
      </c>
      <c r="F5" s="64" t="s">
        <v>23</v>
      </c>
      <c r="G5" s="50">
        <v>9</v>
      </c>
      <c r="H5" s="27">
        <f>IF(B$25=0,0,G5/B$25)</f>
        <v>0.375</v>
      </c>
      <c r="J5" s="26">
        <v>3</v>
      </c>
      <c r="K5" s="28">
        <v>-57.7</v>
      </c>
      <c r="M5" s="26" t="s">
        <v>201</v>
      </c>
      <c r="N5" s="45">
        <f t="shared" si="0"/>
        <v>-1417.6470588235295</v>
      </c>
      <c r="O5" s="42">
        <v>-48200</v>
      </c>
      <c r="P5" s="37">
        <v>34</v>
      </c>
    </row>
    <row r="6" spans="1:16" x14ac:dyDescent="0.4">
      <c r="A6" s="58" t="s">
        <v>1</v>
      </c>
      <c r="B6" s="90">
        <f>IF(B$2=0,0,(B$7*1+B$8*2+B$9*3)/B$2)</f>
        <v>1.8666666666666667</v>
      </c>
      <c r="C6" s="91"/>
      <c r="E6" s="68" t="s">
        <v>72</v>
      </c>
      <c r="F6" s="64" t="s">
        <v>26</v>
      </c>
      <c r="G6" s="50">
        <v>8</v>
      </c>
      <c r="H6" s="27">
        <f>IF(B$25=0,0,G6/B$25)</f>
        <v>0.33333333333333331</v>
      </c>
      <c r="J6" s="26">
        <v>4</v>
      </c>
      <c r="K6" s="28">
        <v>-53.7</v>
      </c>
      <c r="M6" s="26" t="s">
        <v>202</v>
      </c>
      <c r="N6" s="45">
        <f t="shared" si="0"/>
        <v>7442.8571428571431</v>
      </c>
      <c r="O6" s="42">
        <v>208400</v>
      </c>
      <c r="P6" s="37">
        <v>28</v>
      </c>
    </row>
    <row r="7" spans="1:16" x14ac:dyDescent="0.4">
      <c r="A7" s="58" t="s">
        <v>2</v>
      </c>
      <c r="B7" s="50">
        <v>16</v>
      </c>
      <c r="C7" s="27">
        <f>IF(B$2=0,0,B7/B$2)</f>
        <v>0.35555555555555557</v>
      </c>
      <c r="E7" s="68" t="s">
        <v>74</v>
      </c>
      <c r="F7" s="64" t="s">
        <v>12</v>
      </c>
      <c r="G7" s="50">
        <v>6</v>
      </c>
      <c r="H7" s="27">
        <f>IF(B$25=0,0,G7/B$25)</f>
        <v>0.25</v>
      </c>
      <c r="J7" s="26">
        <v>5</v>
      </c>
      <c r="K7" s="28">
        <v>-45.7</v>
      </c>
      <c r="M7" s="31" t="s">
        <v>203</v>
      </c>
      <c r="N7" s="46">
        <f t="shared" si="0"/>
        <v>122.22222222222223</v>
      </c>
      <c r="O7" s="43">
        <v>2200</v>
      </c>
      <c r="P7" s="38">
        <v>18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0.42222222222222222</v>
      </c>
      <c r="E8" s="68" t="s">
        <v>70</v>
      </c>
      <c r="F8" s="64" t="s">
        <v>24</v>
      </c>
      <c r="G8" s="50">
        <v>3</v>
      </c>
      <c r="H8" s="27">
        <f>IF(B$25=0,0,G8/B$25)</f>
        <v>0.125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10</v>
      </c>
      <c r="C9" s="29">
        <f t="shared" si="1"/>
        <v>0.22222222222222221</v>
      </c>
      <c r="E9" s="68" t="s">
        <v>90</v>
      </c>
      <c r="F9" s="64" t="s">
        <v>43</v>
      </c>
      <c r="G9" s="50">
        <v>3</v>
      </c>
      <c r="H9" s="27">
        <f>IF(B$25=0,0,G9/B$25)</f>
        <v>0.125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5</v>
      </c>
      <c r="C10" s="29">
        <f>IF(B$2=0,0,B10/B$2)</f>
        <v>0.1111111111111111</v>
      </c>
      <c r="E10" s="68" t="s">
        <v>75</v>
      </c>
      <c r="F10" s="64" t="s">
        <v>28</v>
      </c>
      <c r="G10" s="50">
        <v>2</v>
      </c>
      <c r="H10" s="27">
        <f>IF(B$25=0,0,G10/B$25)</f>
        <v>8.3333333333333329E-2</v>
      </c>
      <c r="J10" s="26">
        <v>8</v>
      </c>
      <c r="K10" s="28">
        <v>-59.1</v>
      </c>
    </row>
    <row r="11" spans="1:16" x14ac:dyDescent="0.4">
      <c r="A11" s="60" t="s">
        <v>208</v>
      </c>
      <c r="B11" s="52">
        <v>9</v>
      </c>
      <c r="C11" s="32">
        <f>IF(B$2=0,0,B11/B$2)</f>
        <v>0.2</v>
      </c>
      <c r="E11" s="68" t="s">
        <v>76</v>
      </c>
      <c r="F11" s="64" t="s">
        <v>29</v>
      </c>
      <c r="G11" s="50">
        <v>2</v>
      </c>
      <c r="H11" s="27">
        <f>IF(B$25=0,0,G11/B$25)</f>
        <v>8.3333333333333329E-2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16</v>
      </c>
      <c r="C12" s="35">
        <f>IF(B$24=0,0,B12/B$24)</f>
        <v>0.20253164556962025</v>
      </c>
      <c r="E12" s="68" t="s">
        <v>88</v>
      </c>
      <c r="F12" s="64" t="s">
        <v>41</v>
      </c>
      <c r="G12" s="50">
        <v>2</v>
      </c>
      <c r="H12" s="27">
        <f>IF(B$25=0,0,G12/B$25)</f>
        <v>8.3333333333333329E-2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28</v>
      </c>
      <c r="C13" s="27">
        <f>IF(B$24=0,0,B13/B$24)</f>
        <v>0.35443037974683544</v>
      </c>
      <c r="E13" s="68" t="s">
        <v>96</v>
      </c>
      <c r="F13" s="64" t="s">
        <v>49</v>
      </c>
      <c r="G13" s="50">
        <v>2</v>
      </c>
      <c r="H13" s="27">
        <f>IF(B$25=0,0,G13/B$25)</f>
        <v>8.3333333333333329E-2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9</v>
      </c>
      <c r="C14" s="24">
        <f>IF(B$12=0,0,B14/B$12)</f>
        <v>0.5625</v>
      </c>
      <c r="E14" s="68" t="s">
        <v>84</v>
      </c>
      <c r="F14" s="64" t="s">
        <v>37</v>
      </c>
      <c r="G14" s="50">
        <v>1</v>
      </c>
      <c r="H14" s="27">
        <f>IF(B$25=0,0,G14/B$25)</f>
        <v>4.1666666666666664E-2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10</v>
      </c>
      <c r="C15" s="24">
        <f>IF(B$13=0,0,B15/B$13)</f>
        <v>0.35714285714285715</v>
      </c>
      <c r="E15" s="68" t="s">
        <v>93</v>
      </c>
      <c r="F15" s="64" t="s">
        <v>46</v>
      </c>
      <c r="G15" s="50">
        <v>1</v>
      </c>
      <c r="H15" s="27">
        <f>IF(B$25=0,0,G15/B$25)</f>
        <v>4.1666666666666664E-2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B17+B18</f>
        <v>111</v>
      </c>
      <c r="C16" s="24">
        <f>IF(B$3=0,0,B16/B$3)</f>
        <v>0.35015772870662459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11</v>
      </c>
      <c r="B17" s="50">
        <v>61</v>
      </c>
      <c r="C17" s="27">
        <f>IF(B$3=0,0,B17/B$3)</f>
        <v>0.19242902208201892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12</v>
      </c>
      <c r="B18" s="50">
        <v>50</v>
      </c>
      <c r="C18" s="27">
        <f>IF(B$3=0,0,B18/B$3)</f>
        <v>0.15772870662460567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49</v>
      </c>
      <c r="C19" s="27">
        <f>IF(B$3=0,0,B19/B$3)</f>
        <v>0.15457413249211358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9851.3513513513517</v>
      </c>
      <c r="C20" s="30">
        <v>1093500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-9134.6938775510207</v>
      </c>
      <c r="C21" s="48">
        <v>-447600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195</v>
      </c>
      <c r="B22" s="49">
        <v>115</v>
      </c>
      <c r="C22" s="24">
        <f>IF(B$3=0,0,B22/B$3)</f>
        <v>0.36277602523659308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196</v>
      </c>
      <c r="B23" s="52">
        <v>41</v>
      </c>
      <c r="C23" s="32">
        <f>IF(B$22=0,0,B23/B$22)</f>
        <v>0.35652173913043478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0">
        <v>79</v>
      </c>
      <c r="C24" s="8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2">
        <v>24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893C6D-2D3B-41D9-B8D1-30DD49F805CA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218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5</v>
      </c>
      <c r="C2" s="81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86">
        <v>37</v>
      </c>
      <c r="C3" s="87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88">
        <v>-86.4</v>
      </c>
      <c r="C4" s="89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200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88">
        <f>IF(B$2=0,0,B$4/B$2)</f>
        <v>-17.28</v>
      </c>
      <c r="C5" s="89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201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0">
        <f>IF(B$2=0,0,(B$7*1+B$8*2+B$9*3)/B$2)</f>
        <v>2.2000000000000002</v>
      </c>
      <c r="C6" s="91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202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203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31</v>
      </c>
      <c r="C24" s="81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9</v>
      </c>
      <c r="C25" s="83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2F8B3D-33FD-4723-8136-94F6F88AFDB3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189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41</v>
      </c>
      <c r="C2" s="81"/>
      <c r="E2" s="67" t="s">
        <v>73</v>
      </c>
      <c r="F2" s="63" t="s">
        <v>27</v>
      </c>
      <c r="G2" s="49">
        <v>28</v>
      </c>
      <c r="H2" s="24">
        <f>IF(B$25=0,0,G2/B$25)</f>
        <v>0.875</v>
      </c>
      <c r="J2" s="23">
        <v>0</v>
      </c>
      <c r="K2" s="25">
        <v>0</v>
      </c>
      <c r="M2" s="23" t="s">
        <v>198</v>
      </c>
      <c r="N2" s="44">
        <f t="shared" ref="N2:N7" si="0">IF(P2=0,0,O2/P2)</f>
        <v>-1958.5365853658536</v>
      </c>
      <c r="O2" s="41">
        <v>-80300</v>
      </c>
      <c r="P2" s="39">
        <v>41</v>
      </c>
    </row>
    <row r="3" spans="1:16" x14ac:dyDescent="0.4">
      <c r="A3" s="58" t="s">
        <v>8</v>
      </c>
      <c r="B3" s="86">
        <v>314</v>
      </c>
      <c r="C3" s="87"/>
      <c r="E3" s="68" t="s">
        <v>78</v>
      </c>
      <c r="F3" s="64" t="s">
        <v>31</v>
      </c>
      <c r="G3" s="50">
        <v>24</v>
      </c>
      <c r="H3" s="27">
        <f>IF(B$25=0,0,G3/B$25)</f>
        <v>0.75</v>
      </c>
      <c r="J3" s="26">
        <v>1</v>
      </c>
      <c r="K3" s="28">
        <v>68.2</v>
      </c>
      <c r="M3" s="26" t="s">
        <v>199</v>
      </c>
      <c r="N3" s="45">
        <f t="shared" si="0"/>
        <v>-2589.4736842105262</v>
      </c>
      <c r="O3" s="42">
        <v>-98400</v>
      </c>
      <c r="P3" s="37">
        <v>38</v>
      </c>
    </row>
    <row r="4" spans="1:16" x14ac:dyDescent="0.4">
      <c r="A4" s="58" t="s">
        <v>6</v>
      </c>
      <c r="B4" s="88">
        <v>-122.80000000000001</v>
      </c>
      <c r="C4" s="89"/>
      <c r="E4" s="68" t="s">
        <v>71</v>
      </c>
      <c r="F4" s="64" t="s">
        <v>25</v>
      </c>
      <c r="G4" s="50">
        <v>19</v>
      </c>
      <c r="H4" s="27">
        <f>IF(B$25=0,0,G4/B$25)</f>
        <v>0.59375</v>
      </c>
      <c r="J4" s="26">
        <v>2</v>
      </c>
      <c r="K4" s="28">
        <v>58.5</v>
      </c>
      <c r="M4" s="26" t="s">
        <v>200</v>
      </c>
      <c r="N4" s="45">
        <f t="shared" si="0"/>
        <v>-1159.375</v>
      </c>
      <c r="O4" s="42">
        <v>-37100</v>
      </c>
      <c r="P4" s="37">
        <v>32</v>
      </c>
    </row>
    <row r="5" spans="1:16" x14ac:dyDescent="0.4">
      <c r="A5" s="58" t="s">
        <v>7</v>
      </c>
      <c r="B5" s="88">
        <f>IF(B$2=0,0,B$4/B$2)</f>
        <v>-2.9951219512195126</v>
      </c>
      <c r="C5" s="89"/>
      <c r="E5" s="68" t="s">
        <v>69</v>
      </c>
      <c r="F5" s="64" t="s">
        <v>23</v>
      </c>
      <c r="G5" s="50">
        <v>11</v>
      </c>
      <c r="H5" s="27">
        <f>IF(B$25=0,0,G5/B$25)</f>
        <v>0.34375</v>
      </c>
      <c r="J5" s="26">
        <v>3</v>
      </c>
      <c r="K5" s="28">
        <v>82.1</v>
      </c>
      <c r="M5" s="26" t="s">
        <v>201</v>
      </c>
      <c r="N5" s="45">
        <f t="shared" si="0"/>
        <v>3043.3333333333335</v>
      </c>
      <c r="O5" s="42">
        <v>91300</v>
      </c>
      <c r="P5" s="37">
        <v>30</v>
      </c>
    </row>
    <row r="6" spans="1:16" x14ac:dyDescent="0.4">
      <c r="A6" s="58" t="s">
        <v>1</v>
      </c>
      <c r="B6" s="90">
        <f>IF(B$2=0,0,(B$7*1+B$8*2+B$9*3)/B$2)</f>
        <v>2.0975609756097562</v>
      </c>
      <c r="C6" s="91"/>
      <c r="E6" s="68" t="s">
        <v>70</v>
      </c>
      <c r="F6" s="64" t="s">
        <v>24</v>
      </c>
      <c r="G6" s="50">
        <v>5</v>
      </c>
      <c r="H6" s="27">
        <f>IF(B$25=0,0,G6/B$25)</f>
        <v>0.15625</v>
      </c>
      <c r="J6" s="26">
        <v>4</v>
      </c>
      <c r="K6" s="28">
        <v>58.199999999999996</v>
      </c>
      <c r="M6" s="26" t="s">
        <v>202</v>
      </c>
      <c r="N6" s="45">
        <f t="shared" si="0"/>
        <v>-943.47826086956525</v>
      </c>
      <c r="O6" s="42">
        <v>-21700</v>
      </c>
      <c r="P6" s="37">
        <v>23</v>
      </c>
    </row>
    <row r="7" spans="1:16" x14ac:dyDescent="0.4">
      <c r="A7" s="58" t="s">
        <v>2</v>
      </c>
      <c r="B7" s="50">
        <v>10</v>
      </c>
      <c r="C7" s="27">
        <f>IF(B$2=0,0,B7/B$2)</f>
        <v>0.24390243902439024</v>
      </c>
      <c r="E7" s="68" t="s">
        <v>74</v>
      </c>
      <c r="F7" s="64" t="s">
        <v>12</v>
      </c>
      <c r="G7" s="50">
        <v>4</v>
      </c>
      <c r="H7" s="27">
        <f>IF(B$25=0,0,G7/B$25)</f>
        <v>0.125</v>
      </c>
      <c r="J7" s="26">
        <v>5</v>
      </c>
      <c r="K7" s="28">
        <v>124.19999999999999</v>
      </c>
      <c r="M7" s="31" t="s">
        <v>203</v>
      </c>
      <c r="N7" s="46">
        <f t="shared" si="0"/>
        <v>1231.578947368421</v>
      </c>
      <c r="O7" s="43">
        <v>23400</v>
      </c>
      <c r="P7" s="38">
        <v>19</v>
      </c>
    </row>
    <row r="8" spans="1:16" x14ac:dyDescent="0.4">
      <c r="A8" s="58" t="s">
        <v>3</v>
      </c>
      <c r="B8" s="50">
        <v>17</v>
      </c>
      <c r="C8" s="27">
        <f t="shared" ref="C8:C9" si="1">IF(B$2=0,0,B8/B$2)</f>
        <v>0.41463414634146339</v>
      </c>
      <c r="E8" s="68" t="s">
        <v>72</v>
      </c>
      <c r="F8" s="64" t="s">
        <v>26</v>
      </c>
      <c r="G8" s="50">
        <v>3</v>
      </c>
      <c r="H8" s="27">
        <f>IF(B$25=0,0,G8/B$25)</f>
        <v>9.375E-2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14</v>
      </c>
      <c r="C9" s="29">
        <f t="shared" si="1"/>
        <v>0.34146341463414637</v>
      </c>
      <c r="E9" s="68" t="s">
        <v>75</v>
      </c>
      <c r="F9" s="64" t="s">
        <v>28</v>
      </c>
      <c r="G9" s="50">
        <v>3</v>
      </c>
      <c r="H9" s="27">
        <f>IF(B$25=0,0,G9/B$25)</f>
        <v>9.375E-2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6</v>
      </c>
      <c r="C10" s="29">
        <f>IF(B$2=0,0,B10/B$2)</f>
        <v>0.14634146341463414</v>
      </c>
      <c r="E10" s="68" t="s">
        <v>96</v>
      </c>
      <c r="F10" s="64" t="s">
        <v>49</v>
      </c>
      <c r="G10" s="50">
        <v>3</v>
      </c>
      <c r="H10" s="27">
        <f>IF(B$25=0,0,G10/B$25)</f>
        <v>9.375E-2</v>
      </c>
      <c r="J10" s="26">
        <v>8</v>
      </c>
      <c r="K10" s="28">
        <v>97</v>
      </c>
    </row>
    <row r="11" spans="1:16" x14ac:dyDescent="0.4">
      <c r="A11" s="60" t="s">
        <v>208</v>
      </c>
      <c r="B11" s="52">
        <v>7</v>
      </c>
      <c r="C11" s="32">
        <f>IF(B$2=0,0,B11/B$2)</f>
        <v>0.17073170731707318</v>
      </c>
      <c r="E11" s="68" t="s">
        <v>84</v>
      </c>
      <c r="F11" s="64" t="s">
        <v>37</v>
      </c>
      <c r="G11" s="50">
        <v>2</v>
      </c>
      <c r="H11" s="27">
        <f>IF(B$25=0,0,G11/B$25)</f>
        <v>6.25E-2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26</v>
      </c>
      <c r="C12" s="35">
        <f>IF(B$24=0,0,B12/B$24)</f>
        <v>0.20472440944881889</v>
      </c>
      <c r="E12" s="68" t="s">
        <v>85</v>
      </c>
      <c r="F12" s="64" t="s">
        <v>38</v>
      </c>
      <c r="G12" s="50">
        <v>2</v>
      </c>
      <c r="H12" s="27">
        <f>IF(B$25=0,0,G12/B$25)</f>
        <v>6.25E-2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39</v>
      </c>
      <c r="C13" s="27">
        <f>IF(B$24=0,0,B13/B$24)</f>
        <v>0.30708661417322836</v>
      </c>
      <c r="E13" s="68" t="s">
        <v>93</v>
      </c>
      <c r="F13" s="64" t="s">
        <v>46</v>
      </c>
      <c r="G13" s="50">
        <v>2</v>
      </c>
      <c r="H13" s="27">
        <f>IF(B$25=0,0,G13/B$25)</f>
        <v>6.25E-2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10</v>
      </c>
      <c r="C14" s="24">
        <f>IF(B$12=0,0,B14/B$12)</f>
        <v>0.38461538461538464</v>
      </c>
      <c r="E14" s="68" t="s">
        <v>76</v>
      </c>
      <c r="F14" s="64" t="s">
        <v>29</v>
      </c>
      <c r="G14" s="50">
        <v>1</v>
      </c>
      <c r="H14" s="27">
        <f>IF(B$25=0,0,G14/B$25)</f>
        <v>3.125E-2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16</v>
      </c>
      <c r="C15" s="24">
        <f>IF(B$13=0,0,B15/B$13)</f>
        <v>0.41025641025641024</v>
      </c>
      <c r="E15" s="68" t="s">
        <v>77</v>
      </c>
      <c r="F15" s="64" t="s">
        <v>30</v>
      </c>
      <c r="G15" s="50">
        <v>1</v>
      </c>
      <c r="H15" s="27">
        <f>IF(B$25=0,0,G15/B$25)</f>
        <v>3.125E-2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B17+B18</f>
        <v>86</v>
      </c>
      <c r="C16" s="24">
        <f>IF(B$3=0,0,B16/B$3)</f>
        <v>0.27388535031847133</v>
      </c>
      <c r="E16" s="68" t="s">
        <v>81</v>
      </c>
      <c r="F16" s="64" t="s">
        <v>34</v>
      </c>
      <c r="G16" s="50">
        <v>1</v>
      </c>
      <c r="H16" s="27">
        <f>IF(B$25=0,0,G16/B$25)</f>
        <v>3.125E-2</v>
      </c>
      <c r="J16" s="26">
        <v>14</v>
      </c>
      <c r="K16" s="28">
        <v>41.499999999999986</v>
      </c>
    </row>
    <row r="17" spans="1:11" x14ac:dyDescent="0.4">
      <c r="A17" s="58" t="s">
        <v>11</v>
      </c>
      <c r="B17" s="50">
        <v>51</v>
      </c>
      <c r="C17" s="27">
        <f>IF(B$3=0,0,B17/B$3)</f>
        <v>0.16242038216560509</v>
      </c>
      <c r="E17" s="68" t="s">
        <v>88</v>
      </c>
      <c r="F17" s="64" t="s">
        <v>41</v>
      </c>
      <c r="G17" s="50">
        <v>1</v>
      </c>
      <c r="H17" s="27">
        <f>IF(B$25=0,0,G17/B$25)</f>
        <v>3.125E-2</v>
      </c>
      <c r="J17" s="26">
        <v>15</v>
      </c>
      <c r="K17" s="28">
        <v>32.999999999999986</v>
      </c>
    </row>
    <row r="18" spans="1:11" x14ac:dyDescent="0.4">
      <c r="A18" s="58" t="s">
        <v>12</v>
      </c>
      <c r="B18" s="50">
        <v>35</v>
      </c>
      <c r="C18" s="27">
        <f>IF(B$3=0,0,B18/B$3)</f>
        <v>0.11146496815286625</v>
      </c>
      <c r="E18" s="68" t="s">
        <v>90</v>
      </c>
      <c r="F18" s="64" t="s">
        <v>43</v>
      </c>
      <c r="G18" s="50">
        <v>1</v>
      </c>
      <c r="H18" s="27">
        <f>IF(B$25=0,0,G18/B$25)</f>
        <v>3.125E-2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62</v>
      </c>
      <c r="C19" s="27">
        <f>IF(B$3=0,0,B19/B$3)</f>
        <v>0.19745222929936307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9869.7674418604656</v>
      </c>
      <c r="C20" s="30">
        <v>848800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-8088.7096774193551</v>
      </c>
      <c r="C21" s="48">
        <v>-501500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195</v>
      </c>
      <c r="B22" s="49">
        <v>89</v>
      </c>
      <c r="C22" s="24">
        <f>IF(B$3=0,0,B22/B$3)</f>
        <v>0.28343949044585987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196</v>
      </c>
      <c r="B23" s="52">
        <v>35</v>
      </c>
      <c r="C23" s="32">
        <f>IF(B$22=0,0,B23/B$22)</f>
        <v>0.39325842696629215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0">
        <v>127</v>
      </c>
      <c r="C24" s="81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2">
        <v>32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CB7E-FB2A-4356-AEC9-F7F223174839}">
  <sheetPr codeName="Sheet11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190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51</v>
      </c>
      <c r="C2" s="81"/>
      <c r="E2" s="67" t="s">
        <v>73</v>
      </c>
      <c r="F2" s="63" t="s">
        <v>27</v>
      </c>
      <c r="G2" s="49">
        <v>76</v>
      </c>
      <c r="H2" s="24">
        <f>IF(B$25=0,0,G2/B$25)</f>
        <v>0.90476190476190477</v>
      </c>
      <c r="J2" s="23">
        <v>0</v>
      </c>
      <c r="K2" s="25">
        <v>0</v>
      </c>
      <c r="M2" s="23" t="s">
        <v>198</v>
      </c>
      <c r="N2" s="44">
        <f t="shared" ref="N2:N7" si="0">IF(P2=0,0,O2/P2)</f>
        <v>3357.1428571428573</v>
      </c>
      <c r="O2" s="41">
        <v>164500</v>
      </c>
      <c r="P2" s="39">
        <v>49</v>
      </c>
    </row>
    <row r="3" spans="1:16" x14ac:dyDescent="0.4">
      <c r="A3" s="58" t="s">
        <v>8</v>
      </c>
      <c r="B3" s="86">
        <v>390</v>
      </c>
      <c r="C3" s="87"/>
      <c r="E3" s="68" t="s">
        <v>71</v>
      </c>
      <c r="F3" s="64" t="s">
        <v>25</v>
      </c>
      <c r="G3" s="50">
        <v>75</v>
      </c>
      <c r="H3" s="27">
        <f>IF(B$25=0,0,G3/B$25)</f>
        <v>0.8928571428571429</v>
      </c>
      <c r="J3" s="26">
        <v>1</v>
      </c>
      <c r="K3" s="28">
        <v>-36.700000000000003</v>
      </c>
      <c r="M3" s="26" t="s">
        <v>199</v>
      </c>
      <c r="N3" s="45">
        <f t="shared" si="0"/>
        <v>-45.652173913043477</v>
      </c>
      <c r="O3" s="42">
        <v>-2100</v>
      </c>
      <c r="P3" s="37">
        <v>46</v>
      </c>
    </row>
    <row r="4" spans="1:16" x14ac:dyDescent="0.4">
      <c r="A4" s="58" t="s">
        <v>6</v>
      </c>
      <c r="B4" s="88">
        <v>166.69999999999996</v>
      </c>
      <c r="C4" s="89"/>
      <c r="E4" s="68" t="s">
        <v>69</v>
      </c>
      <c r="F4" s="64" t="s">
        <v>23</v>
      </c>
      <c r="G4" s="50">
        <v>52</v>
      </c>
      <c r="H4" s="27">
        <f>IF(B$25=0,0,G4/B$25)</f>
        <v>0.61904761904761907</v>
      </c>
      <c r="J4" s="26">
        <v>2</v>
      </c>
      <c r="K4" s="28">
        <v>-45.300000000000004</v>
      </c>
      <c r="M4" s="26" t="s">
        <v>200</v>
      </c>
      <c r="N4" s="45">
        <f t="shared" si="0"/>
        <v>-26.19047619047619</v>
      </c>
      <c r="O4" s="42">
        <v>-1100</v>
      </c>
      <c r="P4" s="37">
        <v>42</v>
      </c>
    </row>
    <row r="5" spans="1:16" x14ac:dyDescent="0.4">
      <c r="A5" s="58" t="s">
        <v>7</v>
      </c>
      <c r="B5" s="88">
        <f>IF(B$2=0,0,B$4/B$2)</f>
        <v>3.2686274509803912</v>
      </c>
      <c r="C5" s="89"/>
      <c r="E5" s="68" t="s">
        <v>78</v>
      </c>
      <c r="F5" s="64" t="s">
        <v>31</v>
      </c>
      <c r="G5" s="50">
        <v>49</v>
      </c>
      <c r="H5" s="27">
        <f>IF(B$25=0,0,G5/B$25)</f>
        <v>0.58333333333333337</v>
      </c>
      <c r="J5" s="26">
        <v>3</v>
      </c>
      <c r="K5" s="28">
        <v>-81.7</v>
      </c>
      <c r="M5" s="26" t="s">
        <v>201</v>
      </c>
      <c r="N5" s="45">
        <f t="shared" si="0"/>
        <v>-1146.1538461538462</v>
      </c>
      <c r="O5" s="42">
        <v>-44700</v>
      </c>
      <c r="P5" s="37">
        <v>39</v>
      </c>
    </row>
    <row r="6" spans="1:16" x14ac:dyDescent="0.4">
      <c r="A6" s="58" t="s">
        <v>1</v>
      </c>
      <c r="B6" s="90">
        <f>IF(B$2=0,0,(B$7*1+B$8*2+B$9*3)/B$2)</f>
        <v>1.9215686274509804</v>
      </c>
      <c r="C6" s="91"/>
      <c r="E6" s="68" t="s">
        <v>72</v>
      </c>
      <c r="F6" s="64" t="s">
        <v>26</v>
      </c>
      <c r="G6" s="50">
        <v>29</v>
      </c>
      <c r="H6" s="27">
        <f>IF(B$25=0,0,G6/B$25)</f>
        <v>0.34523809523809523</v>
      </c>
      <c r="J6" s="26">
        <v>4</v>
      </c>
      <c r="K6" s="28">
        <v>-113.80000000000001</v>
      </c>
      <c r="M6" s="26" t="s">
        <v>202</v>
      </c>
      <c r="N6" s="45">
        <f t="shared" si="0"/>
        <v>1250</v>
      </c>
      <c r="O6" s="42">
        <v>37500</v>
      </c>
      <c r="P6" s="37">
        <v>30</v>
      </c>
    </row>
    <row r="7" spans="1:16" x14ac:dyDescent="0.4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>IF(B$25=0,0,G7/B$25)</f>
        <v>0.30952380952380953</v>
      </c>
      <c r="J7" s="26">
        <v>5</v>
      </c>
      <c r="K7" s="28">
        <v>-135.80000000000001</v>
      </c>
      <c r="M7" s="31" t="s">
        <v>203</v>
      </c>
      <c r="N7" s="46">
        <f t="shared" si="0"/>
        <v>-1080.7692307692307</v>
      </c>
      <c r="O7" s="43">
        <v>-28100</v>
      </c>
      <c r="P7" s="38">
        <v>26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0.29411764705882354</v>
      </c>
      <c r="E8" s="68" t="s">
        <v>75</v>
      </c>
      <c r="F8" s="64" t="s">
        <v>28</v>
      </c>
      <c r="G8" s="50">
        <v>17</v>
      </c>
      <c r="H8" s="27">
        <f>IF(B$25=0,0,G8/B$25)</f>
        <v>0.20238095238095238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16</v>
      </c>
      <c r="C9" s="29">
        <f t="shared" si="1"/>
        <v>0.31372549019607843</v>
      </c>
      <c r="E9" s="68" t="s">
        <v>70</v>
      </c>
      <c r="F9" s="64" t="s">
        <v>24</v>
      </c>
      <c r="G9" s="50">
        <v>12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>IF(B$25=0,0,G10/B$25)</f>
        <v>0.13095238095238096</v>
      </c>
      <c r="J10" s="26">
        <v>8</v>
      </c>
      <c r="K10" s="28">
        <v>-51.800000000000018</v>
      </c>
    </row>
    <row r="11" spans="1:16" x14ac:dyDescent="0.4">
      <c r="A11" s="60" t="s">
        <v>208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>IF(B$25=0,0,G11/B$25)</f>
        <v>8.3333333333333329E-2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>IF(B$25=0,0,G14/B$25)</f>
        <v>4.7619047619047616E-2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>IF(B$25=0,0,G15/B$25)</f>
        <v>2.3809523809523808E-2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B17+B18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>IF(B$25=0,0,G16/B$25)</f>
        <v>1.1904761904761904E-2</v>
      </c>
      <c r="J16" s="26">
        <v>14</v>
      </c>
      <c r="K16" s="28">
        <v>-62.000000000000021</v>
      </c>
    </row>
    <row r="17" spans="1:11" x14ac:dyDescent="0.4">
      <c r="A17" s="58" t="s">
        <v>11</v>
      </c>
      <c r="B17" s="50">
        <v>73</v>
      </c>
      <c r="C17" s="27">
        <f>IF(B$3=0,0,B17/B$3)</f>
        <v>0.18717948717948718</v>
      </c>
      <c r="E17" s="68" t="s">
        <v>90</v>
      </c>
      <c r="F17" s="64" t="s">
        <v>43</v>
      </c>
      <c r="G17" s="50">
        <v>1</v>
      </c>
      <c r="H17" s="27">
        <f>IF(B$25=0,0,G17/B$25)</f>
        <v>1.1904761904761904E-2</v>
      </c>
      <c r="J17" s="26">
        <v>15</v>
      </c>
      <c r="K17" s="28">
        <v>-69.200000000000017</v>
      </c>
    </row>
    <row r="18" spans="1:11" x14ac:dyDescent="0.4">
      <c r="A18" s="58" t="s">
        <v>12</v>
      </c>
      <c r="B18" s="50">
        <v>49</v>
      </c>
      <c r="C18" s="27">
        <f>IF(B$3=0,0,B18/B$3)</f>
        <v>0.12564102564102564</v>
      </c>
      <c r="E18" s="68" t="s">
        <v>91</v>
      </c>
      <c r="F18" s="64" t="s">
        <v>44</v>
      </c>
      <c r="G18" s="50">
        <v>1</v>
      </c>
      <c r="H18" s="27">
        <f>IF(B$25=0,0,G18/B$25)</f>
        <v>1.1904761904761904E-2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>IF(B$25=0,0,G19/B$25)</f>
        <v>1.1904761904761904E-2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195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196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0">
        <v>257</v>
      </c>
      <c r="C24" s="81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2">
        <v>84</v>
      </c>
      <c r="C25" s="8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</sheetData>
  <sortState ref="E2:H53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E48BF0-455C-4DC4-9F25-746C8D3D62A2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192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12</v>
      </c>
      <c r="C2" s="81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86">
        <v>82</v>
      </c>
      <c r="C3" s="87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199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88">
        <v>80.800000000000011</v>
      </c>
      <c r="C4" s="89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200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88">
        <f>IF(B$2=0,0,B$4/B$2)</f>
        <v>6.7333333333333343</v>
      </c>
      <c r="C5" s="89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201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0">
        <f>IF(B$2=0,0,(B$7*1+B$8*2+B$9*3)/B$2)</f>
        <v>1.75</v>
      </c>
      <c r="C6" s="91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202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203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C9D0F-F134-41F5-81F1-1549DE3B9355}">
  <sheetPr codeName="Sheet13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193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45</v>
      </c>
      <c r="C2" s="81"/>
      <c r="E2" s="67" t="s">
        <v>73</v>
      </c>
      <c r="F2" s="63" t="s">
        <v>27</v>
      </c>
      <c r="G2" s="49">
        <v>83</v>
      </c>
      <c r="H2" s="24">
        <f>IF(B$25=0,0,G2/B$25)</f>
        <v>0.93258426966292129</v>
      </c>
      <c r="J2" s="23">
        <v>0</v>
      </c>
      <c r="K2" s="25">
        <v>0</v>
      </c>
      <c r="M2" s="23" t="s">
        <v>198</v>
      </c>
      <c r="N2" s="44">
        <f t="shared" ref="N2:N7" si="0">IF(P2=0,0,O2/P2)</f>
        <v>-3307.3170731707319</v>
      </c>
      <c r="O2" s="41">
        <v>-135600</v>
      </c>
      <c r="P2" s="39">
        <v>41</v>
      </c>
    </row>
    <row r="3" spans="1:16" x14ac:dyDescent="0.4">
      <c r="A3" s="58" t="s">
        <v>8</v>
      </c>
      <c r="B3" s="86">
        <v>337</v>
      </c>
      <c r="C3" s="87"/>
      <c r="E3" s="68" t="s">
        <v>78</v>
      </c>
      <c r="F3" s="64" t="s">
        <v>31</v>
      </c>
      <c r="G3" s="50">
        <v>68</v>
      </c>
      <c r="H3" s="27">
        <f>IF(B$25=0,0,G3/B$25)</f>
        <v>0.7640449438202247</v>
      </c>
      <c r="J3" s="26">
        <v>1</v>
      </c>
      <c r="K3" s="28">
        <v>3.9</v>
      </c>
      <c r="M3" s="26" t="s">
        <v>199</v>
      </c>
      <c r="N3" s="45">
        <f t="shared" si="0"/>
        <v>-926.82926829268297</v>
      </c>
      <c r="O3" s="42">
        <v>-38000</v>
      </c>
      <c r="P3" s="37">
        <v>41</v>
      </c>
    </row>
    <row r="4" spans="1:16" x14ac:dyDescent="0.4">
      <c r="A4" s="58" t="s">
        <v>6</v>
      </c>
      <c r="B4" s="88">
        <v>-329.19999999999993</v>
      </c>
      <c r="C4" s="89"/>
      <c r="E4" s="68" t="s">
        <v>71</v>
      </c>
      <c r="F4" s="64" t="s">
        <v>25</v>
      </c>
      <c r="G4" s="50">
        <v>64</v>
      </c>
      <c r="H4" s="27">
        <f>IF(B$25=0,0,G4/B$25)</f>
        <v>0.7191011235955056</v>
      </c>
      <c r="J4" s="26">
        <v>2</v>
      </c>
      <c r="K4" s="28">
        <v>-33.9</v>
      </c>
      <c r="M4" s="26" t="s">
        <v>200</v>
      </c>
      <c r="N4" s="45">
        <f t="shared" si="0"/>
        <v>-2352.6315789473683</v>
      </c>
      <c r="O4" s="42">
        <v>-89400</v>
      </c>
      <c r="P4" s="37">
        <v>38</v>
      </c>
    </row>
    <row r="5" spans="1:16" x14ac:dyDescent="0.4">
      <c r="A5" s="58" t="s">
        <v>7</v>
      </c>
      <c r="B5" s="88">
        <f>IF(B$2=0,0,B$4/B$2)</f>
        <v>-7.3155555555555543</v>
      </c>
      <c r="C5" s="89"/>
      <c r="E5" s="68" t="s">
        <v>69</v>
      </c>
      <c r="F5" s="64" t="s">
        <v>23</v>
      </c>
      <c r="G5" s="50">
        <v>51</v>
      </c>
      <c r="H5" s="27">
        <f>IF(B$25=0,0,G5/B$25)</f>
        <v>0.5730337078651685</v>
      </c>
      <c r="J5" s="26">
        <v>3</v>
      </c>
      <c r="K5" s="28">
        <v>-70.099999999999994</v>
      </c>
      <c r="M5" s="26" t="s">
        <v>201</v>
      </c>
      <c r="N5" s="45">
        <f t="shared" si="0"/>
        <v>-251.42857142857142</v>
      </c>
      <c r="O5" s="42">
        <v>-8800</v>
      </c>
      <c r="P5" s="37">
        <v>35</v>
      </c>
    </row>
    <row r="6" spans="1:16" x14ac:dyDescent="0.4">
      <c r="A6" s="58" t="s">
        <v>1</v>
      </c>
      <c r="B6" s="90">
        <f>IF(B$2=0,0,(B$7*1+B$8*2+B$9*3)/B$2)</f>
        <v>2.2222222222222223</v>
      </c>
      <c r="C6" s="91"/>
      <c r="E6" s="68" t="s">
        <v>72</v>
      </c>
      <c r="F6" s="64" t="s">
        <v>26</v>
      </c>
      <c r="G6" s="50">
        <v>40</v>
      </c>
      <c r="H6" s="27">
        <f>IF(B$25=0,0,G6/B$25)</f>
        <v>0.449438202247191</v>
      </c>
      <c r="J6" s="26">
        <v>4</v>
      </c>
      <c r="K6" s="28">
        <v>-35.099999999999994</v>
      </c>
      <c r="M6" s="26" t="s">
        <v>202</v>
      </c>
      <c r="N6" s="45">
        <f t="shared" si="0"/>
        <v>-1851.6129032258063</v>
      </c>
      <c r="O6" s="42">
        <v>-57400</v>
      </c>
      <c r="P6" s="37">
        <v>31</v>
      </c>
    </row>
    <row r="7" spans="1:16" x14ac:dyDescent="0.4">
      <c r="A7" s="58" t="s">
        <v>2</v>
      </c>
      <c r="B7" s="50">
        <v>11</v>
      </c>
      <c r="C7" s="27">
        <f>IF(B$2=0,0,B7/B$2)</f>
        <v>0.24444444444444444</v>
      </c>
      <c r="E7" s="68" t="s">
        <v>74</v>
      </c>
      <c r="F7" s="64" t="s">
        <v>12</v>
      </c>
      <c r="G7" s="50">
        <v>30</v>
      </c>
      <c r="H7" s="27">
        <f>IF(B$25=0,0,G7/B$25)</f>
        <v>0.33707865168539325</v>
      </c>
      <c r="J7" s="26">
        <v>5</v>
      </c>
      <c r="K7" s="28">
        <v>-80.099999999999994</v>
      </c>
      <c r="M7" s="31" t="s">
        <v>203</v>
      </c>
      <c r="N7" s="46">
        <f t="shared" si="0"/>
        <v>5347.6190476190477</v>
      </c>
      <c r="O7" s="43">
        <v>112300</v>
      </c>
      <c r="P7" s="38">
        <v>21</v>
      </c>
    </row>
    <row r="8" spans="1:16" x14ac:dyDescent="0.4">
      <c r="A8" s="58" t="s">
        <v>3</v>
      </c>
      <c r="B8" s="50">
        <v>13</v>
      </c>
      <c r="C8" s="27">
        <f t="shared" ref="C8:C9" si="1">IF(B$2=0,0,B8/B$2)</f>
        <v>0.28888888888888886</v>
      </c>
      <c r="E8" s="68" t="s">
        <v>96</v>
      </c>
      <c r="F8" s="64" t="s">
        <v>49</v>
      </c>
      <c r="G8" s="50">
        <v>14</v>
      </c>
      <c r="H8" s="27">
        <f>IF(B$25=0,0,G8/B$25)</f>
        <v>0.15730337078651685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21</v>
      </c>
      <c r="C9" s="29">
        <f t="shared" si="1"/>
        <v>0.46666666666666667</v>
      </c>
      <c r="E9" s="68" t="s">
        <v>75</v>
      </c>
      <c r="F9" s="64" t="s">
        <v>28</v>
      </c>
      <c r="G9" s="50">
        <v>14</v>
      </c>
      <c r="H9" s="27">
        <f>IF(B$25=0,0,G9/B$25)</f>
        <v>0.15730337078651685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11</v>
      </c>
      <c r="C10" s="29">
        <f>IF(B$2=0,0,B10/B$2)</f>
        <v>0.24444444444444444</v>
      </c>
      <c r="E10" s="68" t="s">
        <v>76</v>
      </c>
      <c r="F10" s="64" t="s">
        <v>29</v>
      </c>
      <c r="G10" s="50">
        <v>9</v>
      </c>
      <c r="H10" s="27">
        <f>IF(B$25=0,0,G10/B$25)</f>
        <v>0.10112359550561797</v>
      </c>
      <c r="J10" s="26">
        <v>8</v>
      </c>
      <c r="K10" s="28">
        <v>-146</v>
      </c>
    </row>
    <row r="11" spans="1:16" x14ac:dyDescent="0.4">
      <c r="A11" s="60" t="s">
        <v>208</v>
      </c>
      <c r="B11" s="52">
        <v>5</v>
      </c>
      <c r="C11" s="32">
        <f>IF(B$2=0,0,B11/B$2)</f>
        <v>0.1111111111111111</v>
      </c>
      <c r="E11" s="68" t="s">
        <v>70</v>
      </c>
      <c r="F11" s="64" t="s">
        <v>24</v>
      </c>
      <c r="G11" s="50">
        <v>8</v>
      </c>
      <c r="H11" s="27">
        <f>IF(B$25=0,0,G11/B$25)</f>
        <v>8.98876404494382E-2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84</v>
      </c>
      <c r="C12" s="35">
        <f>IF(B$24=0,0,B12/B$24)</f>
        <v>0.28000000000000003</v>
      </c>
      <c r="E12" s="68" t="s">
        <v>84</v>
      </c>
      <c r="F12" s="64" t="s">
        <v>37</v>
      </c>
      <c r="G12" s="50">
        <v>6</v>
      </c>
      <c r="H12" s="27">
        <f>IF(B$25=0,0,G12/B$25)</f>
        <v>6.741573033707865E-2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68</v>
      </c>
      <c r="C13" s="27">
        <f>IF(B$24=0,0,B13/B$24)</f>
        <v>0.22666666666666666</v>
      </c>
      <c r="E13" s="68" t="s">
        <v>93</v>
      </c>
      <c r="F13" s="64" t="s">
        <v>46</v>
      </c>
      <c r="G13" s="50">
        <v>5</v>
      </c>
      <c r="H13" s="27">
        <f>IF(B$25=0,0,G13/B$25)</f>
        <v>5.6179775280898875E-2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54</v>
      </c>
      <c r="C14" s="24">
        <f>IF(B$12=0,0,B14/B$12)</f>
        <v>0.6428571428571429</v>
      </c>
      <c r="E14" s="68" t="s">
        <v>79</v>
      </c>
      <c r="F14" s="64" t="s">
        <v>32</v>
      </c>
      <c r="G14" s="50">
        <v>3</v>
      </c>
      <c r="H14" s="27">
        <f>IF(B$25=0,0,G14/B$25)</f>
        <v>3.3707865168539325E-2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26</v>
      </c>
      <c r="C15" s="24">
        <f>IF(B$13=0,0,B15/B$13)</f>
        <v>0.38235294117647056</v>
      </c>
      <c r="E15" s="68" t="s">
        <v>90</v>
      </c>
      <c r="F15" s="64" t="s">
        <v>43</v>
      </c>
      <c r="G15" s="50">
        <v>3</v>
      </c>
      <c r="H15" s="27">
        <f>IF(B$25=0,0,G15/B$25)</f>
        <v>3.3707865168539325E-2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B17+B18</f>
        <v>99</v>
      </c>
      <c r="C16" s="24">
        <f>IF(B$3=0,0,B16/B$3)</f>
        <v>0.29376854599406527</v>
      </c>
      <c r="E16" s="68" t="s">
        <v>77</v>
      </c>
      <c r="F16" s="64" t="s">
        <v>30</v>
      </c>
      <c r="G16" s="50">
        <v>2</v>
      </c>
      <c r="H16" s="27">
        <f>IF(B$25=0,0,G16/B$25)</f>
        <v>2.247191011235955E-2</v>
      </c>
      <c r="J16" s="26">
        <v>14</v>
      </c>
      <c r="K16" s="28">
        <v>-231</v>
      </c>
    </row>
    <row r="17" spans="1:11" x14ac:dyDescent="0.4">
      <c r="A17" s="58" t="s">
        <v>11</v>
      </c>
      <c r="B17" s="50">
        <v>54</v>
      </c>
      <c r="C17" s="27">
        <f>IF(B$3=0,0,B17/B$3)</f>
        <v>0.16023738872403562</v>
      </c>
      <c r="E17" s="68" t="s">
        <v>88</v>
      </c>
      <c r="F17" s="64" t="s">
        <v>41</v>
      </c>
      <c r="G17" s="50">
        <v>2</v>
      </c>
      <c r="H17" s="27">
        <f>IF(B$25=0,0,G17/B$25)</f>
        <v>2.247191011235955E-2</v>
      </c>
      <c r="J17" s="26">
        <v>15</v>
      </c>
      <c r="K17" s="28">
        <v>-212.5</v>
      </c>
    </row>
    <row r="18" spans="1:11" x14ac:dyDescent="0.4">
      <c r="A18" s="58" t="s">
        <v>12</v>
      </c>
      <c r="B18" s="50">
        <v>45</v>
      </c>
      <c r="C18" s="27">
        <f>IF(B$3=0,0,B18/B$3)</f>
        <v>0.13353115727002968</v>
      </c>
      <c r="E18" s="68" t="s">
        <v>81</v>
      </c>
      <c r="F18" s="64" t="s">
        <v>34</v>
      </c>
      <c r="G18" s="50">
        <v>1</v>
      </c>
      <c r="H18" s="27">
        <f>IF(B$25=0,0,G18/B$25)</f>
        <v>1.1235955056179775E-2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80</v>
      </c>
      <c r="C19" s="27">
        <f>IF(B$3=0,0,B19/B$3)</f>
        <v>0.23738872403560832</v>
      </c>
      <c r="E19" s="68" t="s">
        <v>85</v>
      </c>
      <c r="F19" s="64" t="s">
        <v>38</v>
      </c>
      <c r="G19" s="50">
        <v>1</v>
      </c>
      <c r="H19" s="27">
        <f>IF(B$25=0,0,G19/B$25)</f>
        <v>1.1235955056179775E-2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10793.939393939394</v>
      </c>
      <c r="C20" s="30">
        <v>1068600</v>
      </c>
      <c r="E20" s="68" t="s">
        <v>91</v>
      </c>
      <c r="F20" s="64" t="s">
        <v>44</v>
      </c>
      <c r="G20" s="50">
        <v>1</v>
      </c>
      <c r="H20" s="27">
        <f>IF(B$25=0,0,G20/B$25)</f>
        <v>1.1235955056179775E-2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-10196.25</v>
      </c>
      <c r="C21" s="48">
        <v>-815700</v>
      </c>
      <c r="E21" s="68" t="s">
        <v>100</v>
      </c>
      <c r="F21" s="64" t="s">
        <v>53</v>
      </c>
      <c r="G21" s="50">
        <v>1</v>
      </c>
      <c r="H21" s="27">
        <f>IF(B$25=0,0,G21/B$25)</f>
        <v>1.1235955056179775E-2</v>
      </c>
      <c r="J21" s="26">
        <v>19</v>
      </c>
      <c r="K21" s="28">
        <v>-273.2</v>
      </c>
    </row>
    <row r="22" spans="1:11" x14ac:dyDescent="0.4">
      <c r="A22" s="57" t="s">
        <v>195</v>
      </c>
      <c r="B22" s="49">
        <v>107</v>
      </c>
      <c r="C22" s="24">
        <f>IF(B$3=0,0,B22/B$3)</f>
        <v>0.31750741839762614</v>
      </c>
      <c r="E22" s="68" t="s">
        <v>80</v>
      </c>
      <c r="F22" s="64" t="s">
        <v>33</v>
      </c>
      <c r="G22" s="50">
        <v>0</v>
      </c>
      <c r="H22" s="27">
        <f>IF(B$25=0,0,G22/B$25)</f>
        <v>0</v>
      </c>
      <c r="J22" s="26">
        <v>20</v>
      </c>
      <c r="K22" s="28">
        <v>-270</v>
      </c>
    </row>
    <row r="23" spans="1:11" x14ac:dyDescent="0.4">
      <c r="A23" s="60" t="s">
        <v>196</v>
      </c>
      <c r="B23" s="52">
        <v>38</v>
      </c>
      <c r="C23" s="32">
        <f>IF(B$22=0,0,B23/B$22)</f>
        <v>0.35514018691588783</v>
      </c>
      <c r="E23" s="68" t="s">
        <v>82</v>
      </c>
      <c r="F23" s="64" t="s">
        <v>35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57" t="s">
        <v>128</v>
      </c>
      <c r="B24" s="80">
        <v>300</v>
      </c>
      <c r="C24" s="81"/>
      <c r="E24" s="68" t="s">
        <v>83</v>
      </c>
      <c r="F24" s="64" t="s">
        <v>36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2">
        <v>89</v>
      </c>
      <c r="C25" s="83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98</v>
      </c>
      <c r="F32" s="64" t="s">
        <v>51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8D8F5-1EFA-4166-9686-9E58B8AC65C9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217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5</v>
      </c>
      <c r="C2" s="81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86">
        <v>46</v>
      </c>
      <c r="C3" s="87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199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88">
        <v>89</v>
      </c>
      <c r="C4" s="89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200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88">
        <f>IF(B$2=0,0,B$4/B$2)</f>
        <v>17.8</v>
      </c>
      <c r="C5" s="89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201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0">
        <f>IF(B$2=0,0,(B$7*1+B$8*2+B$9*3)/B$2)</f>
        <v>1.6</v>
      </c>
      <c r="C6" s="91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202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203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46</v>
      </c>
      <c r="C24" s="8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18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DAD0F-1818-48C8-A182-6DC53EC94B05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 t="s">
        <v>220</v>
      </c>
      <c r="C1" s="85"/>
      <c r="E1" s="66" t="s">
        <v>210</v>
      </c>
      <c r="F1" s="77" t="s">
        <v>122</v>
      </c>
      <c r="G1" s="76" t="s">
        <v>123</v>
      </c>
      <c r="H1" s="77" t="s">
        <v>124</v>
      </c>
      <c r="J1" s="21" t="s">
        <v>22</v>
      </c>
      <c r="K1" s="22" t="s">
        <v>127</v>
      </c>
      <c r="M1" s="21" t="s">
        <v>204</v>
      </c>
      <c r="N1" s="77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0">
        <v>6</v>
      </c>
      <c r="C2" s="81"/>
      <c r="E2" s="67" t="s">
        <v>73</v>
      </c>
      <c r="F2" s="63" t="s">
        <v>27</v>
      </c>
      <c r="G2" s="49">
        <v>15</v>
      </c>
      <c r="H2" s="24">
        <f>IF(B$25=0,0,G2/B$25)</f>
        <v>1.6666666666666667</v>
      </c>
      <c r="J2" s="23">
        <v>0</v>
      </c>
      <c r="K2" s="25">
        <v>0</v>
      </c>
      <c r="M2" s="23" t="s">
        <v>198</v>
      </c>
      <c r="N2" s="44">
        <f t="shared" ref="N2:N7" si="0">IF(P2=0,0,O2/P2)</f>
        <v>-550</v>
      </c>
      <c r="O2" s="41">
        <v>-3300</v>
      </c>
      <c r="P2" s="39">
        <v>6</v>
      </c>
    </row>
    <row r="3" spans="1:16" x14ac:dyDescent="0.4">
      <c r="A3" s="58" t="s">
        <v>8</v>
      </c>
      <c r="B3" s="86">
        <v>43</v>
      </c>
      <c r="C3" s="87"/>
      <c r="E3" s="68" t="s">
        <v>71</v>
      </c>
      <c r="F3" s="64" t="s">
        <v>25</v>
      </c>
      <c r="G3" s="50">
        <v>9</v>
      </c>
      <c r="H3" s="27">
        <f>IF(B$25=0,0,G3/B$25)</f>
        <v>1</v>
      </c>
      <c r="J3" s="26">
        <v>1</v>
      </c>
      <c r="K3" s="28">
        <v>15</v>
      </c>
      <c r="M3" s="26" t="s">
        <v>199</v>
      </c>
      <c r="N3" s="45">
        <f t="shared" si="0"/>
        <v>4833.333333333333</v>
      </c>
      <c r="O3" s="42">
        <v>29000</v>
      </c>
      <c r="P3" s="37">
        <v>6</v>
      </c>
    </row>
    <row r="4" spans="1:16" x14ac:dyDescent="0.4">
      <c r="A4" s="58" t="s">
        <v>6</v>
      </c>
      <c r="B4" s="88">
        <v>2.2000000000000011</v>
      </c>
      <c r="C4" s="89"/>
      <c r="E4" s="68" t="s">
        <v>78</v>
      </c>
      <c r="F4" s="64" t="s">
        <v>31</v>
      </c>
      <c r="G4" s="50">
        <v>7</v>
      </c>
      <c r="H4" s="27">
        <f>IF(B$25=0,0,G4/B$25)</f>
        <v>0.77777777777777779</v>
      </c>
      <c r="J4" s="26">
        <v>2</v>
      </c>
      <c r="K4" s="28">
        <v>-24.299999999999997</v>
      </c>
      <c r="M4" s="26" t="s">
        <v>200</v>
      </c>
      <c r="N4" s="45">
        <f t="shared" si="0"/>
        <v>-2575</v>
      </c>
      <c r="O4" s="42">
        <v>-10300</v>
      </c>
      <c r="P4" s="37">
        <v>4</v>
      </c>
    </row>
    <row r="5" spans="1:16" x14ac:dyDescent="0.4">
      <c r="A5" s="58" t="s">
        <v>7</v>
      </c>
      <c r="B5" s="88">
        <f>IF(B$2=0,0,B$4/B$2)</f>
        <v>0.36666666666666686</v>
      </c>
      <c r="C5" s="89"/>
      <c r="E5" s="68" t="s">
        <v>90</v>
      </c>
      <c r="F5" s="64" t="s">
        <v>43</v>
      </c>
      <c r="G5" s="50">
        <v>4</v>
      </c>
      <c r="H5" s="27">
        <f>IF(B$25=0,0,G5/B$25)</f>
        <v>0.44444444444444442</v>
      </c>
      <c r="J5" s="26">
        <v>3</v>
      </c>
      <c r="K5" s="28">
        <v>-15.599999999999998</v>
      </c>
      <c r="M5" s="26" t="s">
        <v>201</v>
      </c>
      <c r="N5" s="45">
        <f t="shared" si="0"/>
        <v>2575</v>
      </c>
      <c r="O5" s="42">
        <v>10300</v>
      </c>
      <c r="P5" s="37">
        <v>4</v>
      </c>
    </row>
    <row r="6" spans="1:16" x14ac:dyDescent="0.4">
      <c r="A6" s="58" t="s">
        <v>1</v>
      </c>
      <c r="B6" s="90">
        <f>IF(B$2=0,0,(B$7*1+B$8*2+B$9*3)/B$2)</f>
        <v>2.3333333333333335</v>
      </c>
      <c r="C6" s="91"/>
      <c r="E6" s="68" t="s">
        <v>96</v>
      </c>
      <c r="F6" s="64" t="s">
        <v>49</v>
      </c>
      <c r="G6" s="50">
        <v>2</v>
      </c>
      <c r="H6" s="27">
        <f>IF(B$25=0,0,G6/B$25)</f>
        <v>0.22222222222222221</v>
      </c>
      <c r="J6" s="26">
        <v>4</v>
      </c>
      <c r="K6" s="28">
        <v>5.1000000000000014</v>
      </c>
      <c r="M6" s="26" t="s">
        <v>202</v>
      </c>
      <c r="N6" s="45">
        <f t="shared" si="0"/>
        <v>-4833.333333333333</v>
      </c>
      <c r="O6" s="42">
        <v>-14500</v>
      </c>
      <c r="P6" s="37">
        <v>3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69</v>
      </c>
      <c r="F7" s="64" t="s">
        <v>23</v>
      </c>
      <c r="G7" s="50">
        <v>1</v>
      </c>
      <c r="H7" s="27">
        <f>IF(B$25=0,0,G7/B$25)</f>
        <v>0.1111111111111111</v>
      </c>
      <c r="J7" s="26">
        <v>5</v>
      </c>
      <c r="K7" s="28">
        <v>9.6000000000000014</v>
      </c>
      <c r="M7" s="31" t="s">
        <v>203</v>
      </c>
      <c r="N7" s="46">
        <f t="shared" si="0"/>
        <v>-9000</v>
      </c>
      <c r="O7" s="43">
        <v>-9000</v>
      </c>
      <c r="P7" s="38">
        <v>1</v>
      </c>
    </row>
    <row r="8" spans="1:16" x14ac:dyDescent="0.4">
      <c r="A8" s="58" t="s">
        <v>3</v>
      </c>
      <c r="B8" s="50">
        <v>4</v>
      </c>
      <c r="C8" s="27">
        <f t="shared" ref="C8:C9" si="1">IF(B$2=0,0,B8/B$2)</f>
        <v>0.66666666666666663</v>
      </c>
      <c r="E8" s="68" t="s">
        <v>76</v>
      </c>
      <c r="F8" s="64" t="s">
        <v>29</v>
      </c>
      <c r="G8" s="50">
        <v>1</v>
      </c>
      <c r="H8" s="27">
        <f>IF(B$25=0,0,G8/B$25)</f>
        <v>0.1111111111111111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2</v>
      </c>
      <c r="C9" s="29">
        <f t="shared" si="1"/>
        <v>0.33333333333333331</v>
      </c>
      <c r="E9" s="68" t="s">
        <v>85</v>
      </c>
      <c r="F9" s="64" t="s">
        <v>38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1</v>
      </c>
      <c r="C10" s="29">
        <f>IF(B$2=0,0,B10/B$2)</f>
        <v>0.16666666666666666</v>
      </c>
      <c r="E10" s="68" t="s">
        <v>92</v>
      </c>
      <c r="F10" s="64" t="s">
        <v>45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3</v>
      </c>
      <c r="C12" s="35">
        <f>IF(B$24=0,0,B12/B$24)</f>
        <v>6.9767441860465115E-2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21</v>
      </c>
      <c r="C13" s="27">
        <f>IF(B$24=0,0,B13/B$24)</f>
        <v>0.48837209302325579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8</v>
      </c>
      <c r="C15" s="24">
        <f>IF(B$13=0,0,B15/B$13)</f>
        <v>0.38095238095238093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9</v>
      </c>
      <c r="C16" s="24">
        <f>IF(B$3=0,0,B16/B$3)</f>
        <v>0.20930232558139536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9</v>
      </c>
      <c r="C17" s="27">
        <f>IF(B$3=0,0,B17/B$3)</f>
        <v>0.20930232558139536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7</v>
      </c>
      <c r="C19" s="27">
        <f>IF(B$3=0,0,B19/B$3)</f>
        <v>0.16279069767441862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9988.8888888888887</v>
      </c>
      <c r="C20" s="30">
        <v>89900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10</v>
      </c>
      <c r="C22" s="24">
        <f>IF(B$3=0,0,B22/B$3)</f>
        <v>0.23255813953488372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</v>
      </c>
      <c r="C23" s="32">
        <f>IF(B$22=0,0,B23/B$22)</f>
        <v>0.1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0">
        <v>43</v>
      </c>
      <c r="C24" s="81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2">
        <v>9</v>
      </c>
      <c r="C25" s="83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"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8">
    <mergeCell ref="B24:C24"/>
    <mergeCell ref="B25:C25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4"/>
      <c r="C1" s="85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">
      <c r="A2" s="57" t="s">
        <v>9</v>
      </c>
      <c r="B2" s="80">
        <v>0</v>
      </c>
      <c r="C2" s="81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86">
        <v>0</v>
      </c>
      <c r="C3" s="87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88">
        <v>0</v>
      </c>
      <c r="C4" s="89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88">
        <f>IF(B$2=0,0,B$4/B$2)</f>
        <v>0</v>
      </c>
      <c r="C5" s="89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0">
        <f>IF(B$2=0,0,(B$7*1+B$8*2+B$9*3)/B$2)</f>
        <v>0</v>
      </c>
      <c r="C6" s="91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0">
        <v>0</v>
      </c>
      <c r="C24" s="81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2">
        <v>0</v>
      </c>
      <c r="C25" s="83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8"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8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174</v>
      </c>
    </row>
    <row r="3" spans="1:14" x14ac:dyDescent="0.4">
      <c r="A3" s="74" t="s">
        <v>140</v>
      </c>
      <c r="B3" s="75">
        <v>43454.62740740741</v>
      </c>
      <c r="C3" s="74" t="s">
        <v>174</v>
      </c>
    </row>
    <row r="4" spans="1:14" x14ac:dyDescent="0.4">
      <c r="A4" s="74" t="s">
        <v>143</v>
      </c>
      <c r="B4" s="75">
        <v>43454.62740740741</v>
      </c>
      <c r="C4" s="74" t="s">
        <v>174</v>
      </c>
    </row>
    <row r="5" spans="1:14" x14ac:dyDescent="0.4">
      <c r="A5" s="74" t="s">
        <v>144</v>
      </c>
      <c r="B5" s="75">
        <v>43454.62740740741</v>
      </c>
      <c r="C5" s="74" t="s">
        <v>174</v>
      </c>
      <c r="D5" s="74" t="s">
        <v>175</v>
      </c>
      <c r="E5" s="74" t="s">
        <v>176</v>
      </c>
      <c r="F5" s="74" t="s">
        <v>177</v>
      </c>
      <c r="G5" s="74" t="s">
        <v>178</v>
      </c>
    </row>
    <row r="6" spans="1:14" x14ac:dyDescent="0.4">
      <c r="A6" s="74" t="s">
        <v>146</v>
      </c>
      <c r="B6" s="75">
        <v>43454.62740740741</v>
      </c>
      <c r="C6" s="74" t="s">
        <v>174</v>
      </c>
    </row>
    <row r="7" spans="1:14" x14ac:dyDescent="0.4">
      <c r="A7" s="74" t="s">
        <v>147</v>
      </c>
      <c r="B7" s="75">
        <v>43454.62740740741</v>
      </c>
      <c r="C7" s="74" t="s">
        <v>174</v>
      </c>
      <c r="D7" s="74" t="s">
        <v>175</v>
      </c>
      <c r="E7" s="74" t="s">
        <v>176</v>
      </c>
    </row>
    <row r="8" spans="1:14" x14ac:dyDescent="0.4">
      <c r="A8" s="74" t="s">
        <v>150</v>
      </c>
      <c r="B8" s="75">
        <v>43454.62740740741</v>
      </c>
      <c r="C8" s="74" t="s">
        <v>174</v>
      </c>
      <c r="D8" s="74" t="s">
        <v>175</v>
      </c>
    </row>
    <row r="9" spans="1:14" x14ac:dyDescent="0.4">
      <c r="A9" s="74" t="s">
        <v>151</v>
      </c>
      <c r="B9" s="75">
        <v>43454.62740740741</v>
      </c>
      <c r="C9" s="74" t="s">
        <v>174</v>
      </c>
      <c r="D9" s="74" t="s">
        <v>175</v>
      </c>
      <c r="E9" s="74" t="s">
        <v>176</v>
      </c>
      <c r="F9" s="74" t="s">
        <v>177</v>
      </c>
    </row>
    <row r="10" spans="1:14" x14ac:dyDescent="0.4">
      <c r="A10" s="74" t="s">
        <v>152</v>
      </c>
      <c r="B10" s="75">
        <v>43454.62740740741</v>
      </c>
      <c r="C10" s="74" t="s">
        <v>174</v>
      </c>
      <c r="D10" s="74" t="s">
        <v>175</v>
      </c>
      <c r="E10" s="74" t="s">
        <v>176</v>
      </c>
    </row>
    <row r="11" spans="1:14" x14ac:dyDescent="0.4">
      <c r="A11" s="74" t="s">
        <v>153</v>
      </c>
      <c r="B11" s="75">
        <v>43454.62740740741</v>
      </c>
      <c r="C11" s="74" t="s">
        <v>174</v>
      </c>
      <c r="D11" s="74" t="s">
        <v>175</v>
      </c>
      <c r="E11" s="74" t="s">
        <v>176</v>
      </c>
      <c r="F11" s="74" t="s">
        <v>177</v>
      </c>
      <c r="G11" s="74" t="s">
        <v>178</v>
      </c>
      <c r="H11" s="74" t="s">
        <v>179</v>
      </c>
      <c r="I11" s="74" t="s">
        <v>180</v>
      </c>
    </row>
    <row r="12" spans="1:14" x14ac:dyDescent="0.4">
      <c r="A12" s="74" t="s">
        <v>154</v>
      </c>
      <c r="B12" s="75">
        <v>43454.62740740741</v>
      </c>
      <c r="C12" s="74" t="s">
        <v>174</v>
      </c>
      <c r="D12" s="74" t="s">
        <v>175</v>
      </c>
    </row>
    <row r="13" spans="1:14" x14ac:dyDescent="0.4">
      <c r="A13" s="74" t="s">
        <v>155</v>
      </c>
      <c r="B13" s="75">
        <v>43454.62740740741</v>
      </c>
      <c r="C13" s="74" t="s">
        <v>174</v>
      </c>
      <c r="D13" s="74" t="s">
        <v>175</v>
      </c>
      <c r="E13" s="74" t="s">
        <v>176</v>
      </c>
      <c r="F13" s="74" t="s">
        <v>177</v>
      </c>
      <c r="G13" s="74" t="s">
        <v>178</v>
      </c>
      <c r="H13" s="74" t="s">
        <v>179</v>
      </c>
      <c r="I13" s="74" t="s">
        <v>180</v>
      </c>
      <c r="J13" s="74" t="s">
        <v>181</v>
      </c>
      <c r="K13" s="74" t="s">
        <v>182</v>
      </c>
      <c r="L13" s="74" t="s">
        <v>183</v>
      </c>
      <c r="M13" s="74" t="s">
        <v>184</v>
      </c>
      <c r="N13" s="74" t="s">
        <v>185</v>
      </c>
    </row>
    <row r="14" spans="1:14" x14ac:dyDescent="0.4">
      <c r="A14" s="74" t="s">
        <v>157</v>
      </c>
      <c r="B14" s="75">
        <v>43454.62740740741</v>
      </c>
      <c r="C14" s="74" t="s">
        <v>174</v>
      </c>
      <c r="D14" s="74" t="s">
        <v>175</v>
      </c>
      <c r="E14" s="74" t="s">
        <v>176</v>
      </c>
    </row>
    <row r="15" spans="1:14" x14ac:dyDescent="0.4">
      <c r="A15" s="74" t="s">
        <v>158</v>
      </c>
      <c r="B15" s="75">
        <v>43454.62740740741</v>
      </c>
      <c r="C15" s="74" t="s">
        <v>174</v>
      </c>
      <c r="D15" s="74" t="s">
        <v>175</v>
      </c>
      <c r="E15" s="74" t="s">
        <v>176</v>
      </c>
    </row>
    <row r="16" spans="1:14" x14ac:dyDescent="0.4">
      <c r="A16" s="74" t="s">
        <v>159</v>
      </c>
      <c r="B16" s="75">
        <v>43454.62740740741</v>
      </c>
      <c r="C16" s="74" t="s">
        <v>174</v>
      </c>
      <c r="D16" s="74" t="s">
        <v>175</v>
      </c>
      <c r="E16" s="74" t="s">
        <v>176</v>
      </c>
    </row>
    <row r="17" spans="1:9" x14ac:dyDescent="0.4">
      <c r="A17" s="74" t="s">
        <v>161</v>
      </c>
      <c r="B17" s="75">
        <v>43471.701018518521</v>
      </c>
      <c r="C17" s="74" t="s">
        <v>174</v>
      </c>
      <c r="D17" s="74" t="s">
        <v>175</v>
      </c>
      <c r="E17" s="74" t="s">
        <v>176</v>
      </c>
      <c r="F17" s="74" t="s">
        <v>177</v>
      </c>
      <c r="G17" s="74" t="s">
        <v>178</v>
      </c>
      <c r="H17" s="74" t="s">
        <v>179</v>
      </c>
    </row>
    <row r="18" spans="1:9" x14ac:dyDescent="0.4">
      <c r="A18" s="74" t="s">
        <v>162</v>
      </c>
      <c r="B18" s="75">
        <v>43454.62740740741</v>
      </c>
      <c r="C18" s="74" t="s">
        <v>174</v>
      </c>
      <c r="D18" s="74" t="s">
        <v>175</v>
      </c>
      <c r="E18" s="74" t="s">
        <v>176</v>
      </c>
      <c r="F18" s="74" t="s">
        <v>177</v>
      </c>
      <c r="G18" s="74" t="s">
        <v>178</v>
      </c>
      <c r="H18" s="74" t="s">
        <v>179</v>
      </c>
    </row>
    <row r="19" spans="1:9" x14ac:dyDescent="0.4">
      <c r="A19" s="74" t="s">
        <v>163</v>
      </c>
      <c r="B19" s="75">
        <v>43454.62740740741</v>
      </c>
      <c r="C19" s="74" t="s">
        <v>174</v>
      </c>
      <c r="D19" s="74" t="s">
        <v>175</v>
      </c>
    </row>
    <row r="20" spans="1:9" x14ac:dyDescent="0.4">
      <c r="A20" s="74" t="s">
        <v>164</v>
      </c>
      <c r="B20" s="75">
        <v>43471.701018518521</v>
      </c>
      <c r="C20" s="74" t="s">
        <v>174</v>
      </c>
      <c r="D20" s="74" t="s">
        <v>175</v>
      </c>
      <c r="E20" s="74" t="s">
        <v>176</v>
      </c>
    </row>
    <row r="21" spans="1:9" x14ac:dyDescent="0.4">
      <c r="A21" s="74" t="s">
        <v>165</v>
      </c>
      <c r="B21" s="75">
        <v>43454.62740740741</v>
      </c>
      <c r="C21" s="74" t="s">
        <v>174</v>
      </c>
      <c r="D21" s="74" t="s">
        <v>175</v>
      </c>
      <c r="E21" s="74" t="s">
        <v>176</v>
      </c>
      <c r="F21" s="74" t="s">
        <v>177</v>
      </c>
    </row>
    <row r="22" spans="1:9" x14ac:dyDescent="0.4">
      <c r="A22" s="74" t="s">
        <v>166</v>
      </c>
      <c r="B22" s="75">
        <v>43454.62740740741</v>
      </c>
      <c r="C22" s="74" t="s">
        <v>174</v>
      </c>
      <c r="D22" s="74" t="s">
        <v>175</v>
      </c>
      <c r="E22" s="74" t="s">
        <v>176</v>
      </c>
      <c r="F22" s="74" t="s">
        <v>177</v>
      </c>
    </row>
    <row r="23" spans="1:9" x14ac:dyDescent="0.4">
      <c r="A23" s="74" t="s">
        <v>167</v>
      </c>
      <c r="B23" s="75">
        <v>43454.62740740741</v>
      </c>
      <c r="C23" s="74" t="s">
        <v>174</v>
      </c>
      <c r="D23" s="74" t="s">
        <v>175</v>
      </c>
      <c r="E23" s="74" t="s">
        <v>176</v>
      </c>
      <c r="F23" s="74" t="s">
        <v>177</v>
      </c>
      <c r="G23" s="74" t="s">
        <v>178</v>
      </c>
      <c r="H23" s="74" t="s">
        <v>179</v>
      </c>
      <c r="I23" s="74" t="s">
        <v>180</v>
      </c>
    </row>
    <row r="24" spans="1:9" x14ac:dyDescent="0.4">
      <c r="A24" s="74" t="s">
        <v>168</v>
      </c>
      <c r="B24" s="75">
        <v>43454.62740740741</v>
      </c>
      <c r="C24" s="74" t="s">
        <v>174</v>
      </c>
      <c r="D24" s="74" t="s">
        <v>175</v>
      </c>
      <c r="E24" s="74" t="s">
        <v>176</v>
      </c>
    </row>
    <row r="25" spans="1:9" x14ac:dyDescent="0.4">
      <c r="A25" s="74" t="s">
        <v>169</v>
      </c>
      <c r="B25" s="75">
        <v>43454.62740740741</v>
      </c>
      <c r="C25" s="74" t="s">
        <v>174</v>
      </c>
      <c r="D25" s="74" t="s">
        <v>175</v>
      </c>
      <c r="E25" s="74" t="s">
        <v>176</v>
      </c>
      <c r="F25" s="74" t="s">
        <v>177</v>
      </c>
      <c r="G25" s="74" t="s">
        <v>178</v>
      </c>
      <c r="H25" s="74" t="s">
        <v>179</v>
      </c>
    </row>
    <row r="26" spans="1:9" x14ac:dyDescent="0.4">
      <c r="A26" s="74" t="s">
        <v>170</v>
      </c>
      <c r="B26" s="75">
        <v>43454.62740740741</v>
      </c>
      <c r="C26" s="74" t="s">
        <v>174</v>
      </c>
      <c r="D26" s="74" t="s">
        <v>175</v>
      </c>
    </row>
    <row r="27" spans="1:9" x14ac:dyDescent="0.4">
      <c r="A27" s="74" t="s">
        <v>171</v>
      </c>
      <c r="B27" s="75">
        <v>43454.62740740741</v>
      </c>
      <c r="C27" s="74" t="s">
        <v>174</v>
      </c>
      <c r="D27" s="74" t="s">
        <v>175</v>
      </c>
    </row>
    <row r="28" spans="1:9" x14ac:dyDescent="0.4">
      <c r="A28" s="74" t="s">
        <v>172</v>
      </c>
      <c r="B28" s="75">
        <v>43454.62740740741</v>
      </c>
      <c r="C28" s="74" t="s">
        <v>174</v>
      </c>
      <c r="D28" s="74" t="s">
        <v>175</v>
      </c>
      <c r="E28" s="74" t="s">
        <v>176</v>
      </c>
      <c r="F28" s="74" t="s">
        <v>177</v>
      </c>
    </row>
    <row r="29" spans="1:9" x14ac:dyDescent="0.4">
      <c r="A29" s="74" t="s">
        <v>173</v>
      </c>
      <c r="B29" s="75">
        <v>43455.084918981483</v>
      </c>
      <c r="C29" s="74" t="s">
        <v>174</v>
      </c>
      <c r="D29" s="74" t="s">
        <v>175</v>
      </c>
      <c r="E29" s="74" t="s">
        <v>176</v>
      </c>
      <c r="F29" s="74" t="s">
        <v>177</v>
      </c>
      <c r="G29" s="74" t="s">
        <v>178</v>
      </c>
      <c r="H29" s="74" t="s">
        <v>179</v>
      </c>
    </row>
    <row r="30" spans="1:9" x14ac:dyDescent="0.4">
      <c r="A30" s="74" t="s">
        <v>194</v>
      </c>
      <c r="B30" s="75">
        <v>43456.147789351853</v>
      </c>
      <c r="C30" s="74" t="s">
        <v>174</v>
      </c>
      <c r="D30" s="74" t="s">
        <v>175</v>
      </c>
      <c r="E30" s="74" t="s">
        <v>176</v>
      </c>
      <c r="F30" s="74" t="s">
        <v>177</v>
      </c>
      <c r="G30" s="74" t="s">
        <v>178</v>
      </c>
    </row>
    <row r="31" spans="1:9" x14ac:dyDescent="0.4">
      <c r="A31" s="74" t="s">
        <v>211</v>
      </c>
      <c r="B31" s="75">
        <v>43471.8909375</v>
      </c>
      <c r="C31" s="74" t="s">
        <v>174</v>
      </c>
      <c r="D31" s="74" t="s">
        <v>175</v>
      </c>
      <c r="E31" s="74" t="s">
        <v>176</v>
      </c>
      <c r="F31" s="74" t="s">
        <v>177</v>
      </c>
    </row>
    <row r="32" spans="1:9" x14ac:dyDescent="0.4">
      <c r="A32" s="74" t="s">
        <v>212</v>
      </c>
      <c r="B32" s="75">
        <v>43475.056238425925</v>
      </c>
      <c r="C32" s="74" t="s">
        <v>174</v>
      </c>
    </row>
    <row r="33" spans="1:10" x14ac:dyDescent="0.4">
      <c r="A33" s="74" t="s">
        <v>213</v>
      </c>
      <c r="B33" s="75">
        <v>43478.456446759257</v>
      </c>
      <c r="C33" s="74" t="s">
        <v>174</v>
      </c>
      <c r="D33" s="74" t="s">
        <v>175</v>
      </c>
      <c r="E33" s="74" t="s">
        <v>176</v>
      </c>
    </row>
    <row r="34" spans="1:10" x14ac:dyDescent="0.4">
      <c r="A34" s="74" t="s">
        <v>216</v>
      </c>
      <c r="B34" s="75">
        <v>43479.152256944442</v>
      </c>
      <c r="C34" s="74" t="s">
        <v>174</v>
      </c>
      <c r="D34" s="74" t="s">
        <v>175</v>
      </c>
      <c r="E34" s="74" t="s">
        <v>176</v>
      </c>
      <c r="F34" s="74" t="s">
        <v>177</v>
      </c>
      <c r="G34" s="74" t="s">
        <v>178</v>
      </c>
      <c r="H34" s="74" t="s">
        <v>179</v>
      </c>
      <c r="I34" s="74" t="s">
        <v>180</v>
      </c>
      <c r="J34" s="74" t="s">
        <v>181</v>
      </c>
    </row>
    <row r="35" spans="1:10" x14ac:dyDescent="0.4">
      <c r="A35" s="74" t="s">
        <v>221</v>
      </c>
      <c r="B35" s="75">
        <v>43480.04891203704</v>
      </c>
      <c r="C35" s="74" t="s">
        <v>174</v>
      </c>
      <c r="D35" s="74" t="s">
        <v>175</v>
      </c>
      <c r="E35" s="74" t="s">
        <v>176</v>
      </c>
      <c r="F35" s="74" t="s">
        <v>177</v>
      </c>
      <c r="G35" s="74" t="s">
        <v>178</v>
      </c>
      <c r="H35" s="74" t="s">
        <v>179</v>
      </c>
      <c r="I35" s="74" t="s">
        <v>180</v>
      </c>
      <c r="J35" s="74" t="s">
        <v>181</v>
      </c>
    </row>
    <row r="36" spans="1:10" x14ac:dyDescent="0.4">
      <c r="A36" s="74" t="s">
        <v>228</v>
      </c>
      <c r="B36" s="75">
        <v>43481.046527777777</v>
      </c>
      <c r="C36" s="74" t="s">
        <v>174</v>
      </c>
      <c r="D36" s="74" t="s">
        <v>175</v>
      </c>
      <c r="E36" s="74" t="s">
        <v>176</v>
      </c>
    </row>
    <row r="37" spans="1:10" x14ac:dyDescent="0.4">
      <c r="A37" s="74" t="s">
        <v>229</v>
      </c>
      <c r="B37" s="75">
        <v>43482.020208333335</v>
      </c>
      <c r="C37" s="74" t="s">
        <v>174</v>
      </c>
      <c r="D37" s="74" t="s">
        <v>175</v>
      </c>
    </row>
    <row r="38" spans="1:10" x14ac:dyDescent="0.4">
      <c r="A38" s="74" t="s">
        <v>230</v>
      </c>
      <c r="B38" s="75">
        <v>43482.708240740743</v>
      </c>
      <c r="C38" s="74" t="s">
        <v>174</v>
      </c>
      <c r="D38" s="74" t="s">
        <v>175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2019-01-17T08:02:34Z</dcterms:modified>
</cp:coreProperties>
</file>