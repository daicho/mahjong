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EA63F545-D17D-43D6-830F-7CBAB3735699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E6" i="1" l="1"/>
  <c r="C7" i="1"/>
  <c r="D7" i="1"/>
  <c r="B3" i="1"/>
  <c r="E7" i="1"/>
  <c r="C6" i="1"/>
  <c r="D6" i="1"/>
  <c r="E8" i="1" l="1"/>
  <c r="D8" i="1"/>
  <c r="C8" i="1"/>
  <c r="E5" i="1"/>
  <c r="D5" i="1"/>
  <c r="C5" i="1"/>
</calcChain>
</file>

<file path=xl/sharedStrings.xml><?xml version="1.0" encoding="utf-8"?>
<sst xmlns="http://schemas.openxmlformats.org/spreadsheetml/2006/main" count="5" uniqueCount="5">
  <si>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</si>
  <si>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</si>
  <si>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</si>
  <si>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</si>
  <si>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2019-01-13.xlsm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</si>
</sst>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MJINFO(Book!$A$1,1)&amp;MJINFO(Book!$A$1,2)&amp;"局"</f>
        <v>西1局</v>
      </c>
      <c r="C2" s="19"/>
      <c r="D2" s="19"/>
      <c r="E2" s="19"/>
    </row>
    <row r="3" spans="1:5" s="12" customFormat="1" ht="76.5" customHeight="1" x14ac:dyDescent="0.4">
      <c r="B3" s="20" t="str">
        <f ca="1">""&amp;MJINFO(Book!$A$1,3)&amp;"本場 供託"&amp;MJINFO(Book!$A$1,4)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RANK(C$7,$C$7:$E$7)</f>
        <v>2</v>
      </c>
      <c r="D5" s="2">
        <f ca="1">RANK(D$7,$C$7:$E$7)</f>
        <v>1</v>
      </c>
      <c r="E5" s="3">
        <f ca="1">RANK(E$7,$C$7:$E$7)</f>
        <v>3</v>
      </c>
    </row>
    <row r="6" spans="1:5" ht="154.5" x14ac:dyDescent="0.4">
      <c r="B6" s="9" t="s">
        <v>0</v>
      </c>
      <c r="C6" s="7" t="str">
        <f ca="1">NAME(Book!$A$1,0)</f>
        <v>だいち</v>
      </c>
      <c r="D6" s="4" t="str">
        <f ca="1">NAME(Book!$A$1,1)</f>
        <v>りくと</v>
      </c>
      <c r="E6" s="5" t="str">
        <f ca="1">NAME(Book!$A$1,2)</f>
        <v>れんたろう</v>
      </c>
    </row>
    <row r="7" spans="1:5" ht="154.5" x14ac:dyDescent="0.4">
      <c r="A7" s="15"/>
      <c r="B7" s="9" t="s">
        <v>2</v>
      </c>
      <c r="C7" s="7">
        <f ca="1">POINT(Book!$A$1,0)</f>
        <v>29600</v>
      </c>
      <c r="D7" s="4">
        <f ca="1">POINT(Book!$A$1,1)</f>
        <v>50800</v>
      </c>
      <c r="E7" s="5">
        <f ca="1">POINT(Book!$A$1,2)</f>
        <v>24600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ROUND((C$7-35000)/1000,1)+(_xlfn.RANK.AVG(C$7,$C$7:$E$7,1)-2)*20</f>
        <v>-5.4</v>
      </c>
      <c r="D8" s="17">
        <f ca="1">ROUND((D$7-35000)/1000,1)+(_xlfn.RANK.AVG(D$7,$C$7:$E$7,1)-2)*20</f>
        <v>35.799999999999997</v>
      </c>
      <c r="E8" s="18">
        <f ca="1">ROUND((E$7-35000)/1000,1)+(_xlfn.RANK.AVG(E$7,$C$7:$E$7,1)-2)*20</f>
        <v>-30.4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2019-01-13T07:54:17Z</dcterms:modified>
</cp:coreProperties>
</file>