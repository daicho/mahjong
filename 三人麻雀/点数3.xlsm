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E85A20A-D49C-44AF-8FBC-8C07F721DCDA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E7" i="1"/>
  <c r="C7" i="1"/>
  <c r="D7" i="1"/>
  <c r="D5" i="1" l="1"/>
  <c r="D8" i="1"/>
  <c r="C8" i="1"/>
  <c r="C5" i="1"/>
  <c r="E5" i="1"/>
  <c r="E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<sst xmlns="http://schemas.openxmlformats.org/spreadsheetml/2006/main" count="8" uniqueCount="8">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</sst>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南3局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1本場 供託1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1</v>
      </c>
      <c r="D5" s="2">
        <f ca="1">RANK(D$7,$C$7:$E$7)</f>
        <v>2</v>
      </c>
      <c r="E5" s="3">
        <f ca="1">RANK(E$7,$C$7:$E$7)</f>
        <v>3</v>
      </c>
    </row>
    <row r="6" spans="1:70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ただ</v>
      </c>
      <c r="E6" s="5" t="str">
        <f ca="1">NAME(Book!$A$1,2)</f>
        <v>れんたろう</v>
      </c>
    </row>
    <row r="7" spans="1:70" ht="154.5" x14ac:dyDescent="0.4">
      <c r="A7" s="18"/>
      <c r="B7" s="12" t="s">
        <v>2</v>
      </c>
      <c r="C7" s="9">
        <f ca="1">POINT(Book!$A$1,0)</f>
        <v>66500</v>
      </c>
      <c r="D7" s="4">
        <f ca="1">POINT(Book!$A$1,1)</f>
        <v>24200</v>
      </c>
      <c r="E7" s="5">
        <f ca="1">POINT(Book!$A$1,2)</f>
        <v>14300</v>
      </c>
    </row>
    <row r="8" spans="1:70" ht="97.5" thickBot="1" x14ac:dyDescent="0.45">
      <c r="A8" s="18"/>
      <c r="B8" s="13" t="s">
        <v>4</v>
      </c>
      <c r="C8" s="10">
        <f ca="1">ROUND((C$7-35000)/1000,0)</f>
        <v>32</v>
      </c>
      <c r="D8" s="6">
        <f ca="1">ROUND((D$7-35000)/1000,0)</f>
        <v>-11</v>
      </c>
      <c r="E8" s="7">
        <f ca="1">ROUND((E$7-35000)/1000,0)</f>
        <v>-21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2018-12-15T18:04:18Z</dcterms:modified>
</cp:coreProperties>
</file>