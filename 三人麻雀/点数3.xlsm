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4711A02-15FE-4391-B293-9E6602EAE3E5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/>
  <c r="C7" i="1"/>
  <c r="C8" i="1" l="1"/>
  <c r="D7" i="1"/>
  <c r="D8" i="1" l="1"/>
  <c r="E7" i="1"/>
  <c r="E8" i="1" l="1"/>
  <c r="E5" i="1"/>
  <c r="C5" i="1"/>
  <c r="D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<sst xmlns="http://schemas.openxmlformats.org/spreadsheetml/2006/main" count="8" uniqueCount="8">
  <si>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</si>
  <si>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</si>
  <si>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</si>
  <si>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</si>
  <si>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</si>
  <si>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2018-12-14.xlsm</t>
    <phoneticPr fontId="1"/>
  </si>
  <si>
    <t>ロン</t>
    <phoneticPr fontId="1"/>
  </si>
  <si>
    <t>放銃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</si>
</sst>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e">
        <f ca="1">MJINFO(Book!$A$1,1)&amp;MJINFO(Book!$A$1,2)&amp;"局"</f>
        <v>#VALUE!</v>
      </c>
      <c r="C2" s="19"/>
      <c r="D2" s="19"/>
      <c r="E2" s="19"/>
    </row>
    <row r="3" spans="1:70" s="15" customFormat="1" ht="76.5" customHeight="1" x14ac:dyDescent="0.4">
      <c r="B3" s="20" t="e">
        <f ca="1">""&amp;MJINFO(Book!$A$1,3)&amp;"本場 供託"&amp;MJINFO(Book!$A$1,4)</f>
        <v>#VALUE!</v>
      </c>
      <c r="C3" s="20"/>
      <c r="D3" s="20"/>
      <c r="E3" s="20"/>
      <c r="F3" s="15" t="s">
        <v>6</v>
      </c>
      <c r="H3" s="15">
        <v>1000</v>
      </c>
      <c r="K3" s="15" t="s">
        <v>3</v>
      </c>
      <c r="M3" s="15">
        <v>-1000</v>
      </c>
      <c r="P3" s="15" t="s">
        <v>7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12" t="s">
        <v>0</v>
      </c>
      <c r="C6" s="9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8"/>
      <c r="B7" s="12" t="s">
        <v>2</v>
      </c>
      <c r="C7" s="9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8"/>
      <c r="B8" s="13" t="s">
        <v>4</v>
      </c>
      <c r="C8" s="10" t="e">
        <f ca="1">ROUND((C$7-35000)/1000,0)</f>
        <v>#VALUE!</v>
      </c>
      <c r="D8" s="6" t="e">
        <f ca="1">ROUND((D$7-35000)/1000,0)</f>
        <v>#VALUE!</v>
      </c>
      <c r="E8" s="7" t="e">
        <f ca="1">ROUND((E$7-35000)/1000,0)</f>
        <v>#VALUE!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2018-12-14T07:53:51Z</dcterms:modified>
</cp:coreProperties>
</file>