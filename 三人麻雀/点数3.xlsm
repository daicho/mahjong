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三人麻雀\"/>
    </mc:Choice>
  </mc:AlternateContent>
  <xr:revisionPtr revIDLastSave="0" documentId="10_ncr:100000_{EFF1B537-6BA9-4DEB-9944-CBFE8392226E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B2" i="1"/>
  <c r="C7" i="1"/>
  <c r="C8" i="1" l="1"/>
  <c r="D7" i="1"/>
  <c r="D8" i="1" l="1"/>
  <c r="E7" i="1"/>
  <c r="D5" i="1" l="1"/>
  <c r="C5" i="1"/>
  <c r="E8" i="1"/>
  <c r="E5" i="1"/>
</calcChain>
</file>

<file path=xl/sharedStrings.xml><?xml version="1.0" encoding="utf-8"?>
<sst xmlns="http://schemas.openxmlformats.org/spreadsheetml/2006/main" count="8" uniqueCount="7">
  <si>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</si>
  <si>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</si>
  <si>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</si>
  <si>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</t>
  </si>
  <si>
    <t>ツモ支払</t>
  </si>
  <si>
    <t>スコア</t>
    <phoneticPr fontId="1"/>
  </si>
  <si>
    <t>2018-12-13.xlsm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</si>
</sst>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\±0"/>
    <numFmt numFmtId="177" formatCode="0&quot;位&quot;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7" fontId="4" fillId="0" borderId="2" xfId="0" applyNumberFormat="1" applyFont="1" applyBorder="1" applyAlignment="1">
      <alignment horizontal="center" vertical="center" shrinkToFit="1"/>
    </xf>
    <xf numFmtId="177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5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7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176" fontId="4" fillId="0" borderId="9" xfId="0" applyNumberFormat="1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AV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48" ht="13.5" customHeight="1" x14ac:dyDescent="0.4"/>
    <row r="2" spans="1:48" s="14" customFormat="1" ht="123" customHeight="1" x14ac:dyDescent="0.4">
      <c r="B2" s="19" t="str">
        <f ca="1">MJINFO(Book!$A$1,1)&amp;MJINFO(Book!$A$1,2)&amp;"局"</f>
        <v>南3局</v>
      </c>
      <c r="C2" s="19"/>
      <c r="D2" s="19"/>
      <c r="E2" s="19"/>
    </row>
    <row r="3" spans="1:48" s="15" customFormat="1" ht="76.5" customHeight="1" x14ac:dyDescent="0.4">
      <c r="B3" s="20" t="str">
        <f ca="1">""&amp;MJINFO(Book!$A$1,3)&amp;"本場 供託"&amp;MJINFO(Book!$A$1,4)</f>
        <v>1本場 供託0</v>
      </c>
      <c r="C3" s="20"/>
      <c r="D3" s="20"/>
      <c r="E3" s="20"/>
      <c r="F3" s="15" t="s">
        <v>3</v>
      </c>
      <c r="K3" s="15" t="s">
        <v>4</v>
      </c>
      <c r="P3" s="15" t="s">
        <v>4</v>
      </c>
      <c r="AA3" s="15">
        <v>1</v>
      </c>
      <c r="AE3" s="15">
        <v>1</v>
      </c>
      <c r="AV3" s="15">
        <v>1</v>
      </c>
    </row>
    <row r="4" spans="1:48" s="17" customFormat="1" ht="21" customHeight="1" thickBot="1" x14ac:dyDescent="0.45">
      <c r="B4" s="16"/>
      <c r="C4" s="16"/>
      <c r="D4" s="16"/>
      <c r="E4" s="16"/>
    </row>
    <row r="5" spans="1:48" ht="97.5" thickTop="1" x14ac:dyDescent="0.4">
      <c r="B5" s="11" t="s">
        <v>1</v>
      </c>
      <c r="C5" s="8">
        <f ca="1">RANK(C$7,$C$7:$E$7)</f>
        <v>1</v>
      </c>
      <c r="D5" s="2">
        <f ca="1">RANK(D$7,$C$7:$E$7)</f>
        <v>3</v>
      </c>
      <c r="E5" s="3">
        <f ca="1">RANK(E$7,$C$7:$E$7)</f>
        <v>2</v>
      </c>
    </row>
    <row r="6" spans="1:48" ht="154.5" x14ac:dyDescent="0.4">
      <c r="B6" s="12" t="s">
        <v>0</v>
      </c>
      <c r="C6" s="9" t="str">
        <f ca="1">NAME(Book!$A$1,0)</f>
        <v>だいち</v>
      </c>
      <c r="D6" s="4" t="str">
        <f ca="1">NAME(Book!$A$1,1)</f>
        <v>れんたろう</v>
      </c>
      <c r="E6" s="5" t="str">
        <f ca="1">NAME(Book!$A$1,2)</f>
        <v>いっしー</v>
      </c>
    </row>
    <row r="7" spans="1:48" ht="154.5" x14ac:dyDescent="0.4">
      <c r="A7" s="18"/>
      <c r="B7" s="12" t="s">
        <v>2</v>
      </c>
      <c r="C7" s="9">
        <f ca="1">POINT(Book!$A$1,0)</f>
        <v>53300</v>
      </c>
      <c r="D7" s="4">
        <f ca="1">POINT(Book!$A$1,1)</f>
        <v>1900</v>
      </c>
      <c r="E7" s="5">
        <f ca="1">POINT(Book!$A$1,2)</f>
        <v>49800</v>
      </c>
    </row>
    <row r="8" spans="1:48" ht="97.5" thickBot="1" x14ac:dyDescent="0.45">
      <c r="A8" s="18"/>
      <c r="B8" s="13" t="s">
        <v>5</v>
      </c>
      <c r="C8" s="10">
        <f ca="1">ROUND((C$7-35000)/1000,0)</f>
        <v>18</v>
      </c>
      <c r="D8" s="6">
        <f ca="1">ROUND((D$7-35000)/1000,0)</f>
        <v>-33</v>
      </c>
      <c r="E8" s="7">
        <f ca="1">ROUND((E$7-35000)/1000,0)</f>
        <v>15</v>
      </c>
    </row>
    <row r="9" spans="1:48" ht="19.5" thickTop="1" x14ac:dyDescent="0.4">
      <c r="A9" s="18"/>
    </row>
    <row r="10" spans="1:48" x14ac:dyDescent="0.4">
      <c r="A10" s="18"/>
    </row>
    <row r="11" spans="1:48" x14ac:dyDescent="0.4">
      <c r="A11" s="18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2018-12-13T17:00:29Z</dcterms:modified>
</cp:coreProperties>
</file>