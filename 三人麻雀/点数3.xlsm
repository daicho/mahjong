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D0E293BE-B2A0-403A-8E10-93C795896316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C7" i="1"/>
  <c r="E7" i="1"/>
  <c r="E8" i="1" l="1"/>
  <c r="C8" i="1"/>
  <c r="D7" i="1"/>
  <c r="D5" i="1" l="1"/>
  <c r="E5" i="1"/>
  <c r="D8" i="1"/>
  <c r="C5" i="1"/>
  <c r="B2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<sst xmlns="http://schemas.openxmlformats.org/spreadsheetml/2006/main" count="8" uniqueCount="8">
  <si>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</si>
  <si>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</si>
  <si>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</si>
  <si>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</si>
  <si>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</si>
  <si>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ロン</t>
    <phoneticPr fontId="1"/>
  </si>
  <si>
    <t>放銃</t>
    <phoneticPr fontId="1"/>
  </si>
  <si>
    <t>2018-12-20.xlsm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</si>
</sst>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1" customFormat="1" ht="123" customHeight="1" x14ac:dyDescent="0.4">
      <c r="B2" s="19" t="str">
        <f ca="1">MJINFO(Book!$A$1,1)&amp;MJINFO(Book!$A$1,2)&amp;"局"</f>
        <v>南1局</v>
      </c>
      <c r="C2" s="19"/>
      <c r="D2" s="19"/>
      <c r="E2" s="19"/>
    </row>
    <row r="3" spans="1:70" s="12" customFormat="1" ht="76.5" customHeight="1" x14ac:dyDescent="0.4">
      <c r="B3" s="20" t="str">
        <f ca="1">""&amp;MJINFO(Book!$A$1,3)&amp;"本場 供託"&amp;MJINFO(Book!$A$1,4)</f>
        <v>2本場 供託0</v>
      </c>
      <c r="C3" s="20"/>
      <c r="D3" s="20"/>
      <c r="E3" s="20"/>
      <c r="F3" s="12" t="s">
        <v>5</v>
      </c>
      <c r="H3" s="12">
        <v>1000</v>
      </c>
      <c r="K3" s="12" t="s">
        <v>3</v>
      </c>
      <c r="M3" s="12">
        <v>-1000</v>
      </c>
      <c r="P3" s="12" t="s">
        <v>6</v>
      </c>
      <c r="AA3" s="12">
        <v>1</v>
      </c>
      <c r="AE3" s="12">
        <v>1</v>
      </c>
      <c r="AV3" s="12">
        <v>1</v>
      </c>
      <c r="BR3" s="12">
        <v>1</v>
      </c>
    </row>
    <row r="4" spans="1:70" s="14" customFormat="1" ht="21" customHeight="1" thickBot="1" x14ac:dyDescent="0.45">
      <c r="B4" s="13"/>
      <c r="C4" s="13"/>
      <c r="D4" s="13"/>
      <c r="E4" s="13"/>
    </row>
    <row r="5" spans="1:70" ht="97.5" thickTop="1" x14ac:dyDescent="0.4">
      <c r="B5" s="8" t="s">
        <v>1</v>
      </c>
      <c r="C5" s="6">
        <f ca="1">RANK(C$7,$C$7:$E$7)</f>
        <v>1</v>
      </c>
      <c r="D5" s="2">
        <f ca="1">RANK(D$7,$C$7:$E$7)</f>
        <v>2</v>
      </c>
      <c r="E5" s="3">
        <f ca="1">RANK(E$7,$C$7:$E$7)</f>
        <v>3</v>
      </c>
    </row>
    <row r="6" spans="1:70" ht="154.5" x14ac:dyDescent="0.4">
      <c r="B6" s="9" t="s">
        <v>0</v>
      </c>
      <c r="C6" s="7" t="str">
        <f ca="1">NAME(Book!$A$1,0)</f>
        <v>だいち</v>
      </c>
      <c r="D6" s="4" t="str">
        <f ca="1">NAME(Book!$A$1,1)</f>
        <v>ただ</v>
      </c>
      <c r="E6" s="5" t="str">
        <f ca="1">NAME(Book!$A$1,2)</f>
        <v>りくと</v>
      </c>
    </row>
    <row r="7" spans="1:70" ht="154.5" x14ac:dyDescent="0.4">
      <c r="A7" s="15"/>
      <c r="B7" s="9" t="s">
        <v>2</v>
      </c>
      <c r="C7" s="7">
        <f ca="1">POINT(Book!$A$1,0)</f>
        <v>78500</v>
      </c>
      <c r="D7" s="4">
        <f ca="1">POINT(Book!$A$1,1)</f>
        <v>31600</v>
      </c>
      <c r="E7" s="5">
        <f ca="1">POINT(Book!$A$1,2)</f>
        <v>-5100</v>
      </c>
    </row>
    <row r="8" spans="1:70" ht="97.5" thickBot="1" x14ac:dyDescent="0.45">
      <c r="A8" s="15"/>
      <c r="B8" s="10" t="s">
        <v>4</v>
      </c>
      <c r="C8" s="16">
        <f ca="1">ROUND((C$7-35000)/1000,1)</f>
        <v>43.5</v>
      </c>
      <c r="D8" s="17">
        <f ca="1">ROUND((D$7-35000)/1000,1)</f>
        <v>-3.4</v>
      </c>
      <c r="E8" s="18">
        <f ca="1">ROUND((E$7-35000)/1000,1)</f>
        <v>-40.1</v>
      </c>
    </row>
    <row r="9" spans="1:70" ht="19.5" thickTop="1" x14ac:dyDescent="0.4">
      <c r="A9" s="15"/>
    </row>
    <row r="10" spans="1:70" x14ac:dyDescent="0.4">
      <c r="A10" s="15"/>
    </row>
    <row r="11" spans="1:70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2018-12-20T17:02:28Z</dcterms:modified>
</cp:coreProperties>
</file>