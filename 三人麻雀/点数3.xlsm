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5F47A7A4-D5E6-4738-AAB9-34CDA9BCB958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D6" i="1"/>
  <c r="C6" i="1"/>
  <c r="D7" i="1"/>
  <c r="B2" i="1"/>
  <c r="C7" i="1"/>
  <c r="E7" i="1"/>
  <c r="E8" i="1" l="1"/>
  <c r="C5" i="1"/>
  <c r="E5" i="1"/>
  <c r="D8" i="1"/>
  <c r="D5" i="1"/>
  <c r="C8" i="1"/>
  <c r="B3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<sst xmlns="http://schemas.openxmlformats.org/spreadsheetml/2006/main" count="7" uniqueCount="7">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</sst>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3</v>
      </c>
      <c r="D5" s="2">
        <f ca="1">RANK(D$7,$C$7:$E$7)</f>
        <v>2</v>
      </c>
      <c r="E5" s="3">
        <f ca="1">RANK(E$7,$C$7:$E$7)</f>
        <v>1</v>
      </c>
    </row>
    <row r="6" spans="1:5" ht="154.5" x14ac:dyDescent="0.4">
      <c r="B6" s="9" t="s">
        <v>0</v>
      </c>
      <c r="C6" s="7" t="str">
        <f ca="1">NAME(Book!$B$1,0)</f>
        <v>たかの</v>
      </c>
      <c r="D6" s="4" t="str">
        <f ca="1">NAME(Book!$B$1,1)</f>
        <v>りくと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17800</v>
      </c>
      <c r="D7" s="4">
        <f ca="1">POINT(Book!$B$1,1)</f>
        <v>42400</v>
      </c>
      <c r="E7" s="5">
        <f ca="1">POINT(Book!$B$1,2)</f>
        <v>44800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-17.2</v>
      </c>
      <c r="D8" s="17">
        <f ca="1">ROUND((D$7-35000)/1000,1)+(_xlfn.RANK.AVG(D$7,$C$7:$E$7,1)-2)*Book!$B$2</f>
        <v>7.4</v>
      </c>
      <c r="E8" s="18">
        <f ca="1">ROUND((E$7-35000)/1000,1)+(_xlfn.RANK.AVG(E$7,$C$7:$E$7,1)-2)*Book!$B$2</f>
        <v>9.8000000000000007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2019-01-17T15:45:05Z</dcterms:modified>
</cp:coreProperties>
</file>