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92D27DFB-DCA3-4A6C-BD9C-E8E13117606C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0" i="1" l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6" i="1" l="1"/>
  <c r="J7" i="1" s="1"/>
  <c r="T5" i="1"/>
  <c r="O6" i="1"/>
  <c r="O7" i="1" s="1"/>
  <c r="B10" i="1"/>
  <c r="J8" i="1" l="1"/>
  <c r="B11" i="1"/>
  <c r="A11" i="1" s="1"/>
  <c r="A10" i="1"/>
  <c r="O8" i="1"/>
  <c r="T6" i="1"/>
  <c r="T7" i="1" s="1"/>
  <c r="B12" i="1"/>
  <c r="A12" i="1" s="1"/>
  <c r="J9" i="1" l="1"/>
  <c r="T8" i="1"/>
  <c r="O9" i="1"/>
  <c r="B13" i="1"/>
  <c r="A13" i="1" s="1"/>
  <c r="J10" i="1" l="1"/>
  <c r="J11" i="1"/>
  <c r="O10" i="1"/>
  <c r="T9" i="1"/>
  <c r="B14" i="1"/>
  <c r="A14" i="1" s="1"/>
  <c r="O11" i="1" l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<sst xmlns="http://schemas.openxmlformats.org/spreadsheetml/2006/main" count="479" uniqueCount="138">
  <si>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</si>
  <si>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</si>
  <si>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</si>
  <si>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</si>
  <si>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</si>
  <si>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</si>
  <si>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</si>
  <si>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</si>
  <si>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</si>
  <si>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</si>
  <si>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</si>
  <si>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</si>
  <si>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</si>
  <si>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</si>
  <si>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</si>
  <si>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</si>
  <si>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</si>
  <si>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</si>
  <si>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</si>
  <si>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Player1</t>
    <phoneticPr fontId="1"/>
  </si>
  <si>
    <t>Player2</t>
    <phoneticPr fontId="1"/>
  </si>
  <si>
    <t>Player3</t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</si>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</sst>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62" t="s">
        <v>0</v>
      </c>
      <c r="B1" s="64" t="s">
        <v>2</v>
      </c>
      <c r="C1" s="64" t="s">
        <v>1</v>
      </c>
      <c r="D1" s="64" t="s">
        <v>25</v>
      </c>
      <c r="E1" s="66" t="s">
        <v>3</v>
      </c>
      <c r="F1" s="57" t="s">
        <v>19</v>
      </c>
      <c r="G1" s="59"/>
      <c r="H1" s="59"/>
      <c r="I1" s="68"/>
      <c r="J1" s="60"/>
      <c r="K1" s="57" t="s">
        <v>20</v>
      </c>
      <c r="L1" s="59"/>
      <c r="M1" s="59"/>
      <c r="N1" s="68"/>
      <c r="O1" s="60"/>
      <c r="P1" s="57" t="s">
        <v>21</v>
      </c>
      <c r="Q1" s="59"/>
      <c r="R1" s="59"/>
      <c r="S1" s="68"/>
      <c r="T1" s="60"/>
      <c r="U1" s="57" t="s">
        <v>6</v>
      </c>
      <c r="V1" s="59"/>
      <c r="W1" s="60"/>
      <c r="Y1" s="57" t="str">
        <f>F1</f>
        <v>Player1</v>
      </c>
      <c r="Z1" s="58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60"/>
      <c r="AT1" s="57" t="str">
        <f>K1</f>
        <v>Player2</v>
      </c>
      <c r="AU1" s="58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60"/>
      <c r="BO1" s="57" t="str">
        <f>P1</f>
        <v>Player3</v>
      </c>
      <c r="BP1" s="58"/>
      <c r="BQ1" s="59"/>
      <c r="BR1" s="59"/>
      <c r="BS1" s="59"/>
      <c r="BT1" s="59"/>
      <c r="BU1" s="59"/>
      <c r="BV1" s="59"/>
      <c r="BW1" s="59"/>
      <c r="BX1" s="59"/>
      <c r="BY1" s="59"/>
      <c r="BZ1" s="59"/>
      <c r="CA1" s="59"/>
      <c r="CB1" s="59"/>
      <c r="CC1" s="59"/>
      <c r="CD1" s="59"/>
      <c r="CE1" s="59"/>
      <c r="CF1" s="59"/>
      <c r="CG1" s="59"/>
      <c r="CH1" s="59"/>
      <c r="CI1" s="60"/>
    </row>
    <row r="2" spans="1:87" x14ac:dyDescent="0.4">
      <c r="A2" s="63"/>
      <c r="B2" s="65"/>
      <c r="C2" s="65"/>
      <c r="D2" s="65"/>
      <c r="E2" s="67"/>
      <c r="F2" s="1" t="s">
        <v>5</v>
      </c>
      <c r="G2" s="2" t="s">
        <v>9</v>
      </c>
      <c r="H2" s="2" t="s">
        <v>26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26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26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27</v>
      </c>
      <c r="Z2" s="39" t="s">
        <v>30</v>
      </c>
      <c r="AA2" s="30" t="s">
        <v>28</v>
      </c>
      <c r="AB2" s="30" t="s">
        <v>131</v>
      </c>
      <c r="AC2" s="30" t="s">
        <v>22</v>
      </c>
      <c r="AD2" s="31" t="s">
        <v>23</v>
      </c>
      <c r="AE2" s="61" t="s">
        <v>24</v>
      </c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29" t="s">
        <v>27</v>
      </c>
      <c r="AU2" s="39" t="s">
        <v>30</v>
      </c>
      <c r="AV2" s="30" t="s">
        <v>28</v>
      </c>
      <c r="AW2" s="30" t="s">
        <v>132</v>
      </c>
      <c r="AX2" s="30" t="s">
        <v>22</v>
      </c>
      <c r="AY2" s="31" t="s">
        <v>23</v>
      </c>
      <c r="AZ2" s="61" t="s">
        <v>24</v>
      </c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29" t="s">
        <v>27</v>
      </c>
      <c r="BP2" s="39" t="s">
        <v>30</v>
      </c>
      <c r="BQ2" s="30" t="s">
        <v>28</v>
      </c>
      <c r="BR2" s="30" t="s">
        <v>132</v>
      </c>
      <c r="BS2" s="30" t="s">
        <v>22</v>
      </c>
      <c r="BT2" s="31" t="s">
        <v>23</v>
      </c>
      <c r="BU2" s="61" t="s">
        <v>24</v>
      </c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9">
        <f>IF($J3="","",ROUND(($J3-$J$3)/1000,1))</f>
        <v>0</v>
      </c>
      <c r="V3" s="70">
        <f>IF($O3="","",ROUND(($O3-$O$3)/1000,1))</f>
        <v>0</v>
      </c>
      <c r="W3" s="71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137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72" t="str">
        <f t="shared" ref="U4:U30" si="0">IF($J4="","",ROUND(($J4-$J$3)/1000,1))</f>
        <v/>
      </c>
      <c r="V4" s="73" t="str">
        <f t="shared" ref="V4:V30" si="1">IF($O4="","",ROUND(($O4-$O$3)/1000,1))</f>
        <v/>
      </c>
      <c r="W4" s="74" t="str">
        <f t="shared" ref="W4:W30" si="2">IF($T4="","",ROUND(($T4-$T$3)/1000,1))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 t="shared" ref="C5:C6" si="4">IF($E5="","",IF(F4="チョンボ",C4,IF($E4=$E5,C4+1,0)))</f>
        <v/>
      </c>
      <c r="D5" s="18" t="str">
        <f t="shared" ref="D5:D30" si="5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6">IF(COUNTA($F5,$K5,$P5)&gt;0,J4+SUM(G5:I5),"")</f>
        <v/>
      </c>
      <c r="K5" s="8"/>
      <c r="L5" s="9"/>
      <c r="M5" s="9"/>
      <c r="N5" s="55"/>
      <c r="O5" s="21" t="str">
        <f t="shared" ref="O5:O30" si="7">IF(COUNTA($F5,$K5,$P5)&gt;0,O4+SUM(L5:N5),"")</f>
        <v/>
      </c>
      <c r="P5" s="8"/>
      <c r="Q5" s="9"/>
      <c r="R5" s="9"/>
      <c r="S5" s="55"/>
      <c r="T5" s="21" t="str">
        <f t="shared" ref="T5:T30" si="8">IF(COUNTA($F5,$K5,$P5)&gt;0,T4+SUM(Q5:S5),"")</f>
        <v/>
      </c>
      <c r="U5" s="72" t="str">
        <f t="shared" si="0"/>
        <v/>
      </c>
      <c r="V5" s="73" t="str">
        <f t="shared" si="1"/>
        <v/>
      </c>
      <c r="W5" s="74" t="str">
        <f t="shared" si="2"/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/>
      </c>
      <c r="B6" s="18" t="str">
        <f t="shared" ref="B6:B30" si="9">IF($E6="","",IF($E5=$E6,B5,IF(B5=3,1,B5+1)))</f>
        <v/>
      </c>
      <c r="C6" s="18" t="str">
        <f t="shared" si="4"/>
        <v/>
      </c>
      <c r="D6" s="18" t="str">
        <f t="shared" si="5"/>
        <v/>
      </c>
      <c r="E6" s="4"/>
      <c r="F6" s="8"/>
      <c r="G6" s="9"/>
      <c r="H6" s="9"/>
      <c r="I6" s="55"/>
      <c r="J6" s="21" t="str">
        <f t="shared" si="6"/>
        <v/>
      </c>
      <c r="K6" s="8"/>
      <c r="L6" s="9"/>
      <c r="M6" s="9"/>
      <c r="N6" s="55"/>
      <c r="O6" s="21" t="str">
        <f t="shared" si="7"/>
        <v/>
      </c>
      <c r="P6" s="8"/>
      <c r="Q6" s="9"/>
      <c r="R6" s="9"/>
      <c r="S6" s="55"/>
      <c r="T6" s="21" t="str">
        <f t="shared" si="8"/>
        <v/>
      </c>
      <c r="U6" s="72" t="str">
        <f t="shared" si="0"/>
        <v/>
      </c>
      <c r="V6" s="73" t="str">
        <f t="shared" si="1"/>
        <v/>
      </c>
      <c r="W6" s="74" t="str">
        <f t="shared" si="2"/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/>
      </c>
      <c r="B7" s="18" t="str">
        <f t="shared" si="9"/>
        <v/>
      </c>
      <c r="C7" s="18" t="str">
        <f t="shared" ref="C7:C30" si="11">IF($E7="","",IF(F6="チョンボ",C6,IF($E6=$E7,C6+1,0)))</f>
        <v/>
      </c>
      <c r="D7" s="18" t="str">
        <f t="shared" si="5"/>
        <v/>
      </c>
      <c r="E7" s="4"/>
      <c r="F7" s="8"/>
      <c r="G7" s="9"/>
      <c r="H7" s="9"/>
      <c r="I7" s="55"/>
      <c r="J7" s="21" t="str">
        <f t="shared" si="6"/>
        <v/>
      </c>
      <c r="K7" s="8"/>
      <c r="L7" s="9"/>
      <c r="M7" s="9"/>
      <c r="N7" s="55"/>
      <c r="O7" s="21" t="str">
        <f t="shared" si="7"/>
        <v/>
      </c>
      <c r="P7" s="8"/>
      <c r="Q7" s="9"/>
      <c r="R7" s="9"/>
      <c r="S7" s="55"/>
      <c r="T7" s="21" t="str">
        <f t="shared" si="8"/>
        <v/>
      </c>
      <c r="U7" s="72" t="str">
        <f t="shared" si="0"/>
        <v/>
      </c>
      <c r="V7" s="73" t="str">
        <f t="shared" si="1"/>
        <v/>
      </c>
      <c r="W7" s="74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9"/>
        <v/>
      </c>
      <c r="C8" s="18" t="str">
        <f t="shared" si="11"/>
        <v/>
      </c>
      <c r="D8" s="18" t="str">
        <f t="shared" si="5"/>
        <v/>
      </c>
      <c r="E8" s="4"/>
      <c r="F8" s="8"/>
      <c r="G8" s="9"/>
      <c r="H8" s="9"/>
      <c r="I8" s="55"/>
      <c r="J8" s="21" t="str">
        <f t="shared" si="6"/>
        <v/>
      </c>
      <c r="K8" s="8"/>
      <c r="L8" s="9"/>
      <c r="M8" s="9"/>
      <c r="N8" s="55"/>
      <c r="O8" s="21" t="str">
        <f t="shared" si="7"/>
        <v/>
      </c>
      <c r="P8" s="8"/>
      <c r="Q8" s="9"/>
      <c r="R8" s="9"/>
      <c r="S8" s="55"/>
      <c r="T8" s="21" t="str">
        <f t="shared" si="8"/>
        <v/>
      </c>
      <c r="U8" s="72" t="str">
        <f t="shared" si="0"/>
        <v/>
      </c>
      <c r="V8" s="73" t="str">
        <f t="shared" si="1"/>
        <v/>
      </c>
      <c r="W8" s="74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9"/>
        <v/>
      </c>
      <c r="C9" s="18" t="str">
        <f t="shared" si="11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72" t="str">
        <f t="shared" si="0"/>
        <v/>
      </c>
      <c r="V9" s="73" t="str">
        <f t="shared" si="1"/>
        <v/>
      </c>
      <c r="W9" s="74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9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72" t="str">
        <f t="shared" si="0"/>
        <v/>
      </c>
      <c r="V10" s="73" t="str">
        <f t="shared" si="1"/>
        <v/>
      </c>
      <c r="W10" s="74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72" t="str">
        <f t="shared" si="0"/>
        <v/>
      </c>
      <c r="V11" s="73" t="str">
        <f t="shared" si="1"/>
        <v/>
      </c>
      <c r="W11" s="74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72" t="str">
        <f t="shared" si="0"/>
        <v/>
      </c>
      <c r="V12" s="73" t="str">
        <f t="shared" si="1"/>
        <v/>
      </c>
      <c r="W12" s="74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72" t="str">
        <f t="shared" si="0"/>
        <v/>
      </c>
      <c r="V13" s="73" t="str">
        <f t="shared" si="1"/>
        <v/>
      </c>
      <c r="W13" s="74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72" t="str">
        <f t="shared" si="0"/>
        <v/>
      </c>
      <c r="V14" s="73" t="str">
        <f t="shared" si="1"/>
        <v/>
      </c>
      <c r="W14" s="74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72" t="str">
        <f t="shared" si="0"/>
        <v/>
      </c>
      <c r="V15" s="73" t="str">
        <f t="shared" si="1"/>
        <v/>
      </c>
      <c r="W15" s="74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72" t="str">
        <f t="shared" si="0"/>
        <v/>
      </c>
      <c r="V16" s="73" t="str">
        <f t="shared" si="1"/>
        <v/>
      </c>
      <c r="W16" s="74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72" t="str">
        <f t="shared" si="0"/>
        <v/>
      </c>
      <c r="V17" s="73" t="str">
        <f t="shared" si="1"/>
        <v/>
      </c>
      <c r="W17" s="74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72" t="str">
        <f t="shared" si="0"/>
        <v/>
      </c>
      <c r="V18" s="73" t="str">
        <f t="shared" si="1"/>
        <v/>
      </c>
      <c r="W18" s="74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72" t="str">
        <f t="shared" si="0"/>
        <v/>
      </c>
      <c r="V19" s="73" t="str">
        <f t="shared" si="1"/>
        <v/>
      </c>
      <c r="W19" s="74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72" t="str">
        <f t="shared" si="0"/>
        <v/>
      </c>
      <c r="V20" s="73" t="str">
        <f t="shared" si="1"/>
        <v/>
      </c>
      <c r="W20" s="74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72" t="str">
        <f t="shared" si="0"/>
        <v/>
      </c>
      <c r="V21" s="73" t="str">
        <f t="shared" si="1"/>
        <v/>
      </c>
      <c r="W21" s="74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72" t="str">
        <f t="shared" si="0"/>
        <v/>
      </c>
      <c r="V22" s="73" t="str">
        <f t="shared" si="1"/>
        <v/>
      </c>
      <c r="W22" s="74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72" t="str">
        <f t="shared" si="0"/>
        <v/>
      </c>
      <c r="V23" s="73" t="str">
        <f t="shared" si="1"/>
        <v/>
      </c>
      <c r="W23" s="74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72" t="str">
        <f t="shared" si="0"/>
        <v/>
      </c>
      <c r="V24" s="73" t="str">
        <f t="shared" si="1"/>
        <v/>
      </c>
      <c r="W24" s="74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72" t="str">
        <f t="shared" si="0"/>
        <v/>
      </c>
      <c r="V25" s="73" t="str">
        <f t="shared" si="1"/>
        <v/>
      </c>
      <c r="W25" s="74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72" t="str">
        <f t="shared" si="0"/>
        <v/>
      </c>
      <c r="V26" s="73" t="str">
        <f t="shared" si="1"/>
        <v/>
      </c>
      <c r="W26" s="74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72" t="str">
        <f t="shared" si="0"/>
        <v/>
      </c>
      <c r="V27" s="73" t="str">
        <f t="shared" si="1"/>
        <v/>
      </c>
      <c r="W27" s="74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72" t="str">
        <f t="shared" si="0"/>
        <v/>
      </c>
      <c r="V28" s="73" t="str">
        <f t="shared" si="1"/>
        <v/>
      </c>
      <c r="W28" s="74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72" t="str">
        <f t="shared" si="0"/>
        <v/>
      </c>
      <c r="V29" s="73" t="str">
        <f t="shared" si="1"/>
        <v/>
      </c>
      <c r="W29" s="74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75" t="str">
        <f t="shared" si="0"/>
        <v/>
      </c>
      <c r="V30" s="76" t="str">
        <f t="shared" si="1"/>
        <v/>
      </c>
      <c r="W30" s="77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31</v>
      </c>
      <c r="B1" s="15" t="s">
        <v>32</v>
      </c>
      <c r="C1" s="15" t="s">
        <v>33</v>
      </c>
      <c r="D1" s="15" t="s">
        <v>34</v>
      </c>
    </row>
    <row r="2" spans="1:4" x14ac:dyDescent="0.4">
      <c r="A2" s="43" t="s">
        <v>81</v>
      </c>
      <c r="B2" s="15" t="s">
        <v>136</v>
      </c>
      <c r="C2" s="15">
        <v>1</v>
      </c>
    </row>
    <row r="3" spans="1:4" x14ac:dyDescent="0.4">
      <c r="A3" s="43" t="s">
        <v>82</v>
      </c>
      <c r="B3" s="15" t="s">
        <v>35</v>
      </c>
      <c r="C3" s="15">
        <v>1</v>
      </c>
    </row>
    <row r="4" spans="1:4" x14ac:dyDescent="0.4">
      <c r="A4" s="43" t="s">
        <v>83</v>
      </c>
      <c r="B4" s="15" t="s">
        <v>36</v>
      </c>
      <c r="C4" s="15">
        <v>1</v>
      </c>
      <c r="D4" s="15">
        <v>1</v>
      </c>
    </row>
    <row r="5" spans="1:4" x14ac:dyDescent="0.4">
      <c r="A5" s="43" t="s">
        <v>84</v>
      </c>
      <c r="B5" s="15" t="s">
        <v>37</v>
      </c>
      <c r="C5" s="15">
        <v>1</v>
      </c>
    </row>
    <row r="6" spans="1:4" x14ac:dyDescent="0.4">
      <c r="A6" s="43" t="s">
        <v>85</v>
      </c>
      <c r="B6" s="15" t="s">
        <v>38</v>
      </c>
      <c r="C6" s="15">
        <v>1</v>
      </c>
      <c r="D6" s="15">
        <v>1</v>
      </c>
    </row>
    <row r="7" spans="1:4" x14ac:dyDescent="0.4">
      <c r="A7" s="43" t="s">
        <v>86</v>
      </c>
      <c r="B7" s="15" t="s">
        <v>39</v>
      </c>
      <c r="C7" s="15">
        <v>1</v>
      </c>
    </row>
    <row r="8" spans="1:4" x14ac:dyDescent="0.4">
      <c r="A8" s="43" t="s">
        <v>87</v>
      </c>
      <c r="B8" s="15" t="s">
        <v>40</v>
      </c>
      <c r="C8" s="15">
        <v>1</v>
      </c>
    </row>
    <row r="9" spans="1:4" x14ac:dyDescent="0.4">
      <c r="A9" s="43" t="s">
        <v>88</v>
      </c>
      <c r="B9" s="15" t="s">
        <v>41</v>
      </c>
      <c r="C9" s="15">
        <v>1</v>
      </c>
    </row>
    <row r="10" spans="1:4" x14ac:dyDescent="0.4">
      <c r="A10" s="43" t="s">
        <v>89</v>
      </c>
      <c r="B10" s="15" t="s">
        <v>133</v>
      </c>
      <c r="C10" s="15">
        <v>1</v>
      </c>
      <c r="D10" s="15">
        <v>1</v>
      </c>
    </row>
    <row r="11" spans="1:4" x14ac:dyDescent="0.4">
      <c r="A11" s="43" t="s">
        <v>90</v>
      </c>
      <c r="B11" s="15" t="s">
        <v>42</v>
      </c>
      <c r="C11" s="15">
        <v>1</v>
      </c>
      <c r="D11" s="15">
        <v>1</v>
      </c>
    </row>
    <row r="12" spans="1:4" x14ac:dyDescent="0.4">
      <c r="A12" s="43" t="s">
        <v>91</v>
      </c>
      <c r="B12" s="15" t="s">
        <v>43</v>
      </c>
      <c r="C12" s="15">
        <v>1</v>
      </c>
      <c r="D12" s="15">
        <v>1</v>
      </c>
    </row>
    <row r="13" spans="1:4" x14ac:dyDescent="0.4">
      <c r="A13" s="43" t="s">
        <v>92</v>
      </c>
      <c r="B13" s="15" t="s">
        <v>44</v>
      </c>
      <c r="C13" s="15">
        <v>1</v>
      </c>
      <c r="D13" s="15">
        <v>1</v>
      </c>
    </row>
    <row r="14" spans="1:4" x14ac:dyDescent="0.4">
      <c r="A14" s="43" t="s">
        <v>93</v>
      </c>
      <c r="B14" s="15" t="s">
        <v>45</v>
      </c>
      <c r="C14" s="15">
        <v>1</v>
      </c>
      <c r="D14" s="15">
        <v>1</v>
      </c>
    </row>
    <row r="15" spans="1:4" x14ac:dyDescent="0.4">
      <c r="A15" s="43" t="s">
        <v>94</v>
      </c>
      <c r="B15" s="15" t="s">
        <v>46</v>
      </c>
      <c r="C15" s="15">
        <v>1</v>
      </c>
      <c r="D15" s="15">
        <v>1</v>
      </c>
    </row>
    <row r="16" spans="1:4" x14ac:dyDescent="0.4">
      <c r="A16" s="43" t="s">
        <v>95</v>
      </c>
      <c r="B16" s="15" t="s">
        <v>47</v>
      </c>
      <c r="C16" s="15">
        <v>2</v>
      </c>
    </row>
    <row r="17" spans="1:4" x14ac:dyDescent="0.4">
      <c r="A17" s="43" t="s">
        <v>96</v>
      </c>
      <c r="B17" s="15" t="s">
        <v>48</v>
      </c>
      <c r="C17" s="15">
        <v>2</v>
      </c>
      <c r="D17" s="15">
        <v>1</v>
      </c>
    </row>
    <row r="18" spans="1:4" x14ac:dyDescent="0.4">
      <c r="A18" s="43" t="s">
        <v>97</v>
      </c>
      <c r="B18" s="15" t="s">
        <v>135</v>
      </c>
      <c r="C18" s="15">
        <v>2</v>
      </c>
      <c r="D18" s="15">
        <v>1</v>
      </c>
    </row>
    <row r="19" spans="1:4" x14ac:dyDescent="0.4">
      <c r="A19" s="43" t="s">
        <v>98</v>
      </c>
      <c r="B19" s="15" t="s">
        <v>49</v>
      </c>
      <c r="C19" s="15">
        <v>2</v>
      </c>
      <c r="D19" s="15">
        <v>1</v>
      </c>
    </row>
    <row r="20" spans="1:4" x14ac:dyDescent="0.4">
      <c r="A20" s="43" t="s">
        <v>99</v>
      </c>
      <c r="B20" s="15" t="s">
        <v>50</v>
      </c>
      <c r="C20" s="15">
        <v>2</v>
      </c>
      <c r="D20" s="15">
        <v>2</v>
      </c>
    </row>
    <row r="21" spans="1:4" x14ac:dyDescent="0.4">
      <c r="A21" s="43" t="s">
        <v>100</v>
      </c>
      <c r="B21" s="15" t="s">
        <v>51</v>
      </c>
      <c r="C21" s="15">
        <v>2</v>
      </c>
      <c r="D21" s="15">
        <v>2</v>
      </c>
    </row>
    <row r="22" spans="1:4" x14ac:dyDescent="0.4">
      <c r="A22" s="43" t="s">
        <v>101</v>
      </c>
      <c r="B22" s="15" t="s">
        <v>52</v>
      </c>
      <c r="C22" s="15">
        <v>2</v>
      </c>
      <c r="D22" s="15">
        <v>2</v>
      </c>
    </row>
    <row r="23" spans="1:4" x14ac:dyDescent="0.4">
      <c r="A23" s="43" t="s">
        <v>102</v>
      </c>
      <c r="B23" s="15" t="s">
        <v>53</v>
      </c>
      <c r="C23" s="15">
        <v>2</v>
      </c>
      <c r="D23" s="15">
        <v>2</v>
      </c>
    </row>
    <row r="24" spans="1:4" x14ac:dyDescent="0.4">
      <c r="A24" s="43" t="s">
        <v>103</v>
      </c>
      <c r="B24" s="15" t="s">
        <v>54</v>
      </c>
      <c r="C24" s="15">
        <v>2</v>
      </c>
      <c r="D24" s="15">
        <v>2</v>
      </c>
    </row>
    <row r="25" spans="1:4" x14ac:dyDescent="0.4">
      <c r="A25" s="43" t="s">
        <v>104</v>
      </c>
      <c r="B25" s="15" t="s">
        <v>55</v>
      </c>
      <c r="C25" s="15">
        <v>2</v>
      </c>
      <c r="D25" s="15">
        <v>2</v>
      </c>
    </row>
    <row r="26" spans="1:4" x14ac:dyDescent="0.4">
      <c r="A26" s="43" t="s">
        <v>105</v>
      </c>
      <c r="B26" s="15" t="s">
        <v>56</v>
      </c>
      <c r="C26" s="15">
        <v>2</v>
      </c>
    </row>
    <row r="27" spans="1:4" x14ac:dyDescent="0.4">
      <c r="A27" s="43" t="s">
        <v>106</v>
      </c>
      <c r="B27" s="15" t="s">
        <v>57</v>
      </c>
      <c r="C27" s="15">
        <v>3</v>
      </c>
    </row>
    <row r="28" spans="1:4" x14ac:dyDescent="0.4">
      <c r="A28" s="43" t="s">
        <v>107</v>
      </c>
      <c r="B28" s="15" t="s">
        <v>134</v>
      </c>
      <c r="C28" s="15">
        <v>3</v>
      </c>
      <c r="D28" s="15">
        <v>2</v>
      </c>
    </row>
    <row r="29" spans="1:4" x14ac:dyDescent="0.4">
      <c r="A29" s="43" t="s">
        <v>108</v>
      </c>
      <c r="B29" s="15" t="s">
        <v>58</v>
      </c>
      <c r="C29" s="15">
        <v>3</v>
      </c>
      <c r="D29" s="15">
        <v>2</v>
      </c>
    </row>
    <row r="30" spans="1:4" x14ac:dyDescent="0.4">
      <c r="A30" s="43" t="s">
        <v>109</v>
      </c>
      <c r="B30" s="15" t="s">
        <v>59</v>
      </c>
      <c r="C30" s="15">
        <v>5</v>
      </c>
    </row>
    <row r="31" spans="1:4" x14ac:dyDescent="0.4">
      <c r="A31" s="43" t="s">
        <v>110</v>
      </c>
      <c r="B31" s="15" t="s">
        <v>60</v>
      </c>
      <c r="C31" s="15">
        <v>6</v>
      </c>
      <c r="D31" s="15">
        <v>5</v>
      </c>
    </row>
    <row r="32" spans="1:4" x14ac:dyDescent="0.4">
      <c r="A32" s="43" t="s">
        <v>111</v>
      </c>
      <c r="B32" s="15" t="s">
        <v>61</v>
      </c>
      <c r="C32" s="15">
        <v>13</v>
      </c>
    </row>
    <row r="33" spans="1:4" x14ac:dyDescent="0.4">
      <c r="A33" s="43" t="s">
        <v>112</v>
      </c>
      <c r="B33" s="15" t="s">
        <v>62</v>
      </c>
      <c r="C33" s="15">
        <v>13</v>
      </c>
    </row>
    <row r="34" spans="1:4" x14ac:dyDescent="0.4">
      <c r="A34" s="43" t="s">
        <v>113</v>
      </c>
      <c r="B34" s="15" t="s">
        <v>63</v>
      </c>
      <c r="C34" s="15">
        <v>13</v>
      </c>
      <c r="D34" s="15">
        <v>13</v>
      </c>
    </row>
    <row r="35" spans="1:4" x14ac:dyDescent="0.4">
      <c r="A35" s="43" t="s">
        <v>114</v>
      </c>
      <c r="B35" s="15" t="s">
        <v>64</v>
      </c>
      <c r="C35" s="15">
        <v>13</v>
      </c>
      <c r="D35" s="15">
        <v>13</v>
      </c>
    </row>
    <row r="36" spans="1:4" x14ac:dyDescent="0.4">
      <c r="A36" s="43" t="s">
        <v>115</v>
      </c>
      <c r="B36" s="15" t="s">
        <v>65</v>
      </c>
      <c r="C36" s="15">
        <v>26</v>
      </c>
      <c r="D36" s="15">
        <v>26</v>
      </c>
    </row>
    <row r="37" spans="1:4" x14ac:dyDescent="0.4">
      <c r="A37" s="43" t="s">
        <v>116</v>
      </c>
      <c r="B37" s="15" t="s">
        <v>66</v>
      </c>
      <c r="C37" s="15">
        <v>13</v>
      </c>
      <c r="D37" s="15">
        <v>13</v>
      </c>
    </row>
    <row r="38" spans="1:4" x14ac:dyDescent="0.4">
      <c r="A38" s="43" t="s">
        <v>117</v>
      </c>
      <c r="B38" s="15" t="s">
        <v>67</v>
      </c>
      <c r="C38" s="15">
        <v>13</v>
      </c>
      <c r="D38" s="15">
        <v>13</v>
      </c>
    </row>
    <row r="39" spans="1:4" x14ac:dyDescent="0.4">
      <c r="A39" s="43" t="s">
        <v>118</v>
      </c>
      <c r="B39" s="15" t="s">
        <v>68</v>
      </c>
      <c r="C39" s="15">
        <v>13</v>
      </c>
      <c r="D39" s="15">
        <v>13</v>
      </c>
    </row>
    <row r="40" spans="1:4" x14ac:dyDescent="0.4">
      <c r="A40" s="43" t="s">
        <v>119</v>
      </c>
      <c r="B40" s="15" t="s">
        <v>69</v>
      </c>
      <c r="C40" s="15">
        <v>13</v>
      </c>
      <c r="D40" s="15">
        <v>13</v>
      </c>
    </row>
    <row r="41" spans="1:4" x14ac:dyDescent="0.4">
      <c r="A41" s="43" t="s">
        <v>120</v>
      </c>
      <c r="B41" s="15" t="s">
        <v>70</v>
      </c>
      <c r="C41" s="15">
        <v>13</v>
      </c>
    </row>
    <row r="42" spans="1:4" x14ac:dyDescent="0.4">
      <c r="A42" s="43" t="s">
        <v>121</v>
      </c>
      <c r="B42" s="15" t="s">
        <v>71</v>
      </c>
      <c r="C42" s="15">
        <v>13</v>
      </c>
    </row>
    <row r="43" spans="1:4" x14ac:dyDescent="0.4">
      <c r="A43" s="43" t="s">
        <v>122</v>
      </c>
      <c r="B43" s="15" t="s">
        <v>72</v>
      </c>
      <c r="C43" s="15">
        <v>13</v>
      </c>
    </row>
    <row r="44" spans="1:4" x14ac:dyDescent="0.4">
      <c r="A44" s="43" t="s">
        <v>123</v>
      </c>
      <c r="B44" s="15" t="s">
        <v>73</v>
      </c>
      <c r="C44" s="15">
        <v>13</v>
      </c>
    </row>
    <row r="45" spans="1:4" x14ac:dyDescent="0.4">
      <c r="A45" s="43" t="s">
        <v>124</v>
      </c>
      <c r="B45" s="15" t="s">
        <v>74</v>
      </c>
      <c r="C45" s="15">
        <v>26</v>
      </c>
    </row>
    <row r="46" spans="1:4" x14ac:dyDescent="0.4">
      <c r="A46" s="43" t="s">
        <v>125</v>
      </c>
      <c r="B46" s="15" t="s">
        <v>75</v>
      </c>
      <c r="C46" s="15">
        <v>26</v>
      </c>
    </row>
    <row r="47" spans="1:4" x14ac:dyDescent="0.4">
      <c r="A47" s="43" t="s">
        <v>126</v>
      </c>
      <c r="B47" s="15" t="s">
        <v>76</v>
      </c>
      <c r="C47" s="15">
        <v>26</v>
      </c>
    </row>
    <row r="48" spans="1:4" x14ac:dyDescent="0.4">
      <c r="A48" s="43" t="s">
        <v>127</v>
      </c>
      <c r="B48" s="15" t="s">
        <v>77</v>
      </c>
      <c r="C48" s="15">
        <v>13</v>
      </c>
    </row>
    <row r="49" spans="1:3" x14ac:dyDescent="0.4">
      <c r="A49" s="43" t="s">
        <v>128</v>
      </c>
      <c r="B49" s="15" t="s">
        <v>78</v>
      </c>
      <c r="C49" s="15">
        <v>13</v>
      </c>
    </row>
    <row r="50" spans="1:3" x14ac:dyDescent="0.4">
      <c r="A50" s="43" t="s">
        <v>129</v>
      </c>
      <c r="B50" s="15" t="s">
        <v>79</v>
      </c>
      <c r="C50" s="15">
        <v>13</v>
      </c>
    </row>
    <row r="51" spans="1:3" x14ac:dyDescent="0.4">
      <c r="A51" s="43" t="s">
        <v>130</v>
      </c>
      <c r="B51" s="15" t="s">
        <v>80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2018-12-20T05:41:39Z</dcterms:modified>
</cp:coreProperties>
</file>