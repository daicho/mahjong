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8FF3F9F4-4BA8-4CE7-B041-CEAE0707B3E1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<sst xmlns="http://schemas.openxmlformats.org/spreadsheetml/2006/main" count="473" uniqueCount="138">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</sst>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5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5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 t="shared" ref="C5:C6" si="4">IF($E5="","",IF(F4="チョンボ",C4,IF($E4=$E5,C4+1,0)))</f>
        <v/>
      </c>
      <c r="D5" s="18" t="str">
        <f t="shared" ref="D5:D30" si="5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6">IF(COUNTA($F5,$K5,$P5)&gt;0,J4+SUM(G5:I5),"")</f>
        <v/>
      </c>
      <c r="K5" s="8"/>
      <c r="L5" s="9"/>
      <c r="M5" s="9"/>
      <c r="N5" s="55"/>
      <c r="O5" s="21" t="str">
        <f t="shared" ref="O5:O30" si="7">IF(COUNTA($F5,$K5,$P5)&gt;0,O4+SUM(L5:N5),"")</f>
        <v/>
      </c>
      <c r="P5" s="8"/>
      <c r="Q5" s="9"/>
      <c r="R5" s="9"/>
      <c r="S5" s="55"/>
      <c r="T5" s="21" t="str">
        <f t="shared" ref="T5:T30" si="8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5">
      <c r="A6" s="13" t="str">
        <f t="shared" si="3"/>
        <v/>
      </c>
      <c r="B6" s="18" t="str">
        <f t="shared" ref="B6:B30" si="9">IF($E6="","",IF($E5=$E6,B5,IF(B5=3,1,B5+1)))</f>
        <v/>
      </c>
      <c r="C6" s="18" t="str">
        <f t="shared" si="4"/>
        <v/>
      </c>
      <c r="D6" s="18" t="str">
        <f t="shared" si="5"/>
        <v/>
      </c>
      <c r="E6" s="4"/>
      <c r="F6" s="8"/>
      <c r="G6" s="9"/>
      <c r="H6" s="9"/>
      <c r="I6" s="55"/>
      <c r="J6" s="21" t="str">
        <f t="shared" si="6"/>
        <v/>
      </c>
      <c r="K6" s="8"/>
      <c r="L6" s="9"/>
      <c r="M6" s="9"/>
      <c r="N6" s="55"/>
      <c r="O6" s="21" t="str">
        <f t="shared" si="7"/>
        <v/>
      </c>
      <c r="P6" s="8"/>
      <c r="Q6" s="9"/>
      <c r="R6" s="9"/>
      <c r="S6" s="55"/>
      <c r="T6" s="21" t="str">
        <f t="shared" si="8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5">
      <c r="A7" s="13" t="str">
        <f t="shared" ref="A7:A30" si="10">IF($E7="","",IF(AND(B6=3,B7=1),_xlfn.SWITCH(A6,"東","南","南","西","西","北","北","東"),A6))</f>
        <v/>
      </c>
      <c r="B7" s="18" t="str">
        <f t="shared" si="9"/>
        <v/>
      </c>
      <c r="C7" s="18" t="str">
        <f t="shared" ref="C7:C30" si="11">IF($E7="","",IF(F6="チョンボ",C6,IF($E6=$E7,C6+1,0)))</f>
        <v/>
      </c>
      <c r="D7" s="18" t="str">
        <f t="shared" si="5"/>
        <v/>
      </c>
      <c r="E7" s="4"/>
      <c r="F7" s="8"/>
      <c r="G7" s="9"/>
      <c r="H7" s="9"/>
      <c r="I7" s="55"/>
      <c r="J7" s="21" t="str">
        <f t="shared" si="6"/>
        <v/>
      </c>
      <c r="K7" s="8"/>
      <c r="L7" s="9"/>
      <c r="M7" s="9"/>
      <c r="N7" s="55"/>
      <c r="O7" s="21" t="str">
        <f t="shared" si="7"/>
        <v/>
      </c>
      <c r="P7" s="8"/>
      <c r="Q7" s="9"/>
      <c r="R7" s="9"/>
      <c r="S7" s="55"/>
      <c r="T7" s="21" t="str">
        <f t="shared" si="8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5">
      <c r="A8" s="13" t="str">
        <f t="shared" si="10"/>
        <v/>
      </c>
      <c r="B8" s="18" t="str">
        <f t="shared" si="9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5">
      <c r="A9" s="13" t="str">
        <f t="shared" si="10"/>
        <v/>
      </c>
      <c r="B9" s="18" t="str">
        <f t="shared" si="9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5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5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5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5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5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5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5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5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5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5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5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5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5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5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5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5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5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5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5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5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5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" x14ac:dyDescent="0.45"/>
  <cols>
    <col min="1" max="1" width="9" style="43" customWidth="1"/>
    <col min="2" max="2" width="19.19921875" style="15" bestFit="1" customWidth="1"/>
    <col min="3" max="4" width="6.5" style="15" customWidth="1"/>
  </cols>
  <sheetData>
    <row r="1" spans="1:4" x14ac:dyDescent="0.45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5">
      <c r="A2" s="43" t="s">
        <v>78</v>
      </c>
      <c r="B2" s="15" t="s">
        <v>133</v>
      </c>
      <c r="C2" s="15">
        <v>1</v>
      </c>
    </row>
    <row r="3" spans="1:4" x14ac:dyDescent="0.45">
      <c r="A3" s="43" t="s">
        <v>79</v>
      </c>
      <c r="B3" s="15" t="s">
        <v>32</v>
      </c>
      <c r="C3" s="15">
        <v>1</v>
      </c>
    </row>
    <row r="4" spans="1:4" x14ac:dyDescent="0.45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5">
      <c r="A5" s="43" t="s">
        <v>81</v>
      </c>
      <c r="B5" s="15" t="s">
        <v>34</v>
      </c>
      <c r="C5" s="15">
        <v>1</v>
      </c>
    </row>
    <row r="6" spans="1:4" x14ac:dyDescent="0.45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5">
      <c r="A7" s="43" t="s">
        <v>83</v>
      </c>
      <c r="B7" s="15" t="s">
        <v>36</v>
      </c>
      <c r="C7" s="15">
        <v>1</v>
      </c>
    </row>
    <row r="8" spans="1:4" x14ac:dyDescent="0.45">
      <c r="A8" s="43" t="s">
        <v>84</v>
      </c>
      <c r="B8" s="15" t="s">
        <v>37</v>
      </c>
      <c r="C8" s="15">
        <v>1</v>
      </c>
    </row>
    <row r="9" spans="1:4" x14ac:dyDescent="0.45">
      <c r="A9" s="43" t="s">
        <v>85</v>
      </c>
      <c r="B9" s="15" t="s">
        <v>38</v>
      </c>
      <c r="C9" s="15">
        <v>1</v>
      </c>
    </row>
    <row r="10" spans="1:4" x14ac:dyDescent="0.45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5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5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5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5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5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5">
      <c r="A16" s="43" t="s">
        <v>92</v>
      </c>
      <c r="B16" s="15" t="s">
        <v>44</v>
      </c>
      <c r="C16" s="15">
        <v>2</v>
      </c>
    </row>
    <row r="17" spans="1:4" x14ac:dyDescent="0.45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5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5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5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5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5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5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5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5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5">
      <c r="A26" s="43" t="s">
        <v>102</v>
      </c>
      <c r="B26" s="15" t="s">
        <v>53</v>
      </c>
      <c r="C26" s="15">
        <v>2</v>
      </c>
    </row>
    <row r="27" spans="1:4" x14ac:dyDescent="0.45">
      <c r="A27" s="43" t="s">
        <v>103</v>
      </c>
      <c r="B27" s="15" t="s">
        <v>54</v>
      </c>
      <c r="C27" s="15">
        <v>3</v>
      </c>
    </row>
    <row r="28" spans="1:4" x14ac:dyDescent="0.45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5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5">
      <c r="A30" s="43" t="s">
        <v>106</v>
      </c>
      <c r="B30" s="15" t="s">
        <v>56</v>
      </c>
      <c r="C30" s="15">
        <v>5</v>
      </c>
    </row>
    <row r="31" spans="1:4" x14ac:dyDescent="0.45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5">
      <c r="A32" s="43" t="s">
        <v>108</v>
      </c>
      <c r="B32" s="15" t="s">
        <v>58</v>
      </c>
      <c r="C32" s="15">
        <v>13</v>
      </c>
    </row>
    <row r="33" spans="1:4" x14ac:dyDescent="0.45">
      <c r="A33" s="43" t="s">
        <v>109</v>
      </c>
      <c r="B33" s="15" t="s">
        <v>59</v>
      </c>
      <c r="C33" s="15">
        <v>13</v>
      </c>
    </row>
    <row r="34" spans="1:4" x14ac:dyDescent="0.45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5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5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5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5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5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5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5">
      <c r="A41" s="43" t="s">
        <v>117</v>
      </c>
      <c r="B41" s="15" t="s">
        <v>67</v>
      </c>
      <c r="C41" s="15">
        <v>13</v>
      </c>
    </row>
    <row r="42" spans="1:4" x14ac:dyDescent="0.45">
      <c r="A42" s="43" t="s">
        <v>118</v>
      </c>
      <c r="B42" s="15" t="s">
        <v>68</v>
      </c>
      <c r="C42" s="15">
        <v>13</v>
      </c>
    </row>
    <row r="43" spans="1:4" x14ac:dyDescent="0.45">
      <c r="A43" s="43" t="s">
        <v>119</v>
      </c>
      <c r="B43" s="15" t="s">
        <v>69</v>
      </c>
      <c r="C43" s="15">
        <v>13</v>
      </c>
    </row>
    <row r="44" spans="1:4" x14ac:dyDescent="0.45">
      <c r="A44" s="43" t="s">
        <v>120</v>
      </c>
      <c r="B44" s="15" t="s">
        <v>70</v>
      </c>
      <c r="C44" s="15">
        <v>13</v>
      </c>
    </row>
    <row r="45" spans="1:4" x14ac:dyDescent="0.45">
      <c r="A45" s="43" t="s">
        <v>121</v>
      </c>
      <c r="B45" s="15" t="s">
        <v>71</v>
      </c>
      <c r="C45" s="15">
        <v>26</v>
      </c>
    </row>
    <row r="46" spans="1:4" x14ac:dyDescent="0.45">
      <c r="A46" s="43" t="s">
        <v>122</v>
      </c>
      <c r="B46" s="15" t="s">
        <v>72</v>
      </c>
      <c r="C46" s="15">
        <v>26</v>
      </c>
    </row>
    <row r="47" spans="1:4" x14ac:dyDescent="0.45">
      <c r="A47" s="43" t="s">
        <v>123</v>
      </c>
      <c r="B47" s="15" t="s">
        <v>73</v>
      </c>
      <c r="C47" s="15">
        <v>26</v>
      </c>
    </row>
    <row r="48" spans="1:4" x14ac:dyDescent="0.45">
      <c r="A48" s="43" t="s">
        <v>124</v>
      </c>
      <c r="B48" s="15" t="s">
        <v>74</v>
      </c>
      <c r="C48" s="15">
        <v>13</v>
      </c>
    </row>
    <row r="49" spans="1:3" x14ac:dyDescent="0.45">
      <c r="A49" s="43" t="s">
        <v>125</v>
      </c>
      <c r="B49" s="15" t="s">
        <v>75</v>
      </c>
      <c r="C49" s="15">
        <v>13</v>
      </c>
    </row>
    <row r="50" spans="1:3" x14ac:dyDescent="0.45">
      <c r="A50" s="43" t="s">
        <v>126</v>
      </c>
      <c r="B50" s="15" t="s">
        <v>76</v>
      </c>
      <c r="C50" s="15">
        <v>13</v>
      </c>
    </row>
    <row r="51" spans="1:3" x14ac:dyDescent="0.45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38"/>
    <col min="13" max="13" width="9" style="38" customWidth="1"/>
    <col min="14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5">
      <c r="A3" s="15">
        <v>20</v>
      </c>
      <c r="E3" s="38">
        <v>3900</v>
      </c>
      <c r="F3" s="38">
        <v>7700</v>
      </c>
    </row>
    <row r="4" spans="1:13" x14ac:dyDescent="0.45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5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5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5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5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5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5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5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5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5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5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5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5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5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5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5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5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5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5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5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5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5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5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5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5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5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5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5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5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5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5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5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5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5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5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5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5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5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5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5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5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5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5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5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5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5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5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5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5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5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5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5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5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5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5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5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5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5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5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5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5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5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5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5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5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5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5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5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5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5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5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2019-01-18T00:46:38Z</dcterms:modified>
</cp:coreProperties>
</file>