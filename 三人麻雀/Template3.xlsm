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\mahjong\三人麻雀\"/>
    </mc:Choice>
  </mc:AlternateContent>
  <xr:revisionPtr revIDLastSave="0" documentId="10_ncr:100000_{025C1F6B-29C8-41DF-9B73-017664B01D1D}" xr6:coauthVersionLast="31" xr6:coauthVersionMax="31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Y1" i="1" l="1"/>
  <c r="BO1" i="1" l="1"/>
  <c r="AT1" i="1"/>
  <c r="D5" i="1" l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B5" i="1" l="1"/>
  <c r="A5" i="1" s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D6" i="1"/>
  <c r="W3" i="1" l="1"/>
  <c r="V3" i="1"/>
  <c r="U3" i="1"/>
  <c r="W2" i="1" l="1"/>
  <c r="V2" i="1"/>
  <c r="U2" i="1"/>
  <c r="J4" i="1" l="1"/>
  <c r="U4" i="1" s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8" i="1" s="1"/>
  <c r="A7" i="1"/>
  <c r="B6" i="1"/>
  <c r="A6" i="1" s="1"/>
  <c r="J5" i="1"/>
  <c r="U5" i="1" s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J6" i="1" l="1"/>
  <c r="J7" i="1" s="1"/>
  <c r="U7" i="1" s="1"/>
  <c r="V4" i="1"/>
  <c r="W4" i="1"/>
  <c r="T5" i="1"/>
  <c r="O6" i="1"/>
  <c r="O7" i="1" s="1"/>
  <c r="B10" i="1"/>
  <c r="U6" i="1" l="1"/>
  <c r="J8" i="1"/>
  <c r="U8" i="1" s="1"/>
  <c r="B11" i="1"/>
  <c r="A11" i="1" s="1"/>
  <c r="A10" i="1"/>
  <c r="V7" i="1"/>
  <c r="O8" i="1"/>
  <c r="V6" i="1"/>
  <c r="W5" i="1"/>
  <c r="T6" i="1"/>
  <c r="T7" i="1" s="1"/>
  <c r="B12" i="1"/>
  <c r="A12" i="1" s="1"/>
  <c r="J9" i="1" l="1"/>
  <c r="U9" i="1" s="1"/>
  <c r="W7" i="1"/>
  <c r="T8" i="1"/>
  <c r="V8" i="1"/>
  <c r="O9" i="1"/>
  <c r="W6" i="1"/>
  <c r="B13" i="1"/>
  <c r="A13" i="1" s="1"/>
  <c r="J10" i="1" l="1"/>
  <c r="U10" i="1" s="1"/>
  <c r="J11" i="1"/>
  <c r="V9" i="1"/>
  <c r="O10" i="1"/>
  <c r="W8" i="1"/>
  <c r="T9" i="1"/>
  <c r="B14" i="1"/>
  <c r="A14" i="1" s="1"/>
  <c r="V10" i="1" l="1"/>
  <c r="O11" i="1"/>
  <c r="U11" i="1"/>
  <c r="J12" i="1"/>
  <c r="W9" i="1"/>
  <c r="T10" i="1"/>
  <c r="U12" i="1" l="1"/>
  <c r="J13" i="1"/>
  <c r="V11" i="1"/>
  <c r="O12" i="1"/>
  <c r="W10" i="1"/>
  <c r="T11" i="1"/>
  <c r="U13" i="1" l="1"/>
  <c r="J14" i="1"/>
  <c r="V12" i="1"/>
  <c r="O13" i="1"/>
  <c r="W11" i="1"/>
  <c r="T12" i="1"/>
  <c r="V13" i="1" l="1"/>
  <c r="O14" i="1"/>
  <c r="U14" i="1"/>
  <c r="J15" i="1"/>
  <c r="U15" i="1" s="1"/>
  <c r="W12" i="1"/>
  <c r="T13" i="1"/>
  <c r="W13" i="1" l="1"/>
  <c r="T14" i="1"/>
  <c r="V14" i="1"/>
  <c r="O15" i="1"/>
  <c r="V15" i="1" s="1"/>
  <c r="W14" i="1" l="1"/>
  <c r="T15" i="1"/>
  <c r="W15" i="1" s="1"/>
</calcChain>
</file>

<file path=xl/sharedStrings.xml><?xml version="1.0" encoding="utf-8"?>
<sst xmlns="http://schemas.openxmlformats.org/spreadsheetml/2006/main" count="480" uniqueCount="144">
  <si>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</si>
  <si>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</si>
  <si>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</si>
  <si>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</si>
  <si>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</si>
  <si>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</si>
  <si>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</si>
  <si>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</si>
  <si>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</si>
  <si>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東</t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</si>
  <si>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</si>
  <si>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</si>
  <si>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</si>
  <si>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</si>
  <si>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</si>
  <si>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</si>
  <si>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</si>
  <si>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</si>
  <si>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</si>
  <si>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</si>
  <si>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Player1</t>
    <phoneticPr fontId="1"/>
  </si>
  <si>
    <t>Player2</t>
    <phoneticPr fontId="1"/>
  </si>
  <si>
    <t>Player3</t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</si>
  <si>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</si>
  <si>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</si>
  <si>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</si>
  <si>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</si>
  <si>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</si>
  <si>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</si>
  <si>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</si>
  <si>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</si>
  <si>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</si>
  <si>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</si>
  <si>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</si>
  <si>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</si>
  <si>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</si>
  <si>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複合</t>
    <rPh sb="0" eb="2">
      <t>フクゴウ</t>
    </rPh>
    <phoneticPr fontId="1"/>
  </si>
  <si>
    <t>立直</t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</si>
  <si>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</si>
  <si>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</si>
  <si>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</si>
  <si>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</si>
  <si>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</si>
  <si>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</si>
  <si>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</si>
  <si>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</si>
  <si>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</si>
  <si>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</si>
  <si>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</si>
  <si>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</si>
  <si>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</si>
  <si>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</si>
  <si>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</si>
  <si>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</si>
  <si>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</si>
  <si>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</si>
  <si>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</si>
  <si>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</si>
  <si>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</si>
  <si>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</si>
  <si>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</si>
  <si>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</si>
  <si>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</si>
  <si>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</si>
  <si>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</si>
  <si>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</si>
  <si>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</si>
  <si>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</si>
  <si>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</si>
  <si>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</si>
  <si>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</si>
  <si>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</si>
  <si>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</si>
  <si>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</si>
  <si>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</si>
  <si>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</si>
  <si>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</si>
  <si>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</si>
  <si>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</si>
  <si>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</si>
  <si>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</si>
  <si>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</si>
  <si>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</si>
  <si>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</si>
  <si>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</si>
  <si>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</si>
  <si>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</si>
  <si>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</si>
  <si>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</si>
  <si>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</si>
  <si>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</si>
  <si>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</si>
  <si>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</si>
  <si>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</si>
  <si>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</si>
  <si>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</si>
  <si>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</si>
  <si>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</si>
  <si>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</si>
  <si>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</si>
  <si>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</si>
  <si>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</si>
  <si>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</si>
  <si>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</si>
  <si>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</si>
  <si>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</si>
  <si>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</si>
  <si>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</si>
  <si>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</si>
  <si>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</si>
  <si>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</si>
  <si>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</si>
  <si>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</si>
  <si>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</si>
  <si>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</si>
  <si>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</si>
  <si>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</si>
  <si>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</si>
  <si>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</si>
  <si>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</si>
  <si>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</si>
  <si>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</si>
  <si>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</si>
  <si>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</si>
  <si>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</si>
  <si>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</si>
  <si>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</si>
  <si>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</si>
  <si>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</si>
  <si>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</si>
  <si>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</si>
  <si>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</si>
  <si>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</si>
  <si>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</si>
  <si>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03</t>
    <phoneticPr fontId="1"/>
  </si>
  <si>
    <t>31</t>
    <phoneticPr fontId="1"/>
  </si>
  <si>
    <t>32</t>
    <phoneticPr fontId="1"/>
  </si>
  <si>
    <t>40</t>
    <phoneticPr fontId="1"/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</si>
  <si>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</si>
  <si>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</si>
  <si>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</si>
  <si>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</si>
  <si>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</si>
  <si>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Player1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</si>
</sst>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;\-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8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RowHeight="18.75" x14ac:dyDescent="0.4"/>
  <cols>
    <col min="1" max="4" width="5.25" style="33" customWidth="1"/>
    <col min="5" max="5" width="9" style="33" customWidth="1"/>
    <col min="6" max="7" width="9" style="33"/>
    <col min="8" max="9" width="9" style="33" customWidth="1"/>
    <col min="10" max="12" width="9" style="33"/>
    <col min="13" max="14" width="9" style="33" customWidth="1"/>
    <col min="15" max="17" width="9" style="33"/>
    <col min="18" max="19" width="9" style="33" customWidth="1"/>
    <col min="20" max="20" width="9" style="33"/>
    <col min="21" max="23" width="9" style="33" customWidth="1"/>
    <col min="24" max="24" width="3.5" style="33" bestFit="1" customWidth="1"/>
    <col min="25" max="25" width="3.5" style="34" customWidth="1"/>
    <col min="26" max="29" width="3.5" style="37" customWidth="1"/>
    <col min="30" max="30" width="3.5" style="34" customWidth="1"/>
    <col min="31" max="45" width="3.5" style="34" bestFit="1" customWidth="1"/>
    <col min="46" max="51" width="3.5" style="37" customWidth="1"/>
    <col min="52" max="66" width="3.5" style="37" bestFit="1" customWidth="1"/>
    <col min="67" max="72" width="3.5" style="37" customWidth="1"/>
    <col min="73" max="87" width="3.5" style="37" bestFit="1" customWidth="1"/>
    <col min="88" max="16384" width="9" style="33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26</v>
      </c>
      <c r="E1" s="75" t="s">
        <v>3</v>
      </c>
      <c r="F1" s="66" t="s">
        <v>20</v>
      </c>
      <c r="G1" s="68"/>
      <c r="H1" s="68"/>
      <c r="I1" s="77"/>
      <c r="J1" s="69"/>
      <c r="K1" s="66" t="s">
        <v>21</v>
      </c>
      <c r="L1" s="68"/>
      <c r="M1" s="68"/>
      <c r="N1" s="77"/>
      <c r="O1" s="69"/>
      <c r="P1" s="66" t="s">
        <v>22</v>
      </c>
      <c r="Q1" s="68"/>
      <c r="R1" s="68"/>
      <c r="S1" s="77"/>
      <c r="T1" s="69"/>
      <c r="U1" s="66" t="s">
        <v>6</v>
      </c>
      <c r="V1" s="68"/>
      <c r="W1" s="69"/>
      <c r="Y1" s="66" t="str">
        <f>F1</f>
        <v>Player1</v>
      </c>
      <c r="Z1" s="67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9"/>
      <c r="AT1" s="66" t="str">
        <f>K1</f>
        <v>Player2</v>
      </c>
      <c r="AU1" s="67"/>
      <c r="AV1" s="68"/>
      <c r="AW1" s="68"/>
      <c r="AX1" s="68"/>
      <c r="AY1" s="68"/>
      <c r="AZ1" s="68"/>
      <c r="BA1" s="68"/>
      <c r="BB1" s="68"/>
      <c r="BC1" s="68"/>
      <c r="BD1" s="68"/>
      <c r="BE1" s="68"/>
      <c r="BF1" s="68"/>
      <c r="BG1" s="68"/>
      <c r="BH1" s="68"/>
      <c r="BI1" s="68"/>
      <c r="BJ1" s="68"/>
      <c r="BK1" s="68"/>
      <c r="BL1" s="68"/>
      <c r="BM1" s="68"/>
      <c r="BN1" s="69"/>
      <c r="BO1" s="66" t="str">
        <f>P1</f>
        <v>Player3</v>
      </c>
      <c r="BP1" s="67"/>
      <c r="BQ1" s="68"/>
      <c r="BR1" s="68"/>
      <c r="BS1" s="68"/>
      <c r="BT1" s="68"/>
      <c r="BU1" s="68"/>
      <c r="BV1" s="68"/>
      <c r="BW1" s="68"/>
      <c r="BX1" s="68"/>
      <c r="BY1" s="68"/>
      <c r="BZ1" s="68"/>
      <c r="CA1" s="68"/>
      <c r="CB1" s="68"/>
      <c r="CC1" s="68"/>
      <c r="CD1" s="68"/>
      <c r="CE1" s="68"/>
      <c r="CF1" s="68"/>
      <c r="CG1" s="68"/>
      <c r="CH1" s="68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10</v>
      </c>
      <c r="H2" s="2" t="s">
        <v>27</v>
      </c>
      <c r="I2" s="62" t="s">
        <v>7</v>
      </c>
      <c r="J2" s="6" t="s">
        <v>4</v>
      </c>
      <c r="K2" s="1" t="s">
        <v>5</v>
      </c>
      <c r="L2" s="2" t="s">
        <v>11</v>
      </c>
      <c r="M2" s="2" t="s">
        <v>27</v>
      </c>
      <c r="N2" s="62" t="s">
        <v>8</v>
      </c>
      <c r="O2" s="6" t="s">
        <v>4</v>
      </c>
      <c r="P2" s="1" t="s">
        <v>5</v>
      </c>
      <c r="Q2" s="2" t="s">
        <v>11</v>
      </c>
      <c r="R2" s="2" t="s">
        <v>27</v>
      </c>
      <c r="S2" s="62" t="s">
        <v>8</v>
      </c>
      <c r="T2" s="6" t="s">
        <v>4</v>
      </c>
      <c r="U2" s="35" t="str">
        <f>$F$1</f>
        <v>Player1</v>
      </c>
      <c r="V2" s="36" t="str">
        <f>$K$1</f>
        <v>Player2</v>
      </c>
      <c r="W2" s="16" t="str">
        <f>$P$1</f>
        <v>Player3</v>
      </c>
      <c r="Y2" s="38" t="s">
        <v>28</v>
      </c>
      <c r="Z2" s="48" t="s">
        <v>31</v>
      </c>
      <c r="AA2" s="39" t="s">
        <v>29</v>
      </c>
      <c r="AB2" s="39" t="s">
        <v>138</v>
      </c>
      <c r="AC2" s="39" t="s">
        <v>23</v>
      </c>
      <c r="AD2" s="40" t="s">
        <v>24</v>
      </c>
      <c r="AE2" s="70" t="s">
        <v>25</v>
      </c>
      <c r="AF2" s="70"/>
      <c r="AG2" s="70"/>
      <c r="AH2" s="70"/>
      <c r="AI2" s="70"/>
      <c r="AJ2" s="70"/>
      <c r="AK2" s="70"/>
      <c r="AL2" s="70"/>
      <c r="AM2" s="70"/>
      <c r="AN2" s="70"/>
      <c r="AO2" s="70"/>
      <c r="AP2" s="70"/>
      <c r="AQ2" s="70"/>
      <c r="AR2" s="70"/>
      <c r="AS2" s="70"/>
      <c r="AT2" s="38" t="s">
        <v>28</v>
      </c>
      <c r="AU2" s="48" t="s">
        <v>31</v>
      </c>
      <c r="AV2" s="39" t="s">
        <v>29</v>
      </c>
      <c r="AW2" s="39" t="s">
        <v>139</v>
      </c>
      <c r="AX2" s="39" t="s">
        <v>23</v>
      </c>
      <c r="AY2" s="40" t="s">
        <v>24</v>
      </c>
      <c r="AZ2" s="70" t="s">
        <v>25</v>
      </c>
      <c r="BA2" s="70"/>
      <c r="BB2" s="70"/>
      <c r="BC2" s="70"/>
      <c r="BD2" s="70"/>
      <c r="BE2" s="70"/>
      <c r="BF2" s="70"/>
      <c r="BG2" s="70"/>
      <c r="BH2" s="70"/>
      <c r="BI2" s="70"/>
      <c r="BJ2" s="70"/>
      <c r="BK2" s="70"/>
      <c r="BL2" s="70"/>
      <c r="BM2" s="70"/>
      <c r="BN2" s="70"/>
      <c r="BO2" s="38" t="s">
        <v>28</v>
      </c>
      <c r="BP2" s="48" t="s">
        <v>31</v>
      </c>
      <c r="BQ2" s="39" t="s">
        <v>29</v>
      </c>
      <c r="BR2" s="39" t="s">
        <v>139</v>
      </c>
      <c r="BS2" s="39" t="s">
        <v>23</v>
      </c>
      <c r="BT2" s="40" t="s">
        <v>24</v>
      </c>
      <c r="BU2" s="70" t="s">
        <v>25</v>
      </c>
      <c r="BV2" s="70"/>
      <c r="BW2" s="70"/>
      <c r="BX2" s="70"/>
      <c r="BY2" s="70"/>
      <c r="BZ2" s="70"/>
      <c r="CA2" s="70"/>
      <c r="CB2" s="70"/>
      <c r="CC2" s="70"/>
      <c r="CD2" s="70"/>
      <c r="CE2" s="70"/>
      <c r="CF2" s="70"/>
      <c r="CG2" s="70"/>
      <c r="CH2" s="70"/>
      <c r="CI2" s="70"/>
    </row>
    <row r="3" spans="1:87" x14ac:dyDescent="0.4">
      <c r="A3" s="12"/>
      <c r="B3" s="26"/>
      <c r="C3" s="26"/>
      <c r="D3" s="26"/>
      <c r="E3" s="3"/>
      <c r="F3" s="7"/>
      <c r="G3" s="32"/>
      <c r="H3" s="32"/>
      <c r="I3" s="63"/>
      <c r="J3" s="29">
        <v>35000</v>
      </c>
      <c r="K3" s="7"/>
      <c r="L3" s="32"/>
      <c r="M3" s="32"/>
      <c r="N3" s="63"/>
      <c r="O3" s="29">
        <v>35000</v>
      </c>
      <c r="P3" s="7"/>
      <c r="Q3" s="32"/>
      <c r="R3" s="32"/>
      <c r="S3" s="63"/>
      <c r="T3" s="29">
        <v>35000</v>
      </c>
      <c r="U3" s="17">
        <f>IF($J3="","",ROUND(($J3-$J$3)/1000,0))</f>
        <v>0</v>
      </c>
      <c r="V3" s="18">
        <f>IF($O3="","",ROUND(($O3-$O$3)/1000,0))</f>
        <v>0</v>
      </c>
      <c r="W3" s="19">
        <f>IF($T3="","",ROUND(($T3-$T$3)/1000,0))</f>
        <v>0</v>
      </c>
      <c r="Y3" s="7"/>
      <c r="Z3" s="49"/>
      <c r="AA3" s="43"/>
      <c r="AB3" s="43"/>
      <c r="AC3" s="43"/>
      <c r="AD3" s="44"/>
      <c r="AE3" s="53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5"/>
      <c r="AT3" s="7"/>
      <c r="AU3" s="49"/>
      <c r="AV3" s="43"/>
      <c r="AW3" s="43"/>
      <c r="AX3" s="43"/>
      <c r="AY3" s="44"/>
      <c r="AZ3" s="53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5"/>
      <c r="BO3" s="7"/>
      <c r="BP3" s="49"/>
      <c r="BQ3" s="43"/>
      <c r="BR3" s="43"/>
      <c r="BS3" s="43"/>
      <c r="BT3" s="44"/>
      <c r="BU3" s="53"/>
      <c r="BV3" s="54"/>
      <c r="BW3" s="54"/>
      <c r="BX3" s="54"/>
      <c r="BY3" s="54"/>
      <c r="BZ3" s="54"/>
      <c r="CA3" s="54"/>
      <c r="CB3" s="54"/>
      <c r="CC3" s="54"/>
      <c r="CD3" s="54"/>
      <c r="CE3" s="54"/>
      <c r="CF3" s="54"/>
      <c r="CG3" s="54"/>
      <c r="CH3" s="54"/>
      <c r="CI3" s="55"/>
    </row>
    <row r="4" spans="1:87" x14ac:dyDescent="0.4">
      <c r="A4" s="13" t="s">
        <v>9</v>
      </c>
      <c r="B4" s="27">
        <v>1</v>
      </c>
      <c r="C4" s="27">
        <v>0</v>
      </c>
      <c r="D4" s="27">
        <v>0</v>
      </c>
      <c r="E4" s="4" t="s">
        <v>143</v>
      </c>
      <c r="F4" s="8"/>
      <c r="G4" s="9"/>
      <c r="H4" s="9"/>
      <c r="I4" s="64"/>
      <c r="J4" s="30" t="str">
        <f>IF(COUNTA($F4,$K4,$P4)&gt;0,J3+SUM(G4:I4),"")</f>
        <v/>
      </c>
      <c r="K4" s="8"/>
      <c r="L4" s="9"/>
      <c r="M4" s="9"/>
      <c r="N4" s="64"/>
      <c r="O4" s="30" t="str">
        <f>IF(COUNTA($F4,$K4,$P4)&gt;0,O3+SUM(L4:N4),"")</f>
        <v/>
      </c>
      <c r="P4" s="8"/>
      <c r="Q4" s="9"/>
      <c r="R4" s="9"/>
      <c r="S4" s="64"/>
      <c r="T4" s="30" t="str">
        <f>IF(COUNTA($F4,$K4,$P4)&gt;0,T3+SUM(Q4:S4),"")</f>
        <v/>
      </c>
      <c r="U4" s="20" t="str">
        <f>IF($J4="","",ROUND(($J4-$J$3)/1000,0))</f>
        <v/>
      </c>
      <c r="V4" s="21" t="str">
        <f t="shared" ref="V4:V30" si="0">IF($O4="","",ROUND(($O4-$O$3)/1000,0))</f>
        <v/>
      </c>
      <c r="W4" s="22" t="str">
        <f t="shared" ref="W4:W30" si="1">IF($T4="","",ROUND(($T4-$T$3)/1000,0))</f>
        <v/>
      </c>
      <c r="Y4" s="8"/>
      <c r="Z4" s="50"/>
      <c r="AA4" s="41"/>
      <c r="AB4" s="41"/>
      <c r="AC4" s="41"/>
      <c r="AD4" s="45"/>
      <c r="AE4" s="56"/>
      <c r="AF4" s="57"/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7"/>
      <c r="AS4" s="58"/>
      <c r="AT4" s="8"/>
      <c r="AU4" s="50"/>
      <c r="AV4" s="41"/>
      <c r="AW4" s="41"/>
      <c r="AX4" s="41"/>
      <c r="AY4" s="45"/>
      <c r="AZ4" s="56"/>
      <c r="BA4" s="57"/>
      <c r="BB4" s="57"/>
      <c r="BC4" s="57"/>
      <c r="BD4" s="57"/>
      <c r="BE4" s="57"/>
      <c r="BF4" s="57"/>
      <c r="BG4" s="57"/>
      <c r="BH4" s="57"/>
      <c r="BI4" s="57"/>
      <c r="BJ4" s="57"/>
      <c r="BK4" s="57"/>
      <c r="BL4" s="57"/>
      <c r="BM4" s="57"/>
      <c r="BN4" s="58"/>
      <c r="BO4" s="8"/>
      <c r="BP4" s="50"/>
      <c r="BQ4" s="41"/>
      <c r="BR4" s="41"/>
      <c r="BS4" s="41"/>
      <c r="BT4" s="45"/>
      <c r="BU4" s="56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8"/>
    </row>
    <row r="5" spans="1:87" x14ac:dyDescent="0.4">
      <c r="A5" s="13" t="str">
        <f>IF($E5="","",IF(AND(B4=3,B5=1),_xlfn.SWITCH(A4,"東","南","南","西","西","北","北","東"),A4))</f>
        <v/>
      </c>
      <c r="B5" s="27" t="str">
        <f>IF($E5="","",IF($E4=$E5,B4,IF(B4=3,1,B4+1)))</f>
        <v/>
      </c>
      <c r="C5" s="27" t="str">
        <f>IF($E5="","",IF(F4="チョンボ",C4,IF($E4=$E5,C4+1,0)))</f>
        <v/>
      </c>
      <c r="D5" s="27" t="str">
        <f>IF($E5="","",IF(OR($F4="流局",$F4="チョンボ"),D4+($H4+$M4+$R4)/-1000,0))</f>
        <v/>
      </c>
      <c r="E5" s="4"/>
      <c r="F5" s="8"/>
      <c r="G5" s="9"/>
      <c r="H5" s="9"/>
      <c r="I5" s="64"/>
      <c r="J5" s="30" t="str">
        <f t="shared" ref="J5:J30" si="2">IF(COUNTA($F5,$K5,$P5)&gt;0,J4+SUM(G5:I5),"")</f>
        <v/>
      </c>
      <c r="K5" s="8"/>
      <c r="L5" s="9"/>
      <c r="M5" s="9"/>
      <c r="N5" s="64"/>
      <c r="O5" s="30" t="str">
        <f t="shared" ref="O5:O30" si="3">IF(COUNTA($F5,$K5,$P5)&gt;0,O4+SUM(L5:N5),"")</f>
        <v/>
      </c>
      <c r="P5" s="8"/>
      <c r="Q5" s="9"/>
      <c r="R5" s="9"/>
      <c r="S5" s="64"/>
      <c r="T5" s="30" t="str">
        <f t="shared" ref="T5:T30" si="4">IF(COUNTA($F5,$K5,$P5)&gt;0,T4+SUM(Q5:S5),"")</f>
        <v/>
      </c>
      <c r="U5" s="20" t="str">
        <f t="shared" ref="U5:U30" si="5">IF($J5="","",ROUND(($J5-$J$3)/1000,0))</f>
        <v/>
      </c>
      <c r="V5" s="21" t="str">
        <f t="shared" si="0"/>
        <v/>
      </c>
      <c r="W5" s="22" t="str">
        <f t="shared" si="1"/>
        <v/>
      </c>
      <c r="Y5" s="8"/>
      <c r="Z5" s="50"/>
      <c r="AA5" s="41"/>
      <c r="AB5" s="41"/>
      <c r="AC5" s="41"/>
      <c r="AD5" s="45"/>
      <c r="AE5" s="56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8"/>
      <c r="AT5" s="8"/>
      <c r="AU5" s="50"/>
      <c r="AV5" s="41"/>
      <c r="AW5" s="41"/>
      <c r="AX5" s="41"/>
      <c r="AY5" s="45"/>
      <c r="AZ5" s="56"/>
      <c r="BA5" s="57"/>
      <c r="BB5" s="57"/>
      <c r="BC5" s="57"/>
      <c r="BD5" s="57"/>
      <c r="BE5" s="57"/>
      <c r="BF5" s="57"/>
      <c r="BG5" s="57"/>
      <c r="BH5" s="57"/>
      <c r="BI5" s="57"/>
      <c r="BJ5" s="57"/>
      <c r="BK5" s="57"/>
      <c r="BL5" s="57"/>
      <c r="BM5" s="57"/>
      <c r="BN5" s="58"/>
      <c r="BO5" s="8"/>
      <c r="BP5" s="50"/>
      <c r="BQ5" s="41"/>
      <c r="BR5" s="41"/>
      <c r="BS5" s="41"/>
      <c r="BT5" s="45"/>
      <c r="BU5" s="56"/>
      <c r="BV5" s="57"/>
      <c r="BW5" s="57"/>
      <c r="BX5" s="57"/>
      <c r="BY5" s="57"/>
      <c r="BZ5" s="57"/>
      <c r="CA5" s="57"/>
      <c r="CB5" s="57"/>
      <c r="CC5" s="57"/>
      <c r="CD5" s="57"/>
      <c r="CE5" s="57"/>
      <c r="CF5" s="57"/>
      <c r="CG5" s="57"/>
      <c r="CH5" s="57"/>
      <c r="CI5" s="58"/>
    </row>
    <row r="6" spans="1:87" x14ac:dyDescent="0.4">
      <c r="A6" s="13" t="str">
        <f t="shared" ref="A6:A30" si="6">IF($E6="","",IF(AND(B5=3,B6=1),_xlfn.SWITCH(A5,"東","南","南","西","西","北","北","東"),A5))</f>
        <v/>
      </c>
      <c r="B6" s="27" t="str">
        <f t="shared" ref="B6:B30" si="7">IF($E6="","",IF($E5=$E6,B5,IF(B5=3,1,B5+1)))</f>
        <v/>
      </c>
      <c r="C6" s="27" t="str">
        <f t="shared" ref="C6:C30" si="8">IF($E6="","",IF(F5="チョンボ",C5,IF($E5=$E6,C5+1,0)))</f>
        <v/>
      </c>
      <c r="D6" s="27" t="str">
        <f t="shared" ref="D6:D30" si="9">IF($E6="","",IF(OR($F5="流局",$F5="チョンボ"),D5+($H5+$M5+$R5)/-1000,0))</f>
        <v/>
      </c>
      <c r="E6" s="4"/>
      <c r="F6" s="8"/>
      <c r="G6" s="9"/>
      <c r="H6" s="9"/>
      <c r="I6" s="64"/>
      <c r="J6" s="30" t="str">
        <f t="shared" si="2"/>
        <v/>
      </c>
      <c r="K6" s="8"/>
      <c r="L6" s="9"/>
      <c r="M6" s="9"/>
      <c r="N6" s="64"/>
      <c r="O6" s="30" t="str">
        <f t="shared" si="3"/>
        <v/>
      </c>
      <c r="P6" s="8"/>
      <c r="Q6" s="9"/>
      <c r="R6" s="9"/>
      <c r="S6" s="64"/>
      <c r="T6" s="30" t="str">
        <f t="shared" si="4"/>
        <v/>
      </c>
      <c r="U6" s="20" t="str">
        <f t="shared" si="5"/>
        <v/>
      </c>
      <c r="V6" s="21" t="str">
        <f t="shared" si="0"/>
        <v/>
      </c>
      <c r="W6" s="22" t="str">
        <f t="shared" si="1"/>
        <v/>
      </c>
      <c r="Y6" s="8"/>
      <c r="Z6" s="50"/>
      <c r="AA6" s="41"/>
      <c r="AB6" s="41"/>
      <c r="AC6" s="41"/>
      <c r="AD6" s="45"/>
      <c r="AE6" s="56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8"/>
      <c r="AT6" s="8"/>
      <c r="AU6" s="50"/>
      <c r="AV6" s="41"/>
      <c r="AW6" s="41"/>
      <c r="AX6" s="41"/>
      <c r="AY6" s="45"/>
      <c r="AZ6" s="56"/>
      <c r="BA6" s="57"/>
      <c r="BB6" s="57"/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8"/>
      <c r="BO6" s="8"/>
      <c r="BP6" s="50"/>
      <c r="BQ6" s="41"/>
      <c r="BR6" s="41"/>
      <c r="BS6" s="41"/>
      <c r="BT6" s="45"/>
      <c r="BU6" s="56"/>
      <c r="BV6" s="57"/>
      <c r="BW6" s="57"/>
      <c r="BX6" s="57"/>
      <c r="BY6" s="57"/>
      <c r="BZ6" s="57"/>
      <c r="CA6" s="57"/>
      <c r="CB6" s="57"/>
      <c r="CC6" s="57"/>
      <c r="CD6" s="57"/>
      <c r="CE6" s="57"/>
      <c r="CF6" s="57"/>
      <c r="CG6" s="57"/>
      <c r="CH6" s="57"/>
      <c r="CI6" s="58"/>
    </row>
    <row r="7" spans="1:87" x14ac:dyDescent="0.4">
      <c r="A7" s="13" t="str">
        <f t="shared" si="6"/>
        <v/>
      </c>
      <c r="B7" s="27" t="str">
        <f t="shared" si="7"/>
        <v/>
      </c>
      <c r="C7" s="27" t="str">
        <f t="shared" si="8"/>
        <v/>
      </c>
      <c r="D7" s="27" t="str">
        <f t="shared" si="9"/>
        <v/>
      </c>
      <c r="E7" s="4"/>
      <c r="F7" s="8"/>
      <c r="G7" s="9"/>
      <c r="H7" s="9"/>
      <c r="I7" s="64"/>
      <c r="J7" s="30" t="str">
        <f t="shared" si="2"/>
        <v/>
      </c>
      <c r="K7" s="8"/>
      <c r="L7" s="9"/>
      <c r="M7" s="9"/>
      <c r="N7" s="64"/>
      <c r="O7" s="30" t="str">
        <f t="shared" si="3"/>
        <v/>
      </c>
      <c r="P7" s="8"/>
      <c r="Q7" s="9"/>
      <c r="R7" s="9"/>
      <c r="S7" s="64"/>
      <c r="T7" s="30" t="str">
        <f t="shared" si="4"/>
        <v/>
      </c>
      <c r="U7" s="20" t="str">
        <f t="shared" si="5"/>
        <v/>
      </c>
      <c r="V7" s="21" t="str">
        <f t="shared" si="0"/>
        <v/>
      </c>
      <c r="W7" s="22" t="str">
        <f t="shared" si="1"/>
        <v/>
      </c>
      <c r="Y7" s="8"/>
      <c r="Z7" s="50"/>
      <c r="AA7" s="41"/>
      <c r="AB7" s="41"/>
      <c r="AC7" s="41"/>
      <c r="AD7" s="45"/>
      <c r="AE7" s="56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8"/>
      <c r="AT7" s="8"/>
      <c r="AU7" s="50"/>
      <c r="AV7" s="41"/>
      <c r="AW7" s="41"/>
      <c r="AX7" s="41"/>
      <c r="AY7" s="45"/>
      <c r="AZ7" s="56"/>
      <c r="BA7" s="57"/>
      <c r="BB7" s="57"/>
      <c r="BC7" s="57"/>
      <c r="BD7" s="57"/>
      <c r="BE7" s="57"/>
      <c r="BF7" s="57"/>
      <c r="BG7" s="57"/>
      <c r="BH7" s="57"/>
      <c r="BI7" s="57"/>
      <c r="BJ7" s="57"/>
      <c r="BK7" s="57"/>
      <c r="BL7" s="57"/>
      <c r="BM7" s="57"/>
      <c r="BN7" s="58"/>
      <c r="BO7" s="8"/>
      <c r="BP7" s="50"/>
      <c r="BQ7" s="41"/>
      <c r="BR7" s="41"/>
      <c r="BS7" s="41"/>
      <c r="BT7" s="45"/>
      <c r="BU7" s="56"/>
      <c r="BV7" s="57"/>
      <c r="BW7" s="57"/>
      <c r="BX7" s="57"/>
      <c r="BY7" s="57"/>
      <c r="BZ7" s="57"/>
      <c r="CA7" s="57"/>
      <c r="CB7" s="57"/>
      <c r="CC7" s="57"/>
      <c r="CD7" s="57"/>
      <c r="CE7" s="57"/>
      <c r="CF7" s="57"/>
      <c r="CG7" s="57"/>
      <c r="CH7" s="57"/>
      <c r="CI7" s="58"/>
    </row>
    <row r="8" spans="1:87" x14ac:dyDescent="0.4">
      <c r="A8" s="13" t="str">
        <f t="shared" si="6"/>
        <v/>
      </c>
      <c r="B8" s="27" t="str">
        <f t="shared" si="7"/>
        <v/>
      </c>
      <c r="C8" s="27" t="str">
        <f t="shared" si="8"/>
        <v/>
      </c>
      <c r="D8" s="27" t="str">
        <f t="shared" si="9"/>
        <v/>
      </c>
      <c r="E8" s="4"/>
      <c r="F8" s="8"/>
      <c r="G8" s="9"/>
      <c r="H8" s="9"/>
      <c r="I8" s="64"/>
      <c r="J8" s="30" t="str">
        <f t="shared" si="2"/>
        <v/>
      </c>
      <c r="K8" s="8"/>
      <c r="L8" s="9"/>
      <c r="M8" s="9"/>
      <c r="N8" s="64"/>
      <c r="O8" s="30" t="str">
        <f t="shared" si="3"/>
        <v/>
      </c>
      <c r="P8" s="8"/>
      <c r="Q8" s="9"/>
      <c r="R8" s="9"/>
      <c r="S8" s="64"/>
      <c r="T8" s="30" t="str">
        <f t="shared" si="4"/>
        <v/>
      </c>
      <c r="U8" s="20" t="str">
        <f t="shared" si="5"/>
        <v/>
      </c>
      <c r="V8" s="21" t="str">
        <f t="shared" si="0"/>
        <v/>
      </c>
      <c r="W8" s="22" t="str">
        <f t="shared" si="1"/>
        <v/>
      </c>
      <c r="Y8" s="8"/>
      <c r="Z8" s="50"/>
      <c r="AA8" s="41"/>
      <c r="AB8" s="41"/>
      <c r="AC8" s="41"/>
      <c r="AD8" s="45"/>
      <c r="AE8" s="56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8"/>
      <c r="AT8" s="8"/>
      <c r="AU8" s="50"/>
      <c r="AV8" s="41"/>
      <c r="AW8" s="41"/>
      <c r="AX8" s="41"/>
      <c r="AY8" s="45"/>
      <c r="AZ8" s="56"/>
      <c r="BA8" s="57"/>
      <c r="BB8" s="57"/>
      <c r="BC8" s="57"/>
      <c r="BD8" s="57"/>
      <c r="BE8" s="57"/>
      <c r="BF8" s="57"/>
      <c r="BG8" s="57"/>
      <c r="BH8" s="57"/>
      <c r="BI8" s="57"/>
      <c r="BJ8" s="57"/>
      <c r="BK8" s="57"/>
      <c r="BL8" s="57"/>
      <c r="BM8" s="57"/>
      <c r="BN8" s="58"/>
      <c r="BO8" s="8"/>
      <c r="BP8" s="50"/>
      <c r="BQ8" s="41"/>
      <c r="BR8" s="41"/>
      <c r="BS8" s="41"/>
      <c r="BT8" s="45"/>
      <c r="BU8" s="56"/>
      <c r="BV8" s="57"/>
      <c r="BW8" s="57"/>
      <c r="BX8" s="57"/>
      <c r="BY8" s="57"/>
      <c r="BZ8" s="57"/>
      <c r="CA8" s="57"/>
      <c r="CB8" s="57"/>
      <c r="CC8" s="57"/>
      <c r="CD8" s="57"/>
      <c r="CE8" s="57"/>
      <c r="CF8" s="57"/>
      <c r="CG8" s="57"/>
      <c r="CH8" s="57"/>
      <c r="CI8" s="58"/>
    </row>
    <row r="9" spans="1:87" x14ac:dyDescent="0.4">
      <c r="A9" s="13" t="str">
        <f t="shared" si="6"/>
        <v/>
      </c>
      <c r="B9" s="27" t="str">
        <f t="shared" si="7"/>
        <v/>
      </c>
      <c r="C9" s="27" t="str">
        <f t="shared" si="8"/>
        <v/>
      </c>
      <c r="D9" s="27" t="str">
        <f t="shared" si="9"/>
        <v/>
      </c>
      <c r="E9" s="4"/>
      <c r="F9" s="8"/>
      <c r="G9" s="9"/>
      <c r="H9" s="9"/>
      <c r="I9" s="64"/>
      <c r="J9" s="30" t="str">
        <f t="shared" si="2"/>
        <v/>
      </c>
      <c r="K9" s="8"/>
      <c r="L9" s="9"/>
      <c r="M9" s="9"/>
      <c r="N9" s="64"/>
      <c r="O9" s="30" t="str">
        <f t="shared" si="3"/>
        <v/>
      </c>
      <c r="P9" s="8"/>
      <c r="Q9" s="9"/>
      <c r="R9" s="9"/>
      <c r="S9" s="64"/>
      <c r="T9" s="30" t="str">
        <f t="shared" si="4"/>
        <v/>
      </c>
      <c r="U9" s="20" t="str">
        <f t="shared" si="5"/>
        <v/>
      </c>
      <c r="V9" s="21" t="str">
        <f t="shared" si="0"/>
        <v/>
      </c>
      <c r="W9" s="22" t="str">
        <f t="shared" si="1"/>
        <v/>
      </c>
      <c r="Y9" s="8"/>
      <c r="Z9" s="50"/>
      <c r="AA9" s="41"/>
      <c r="AB9" s="41"/>
      <c r="AC9" s="41"/>
      <c r="AD9" s="45"/>
      <c r="AE9" s="56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8"/>
      <c r="AT9" s="8"/>
      <c r="AU9" s="50"/>
      <c r="AV9" s="41"/>
      <c r="AW9" s="41"/>
      <c r="AX9" s="41"/>
      <c r="AY9" s="45"/>
      <c r="AZ9" s="56"/>
      <c r="BA9" s="57"/>
      <c r="BB9" s="57"/>
      <c r="BC9" s="57"/>
      <c r="BD9" s="57"/>
      <c r="BE9" s="57"/>
      <c r="BF9" s="57"/>
      <c r="BG9" s="57"/>
      <c r="BH9" s="57"/>
      <c r="BI9" s="57"/>
      <c r="BJ9" s="57"/>
      <c r="BK9" s="57"/>
      <c r="BL9" s="57"/>
      <c r="BM9" s="57"/>
      <c r="BN9" s="58"/>
      <c r="BO9" s="8"/>
      <c r="BP9" s="50"/>
      <c r="BQ9" s="41"/>
      <c r="BR9" s="41"/>
      <c r="BS9" s="41"/>
      <c r="BT9" s="45"/>
      <c r="BU9" s="56"/>
      <c r="BV9" s="57"/>
      <c r="BW9" s="57"/>
      <c r="BX9" s="57"/>
      <c r="BY9" s="57"/>
      <c r="BZ9" s="57"/>
      <c r="CA9" s="57"/>
      <c r="CB9" s="57"/>
      <c r="CC9" s="57"/>
      <c r="CD9" s="57"/>
      <c r="CE9" s="57"/>
      <c r="CF9" s="57"/>
      <c r="CG9" s="57"/>
      <c r="CH9" s="57"/>
      <c r="CI9" s="58"/>
    </row>
    <row r="10" spans="1:87" x14ac:dyDescent="0.4">
      <c r="A10" s="13" t="str">
        <f t="shared" si="6"/>
        <v/>
      </c>
      <c r="B10" s="27" t="str">
        <f t="shared" si="7"/>
        <v/>
      </c>
      <c r="C10" s="27" t="str">
        <f t="shared" si="8"/>
        <v/>
      </c>
      <c r="D10" s="27" t="str">
        <f t="shared" si="9"/>
        <v/>
      </c>
      <c r="E10" s="4"/>
      <c r="F10" s="8"/>
      <c r="G10" s="9"/>
      <c r="H10" s="9"/>
      <c r="I10" s="64"/>
      <c r="J10" s="30" t="str">
        <f t="shared" si="2"/>
        <v/>
      </c>
      <c r="K10" s="8"/>
      <c r="L10" s="9"/>
      <c r="M10" s="9"/>
      <c r="N10" s="64"/>
      <c r="O10" s="30" t="str">
        <f t="shared" si="3"/>
        <v/>
      </c>
      <c r="P10" s="8"/>
      <c r="Q10" s="9"/>
      <c r="R10" s="9"/>
      <c r="S10" s="64"/>
      <c r="T10" s="30" t="str">
        <f t="shared" si="4"/>
        <v/>
      </c>
      <c r="U10" s="20" t="str">
        <f t="shared" si="5"/>
        <v/>
      </c>
      <c r="V10" s="21" t="str">
        <f t="shared" si="0"/>
        <v/>
      </c>
      <c r="W10" s="22" t="str">
        <f t="shared" si="1"/>
        <v/>
      </c>
      <c r="Y10" s="8"/>
      <c r="Z10" s="50"/>
      <c r="AA10" s="41"/>
      <c r="AB10" s="41"/>
      <c r="AC10" s="41"/>
      <c r="AD10" s="45"/>
      <c r="AE10" s="56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8"/>
      <c r="AT10" s="8"/>
      <c r="AU10" s="50"/>
      <c r="AV10" s="41"/>
      <c r="AW10" s="41"/>
      <c r="AX10" s="41"/>
      <c r="AY10" s="45"/>
      <c r="AZ10" s="56"/>
      <c r="BA10" s="57"/>
      <c r="BB10" s="57"/>
      <c r="BC10" s="57"/>
      <c r="BD10" s="57"/>
      <c r="BE10" s="57"/>
      <c r="BF10" s="57"/>
      <c r="BG10" s="57"/>
      <c r="BH10" s="57"/>
      <c r="BI10" s="57"/>
      <c r="BJ10" s="57"/>
      <c r="BK10" s="57"/>
      <c r="BL10" s="57"/>
      <c r="BM10" s="57"/>
      <c r="BN10" s="58"/>
      <c r="BO10" s="8"/>
      <c r="BP10" s="50"/>
      <c r="BQ10" s="41"/>
      <c r="BR10" s="41"/>
      <c r="BS10" s="41"/>
      <c r="BT10" s="45"/>
      <c r="BU10" s="56"/>
      <c r="BV10" s="57"/>
      <c r="BW10" s="57"/>
      <c r="BX10" s="57"/>
      <c r="BY10" s="57"/>
      <c r="BZ10" s="57"/>
      <c r="CA10" s="57"/>
      <c r="CB10" s="57"/>
      <c r="CC10" s="57"/>
      <c r="CD10" s="57"/>
      <c r="CE10" s="57"/>
      <c r="CF10" s="57"/>
      <c r="CG10" s="57"/>
      <c r="CH10" s="57"/>
      <c r="CI10" s="58"/>
    </row>
    <row r="11" spans="1:87" x14ac:dyDescent="0.4">
      <c r="A11" s="13" t="str">
        <f t="shared" si="6"/>
        <v/>
      </c>
      <c r="B11" s="27" t="str">
        <f t="shared" si="7"/>
        <v/>
      </c>
      <c r="C11" s="27" t="str">
        <f t="shared" si="8"/>
        <v/>
      </c>
      <c r="D11" s="27" t="str">
        <f t="shared" si="9"/>
        <v/>
      </c>
      <c r="E11" s="4"/>
      <c r="F11" s="8"/>
      <c r="G11" s="9"/>
      <c r="H11" s="9"/>
      <c r="I11" s="64"/>
      <c r="J11" s="30" t="str">
        <f t="shared" si="2"/>
        <v/>
      </c>
      <c r="K11" s="8"/>
      <c r="L11" s="9"/>
      <c r="M11" s="9"/>
      <c r="N11" s="64"/>
      <c r="O11" s="30" t="str">
        <f t="shared" si="3"/>
        <v/>
      </c>
      <c r="P11" s="8"/>
      <c r="Q11" s="9"/>
      <c r="R11" s="9"/>
      <c r="S11" s="64"/>
      <c r="T11" s="30" t="str">
        <f t="shared" si="4"/>
        <v/>
      </c>
      <c r="U11" s="20" t="str">
        <f t="shared" si="5"/>
        <v/>
      </c>
      <c r="V11" s="21" t="str">
        <f t="shared" si="0"/>
        <v/>
      </c>
      <c r="W11" s="22" t="str">
        <f t="shared" si="1"/>
        <v/>
      </c>
      <c r="Y11" s="8"/>
      <c r="Z11" s="50"/>
      <c r="AA11" s="41"/>
      <c r="AB11" s="41"/>
      <c r="AC11" s="41"/>
      <c r="AD11" s="45"/>
      <c r="AE11" s="56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8"/>
      <c r="AT11" s="8"/>
      <c r="AU11" s="50"/>
      <c r="AV11" s="41"/>
      <c r="AW11" s="41"/>
      <c r="AX11" s="41"/>
      <c r="AY11" s="45"/>
      <c r="AZ11" s="56"/>
      <c r="BA11" s="57"/>
      <c r="BB11" s="57"/>
      <c r="BC11" s="57"/>
      <c r="BD11" s="57"/>
      <c r="BE11" s="57"/>
      <c r="BF11" s="57"/>
      <c r="BG11" s="57"/>
      <c r="BH11" s="57"/>
      <c r="BI11" s="57"/>
      <c r="BJ11" s="57"/>
      <c r="BK11" s="57"/>
      <c r="BL11" s="57"/>
      <c r="BM11" s="57"/>
      <c r="BN11" s="58"/>
      <c r="BO11" s="8"/>
      <c r="BP11" s="50"/>
      <c r="BQ11" s="41"/>
      <c r="BR11" s="41"/>
      <c r="BS11" s="41"/>
      <c r="BT11" s="45"/>
      <c r="BU11" s="56"/>
      <c r="BV11" s="57"/>
      <c r="BW11" s="57"/>
      <c r="BX11" s="57"/>
      <c r="BY11" s="57"/>
      <c r="BZ11" s="57"/>
      <c r="CA11" s="57"/>
      <c r="CB11" s="57"/>
      <c r="CC11" s="57"/>
      <c r="CD11" s="57"/>
      <c r="CE11" s="57"/>
      <c r="CF11" s="57"/>
      <c r="CG11" s="57"/>
      <c r="CH11" s="57"/>
      <c r="CI11" s="58"/>
    </row>
    <row r="12" spans="1:87" x14ac:dyDescent="0.4">
      <c r="A12" s="13" t="str">
        <f t="shared" si="6"/>
        <v/>
      </c>
      <c r="B12" s="27" t="str">
        <f t="shared" si="7"/>
        <v/>
      </c>
      <c r="C12" s="27" t="str">
        <f t="shared" si="8"/>
        <v/>
      </c>
      <c r="D12" s="27" t="str">
        <f t="shared" si="9"/>
        <v/>
      </c>
      <c r="E12" s="4"/>
      <c r="F12" s="8"/>
      <c r="G12" s="9"/>
      <c r="H12" s="9"/>
      <c r="I12" s="64"/>
      <c r="J12" s="30" t="str">
        <f t="shared" si="2"/>
        <v/>
      </c>
      <c r="K12" s="8"/>
      <c r="L12" s="9"/>
      <c r="M12" s="9"/>
      <c r="N12" s="64"/>
      <c r="O12" s="30" t="str">
        <f t="shared" si="3"/>
        <v/>
      </c>
      <c r="P12" s="8"/>
      <c r="Q12" s="9"/>
      <c r="R12" s="9"/>
      <c r="S12" s="64"/>
      <c r="T12" s="30" t="str">
        <f t="shared" si="4"/>
        <v/>
      </c>
      <c r="U12" s="20" t="str">
        <f t="shared" si="5"/>
        <v/>
      </c>
      <c r="V12" s="21" t="str">
        <f t="shared" si="0"/>
        <v/>
      </c>
      <c r="W12" s="22" t="str">
        <f t="shared" si="1"/>
        <v/>
      </c>
      <c r="Y12" s="8"/>
      <c r="Z12" s="50"/>
      <c r="AA12" s="41"/>
      <c r="AB12" s="41"/>
      <c r="AC12" s="41"/>
      <c r="AD12" s="45"/>
      <c r="AE12" s="56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8"/>
      <c r="AT12" s="8"/>
      <c r="AU12" s="50"/>
      <c r="AV12" s="41"/>
      <c r="AW12" s="41"/>
      <c r="AX12" s="41"/>
      <c r="AY12" s="45"/>
      <c r="AZ12" s="56"/>
      <c r="BA12" s="57"/>
      <c r="BB12" s="57"/>
      <c r="BC12" s="57"/>
      <c r="BD12" s="57"/>
      <c r="BE12" s="57"/>
      <c r="BF12" s="57"/>
      <c r="BG12" s="57"/>
      <c r="BH12" s="57"/>
      <c r="BI12" s="57"/>
      <c r="BJ12" s="57"/>
      <c r="BK12" s="57"/>
      <c r="BL12" s="57"/>
      <c r="BM12" s="57"/>
      <c r="BN12" s="58"/>
      <c r="BO12" s="8"/>
      <c r="BP12" s="50"/>
      <c r="BQ12" s="41"/>
      <c r="BR12" s="41"/>
      <c r="BS12" s="41"/>
      <c r="BT12" s="45"/>
      <c r="BU12" s="56"/>
      <c r="BV12" s="57"/>
      <c r="BW12" s="57"/>
      <c r="BX12" s="57"/>
      <c r="BY12" s="57"/>
      <c r="BZ12" s="57"/>
      <c r="CA12" s="57"/>
      <c r="CB12" s="57"/>
      <c r="CC12" s="57"/>
      <c r="CD12" s="57"/>
      <c r="CE12" s="57"/>
      <c r="CF12" s="57"/>
      <c r="CG12" s="57"/>
      <c r="CH12" s="57"/>
      <c r="CI12" s="58"/>
    </row>
    <row r="13" spans="1:87" x14ac:dyDescent="0.4">
      <c r="A13" s="13" t="str">
        <f t="shared" si="6"/>
        <v/>
      </c>
      <c r="B13" s="27" t="str">
        <f t="shared" si="7"/>
        <v/>
      </c>
      <c r="C13" s="27" t="str">
        <f t="shared" si="8"/>
        <v/>
      </c>
      <c r="D13" s="27" t="str">
        <f t="shared" si="9"/>
        <v/>
      </c>
      <c r="E13" s="4"/>
      <c r="F13" s="8"/>
      <c r="G13" s="9"/>
      <c r="H13" s="9"/>
      <c r="I13" s="64"/>
      <c r="J13" s="30" t="str">
        <f t="shared" si="2"/>
        <v/>
      </c>
      <c r="K13" s="8"/>
      <c r="L13" s="9"/>
      <c r="M13" s="9"/>
      <c r="N13" s="64"/>
      <c r="O13" s="30" t="str">
        <f t="shared" si="3"/>
        <v/>
      </c>
      <c r="P13" s="8"/>
      <c r="Q13" s="9"/>
      <c r="R13" s="9"/>
      <c r="S13" s="64"/>
      <c r="T13" s="30" t="str">
        <f t="shared" si="4"/>
        <v/>
      </c>
      <c r="U13" s="20" t="str">
        <f t="shared" si="5"/>
        <v/>
      </c>
      <c r="V13" s="21" t="str">
        <f t="shared" si="0"/>
        <v/>
      </c>
      <c r="W13" s="22" t="str">
        <f t="shared" si="1"/>
        <v/>
      </c>
      <c r="Y13" s="8"/>
      <c r="Z13" s="50"/>
      <c r="AA13" s="41"/>
      <c r="AB13" s="41"/>
      <c r="AC13" s="41"/>
      <c r="AD13" s="45"/>
      <c r="AE13" s="56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8"/>
      <c r="AT13" s="8"/>
      <c r="AU13" s="50"/>
      <c r="AV13" s="41"/>
      <c r="AW13" s="41"/>
      <c r="AX13" s="41"/>
      <c r="AY13" s="45"/>
      <c r="AZ13" s="56"/>
      <c r="BA13" s="57"/>
      <c r="BB13" s="57"/>
      <c r="BC13" s="57"/>
      <c r="BD13" s="57"/>
      <c r="BE13" s="57"/>
      <c r="BF13" s="57"/>
      <c r="BG13" s="57"/>
      <c r="BH13" s="57"/>
      <c r="BI13" s="57"/>
      <c r="BJ13" s="57"/>
      <c r="BK13" s="57"/>
      <c r="BL13" s="57"/>
      <c r="BM13" s="57"/>
      <c r="BN13" s="58"/>
      <c r="BO13" s="8"/>
      <c r="BP13" s="50"/>
      <c r="BQ13" s="41"/>
      <c r="BR13" s="41"/>
      <c r="BS13" s="41"/>
      <c r="BT13" s="45"/>
      <c r="BU13" s="56"/>
      <c r="BV13" s="57"/>
      <c r="BW13" s="57"/>
      <c r="BX13" s="57"/>
      <c r="BY13" s="57"/>
      <c r="BZ13" s="57"/>
      <c r="CA13" s="57"/>
      <c r="CB13" s="57"/>
      <c r="CC13" s="57"/>
      <c r="CD13" s="57"/>
      <c r="CE13" s="57"/>
      <c r="CF13" s="57"/>
      <c r="CG13" s="57"/>
      <c r="CH13" s="57"/>
      <c r="CI13" s="58"/>
    </row>
    <row r="14" spans="1:87" x14ac:dyDescent="0.4">
      <c r="A14" s="13" t="str">
        <f t="shared" si="6"/>
        <v/>
      </c>
      <c r="B14" s="27" t="str">
        <f t="shared" si="7"/>
        <v/>
      </c>
      <c r="C14" s="27" t="str">
        <f t="shared" si="8"/>
        <v/>
      </c>
      <c r="D14" s="27" t="str">
        <f t="shared" si="9"/>
        <v/>
      </c>
      <c r="E14" s="4"/>
      <c r="F14" s="8"/>
      <c r="G14" s="9"/>
      <c r="H14" s="9"/>
      <c r="I14" s="64"/>
      <c r="J14" s="30" t="str">
        <f t="shared" si="2"/>
        <v/>
      </c>
      <c r="K14" s="8"/>
      <c r="L14" s="9"/>
      <c r="M14" s="9"/>
      <c r="N14" s="64"/>
      <c r="O14" s="30" t="str">
        <f t="shared" si="3"/>
        <v/>
      </c>
      <c r="P14" s="8"/>
      <c r="Q14" s="9"/>
      <c r="R14" s="9"/>
      <c r="S14" s="64"/>
      <c r="T14" s="30" t="str">
        <f t="shared" si="4"/>
        <v/>
      </c>
      <c r="U14" s="20" t="str">
        <f t="shared" si="5"/>
        <v/>
      </c>
      <c r="V14" s="21" t="str">
        <f t="shared" si="0"/>
        <v/>
      </c>
      <c r="W14" s="22" t="str">
        <f t="shared" si="1"/>
        <v/>
      </c>
      <c r="Y14" s="8"/>
      <c r="Z14" s="50"/>
      <c r="AA14" s="41"/>
      <c r="AB14" s="41"/>
      <c r="AC14" s="41"/>
      <c r="AD14" s="45"/>
      <c r="AE14" s="56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8"/>
      <c r="AT14" s="8"/>
      <c r="AU14" s="50"/>
      <c r="AV14" s="41"/>
      <c r="AW14" s="41"/>
      <c r="AX14" s="41"/>
      <c r="AY14" s="45"/>
      <c r="AZ14" s="56"/>
      <c r="BA14" s="57"/>
      <c r="BB14" s="57"/>
      <c r="BC14" s="57"/>
      <c r="BD14" s="57"/>
      <c r="BE14" s="57"/>
      <c r="BF14" s="57"/>
      <c r="BG14" s="57"/>
      <c r="BH14" s="57"/>
      <c r="BI14" s="57"/>
      <c r="BJ14" s="57"/>
      <c r="BK14" s="57"/>
      <c r="BL14" s="57"/>
      <c r="BM14" s="57"/>
      <c r="BN14" s="58"/>
      <c r="BO14" s="8"/>
      <c r="BP14" s="50"/>
      <c r="BQ14" s="41"/>
      <c r="BR14" s="41"/>
      <c r="BS14" s="41"/>
      <c r="BT14" s="45"/>
      <c r="BU14" s="56"/>
      <c r="BV14" s="57"/>
      <c r="BW14" s="57"/>
      <c r="BX14" s="57"/>
      <c r="BY14" s="57"/>
      <c r="BZ14" s="57"/>
      <c r="CA14" s="57"/>
      <c r="CB14" s="57"/>
      <c r="CC14" s="57"/>
      <c r="CD14" s="57"/>
      <c r="CE14" s="57"/>
      <c r="CF14" s="57"/>
      <c r="CG14" s="57"/>
      <c r="CH14" s="57"/>
      <c r="CI14" s="58"/>
    </row>
    <row r="15" spans="1:87" x14ac:dyDescent="0.4">
      <c r="A15" s="13" t="str">
        <f t="shared" si="6"/>
        <v/>
      </c>
      <c r="B15" s="27" t="str">
        <f t="shared" si="7"/>
        <v/>
      </c>
      <c r="C15" s="27" t="str">
        <f t="shared" si="8"/>
        <v/>
      </c>
      <c r="D15" s="27" t="str">
        <f t="shared" si="9"/>
        <v/>
      </c>
      <c r="E15" s="4"/>
      <c r="F15" s="8"/>
      <c r="G15" s="9"/>
      <c r="H15" s="9"/>
      <c r="I15" s="64"/>
      <c r="J15" s="30" t="str">
        <f t="shared" si="2"/>
        <v/>
      </c>
      <c r="K15" s="8"/>
      <c r="L15" s="9"/>
      <c r="M15" s="9"/>
      <c r="N15" s="64"/>
      <c r="O15" s="30" t="str">
        <f t="shared" si="3"/>
        <v/>
      </c>
      <c r="P15" s="8"/>
      <c r="Q15" s="9"/>
      <c r="R15" s="9"/>
      <c r="S15" s="64"/>
      <c r="T15" s="30" t="str">
        <f t="shared" si="4"/>
        <v/>
      </c>
      <c r="U15" s="20" t="str">
        <f t="shared" si="5"/>
        <v/>
      </c>
      <c r="V15" s="21" t="str">
        <f t="shared" si="0"/>
        <v/>
      </c>
      <c r="W15" s="22" t="str">
        <f t="shared" si="1"/>
        <v/>
      </c>
      <c r="Y15" s="8"/>
      <c r="Z15" s="50"/>
      <c r="AA15" s="41"/>
      <c r="AB15" s="41"/>
      <c r="AC15" s="41"/>
      <c r="AD15" s="45"/>
      <c r="AE15" s="56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8"/>
      <c r="AT15" s="8"/>
      <c r="AU15" s="50"/>
      <c r="AV15" s="41"/>
      <c r="AW15" s="41"/>
      <c r="AX15" s="41"/>
      <c r="AY15" s="45"/>
      <c r="AZ15" s="56"/>
      <c r="BA15" s="57"/>
      <c r="BB15" s="57"/>
      <c r="BC15" s="57"/>
      <c r="BD15" s="57"/>
      <c r="BE15" s="57"/>
      <c r="BF15" s="57"/>
      <c r="BG15" s="57"/>
      <c r="BH15" s="57"/>
      <c r="BI15" s="57"/>
      <c r="BJ15" s="57"/>
      <c r="BK15" s="57"/>
      <c r="BL15" s="57"/>
      <c r="BM15" s="57"/>
      <c r="BN15" s="58"/>
      <c r="BO15" s="8"/>
      <c r="BP15" s="50"/>
      <c r="BQ15" s="41"/>
      <c r="BR15" s="41"/>
      <c r="BS15" s="41"/>
      <c r="BT15" s="45"/>
      <c r="BU15" s="56"/>
      <c r="BV15" s="57"/>
      <c r="BW15" s="57"/>
      <c r="BX15" s="57"/>
      <c r="BY15" s="57"/>
      <c r="BZ15" s="57"/>
      <c r="CA15" s="57"/>
      <c r="CB15" s="57"/>
      <c r="CC15" s="57"/>
      <c r="CD15" s="57"/>
      <c r="CE15" s="57"/>
      <c r="CF15" s="57"/>
      <c r="CG15" s="57"/>
      <c r="CH15" s="57"/>
      <c r="CI15" s="58"/>
    </row>
    <row r="16" spans="1:87" x14ac:dyDescent="0.4">
      <c r="A16" s="13" t="str">
        <f t="shared" si="6"/>
        <v/>
      </c>
      <c r="B16" s="27" t="str">
        <f t="shared" si="7"/>
        <v/>
      </c>
      <c r="C16" s="27" t="str">
        <f t="shared" si="8"/>
        <v/>
      </c>
      <c r="D16" s="27" t="str">
        <f t="shared" si="9"/>
        <v/>
      </c>
      <c r="E16" s="4"/>
      <c r="F16" s="8"/>
      <c r="G16" s="9"/>
      <c r="H16" s="9"/>
      <c r="I16" s="64"/>
      <c r="J16" s="30" t="str">
        <f t="shared" si="2"/>
        <v/>
      </c>
      <c r="K16" s="8"/>
      <c r="L16" s="9"/>
      <c r="M16" s="9"/>
      <c r="N16" s="64"/>
      <c r="O16" s="30" t="str">
        <f t="shared" si="3"/>
        <v/>
      </c>
      <c r="P16" s="8"/>
      <c r="Q16" s="9"/>
      <c r="R16" s="9"/>
      <c r="S16" s="64"/>
      <c r="T16" s="30" t="str">
        <f t="shared" si="4"/>
        <v/>
      </c>
      <c r="U16" s="20" t="str">
        <f t="shared" si="5"/>
        <v/>
      </c>
      <c r="V16" s="21" t="str">
        <f t="shared" si="0"/>
        <v/>
      </c>
      <c r="W16" s="22" t="str">
        <f t="shared" si="1"/>
        <v/>
      </c>
      <c r="Y16" s="8"/>
      <c r="Z16" s="50"/>
      <c r="AA16" s="41"/>
      <c r="AB16" s="41"/>
      <c r="AC16" s="41"/>
      <c r="AD16" s="45"/>
      <c r="AE16" s="56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8"/>
      <c r="AT16" s="8"/>
      <c r="AU16" s="50"/>
      <c r="AV16" s="41"/>
      <c r="AW16" s="41"/>
      <c r="AX16" s="41"/>
      <c r="AY16" s="45"/>
      <c r="AZ16" s="56"/>
      <c r="BA16" s="57"/>
      <c r="BB16" s="57"/>
      <c r="BC16" s="57"/>
      <c r="BD16" s="57"/>
      <c r="BE16" s="57"/>
      <c r="BF16" s="57"/>
      <c r="BG16" s="57"/>
      <c r="BH16" s="57"/>
      <c r="BI16" s="57"/>
      <c r="BJ16" s="57"/>
      <c r="BK16" s="57"/>
      <c r="BL16" s="57"/>
      <c r="BM16" s="57"/>
      <c r="BN16" s="58"/>
      <c r="BO16" s="8"/>
      <c r="BP16" s="50"/>
      <c r="BQ16" s="41"/>
      <c r="BR16" s="41"/>
      <c r="BS16" s="41"/>
      <c r="BT16" s="45"/>
      <c r="BU16" s="56"/>
      <c r="BV16" s="57"/>
      <c r="BW16" s="57"/>
      <c r="BX16" s="57"/>
      <c r="BY16" s="57"/>
      <c r="BZ16" s="57"/>
      <c r="CA16" s="57"/>
      <c r="CB16" s="57"/>
      <c r="CC16" s="57"/>
      <c r="CD16" s="57"/>
      <c r="CE16" s="57"/>
      <c r="CF16" s="57"/>
      <c r="CG16" s="57"/>
      <c r="CH16" s="57"/>
      <c r="CI16" s="58"/>
    </row>
    <row r="17" spans="1:87" x14ac:dyDescent="0.4">
      <c r="A17" s="13" t="str">
        <f t="shared" si="6"/>
        <v/>
      </c>
      <c r="B17" s="27" t="str">
        <f t="shared" si="7"/>
        <v/>
      </c>
      <c r="C17" s="27" t="str">
        <f t="shared" si="8"/>
        <v/>
      </c>
      <c r="D17" s="27" t="str">
        <f t="shared" si="9"/>
        <v/>
      </c>
      <c r="E17" s="4"/>
      <c r="F17" s="8"/>
      <c r="G17" s="9"/>
      <c r="H17" s="9"/>
      <c r="I17" s="64"/>
      <c r="J17" s="30" t="str">
        <f t="shared" si="2"/>
        <v/>
      </c>
      <c r="K17" s="8"/>
      <c r="L17" s="9"/>
      <c r="M17" s="9"/>
      <c r="N17" s="64"/>
      <c r="O17" s="30" t="str">
        <f t="shared" si="3"/>
        <v/>
      </c>
      <c r="P17" s="8"/>
      <c r="Q17" s="9"/>
      <c r="R17" s="9"/>
      <c r="S17" s="64"/>
      <c r="T17" s="30" t="str">
        <f t="shared" si="4"/>
        <v/>
      </c>
      <c r="U17" s="20" t="str">
        <f t="shared" si="5"/>
        <v/>
      </c>
      <c r="V17" s="21" t="str">
        <f t="shared" si="0"/>
        <v/>
      </c>
      <c r="W17" s="22" t="str">
        <f t="shared" si="1"/>
        <v/>
      </c>
      <c r="Y17" s="8"/>
      <c r="Z17" s="50"/>
      <c r="AA17" s="41"/>
      <c r="AB17" s="41"/>
      <c r="AC17" s="41"/>
      <c r="AD17" s="45"/>
      <c r="AE17" s="56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8"/>
      <c r="AT17" s="8"/>
      <c r="AU17" s="50"/>
      <c r="AV17" s="41"/>
      <c r="AW17" s="41"/>
      <c r="AX17" s="41"/>
      <c r="AY17" s="45"/>
      <c r="AZ17" s="56"/>
      <c r="BA17" s="57"/>
      <c r="BB17" s="57"/>
      <c r="BC17" s="57"/>
      <c r="BD17" s="57"/>
      <c r="BE17" s="57"/>
      <c r="BF17" s="57"/>
      <c r="BG17" s="57"/>
      <c r="BH17" s="57"/>
      <c r="BI17" s="57"/>
      <c r="BJ17" s="57"/>
      <c r="BK17" s="57"/>
      <c r="BL17" s="57"/>
      <c r="BM17" s="57"/>
      <c r="BN17" s="58"/>
      <c r="BO17" s="8"/>
      <c r="BP17" s="50"/>
      <c r="BQ17" s="41"/>
      <c r="BR17" s="41"/>
      <c r="BS17" s="41"/>
      <c r="BT17" s="45"/>
      <c r="BU17" s="56"/>
      <c r="BV17" s="57"/>
      <c r="BW17" s="57"/>
      <c r="BX17" s="57"/>
      <c r="BY17" s="57"/>
      <c r="BZ17" s="57"/>
      <c r="CA17" s="57"/>
      <c r="CB17" s="57"/>
      <c r="CC17" s="57"/>
      <c r="CD17" s="57"/>
      <c r="CE17" s="57"/>
      <c r="CF17" s="57"/>
      <c r="CG17" s="57"/>
      <c r="CH17" s="57"/>
      <c r="CI17" s="58"/>
    </row>
    <row r="18" spans="1:87" x14ac:dyDescent="0.4">
      <c r="A18" s="13" t="str">
        <f t="shared" si="6"/>
        <v/>
      </c>
      <c r="B18" s="27" t="str">
        <f t="shared" si="7"/>
        <v/>
      </c>
      <c r="C18" s="27" t="str">
        <f t="shared" si="8"/>
        <v/>
      </c>
      <c r="D18" s="27" t="str">
        <f t="shared" si="9"/>
        <v/>
      </c>
      <c r="E18" s="4"/>
      <c r="F18" s="8"/>
      <c r="G18" s="9"/>
      <c r="H18" s="9"/>
      <c r="I18" s="64"/>
      <c r="J18" s="30" t="str">
        <f t="shared" si="2"/>
        <v/>
      </c>
      <c r="K18" s="8"/>
      <c r="L18" s="9"/>
      <c r="M18" s="9"/>
      <c r="N18" s="64"/>
      <c r="O18" s="30" t="str">
        <f t="shared" si="3"/>
        <v/>
      </c>
      <c r="P18" s="8"/>
      <c r="Q18" s="9"/>
      <c r="R18" s="9"/>
      <c r="S18" s="64"/>
      <c r="T18" s="30" t="str">
        <f t="shared" si="4"/>
        <v/>
      </c>
      <c r="U18" s="20" t="str">
        <f t="shared" si="5"/>
        <v/>
      </c>
      <c r="V18" s="21" t="str">
        <f t="shared" si="0"/>
        <v/>
      </c>
      <c r="W18" s="22" t="str">
        <f t="shared" si="1"/>
        <v/>
      </c>
      <c r="Y18" s="8"/>
      <c r="Z18" s="50"/>
      <c r="AA18" s="41"/>
      <c r="AB18" s="41"/>
      <c r="AC18" s="41"/>
      <c r="AD18" s="45"/>
      <c r="AE18" s="56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8"/>
      <c r="AT18" s="8"/>
      <c r="AU18" s="50"/>
      <c r="AV18" s="41"/>
      <c r="AW18" s="41"/>
      <c r="AX18" s="41"/>
      <c r="AY18" s="45"/>
      <c r="AZ18" s="56"/>
      <c r="BA18" s="57"/>
      <c r="BB18" s="57"/>
      <c r="BC18" s="57"/>
      <c r="BD18" s="57"/>
      <c r="BE18" s="57"/>
      <c r="BF18" s="57"/>
      <c r="BG18" s="57"/>
      <c r="BH18" s="57"/>
      <c r="BI18" s="57"/>
      <c r="BJ18" s="57"/>
      <c r="BK18" s="57"/>
      <c r="BL18" s="57"/>
      <c r="BM18" s="57"/>
      <c r="BN18" s="58"/>
      <c r="BO18" s="8"/>
      <c r="BP18" s="50"/>
      <c r="BQ18" s="41"/>
      <c r="BR18" s="41"/>
      <c r="BS18" s="41"/>
      <c r="BT18" s="45"/>
      <c r="BU18" s="56"/>
      <c r="BV18" s="57"/>
      <c r="BW18" s="57"/>
      <c r="BX18" s="57"/>
      <c r="BY18" s="57"/>
      <c r="BZ18" s="57"/>
      <c r="CA18" s="57"/>
      <c r="CB18" s="57"/>
      <c r="CC18" s="57"/>
      <c r="CD18" s="57"/>
      <c r="CE18" s="57"/>
      <c r="CF18" s="57"/>
      <c r="CG18" s="57"/>
      <c r="CH18" s="57"/>
      <c r="CI18" s="58"/>
    </row>
    <row r="19" spans="1:87" x14ac:dyDescent="0.4">
      <c r="A19" s="13" t="str">
        <f t="shared" si="6"/>
        <v/>
      </c>
      <c r="B19" s="27" t="str">
        <f t="shared" si="7"/>
        <v/>
      </c>
      <c r="C19" s="27" t="str">
        <f t="shared" si="8"/>
        <v/>
      </c>
      <c r="D19" s="27" t="str">
        <f t="shared" si="9"/>
        <v/>
      </c>
      <c r="E19" s="4"/>
      <c r="F19" s="8"/>
      <c r="G19" s="9"/>
      <c r="H19" s="9"/>
      <c r="I19" s="64"/>
      <c r="J19" s="30" t="str">
        <f t="shared" si="2"/>
        <v/>
      </c>
      <c r="K19" s="8"/>
      <c r="L19" s="9"/>
      <c r="M19" s="9"/>
      <c r="N19" s="64"/>
      <c r="O19" s="30" t="str">
        <f t="shared" si="3"/>
        <v/>
      </c>
      <c r="P19" s="8"/>
      <c r="Q19" s="9"/>
      <c r="R19" s="9"/>
      <c r="S19" s="64"/>
      <c r="T19" s="30" t="str">
        <f t="shared" si="4"/>
        <v/>
      </c>
      <c r="U19" s="20" t="str">
        <f t="shared" si="5"/>
        <v/>
      </c>
      <c r="V19" s="21" t="str">
        <f t="shared" si="0"/>
        <v/>
      </c>
      <c r="W19" s="22" t="str">
        <f t="shared" si="1"/>
        <v/>
      </c>
      <c r="Y19" s="8"/>
      <c r="Z19" s="50"/>
      <c r="AA19" s="41"/>
      <c r="AB19" s="41"/>
      <c r="AC19" s="41"/>
      <c r="AD19" s="45"/>
      <c r="AE19" s="56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8"/>
      <c r="AT19" s="8"/>
      <c r="AU19" s="50"/>
      <c r="AV19" s="41"/>
      <c r="AW19" s="41"/>
      <c r="AX19" s="41"/>
      <c r="AY19" s="45"/>
      <c r="AZ19" s="56"/>
      <c r="BA19" s="57"/>
      <c r="BB19" s="57"/>
      <c r="BC19" s="57"/>
      <c r="BD19" s="57"/>
      <c r="BE19" s="57"/>
      <c r="BF19" s="57"/>
      <c r="BG19" s="57"/>
      <c r="BH19" s="57"/>
      <c r="BI19" s="57"/>
      <c r="BJ19" s="57"/>
      <c r="BK19" s="57"/>
      <c r="BL19" s="57"/>
      <c r="BM19" s="57"/>
      <c r="BN19" s="58"/>
      <c r="BO19" s="8"/>
      <c r="BP19" s="50"/>
      <c r="BQ19" s="41"/>
      <c r="BR19" s="41"/>
      <c r="BS19" s="41"/>
      <c r="BT19" s="45"/>
      <c r="BU19" s="56"/>
      <c r="BV19" s="57"/>
      <c r="BW19" s="57"/>
      <c r="BX19" s="57"/>
      <c r="BY19" s="57"/>
      <c r="BZ19" s="57"/>
      <c r="CA19" s="57"/>
      <c r="CB19" s="57"/>
      <c r="CC19" s="57"/>
      <c r="CD19" s="57"/>
      <c r="CE19" s="57"/>
      <c r="CF19" s="57"/>
      <c r="CG19" s="57"/>
      <c r="CH19" s="57"/>
      <c r="CI19" s="58"/>
    </row>
    <row r="20" spans="1:87" x14ac:dyDescent="0.4">
      <c r="A20" s="13" t="str">
        <f t="shared" si="6"/>
        <v/>
      </c>
      <c r="B20" s="27" t="str">
        <f t="shared" si="7"/>
        <v/>
      </c>
      <c r="C20" s="27" t="str">
        <f t="shared" si="8"/>
        <v/>
      </c>
      <c r="D20" s="27" t="str">
        <f t="shared" si="9"/>
        <v/>
      </c>
      <c r="E20" s="4"/>
      <c r="F20" s="8"/>
      <c r="G20" s="9"/>
      <c r="H20" s="9"/>
      <c r="I20" s="64"/>
      <c r="J20" s="30" t="str">
        <f t="shared" si="2"/>
        <v/>
      </c>
      <c r="K20" s="8"/>
      <c r="L20" s="9"/>
      <c r="M20" s="9"/>
      <c r="N20" s="64"/>
      <c r="O20" s="30" t="str">
        <f t="shared" si="3"/>
        <v/>
      </c>
      <c r="P20" s="8"/>
      <c r="Q20" s="9"/>
      <c r="R20" s="9"/>
      <c r="S20" s="64"/>
      <c r="T20" s="30" t="str">
        <f t="shared" si="4"/>
        <v/>
      </c>
      <c r="U20" s="20" t="str">
        <f t="shared" si="5"/>
        <v/>
      </c>
      <c r="V20" s="21" t="str">
        <f t="shared" si="0"/>
        <v/>
      </c>
      <c r="W20" s="22" t="str">
        <f t="shared" si="1"/>
        <v/>
      </c>
      <c r="Y20" s="8"/>
      <c r="Z20" s="50"/>
      <c r="AA20" s="41"/>
      <c r="AB20" s="41"/>
      <c r="AC20" s="41"/>
      <c r="AD20" s="45"/>
      <c r="AE20" s="56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8"/>
      <c r="AT20" s="8"/>
      <c r="AU20" s="50"/>
      <c r="AV20" s="41"/>
      <c r="AW20" s="41"/>
      <c r="AX20" s="41"/>
      <c r="AY20" s="45"/>
      <c r="AZ20" s="56"/>
      <c r="BA20" s="57"/>
      <c r="BB20" s="57"/>
      <c r="BC20" s="57"/>
      <c r="BD20" s="57"/>
      <c r="BE20" s="57"/>
      <c r="BF20" s="57"/>
      <c r="BG20" s="57"/>
      <c r="BH20" s="57"/>
      <c r="BI20" s="57"/>
      <c r="BJ20" s="57"/>
      <c r="BK20" s="57"/>
      <c r="BL20" s="57"/>
      <c r="BM20" s="57"/>
      <c r="BN20" s="58"/>
      <c r="BO20" s="8"/>
      <c r="BP20" s="50"/>
      <c r="BQ20" s="41"/>
      <c r="BR20" s="41"/>
      <c r="BS20" s="41"/>
      <c r="BT20" s="45"/>
      <c r="BU20" s="56"/>
      <c r="BV20" s="57"/>
      <c r="BW20" s="57"/>
      <c r="BX20" s="57"/>
      <c r="BY20" s="57"/>
      <c r="BZ20" s="57"/>
      <c r="CA20" s="57"/>
      <c r="CB20" s="57"/>
      <c r="CC20" s="57"/>
      <c r="CD20" s="57"/>
      <c r="CE20" s="57"/>
      <c r="CF20" s="57"/>
      <c r="CG20" s="57"/>
      <c r="CH20" s="57"/>
      <c r="CI20" s="58"/>
    </row>
    <row r="21" spans="1:87" x14ac:dyDescent="0.4">
      <c r="A21" s="13" t="str">
        <f t="shared" si="6"/>
        <v/>
      </c>
      <c r="B21" s="27" t="str">
        <f t="shared" si="7"/>
        <v/>
      </c>
      <c r="C21" s="27" t="str">
        <f t="shared" si="8"/>
        <v/>
      </c>
      <c r="D21" s="27" t="str">
        <f t="shared" si="9"/>
        <v/>
      </c>
      <c r="E21" s="4"/>
      <c r="F21" s="8"/>
      <c r="G21" s="9"/>
      <c r="H21" s="9"/>
      <c r="I21" s="64"/>
      <c r="J21" s="30" t="str">
        <f t="shared" si="2"/>
        <v/>
      </c>
      <c r="K21" s="8"/>
      <c r="L21" s="9"/>
      <c r="M21" s="9"/>
      <c r="N21" s="64"/>
      <c r="O21" s="30" t="str">
        <f t="shared" si="3"/>
        <v/>
      </c>
      <c r="P21" s="8"/>
      <c r="Q21" s="9"/>
      <c r="R21" s="9"/>
      <c r="S21" s="64"/>
      <c r="T21" s="30" t="str">
        <f t="shared" si="4"/>
        <v/>
      </c>
      <c r="U21" s="20" t="str">
        <f t="shared" si="5"/>
        <v/>
      </c>
      <c r="V21" s="21" t="str">
        <f t="shared" si="0"/>
        <v/>
      </c>
      <c r="W21" s="22" t="str">
        <f t="shared" si="1"/>
        <v/>
      </c>
      <c r="Y21" s="8"/>
      <c r="Z21" s="50"/>
      <c r="AA21" s="41"/>
      <c r="AB21" s="41"/>
      <c r="AC21" s="41"/>
      <c r="AD21" s="45"/>
      <c r="AE21" s="56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8"/>
      <c r="AT21" s="8"/>
      <c r="AU21" s="50"/>
      <c r="AV21" s="41"/>
      <c r="AW21" s="41"/>
      <c r="AX21" s="41"/>
      <c r="AY21" s="45"/>
      <c r="AZ21" s="56"/>
      <c r="BA21" s="57"/>
      <c r="BB21" s="57"/>
      <c r="BC21" s="57"/>
      <c r="BD21" s="57"/>
      <c r="BE21" s="57"/>
      <c r="BF21" s="57"/>
      <c r="BG21" s="57"/>
      <c r="BH21" s="57"/>
      <c r="BI21" s="57"/>
      <c r="BJ21" s="57"/>
      <c r="BK21" s="57"/>
      <c r="BL21" s="57"/>
      <c r="BM21" s="57"/>
      <c r="BN21" s="58"/>
      <c r="BO21" s="8"/>
      <c r="BP21" s="50"/>
      <c r="BQ21" s="41"/>
      <c r="BR21" s="41"/>
      <c r="BS21" s="41"/>
      <c r="BT21" s="45"/>
      <c r="BU21" s="56"/>
      <c r="BV21" s="57"/>
      <c r="BW21" s="57"/>
      <c r="BX21" s="57"/>
      <c r="BY21" s="57"/>
      <c r="BZ21" s="57"/>
      <c r="CA21" s="57"/>
      <c r="CB21" s="57"/>
      <c r="CC21" s="57"/>
      <c r="CD21" s="57"/>
      <c r="CE21" s="57"/>
      <c r="CF21" s="57"/>
      <c r="CG21" s="57"/>
      <c r="CH21" s="57"/>
      <c r="CI21" s="58"/>
    </row>
    <row r="22" spans="1:87" x14ac:dyDescent="0.4">
      <c r="A22" s="13" t="str">
        <f t="shared" si="6"/>
        <v/>
      </c>
      <c r="B22" s="27" t="str">
        <f t="shared" si="7"/>
        <v/>
      </c>
      <c r="C22" s="27" t="str">
        <f t="shared" si="8"/>
        <v/>
      </c>
      <c r="D22" s="27" t="str">
        <f t="shared" si="9"/>
        <v/>
      </c>
      <c r="E22" s="4"/>
      <c r="F22" s="8"/>
      <c r="G22" s="9"/>
      <c r="H22" s="9"/>
      <c r="I22" s="64"/>
      <c r="J22" s="30" t="str">
        <f t="shared" si="2"/>
        <v/>
      </c>
      <c r="K22" s="8"/>
      <c r="L22" s="9"/>
      <c r="M22" s="9"/>
      <c r="N22" s="64"/>
      <c r="O22" s="30" t="str">
        <f t="shared" si="3"/>
        <v/>
      </c>
      <c r="P22" s="8"/>
      <c r="Q22" s="9"/>
      <c r="R22" s="9"/>
      <c r="S22" s="64"/>
      <c r="T22" s="30" t="str">
        <f t="shared" si="4"/>
        <v/>
      </c>
      <c r="U22" s="20" t="str">
        <f t="shared" si="5"/>
        <v/>
      </c>
      <c r="V22" s="21" t="str">
        <f t="shared" si="0"/>
        <v/>
      </c>
      <c r="W22" s="22" t="str">
        <f t="shared" si="1"/>
        <v/>
      </c>
      <c r="Y22" s="8"/>
      <c r="Z22" s="50"/>
      <c r="AA22" s="41"/>
      <c r="AB22" s="41"/>
      <c r="AC22" s="41"/>
      <c r="AD22" s="45"/>
      <c r="AE22" s="56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8"/>
      <c r="AT22" s="8"/>
      <c r="AU22" s="50"/>
      <c r="AV22" s="41"/>
      <c r="AW22" s="41"/>
      <c r="AX22" s="41"/>
      <c r="AY22" s="45"/>
      <c r="AZ22" s="56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8"/>
      <c r="BO22" s="8"/>
      <c r="BP22" s="50"/>
      <c r="BQ22" s="41"/>
      <c r="BR22" s="41"/>
      <c r="BS22" s="41"/>
      <c r="BT22" s="45"/>
      <c r="BU22" s="56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8"/>
    </row>
    <row r="23" spans="1:87" x14ac:dyDescent="0.4">
      <c r="A23" s="13" t="str">
        <f t="shared" si="6"/>
        <v/>
      </c>
      <c r="B23" s="27" t="str">
        <f t="shared" si="7"/>
        <v/>
      </c>
      <c r="C23" s="27" t="str">
        <f t="shared" si="8"/>
        <v/>
      </c>
      <c r="D23" s="27" t="str">
        <f t="shared" si="9"/>
        <v/>
      </c>
      <c r="E23" s="4"/>
      <c r="F23" s="8"/>
      <c r="G23" s="9"/>
      <c r="H23" s="9"/>
      <c r="I23" s="64"/>
      <c r="J23" s="30" t="str">
        <f t="shared" si="2"/>
        <v/>
      </c>
      <c r="K23" s="8"/>
      <c r="L23" s="9"/>
      <c r="M23" s="9"/>
      <c r="N23" s="64"/>
      <c r="O23" s="30" t="str">
        <f t="shared" si="3"/>
        <v/>
      </c>
      <c r="P23" s="8"/>
      <c r="Q23" s="9"/>
      <c r="R23" s="9"/>
      <c r="S23" s="64"/>
      <c r="T23" s="30" t="str">
        <f t="shared" si="4"/>
        <v/>
      </c>
      <c r="U23" s="20" t="str">
        <f t="shared" si="5"/>
        <v/>
      </c>
      <c r="V23" s="21" t="str">
        <f t="shared" si="0"/>
        <v/>
      </c>
      <c r="W23" s="22" t="str">
        <f t="shared" si="1"/>
        <v/>
      </c>
      <c r="Y23" s="8"/>
      <c r="Z23" s="50"/>
      <c r="AA23" s="41"/>
      <c r="AB23" s="41"/>
      <c r="AC23" s="41"/>
      <c r="AD23" s="45"/>
      <c r="AE23" s="56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8"/>
      <c r="AT23" s="8"/>
      <c r="AU23" s="50"/>
      <c r="AV23" s="41"/>
      <c r="AW23" s="41"/>
      <c r="AX23" s="41"/>
      <c r="AY23" s="45"/>
      <c r="AZ23" s="56"/>
      <c r="BA23" s="57"/>
      <c r="BB23" s="57"/>
      <c r="BC23" s="57"/>
      <c r="BD23" s="57"/>
      <c r="BE23" s="57"/>
      <c r="BF23" s="57"/>
      <c r="BG23" s="57"/>
      <c r="BH23" s="57"/>
      <c r="BI23" s="57"/>
      <c r="BJ23" s="57"/>
      <c r="BK23" s="57"/>
      <c r="BL23" s="57"/>
      <c r="BM23" s="57"/>
      <c r="BN23" s="58"/>
      <c r="BO23" s="8"/>
      <c r="BP23" s="50"/>
      <c r="BQ23" s="41"/>
      <c r="BR23" s="41"/>
      <c r="BS23" s="41"/>
      <c r="BT23" s="45"/>
      <c r="BU23" s="56"/>
      <c r="BV23" s="57"/>
      <c r="BW23" s="57"/>
      <c r="BX23" s="57"/>
      <c r="BY23" s="57"/>
      <c r="BZ23" s="57"/>
      <c r="CA23" s="57"/>
      <c r="CB23" s="57"/>
      <c r="CC23" s="57"/>
      <c r="CD23" s="57"/>
      <c r="CE23" s="57"/>
      <c r="CF23" s="57"/>
      <c r="CG23" s="57"/>
      <c r="CH23" s="57"/>
      <c r="CI23" s="58"/>
    </row>
    <row r="24" spans="1:87" x14ac:dyDescent="0.4">
      <c r="A24" s="13" t="str">
        <f t="shared" si="6"/>
        <v/>
      </c>
      <c r="B24" s="27" t="str">
        <f t="shared" si="7"/>
        <v/>
      </c>
      <c r="C24" s="27" t="str">
        <f t="shared" si="8"/>
        <v/>
      </c>
      <c r="D24" s="27" t="str">
        <f t="shared" si="9"/>
        <v/>
      </c>
      <c r="E24" s="4"/>
      <c r="F24" s="8"/>
      <c r="G24" s="9"/>
      <c r="H24" s="9"/>
      <c r="I24" s="64"/>
      <c r="J24" s="30" t="str">
        <f t="shared" si="2"/>
        <v/>
      </c>
      <c r="K24" s="8"/>
      <c r="L24" s="9"/>
      <c r="M24" s="9"/>
      <c r="N24" s="64"/>
      <c r="O24" s="30" t="str">
        <f t="shared" si="3"/>
        <v/>
      </c>
      <c r="P24" s="8"/>
      <c r="Q24" s="9"/>
      <c r="R24" s="9"/>
      <c r="S24" s="64"/>
      <c r="T24" s="30" t="str">
        <f t="shared" si="4"/>
        <v/>
      </c>
      <c r="U24" s="20" t="str">
        <f t="shared" si="5"/>
        <v/>
      </c>
      <c r="V24" s="21" t="str">
        <f t="shared" si="0"/>
        <v/>
      </c>
      <c r="W24" s="22" t="str">
        <f t="shared" si="1"/>
        <v/>
      </c>
      <c r="Y24" s="8"/>
      <c r="Z24" s="50"/>
      <c r="AA24" s="41"/>
      <c r="AB24" s="41"/>
      <c r="AC24" s="41"/>
      <c r="AD24" s="45"/>
      <c r="AE24" s="56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8"/>
      <c r="AT24" s="8"/>
      <c r="AU24" s="50"/>
      <c r="AV24" s="41"/>
      <c r="AW24" s="41"/>
      <c r="AX24" s="41"/>
      <c r="AY24" s="45"/>
      <c r="AZ24" s="56"/>
      <c r="BA24" s="57"/>
      <c r="BB24" s="57"/>
      <c r="BC24" s="57"/>
      <c r="BD24" s="57"/>
      <c r="BE24" s="57"/>
      <c r="BF24" s="57"/>
      <c r="BG24" s="57"/>
      <c r="BH24" s="57"/>
      <c r="BI24" s="57"/>
      <c r="BJ24" s="57"/>
      <c r="BK24" s="57"/>
      <c r="BL24" s="57"/>
      <c r="BM24" s="57"/>
      <c r="BN24" s="58"/>
      <c r="BO24" s="8"/>
      <c r="BP24" s="50"/>
      <c r="BQ24" s="41"/>
      <c r="BR24" s="41"/>
      <c r="BS24" s="41"/>
      <c r="BT24" s="45"/>
      <c r="BU24" s="56"/>
      <c r="BV24" s="57"/>
      <c r="BW24" s="57"/>
      <c r="BX24" s="57"/>
      <c r="BY24" s="57"/>
      <c r="BZ24" s="57"/>
      <c r="CA24" s="57"/>
      <c r="CB24" s="57"/>
      <c r="CC24" s="57"/>
      <c r="CD24" s="57"/>
      <c r="CE24" s="57"/>
      <c r="CF24" s="57"/>
      <c r="CG24" s="57"/>
      <c r="CH24" s="57"/>
      <c r="CI24" s="58"/>
    </row>
    <row r="25" spans="1:87" x14ac:dyDescent="0.4">
      <c r="A25" s="13" t="str">
        <f t="shared" si="6"/>
        <v/>
      </c>
      <c r="B25" s="27" t="str">
        <f t="shared" si="7"/>
        <v/>
      </c>
      <c r="C25" s="27" t="str">
        <f t="shared" si="8"/>
        <v/>
      </c>
      <c r="D25" s="27" t="str">
        <f t="shared" si="9"/>
        <v/>
      </c>
      <c r="E25" s="4"/>
      <c r="F25" s="8"/>
      <c r="G25" s="9"/>
      <c r="H25" s="9"/>
      <c r="I25" s="64"/>
      <c r="J25" s="30" t="str">
        <f t="shared" si="2"/>
        <v/>
      </c>
      <c r="K25" s="8"/>
      <c r="L25" s="9"/>
      <c r="M25" s="9"/>
      <c r="N25" s="64"/>
      <c r="O25" s="30" t="str">
        <f t="shared" si="3"/>
        <v/>
      </c>
      <c r="P25" s="8"/>
      <c r="Q25" s="9"/>
      <c r="R25" s="9"/>
      <c r="S25" s="64"/>
      <c r="T25" s="30" t="str">
        <f t="shared" si="4"/>
        <v/>
      </c>
      <c r="U25" s="20" t="str">
        <f t="shared" si="5"/>
        <v/>
      </c>
      <c r="V25" s="21" t="str">
        <f t="shared" si="0"/>
        <v/>
      </c>
      <c r="W25" s="22" t="str">
        <f t="shared" si="1"/>
        <v/>
      </c>
      <c r="Y25" s="8"/>
      <c r="Z25" s="50"/>
      <c r="AA25" s="41"/>
      <c r="AB25" s="41"/>
      <c r="AC25" s="41"/>
      <c r="AD25" s="45"/>
      <c r="AE25" s="56"/>
      <c r="AF25" s="57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8"/>
      <c r="AT25" s="8"/>
      <c r="AU25" s="50"/>
      <c r="AV25" s="41"/>
      <c r="AW25" s="41"/>
      <c r="AX25" s="41"/>
      <c r="AY25" s="45"/>
      <c r="AZ25" s="56"/>
      <c r="BA25" s="57"/>
      <c r="BB25" s="57"/>
      <c r="BC25" s="57"/>
      <c r="BD25" s="57"/>
      <c r="BE25" s="57"/>
      <c r="BF25" s="57"/>
      <c r="BG25" s="57"/>
      <c r="BH25" s="57"/>
      <c r="BI25" s="57"/>
      <c r="BJ25" s="57"/>
      <c r="BK25" s="57"/>
      <c r="BL25" s="57"/>
      <c r="BM25" s="57"/>
      <c r="BN25" s="58"/>
      <c r="BO25" s="8"/>
      <c r="BP25" s="50"/>
      <c r="BQ25" s="41"/>
      <c r="BR25" s="41"/>
      <c r="BS25" s="41"/>
      <c r="BT25" s="45"/>
      <c r="BU25" s="56"/>
      <c r="BV25" s="57"/>
      <c r="BW25" s="57"/>
      <c r="BX25" s="57"/>
      <c r="BY25" s="57"/>
      <c r="BZ25" s="57"/>
      <c r="CA25" s="57"/>
      <c r="CB25" s="57"/>
      <c r="CC25" s="57"/>
      <c r="CD25" s="57"/>
      <c r="CE25" s="57"/>
      <c r="CF25" s="57"/>
      <c r="CG25" s="57"/>
      <c r="CH25" s="57"/>
      <c r="CI25" s="58"/>
    </row>
    <row r="26" spans="1:87" x14ac:dyDescent="0.4">
      <c r="A26" s="13" t="str">
        <f t="shared" si="6"/>
        <v/>
      </c>
      <c r="B26" s="27" t="str">
        <f t="shared" si="7"/>
        <v/>
      </c>
      <c r="C26" s="27" t="str">
        <f t="shared" si="8"/>
        <v/>
      </c>
      <c r="D26" s="27" t="str">
        <f t="shared" si="9"/>
        <v/>
      </c>
      <c r="E26" s="4"/>
      <c r="F26" s="8"/>
      <c r="G26" s="9"/>
      <c r="H26" s="9"/>
      <c r="I26" s="64"/>
      <c r="J26" s="30" t="str">
        <f t="shared" si="2"/>
        <v/>
      </c>
      <c r="K26" s="8"/>
      <c r="L26" s="9"/>
      <c r="M26" s="9"/>
      <c r="N26" s="64"/>
      <c r="O26" s="30" t="str">
        <f t="shared" si="3"/>
        <v/>
      </c>
      <c r="P26" s="8"/>
      <c r="Q26" s="9"/>
      <c r="R26" s="9"/>
      <c r="S26" s="64"/>
      <c r="T26" s="30" t="str">
        <f t="shared" si="4"/>
        <v/>
      </c>
      <c r="U26" s="20" t="str">
        <f t="shared" si="5"/>
        <v/>
      </c>
      <c r="V26" s="21" t="str">
        <f t="shared" si="0"/>
        <v/>
      </c>
      <c r="W26" s="22" t="str">
        <f t="shared" si="1"/>
        <v/>
      </c>
      <c r="Y26" s="8"/>
      <c r="Z26" s="50"/>
      <c r="AA26" s="41"/>
      <c r="AB26" s="41"/>
      <c r="AC26" s="41"/>
      <c r="AD26" s="45"/>
      <c r="AE26" s="56"/>
      <c r="AF26" s="57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8"/>
      <c r="AT26" s="8"/>
      <c r="AU26" s="50"/>
      <c r="AV26" s="41"/>
      <c r="AW26" s="41"/>
      <c r="AX26" s="41"/>
      <c r="AY26" s="45"/>
      <c r="AZ26" s="56"/>
      <c r="BA26" s="57"/>
      <c r="BB26" s="57"/>
      <c r="BC26" s="57"/>
      <c r="BD26" s="57"/>
      <c r="BE26" s="57"/>
      <c r="BF26" s="57"/>
      <c r="BG26" s="57"/>
      <c r="BH26" s="57"/>
      <c r="BI26" s="57"/>
      <c r="BJ26" s="57"/>
      <c r="BK26" s="57"/>
      <c r="BL26" s="57"/>
      <c r="BM26" s="57"/>
      <c r="BN26" s="58"/>
      <c r="BO26" s="8"/>
      <c r="BP26" s="50"/>
      <c r="BQ26" s="41"/>
      <c r="BR26" s="41"/>
      <c r="BS26" s="41"/>
      <c r="BT26" s="45"/>
      <c r="BU26" s="56"/>
      <c r="BV26" s="57"/>
      <c r="BW26" s="57"/>
      <c r="BX26" s="57"/>
      <c r="BY26" s="57"/>
      <c r="BZ26" s="57"/>
      <c r="CA26" s="57"/>
      <c r="CB26" s="57"/>
      <c r="CC26" s="57"/>
      <c r="CD26" s="57"/>
      <c r="CE26" s="57"/>
      <c r="CF26" s="57"/>
      <c r="CG26" s="57"/>
      <c r="CH26" s="57"/>
      <c r="CI26" s="58"/>
    </row>
    <row r="27" spans="1:87" x14ac:dyDescent="0.4">
      <c r="A27" s="13" t="str">
        <f t="shared" si="6"/>
        <v/>
      </c>
      <c r="B27" s="27" t="str">
        <f t="shared" si="7"/>
        <v/>
      </c>
      <c r="C27" s="27" t="str">
        <f t="shared" si="8"/>
        <v/>
      </c>
      <c r="D27" s="27" t="str">
        <f t="shared" si="9"/>
        <v/>
      </c>
      <c r="E27" s="4"/>
      <c r="F27" s="8"/>
      <c r="G27" s="9"/>
      <c r="H27" s="9"/>
      <c r="I27" s="64"/>
      <c r="J27" s="30" t="str">
        <f t="shared" si="2"/>
        <v/>
      </c>
      <c r="K27" s="8"/>
      <c r="L27" s="9"/>
      <c r="M27" s="9"/>
      <c r="N27" s="64"/>
      <c r="O27" s="30" t="str">
        <f t="shared" si="3"/>
        <v/>
      </c>
      <c r="P27" s="8"/>
      <c r="Q27" s="9"/>
      <c r="R27" s="9"/>
      <c r="S27" s="64"/>
      <c r="T27" s="30" t="str">
        <f t="shared" si="4"/>
        <v/>
      </c>
      <c r="U27" s="20" t="str">
        <f t="shared" si="5"/>
        <v/>
      </c>
      <c r="V27" s="21" t="str">
        <f t="shared" si="0"/>
        <v/>
      </c>
      <c r="W27" s="22" t="str">
        <f t="shared" si="1"/>
        <v/>
      </c>
      <c r="Y27" s="8"/>
      <c r="Z27" s="50"/>
      <c r="AA27" s="41"/>
      <c r="AB27" s="41"/>
      <c r="AC27" s="41"/>
      <c r="AD27" s="45"/>
      <c r="AE27" s="56"/>
      <c r="AF27" s="57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8"/>
      <c r="AT27" s="8"/>
      <c r="AU27" s="50"/>
      <c r="AV27" s="41"/>
      <c r="AW27" s="41"/>
      <c r="AX27" s="41"/>
      <c r="AY27" s="45"/>
      <c r="AZ27" s="56"/>
      <c r="BA27" s="57"/>
      <c r="BB27" s="57"/>
      <c r="BC27" s="57"/>
      <c r="BD27" s="57"/>
      <c r="BE27" s="57"/>
      <c r="BF27" s="57"/>
      <c r="BG27" s="57"/>
      <c r="BH27" s="57"/>
      <c r="BI27" s="57"/>
      <c r="BJ27" s="57"/>
      <c r="BK27" s="57"/>
      <c r="BL27" s="57"/>
      <c r="BM27" s="57"/>
      <c r="BN27" s="58"/>
      <c r="BO27" s="8"/>
      <c r="BP27" s="50"/>
      <c r="BQ27" s="41"/>
      <c r="BR27" s="41"/>
      <c r="BS27" s="41"/>
      <c r="BT27" s="45"/>
      <c r="BU27" s="56"/>
      <c r="BV27" s="57"/>
      <c r="BW27" s="57"/>
      <c r="BX27" s="57"/>
      <c r="BY27" s="57"/>
      <c r="BZ27" s="57"/>
      <c r="CA27" s="57"/>
      <c r="CB27" s="57"/>
      <c r="CC27" s="57"/>
      <c r="CD27" s="57"/>
      <c r="CE27" s="57"/>
      <c r="CF27" s="57"/>
      <c r="CG27" s="57"/>
      <c r="CH27" s="57"/>
      <c r="CI27" s="58"/>
    </row>
    <row r="28" spans="1:87" x14ac:dyDescent="0.4">
      <c r="A28" s="13" t="str">
        <f t="shared" si="6"/>
        <v/>
      </c>
      <c r="B28" s="27" t="str">
        <f t="shared" si="7"/>
        <v/>
      </c>
      <c r="C28" s="27" t="str">
        <f t="shared" si="8"/>
        <v/>
      </c>
      <c r="D28" s="27" t="str">
        <f t="shared" si="9"/>
        <v/>
      </c>
      <c r="E28" s="4"/>
      <c r="F28" s="8"/>
      <c r="G28" s="9"/>
      <c r="H28" s="9"/>
      <c r="I28" s="64"/>
      <c r="J28" s="30" t="str">
        <f t="shared" si="2"/>
        <v/>
      </c>
      <c r="K28" s="8"/>
      <c r="L28" s="9"/>
      <c r="M28" s="9"/>
      <c r="N28" s="64"/>
      <c r="O28" s="30" t="str">
        <f t="shared" si="3"/>
        <v/>
      </c>
      <c r="P28" s="8"/>
      <c r="Q28" s="9"/>
      <c r="R28" s="9"/>
      <c r="S28" s="64"/>
      <c r="T28" s="30" t="str">
        <f t="shared" si="4"/>
        <v/>
      </c>
      <c r="U28" s="20" t="str">
        <f t="shared" si="5"/>
        <v/>
      </c>
      <c r="V28" s="21" t="str">
        <f t="shared" si="0"/>
        <v/>
      </c>
      <c r="W28" s="22" t="str">
        <f t="shared" si="1"/>
        <v/>
      </c>
      <c r="Y28" s="8"/>
      <c r="Z28" s="50"/>
      <c r="AA28" s="41"/>
      <c r="AB28" s="41"/>
      <c r="AC28" s="41"/>
      <c r="AD28" s="45"/>
      <c r="AE28" s="56"/>
      <c r="AF28" s="57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8"/>
      <c r="AT28" s="8"/>
      <c r="AU28" s="50"/>
      <c r="AV28" s="41"/>
      <c r="AW28" s="41"/>
      <c r="AX28" s="41"/>
      <c r="AY28" s="45"/>
      <c r="AZ28" s="56"/>
      <c r="BA28" s="57"/>
      <c r="BB28" s="57"/>
      <c r="BC28" s="57"/>
      <c r="BD28" s="57"/>
      <c r="BE28" s="57"/>
      <c r="BF28" s="57"/>
      <c r="BG28" s="57"/>
      <c r="BH28" s="57"/>
      <c r="BI28" s="57"/>
      <c r="BJ28" s="57"/>
      <c r="BK28" s="57"/>
      <c r="BL28" s="57"/>
      <c r="BM28" s="57"/>
      <c r="BN28" s="58"/>
      <c r="BO28" s="8"/>
      <c r="BP28" s="50"/>
      <c r="BQ28" s="41"/>
      <c r="BR28" s="41"/>
      <c r="BS28" s="41"/>
      <c r="BT28" s="45"/>
      <c r="BU28" s="56"/>
      <c r="BV28" s="57"/>
      <c r="BW28" s="57"/>
      <c r="BX28" s="57"/>
      <c r="BY28" s="57"/>
      <c r="BZ28" s="57"/>
      <c r="CA28" s="57"/>
      <c r="CB28" s="57"/>
      <c r="CC28" s="57"/>
      <c r="CD28" s="57"/>
      <c r="CE28" s="57"/>
      <c r="CF28" s="57"/>
      <c r="CG28" s="57"/>
      <c r="CH28" s="57"/>
      <c r="CI28" s="58"/>
    </row>
    <row r="29" spans="1:87" x14ac:dyDescent="0.4">
      <c r="A29" s="13" t="str">
        <f t="shared" si="6"/>
        <v/>
      </c>
      <c r="B29" s="27" t="str">
        <f t="shared" si="7"/>
        <v/>
      </c>
      <c r="C29" s="27" t="str">
        <f t="shared" si="8"/>
        <v/>
      </c>
      <c r="D29" s="27" t="str">
        <f t="shared" si="9"/>
        <v/>
      </c>
      <c r="E29" s="4"/>
      <c r="F29" s="8"/>
      <c r="G29" s="9"/>
      <c r="H29" s="9"/>
      <c r="I29" s="64"/>
      <c r="J29" s="30" t="str">
        <f t="shared" si="2"/>
        <v/>
      </c>
      <c r="K29" s="8"/>
      <c r="L29" s="9"/>
      <c r="M29" s="9"/>
      <c r="N29" s="64"/>
      <c r="O29" s="30" t="str">
        <f t="shared" si="3"/>
        <v/>
      </c>
      <c r="P29" s="8"/>
      <c r="Q29" s="9"/>
      <c r="R29" s="9"/>
      <c r="S29" s="64"/>
      <c r="T29" s="30" t="str">
        <f t="shared" si="4"/>
        <v/>
      </c>
      <c r="U29" s="20" t="str">
        <f t="shared" si="5"/>
        <v/>
      </c>
      <c r="V29" s="21" t="str">
        <f t="shared" si="0"/>
        <v/>
      </c>
      <c r="W29" s="22" t="str">
        <f t="shared" si="1"/>
        <v/>
      </c>
      <c r="Y29" s="8"/>
      <c r="Z29" s="50"/>
      <c r="AA29" s="41"/>
      <c r="AB29" s="41"/>
      <c r="AC29" s="41"/>
      <c r="AD29" s="45"/>
      <c r="AE29" s="56"/>
      <c r="AF29" s="57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8"/>
      <c r="AT29" s="8"/>
      <c r="AU29" s="50"/>
      <c r="AV29" s="41"/>
      <c r="AW29" s="41"/>
      <c r="AX29" s="41"/>
      <c r="AY29" s="45"/>
      <c r="AZ29" s="56"/>
      <c r="BA29" s="57"/>
      <c r="BB29" s="57"/>
      <c r="BC29" s="57"/>
      <c r="BD29" s="57"/>
      <c r="BE29" s="57"/>
      <c r="BF29" s="57"/>
      <c r="BG29" s="57"/>
      <c r="BH29" s="57"/>
      <c r="BI29" s="57"/>
      <c r="BJ29" s="57"/>
      <c r="BK29" s="57"/>
      <c r="BL29" s="57"/>
      <c r="BM29" s="57"/>
      <c r="BN29" s="58"/>
      <c r="BO29" s="8"/>
      <c r="BP29" s="50"/>
      <c r="BQ29" s="41"/>
      <c r="BR29" s="41"/>
      <c r="BS29" s="41"/>
      <c r="BT29" s="45"/>
      <c r="BU29" s="56"/>
      <c r="BV29" s="57"/>
      <c r="BW29" s="57"/>
      <c r="BX29" s="57"/>
      <c r="BY29" s="57"/>
      <c r="BZ29" s="57"/>
      <c r="CA29" s="57"/>
      <c r="CB29" s="57"/>
      <c r="CC29" s="57"/>
      <c r="CD29" s="57"/>
      <c r="CE29" s="57"/>
      <c r="CF29" s="57"/>
      <c r="CG29" s="57"/>
      <c r="CH29" s="57"/>
      <c r="CI29" s="58"/>
    </row>
    <row r="30" spans="1:87" x14ac:dyDescent="0.4">
      <c r="A30" s="14" t="str">
        <f t="shared" si="6"/>
        <v/>
      </c>
      <c r="B30" s="28" t="str">
        <f t="shared" si="7"/>
        <v/>
      </c>
      <c r="C30" s="28" t="str">
        <f t="shared" si="8"/>
        <v/>
      </c>
      <c r="D30" s="28" t="str">
        <f t="shared" si="9"/>
        <v/>
      </c>
      <c r="E30" s="5"/>
      <c r="F30" s="10"/>
      <c r="G30" s="11"/>
      <c r="H30" s="11"/>
      <c r="I30" s="65"/>
      <c r="J30" s="31" t="str">
        <f t="shared" si="2"/>
        <v/>
      </c>
      <c r="K30" s="10"/>
      <c r="L30" s="11"/>
      <c r="M30" s="11"/>
      <c r="N30" s="65"/>
      <c r="O30" s="31" t="str">
        <f t="shared" si="3"/>
        <v/>
      </c>
      <c r="P30" s="10"/>
      <c r="Q30" s="11"/>
      <c r="R30" s="11"/>
      <c r="S30" s="65"/>
      <c r="T30" s="31" t="str">
        <f t="shared" si="4"/>
        <v/>
      </c>
      <c r="U30" s="23" t="str">
        <f t="shared" si="5"/>
        <v/>
      </c>
      <c r="V30" s="24" t="str">
        <f t="shared" si="0"/>
        <v/>
      </c>
      <c r="W30" s="25" t="str">
        <f t="shared" si="1"/>
        <v/>
      </c>
      <c r="Y30" s="10"/>
      <c r="Z30" s="51"/>
      <c r="AA30" s="42"/>
      <c r="AB30" s="42"/>
      <c r="AC30" s="42"/>
      <c r="AD30" s="46"/>
      <c r="AE30" s="59"/>
      <c r="AF30" s="60"/>
      <c r="AG30" s="60"/>
      <c r="AH30" s="60"/>
      <c r="AI30" s="60"/>
      <c r="AJ30" s="60"/>
      <c r="AK30" s="60"/>
      <c r="AL30" s="60"/>
      <c r="AM30" s="60"/>
      <c r="AN30" s="60"/>
      <c r="AO30" s="60"/>
      <c r="AP30" s="60"/>
      <c r="AQ30" s="60"/>
      <c r="AR30" s="60"/>
      <c r="AS30" s="61"/>
      <c r="AT30" s="10"/>
      <c r="AU30" s="51"/>
      <c r="AV30" s="42"/>
      <c r="AW30" s="42"/>
      <c r="AX30" s="42"/>
      <c r="AY30" s="46"/>
      <c r="AZ30" s="59"/>
      <c r="BA30" s="60"/>
      <c r="BB30" s="60"/>
      <c r="BC30" s="60"/>
      <c r="BD30" s="60"/>
      <c r="BE30" s="60"/>
      <c r="BF30" s="60"/>
      <c r="BG30" s="60"/>
      <c r="BH30" s="60"/>
      <c r="BI30" s="60"/>
      <c r="BJ30" s="60"/>
      <c r="BK30" s="60"/>
      <c r="BL30" s="60"/>
      <c r="BM30" s="60"/>
      <c r="BN30" s="61"/>
      <c r="BO30" s="10"/>
      <c r="BP30" s="51"/>
      <c r="BQ30" s="42"/>
      <c r="BR30" s="42"/>
      <c r="BS30" s="42"/>
      <c r="BT30" s="46"/>
      <c r="BU30" s="59"/>
      <c r="BV30" s="60"/>
      <c r="BW30" s="60"/>
      <c r="BX30" s="60"/>
      <c r="BY30" s="60"/>
      <c r="BZ30" s="60"/>
      <c r="CA30" s="60"/>
      <c r="CB30" s="60"/>
      <c r="CC30" s="60"/>
      <c r="CD30" s="60"/>
      <c r="CE30" s="60"/>
      <c r="CF30" s="60"/>
      <c r="CG30" s="60"/>
      <c r="CH30" s="60"/>
      <c r="CI30" s="61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4" priority="5">
      <formula>IF(AND(G4&lt;&gt;"",F4&lt;&gt;"流局",F4&lt;&gt;"チョンボ"),SUM($G4:$I4,$L4:$N4,$Q4:$S4)-$D4*1000)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1"/>
  <sheetViews>
    <sheetView workbookViewId="0"/>
  </sheetViews>
  <sheetFormatPr defaultRowHeight="18.75" x14ac:dyDescent="0.4"/>
  <cols>
    <col min="1" max="1" width="9" style="52" customWidth="1"/>
    <col min="2" max="2" width="19.25" style="15" bestFit="1" customWidth="1"/>
    <col min="3" max="4" width="6.5" style="15" customWidth="1"/>
    <col min="5" max="5" width="6.5" style="52" customWidth="1"/>
  </cols>
  <sheetData>
    <row r="1" spans="1:5" x14ac:dyDescent="0.4">
      <c r="A1" s="52" t="s">
        <v>32</v>
      </c>
      <c r="B1" s="15" t="s">
        <v>33</v>
      </c>
      <c r="C1" s="15" t="s">
        <v>34</v>
      </c>
      <c r="D1" s="15" t="s">
        <v>35</v>
      </c>
      <c r="E1" s="52" t="s">
        <v>36</v>
      </c>
    </row>
    <row r="2" spans="1:5" x14ac:dyDescent="0.4">
      <c r="A2" s="52" t="s">
        <v>84</v>
      </c>
      <c r="B2" s="15" t="s">
        <v>37</v>
      </c>
      <c r="C2" s="15">
        <v>1</v>
      </c>
    </row>
    <row r="3" spans="1:5" x14ac:dyDescent="0.4">
      <c r="A3" s="52" t="s">
        <v>85</v>
      </c>
      <c r="B3" s="15" t="s">
        <v>38</v>
      </c>
      <c r="C3" s="15">
        <v>1</v>
      </c>
    </row>
    <row r="4" spans="1:5" x14ac:dyDescent="0.4">
      <c r="A4" s="52" t="s">
        <v>86</v>
      </c>
      <c r="B4" s="15" t="s">
        <v>39</v>
      </c>
      <c r="C4" s="15">
        <v>1</v>
      </c>
      <c r="D4" s="15">
        <v>1</v>
      </c>
    </row>
    <row r="5" spans="1:5" x14ac:dyDescent="0.4">
      <c r="A5" s="52" t="s">
        <v>87</v>
      </c>
      <c r="B5" s="15" t="s">
        <v>40</v>
      </c>
      <c r="C5" s="15">
        <v>1</v>
      </c>
      <c r="E5" s="52" t="s">
        <v>134</v>
      </c>
    </row>
    <row r="6" spans="1:5" x14ac:dyDescent="0.4">
      <c r="A6" s="52" t="s">
        <v>88</v>
      </c>
      <c r="B6" s="15" t="s">
        <v>41</v>
      </c>
      <c r="C6" s="15">
        <v>1</v>
      </c>
      <c r="D6" s="15">
        <v>1</v>
      </c>
    </row>
    <row r="7" spans="1:5" x14ac:dyDescent="0.4">
      <c r="A7" s="52" t="s">
        <v>89</v>
      </c>
      <c r="B7" s="15" t="s">
        <v>42</v>
      </c>
      <c r="C7" s="15">
        <v>1</v>
      </c>
    </row>
    <row r="8" spans="1:5" x14ac:dyDescent="0.4">
      <c r="A8" s="52" t="s">
        <v>90</v>
      </c>
      <c r="B8" s="15" t="s">
        <v>43</v>
      </c>
      <c r="C8" s="15">
        <v>1</v>
      </c>
    </row>
    <row r="9" spans="1:5" x14ac:dyDescent="0.4">
      <c r="A9" s="52" t="s">
        <v>91</v>
      </c>
      <c r="B9" s="15" t="s">
        <v>44</v>
      </c>
      <c r="C9" s="15">
        <v>1</v>
      </c>
    </row>
    <row r="10" spans="1:5" x14ac:dyDescent="0.4">
      <c r="A10" s="52" t="s">
        <v>92</v>
      </c>
      <c r="B10" s="15" t="s">
        <v>140</v>
      </c>
      <c r="C10" s="15">
        <v>1</v>
      </c>
      <c r="D10" s="15">
        <v>1</v>
      </c>
    </row>
    <row r="11" spans="1:5" x14ac:dyDescent="0.4">
      <c r="A11" s="52" t="s">
        <v>93</v>
      </c>
      <c r="B11" s="15" t="s">
        <v>45</v>
      </c>
      <c r="C11" s="15">
        <v>1</v>
      </c>
      <c r="D11" s="15">
        <v>1</v>
      </c>
    </row>
    <row r="12" spans="1:5" x14ac:dyDescent="0.4">
      <c r="A12" s="52" t="s">
        <v>94</v>
      </c>
      <c r="B12" s="15" t="s">
        <v>46</v>
      </c>
      <c r="C12" s="15">
        <v>1</v>
      </c>
      <c r="D12" s="15">
        <v>1</v>
      </c>
    </row>
    <row r="13" spans="1:5" x14ac:dyDescent="0.4">
      <c r="A13" s="52" t="s">
        <v>95</v>
      </c>
      <c r="B13" s="15" t="s">
        <v>47</v>
      </c>
      <c r="C13" s="15">
        <v>1</v>
      </c>
      <c r="D13" s="15">
        <v>1</v>
      </c>
    </row>
    <row r="14" spans="1:5" x14ac:dyDescent="0.4">
      <c r="A14" s="52" t="s">
        <v>96</v>
      </c>
      <c r="B14" s="15" t="s">
        <v>48</v>
      </c>
      <c r="C14" s="15">
        <v>1</v>
      </c>
      <c r="D14" s="15">
        <v>1</v>
      </c>
    </row>
    <row r="15" spans="1:5" x14ac:dyDescent="0.4">
      <c r="A15" s="52" t="s">
        <v>97</v>
      </c>
      <c r="B15" s="15" t="s">
        <v>49</v>
      </c>
      <c r="C15" s="15">
        <v>1</v>
      </c>
      <c r="D15" s="15">
        <v>1</v>
      </c>
    </row>
    <row r="16" spans="1:5" x14ac:dyDescent="0.4">
      <c r="A16" s="52" t="s">
        <v>98</v>
      </c>
      <c r="B16" s="15" t="s">
        <v>50</v>
      </c>
      <c r="C16" s="15">
        <v>2</v>
      </c>
      <c r="E16" s="52" t="s">
        <v>84</v>
      </c>
    </row>
    <row r="17" spans="1:4" x14ac:dyDescent="0.4">
      <c r="A17" s="52" t="s">
        <v>99</v>
      </c>
      <c r="B17" s="15" t="s">
        <v>51</v>
      </c>
      <c r="C17" s="15">
        <v>2</v>
      </c>
      <c r="D17" s="15">
        <v>1</v>
      </c>
    </row>
    <row r="18" spans="1:4" x14ac:dyDescent="0.4">
      <c r="A18" s="52" t="s">
        <v>100</v>
      </c>
      <c r="B18" s="15" t="s">
        <v>142</v>
      </c>
      <c r="C18" s="15">
        <v>2</v>
      </c>
      <c r="D18" s="15">
        <v>1</v>
      </c>
    </row>
    <row r="19" spans="1:4" x14ac:dyDescent="0.4">
      <c r="A19" s="52" t="s">
        <v>101</v>
      </c>
      <c r="B19" s="15" t="s">
        <v>52</v>
      </c>
      <c r="C19" s="15">
        <v>2</v>
      </c>
      <c r="D19" s="15">
        <v>1</v>
      </c>
    </row>
    <row r="20" spans="1:4" x14ac:dyDescent="0.4">
      <c r="A20" s="52" t="s">
        <v>102</v>
      </c>
      <c r="B20" s="15" t="s">
        <v>53</v>
      </c>
      <c r="C20" s="15">
        <v>2</v>
      </c>
      <c r="D20" s="15">
        <v>2</v>
      </c>
    </row>
    <row r="21" spans="1:4" x14ac:dyDescent="0.4">
      <c r="A21" s="52" t="s">
        <v>103</v>
      </c>
      <c r="B21" s="15" t="s">
        <v>54</v>
      </c>
      <c r="C21" s="15">
        <v>2</v>
      </c>
      <c r="D21" s="15">
        <v>2</v>
      </c>
    </row>
    <row r="22" spans="1:4" x14ac:dyDescent="0.4">
      <c r="A22" s="52" t="s">
        <v>104</v>
      </c>
      <c r="B22" s="15" t="s">
        <v>55</v>
      </c>
      <c r="C22" s="15">
        <v>2</v>
      </c>
      <c r="D22" s="15">
        <v>2</v>
      </c>
    </row>
    <row r="23" spans="1:4" x14ac:dyDescent="0.4">
      <c r="A23" s="52" t="s">
        <v>105</v>
      </c>
      <c r="B23" s="15" t="s">
        <v>56</v>
      </c>
      <c r="C23" s="15">
        <v>2</v>
      </c>
      <c r="D23" s="15">
        <v>2</v>
      </c>
    </row>
    <row r="24" spans="1:4" x14ac:dyDescent="0.4">
      <c r="A24" s="52" t="s">
        <v>106</v>
      </c>
      <c r="B24" s="15" t="s">
        <v>57</v>
      </c>
      <c r="C24" s="15">
        <v>2</v>
      </c>
      <c r="D24" s="15">
        <v>2</v>
      </c>
    </row>
    <row r="25" spans="1:4" x14ac:dyDescent="0.4">
      <c r="A25" s="52" t="s">
        <v>107</v>
      </c>
      <c r="B25" s="15" t="s">
        <v>58</v>
      </c>
      <c r="C25" s="15">
        <v>2</v>
      </c>
      <c r="D25" s="15">
        <v>2</v>
      </c>
    </row>
    <row r="26" spans="1:4" x14ac:dyDescent="0.4">
      <c r="A26" s="52" t="s">
        <v>108</v>
      </c>
      <c r="B26" s="15" t="s">
        <v>59</v>
      </c>
      <c r="C26" s="15">
        <v>2</v>
      </c>
    </row>
    <row r="27" spans="1:4" x14ac:dyDescent="0.4">
      <c r="A27" s="52" t="s">
        <v>109</v>
      </c>
      <c r="B27" s="15" t="s">
        <v>60</v>
      </c>
      <c r="C27" s="15">
        <v>3</v>
      </c>
    </row>
    <row r="28" spans="1:4" x14ac:dyDescent="0.4">
      <c r="A28" s="52" t="s">
        <v>110</v>
      </c>
      <c r="B28" s="15" t="s">
        <v>141</v>
      </c>
      <c r="C28" s="15">
        <v>3</v>
      </c>
      <c r="D28" s="15">
        <v>2</v>
      </c>
    </row>
    <row r="29" spans="1:4" x14ac:dyDescent="0.4">
      <c r="A29" s="52" t="s">
        <v>111</v>
      </c>
      <c r="B29" s="15" t="s">
        <v>61</v>
      </c>
      <c r="C29" s="15">
        <v>3</v>
      </c>
      <c r="D29" s="15">
        <v>2</v>
      </c>
    </row>
    <row r="30" spans="1:4" x14ac:dyDescent="0.4">
      <c r="A30" s="52" t="s">
        <v>112</v>
      </c>
      <c r="B30" s="15" t="s">
        <v>62</v>
      </c>
      <c r="C30" s="15">
        <v>5</v>
      </c>
    </row>
    <row r="31" spans="1:4" x14ac:dyDescent="0.4">
      <c r="A31" s="52" t="s">
        <v>113</v>
      </c>
      <c r="B31" s="15" t="s">
        <v>63</v>
      </c>
      <c r="C31" s="15">
        <v>6</v>
      </c>
      <c r="D31" s="15">
        <v>5</v>
      </c>
    </row>
    <row r="32" spans="1:4" x14ac:dyDescent="0.4">
      <c r="A32" s="52" t="s">
        <v>114</v>
      </c>
      <c r="B32" s="15" t="s">
        <v>64</v>
      </c>
      <c r="C32" s="15">
        <v>13</v>
      </c>
    </row>
    <row r="33" spans="1:5" x14ac:dyDescent="0.4">
      <c r="A33" s="52" t="s">
        <v>115</v>
      </c>
      <c r="B33" s="15" t="s">
        <v>65</v>
      </c>
      <c r="C33" s="15">
        <v>13</v>
      </c>
    </row>
    <row r="34" spans="1:5" x14ac:dyDescent="0.4">
      <c r="A34" s="52" t="s">
        <v>116</v>
      </c>
      <c r="B34" s="15" t="s">
        <v>66</v>
      </c>
      <c r="C34" s="15">
        <v>13</v>
      </c>
      <c r="D34" s="15">
        <v>13</v>
      </c>
    </row>
    <row r="35" spans="1:5" x14ac:dyDescent="0.4">
      <c r="A35" s="52" t="s">
        <v>117</v>
      </c>
      <c r="B35" s="15" t="s">
        <v>67</v>
      </c>
      <c r="C35" s="15">
        <v>13</v>
      </c>
      <c r="D35" s="15">
        <v>13</v>
      </c>
    </row>
    <row r="36" spans="1:5" x14ac:dyDescent="0.4">
      <c r="A36" s="52" t="s">
        <v>118</v>
      </c>
      <c r="B36" s="15" t="s">
        <v>68</v>
      </c>
      <c r="C36" s="15">
        <v>26</v>
      </c>
      <c r="D36" s="15">
        <v>26</v>
      </c>
    </row>
    <row r="37" spans="1:5" x14ac:dyDescent="0.4">
      <c r="A37" s="52" t="s">
        <v>119</v>
      </c>
      <c r="B37" s="15" t="s">
        <v>69</v>
      </c>
      <c r="C37" s="15">
        <v>13</v>
      </c>
      <c r="D37" s="15">
        <v>13</v>
      </c>
    </row>
    <row r="38" spans="1:5" x14ac:dyDescent="0.4">
      <c r="A38" s="52" t="s">
        <v>120</v>
      </c>
      <c r="B38" s="15" t="s">
        <v>70</v>
      </c>
      <c r="C38" s="15">
        <v>13</v>
      </c>
      <c r="D38" s="15">
        <v>13</v>
      </c>
    </row>
    <row r="39" spans="1:5" x14ac:dyDescent="0.4">
      <c r="A39" s="52" t="s">
        <v>121</v>
      </c>
      <c r="B39" s="15" t="s">
        <v>71</v>
      </c>
      <c r="C39" s="15">
        <v>13</v>
      </c>
      <c r="D39" s="15">
        <v>13</v>
      </c>
    </row>
    <row r="40" spans="1:5" x14ac:dyDescent="0.4">
      <c r="A40" s="52" t="s">
        <v>122</v>
      </c>
      <c r="B40" s="15" t="s">
        <v>72</v>
      </c>
      <c r="C40" s="15">
        <v>13</v>
      </c>
      <c r="D40" s="15">
        <v>13</v>
      </c>
    </row>
    <row r="41" spans="1:5" x14ac:dyDescent="0.4">
      <c r="A41" s="52" t="s">
        <v>123</v>
      </c>
      <c r="B41" s="15" t="s">
        <v>73</v>
      </c>
      <c r="C41" s="15">
        <v>13</v>
      </c>
    </row>
    <row r="42" spans="1:5" x14ac:dyDescent="0.4">
      <c r="A42" s="52" t="s">
        <v>124</v>
      </c>
      <c r="B42" s="15" t="s">
        <v>74</v>
      </c>
      <c r="C42" s="15">
        <v>13</v>
      </c>
    </row>
    <row r="43" spans="1:5" x14ac:dyDescent="0.4">
      <c r="A43" s="52" t="s">
        <v>125</v>
      </c>
      <c r="B43" s="15" t="s">
        <v>75</v>
      </c>
      <c r="C43" s="15">
        <v>13</v>
      </c>
    </row>
    <row r="44" spans="1:5" x14ac:dyDescent="0.4">
      <c r="A44" s="52" t="s">
        <v>126</v>
      </c>
      <c r="B44" s="15" t="s">
        <v>76</v>
      </c>
      <c r="C44" s="15">
        <v>13</v>
      </c>
    </row>
    <row r="45" spans="1:5" x14ac:dyDescent="0.4">
      <c r="A45" s="52" t="s">
        <v>127</v>
      </c>
      <c r="B45" s="15" t="s">
        <v>77</v>
      </c>
      <c r="C45" s="15">
        <v>26</v>
      </c>
      <c r="E45" s="52" t="s">
        <v>135</v>
      </c>
    </row>
    <row r="46" spans="1:5" x14ac:dyDescent="0.4">
      <c r="A46" s="52" t="s">
        <v>128</v>
      </c>
      <c r="B46" s="15" t="s">
        <v>78</v>
      </c>
      <c r="C46" s="15">
        <v>26</v>
      </c>
      <c r="E46" s="52" t="s">
        <v>136</v>
      </c>
    </row>
    <row r="47" spans="1:5" x14ac:dyDescent="0.4">
      <c r="A47" s="52" t="s">
        <v>129</v>
      </c>
      <c r="B47" s="15" t="s">
        <v>79</v>
      </c>
      <c r="C47" s="15">
        <v>26</v>
      </c>
      <c r="E47" s="52" t="s">
        <v>137</v>
      </c>
    </row>
    <row r="48" spans="1:5" x14ac:dyDescent="0.4">
      <c r="A48" s="52" t="s">
        <v>130</v>
      </c>
      <c r="B48" s="15" t="s">
        <v>80</v>
      </c>
      <c r="C48" s="15">
        <v>13</v>
      </c>
    </row>
    <row r="49" spans="1:3" x14ac:dyDescent="0.4">
      <c r="A49" s="52" t="s">
        <v>131</v>
      </c>
      <c r="B49" s="15" t="s">
        <v>81</v>
      </c>
      <c r="C49" s="15">
        <v>13</v>
      </c>
    </row>
    <row r="50" spans="1:3" x14ac:dyDescent="0.4">
      <c r="A50" s="52" t="s">
        <v>132</v>
      </c>
      <c r="B50" s="15" t="s">
        <v>82</v>
      </c>
      <c r="C50" s="15">
        <v>13</v>
      </c>
    </row>
    <row r="51" spans="1:3" x14ac:dyDescent="0.4">
      <c r="A51" s="52" t="s">
        <v>133</v>
      </c>
      <c r="B51" s="15" t="s">
        <v>83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RowHeight="18.75" x14ac:dyDescent="0.4"/>
  <cols>
    <col min="1" max="12" width="9" style="47"/>
    <col min="13" max="13" width="9" style="47" customWidth="1"/>
    <col min="14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13</v>
      </c>
      <c r="H1" s="15" t="s">
        <v>14</v>
      </c>
      <c r="I1" s="15" t="s">
        <v>15</v>
      </c>
      <c r="J1" s="15" t="s">
        <v>16</v>
      </c>
      <c r="K1" s="15" t="s">
        <v>17</v>
      </c>
      <c r="L1" s="15" t="s">
        <v>18</v>
      </c>
      <c r="M1" s="15" t="s">
        <v>19</v>
      </c>
    </row>
    <row r="2" spans="1:13" x14ac:dyDescent="0.4">
      <c r="A2" s="15" t="s">
        <v>30</v>
      </c>
      <c r="B2" s="47">
        <v>0</v>
      </c>
      <c r="G2" s="47">
        <v>12000</v>
      </c>
      <c r="H2" s="47">
        <v>18000</v>
      </c>
      <c r="I2" s="47">
        <v>24000</v>
      </c>
      <c r="J2" s="47">
        <v>36000</v>
      </c>
      <c r="K2" s="47">
        <v>48000</v>
      </c>
      <c r="L2" s="47">
        <v>96000</v>
      </c>
      <c r="M2" s="47">
        <v>144000</v>
      </c>
    </row>
    <row r="3" spans="1:13" x14ac:dyDescent="0.4">
      <c r="A3" s="15">
        <v>20</v>
      </c>
      <c r="E3" s="47">
        <v>3900</v>
      </c>
      <c r="F3" s="47">
        <v>7700</v>
      </c>
    </row>
    <row r="4" spans="1:13" x14ac:dyDescent="0.4">
      <c r="A4" s="15">
        <v>25</v>
      </c>
      <c r="D4" s="47">
        <v>2400</v>
      </c>
      <c r="E4" s="47">
        <v>4800</v>
      </c>
      <c r="F4" s="47">
        <v>9600</v>
      </c>
    </row>
    <row r="5" spans="1:13" x14ac:dyDescent="0.4">
      <c r="A5" s="15">
        <v>30</v>
      </c>
      <c r="C5" s="47">
        <v>1500</v>
      </c>
      <c r="D5" s="47">
        <v>2900</v>
      </c>
      <c r="E5" s="47">
        <v>5800</v>
      </c>
      <c r="F5" s="47">
        <v>12000</v>
      </c>
    </row>
    <row r="6" spans="1:13" x14ac:dyDescent="0.4">
      <c r="A6" s="15">
        <v>40</v>
      </c>
      <c r="C6" s="47">
        <v>2000</v>
      </c>
      <c r="D6" s="47">
        <v>3900</v>
      </c>
      <c r="E6" s="47">
        <v>7700</v>
      </c>
      <c r="F6" s="47">
        <v>12000</v>
      </c>
    </row>
    <row r="7" spans="1:13" x14ac:dyDescent="0.4">
      <c r="A7" s="15">
        <v>50</v>
      </c>
      <c r="C7" s="47">
        <v>2400</v>
      </c>
      <c r="D7" s="47">
        <v>4800</v>
      </c>
      <c r="E7" s="47">
        <v>9600</v>
      </c>
      <c r="F7" s="47">
        <v>12000</v>
      </c>
    </row>
    <row r="8" spans="1:13" x14ac:dyDescent="0.4">
      <c r="A8" s="15">
        <v>60</v>
      </c>
      <c r="C8" s="47">
        <v>2900</v>
      </c>
      <c r="D8" s="47">
        <v>5800</v>
      </c>
      <c r="E8" s="47">
        <v>12000</v>
      </c>
      <c r="F8" s="47">
        <v>12000</v>
      </c>
    </row>
    <row r="9" spans="1:13" x14ac:dyDescent="0.4">
      <c r="A9" s="15">
        <v>70</v>
      </c>
      <c r="C9" s="47">
        <v>3400</v>
      </c>
      <c r="D9" s="47">
        <v>6800</v>
      </c>
      <c r="E9" s="47">
        <v>12000</v>
      </c>
      <c r="F9" s="47">
        <v>12000</v>
      </c>
    </row>
    <row r="10" spans="1:13" x14ac:dyDescent="0.4">
      <c r="A10" s="15">
        <v>80</v>
      </c>
      <c r="C10" s="47">
        <v>3900</v>
      </c>
      <c r="D10" s="47">
        <v>7700</v>
      </c>
      <c r="E10" s="47">
        <v>12000</v>
      </c>
      <c r="F10" s="47">
        <v>12000</v>
      </c>
    </row>
    <row r="11" spans="1:13" x14ac:dyDescent="0.4">
      <c r="A11" s="15">
        <v>90</v>
      </c>
      <c r="C11" s="47">
        <v>4400</v>
      </c>
      <c r="D11" s="47">
        <v>8700</v>
      </c>
      <c r="E11" s="47">
        <v>12000</v>
      </c>
      <c r="F11" s="47">
        <v>12000</v>
      </c>
    </row>
    <row r="12" spans="1:13" x14ac:dyDescent="0.4">
      <c r="A12" s="15">
        <v>100</v>
      </c>
      <c r="C12" s="47">
        <v>4800</v>
      </c>
      <c r="D12" s="47">
        <v>9600</v>
      </c>
      <c r="E12" s="47">
        <v>12000</v>
      </c>
      <c r="F12" s="47">
        <v>12000</v>
      </c>
    </row>
    <row r="13" spans="1:13" x14ac:dyDescent="0.4">
      <c r="A13" s="15">
        <v>110</v>
      </c>
      <c r="D13" s="47">
        <v>10600</v>
      </c>
      <c r="E13" s="47">
        <v>12000</v>
      </c>
      <c r="F13" s="47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/>
  </sheetViews>
  <sheetFormatPr defaultRowHeight="18.75" x14ac:dyDescent="0.4"/>
  <cols>
    <col min="1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13</v>
      </c>
      <c r="H1" s="15" t="s">
        <v>14</v>
      </c>
      <c r="I1" s="15" t="s">
        <v>15</v>
      </c>
      <c r="J1" s="15" t="s">
        <v>16</v>
      </c>
      <c r="K1" s="15" t="s">
        <v>17</v>
      </c>
      <c r="L1" s="15" t="s">
        <v>18</v>
      </c>
      <c r="M1" s="15" t="s">
        <v>19</v>
      </c>
    </row>
    <row r="2" spans="1:13" x14ac:dyDescent="0.4">
      <c r="A2" s="15" t="s">
        <v>30</v>
      </c>
      <c r="B2" s="47">
        <v>0</v>
      </c>
      <c r="G2" s="47">
        <v>12000</v>
      </c>
      <c r="H2" s="47">
        <v>18000</v>
      </c>
      <c r="I2" s="47">
        <v>24000</v>
      </c>
      <c r="J2" s="47">
        <v>36000</v>
      </c>
      <c r="K2" s="47">
        <v>48000</v>
      </c>
      <c r="L2" s="47">
        <v>96000</v>
      </c>
      <c r="M2" s="47">
        <v>144000</v>
      </c>
    </row>
    <row r="3" spans="1:13" x14ac:dyDescent="0.4">
      <c r="A3" s="15">
        <v>20</v>
      </c>
      <c r="C3" s="47" t="s">
        <v>12</v>
      </c>
      <c r="D3" s="47">
        <v>2200</v>
      </c>
      <c r="E3" s="47">
        <v>4000</v>
      </c>
      <c r="F3" s="47">
        <v>7800</v>
      </c>
    </row>
    <row r="4" spans="1:13" x14ac:dyDescent="0.4">
      <c r="A4" s="15">
        <v>25</v>
      </c>
      <c r="C4" s="47" t="s">
        <v>12</v>
      </c>
      <c r="D4" s="47" t="s">
        <v>12</v>
      </c>
      <c r="E4" s="47">
        <v>4800</v>
      </c>
      <c r="F4" s="47">
        <v>9600</v>
      </c>
    </row>
    <row r="5" spans="1:13" x14ac:dyDescent="0.4">
      <c r="A5" s="15">
        <v>30</v>
      </c>
      <c r="C5" s="47">
        <v>1600</v>
      </c>
      <c r="D5" s="47">
        <v>3000</v>
      </c>
      <c r="E5" s="47">
        <v>6000</v>
      </c>
      <c r="F5" s="47">
        <v>12000</v>
      </c>
    </row>
    <row r="6" spans="1:13" x14ac:dyDescent="0.4">
      <c r="A6" s="15">
        <v>40</v>
      </c>
      <c r="C6" s="47">
        <v>2200</v>
      </c>
      <c r="D6" s="47">
        <v>4000</v>
      </c>
      <c r="E6" s="47">
        <v>7800</v>
      </c>
      <c r="F6" s="47">
        <v>12000</v>
      </c>
    </row>
    <row r="7" spans="1:13" x14ac:dyDescent="0.4">
      <c r="A7" s="15">
        <v>50</v>
      </c>
      <c r="C7" s="47">
        <v>2400</v>
      </c>
      <c r="D7" s="47">
        <v>4800</v>
      </c>
      <c r="E7" s="47">
        <v>9600</v>
      </c>
      <c r="F7" s="47">
        <v>12000</v>
      </c>
    </row>
    <row r="8" spans="1:13" x14ac:dyDescent="0.4">
      <c r="A8" s="15">
        <v>60</v>
      </c>
      <c r="C8" s="47">
        <v>3000</v>
      </c>
      <c r="D8" s="47">
        <v>6000</v>
      </c>
      <c r="E8" s="47">
        <v>12000</v>
      </c>
      <c r="F8" s="47">
        <v>12000</v>
      </c>
    </row>
    <row r="9" spans="1:13" x14ac:dyDescent="0.4">
      <c r="A9" s="15">
        <v>70</v>
      </c>
      <c r="C9" s="47">
        <v>3600</v>
      </c>
      <c r="D9" s="47">
        <v>7000</v>
      </c>
      <c r="E9" s="47">
        <v>12000</v>
      </c>
      <c r="F9" s="47">
        <v>12000</v>
      </c>
    </row>
    <row r="10" spans="1:13" x14ac:dyDescent="0.4">
      <c r="A10" s="15">
        <v>80</v>
      </c>
      <c r="C10" s="47">
        <v>4000</v>
      </c>
      <c r="D10" s="47">
        <v>7800</v>
      </c>
      <c r="E10" s="47">
        <v>12000</v>
      </c>
      <c r="F10" s="47">
        <v>12000</v>
      </c>
    </row>
    <row r="11" spans="1:13" x14ac:dyDescent="0.4">
      <c r="A11" s="15">
        <v>90</v>
      </c>
      <c r="C11" s="47">
        <v>4600</v>
      </c>
      <c r="D11" s="47">
        <v>8800</v>
      </c>
      <c r="E11" s="47">
        <v>12000</v>
      </c>
      <c r="F11" s="47">
        <v>12000</v>
      </c>
    </row>
    <row r="12" spans="1:13" x14ac:dyDescent="0.4">
      <c r="A12" s="15">
        <v>100</v>
      </c>
      <c r="C12" s="47">
        <v>4800</v>
      </c>
      <c r="D12" s="47">
        <v>9600</v>
      </c>
      <c r="E12" s="47">
        <v>12000</v>
      </c>
      <c r="F12" s="47">
        <v>12000</v>
      </c>
    </row>
    <row r="13" spans="1:13" x14ac:dyDescent="0.4">
      <c r="A13" s="15">
        <v>110</v>
      </c>
      <c r="C13" s="47" t="s">
        <v>12</v>
      </c>
      <c r="D13" s="47">
        <v>10800</v>
      </c>
      <c r="E13" s="47">
        <v>12000</v>
      </c>
      <c r="F13" s="47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/>
  </sheetViews>
  <sheetFormatPr defaultRowHeight="18.75" x14ac:dyDescent="0.4"/>
  <cols>
    <col min="1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13</v>
      </c>
      <c r="H1" s="15" t="s">
        <v>14</v>
      </c>
      <c r="I1" s="15" t="s">
        <v>15</v>
      </c>
      <c r="J1" s="15" t="s">
        <v>16</v>
      </c>
      <c r="K1" s="15" t="s">
        <v>17</v>
      </c>
      <c r="L1" s="15" t="s">
        <v>18</v>
      </c>
      <c r="M1" s="15" t="s">
        <v>19</v>
      </c>
    </row>
    <row r="2" spans="1:13" x14ac:dyDescent="0.4">
      <c r="A2" s="15" t="s">
        <v>30</v>
      </c>
      <c r="B2" s="47">
        <v>0</v>
      </c>
      <c r="C2" s="47" t="s">
        <v>12</v>
      </c>
      <c r="D2" s="47" t="s">
        <v>12</v>
      </c>
      <c r="E2" s="47" t="s">
        <v>12</v>
      </c>
      <c r="F2" s="47" t="s">
        <v>12</v>
      </c>
      <c r="G2" s="47">
        <v>-6000</v>
      </c>
      <c r="H2" s="47">
        <v>-9000</v>
      </c>
      <c r="I2" s="47">
        <v>-12000</v>
      </c>
      <c r="J2" s="47">
        <v>-18000</v>
      </c>
      <c r="K2" s="47">
        <v>-24000</v>
      </c>
      <c r="L2" s="47">
        <v>-48000</v>
      </c>
      <c r="M2" s="47">
        <v>-72000</v>
      </c>
    </row>
    <row r="3" spans="1:13" x14ac:dyDescent="0.4">
      <c r="A3" s="15">
        <v>20</v>
      </c>
      <c r="C3" s="47" t="s">
        <v>12</v>
      </c>
      <c r="D3" s="47">
        <v>-1100</v>
      </c>
      <c r="E3" s="47">
        <v>-2000</v>
      </c>
      <c r="F3" s="47">
        <v>-3900</v>
      </c>
      <c r="G3" s="47" t="s">
        <v>12</v>
      </c>
      <c r="H3" s="47" t="s">
        <v>12</v>
      </c>
      <c r="I3" s="47" t="s">
        <v>12</v>
      </c>
      <c r="J3" s="47" t="s">
        <v>12</v>
      </c>
      <c r="K3" s="47" t="s">
        <v>12</v>
      </c>
      <c r="L3" s="47" t="s">
        <v>12</v>
      </c>
      <c r="M3" s="47" t="s">
        <v>12</v>
      </c>
    </row>
    <row r="4" spans="1:13" x14ac:dyDescent="0.4">
      <c r="A4" s="15">
        <v>25</v>
      </c>
      <c r="C4" s="47" t="s">
        <v>12</v>
      </c>
      <c r="D4" s="47" t="s">
        <v>12</v>
      </c>
      <c r="E4" s="47">
        <v>-2400</v>
      </c>
      <c r="F4" s="47">
        <v>-4800</v>
      </c>
      <c r="G4" s="47" t="s">
        <v>12</v>
      </c>
      <c r="H4" s="47" t="s">
        <v>12</v>
      </c>
      <c r="I4" s="47" t="s">
        <v>12</v>
      </c>
      <c r="J4" s="47" t="s">
        <v>12</v>
      </c>
      <c r="K4" s="47" t="s">
        <v>12</v>
      </c>
      <c r="L4" s="47" t="s">
        <v>12</v>
      </c>
      <c r="M4" s="47" t="s">
        <v>12</v>
      </c>
    </row>
    <row r="5" spans="1:13" x14ac:dyDescent="0.4">
      <c r="A5" s="15">
        <v>30</v>
      </c>
      <c r="C5" s="47">
        <v>-800</v>
      </c>
      <c r="D5" s="47">
        <v>-1500</v>
      </c>
      <c r="E5" s="47">
        <v>-3000</v>
      </c>
      <c r="F5" s="47">
        <v>-6000</v>
      </c>
      <c r="G5" s="47" t="s">
        <v>12</v>
      </c>
      <c r="H5" s="47" t="s">
        <v>12</v>
      </c>
      <c r="I5" s="47" t="s">
        <v>12</v>
      </c>
      <c r="J5" s="47" t="s">
        <v>12</v>
      </c>
      <c r="K5" s="47" t="s">
        <v>12</v>
      </c>
      <c r="L5" s="47" t="s">
        <v>12</v>
      </c>
      <c r="M5" s="47" t="s">
        <v>12</v>
      </c>
    </row>
    <row r="6" spans="1:13" x14ac:dyDescent="0.4">
      <c r="A6" s="15">
        <v>40</v>
      </c>
      <c r="C6" s="47">
        <v>-1100</v>
      </c>
      <c r="D6" s="47">
        <v>-2000</v>
      </c>
      <c r="E6" s="47">
        <v>-3900</v>
      </c>
      <c r="F6" s="47">
        <v>-6000</v>
      </c>
      <c r="G6" s="47" t="s">
        <v>12</v>
      </c>
      <c r="H6" s="47" t="s">
        <v>12</v>
      </c>
      <c r="I6" s="47" t="s">
        <v>12</v>
      </c>
      <c r="J6" s="47" t="s">
        <v>12</v>
      </c>
      <c r="K6" s="47" t="s">
        <v>12</v>
      </c>
      <c r="L6" s="47" t="s">
        <v>12</v>
      </c>
      <c r="M6" s="47" t="s">
        <v>12</v>
      </c>
    </row>
    <row r="7" spans="1:13" x14ac:dyDescent="0.4">
      <c r="A7" s="15">
        <v>50</v>
      </c>
      <c r="C7" s="47">
        <v>-1200</v>
      </c>
      <c r="D7" s="47">
        <v>-2400</v>
      </c>
      <c r="E7" s="47">
        <v>-4800</v>
      </c>
      <c r="F7" s="47">
        <v>-6000</v>
      </c>
      <c r="G7" s="47" t="s">
        <v>12</v>
      </c>
      <c r="H7" s="47" t="s">
        <v>12</v>
      </c>
      <c r="I7" s="47" t="s">
        <v>12</v>
      </c>
      <c r="J7" s="47" t="s">
        <v>12</v>
      </c>
      <c r="K7" s="47" t="s">
        <v>12</v>
      </c>
      <c r="L7" s="47" t="s">
        <v>12</v>
      </c>
      <c r="M7" s="47" t="s">
        <v>12</v>
      </c>
    </row>
    <row r="8" spans="1:13" x14ac:dyDescent="0.4">
      <c r="A8" s="15">
        <v>60</v>
      </c>
      <c r="C8" s="47">
        <v>-1500</v>
      </c>
      <c r="D8" s="47">
        <v>-3000</v>
      </c>
      <c r="E8" s="47">
        <v>-6000</v>
      </c>
      <c r="F8" s="47">
        <v>-6000</v>
      </c>
      <c r="G8" s="47" t="s">
        <v>12</v>
      </c>
      <c r="H8" s="47" t="s">
        <v>12</v>
      </c>
      <c r="I8" s="47" t="s">
        <v>12</v>
      </c>
      <c r="J8" s="47" t="s">
        <v>12</v>
      </c>
      <c r="K8" s="47" t="s">
        <v>12</v>
      </c>
      <c r="L8" s="47" t="s">
        <v>12</v>
      </c>
      <c r="M8" s="47" t="s">
        <v>12</v>
      </c>
    </row>
    <row r="9" spans="1:13" x14ac:dyDescent="0.4">
      <c r="A9" s="15">
        <v>70</v>
      </c>
      <c r="C9" s="47">
        <v>-1800</v>
      </c>
      <c r="D9" s="47">
        <v>-3500</v>
      </c>
      <c r="E9" s="47">
        <v>-6000</v>
      </c>
      <c r="F9" s="47">
        <v>-6000</v>
      </c>
      <c r="G9" s="47" t="s">
        <v>12</v>
      </c>
      <c r="H9" s="47" t="s">
        <v>12</v>
      </c>
      <c r="I9" s="47" t="s">
        <v>12</v>
      </c>
      <c r="J9" s="47" t="s">
        <v>12</v>
      </c>
      <c r="K9" s="47" t="s">
        <v>12</v>
      </c>
      <c r="L9" s="47" t="s">
        <v>12</v>
      </c>
      <c r="M9" s="47" t="s">
        <v>12</v>
      </c>
    </row>
    <row r="10" spans="1:13" x14ac:dyDescent="0.4">
      <c r="A10" s="15">
        <v>80</v>
      </c>
      <c r="C10" s="47">
        <v>-2000</v>
      </c>
      <c r="D10" s="47">
        <v>-3900</v>
      </c>
      <c r="E10" s="47">
        <v>-6000</v>
      </c>
      <c r="F10" s="47">
        <v>-6000</v>
      </c>
      <c r="G10" s="47" t="s">
        <v>12</v>
      </c>
      <c r="H10" s="47" t="s">
        <v>12</v>
      </c>
      <c r="I10" s="47" t="s">
        <v>12</v>
      </c>
      <c r="J10" s="47" t="s">
        <v>12</v>
      </c>
      <c r="K10" s="47" t="s">
        <v>12</v>
      </c>
      <c r="L10" s="47" t="s">
        <v>12</v>
      </c>
      <c r="M10" s="47" t="s">
        <v>12</v>
      </c>
    </row>
    <row r="11" spans="1:13" x14ac:dyDescent="0.4">
      <c r="A11" s="15">
        <v>90</v>
      </c>
      <c r="C11" s="47">
        <v>-2300</v>
      </c>
      <c r="D11" s="47">
        <v>-4400</v>
      </c>
      <c r="E11" s="47">
        <v>-6000</v>
      </c>
      <c r="F11" s="47">
        <v>-6000</v>
      </c>
      <c r="G11" s="47" t="s">
        <v>12</v>
      </c>
      <c r="H11" s="47" t="s">
        <v>12</v>
      </c>
      <c r="I11" s="47" t="s">
        <v>12</v>
      </c>
      <c r="J11" s="47" t="s">
        <v>12</v>
      </c>
      <c r="K11" s="47" t="s">
        <v>12</v>
      </c>
      <c r="L11" s="47" t="s">
        <v>12</v>
      </c>
      <c r="M11" s="47" t="s">
        <v>12</v>
      </c>
    </row>
    <row r="12" spans="1:13" x14ac:dyDescent="0.4">
      <c r="A12" s="15">
        <v>100</v>
      </c>
      <c r="C12" s="47">
        <v>-2400</v>
      </c>
      <c r="D12" s="47">
        <v>-4800</v>
      </c>
      <c r="E12" s="47">
        <v>-6000</v>
      </c>
      <c r="F12" s="47">
        <v>-6000</v>
      </c>
      <c r="G12" s="47" t="s">
        <v>12</v>
      </c>
      <c r="H12" s="47" t="s">
        <v>12</v>
      </c>
      <c r="I12" s="47" t="s">
        <v>12</v>
      </c>
      <c r="J12" s="47" t="s">
        <v>12</v>
      </c>
      <c r="K12" s="47" t="s">
        <v>12</v>
      </c>
      <c r="L12" s="47" t="s">
        <v>12</v>
      </c>
      <c r="M12" s="47" t="s">
        <v>12</v>
      </c>
    </row>
    <row r="13" spans="1:13" x14ac:dyDescent="0.4">
      <c r="A13" s="15">
        <v>110</v>
      </c>
      <c r="C13" s="47" t="s">
        <v>12</v>
      </c>
      <c r="D13" s="47">
        <v>-5400</v>
      </c>
      <c r="E13" s="47">
        <v>-6000</v>
      </c>
      <c r="F13" s="47">
        <v>-6000</v>
      </c>
      <c r="G13" s="47" t="s">
        <v>12</v>
      </c>
      <c r="H13" s="47" t="s">
        <v>12</v>
      </c>
      <c r="I13" s="47" t="s">
        <v>12</v>
      </c>
      <c r="J13" s="47" t="s">
        <v>12</v>
      </c>
      <c r="K13" s="47" t="s">
        <v>12</v>
      </c>
      <c r="L13" s="47" t="s">
        <v>12</v>
      </c>
      <c r="M13" s="47" t="s">
        <v>12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/>
  </sheetViews>
  <sheetFormatPr defaultRowHeight="18.75" x14ac:dyDescent="0.4"/>
  <cols>
    <col min="1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13</v>
      </c>
      <c r="H1" s="15" t="s">
        <v>14</v>
      </c>
      <c r="I1" s="15" t="s">
        <v>15</v>
      </c>
      <c r="J1" s="15" t="s">
        <v>16</v>
      </c>
      <c r="K1" s="15" t="s">
        <v>17</v>
      </c>
      <c r="L1" s="15" t="s">
        <v>18</v>
      </c>
      <c r="M1" s="15" t="s">
        <v>19</v>
      </c>
    </row>
    <row r="2" spans="1:13" x14ac:dyDescent="0.4">
      <c r="A2" s="15" t="s">
        <v>30</v>
      </c>
      <c r="B2" s="47">
        <v>0</v>
      </c>
      <c r="G2" s="47">
        <v>8000</v>
      </c>
      <c r="H2" s="47">
        <v>12000</v>
      </c>
      <c r="I2" s="47">
        <v>16000</v>
      </c>
      <c r="J2" s="47">
        <v>24000</v>
      </c>
      <c r="K2" s="47">
        <v>32000</v>
      </c>
      <c r="L2" s="47">
        <v>64000</v>
      </c>
      <c r="M2" s="47">
        <v>96000</v>
      </c>
    </row>
    <row r="3" spans="1:13" x14ac:dyDescent="0.4">
      <c r="A3" s="15">
        <v>20</v>
      </c>
      <c r="C3" s="47" t="s">
        <v>12</v>
      </c>
      <c r="D3" s="47" t="s">
        <v>12</v>
      </c>
      <c r="E3" s="47">
        <v>2600</v>
      </c>
      <c r="F3" s="47">
        <v>5200</v>
      </c>
    </row>
    <row r="4" spans="1:13" x14ac:dyDescent="0.4">
      <c r="A4" s="15">
        <v>25</v>
      </c>
      <c r="C4" s="47" t="s">
        <v>12</v>
      </c>
      <c r="D4" s="47">
        <v>1600</v>
      </c>
      <c r="E4" s="47">
        <v>3200</v>
      </c>
      <c r="F4" s="47">
        <v>6400</v>
      </c>
    </row>
    <row r="5" spans="1:13" x14ac:dyDescent="0.4">
      <c r="A5" s="15">
        <v>30</v>
      </c>
      <c r="C5" s="47">
        <v>1000</v>
      </c>
      <c r="D5" s="47">
        <v>2000</v>
      </c>
      <c r="E5" s="47">
        <v>3900</v>
      </c>
      <c r="F5" s="47">
        <v>8000</v>
      </c>
    </row>
    <row r="6" spans="1:13" x14ac:dyDescent="0.4">
      <c r="A6" s="15">
        <v>40</v>
      </c>
      <c r="C6" s="47">
        <v>1300</v>
      </c>
      <c r="D6" s="47">
        <v>2600</v>
      </c>
      <c r="E6" s="47">
        <v>5200</v>
      </c>
      <c r="F6" s="47">
        <v>8000</v>
      </c>
    </row>
    <row r="7" spans="1:13" x14ac:dyDescent="0.4">
      <c r="A7" s="15">
        <v>50</v>
      </c>
      <c r="C7" s="47">
        <v>1600</v>
      </c>
      <c r="D7" s="47">
        <v>3200</v>
      </c>
      <c r="E7" s="47">
        <v>6400</v>
      </c>
      <c r="F7" s="47">
        <v>8000</v>
      </c>
    </row>
    <row r="8" spans="1:13" x14ac:dyDescent="0.4">
      <c r="A8" s="15">
        <v>60</v>
      </c>
      <c r="C8" s="47">
        <v>2000</v>
      </c>
      <c r="D8" s="47">
        <v>3900</v>
      </c>
      <c r="E8" s="47">
        <v>8000</v>
      </c>
      <c r="F8" s="47">
        <v>8000</v>
      </c>
    </row>
    <row r="9" spans="1:13" x14ac:dyDescent="0.4">
      <c r="A9" s="15">
        <v>70</v>
      </c>
      <c r="C9" s="47">
        <v>2300</v>
      </c>
      <c r="D9" s="47">
        <v>4500</v>
      </c>
      <c r="E9" s="47">
        <v>8000</v>
      </c>
      <c r="F9" s="47">
        <v>8000</v>
      </c>
    </row>
    <row r="10" spans="1:13" x14ac:dyDescent="0.4">
      <c r="A10" s="15">
        <v>80</v>
      </c>
      <c r="C10" s="47">
        <v>2600</v>
      </c>
      <c r="D10" s="47">
        <v>5200</v>
      </c>
      <c r="E10" s="47">
        <v>8000</v>
      </c>
      <c r="F10" s="47">
        <v>8000</v>
      </c>
    </row>
    <row r="11" spans="1:13" x14ac:dyDescent="0.4">
      <c r="A11" s="15">
        <v>90</v>
      </c>
      <c r="C11" s="47">
        <v>2900</v>
      </c>
      <c r="D11" s="47">
        <v>5800</v>
      </c>
      <c r="E11" s="47">
        <v>8000</v>
      </c>
      <c r="F11" s="47">
        <v>8000</v>
      </c>
    </row>
    <row r="12" spans="1:13" x14ac:dyDescent="0.4">
      <c r="A12" s="15">
        <v>100</v>
      </c>
      <c r="C12" s="47">
        <v>3200</v>
      </c>
      <c r="D12" s="47">
        <v>6400</v>
      </c>
      <c r="E12" s="47">
        <v>8000</v>
      </c>
      <c r="F12" s="47">
        <v>8000</v>
      </c>
    </row>
    <row r="13" spans="1:13" x14ac:dyDescent="0.4">
      <c r="A13" s="15">
        <v>110</v>
      </c>
      <c r="C13" s="47" t="s">
        <v>12</v>
      </c>
      <c r="D13" s="47">
        <v>7100</v>
      </c>
      <c r="E13" s="47">
        <v>8000</v>
      </c>
      <c r="F13" s="47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/>
  </sheetViews>
  <sheetFormatPr defaultRowHeight="18.75" x14ac:dyDescent="0.4"/>
  <cols>
    <col min="1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13</v>
      </c>
      <c r="H1" s="15" t="s">
        <v>14</v>
      </c>
      <c r="I1" s="15" t="s">
        <v>15</v>
      </c>
      <c r="J1" s="15" t="s">
        <v>16</v>
      </c>
      <c r="K1" s="15" t="s">
        <v>17</v>
      </c>
      <c r="L1" s="15" t="s">
        <v>18</v>
      </c>
      <c r="M1" s="15" t="s">
        <v>19</v>
      </c>
    </row>
    <row r="2" spans="1:13" x14ac:dyDescent="0.4">
      <c r="A2" s="15" t="s">
        <v>30</v>
      </c>
      <c r="B2" s="47">
        <v>0</v>
      </c>
      <c r="G2" s="47">
        <v>8000</v>
      </c>
      <c r="H2" s="47">
        <v>12000</v>
      </c>
      <c r="I2" s="47">
        <v>16000</v>
      </c>
      <c r="J2" s="47">
        <v>24000</v>
      </c>
      <c r="K2" s="47">
        <v>32000</v>
      </c>
      <c r="L2" s="47">
        <v>64000</v>
      </c>
      <c r="M2" s="47">
        <v>96000</v>
      </c>
    </row>
    <row r="3" spans="1:13" x14ac:dyDescent="0.4">
      <c r="A3" s="15">
        <v>20</v>
      </c>
      <c r="C3" s="47" t="s">
        <v>12</v>
      </c>
      <c r="D3" s="47">
        <v>1500</v>
      </c>
      <c r="E3" s="47">
        <v>2800</v>
      </c>
      <c r="F3" s="47">
        <v>5300</v>
      </c>
    </row>
    <row r="4" spans="1:13" x14ac:dyDescent="0.4">
      <c r="A4" s="15">
        <v>25</v>
      </c>
      <c r="C4" s="47" t="s">
        <v>12</v>
      </c>
      <c r="D4" s="47" t="s">
        <v>12</v>
      </c>
      <c r="E4" s="47">
        <v>3200</v>
      </c>
      <c r="F4" s="47">
        <v>6400</v>
      </c>
    </row>
    <row r="5" spans="1:13" x14ac:dyDescent="0.4">
      <c r="A5" s="15">
        <v>30</v>
      </c>
      <c r="C5" s="47">
        <v>1200</v>
      </c>
      <c r="D5" s="47">
        <v>2100</v>
      </c>
      <c r="E5" s="47">
        <v>4000</v>
      </c>
      <c r="F5" s="47">
        <v>8000</v>
      </c>
    </row>
    <row r="6" spans="1:13" x14ac:dyDescent="0.4">
      <c r="A6" s="15">
        <v>40</v>
      </c>
      <c r="C6" s="47">
        <v>1500</v>
      </c>
      <c r="D6" s="47">
        <v>2800</v>
      </c>
      <c r="E6" s="47">
        <v>5300</v>
      </c>
      <c r="F6" s="47">
        <v>8000</v>
      </c>
    </row>
    <row r="7" spans="1:13" x14ac:dyDescent="0.4">
      <c r="A7" s="15">
        <v>50</v>
      </c>
      <c r="C7" s="47">
        <v>1600</v>
      </c>
      <c r="D7" s="47">
        <v>3200</v>
      </c>
      <c r="E7" s="47">
        <v>6400</v>
      </c>
      <c r="F7" s="47">
        <v>8000</v>
      </c>
    </row>
    <row r="8" spans="1:13" x14ac:dyDescent="0.4">
      <c r="A8" s="15">
        <v>60</v>
      </c>
      <c r="C8" s="47">
        <v>2100</v>
      </c>
      <c r="D8" s="47">
        <v>4000</v>
      </c>
      <c r="E8" s="47">
        <v>8000</v>
      </c>
      <c r="F8" s="47">
        <v>8000</v>
      </c>
    </row>
    <row r="9" spans="1:13" x14ac:dyDescent="0.4">
      <c r="A9" s="15">
        <v>70</v>
      </c>
      <c r="C9" s="47">
        <v>2400</v>
      </c>
      <c r="D9" s="47">
        <v>4700</v>
      </c>
      <c r="E9" s="47">
        <v>8000</v>
      </c>
      <c r="F9" s="47">
        <v>8000</v>
      </c>
    </row>
    <row r="10" spans="1:13" x14ac:dyDescent="0.4">
      <c r="A10" s="15">
        <v>80</v>
      </c>
      <c r="C10" s="47">
        <v>2800</v>
      </c>
      <c r="D10" s="47">
        <v>5300</v>
      </c>
      <c r="E10" s="47">
        <v>8000</v>
      </c>
      <c r="F10" s="47">
        <v>8000</v>
      </c>
    </row>
    <row r="11" spans="1:13" x14ac:dyDescent="0.4">
      <c r="A11" s="15">
        <v>90</v>
      </c>
      <c r="C11" s="47">
        <v>3100</v>
      </c>
      <c r="D11" s="47">
        <v>6000</v>
      </c>
      <c r="E11" s="47">
        <v>8000</v>
      </c>
      <c r="F11" s="47">
        <v>8000</v>
      </c>
    </row>
    <row r="12" spans="1:13" x14ac:dyDescent="0.4">
      <c r="A12" s="15">
        <v>100</v>
      </c>
      <c r="C12" s="47">
        <v>3200</v>
      </c>
      <c r="D12" s="47">
        <v>6400</v>
      </c>
      <c r="E12" s="47">
        <v>8000</v>
      </c>
      <c r="F12" s="47">
        <v>8000</v>
      </c>
    </row>
    <row r="13" spans="1:13" x14ac:dyDescent="0.4">
      <c r="A13" s="15">
        <v>110</v>
      </c>
      <c r="C13" s="47" t="s">
        <v>12</v>
      </c>
      <c r="D13" s="47">
        <v>7200</v>
      </c>
      <c r="E13" s="47">
        <v>8000</v>
      </c>
      <c r="F13" s="47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/>
  </sheetViews>
  <sheetFormatPr defaultRowHeight="18.75" x14ac:dyDescent="0.4"/>
  <cols>
    <col min="1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13</v>
      </c>
      <c r="H1" s="15" t="s">
        <v>14</v>
      </c>
      <c r="I1" s="15" t="s">
        <v>15</v>
      </c>
      <c r="J1" s="15" t="s">
        <v>16</v>
      </c>
      <c r="K1" s="15" t="s">
        <v>17</v>
      </c>
      <c r="L1" s="15" t="s">
        <v>18</v>
      </c>
      <c r="M1" s="15" t="s">
        <v>19</v>
      </c>
    </row>
    <row r="2" spans="1:13" x14ac:dyDescent="0.4">
      <c r="A2" s="15" t="s">
        <v>30</v>
      </c>
      <c r="B2" s="47">
        <v>0</v>
      </c>
      <c r="C2" s="47" t="s">
        <v>12</v>
      </c>
      <c r="D2" s="47" t="s">
        <v>12</v>
      </c>
      <c r="E2" s="47" t="s">
        <v>12</v>
      </c>
      <c r="F2" s="47" t="s">
        <v>12</v>
      </c>
      <c r="G2" s="47">
        <v>-3000</v>
      </c>
      <c r="H2" s="47">
        <v>-4500</v>
      </c>
      <c r="I2" s="47">
        <v>-6000</v>
      </c>
      <c r="J2" s="47">
        <v>-9000</v>
      </c>
      <c r="K2" s="47">
        <v>-12000</v>
      </c>
      <c r="L2" s="47">
        <v>-24000</v>
      </c>
      <c r="M2" s="47">
        <v>-36000</v>
      </c>
    </row>
    <row r="3" spans="1:13" x14ac:dyDescent="0.4">
      <c r="A3" s="15">
        <v>20</v>
      </c>
      <c r="C3" s="47" t="s">
        <v>12</v>
      </c>
      <c r="D3" s="47">
        <v>-600</v>
      </c>
      <c r="E3" s="47">
        <v>-1100</v>
      </c>
      <c r="F3" s="47">
        <v>-2000</v>
      </c>
      <c r="G3" s="47" t="s">
        <v>12</v>
      </c>
      <c r="H3" s="47" t="s">
        <v>12</v>
      </c>
      <c r="I3" s="47" t="s">
        <v>12</v>
      </c>
      <c r="J3" s="47" t="s">
        <v>12</v>
      </c>
      <c r="K3" s="47" t="s">
        <v>12</v>
      </c>
      <c r="L3" s="47" t="s">
        <v>12</v>
      </c>
      <c r="M3" s="47" t="s">
        <v>12</v>
      </c>
    </row>
    <row r="4" spans="1:13" x14ac:dyDescent="0.4">
      <c r="A4" s="15">
        <v>25</v>
      </c>
      <c r="C4" s="47" t="s">
        <v>12</v>
      </c>
      <c r="D4" s="47" t="s">
        <v>12</v>
      </c>
      <c r="E4" s="47">
        <v>-1200</v>
      </c>
      <c r="F4" s="47">
        <v>-2400</v>
      </c>
      <c r="G4" s="47" t="s">
        <v>12</v>
      </c>
      <c r="H4" s="47" t="s">
        <v>12</v>
      </c>
      <c r="I4" s="47" t="s">
        <v>12</v>
      </c>
      <c r="J4" s="47" t="s">
        <v>12</v>
      </c>
      <c r="K4" s="47" t="s">
        <v>12</v>
      </c>
      <c r="L4" s="47" t="s">
        <v>12</v>
      </c>
      <c r="M4" s="47" t="s">
        <v>12</v>
      </c>
    </row>
    <row r="5" spans="1:13" x14ac:dyDescent="0.4">
      <c r="A5" s="15">
        <v>30</v>
      </c>
      <c r="C5" s="47">
        <v>-500</v>
      </c>
      <c r="D5" s="47">
        <v>-800</v>
      </c>
      <c r="E5" s="47">
        <v>-1500</v>
      </c>
      <c r="F5" s="47">
        <v>-3000</v>
      </c>
      <c r="G5" s="47" t="s">
        <v>12</v>
      </c>
      <c r="H5" s="47" t="s">
        <v>12</v>
      </c>
      <c r="I5" s="47" t="s">
        <v>12</v>
      </c>
      <c r="J5" s="47" t="s">
        <v>12</v>
      </c>
      <c r="K5" s="47" t="s">
        <v>12</v>
      </c>
      <c r="L5" s="47" t="s">
        <v>12</v>
      </c>
      <c r="M5" s="47" t="s">
        <v>12</v>
      </c>
    </row>
    <row r="6" spans="1:13" x14ac:dyDescent="0.4">
      <c r="A6" s="15">
        <v>40</v>
      </c>
      <c r="C6" s="47">
        <v>-600</v>
      </c>
      <c r="D6" s="47">
        <v>-1100</v>
      </c>
      <c r="E6" s="47">
        <v>-2000</v>
      </c>
      <c r="F6" s="47">
        <v>-3000</v>
      </c>
      <c r="G6" s="47" t="s">
        <v>12</v>
      </c>
      <c r="H6" s="47" t="s">
        <v>12</v>
      </c>
      <c r="I6" s="47" t="s">
        <v>12</v>
      </c>
      <c r="J6" s="47" t="s">
        <v>12</v>
      </c>
      <c r="K6" s="47" t="s">
        <v>12</v>
      </c>
      <c r="L6" s="47" t="s">
        <v>12</v>
      </c>
      <c r="M6" s="47" t="s">
        <v>12</v>
      </c>
    </row>
    <row r="7" spans="1:13" x14ac:dyDescent="0.4">
      <c r="A7" s="15">
        <v>50</v>
      </c>
      <c r="C7" s="47">
        <v>-600</v>
      </c>
      <c r="D7" s="47">
        <v>-1200</v>
      </c>
      <c r="E7" s="47">
        <v>-2400</v>
      </c>
      <c r="F7" s="47">
        <v>-3000</v>
      </c>
      <c r="G7" s="47" t="s">
        <v>12</v>
      </c>
      <c r="H7" s="47" t="s">
        <v>12</v>
      </c>
      <c r="I7" s="47" t="s">
        <v>12</v>
      </c>
      <c r="J7" s="47" t="s">
        <v>12</v>
      </c>
      <c r="K7" s="47" t="s">
        <v>12</v>
      </c>
      <c r="L7" s="47" t="s">
        <v>12</v>
      </c>
      <c r="M7" s="47" t="s">
        <v>12</v>
      </c>
    </row>
    <row r="8" spans="1:13" x14ac:dyDescent="0.4">
      <c r="A8" s="15">
        <v>60</v>
      </c>
      <c r="C8" s="47">
        <v>-800</v>
      </c>
      <c r="D8" s="47">
        <v>-1500</v>
      </c>
      <c r="E8" s="47">
        <v>-3000</v>
      </c>
      <c r="F8" s="47">
        <v>-3000</v>
      </c>
      <c r="G8" s="47" t="s">
        <v>12</v>
      </c>
      <c r="H8" s="47" t="s">
        <v>12</v>
      </c>
      <c r="I8" s="47" t="s">
        <v>12</v>
      </c>
      <c r="J8" s="47" t="s">
        <v>12</v>
      </c>
      <c r="K8" s="47" t="s">
        <v>12</v>
      </c>
      <c r="L8" s="47" t="s">
        <v>12</v>
      </c>
      <c r="M8" s="47" t="s">
        <v>12</v>
      </c>
    </row>
    <row r="9" spans="1:13" x14ac:dyDescent="0.4">
      <c r="A9" s="15">
        <v>70</v>
      </c>
      <c r="C9" s="47">
        <v>-900</v>
      </c>
      <c r="D9" s="47">
        <v>-1800</v>
      </c>
      <c r="E9" s="47">
        <v>-3000</v>
      </c>
      <c r="F9" s="47">
        <v>-3000</v>
      </c>
      <c r="G9" s="47" t="s">
        <v>12</v>
      </c>
      <c r="H9" s="47" t="s">
        <v>12</v>
      </c>
      <c r="I9" s="47" t="s">
        <v>12</v>
      </c>
      <c r="J9" s="47" t="s">
        <v>12</v>
      </c>
      <c r="K9" s="47" t="s">
        <v>12</v>
      </c>
      <c r="L9" s="47" t="s">
        <v>12</v>
      </c>
      <c r="M9" s="47" t="s">
        <v>12</v>
      </c>
    </row>
    <row r="10" spans="1:13" x14ac:dyDescent="0.4">
      <c r="A10" s="15">
        <v>80</v>
      </c>
      <c r="C10" s="47">
        <v>-1100</v>
      </c>
      <c r="D10" s="47">
        <v>-2000</v>
      </c>
      <c r="E10" s="47">
        <v>-3000</v>
      </c>
      <c r="F10" s="47">
        <v>-3000</v>
      </c>
      <c r="G10" s="47" t="s">
        <v>12</v>
      </c>
      <c r="H10" s="47" t="s">
        <v>12</v>
      </c>
      <c r="I10" s="47" t="s">
        <v>12</v>
      </c>
      <c r="J10" s="47" t="s">
        <v>12</v>
      </c>
      <c r="K10" s="47" t="s">
        <v>12</v>
      </c>
      <c r="L10" s="47" t="s">
        <v>12</v>
      </c>
      <c r="M10" s="47" t="s">
        <v>12</v>
      </c>
    </row>
    <row r="11" spans="1:13" x14ac:dyDescent="0.4">
      <c r="A11" s="15">
        <v>90</v>
      </c>
      <c r="C11" s="47">
        <v>-1200</v>
      </c>
      <c r="D11" s="47">
        <v>-2300</v>
      </c>
      <c r="E11" s="47">
        <v>-3000</v>
      </c>
      <c r="F11" s="47">
        <v>-3000</v>
      </c>
      <c r="G11" s="47" t="s">
        <v>12</v>
      </c>
      <c r="H11" s="47" t="s">
        <v>12</v>
      </c>
      <c r="I11" s="47" t="s">
        <v>12</v>
      </c>
      <c r="J11" s="47" t="s">
        <v>12</v>
      </c>
      <c r="K11" s="47" t="s">
        <v>12</v>
      </c>
      <c r="L11" s="47" t="s">
        <v>12</v>
      </c>
      <c r="M11" s="47" t="s">
        <v>12</v>
      </c>
    </row>
    <row r="12" spans="1:13" x14ac:dyDescent="0.4">
      <c r="A12" s="15">
        <v>100</v>
      </c>
      <c r="C12" s="47">
        <v>-1200</v>
      </c>
      <c r="D12" s="47">
        <v>-2400</v>
      </c>
      <c r="E12" s="47">
        <v>-3000</v>
      </c>
      <c r="F12" s="47">
        <v>-3000</v>
      </c>
      <c r="G12" s="47" t="s">
        <v>12</v>
      </c>
      <c r="H12" s="47" t="s">
        <v>12</v>
      </c>
      <c r="I12" s="47" t="s">
        <v>12</v>
      </c>
      <c r="J12" s="47" t="s">
        <v>12</v>
      </c>
      <c r="K12" s="47" t="s">
        <v>12</v>
      </c>
      <c r="L12" s="47" t="s">
        <v>12</v>
      </c>
      <c r="M12" s="47" t="s">
        <v>12</v>
      </c>
    </row>
    <row r="13" spans="1:13" x14ac:dyDescent="0.4">
      <c r="A13" s="15">
        <v>110</v>
      </c>
      <c r="C13" s="47" t="s">
        <v>12</v>
      </c>
      <c r="D13" s="47">
        <v>-2700</v>
      </c>
      <c r="E13" s="47">
        <v>-3000</v>
      </c>
      <c r="F13" s="47">
        <v>-3000</v>
      </c>
      <c r="G13" s="47" t="s">
        <v>12</v>
      </c>
      <c r="H13" s="47" t="s">
        <v>12</v>
      </c>
      <c r="I13" s="47" t="s">
        <v>12</v>
      </c>
      <c r="J13" s="47" t="s">
        <v>12</v>
      </c>
      <c r="K13" s="47" t="s">
        <v>12</v>
      </c>
      <c r="L13" s="47" t="s">
        <v>12</v>
      </c>
      <c r="M13" s="47" t="s">
        <v>12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/>
  </sheetViews>
  <sheetFormatPr defaultRowHeight="18.75" x14ac:dyDescent="0.4"/>
  <cols>
    <col min="1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13</v>
      </c>
      <c r="H1" s="15" t="s">
        <v>14</v>
      </c>
      <c r="I1" s="15" t="s">
        <v>15</v>
      </c>
      <c r="J1" s="15" t="s">
        <v>16</v>
      </c>
      <c r="K1" s="15" t="s">
        <v>17</v>
      </c>
      <c r="L1" s="15" t="s">
        <v>18</v>
      </c>
      <c r="M1" s="15" t="s">
        <v>19</v>
      </c>
    </row>
    <row r="2" spans="1:13" x14ac:dyDescent="0.4">
      <c r="A2" s="15" t="s">
        <v>30</v>
      </c>
      <c r="B2" s="47">
        <v>0</v>
      </c>
      <c r="C2" s="47" t="s">
        <v>12</v>
      </c>
      <c r="D2" s="47" t="s">
        <v>12</v>
      </c>
      <c r="E2" s="47" t="s">
        <v>12</v>
      </c>
      <c r="F2" s="47" t="s">
        <v>12</v>
      </c>
      <c r="G2" s="47">
        <v>-5000</v>
      </c>
      <c r="H2" s="47">
        <v>-7500</v>
      </c>
      <c r="I2" s="47">
        <v>-10000</v>
      </c>
      <c r="J2" s="47">
        <v>-15000</v>
      </c>
      <c r="K2" s="47">
        <v>-20000</v>
      </c>
      <c r="L2" s="47">
        <v>-40000</v>
      </c>
      <c r="M2" s="47">
        <v>-60000</v>
      </c>
    </row>
    <row r="3" spans="1:13" x14ac:dyDescent="0.4">
      <c r="A3" s="15">
        <v>20</v>
      </c>
      <c r="C3" s="47" t="s">
        <v>12</v>
      </c>
      <c r="D3" s="47">
        <v>-900</v>
      </c>
      <c r="E3" s="47">
        <v>-1700</v>
      </c>
      <c r="F3" s="47">
        <v>-3300</v>
      </c>
      <c r="G3" s="47" t="s">
        <v>12</v>
      </c>
      <c r="H3" s="47" t="s">
        <v>12</v>
      </c>
      <c r="I3" s="47" t="s">
        <v>12</v>
      </c>
      <c r="J3" s="47" t="s">
        <v>12</v>
      </c>
      <c r="K3" s="47" t="s">
        <v>12</v>
      </c>
      <c r="L3" s="47" t="s">
        <v>12</v>
      </c>
      <c r="M3" s="47" t="s">
        <v>12</v>
      </c>
    </row>
    <row r="4" spans="1:13" x14ac:dyDescent="0.4">
      <c r="A4" s="15">
        <v>25</v>
      </c>
      <c r="C4" s="47" t="s">
        <v>12</v>
      </c>
      <c r="D4" s="47" t="s">
        <v>12</v>
      </c>
      <c r="E4" s="47">
        <v>-2000</v>
      </c>
      <c r="F4" s="47">
        <v>-4000</v>
      </c>
      <c r="G4" s="47" t="s">
        <v>12</v>
      </c>
      <c r="H4" s="47" t="s">
        <v>12</v>
      </c>
      <c r="I4" s="47" t="s">
        <v>12</v>
      </c>
      <c r="J4" s="47" t="s">
        <v>12</v>
      </c>
      <c r="K4" s="47" t="s">
        <v>12</v>
      </c>
      <c r="L4" s="47" t="s">
        <v>12</v>
      </c>
      <c r="M4" s="47" t="s">
        <v>12</v>
      </c>
    </row>
    <row r="5" spans="1:13" x14ac:dyDescent="0.4">
      <c r="A5" s="15">
        <v>30</v>
      </c>
      <c r="C5" s="47">
        <v>-700</v>
      </c>
      <c r="D5" s="47">
        <v>-1300</v>
      </c>
      <c r="E5" s="47">
        <v>-2500</v>
      </c>
      <c r="F5" s="47">
        <v>-5000</v>
      </c>
      <c r="G5" s="47" t="s">
        <v>12</v>
      </c>
      <c r="H5" s="47" t="s">
        <v>12</v>
      </c>
      <c r="I5" s="47" t="s">
        <v>12</v>
      </c>
      <c r="J5" s="47" t="s">
        <v>12</v>
      </c>
      <c r="K5" s="47" t="s">
        <v>12</v>
      </c>
      <c r="L5" s="47" t="s">
        <v>12</v>
      </c>
      <c r="M5" s="47" t="s">
        <v>12</v>
      </c>
    </row>
    <row r="6" spans="1:13" x14ac:dyDescent="0.4">
      <c r="A6" s="15">
        <v>40</v>
      </c>
      <c r="C6" s="47">
        <v>-900</v>
      </c>
      <c r="D6" s="47">
        <v>-1700</v>
      </c>
      <c r="E6" s="47">
        <v>-3300</v>
      </c>
      <c r="F6" s="47">
        <v>-5000</v>
      </c>
      <c r="G6" s="47" t="s">
        <v>12</v>
      </c>
      <c r="H6" s="47" t="s">
        <v>12</v>
      </c>
      <c r="I6" s="47" t="s">
        <v>12</v>
      </c>
      <c r="J6" s="47" t="s">
        <v>12</v>
      </c>
      <c r="K6" s="47" t="s">
        <v>12</v>
      </c>
      <c r="L6" s="47" t="s">
        <v>12</v>
      </c>
      <c r="M6" s="47" t="s">
        <v>12</v>
      </c>
    </row>
    <row r="7" spans="1:13" x14ac:dyDescent="0.4">
      <c r="A7" s="15">
        <v>50</v>
      </c>
      <c r="C7" s="47">
        <v>-1000</v>
      </c>
      <c r="D7" s="47">
        <v>-2000</v>
      </c>
      <c r="E7" s="47">
        <v>-4000</v>
      </c>
      <c r="F7" s="47">
        <v>-5000</v>
      </c>
      <c r="G7" s="47" t="s">
        <v>12</v>
      </c>
      <c r="H7" s="47" t="s">
        <v>12</v>
      </c>
      <c r="I7" s="47" t="s">
        <v>12</v>
      </c>
      <c r="J7" s="47" t="s">
        <v>12</v>
      </c>
      <c r="K7" s="47" t="s">
        <v>12</v>
      </c>
      <c r="L7" s="47" t="s">
        <v>12</v>
      </c>
      <c r="M7" s="47" t="s">
        <v>12</v>
      </c>
    </row>
    <row r="8" spans="1:13" x14ac:dyDescent="0.4">
      <c r="A8" s="15">
        <v>60</v>
      </c>
      <c r="C8" s="47">
        <v>-1300</v>
      </c>
      <c r="D8" s="47">
        <v>-2500</v>
      </c>
      <c r="E8" s="47">
        <v>-5000</v>
      </c>
      <c r="F8" s="47">
        <v>-5000</v>
      </c>
      <c r="G8" s="47" t="s">
        <v>12</v>
      </c>
      <c r="H8" s="47" t="s">
        <v>12</v>
      </c>
      <c r="I8" s="47" t="s">
        <v>12</v>
      </c>
      <c r="J8" s="47" t="s">
        <v>12</v>
      </c>
      <c r="K8" s="47" t="s">
        <v>12</v>
      </c>
      <c r="L8" s="47" t="s">
        <v>12</v>
      </c>
      <c r="M8" s="47" t="s">
        <v>12</v>
      </c>
    </row>
    <row r="9" spans="1:13" x14ac:dyDescent="0.4">
      <c r="A9" s="15">
        <v>70</v>
      </c>
      <c r="C9" s="47">
        <v>-1500</v>
      </c>
      <c r="D9" s="47">
        <v>-2900</v>
      </c>
      <c r="E9" s="47">
        <v>-5000</v>
      </c>
      <c r="F9" s="47">
        <v>-5000</v>
      </c>
      <c r="G9" s="47" t="s">
        <v>12</v>
      </c>
      <c r="H9" s="47" t="s">
        <v>12</v>
      </c>
      <c r="I9" s="47" t="s">
        <v>12</v>
      </c>
      <c r="J9" s="47" t="s">
        <v>12</v>
      </c>
      <c r="K9" s="47" t="s">
        <v>12</v>
      </c>
      <c r="L9" s="47" t="s">
        <v>12</v>
      </c>
      <c r="M9" s="47" t="s">
        <v>12</v>
      </c>
    </row>
    <row r="10" spans="1:13" x14ac:dyDescent="0.4">
      <c r="A10" s="15">
        <v>80</v>
      </c>
      <c r="C10" s="47">
        <v>-1700</v>
      </c>
      <c r="D10" s="47">
        <v>-3300</v>
      </c>
      <c r="E10" s="47">
        <v>-5000</v>
      </c>
      <c r="F10" s="47">
        <v>-5000</v>
      </c>
      <c r="G10" s="47" t="s">
        <v>12</v>
      </c>
      <c r="H10" s="47" t="s">
        <v>12</v>
      </c>
      <c r="I10" s="47" t="s">
        <v>12</v>
      </c>
      <c r="J10" s="47" t="s">
        <v>12</v>
      </c>
      <c r="K10" s="47" t="s">
        <v>12</v>
      </c>
      <c r="L10" s="47" t="s">
        <v>12</v>
      </c>
      <c r="M10" s="47" t="s">
        <v>12</v>
      </c>
    </row>
    <row r="11" spans="1:13" x14ac:dyDescent="0.4">
      <c r="A11" s="15">
        <v>90</v>
      </c>
      <c r="C11" s="47">
        <v>-1900</v>
      </c>
      <c r="D11" s="47">
        <v>-3700</v>
      </c>
      <c r="E11" s="47">
        <v>-5000</v>
      </c>
      <c r="F11" s="47">
        <v>-5000</v>
      </c>
      <c r="G11" s="47" t="s">
        <v>12</v>
      </c>
      <c r="H11" s="47" t="s">
        <v>12</v>
      </c>
      <c r="I11" s="47" t="s">
        <v>12</v>
      </c>
      <c r="J11" s="47" t="s">
        <v>12</v>
      </c>
      <c r="K11" s="47" t="s">
        <v>12</v>
      </c>
      <c r="L11" s="47" t="s">
        <v>12</v>
      </c>
      <c r="M11" s="47" t="s">
        <v>12</v>
      </c>
    </row>
    <row r="12" spans="1:13" x14ac:dyDescent="0.4">
      <c r="A12" s="15">
        <v>100</v>
      </c>
      <c r="C12" s="47">
        <v>-2000</v>
      </c>
      <c r="D12" s="47">
        <v>-4000</v>
      </c>
      <c r="E12" s="47">
        <v>-5000</v>
      </c>
      <c r="F12" s="47">
        <v>-5000</v>
      </c>
      <c r="G12" s="47" t="s">
        <v>12</v>
      </c>
      <c r="H12" s="47" t="s">
        <v>12</v>
      </c>
      <c r="I12" s="47" t="s">
        <v>12</v>
      </c>
      <c r="J12" s="47" t="s">
        <v>12</v>
      </c>
      <c r="K12" s="47" t="s">
        <v>12</v>
      </c>
      <c r="L12" s="47" t="s">
        <v>12</v>
      </c>
      <c r="M12" s="47" t="s">
        <v>12</v>
      </c>
    </row>
    <row r="13" spans="1:13" x14ac:dyDescent="0.4">
      <c r="A13" s="15">
        <v>110</v>
      </c>
      <c r="C13" s="47" t="s">
        <v>12</v>
      </c>
      <c r="D13" s="47">
        <v>-4500</v>
      </c>
      <c r="E13" s="47">
        <v>-5000</v>
      </c>
      <c r="F13" s="47">
        <v>-5000</v>
      </c>
      <c r="G13" s="47" t="s">
        <v>12</v>
      </c>
      <c r="H13" s="47" t="s">
        <v>12</v>
      </c>
      <c r="I13" s="47" t="s">
        <v>12</v>
      </c>
      <c r="J13" s="47" t="s">
        <v>12</v>
      </c>
      <c r="K13" s="47" t="s">
        <v>12</v>
      </c>
      <c r="L13" s="47" t="s">
        <v>12</v>
      </c>
      <c r="M13" s="47" t="s">
        <v>12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 Fukuzawa</cp:lastModifiedBy>
  <cp:lastPrinted>2018-10-03T09:15:05Z</cp:lastPrinted>
  <dcterms:created xsi:type="dcterms:W3CDTF">2018-10-02T11:54:05Z</dcterms:created>
  <dcterms:modified xsi:type="dcterms:W3CDTF">2018-12-17T03:26:21Z</dcterms:modified>
</cp:coreProperties>
</file>