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\mahjong\三人麻雀\"/>
    </mc:Choice>
  </mc:AlternateContent>
  <xr:revisionPtr revIDLastSave="0" documentId="10_ncr:100000_{25FE662B-3B0B-405D-9C47-03071F2B1115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Y1" i="1" l="1"/>
  <c r="BO1" i="1" l="1"/>
  <c r="AT1" i="1"/>
  <c r="D5" i="1" l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B5" i="1" l="1"/>
  <c r="A5" i="1" s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B6" i="1"/>
  <c r="A6" i="1" s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<sst xmlns="http://schemas.openxmlformats.org/spreadsheetml/2006/main" count="479" uniqueCount="143">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</sst>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26</v>
      </c>
      <c r="E1" s="75" t="s">
        <v>3</v>
      </c>
      <c r="F1" s="66" t="s">
        <v>20</v>
      </c>
      <c r="G1" s="68"/>
      <c r="H1" s="68"/>
      <c r="I1" s="77"/>
      <c r="J1" s="69"/>
      <c r="K1" s="66" t="s">
        <v>21</v>
      </c>
      <c r="L1" s="68"/>
      <c r="M1" s="68"/>
      <c r="N1" s="77"/>
      <c r="O1" s="69"/>
      <c r="P1" s="66" t="s">
        <v>22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10</v>
      </c>
      <c r="H2" s="2" t="s">
        <v>27</v>
      </c>
      <c r="I2" s="62" t="s">
        <v>7</v>
      </c>
      <c r="J2" s="6" t="s">
        <v>4</v>
      </c>
      <c r="K2" s="1" t="s">
        <v>5</v>
      </c>
      <c r="L2" s="2" t="s">
        <v>11</v>
      </c>
      <c r="M2" s="2" t="s">
        <v>27</v>
      </c>
      <c r="N2" s="62" t="s">
        <v>8</v>
      </c>
      <c r="O2" s="6" t="s">
        <v>4</v>
      </c>
      <c r="P2" s="1" t="s">
        <v>5</v>
      </c>
      <c r="Q2" s="2" t="s">
        <v>11</v>
      </c>
      <c r="R2" s="2" t="s">
        <v>27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28</v>
      </c>
      <c r="Z2" s="48" t="s">
        <v>31</v>
      </c>
      <c r="AA2" s="39" t="s">
        <v>29</v>
      </c>
      <c r="AB2" s="39" t="s">
        <v>138</v>
      </c>
      <c r="AC2" s="39" t="s">
        <v>23</v>
      </c>
      <c r="AD2" s="40" t="s">
        <v>24</v>
      </c>
      <c r="AE2" s="70" t="s">
        <v>25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28</v>
      </c>
      <c r="AU2" s="48" t="s">
        <v>31</v>
      </c>
      <c r="AV2" s="39" t="s">
        <v>29</v>
      </c>
      <c r="AW2" s="39" t="s">
        <v>139</v>
      </c>
      <c r="AX2" s="39" t="s">
        <v>23</v>
      </c>
      <c r="AY2" s="40" t="s">
        <v>24</v>
      </c>
      <c r="AZ2" s="70" t="s">
        <v>25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28</v>
      </c>
      <c r="BP2" s="48" t="s">
        <v>31</v>
      </c>
      <c r="BQ2" s="39" t="s">
        <v>29</v>
      </c>
      <c r="BR2" s="39" t="s">
        <v>139</v>
      </c>
      <c r="BS2" s="39" t="s">
        <v>23</v>
      </c>
      <c r="BT2" s="40" t="s">
        <v>24</v>
      </c>
      <c r="BU2" s="70" t="s">
        <v>25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5"/>
      <c r="AT3" s="7"/>
      <c r="AU3" s="49"/>
      <c r="AV3" s="43"/>
      <c r="AW3" s="43"/>
      <c r="AX3" s="43"/>
      <c r="AY3" s="44"/>
      <c r="AZ3" s="53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5"/>
      <c r="BO3" s="7"/>
      <c r="BP3" s="49"/>
      <c r="BQ3" s="43"/>
      <c r="BR3" s="43"/>
      <c r="BS3" s="43"/>
      <c r="BT3" s="44"/>
      <c r="BU3" s="53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5"/>
    </row>
    <row r="4" spans="1:87" x14ac:dyDescent="0.4">
      <c r="A4" s="13" t="s">
        <v>9</v>
      </c>
      <c r="B4" s="27">
        <v>1</v>
      </c>
      <c r="C4" s="27">
        <v>0</v>
      </c>
      <c r="D4" s="27">
        <v>0</v>
      </c>
      <c r="E4" s="4"/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/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/>
      <c r="AD4" s="45"/>
      <c r="AE4" s="56"/>
      <c r="AF4" s="57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/>
      <c r="BT4" s="45"/>
      <c r="BU4" s="56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>IF($E5="","",IF(AND(B4=3,B5=1),_xlfn.SWITCH(A4,"東","南","南","西","西","北","北","東"),A4))</f>
        <v/>
      </c>
      <c r="B5" s="27" t="str">
        <f>IF($E5="","",IF($E4=$E5,B4,IF(B4=3,1,B4+1)))</f>
        <v/>
      </c>
      <c r="C5" s="27" t="str">
        <f>IF($E5="","",IF(F4="チョンボ",C4,IF($E4=$E5,C4+1,0)))</f>
        <v/>
      </c>
      <c r="D5" s="27" t="str">
        <f>IF($E5="","",IF(OR($F4="流局",$F4="チョンボ"),D4+($H4+$M4+$R4)/-1000,0))</f>
        <v/>
      </c>
      <c r="E5" s="4"/>
      <c r="F5" s="8"/>
      <c r="G5" s="9"/>
      <c r="H5" s="9"/>
      <c r="I5" s="64"/>
      <c r="J5" s="30" t="str">
        <f t="shared" ref="J5:J30" si="2">IF(COUNTA($F5,$K5,$P5)&gt;0,J4+SUM(G5:I5),"")</f>
        <v/>
      </c>
      <c r="K5" s="8"/>
      <c r="L5" s="9"/>
      <c r="M5" s="9"/>
      <c r="N5" s="64"/>
      <c r="O5" s="30" t="str">
        <f t="shared" ref="O5:O30" si="3">IF(COUNTA($F5,$K5,$P5)&gt;0,O4+SUM(L5:N5),"")</f>
        <v/>
      </c>
      <c r="P5" s="8"/>
      <c r="Q5" s="9"/>
      <c r="R5" s="9"/>
      <c r="S5" s="64"/>
      <c r="T5" s="30" t="str">
        <f t="shared" ref="T5:T30" si="4">IF(COUNTA($F5,$K5,$P5)&gt;0,T4+SUM(Q5:S5),"")</f>
        <v/>
      </c>
      <c r="U5" s="20" t="str">
        <f t="shared" ref="U5:U30" si="5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/>
      <c r="AY5" s="45"/>
      <c r="AZ5" s="56"/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/>
      <c r="BT5" s="45"/>
      <c r="BU5" s="56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ref="A6:A30" si="6">IF($E6="","",IF(AND(B5=3,B6=1),_xlfn.SWITCH(A5,"東","南","南","西","西","北","北","東"),A5))</f>
        <v/>
      </c>
      <c r="B6" s="27" t="str">
        <f t="shared" ref="B6:B30" si="7">IF($E6="","",IF($E5=$E6,B5,IF(B5=3,1,B5+1)))</f>
        <v/>
      </c>
      <c r="C6" s="27" t="str">
        <f t="shared" ref="C6:C30" si="8">IF($E6="","",IF(F5="チョンボ",C5,IF($E5=$E6,C5+1,0)))</f>
        <v/>
      </c>
      <c r="D6" s="27" t="str">
        <f t="shared" ref="D6:D30" si="9">IF($E6="","",IF(OR($F5="流局",$F5="チョンボ"),D5+($H5+$M5+$R5)/-1000,0))</f>
        <v/>
      </c>
      <c r="E6" s="4"/>
      <c r="F6" s="8"/>
      <c r="G6" s="9"/>
      <c r="H6" s="9"/>
      <c r="I6" s="64"/>
      <c r="J6" s="30" t="str">
        <f t="shared" si="2"/>
        <v/>
      </c>
      <c r="K6" s="8"/>
      <c r="L6" s="9"/>
      <c r="M6" s="9"/>
      <c r="N6" s="64"/>
      <c r="O6" s="30" t="str">
        <f t="shared" si="3"/>
        <v/>
      </c>
      <c r="P6" s="8"/>
      <c r="Q6" s="9"/>
      <c r="R6" s="9"/>
      <c r="S6" s="64"/>
      <c r="T6" s="30" t="str">
        <f t="shared" si="4"/>
        <v/>
      </c>
      <c r="U6" s="20" t="str">
        <f t="shared" si="5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/>
      <c r="AY6" s="45"/>
      <c r="AZ6" s="56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/>
      <c r="BT6" s="45"/>
      <c r="BU6" s="56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si="6"/>
        <v/>
      </c>
      <c r="B7" s="27" t="str">
        <f t="shared" si="7"/>
        <v/>
      </c>
      <c r="C7" s="27" t="str">
        <f t="shared" si="8"/>
        <v/>
      </c>
      <c r="D7" s="27" t="str">
        <f t="shared" si="9"/>
        <v/>
      </c>
      <c r="E7" s="4"/>
      <c r="F7" s="8"/>
      <c r="G7" s="9"/>
      <c r="H7" s="9"/>
      <c r="I7" s="64"/>
      <c r="J7" s="30" t="str">
        <f t="shared" si="2"/>
        <v/>
      </c>
      <c r="K7" s="8"/>
      <c r="L7" s="9"/>
      <c r="M7" s="9"/>
      <c r="N7" s="64"/>
      <c r="O7" s="30" t="str">
        <f t="shared" si="3"/>
        <v/>
      </c>
      <c r="P7" s="8"/>
      <c r="Q7" s="9"/>
      <c r="R7" s="9"/>
      <c r="S7" s="64"/>
      <c r="T7" s="30" t="str">
        <f t="shared" si="4"/>
        <v/>
      </c>
      <c r="U7" s="20" t="str">
        <f t="shared" si="5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/>
      <c r="AD7" s="45"/>
      <c r="AE7" s="56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/>
      <c r="BT7" s="45"/>
      <c r="BU7" s="56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6"/>
        <v/>
      </c>
      <c r="B8" s="27" t="str">
        <f t="shared" si="7"/>
        <v/>
      </c>
      <c r="C8" s="27" t="str">
        <f t="shared" si="8"/>
        <v/>
      </c>
      <c r="D8" s="27" t="str">
        <f t="shared" si="9"/>
        <v/>
      </c>
      <c r="E8" s="4"/>
      <c r="F8" s="8"/>
      <c r="G8" s="9"/>
      <c r="H8" s="9"/>
      <c r="I8" s="64"/>
      <c r="J8" s="30" t="str">
        <f t="shared" si="2"/>
        <v/>
      </c>
      <c r="K8" s="8"/>
      <c r="L8" s="9"/>
      <c r="M8" s="9"/>
      <c r="N8" s="64"/>
      <c r="O8" s="30" t="str">
        <f t="shared" si="3"/>
        <v/>
      </c>
      <c r="P8" s="8"/>
      <c r="Q8" s="9"/>
      <c r="R8" s="9"/>
      <c r="S8" s="64"/>
      <c r="T8" s="30" t="str">
        <f t="shared" si="4"/>
        <v/>
      </c>
      <c r="U8" s="20" t="str">
        <f t="shared" si="5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/>
      <c r="AY8" s="45"/>
      <c r="AZ8" s="56"/>
      <c r="BA8" s="57"/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/>
      <c r="BT8" s="45"/>
      <c r="BU8" s="56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6"/>
        <v/>
      </c>
      <c r="B9" s="27" t="str">
        <f t="shared" si="7"/>
        <v/>
      </c>
      <c r="C9" s="27" t="str">
        <f t="shared" si="8"/>
        <v/>
      </c>
      <c r="D9" s="27" t="str">
        <f t="shared" si="9"/>
        <v/>
      </c>
      <c r="E9" s="4"/>
      <c r="F9" s="8"/>
      <c r="G9" s="9"/>
      <c r="H9" s="9"/>
      <c r="I9" s="64"/>
      <c r="J9" s="30" t="str">
        <f t="shared" si="2"/>
        <v/>
      </c>
      <c r="K9" s="8"/>
      <c r="L9" s="9"/>
      <c r="M9" s="9"/>
      <c r="N9" s="64"/>
      <c r="O9" s="30" t="str">
        <f t="shared" si="3"/>
        <v/>
      </c>
      <c r="P9" s="8"/>
      <c r="Q9" s="9"/>
      <c r="R9" s="9"/>
      <c r="S9" s="64"/>
      <c r="T9" s="30" t="str">
        <f t="shared" si="4"/>
        <v/>
      </c>
      <c r="U9" s="20" t="str">
        <f t="shared" si="5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/>
      <c r="AX9" s="41"/>
      <c r="AY9" s="45"/>
      <c r="AZ9" s="56"/>
      <c r="BA9" s="57"/>
      <c r="BB9" s="57"/>
      <c r="BC9" s="57"/>
      <c r="BD9" s="57"/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6"/>
        <v/>
      </c>
      <c r="B10" s="27" t="str">
        <f t="shared" si="7"/>
        <v/>
      </c>
      <c r="C10" s="27" t="str">
        <f t="shared" si="8"/>
        <v/>
      </c>
      <c r="D10" s="27" t="str">
        <f t="shared" si="9"/>
        <v/>
      </c>
      <c r="E10" s="4"/>
      <c r="F10" s="8"/>
      <c r="G10" s="9"/>
      <c r="H10" s="9"/>
      <c r="I10" s="64"/>
      <c r="J10" s="30" t="str">
        <f t="shared" si="2"/>
        <v/>
      </c>
      <c r="K10" s="8"/>
      <c r="L10" s="9"/>
      <c r="M10" s="9"/>
      <c r="N10" s="64"/>
      <c r="O10" s="30" t="str">
        <f t="shared" si="3"/>
        <v/>
      </c>
      <c r="P10" s="8"/>
      <c r="Q10" s="9"/>
      <c r="R10" s="9"/>
      <c r="S10" s="64"/>
      <c r="T10" s="30" t="str">
        <f t="shared" si="4"/>
        <v/>
      </c>
      <c r="U10" s="20" t="str">
        <f t="shared" si="5"/>
        <v/>
      </c>
      <c r="V10" s="21" t="str">
        <f t="shared" si="0"/>
        <v/>
      </c>
      <c r="W10" s="22" t="str">
        <f t="shared" si="1"/>
        <v/>
      </c>
      <c r="Y10" s="8"/>
      <c r="Z10" s="50"/>
      <c r="AA10" s="41"/>
      <c r="AB10" s="41"/>
      <c r="AC10" s="41"/>
      <c r="AD10" s="45"/>
      <c r="AE10" s="56"/>
      <c r="AF10" s="57"/>
      <c r="AG10" s="57"/>
      <c r="AH10" s="57"/>
      <c r="AI10" s="57"/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/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/>
      <c r="BR10" s="41"/>
      <c r="BS10" s="41"/>
      <c r="BT10" s="45"/>
      <c r="BU10" s="56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6"/>
        <v/>
      </c>
      <c r="B11" s="27" t="str">
        <f t="shared" si="7"/>
        <v/>
      </c>
      <c r="C11" s="27" t="str">
        <f t="shared" si="8"/>
        <v/>
      </c>
      <c r="D11" s="27" t="str">
        <f t="shared" si="9"/>
        <v/>
      </c>
      <c r="E11" s="4"/>
      <c r="F11" s="8"/>
      <c r="G11" s="9"/>
      <c r="H11" s="9"/>
      <c r="I11" s="64"/>
      <c r="J11" s="30" t="str">
        <f t="shared" si="2"/>
        <v/>
      </c>
      <c r="K11" s="8"/>
      <c r="L11" s="9"/>
      <c r="M11" s="9"/>
      <c r="N11" s="64"/>
      <c r="O11" s="30" t="str">
        <f t="shared" si="3"/>
        <v/>
      </c>
      <c r="P11" s="8"/>
      <c r="Q11" s="9"/>
      <c r="R11" s="9"/>
      <c r="S11" s="64"/>
      <c r="T11" s="30" t="str">
        <f t="shared" si="4"/>
        <v/>
      </c>
      <c r="U11" s="20" t="str">
        <f t="shared" si="5"/>
        <v/>
      </c>
      <c r="V11" s="21" t="str">
        <f t="shared" si="0"/>
        <v/>
      </c>
      <c r="W11" s="22" t="str">
        <f t="shared" si="1"/>
        <v/>
      </c>
      <c r="Y11" s="8"/>
      <c r="Z11" s="50"/>
      <c r="AA11" s="41"/>
      <c r="AB11" s="41"/>
      <c r="AC11" s="41"/>
      <c r="AD11" s="45"/>
      <c r="AE11" s="56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/>
      <c r="AW11" s="41"/>
      <c r="AX11" s="41"/>
      <c r="AY11" s="45"/>
      <c r="AZ11" s="56"/>
      <c r="BA11" s="57"/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/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6"/>
        <v/>
      </c>
      <c r="B12" s="27" t="str">
        <f t="shared" si="7"/>
        <v/>
      </c>
      <c r="C12" s="27" t="str">
        <f t="shared" si="8"/>
        <v/>
      </c>
      <c r="D12" s="27" t="str">
        <f t="shared" si="9"/>
        <v/>
      </c>
      <c r="E12" s="4"/>
      <c r="F12" s="8"/>
      <c r="G12" s="9"/>
      <c r="H12" s="9"/>
      <c r="I12" s="64"/>
      <c r="J12" s="30" t="str">
        <f t="shared" si="2"/>
        <v/>
      </c>
      <c r="K12" s="8"/>
      <c r="L12" s="9"/>
      <c r="M12" s="9"/>
      <c r="N12" s="64"/>
      <c r="O12" s="30" t="str">
        <f t="shared" si="3"/>
        <v/>
      </c>
      <c r="P12" s="8"/>
      <c r="Q12" s="9"/>
      <c r="R12" s="9"/>
      <c r="S12" s="64"/>
      <c r="T12" s="30" t="str">
        <f t="shared" si="4"/>
        <v/>
      </c>
      <c r="U12" s="20" t="str">
        <f t="shared" si="5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/>
      <c r="AY12" s="45"/>
      <c r="AZ12" s="56"/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6"/>
        <v/>
      </c>
      <c r="B13" s="27" t="str">
        <f t="shared" si="7"/>
        <v/>
      </c>
      <c r="C13" s="27" t="str">
        <f t="shared" si="8"/>
        <v/>
      </c>
      <c r="D13" s="27" t="str">
        <f t="shared" si="9"/>
        <v/>
      </c>
      <c r="E13" s="4"/>
      <c r="F13" s="8"/>
      <c r="G13" s="9"/>
      <c r="H13" s="9"/>
      <c r="I13" s="64"/>
      <c r="J13" s="30" t="str">
        <f t="shared" si="2"/>
        <v/>
      </c>
      <c r="K13" s="8"/>
      <c r="L13" s="9"/>
      <c r="M13" s="9"/>
      <c r="N13" s="64"/>
      <c r="O13" s="30" t="str">
        <f t="shared" si="3"/>
        <v/>
      </c>
      <c r="P13" s="8"/>
      <c r="Q13" s="9"/>
      <c r="R13" s="9"/>
      <c r="S13" s="64"/>
      <c r="T13" s="30" t="str">
        <f t="shared" si="4"/>
        <v/>
      </c>
      <c r="U13" s="20" t="str">
        <f t="shared" si="5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/>
      <c r="AD13" s="45"/>
      <c r="AE13" s="56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/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6"/>
        <v/>
      </c>
      <c r="B14" s="27" t="str">
        <f t="shared" si="7"/>
        <v/>
      </c>
      <c r="C14" s="27" t="str">
        <f t="shared" si="8"/>
        <v/>
      </c>
      <c r="D14" s="27" t="str">
        <f t="shared" si="9"/>
        <v/>
      </c>
      <c r="E14" s="4"/>
      <c r="F14" s="8"/>
      <c r="G14" s="9"/>
      <c r="H14" s="9"/>
      <c r="I14" s="64"/>
      <c r="J14" s="30" t="str">
        <f t="shared" si="2"/>
        <v/>
      </c>
      <c r="K14" s="8"/>
      <c r="L14" s="9"/>
      <c r="M14" s="9"/>
      <c r="N14" s="64"/>
      <c r="O14" s="30" t="str">
        <f t="shared" si="3"/>
        <v/>
      </c>
      <c r="P14" s="8"/>
      <c r="Q14" s="9"/>
      <c r="R14" s="9"/>
      <c r="S14" s="64"/>
      <c r="T14" s="30" t="str">
        <f t="shared" si="4"/>
        <v/>
      </c>
      <c r="U14" s="20" t="str">
        <f t="shared" si="5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6"/>
        <v/>
      </c>
      <c r="B15" s="27" t="str">
        <f t="shared" si="7"/>
        <v/>
      </c>
      <c r="C15" s="27" t="str">
        <f t="shared" si="8"/>
        <v/>
      </c>
      <c r="D15" s="27" t="str">
        <f t="shared" si="9"/>
        <v/>
      </c>
      <c r="E15" s="4"/>
      <c r="F15" s="8"/>
      <c r="G15" s="9"/>
      <c r="H15" s="9"/>
      <c r="I15" s="64"/>
      <c r="J15" s="30" t="str">
        <f t="shared" si="2"/>
        <v/>
      </c>
      <c r="K15" s="8"/>
      <c r="L15" s="9"/>
      <c r="M15" s="9"/>
      <c r="N15" s="64"/>
      <c r="O15" s="30" t="str">
        <f t="shared" si="3"/>
        <v/>
      </c>
      <c r="P15" s="8"/>
      <c r="Q15" s="9"/>
      <c r="R15" s="9"/>
      <c r="S15" s="64"/>
      <c r="T15" s="30" t="str">
        <f t="shared" si="4"/>
        <v/>
      </c>
      <c r="U15" s="20" t="str">
        <f t="shared" si="5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6"/>
        <v/>
      </c>
      <c r="B16" s="27" t="str">
        <f t="shared" si="7"/>
        <v/>
      </c>
      <c r="C16" s="27" t="str">
        <f t="shared" si="8"/>
        <v/>
      </c>
      <c r="D16" s="27" t="str">
        <f t="shared" si="9"/>
        <v/>
      </c>
      <c r="E16" s="4"/>
      <c r="F16" s="8"/>
      <c r="G16" s="9"/>
      <c r="H16" s="9"/>
      <c r="I16" s="64"/>
      <c r="J16" s="30" t="str">
        <f t="shared" si="2"/>
        <v/>
      </c>
      <c r="K16" s="8"/>
      <c r="L16" s="9"/>
      <c r="M16" s="9"/>
      <c r="N16" s="64"/>
      <c r="O16" s="30" t="str">
        <f t="shared" si="3"/>
        <v/>
      </c>
      <c r="P16" s="8"/>
      <c r="Q16" s="9"/>
      <c r="R16" s="9"/>
      <c r="S16" s="64"/>
      <c r="T16" s="30" t="str">
        <f t="shared" si="4"/>
        <v/>
      </c>
      <c r="U16" s="20" t="str">
        <f t="shared" si="5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6"/>
        <v/>
      </c>
      <c r="B17" s="27" t="str">
        <f t="shared" si="7"/>
        <v/>
      </c>
      <c r="C17" s="27" t="str">
        <f t="shared" si="8"/>
        <v/>
      </c>
      <c r="D17" s="27" t="str">
        <f t="shared" si="9"/>
        <v/>
      </c>
      <c r="E17" s="4"/>
      <c r="F17" s="8"/>
      <c r="G17" s="9"/>
      <c r="H17" s="9"/>
      <c r="I17" s="64"/>
      <c r="J17" s="30" t="str">
        <f t="shared" si="2"/>
        <v/>
      </c>
      <c r="K17" s="8"/>
      <c r="L17" s="9"/>
      <c r="M17" s="9"/>
      <c r="N17" s="64"/>
      <c r="O17" s="30" t="str">
        <f t="shared" si="3"/>
        <v/>
      </c>
      <c r="P17" s="8"/>
      <c r="Q17" s="9"/>
      <c r="R17" s="9"/>
      <c r="S17" s="64"/>
      <c r="T17" s="30" t="str">
        <f t="shared" si="4"/>
        <v/>
      </c>
      <c r="U17" s="20" t="str">
        <f t="shared" si="5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6"/>
        <v/>
      </c>
      <c r="B18" s="27" t="str">
        <f t="shared" si="7"/>
        <v/>
      </c>
      <c r="C18" s="27" t="str">
        <f t="shared" si="8"/>
        <v/>
      </c>
      <c r="D18" s="27" t="str">
        <f t="shared" si="9"/>
        <v/>
      </c>
      <c r="E18" s="4"/>
      <c r="F18" s="8"/>
      <c r="G18" s="9"/>
      <c r="H18" s="9"/>
      <c r="I18" s="64"/>
      <c r="J18" s="30" t="str">
        <f t="shared" si="2"/>
        <v/>
      </c>
      <c r="K18" s="8"/>
      <c r="L18" s="9"/>
      <c r="M18" s="9"/>
      <c r="N18" s="64"/>
      <c r="O18" s="30" t="str">
        <f t="shared" si="3"/>
        <v/>
      </c>
      <c r="P18" s="8"/>
      <c r="Q18" s="9"/>
      <c r="R18" s="9"/>
      <c r="S18" s="64"/>
      <c r="T18" s="30" t="str">
        <f t="shared" si="4"/>
        <v/>
      </c>
      <c r="U18" s="20" t="str">
        <f t="shared" si="5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6"/>
        <v/>
      </c>
      <c r="B19" s="27" t="str">
        <f t="shared" si="7"/>
        <v/>
      </c>
      <c r="C19" s="27" t="str">
        <f t="shared" si="8"/>
        <v/>
      </c>
      <c r="D19" s="27" t="str">
        <f t="shared" si="9"/>
        <v/>
      </c>
      <c r="E19" s="4"/>
      <c r="F19" s="8"/>
      <c r="G19" s="9"/>
      <c r="H19" s="9"/>
      <c r="I19" s="64"/>
      <c r="J19" s="30" t="str">
        <f t="shared" si="2"/>
        <v/>
      </c>
      <c r="K19" s="8"/>
      <c r="L19" s="9"/>
      <c r="M19" s="9"/>
      <c r="N19" s="64"/>
      <c r="O19" s="30" t="str">
        <f t="shared" si="3"/>
        <v/>
      </c>
      <c r="P19" s="8"/>
      <c r="Q19" s="9"/>
      <c r="R19" s="9"/>
      <c r="S19" s="64"/>
      <c r="T19" s="30" t="str">
        <f t="shared" si="4"/>
        <v/>
      </c>
      <c r="U19" s="20" t="str">
        <f t="shared" si="5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6"/>
        <v/>
      </c>
      <c r="B20" s="27" t="str">
        <f t="shared" si="7"/>
        <v/>
      </c>
      <c r="C20" s="27" t="str">
        <f t="shared" si="8"/>
        <v/>
      </c>
      <c r="D20" s="27" t="str">
        <f t="shared" si="9"/>
        <v/>
      </c>
      <c r="E20" s="4"/>
      <c r="F20" s="8"/>
      <c r="G20" s="9"/>
      <c r="H20" s="9"/>
      <c r="I20" s="64"/>
      <c r="J20" s="30" t="str">
        <f t="shared" si="2"/>
        <v/>
      </c>
      <c r="K20" s="8"/>
      <c r="L20" s="9"/>
      <c r="M20" s="9"/>
      <c r="N20" s="64"/>
      <c r="O20" s="30" t="str">
        <f t="shared" si="3"/>
        <v/>
      </c>
      <c r="P20" s="8"/>
      <c r="Q20" s="9"/>
      <c r="R20" s="9"/>
      <c r="S20" s="64"/>
      <c r="T20" s="30" t="str">
        <f t="shared" si="4"/>
        <v/>
      </c>
      <c r="U20" s="20" t="str">
        <f t="shared" si="5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6"/>
        <v/>
      </c>
      <c r="B21" s="27" t="str">
        <f t="shared" si="7"/>
        <v/>
      </c>
      <c r="C21" s="27" t="str">
        <f t="shared" si="8"/>
        <v/>
      </c>
      <c r="D21" s="27" t="str">
        <f t="shared" si="9"/>
        <v/>
      </c>
      <c r="E21" s="4"/>
      <c r="F21" s="8"/>
      <c r="G21" s="9"/>
      <c r="H21" s="9"/>
      <c r="I21" s="64"/>
      <c r="J21" s="30" t="str">
        <f t="shared" si="2"/>
        <v/>
      </c>
      <c r="K21" s="8"/>
      <c r="L21" s="9"/>
      <c r="M21" s="9"/>
      <c r="N21" s="64"/>
      <c r="O21" s="30" t="str">
        <f t="shared" si="3"/>
        <v/>
      </c>
      <c r="P21" s="8"/>
      <c r="Q21" s="9"/>
      <c r="R21" s="9"/>
      <c r="S21" s="64"/>
      <c r="T21" s="30" t="str">
        <f t="shared" si="4"/>
        <v/>
      </c>
      <c r="U21" s="20" t="str">
        <f t="shared" si="5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6"/>
        <v/>
      </c>
      <c r="B22" s="27" t="str">
        <f t="shared" si="7"/>
        <v/>
      </c>
      <c r="C22" s="27" t="str">
        <f t="shared" si="8"/>
        <v/>
      </c>
      <c r="D22" s="27" t="str">
        <f t="shared" si="9"/>
        <v/>
      </c>
      <c r="E22" s="4"/>
      <c r="F22" s="8"/>
      <c r="G22" s="9"/>
      <c r="H22" s="9"/>
      <c r="I22" s="64"/>
      <c r="J22" s="30" t="str">
        <f t="shared" si="2"/>
        <v/>
      </c>
      <c r="K22" s="8"/>
      <c r="L22" s="9"/>
      <c r="M22" s="9"/>
      <c r="N22" s="64"/>
      <c r="O22" s="30" t="str">
        <f t="shared" si="3"/>
        <v/>
      </c>
      <c r="P22" s="8"/>
      <c r="Q22" s="9"/>
      <c r="R22" s="9"/>
      <c r="S22" s="64"/>
      <c r="T22" s="30" t="str">
        <f t="shared" si="4"/>
        <v/>
      </c>
      <c r="U22" s="20" t="str">
        <f t="shared" si="5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6"/>
        <v/>
      </c>
      <c r="B23" s="27" t="str">
        <f t="shared" si="7"/>
        <v/>
      </c>
      <c r="C23" s="27" t="str">
        <f t="shared" si="8"/>
        <v/>
      </c>
      <c r="D23" s="27" t="str">
        <f t="shared" si="9"/>
        <v/>
      </c>
      <c r="E23" s="4"/>
      <c r="F23" s="8"/>
      <c r="G23" s="9"/>
      <c r="H23" s="9"/>
      <c r="I23" s="64"/>
      <c r="J23" s="30" t="str">
        <f t="shared" si="2"/>
        <v/>
      </c>
      <c r="K23" s="8"/>
      <c r="L23" s="9"/>
      <c r="M23" s="9"/>
      <c r="N23" s="64"/>
      <c r="O23" s="30" t="str">
        <f t="shared" si="3"/>
        <v/>
      </c>
      <c r="P23" s="8"/>
      <c r="Q23" s="9"/>
      <c r="R23" s="9"/>
      <c r="S23" s="64"/>
      <c r="T23" s="30" t="str">
        <f t="shared" si="4"/>
        <v/>
      </c>
      <c r="U23" s="20" t="str">
        <f t="shared" si="5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6"/>
        <v/>
      </c>
      <c r="B24" s="27" t="str">
        <f t="shared" si="7"/>
        <v/>
      </c>
      <c r="C24" s="27" t="str">
        <f t="shared" si="8"/>
        <v/>
      </c>
      <c r="D24" s="27" t="str">
        <f t="shared" si="9"/>
        <v/>
      </c>
      <c r="E24" s="4"/>
      <c r="F24" s="8"/>
      <c r="G24" s="9"/>
      <c r="H24" s="9"/>
      <c r="I24" s="64"/>
      <c r="J24" s="30" t="str">
        <f t="shared" si="2"/>
        <v/>
      </c>
      <c r="K24" s="8"/>
      <c r="L24" s="9"/>
      <c r="M24" s="9"/>
      <c r="N24" s="64"/>
      <c r="O24" s="30" t="str">
        <f t="shared" si="3"/>
        <v/>
      </c>
      <c r="P24" s="8"/>
      <c r="Q24" s="9"/>
      <c r="R24" s="9"/>
      <c r="S24" s="64"/>
      <c r="T24" s="30" t="str">
        <f t="shared" si="4"/>
        <v/>
      </c>
      <c r="U24" s="20" t="str">
        <f t="shared" si="5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6"/>
        <v/>
      </c>
      <c r="B25" s="27" t="str">
        <f t="shared" si="7"/>
        <v/>
      </c>
      <c r="C25" s="27" t="str">
        <f t="shared" si="8"/>
        <v/>
      </c>
      <c r="D25" s="27" t="str">
        <f t="shared" si="9"/>
        <v/>
      </c>
      <c r="E25" s="4"/>
      <c r="F25" s="8"/>
      <c r="G25" s="9"/>
      <c r="H25" s="9"/>
      <c r="I25" s="64"/>
      <c r="J25" s="30" t="str">
        <f t="shared" si="2"/>
        <v/>
      </c>
      <c r="K25" s="8"/>
      <c r="L25" s="9"/>
      <c r="M25" s="9"/>
      <c r="N25" s="64"/>
      <c r="O25" s="30" t="str">
        <f t="shared" si="3"/>
        <v/>
      </c>
      <c r="P25" s="8"/>
      <c r="Q25" s="9"/>
      <c r="R25" s="9"/>
      <c r="S25" s="64"/>
      <c r="T25" s="30" t="str">
        <f t="shared" si="4"/>
        <v/>
      </c>
      <c r="U25" s="20" t="str">
        <f t="shared" si="5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6"/>
        <v/>
      </c>
      <c r="B26" s="27" t="str">
        <f t="shared" si="7"/>
        <v/>
      </c>
      <c r="C26" s="27" t="str">
        <f t="shared" si="8"/>
        <v/>
      </c>
      <c r="D26" s="27" t="str">
        <f t="shared" si="9"/>
        <v/>
      </c>
      <c r="E26" s="4"/>
      <c r="F26" s="8"/>
      <c r="G26" s="9"/>
      <c r="H26" s="9"/>
      <c r="I26" s="64"/>
      <c r="J26" s="30" t="str">
        <f t="shared" si="2"/>
        <v/>
      </c>
      <c r="K26" s="8"/>
      <c r="L26" s="9"/>
      <c r="M26" s="9"/>
      <c r="N26" s="64"/>
      <c r="O26" s="30" t="str">
        <f t="shared" si="3"/>
        <v/>
      </c>
      <c r="P26" s="8"/>
      <c r="Q26" s="9"/>
      <c r="R26" s="9"/>
      <c r="S26" s="64"/>
      <c r="T26" s="30" t="str">
        <f t="shared" si="4"/>
        <v/>
      </c>
      <c r="U26" s="20" t="str">
        <f t="shared" si="5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6"/>
        <v/>
      </c>
      <c r="B27" s="27" t="str">
        <f t="shared" si="7"/>
        <v/>
      </c>
      <c r="C27" s="27" t="str">
        <f t="shared" si="8"/>
        <v/>
      </c>
      <c r="D27" s="27" t="str">
        <f t="shared" si="9"/>
        <v/>
      </c>
      <c r="E27" s="4"/>
      <c r="F27" s="8"/>
      <c r="G27" s="9"/>
      <c r="H27" s="9"/>
      <c r="I27" s="64"/>
      <c r="J27" s="30" t="str">
        <f t="shared" si="2"/>
        <v/>
      </c>
      <c r="K27" s="8"/>
      <c r="L27" s="9"/>
      <c r="M27" s="9"/>
      <c r="N27" s="64"/>
      <c r="O27" s="30" t="str">
        <f t="shared" si="3"/>
        <v/>
      </c>
      <c r="P27" s="8"/>
      <c r="Q27" s="9"/>
      <c r="R27" s="9"/>
      <c r="S27" s="64"/>
      <c r="T27" s="30" t="str">
        <f t="shared" si="4"/>
        <v/>
      </c>
      <c r="U27" s="20" t="str">
        <f t="shared" si="5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6"/>
        <v/>
      </c>
      <c r="B28" s="27" t="str">
        <f t="shared" si="7"/>
        <v/>
      </c>
      <c r="C28" s="27" t="str">
        <f t="shared" si="8"/>
        <v/>
      </c>
      <c r="D28" s="27" t="str">
        <f t="shared" si="9"/>
        <v/>
      </c>
      <c r="E28" s="4"/>
      <c r="F28" s="8"/>
      <c r="G28" s="9"/>
      <c r="H28" s="9"/>
      <c r="I28" s="64"/>
      <c r="J28" s="30" t="str">
        <f t="shared" si="2"/>
        <v/>
      </c>
      <c r="K28" s="8"/>
      <c r="L28" s="9"/>
      <c r="M28" s="9"/>
      <c r="N28" s="64"/>
      <c r="O28" s="30" t="str">
        <f t="shared" si="3"/>
        <v/>
      </c>
      <c r="P28" s="8"/>
      <c r="Q28" s="9"/>
      <c r="R28" s="9"/>
      <c r="S28" s="64"/>
      <c r="T28" s="30" t="str">
        <f t="shared" si="4"/>
        <v/>
      </c>
      <c r="U28" s="20" t="str">
        <f t="shared" si="5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6"/>
        <v/>
      </c>
      <c r="B29" s="27" t="str">
        <f t="shared" si="7"/>
        <v/>
      </c>
      <c r="C29" s="27" t="str">
        <f t="shared" si="8"/>
        <v/>
      </c>
      <c r="D29" s="27" t="str">
        <f t="shared" si="9"/>
        <v/>
      </c>
      <c r="E29" s="4"/>
      <c r="F29" s="8"/>
      <c r="G29" s="9"/>
      <c r="H29" s="9"/>
      <c r="I29" s="64"/>
      <c r="J29" s="30" t="str">
        <f t="shared" si="2"/>
        <v/>
      </c>
      <c r="K29" s="8"/>
      <c r="L29" s="9"/>
      <c r="M29" s="9"/>
      <c r="N29" s="64"/>
      <c r="O29" s="30" t="str">
        <f t="shared" si="3"/>
        <v/>
      </c>
      <c r="P29" s="8"/>
      <c r="Q29" s="9"/>
      <c r="R29" s="9"/>
      <c r="S29" s="64"/>
      <c r="T29" s="30" t="str">
        <f t="shared" si="4"/>
        <v/>
      </c>
      <c r="U29" s="20" t="str">
        <f t="shared" si="5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6"/>
        <v/>
      </c>
      <c r="B30" s="28" t="str">
        <f t="shared" si="7"/>
        <v/>
      </c>
      <c r="C30" s="28" t="str">
        <f t="shared" si="8"/>
        <v/>
      </c>
      <c r="D30" s="28" t="str">
        <f t="shared" si="9"/>
        <v/>
      </c>
      <c r="E30" s="5"/>
      <c r="F30" s="10"/>
      <c r="G30" s="11"/>
      <c r="H30" s="11"/>
      <c r="I30" s="65"/>
      <c r="J30" s="31" t="str">
        <f t="shared" si="2"/>
        <v/>
      </c>
      <c r="K30" s="10"/>
      <c r="L30" s="11"/>
      <c r="M30" s="11"/>
      <c r="N30" s="65"/>
      <c r="O30" s="31" t="str">
        <f t="shared" si="3"/>
        <v/>
      </c>
      <c r="P30" s="10"/>
      <c r="Q30" s="11"/>
      <c r="R30" s="11"/>
      <c r="S30" s="65"/>
      <c r="T30" s="31" t="str">
        <f t="shared" si="4"/>
        <v/>
      </c>
      <c r="U30" s="23" t="str">
        <f t="shared" si="5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32</v>
      </c>
      <c r="B1" s="15" t="s">
        <v>33</v>
      </c>
      <c r="C1" s="15" t="s">
        <v>34</v>
      </c>
      <c r="D1" s="15" t="s">
        <v>35</v>
      </c>
      <c r="E1" s="52" t="s">
        <v>36</v>
      </c>
    </row>
    <row r="2" spans="1:5" x14ac:dyDescent="0.4">
      <c r="A2" s="52" t="s">
        <v>84</v>
      </c>
      <c r="B2" s="15" t="s">
        <v>37</v>
      </c>
      <c r="C2" s="15">
        <v>1</v>
      </c>
    </row>
    <row r="3" spans="1:5" x14ac:dyDescent="0.4">
      <c r="A3" s="52" t="s">
        <v>85</v>
      </c>
      <c r="B3" s="15" t="s">
        <v>38</v>
      </c>
      <c r="C3" s="15">
        <v>1</v>
      </c>
    </row>
    <row r="4" spans="1:5" x14ac:dyDescent="0.4">
      <c r="A4" s="52" t="s">
        <v>86</v>
      </c>
      <c r="B4" s="15" t="s">
        <v>39</v>
      </c>
      <c r="C4" s="15">
        <v>1</v>
      </c>
      <c r="D4" s="15">
        <v>1</v>
      </c>
    </row>
    <row r="5" spans="1:5" x14ac:dyDescent="0.4">
      <c r="A5" s="52" t="s">
        <v>87</v>
      </c>
      <c r="B5" s="15" t="s">
        <v>40</v>
      </c>
      <c r="C5" s="15">
        <v>1</v>
      </c>
      <c r="E5" s="52" t="s">
        <v>134</v>
      </c>
    </row>
    <row r="6" spans="1:5" x14ac:dyDescent="0.4">
      <c r="A6" s="52" t="s">
        <v>88</v>
      </c>
      <c r="B6" s="15" t="s">
        <v>41</v>
      </c>
      <c r="C6" s="15">
        <v>1</v>
      </c>
      <c r="D6" s="15">
        <v>1</v>
      </c>
    </row>
    <row r="7" spans="1:5" x14ac:dyDescent="0.4">
      <c r="A7" s="52" t="s">
        <v>89</v>
      </c>
      <c r="B7" s="15" t="s">
        <v>42</v>
      </c>
      <c r="C7" s="15">
        <v>1</v>
      </c>
    </row>
    <row r="8" spans="1:5" x14ac:dyDescent="0.4">
      <c r="A8" s="52" t="s">
        <v>90</v>
      </c>
      <c r="B8" s="15" t="s">
        <v>43</v>
      </c>
      <c r="C8" s="15">
        <v>1</v>
      </c>
    </row>
    <row r="9" spans="1:5" x14ac:dyDescent="0.4">
      <c r="A9" s="52" t="s">
        <v>91</v>
      </c>
      <c r="B9" s="15" t="s">
        <v>44</v>
      </c>
      <c r="C9" s="15">
        <v>1</v>
      </c>
    </row>
    <row r="10" spans="1:5" x14ac:dyDescent="0.4">
      <c r="A10" s="52" t="s">
        <v>92</v>
      </c>
      <c r="B10" s="15" t="s">
        <v>140</v>
      </c>
      <c r="C10" s="15">
        <v>1</v>
      </c>
      <c r="D10" s="15">
        <v>1</v>
      </c>
    </row>
    <row r="11" spans="1:5" x14ac:dyDescent="0.4">
      <c r="A11" s="52" t="s">
        <v>93</v>
      </c>
      <c r="B11" s="15" t="s">
        <v>45</v>
      </c>
      <c r="C11" s="15">
        <v>1</v>
      </c>
      <c r="D11" s="15">
        <v>1</v>
      </c>
    </row>
    <row r="12" spans="1:5" x14ac:dyDescent="0.4">
      <c r="A12" s="52" t="s">
        <v>94</v>
      </c>
      <c r="B12" s="15" t="s">
        <v>46</v>
      </c>
      <c r="C12" s="15">
        <v>1</v>
      </c>
      <c r="D12" s="15">
        <v>1</v>
      </c>
    </row>
    <row r="13" spans="1:5" x14ac:dyDescent="0.4">
      <c r="A13" s="52" t="s">
        <v>95</v>
      </c>
      <c r="B13" s="15" t="s">
        <v>47</v>
      </c>
      <c r="C13" s="15">
        <v>1</v>
      </c>
      <c r="D13" s="15">
        <v>1</v>
      </c>
    </row>
    <row r="14" spans="1:5" x14ac:dyDescent="0.4">
      <c r="A14" s="52" t="s">
        <v>96</v>
      </c>
      <c r="B14" s="15" t="s">
        <v>48</v>
      </c>
      <c r="C14" s="15">
        <v>1</v>
      </c>
      <c r="D14" s="15">
        <v>1</v>
      </c>
    </row>
    <row r="15" spans="1:5" x14ac:dyDescent="0.4">
      <c r="A15" s="52" t="s">
        <v>97</v>
      </c>
      <c r="B15" s="15" t="s">
        <v>49</v>
      </c>
      <c r="C15" s="15">
        <v>1</v>
      </c>
      <c r="D15" s="15">
        <v>1</v>
      </c>
    </row>
    <row r="16" spans="1:5" x14ac:dyDescent="0.4">
      <c r="A16" s="52" t="s">
        <v>98</v>
      </c>
      <c r="B16" s="15" t="s">
        <v>50</v>
      </c>
      <c r="C16" s="15">
        <v>2</v>
      </c>
      <c r="E16" s="52" t="s">
        <v>84</v>
      </c>
    </row>
    <row r="17" spans="1:4" x14ac:dyDescent="0.4">
      <c r="A17" s="52" t="s">
        <v>99</v>
      </c>
      <c r="B17" s="15" t="s">
        <v>51</v>
      </c>
      <c r="C17" s="15">
        <v>2</v>
      </c>
      <c r="D17" s="15">
        <v>1</v>
      </c>
    </row>
    <row r="18" spans="1:4" x14ac:dyDescent="0.4">
      <c r="A18" s="52" t="s">
        <v>100</v>
      </c>
      <c r="B18" s="15" t="s">
        <v>142</v>
      </c>
      <c r="C18" s="15">
        <v>2</v>
      </c>
      <c r="D18" s="15">
        <v>1</v>
      </c>
    </row>
    <row r="19" spans="1:4" x14ac:dyDescent="0.4">
      <c r="A19" s="52" t="s">
        <v>101</v>
      </c>
      <c r="B19" s="15" t="s">
        <v>52</v>
      </c>
      <c r="C19" s="15">
        <v>2</v>
      </c>
      <c r="D19" s="15">
        <v>1</v>
      </c>
    </row>
    <row r="20" spans="1:4" x14ac:dyDescent="0.4">
      <c r="A20" s="52" t="s">
        <v>102</v>
      </c>
      <c r="B20" s="15" t="s">
        <v>53</v>
      </c>
      <c r="C20" s="15">
        <v>2</v>
      </c>
      <c r="D20" s="15">
        <v>2</v>
      </c>
    </row>
    <row r="21" spans="1:4" x14ac:dyDescent="0.4">
      <c r="A21" s="52" t="s">
        <v>103</v>
      </c>
      <c r="B21" s="15" t="s">
        <v>54</v>
      </c>
      <c r="C21" s="15">
        <v>2</v>
      </c>
      <c r="D21" s="15">
        <v>2</v>
      </c>
    </row>
    <row r="22" spans="1:4" x14ac:dyDescent="0.4">
      <c r="A22" s="52" t="s">
        <v>104</v>
      </c>
      <c r="B22" s="15" t="s">
        <v>55</v>
      </c>
      <c r="C22" s="15">
        <v>2</v>
      </c>
      <c r="D22" s="15">
        <v>2</v>
      </c>
    </row>
    <row r="23" spans="1:4" x14ac:dyDescent="0.4">
      <c r="A23" s="52" t="s">
        <v>105</v>
      </c>
      <c r="B23" s="15" t="s">
        <v>56</v>
      </c>
      <c r="C23" s="15">
        <v>2</v>
      </c>
      <c r="D23" s="15">
        <v>2</v>
      </c>
    </row>
    <row r="24" spans="1:4" x14ac:dyDescent="0.4">
      <c r="A24" s="52" t="s">
        <v>106</v>
      </c>
      <c r="B24" s="15" t="s">
        <v>57</v>
      </c>
      <c r="C24" s="15">
        <v>2</v>
      </c>
      <c r="D24" s="15">
        <v>2</v>
      </c>
    </row>
    <row r="25" spans="1:4" x14ac:dyDescent="0.4">
      <c r="A25" s="52" t="s">
        <v>107</v>
      </c>
      <c r="B25" s="15" t="s">
        <v>58</v>
      </c>
      <c r="C25" s="15">
        <v>2</v>
      </c>
      <c r="D25" s="15">
        <v>2</v>
      </c>
    </row>
    <row r="26" spans="1:4" x14ac:dyDescent="0.4">
      <c r="A26" s="52" t="s">
        <v>108</v>
      </c>
      <c r="B26" s="15" t="s">
        <v>59</v>
      </c>
      <c r="C26" s="15">
        <v>2</v>
      </c>
    </row>
    <row r="27" spans="1:4" x14ac:dyDescent="0.4">
      <c r="A27" s="52" t="s">
        <v>109</v>
      </c>
      <c r="B27" s="15" t="s">
        <v>60</v>
      </c>
      <c r="C27" s="15">
        <v>3</v>
      </c>
    </row>
    <row r="28" spans="1:4" x14ac:dyDescent="0.4">
      <c r="A28" s="52" t="s">
        <v>110</v>
      </c>
      <c r="B28" s="15" t="s">
        <v>141</v>
      </c>
      <c r="C28" s="15">
        <v>3</v>
      </c>
      <c r="D28" s="15">
        <v>2</v>
      </c>
    </row>
    <row r="29" spans="1:4" x14ac:dyDescent="0.4">
      <c r="A29" s="52" t="s">
        <v>111</v>
      </c>
      <c r="B29" s="15" t="s">
        <v>61</v>
      </c>
      <c r="C29" s="15">
        <v>3</v>
      </c>
      <c r="D29" s="15">
        <v>2</v>
      </c>
    </row>
    <row r="30" spans="1:4" x14ac:dyDescent="0.4">
      <c r="A30" s="52" t="s">
        <v>112</v>
      </c>
      <c r="B30" s="15" t="s">
        <v>62</v>
      </c>
      <c r="C30" s="15">
        <v>5</v>
      </c>
    </row>
    <row r="31" spans="1:4" x14ac:dyDescent="0.4">
      <c r="A31" s="52" t="s">
        <v>113</v>
      </c>
      <c r="B31" s="15" t="s">
        <v>63</v>
      </c>
      <c r="C31" s="15">
        <v>6</v>
      </c>
      <c r="D31" s="15">
        <v>5</v>
      </c>
    </row>
    <row r="32" spans="1:4" x14ac:dyDescent="0.4">
      <c r="A32" s="52" t="s">
        <v>114</v>
      </c>
      <c r="B32" s="15" t="s">
        <v>64</v>
      </c>
      <c r="C32" s="15">
        <v>13</v>
      </c>
    </row>
    <row r="33" spans="1:5" x14ac:dyDescent="0.4">
      <c r="A33" s="52" t="s">
        <v>115</v>
      </c>
      <c r="B33" s="15" t="s">
        <v>65</v>
      </c>
      <c r="C33" s="15">
        <v>13</v>
      </c>
    </row>
    <row r="34" spans="1:5" x14ac:dyDescent="0.4">
      <c r="A34" s="52" t="s">
        <v>116</v>
      </c>
      <c r="B34" s="15" t="s">
        <v>66</v>
      </c>
      <c r="C34" s="15">
        <v>13</v>
      </c>
      <c r="D34" s="15">
        <v>13</v>
      </c>
    </row>
    <row r="35" spans="1:5" x14ac:dyDescent="0.4">
      <c r="A35" s="52" t="s">
        <v>117</v>
      </c>
      <c r="B35" s="15" t="s">
        <v>67</v>
      </c>
      <c r="C35" s="15">
        <v>13</v>
      </c>
      <c r="D35" s="15">
        <v>13</v>
      </c>
    </row>
    <row r="36" spans="1:5" x14ac:dyDescent="0.4">
      <c r="A36" s="52" t="s">
        <v>118</v>
      </c>
      <c r="B36" s="15" t="s">
        <v>68</v>
      </c>
      <c r="C36" s="15">
        <v>26</v>
      </c>
      <c r="D36" s="15">
        <v>26</v>
      </c>
    </row>
    <row r="37" spans="1:5" x14ac:dyDescent="0.4">
      <c r="A37" s="52" t="s">
        <v>119</v>
      </c>
      <c r="B37" s="15" t="s">
        <v>69</v>
      </c>
      <c r="C37" s="15">
        <v>13</v>
      </c>
      <c r="D37" s="15">
        <v>13</v>
      </c>
    </row>
    <row r="38" spans="1:5" x14ac:dyDescent="0.4">
      <c r="A38" s="52" t="s">
        <v>120</v>
      </c>
      <c r="B38" s="15" t="s">
        <v>70</v>
      </c>
      <c r="C38" s="15">
        <v>13</v>
      </c>
      <c r="D38" s="15">
        <v>13</v>
      </c>
    </row>
    <row r="39" spans="1:5" x14ac:dyDescent="0.4">
      <c r="A39" s="52" t="s">
        <v>121</v>
      </c>
      <c r="B39" s="15" t="s">
        <v>71</v>
      </c>
      <c r="C39" s="15">
        <v>13</v>
      </c>
      <c r="D39" s="15">
        <v>13</v>
      </c>
    </row>
    <row r="40" spans="1:5" x14ac:dyDescent="0.4">
      <c r="A40" s="52" t="s">
        <v>122</v>
      </c>
      <c r="B40" s="15" t="s">
        <v>72</v>
      </c>
      <c r="C40" s="15">
        <v>13</v>
      </c>
      <c r="D40" s="15">
        <v>13</v>
      </c>
    </row>
    <row r="41" spans="1:5" x14ac:dyDescent="0.4">
      <c r="A41" s="52" t="s">
        <v>123</v>
      </c>
      <c r="B41" s="15" t="s">
        <v>73</v>
      </c>
      <c r="C41" s="15">
        <v>13</v>
      </c>
    </row>
    <row r="42" spans="1:5" x14ac:dyDescent="0.4">
      <c r="A42" s="52" t="s">
        <v>124</v>
      </c>
      <c r="B42" s="15" t="s">
        <v>74</v>
      </c>
      <c r="C42" s="15">
        <v>13</v>
      </c>
    </row>
    <row r="43" spans="1:5" x14ac:dyDescent="0.4">
      <c r="A43" s="52" t="s">
        <v>125</v>
      </c>
      <c r="B43" s="15" t="s">
        <v>75</v>
      </c>
      <c r="C43" s="15">
        <v>13</v>
      </c>
    </row>
    <row r="44" spans="1:5" x14ac:dyDescent="0.4">
      <c r="A44" s="52" t="s">
        <v>126</v>
      </c>
      <c r="B44" s="15" t="s">
        <v>76</v>
      </c>
      <c r="C44" s="15">
        <v>13</v>
      </c>
    </row>
    <row r="45" spans="1:5" x14ac:dyDescent="0.4">
      <c r="A45" s="52" t="s">
        <v>127</v>
      </c>
      <c r="B45" s="15" t="s">
        <v>77</v>
      </c>
      <c r="C45" s="15">
        <v>26</v>
      </c>
      <c r="E45" s="52" t="s">
        <v>135</v>
      </c>
    </row>
    <row r="46" spans="1:5" x14ac:dyDescent="0.4">
      <c r="A46" s="52" t="s">
        <v>128</v>
      </c>
      <c r="B46" s="15" t="s">
        <v>78</v>
      </c>
      <c r="C46" s="15">
        <v>26</v>
      </c>
      <c r="E46" s="52" t="s">
        <v>136</v>
      </c>
    </row>
    <row r="47" spans="1:5" x14ac:dyDescent="0.4">
      <c r="A47" s="52" t="s">
        <v>129</v>
      </c>
      <c r="B47" s="15" t="s">
        <v>79</v>
      </c>
      <c r="C47" s="15">
        <v>26</v>
      </c>
      <c r="E47" s="52" t="s">
        <v>137</v>
      </c>
    </row>
    <row r="48" spans="1:5" x14ac:dyDescent="0.4">
      <c r="A48" s="52" t="s">
        <v>130</v>
      </c>
      <c r="B48" s="15" t="s">
        <v>80</v>
      </c>
      <c r="C48" s="15">
        <v>13</v>
      </c>
    </row>
    <row r="49" spans="1:3" x14ac:dyDescent="0.4">
      <c r="A49" s="52" t="s">
        <v>131</v>
      </c>
      <c r="B49" s="15" t="s">
        <v>81</v>
      </c>
      <c r="C49" s="15">
        <v>13</v>
      </c>
    </row>
    <row r="50" spans="1:3" x14ac:dyDescent="0.4">
      <c r="A50" s="52" t="s">
        <v>132</v>
      </c>
      <c r="B50" s="15" t="s">
        <v>82</v>
      </c>
      <c r="C50" s="15">
        <v>13</v>
      </c>
    </row>
    <row r="51" spans="1:3" x14ac:dyDescent="0.4">
      <c r="A51" s="52" t="s">
        <v>133</v>
      </c>
      <c r="B51" s="15" t="s">
        <v>83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12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12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12</v>
      </c>
      <c r="D3" s="47">
        <v>-1100</v>
      </c>
      <c r="E3" s="47">
        <v>-2000</v>
      </c>
      <c r="F3" s="47">
        <v>-3900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-2400</v>
      </c>
      <c r="F4" s="47">
        <v>-4800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-5400</v>
      </c>
      <c r="E13" s="47">
        <v>-6000</v>
      </c>
      <c r="F13" s="47">
        <v>-6000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12</v>
      </c>
      <c r="D3" s="47" t="s">
        <v>12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12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12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12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12</v>
      </c>
      <c r="D13" s="47">
        <v>7200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12</v>
      </c>
      <c r="D3" s="47">
        <v>-600</v>
      </c>
      <c r="E3" s="47">
        <v>-1100</v>
      </c>
      <c r="F3" s="47">
        <v>-2000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-1200</v>
      </c>
      <c r="F4" s="47">
        <v>-2400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-2700</v>
      </c>
      <c r="E13" s="47">
        <v>-3000</v>
      </c>
      <c r="F13" s="47">
        <v>-3000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/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13</v>
      </c>
      <c r="H1" s="15" t="s">
        <v>14</v>
      </c>
      <c r="I1" s="15" t="s">
        <v>15</v>
      </c>
      <c r="J1" s="15" t="s">
        <v>16</v>
      </c>
      <c r="K1" s="15" t="s">
        <v>17</v>
      </c>
      <c r="L1" s="15" t="s">
        <v>18</v>
      </c>
      <c r="M1" s="15" t="s">
        <v>19</v>
      </c>
    </row>
    <row r="2" spans="1:13" x14ac:dyDescent="0.4">
      <c r="A2" s="15" t="s">
        <v>30</v>
      </c>
      <c r="B2" s="47">
        <v>0</v>
      </c>
      <c r="C2" s="47" t="s">
        <v>12</v>
      </c>
      <c r="D2" s="47" t="s">
        <v>12</v>
      </c>
      <c r="E2" s="47" t="s">
        <v>12</v>
      </c>
      <c r="F2" s="47" t="s">
        <v>12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12</v>
      </c>
      <c r="D3" s="47">
        <v>-900</v>
      </c>
      <c r="E3" s="47">
        <v>-1700</v>
      </c>
      <c r="F3" s="47">
        <v>-3300</v>
      </c>
      <c r="G3" s="47" t="s">
        <v>12</v>
      </c>
      <c r="H3" s="47" t="s">
        <v>12</v>
      </c>
      <c r="I3" s="47" t="s">
        <v>12</v>
      </c>
      <c r="J3" s="47" t="s">
        <v>12</v>
      </c>
      <c r="K3" s="47" t="s">
        <v>12</v>
      </c>
      <c r="L3" s="47" t="s">
        <v>12</v>
      </c>
      <c r="M3" s="47" t="s">
        <v>12</v>
      </c>
    </row>
    <row r="4" spans="1:13" x14ac:dyDescent="0.4">
      <c r="A4" s="15">
        <v>25</v>
      </c>
      <c r="C4" s="47" t="s">
        <v>12</v>
      </c>
      <c r="D4" s="47" t="s">
        <v>12</v>
      </c>
      <c r="E4" s="47">
        <v>-2000</v>
      </c>
      <c r="F4" s="47">
        <v>-4000</v>
      </c>
      <c r="G4" s="47" t="s">
        <v>12</v>
      </c>
      <c r="H4" s="47" t="s">
        <v>12</v>
      </c>
      <c r="I4" s="47" t="s">
        <v>12</v>
      </c>
      <c r="J4" s="47" t="s">
        <v>12</v>
      </c>
      <c r="K4" s="47" t="s">
        <v>12</v>
      </c>
      <c r="L4" s="47" t="s">
        <v>12</v>
      </c>
      <c r="M4" s="47" t="s">
        <v>12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12</v>
      </c>
      <c r="H5" s="47" t="s">
        <v>12</v>
      </c>
      <c r="I5" s="47" t="s">
        <v>12</v>
      </c>
      <c r="J5" s="47" t="s">
        <v>12</v>
      </c>
      <c r="K5" s="47" t="s">
        <v>12</v>
      </c>
      <c r="L5" s="47" t="s">
        <v>12</v>
      </c>
      <c r="M5" s="47" t="s">
        <v>12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12</v>
      </c>
      <c r="H6" s="47" t="s">
        <v>12</v>
      </c>
      <c r="I6" s="47" t="s">
        <v>12</v>
      </c>
      <c r="J6" s="47" t="s">
        <v>12</v>
      </c>
      <c r="K6" s="47" t="s">
        <v>12</v>
      </c>
      <c r="L6" s="47" t="s">
        <v>12</v>
      </c>
      <c r="M6" s="47" t="s">
        <v>12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12</v>
      </c>
      <c r="H7" s="47" t="s">
        <v>12</v>
      </c>
      <c r="I7" s="47" t="s">
        <v>12</v>
      </c>
      <c r="J7" s="47" t="s">
        <v>12</v>
      </c>
      <c r="K7" s="47" t="s">
        <v>12</v>
      </c>
      <c r="L7" s="47" t="s">
        <v>12</v>
      </c>
      <c r="M7" s="47" t="s">
        <v>12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12</v>
      </c>
      <c r="H8" s="47" t="s">
        <v>12</v>
      </c>
      <c r="I8" s="47" t="s">
        <v>12</v>
      </c>
      <c r="J8" s="47" t="s">
        <v>12</v>
      </c>
      <c r="K8" s="47" t="s">
        <v>12</v>
      </c>
      <c r="L8" s="47" t="s">
        <v>12</v>
      </c>
      <c r="M8" s="47" t="s">
        <v>12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12</v>
      </c>
      <c r="H9" s="47" t="s">
        <v>12</v>
      </c>
      <c r="I9" s="47" t="s">
        <v>12</v>
      </c>
      <c r="J9" s="47" t="s">
        <v>12</v>
      </c>
      <c r="K9" s="47" t="s">
        <v>12</v>
      </c>
      <c r="L9" s="47" t="s">
        <v>12</v>
      </c>
      <c r="M9" s="47" t="s">
        <v>12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12</v>
      </c>
      <c r="H10" s="47" t="s">
        <v>12</v>
      </c>
      <c r="I10" s="47" t="s">
        <v>12</v>
      </c>
      <c r="J10" s="47" t="s">
        <v>12</v>
      </c>
      <c r="K10" s="47" t="s">
        <v>12</v>
      </c>
      <c r="L10" s="47" t="s">
        <v>12</v>
      </c>
      <c r="M10" s="47" t="s">
        <v>12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12</v>
      </c>
      <c r="H11" s="47" t="s">
        <v>12</v>
      </c>
      <c r="I11" s="47" t="s">
        <v>12</v>
      </c>
      <c r="J11" s="47" t="s">
        <v>12</v>
      </c>
      <c r="K11" s="47" t="s">
        <v>12</v>
      </c>
      <c r="L11" s="47" t="s">
        <v>12</v>
      </c>
      <c r="M11" s="47" t="s">
        <v>12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12</v>
      </c>
      <c r="H12" s="47" t="s">
        <v>12</v>
      </c>
      <c r="I12" s="47" t="s">
        <v>12</v>
      </c>
      <c r="J12" s="47" t="s">
        <v>12</v>
      </c>
      <c r="K12" s="47" t="s">
        <v>12</v>
      </c>
      <c r="L12" s="47" t="s">
        <v>12</v>
      </c>
      <c r="M12" s="47" t="s">
        <v>12</v>
      </c>
    </row>
    <row r="13" spans="1:13" x14ac:dyDescent="0.4">
      <c r="A13" s="15">
        <v>110</v>
      </c>
      <c r="C13" s="47" t="s">
        <v>12</v>
      </c>
      <c r="D13" s="47">
        <v>-4500</v>
      </c>
      <c r="E13" s="47">
        <v>-5000</v>
      </c>
      <c r="F13" s="47">
        <v>-5000</v>
      </c>
      <c r="G13" s="47" t="s">
        <v>12</v>
      </c>
      <c r="H13" s="47" t="s">
        <v>12</v>
      </c>
      <c r="I13" s="47" t="s">
        <v>12</v>
      </c>
      <c r="J13" s="47" t="s">
        <v>12</v>
      </c>
      <c r="K13" s="47" t="s">
        <v>12</v>
      </c>
      <c r="L13" s="47" t="s">
        <v>12</v>
      </c>
      <c r="M13" s="47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 Fukuzawa</cp:lastModifiedBy>
  <cp:lastPrinted>2018-10-03T09:15:05Z</cp:lastPrinted>
  <dcterms:created xsi:type="dcterms:W3CDTF">2018-10-02T11:54:05Z</dcterms:created>
  <dcterms:modified xsi:type="dcterms:W3CDTF">2018-12-17T01:32:55Z</dcterms:modified>
</cp:coreProperties>
</file>