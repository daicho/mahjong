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3E2155C0-0532-4B2D-AF1C-D7354C06E84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<sst xmlns="http://schemas.openxmlformats.org/spreadsheetml/2006/main" count="659" uniqueCount="143">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</sst>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25</v>
      </c>
      <c r="E1" s="75" t="s">
        <v>3</v>
      </c>
      <c r="F1" s="66" t="s">
        <v>19</v>
      </c>
      <c r="G1" s="68"/>
      <c r="H1" s="68"/>
      <c r="I1" s="77"/>
      <c r="J1" s="69"/>
      <c r="K1" s="66" t="s">
        <v>20</v>
      </c>
      <c r="L1" s="68"/>
      <c r="M1" s="68"/>
      <c r="N1" s="77"/>
      <c r="O1" s="69"/>
      <c r="P1" s="66" t="s">
        <v>21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26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26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26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27</v>
      </c>
      <c r="Z2" s="48" t="s">
        <v>30</v>
      </c>
      <c r="AA2" s="39" t="s">
        <v>28</v>
      </c>
      <c r="AB2" s="39" t="s">
        <v>136</v>
      </c>
      <c r="AC2" s="39" t="s">
        <v>22</v>
      </c>
      <c r="AD2" s="40" t="s">
        <v>23</v>
      </c>
      <c r="AE2" s="70" t="s">
        <v>24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27</v>
      </c>
      <c r="AU2" s="48" t="s">
        <v>30</v>
      </c>
      <c r="AV2" s="39" t="s">
        <v>28</v>
      </c>
      <c r="AW2" s="39" t="s">
        <v>137</v>
      </c>
      <c r="AX2" s="39" t="s">
        <v>22</v>
      </c>
      <c r="AY2" s="40" t="s">
        <v>23</v>
      </c>
      <c r="AZ2" s="70" t="s">
        <v>24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27</v>
      </c>
      <c r="BP2" s="48" t="s">
        <v>30</v>
      </c>
      <c r="BQ2" s="39" t="s">
        <v>28</v>
      </c>
      <c r="BR2" s="39" t="s">
        <v>137</v>
      </c>
      <c r="BS2" s="39" t="s">
        <v>22</v>
      </c>
      <c r="BT2" s="40" t="s">
        <v>23</v>
      </c>
      <c r="BU2" s="70" t="s">
        <v>24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142</v>
      </c>
      <c r="B4" s="27">
        <v>1</v>
      </c>
      <c r="C4" s="27">
        <v>0</v>
      </c>
      <c r="D4" s="27">
        <v>0</v>
      </c>
      <c r="E4" s="4"/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 t="shared" ref="C5:C6" si="3">IF($E5="","",IF(F4="チョンボ",C4,IF($E4=$E5,C4+1,0)))</f>
        <v/>
      </c>
      <c r="D5" s="27" t="str">
        <f t="shared" ref="D5:D30" si="4"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5">IF(COUNTA($F5,$K5,$P5)&gt;0,J4+SUM(G5:I5),"")</f>
        <v/>
      </c>
      <c r="K5" s="8"/>
      <c r="L5" s="9"/>
      <c r="M5" s="9"/>
      <c r="N5" s="64"/>
      <c r="O5" s="30" t="str">
        <f t="shared" ref="O5:O30" si="6">IF(COUNTA($F5,$K5,$P5)&gt;0,O4+SUM(L5:N5),"")</f>
        <v/>
      </c>
      <c r="P5" s="8"/>
      <c r="Q5" s="9"/>
      <c r="R5" s="9"/>
      <c r="S5" s="64"/>
      <c r="T5" s="30" t="str">
        <f t="shared" ref="T5:T30" si="7">IF(COUNTA($F5,$K5,$P5)&gt;0,T4+SUM(Q5:S5),"")</f>
        <v/>
      </c>
      <c r="U5" s="20" t="str">
        <f t="shared" ref="U5:U30" si="8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/>
      </c>
      <c r="B6" s="27" t="str">
        <f t="shared" ref="B6:B30" si="9">IF($E6="","",IF($E5=$E6,B5,IF(B5=3,1,B5+1)))</f>
        <v/>
      </c>
      <c r="C6" s="27" t="str">
        <f t="shared" si="3"/>
        <v/>
      </c>
      <c r="D6" s="27" t="str">
        <f t="shared" si="4"/>
        <v/>
      </c>
      <c r="E6" s="4"/>
      <c r="F6" s="8"/>
      <c r="G6" s="9"/>
      <c r="H6" s="9"/>
      <c r="I6" s="64"/>
      <c r="J6" s="30" t="str">
        <f t="shared" si="5"/>
        <v/>
      </c>
      <c r="K6" s="8"/>
      <c r="L6" s="9"/>
      <c r="M6" s="9"/>
      <c r="N6" s="64"/>
      <c r="O6" s="30" t="str">
        <f t="shared" si="6"/>
        <v/>
      </c>
      <c r="P6" s="8"/>
      <c r="Q6" s="9"/>
      <c r="R6" s="9"/>
      <c r="S6" s="64"/>
      <c r="T6" s="30" t="str">
        <f t="shared" si="7"/>
        <v/>
      </c>
      <c r="U6" s="20" t="str">
        <f t="shared" si="8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27" t="str">
        <f t="shared" si="9"/>
        <v/>
      </c>
      <c r="C7" s="27" t="str">
        <f t="shared" ref="C7:C30" si="11">IF($E7="","",IF(F6="チョンボ",C6,IF($E6=$E7,C6+1,0)))</f>
        <v/>
      </c>
      <c r="D7" s="27" t="str">
        <f t="shared" si="4"/>
        <v/>
      </c>
      <c r="E7" s="4"/>
      <c r="F7" s="8"/>
      <c r="G7" s="9"/>
      <c r="H7" s="9"/>
      <c r="I7" s="64"/>
      <c r="J7" s="30" t="str">
        <f t="shared" si="5"/>
        <v/>
      </c>
      <c r="K7" s="8"/>
      <c r="L7" s="9"/>
      <c r="M7" s="9"/>
      <c r="N7" s="64"/>
      <c r="O7" s="30" t="str">
        <f t="shared" si="6"/>
        <v/>
      </c>
      <c r="P7" s="8"/>
      <c r="Q7" s="9"/>
      <c r="R7" s="9"/>
      <c r="S7" s="64"/>
      <c r="T7" s="30" t="str">
        <f t="shared" si="7"/>
        <v/>
      </c>
      <c r="U7" s="20" t="str">
        <f t="shared" si="8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/>
      </c>
      <c r="B8" s="27" t="str">
        <f t="shared" si="9"/>
        <v/>
      </c>
      <c r="C8" s="27" t="str">
        <f t="shared" si="11"/>
        <v/>
      </c>
      <c r="D8" s="27" t="str">
        <f t="shared" si="4"/>
        <v/>
      </c>
      <c r="E8" s="4"/>
      <c r="F8" s="8"/>
      <c r="G8" s="9"/>
      <c r="H8" s="9"/>
      <c r="I8" s="64"/>
      <c r="J8" s="30" t="str">
        <f t="shared" si="5"/>
        <v/>
      </c>
      <c r="K8" s="8"/>
      <c r="L8" s="9"/>
      <c r="M8" s="9"/>
      <c r="N8" s="64"/>
      <c r="O8" s="30" t="str">
        <f t="shared" si="6"/>
        <v/>
      </c>
      <c r="P8" s="8"/>
      <c r="Q8" s="9"/>
      <c r="R8" s="9"/>
      <c r="S8" s="64"/>
      <c r="T8" s="30" t="str">
        <f t="shared" si="7"/>
        <v/>
      </c>
      <c r="U8" s="20" t="str">
        <f t="shared" si="8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/>
      </c>
      <c r="B9" s="27" t="str">
        <f t="shared" si="9"/>
        <v/>
      </c>
      <c r="C9" s="27" t="str">
        <f t="shared" si="11"/>
        <v/>
      </c>
      <c r="D9" s="27" t="str">
        <f t="shared" si="4"/>
        <v/>
      </c>
      <c r="E9" s="4"/>
      <c r="F9" s="8"/>
      <c r="G9" s="9"/>
      <c r="H9" s="9"/>
      <c r="I9" s="64"/>
      <c r="J9" s="30" t="str">
        <f t="shared" si="5"/>
        <v/>
      </c>
      <c r="K9" s="8"/>
      <c r="L9" s="9"/>
      <c r="M9" s="9"/>
      <c r="N9" s="64"/>
      <c r="O9" s="30" t="str">
        <f t="shared" si="6"/>
        <v/>
      </c>
      <c r="P9" s="8"/>
      <c r="Q9" s="9"/>
      <c r="R9" s="9"/>
      <c r="S9" s="64"/>
      <c r="T9" s="30" t="str">
        <f t="shared" si="7"/>
        <v/>
      </c>
      <c r="U9" s="20" t="str">
        <f t="shared" si="8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 t="s">
        <v>11</v>
      </c>
      <c r="AF10" s="57" t="s">
        <v>11</v>
      </c>
      <c r="AG10" s="57" t="s">
        <v>11</v>
      </c>
      <c r="AH10" s="57" t="s">
        <v>11</v>
      </c>
      <c r="AI10" s="57" t="s">
        <v>11</v>
      </c>
      <c r="AJ10" s="57" t="s">
        <v>11</v>
      </c>
      <c r="AK10" s="57" t="s">
        <v>11</v>
      </c>
      <c r="AL10" s="57" t="s">
        <v>11</v>
      </c>
      <c r="AM10" s="57" t="s">
        <v>11</v>
      </c>
      <c r="AN10" s="57" t="s">
        <v>11</v>
      </c>
      <c r="AO10" s="57" t="s">
        <v>11</v>
      </c>
      <c r="AP10" s="57" t="s">
        <v>11</v>
      </c>
      <c r="AQ10" s="57" t="s">
        <v>11</v>
      </c>
      <c r="AR10" s="57" t="s">
        <v>11</v>
      </c>
      <c r="AS10" s="58" t="s">
        <v>11</v>
      </c>
      <c r="AT10" s="8"/>
      <c r="AU10" s="50"/>
      <c r="AV10" s="41"/>
      <c r="AW10" s="41"/>
      <c r="AX10" s="41"/>
      <c r="AY10" s="45"/>
      <c r="AZ10" s="56" t="s">
        <v>11</v>
      </c>
      <c r="BA10" s="57" t="s">
        <v>11</v>
      </c>
      <c r="BB10" s="57" t="s">
        <v>11</v>
      </c>
      <c r="BC10" s="57" t="s">
        <v>11</v>
      </c>
      <c r="BD10" s="57" t="s">
        <v>11</v>
      </c>
      <c r="BE10" s="57" t="s">
        <v>11</v>
      </c>
      <c r="BF10" s="57" t="s">
        <v>11</v>
      </c>
      <c r="BG10" s="57" t="s">
        <v>11</v>
      </c>
      <c r="BH10" s="57" t="s">
        <v>11</v>
      </c>
      <c r="BI10" s="57" t="s">
        <v>11</v>
      </c>
      <c r="BJ10" s="57" t="s">
        <v>11</v>
      </c>
      <c r="BK10" s="57" t="s">
        <v>11</v>
      </c>
      <c r="BL10" s="57" t="s">
        <v>11</v>
      </c>
      <c r="BM10" s="57" t="s">
        <v>11</v>
      </c>
      <c r="BN10" s="58" t="s">
        <v>11</v>
      </c>
      <c r="BO10" s="8"/>
      <c r="BP10" s="50"/>
      <c r="BQ10" s="41"/>
      <c r="BR10" s="41"/>
      <c r="BS10" s="41"/>
      <c r="BT10" s="45"/>
      <c r="BU10" s="56" t="s">
        <v>11</v>
      </c>
      <c r="BV10" s="57" t="s">
        <v>11</v>
      </c>
      <c r="BW10" s="57" t="s">
        <v>11</v>
      </c>
      <c r="BX10" s="57" t="s">
        <v>11</v>
      </c>
      <c r="BY10" s="57" t="s">
        <v>11</v>
      </c>
      <c r="BZ10" s="57" t="s">
        <v>11</v>
      </c>
      <c r="CA10" s="57" t="s">
        <v>11</v>
      </c>
      <c r="CB10" s="57" t="s">
        <v>11</v>
      </c>
      <c r="CC10" s="57" t="s">
        <v>11</v>
      </c>
      <c r="CD10" s="57" t="s">
        <v>11</v>
      </c>
      <c r="CE10" s="57" t="s">
        <v>11</v>
      </c>
      <c r="CF10" s="57" t="s">
        <v>11</v>
      </c>
      <c r="CG10" s="57" t="s">
        <v>11</v>
      </c>
      <c r="CH10" s="57" t="s">
        <v>11</v>
      </c>
      <c r="CI10" s="58" t="s">
        <v>11</v>
      </c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 t="s">
        <v>11</v>
      </c>
      <c r="AF11" s="57" t="s">
        <v>11</v>
      </c>
      <c r="AG11" s="57" t="s">
        <v>11</v>
      </c>
      <c r="AH11" s="57" t="s">
        <v>11</v>
      </c>
      <c r="AI11" s="57" t="s">
        <v>11</v>
      </c>
      <c r="AJ11" s="57" t="s">
        <v>11</v>
      </c>
      <c r="AK11" s="57" t="s">
        <v>11</v>
      </c>
      <c r="AL11" s="57" t="s">
        <v>11</v>
      </c>
      <c r="AM11" s="57" t="s">
        <v>11</v>
      </c>
      <c r="AN11" s="57" t="s">
        <v>11</v>
      </c>
      <c r="AO11" s="57" t="s">
        <v>11</v>
      </c>
      <c r="AP11" s="57" t="s">
        <v>11</v>
      </c>
      <c r="AQ11" s="57" t="s">
        <v>11</v>
      </c>
      <c r="AR11" s="57" t="s">
        <v>11</v>
      </c>
      <c r="AS11" s="58" t="s">
        <v>11</v>
      </c>
      <c r="AT11" s="8"/>
      <c r="AU11" s="50"/>
      <c r="AV11" s="41"/>
      <c r="AW11" s="41"/>
      <c r="AX11" s="41"/>
      <c r="AY11" s="45"/>
      <c r="AZ11" s="56" t="s">
        <v>11</v>
      </c>
      <c r="BA11" s="57" t="s">
        <v>11</v>
      </c>
      <c r="BB11" s="57" t="s">
        <v>11</v>
      </c>
      <c r="BC11" s="57" t="s">
        <v>11</v>
      </c>
      <c r="BD11" s="57" t="s">
        <v>11</v>
      </c>
      <c r="BE11" s="57" t="s">
        <v>11</v>
      </c>
      <c r="BF11" s="57" t="s">
        <v>11</v>
      </c>
      <c r="BG11" s="57" t="s">
        <v>11</v>
      </c>
      <c r="BH11" s="57" t="s">
        <v>11</v>
      </c>
      <c r="BI11" s="57" t="s">
        <v>11</v>
      </c>
      <c r="BJ11" s="57" t="s">
        <v>11</v>
      </c>
      <c r="BK11" s="57" t="s">
        <v>11</v>
      </c>
      <c r="BL11" s="57" t="s">
        <v>11</v>
      </c>
      <c r="BM11" s="57" t="s">
        <v>11</v>
      </c>
      <c r="BN11" s="58" t="s">
        <v>11</v>
      </c>
      <c r="BO11" s="8"/>
      <c r="BP11" s="50"/>
      <c r="BQ11" s="41"/>
      <c r="BR11" s="41"/>
      <c r="BS11" s="41"/>
      <c r="BT11" s="45"/>
      <c r="BU11" s="56" t="s">
        <v>11</v>
      </c>
      <c r="BV11" s="57" t="s">
        <v>11</v>
      </c>
      <c r="BW11" s="57" t="s">
        <v>11</v>
      </c>
      <c r="BX11" s="57" t="s">
        <v>11</v>
      </c>
      <c r="BY11" s="57" t="s">
        <v>11</v>
      </c>
      <c r="BZ11" s="57" t="s">
        <v>11</v>
      </c>
      <c r="CA11" s="57" t="s">
        <v>11</v>
      </c>
      <c r="CB11" s="57" t="s">
        <v>11</v>
      </c>
      <c r="CC11" s="57" t="s">
        <v>11</v>
      </c>
      <c r="CD11" s="57" t="s">
        <v>11</v>
      </c>
      <c r="CE11" s="57" t="s">
        <v>11</v>
      </c>
      <c r="CF11" s="57" t="s">
        <v>11</v>
      </c>
      <c r="CG11" s="57" t="s">
        <v>11</v>
      </c>
      <c r="CH11" s="57" t="s">
        <v>11</v>
      </c>
      <c r="CI11" s="58" t="s">
        <v>11</v>
      </c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/>
      <c r="BS12" s="41"/>
      <c r="BT12" s="45"/>
      <c r="BU12" s="56" t="s">
        <v>11</v>
      </c>
      <c r="BV12" s="57" t="s">
        <v>11</v>
      </c>
      <c r="BW12" s="57" t="s">
        <v>11</v>
      </c>
      <c r="BX12" s="57" t="s">
        <v>11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31</v>
      </c>
      <c r="B1" s="15" t="s">
        <v>32</v>
      </c>
      <c r="C1" s="15" t="s">
        <v>33</v>
      </c>
      <c r="D1" s="15" t="s">
        <v>34</v>
      </c>
      <c r="E1" s="52" t="s">
        <v>35</v>
      </c>
    </row>
    <row r="2" spans="1:5" x14ac:dyDescent="0.4">
      <c r="A2" s="52" t="s">
        <v>82</v>
      </c>
      <c r="B2" s="15" t="s">
        <v>141</v>
      </c>
      <c r="C2" s="15">
        <v>1</v>
      </c>
    </row>
    <row r="3" spans="1:5" x14ac:dyDescent="0.4">
      <c r="A3" s="52" t="s">
        <v>83</v>
      </c>
      <c r="B3" s="15" t="s">
        <v>36</v>
      </c>
      <c r="C3" s="15">
        <v>1</v>
      </c>
    </row>
    <row r="4" spans="1:5" x14ac:dyDescent="0.4">
      <c r="A4" s="52" t="s">
        <v>84</v>
      </c>
      <c r="B4" s="15" t="s">
        <v>37</v>
      </c>
      <c r="C4" s="15">
        <v>1</v>
      </c>
      <c r="D4" s="15">
        <v>1</v>
      </c>
    </row>
    <row r="5" spans="1:5" x14ac:dyDescent="0.4">
      <c r="A5" s="52" t="s">
        <v>85</v>
      </c>
      <c r="B5" s="15" t="s">
        <v>38</v>
      </c>
      <c r="C5" s="15">
        <v>1</v>
      </c>
      <c r="E5" s="52" t="s">
        <v>132</v>
      </c>
    </row>
    <row r="6" spans="1:5" x14ac:dyDescent="0.4">
      <c r="A6" s="52" t="s">
        <v>86</v>
      </c>
      <c r="B6" s="15" t="s">
        <v>39</v>
      </c>
      <c r="C6" s="15">
        <v>1</v>
      </c>
      <c r="D6" s="15">
        <v>1</v>
      </c>
    </row>
    <row r="7" spans="1:5" x14ac:dyDescent="0.4">
      <c r="A7" s="52" t="s">
        <v>87</v>
      </c>
      <c r="B7" s="15" t="s">
        <v>40</v>
      </c>
      <c r="C7" s="15">
        <v>1</v>
      </c>
    </row>
    <row r="8" spans="1:5" x14ac:dyDescent="0.4">
      <c r="A8" s="52" t="s">
        <v>88</v>
      </c>
      <c r="B8" s="15" t="s">
        <v>41</v>
      </c>
      <c r="C8" s="15">
        <v>1</v>
      </c>
    </row>
    <row r="9" spans="1:5" x14ac:dyDescent="0.4">
      <c r="A9" s="52" t="s">
        <v>89</v>
      </c>
      <c r="B9" s="15" t="s">
        <v>42</v>
      </c>
      <c r="C9" s="15">
        <v>1</v>
      </c>
    </row>
    <row r="10" spans="1:5" x14ac:dyDescent="0.4">
      <c r="A10" s="52" t="s">
        <v>90</v>
      </c>
      <c r="B10" s="15" t="s">
        <v>138</v>
      </c>
      <c r="C10" s="15">
        <v>1</v>
      </c>
      <c r="D10" s="15">
        <v>1</v>
      </c>
    </row>
    <row r="11" spans="1:5" x14ac:dyDescent="0.4">
      <c r="A11" s="52" t="s">
        <v>91</v>
      </c>
      <c r="B11" s="15" t="s">
        <v>43</v>
      </c>
      <c r="C11" s="15">
        <v>1</v>
      </c>
      <c r="D11" s="15">
        <v>1</v>
      </c>
    </row>
    <row r="12" spans="1:5" x14ac:dyDescent="0.4">
      <c r="A12" s="52" t="s">
        <v>92</v>
      </c>
      <c r="B12" s="15" t="s">
        <v>44</v>
      </c>
      <c r="C12" s="15">
        <v>1</v>
      </c>
      <c r="D12" s="15">
        <v>1</v>
      </c>
    </row>
    <row r="13" spans="1:5" x14ac:dyDescent="0.4">
      <c r="A13" s="52" t="s">
        <v>93</v>
      </c>
      <c r="B13" s="15" t="s">
        <v>45</v>
      </c>
      <c r="C13" s="15">
        <v>1</v>
      </c>
      <c r="D13" s="15">
        <v>1</v>
      </c>
    </row>
    <row r="14" spans="1:5" x14ac:dyDescent="0.4">
      <c r="A14" s="52" t="s">
        <v>94</v>
      </c>
      <c r="B14" s="15" t="s">
        <v>46</v>
      </c>
      <c r="C14" s="15">
        <v>1</v>
      </c>
      <c r="D14" s="15">
        <v>1</v>
      </c>
    </row>
    <row r="15" spans="1:5" x14ac:dyDescent="0.4">
      <c r="A15" s="52" t="s">
        <v>95</v>
      </c>
      <c r="B15" s="15" t="s">
        <v>47</v>
      </c>
      <c r="C15" s="15">
        <v>1</v>
      </c>
      <c r="D15" s="15">
        <v>1</v>
      </c>
    </row>
    <row r="16" spans="1:5" x14ac:dyDescent="0.4">
      <c r="A16" s="52" t="s">
        <v>96</v>
      </c>
      <c r="B16" s="15" t="s">
        <v>48</v>
      </c>
      <c r="C16" s="15">
        <v>2</v>
      </c>
      <c r="E16" s="52" t="s">
        <v>82</v>
      </c>
    </row>
    <row r="17" spans="1:4" x14ac:dyDescent="0.4">
      <c r="A17" s="52" t="s">
        <v>97</v>
      </c>
      <c r="B17" s="15" t="s">
        <v>49</v>
      </c>
      <c r="C17" s="15">
        <v>2</v>
      </c>
      <c r="D17" s="15">
        <v>1</v>
      </c>
    </row>
    <row r="18" spans="1:4" x14ac:dyDescent="0.4">
      <c r="A18" s="52" t="s">
        <v>98</v>
      </c>
      <c r="B18" s="15" t="s">
        <v>140</v>
      </c>
      <c r="C18" s="15">
        <v>2</v>
      </c>
      <c r="D18" s="15">
        <v>1</v>
      </c>
    </row>
    <row r="19" spans="1:4" x14ac:dyDescent="0.4">
      <c r="A19" s="52" t="s">
        <v>99</v>
      </c>
      <c r="B19" s="15" t="s">
        <v>50</v>
      </c>
      <c r="C19" s="15">
        <v>2</v>
      </c>
      <c r="D19" s="15">
        <v>1</v>
      </c>
    </row>
    <row r="20" spans="1:4" x14ac:dyDescent="0.4">
      <c r="A20" s="52" t="s">
        <v>100</v>
      </c>
      <c r="B20" s="15" t="s">
        <v>51</v>
      </c>
      <c r="C20" s="15">
        <v>2</v>
      </c>
      <c r="D20" s="15">
        <v>2</v>
      </c>
    </row>
    <row r="21" spans="1:4" x14ac:dyDescent="0.4">
      <c r="A21" s="52" t="s">
        <v>101</v>
      </c>
      <c r="B21" s="15" t="s">
        <v>52</v>
      </c>
      <c r="C21" s="15">
        <v>2</v>
      </c>
      <c r="D21" s="15">
        <v>2</v>
      </c>
    </row>
    <row r="22" spans="1:4" x14ac:dyDescent="0.4">
      <c r="A22" s="52" t="s">
        <v>102</v>
      </c>
      <c r="B22" s="15" t="s">
        <v>53</v>
      </c>
      <c r="C22" s="15">
        <v>2</v>
      </c>
      <c r="D22" s="15">
        <v>2</v>
      </c>
    </row>
    <row r="23" spans="1:4" x14ac:dyDescent="0.4">
      <c r="A23" s="52" t="s">
        <v>103</v>
      </c>
      <c r="B23" s="15" t="s">
        <v>54</v>
      </c>
      <c r="C23" s="15">
        <v>2</v>
      </c>
      <c r="D23" s="15">
        <v>2</v>
      </c>
    </row>
    <row r="24" spans="1:4" x14ac:dyDescent="0.4">
      <c r="A24" s="52" t="s">
        <v>104</v>
      </c>
      <c r="B24" s="15" t="s">
        <v>55</v>
      </c>
      <c r="C24" s="15">
        <v>2</v>
      </c>
      <c r="D24" s="15">
        <v>2</v>
      </c>
    </row>
    <row r="25" spans="1:4" x14ac:dyDescent="0.4">
      <c r="A25" s="52" t="s">
        <v>105</v>
      </c>
      <c r="B25" s="15" t="s">
        <v>56</v>
      </c>
      <c r="C25" s="15">
        <v>2</v>
      </c>
      <c r="D25" s="15">
        <v>2</v>
      </c>
    </row>
    <row r="26" spans="1:4" x14ac:dyDescent="0.4">
      <c r="A26" s="52" t="s">
        <v>106</v>
      </c>
      <c r="B26" s="15" t="s">
        <v>57</v>
      </c>
      <c r="C26" s="15">
        <v>2</v>
      </c>
    </row>
    <row r="27" spans="1:4" x14ac:dyDescent="0.4">
      <c r="A27" s="52" t="s">
        <v>107</v>
      </c>
      <c r="B27" s="15" t="s">
        <v>58</v>
      </c>
      <c r="C27" s="15">
        <v>3</v>
      </c>
    </row>
    <row r="28" spans="1:4" x14ac:dyDescent="0.4">
      <c r="A28" s="52" t="s">
        <v>108</v>
      </c>
      <c r="B28" s="15" t="s">
        <v>139</v>
      </c>
      <c r="C28" s="15">
        <v>3</v>
      </c>
      <c r="D28" s="15">
        <v>2</v>
      </c>
    </row>
    <row r="29" spans="1:4" x14ac:dyDescent="0.4">
      <c r="A29" s="52" t="s">
        <v>109</v>
      </c>
      <c r="B29" s="15" t="s">
        <v>59</v>
      </c>
      <c r="C29" s="15">
        <v>3</v>
      </c>
      <c r="D29" s="15">
        <v>2</v>
      </c>
    </row>
    <row r="30" spans="1:4" x14ac:dyDescent="0.4">
      <c r="A30" s="52" t="s">
        <v>110</v>
      </c>
      <c r="B30" s="15" t="s">
        <v>60</v>
      </c>
      <c r="C30" s="15">
        <v>5</v>
      </c>
    </row>
    <row r="31" spans="1:4" x14ac:dyDescent="0.4">
      <c r="A31" s="52" t="s">
        <v>111</v>
      </c>
      <c r="B31" s="15" t="s">
        <v>61</v>
      </c>
      <c r="C31" s="15">
        <v>6</v>
      </c>
      <c r="D31" s="15">
        <v>5</v>
      </c>
    </row>
    <row r="32" spans="1:4" x14ac:dyDescent="0.4">
      <c r="A32" s="52" t="s">
        <v>112</v>
      </c>
      <c r="B32" s="15" t="s">
        <v>62</v>
      </c>
      <c r="C32" s="15">
        <v>13</v>
      </c>
    </row>
    <row r="33" spans="1:5" x14ac:dyDescent="0.4">
      <c r="A33" s="52" t="s">
        <v>113</v>
      </c>
      <c r="B33" s="15" t="s">
        <v>63</v>
      </c>
      <c r="C33" s="15">
        <v>13</v>
      </c>
    </row>
    <row r="34" spans="1:5" x14ac:dyDescent="0.4">
      <c r="A34" s="52" t="s">
        <v>114</v>
      </c>
      <c r="B34" s="15" t="s">
        <v>64</v>
      </c>
      <c r="C34" s="15">
        <v>13</v>
      </c>
      <c r="D34" s="15">
        <v>13</v>
      </c>
    </row>
    <row r="35" spans="1:5" x14ac:dyDescent="0.4">
      <c r="A35" s="52" t="s">
        <v>115</v>
      </c>
      <c r="B35" s="15" t="s">
        <v>65</v>
      </c>
      <c r="C35" s="15">
        <v>13</v>
      </c>
      <c r="D35" s="15">
        <v>13</v>
      </c>
    </row>
    <row r="36" spans="1:5" x14ac:dyDescent="0.4">
      <c r="A36" s="52" t="s">
        <v>116</v>
      </c>
      <c r="B36" s="15" t="s">
        <v>66</v>
      </c>
      <c r="C36" s="15">
        <v>26</v>
      </c>
      <c r="D36" s="15">
        <v>26</v>
      </c>
    </row>
    <row r="37" spans="1:5" x14ac:dyDescent="0.4">
      <c r="A37" s="52" t="s">
        <v>117</v>
      </c>
      <c r="B37" s="15" t="s">
        <v>67</v>
      </c>
      <c r="C37" s="15">
        <v>13</v>
      </c>
      <c r="D37" s="15">
        <v>13</v>
      </c>
    </row>
    <row r="38" spans="1:5" x14ac:dyDescent="0.4">
      <c r="A38" s="52" t="s">
        <v>118</v>
      </c>
      <c r="B38" s="15" t="s">
        <v>68</v>
      </c>
      <c r="C38" s="15">
        <v>13</v>
      </c>
      <c r="D38" s="15">
        <v>13</v>
      </c>
    </row>
    <row r="39" spans="1:5" x14ac:dyDescent="0.4">
      <c r="A39" s="52" t="s">
        <v>119</v>
      </c>
      <c r="B39" s="15" t="s">
        <v>69</v>
      </c>
      <c r="C39" s="15">
        <v>13</v>
      </c>
      <c r="D39" s="15">
        <v>13</v>
      </c>
    </row>
    <row r="40" spans="1:5" x14ac:dyDescent="0.4">
      <c r="A40" s="52" t="s">
        <v>120</v>
      </c>
      <c r="B40" s="15" t="s">
        <v>70</v>
      </c>
      <c r="C40" s="15">
        <v>13</v>
      </c>
      <c r="D40" s="15">
        <v>13</v>
      </c>
    </row>
    <row r="41" spans="1:5" x14ac:dyDescent="0.4">
      <c r="A41" s="52" t="s">
        <v>121</v>
      </c>
      <c r="B41" s="15" t="s">
        <v>71</v>
      </c>
      <c r="C41" s="15">
        <v>13</v>
      </c>
    </row>
    <row r="42" spans="1:5" x14ac:dyDescent="0.4">
      <c r="A42" s="52" t="s">
        <v>122</v>
      </c>
      <c r="B42" s="15" t="s">
        <v>72</v>
      </c>
      <c r="C42" s="15">
        <v>13</v>
      </c>
    </row>
    <row r="43" spans="1:5" x14ac:dyDescent="0.4">
      <c r="A43" s="52" t="s">
        <v>123</v>
      </c>
      <c r="B43" s="15" t="s">
        <v>73</v>
      </c>
      <c r="C43" s="15">
        <v>13</v>
      </c>
    </row>
    <row r="44" spans="1:5" x14ac:dyDescent="0.4">
      <c r="A44" s="52" t="s">
        <v>124</v>
      </c>
      <c r="B44" s="15" t="s">
        <v>74</v>
      </c>
      <c r="C44" s="15">
        <v>13</v>
      </c>
    </row>
    <row r="45" spans="1:5" x14ac:dyDescent="0.4">
      <c r="A45" s="52" t="s">
        <v>125</v>
      </c>
      <c r="B45" s="15" t="s">
        <v>75</v>
      </c>
      <c r="C45" s="15">
        <v>26</v>
      </c>
      <c r="E45" s="52" t="s">
        <v>133</v>
      </c>
    </row>
    <row r="46" spans="1:5" x14ac:dyDescent="0.4">
      <c r="A46" s="52" t="s">
        <v>126</v>
      </c>
      <c r="B46" s="15" t="s">
        <v>76</v>
      </c>
      <c r="C46" s="15">
        <v>26</v>
      </c>
      <c r="E46" s="52" t="s">
        <v>134</v>
      </c>
    </row>
    <row r="47" spans="1:5" x14ac:dyDescent="0.4">
      <c r="A47" s="52" t="s">
        <v>127</v>
      </c>
      <c r="B47" s="15" t="s">
        <v>77</v>
      </c>
      <c r="C47" s="15">
        <v>26</v>
      </c>
      <c r="E47" s="52" t="s">
        <v>135</v>
      </c>
    </row>
    <row r="48" spans="1:5" x14ac:dyDescent="0.4">
      <c r="A48" s="52" t="s">
        <v>128</v>
      </c>
      <c r="B48" s="15" t="s">
        <v>78</v>
      </c>
      <c r="C48" s="15">
        <v>13</v>
      </c>
    </row>
    <row r="49" spans="1:3" x14ac:dyDescent="0.4">
      <c r="A49" s="52" t="s">
        <v>129</v>
      </c>
      <c r="B49" s="15" t="s">
        <v>79</v>
      </c>
      <c r="C49" s="15">
        <v>13</v>
      </c>
    </row>
    <row r="50" spans="1:3" x14ac:dyDescent="0.4">
      <c r="A50" s="52" t="s">
        <v>130</v>
      </c>
      <c r="B50" s="15" t="s">
        <v>80</v>
      </c>
      <c r="C50" s="15">
        <v>13</v>
      </c>
    </row>
    <row r="51" spans="1:3" x14ac:dyDescent="0.4">
      <c r="A51" s="52" t="s">
        <v>131</v>
      </c>
      <c r="B51" s="15" t="s">
        <v>81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2018-12-19T07:25:10Z</dcterms:modified>
</cp:coreProperties>
</file>