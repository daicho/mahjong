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53D895D-DE24-45E4-B9B2-90B09CC155D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816" r:id="rId6"/>
    <sheet name="だいち" sheetId="3818" r:id="rId7"/>
    <sheet name="かこたろう" sheetId="3820" r:id="rId8"/>
    <sheet name="ともき" sheetId="3822" r:id="rId9"/>
    <sheet name="りくと" sheetId="3824" r:id="rId10"/>
    <sheet name="いっしー" sheetId="3826" r:id="rId11"/>
    <sheet name="がくと" sheetId="3828" r:id="rId12"/>
    <sheet name="たかの" sheetId="3830" r:id="rId13"/>
    <sheet name="ただ" sheetId="3832" r:id="rId14"/>
    <sheet name="やがさき" sheetId="3834" r:id="rId15"/>
    <sheet name="れんたろう" sheetId="3836" r:id="rId16"/>
    <sheet name="あさひ" sheetId="3838" r:id="rId17"/>
    <sheet name="まっつん" sheetId="3840" r:id="rId18"/>
    <sheet name="まっつん2" sheetId="3841" state="hidden" r:id="rId19"/>
    <sheet name="あさひ2" sheetId="3839" state="hidden" r:id="rId20"/>
    <sheet name="れんたろう2" sheetId="3837" state="hidden" r:id="rId21"/>
    <sheet name="やがさき2" sheetId="3835" state="hidden" r:id="rId22"/>
    <sheet name="ただ2" sheetId="3833" state="hidden" r:id="rId23"/>
    <sheet name="たかの2" sheetId="3831" state="hidden" r:id="rId24"/>
    <sheet name="がくと2" sheetId="3829" state="hidden" r:id="rId25"/>
    <sheet name="いっしー2" sheetId="3827" state="hidden" r:id="rId26"/>
    <sheet name="りくと2" sheetId="3825" state="hidden" r:id="rId27"/>
    <sheet name="ともき2" sheetId="3823" state="hidden" r:id="rId28"/>
    <sheet name="かこたろう2" sheetId="3821" state="hidden" r:id="rId29"/>
    <sheet name="だいち2" sheetId="3819" state="hidden" r:id="rId30"/>
    <sheet name="全体2" sheetId="3817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840" l="1"/>
  <c r="H50" i="3840"/>
  <c r="H49" i="3840"/>
  <c r="H48" i="3840"/>
  <c r="H47" i="3840"/>
  <c r="H46" i="3840"/>
  <c r="H45" i="3840"/>
  <c r="H44" i="3840"/>
  <c r="H43" i="3840"/>
  <c r="H42" i="3840"/>
  <c r="H41" i="3840"/>
  <c r="H40" i="3840"/>
  <c r="H39" i="3840"/>
  <c r="H38" i="3840"/>
  <c r="H37" i="3840"/>
  <c r="H36" i="3840"/>
  <c r="H35" i="3840"/>
  <c r="H34" i="3840"/>
  <c r="H33" i="3840"/>
  <c r="H32" i="3840"/>
  <c r="H20" i="3840"/>
  <c r="H31" i="3840"/>
  <c r="H7" i="3840"/>
  <c r="H30" i="3840"/>
  <c r="C28" i="3840"/>
  <c r="H29" i="3840"/>
  <c r="H12" i="3840"/>
  <c r="H19" i="3840"/>
  <c r="H28" i="3840"/>
  <c r="H8" i="3840"/>
  <c r="C23" i="3840"/>
  <c r="H27" i="3840"/>
  <c r="C22" i="3840"/>
  <c r="H16" i="3840"/>
  <c r="B21" i="3840"/>
  <c r="H26" i="3840"/>
  <c r="H25" i="3840"/>
  <c r="C19" i="3840"/>
  <c r="H15" i="3840"/>
  <c r="H18" i="3840"/>
  <c r="H17" i="3840"/>
  <c r="B16" i="3840"/>
  <c r="B20" i="3840" s="1"/>
  <c r="H24" i="3840"/>
  <c r="C15" i="3840"/>
  <c r="H23" i="3840"/>
  <c r="C14" i="3840"/>
  <c r="H22" i="3840"/>
  <c r="C13" i="3840"/>
  <c r="H21" i="3840"/>
  <c r="C12" i="3840"/>
  <c r="H4" i="3840"/>
  <c r="C11" i="3840"/>
  <c r="H14" i="3840"/>
  <c r="C10" i="3840"/>
  <c r="H9" i="3840"/>
  <c r="C9" i="3840"/>
  <c r="H13" i="3840"/>
  <c r="C8" i="3840"/>
  <c r="O7" i="3840"/>
  <c r="H6" i="3840"/>
  <c r="C7" i="3840"/>
  <c r="O6" i="3840"/>
  <c r="H2" i="3840"/>
  <c r="B6" i="3840"/>
  <c r="O5" i="3840"/>
  <c r="H11" i="3840"/>
  <c r="B5" i="3840"/>
  <c r="O4" i="3840"/>
  <c r="H3" i="3840"/>
  <c r="O3" i="3840"/>
  <c r="H10" i="3840"/>
  <c r="O2" i="3840"/>
  <c r="H5" i="3840"/>
  <c r="C16" i="3840" l="1"/>
  <c r="C17" i="3840"/>
  <c r="C18" i="3840"/>
  <c r="H51" i="3838" l="1"/>
  <c r="H50" i="3838"/>
  <c r="H49" i="3838"/>
  <c r="H48" i="3838"/>
  <c r="H47" i="3838"/>
  <c r="H46" i="3838"/>
  <c r="H45" i="3838"/>
  <c r="H44" i="3838"/>
  <c r="H43" i="3838"/>
  <c r="H42" i="3838"/>
  <c r="H41" i="3838"/>
  <c r="H40" i="3838"/>
  <c r="H39" i="3838"/>
  <c r="H38" i="3838"/>
  <c r="H37" i="3838"/>
  <c r="H36" i="3838"/>
  <c r="H35" i="3838"/>
  <c r="H34" i="3838"/>
  <c r="H33" i="3838"/>
  <c r="H32" i="3838"/>
  <c r="H14" i="3838"/>
  <c r="H31" i="3838"/>
  <c r="H11" i="3838"/>
  <c r="H30" i="3838"/>
  <c r="C28" i="3838"/>
  <c r="H29" i="3838"/>
  <c r="H10" i="3838"/>
  <c r="H28" i="3838"/>
  <c r="H27" i="3838"/>
  <c r="H26" i="3838"/>
  <c r="C23" i="3838"/>
  <c r="H25" i="3838"/>
  <c r="C22" i="3838"/>
  <c r="H24" i="3838"/>
  <c r="B21" i="3838"/>
  <c r="H23" i="3838"/>
  <c r="H22" i="3838"/>
  <c r="C19" i="3838"/>
  <c r="H21" i="3838"/>
  <c r="H20" i="3838"/>
  <c r="H19" i="3838"/>
  <c r="B16" i="3838"/>
  <c r="C17" i="3838" s="1"/>
  <c r="H18" i="3838"/>
  <c r="C15" i="3838"/>
  <c r="H17" i="3838"/>
  <c r="C14" i="3838"/>
  <c r="H16" i="3838"/>
  <c r="C13" i="3838"/>
  <c r="H15" i="3838"/>
  <c r="C12" i="3838"/>
  <c r="H5" i="3838"/>
  <c r="C11" i="3838"/>
  <c r="H13" i="3838"/>
  <c r="C10" i="3838"/>
  <c r="H7" i="3838"/>
  <c r="C9" i="3838"/>
  <c r="H9" i="3838"/>
  <c r="C8" i="3838"/>
  <c r="O7" i="3838"/>
  <c r="H8" i="3838"/>
  <c r="C7" i="3838"/>
  <c r="O6" i="3838"/>
  <c r="H3" i="3838"/>
  <c r="B6" i="3838"/>
  <c r="O5" i="3838"/>
  <c r="H6" i="3838"/>
  <c r="B5" i="3838"/>
  <c r="O4" i="3838"/>
  <c r="H2" i="3838"/>
  <c r="O3" i="3838"/>
  <c r="H12" i="3838"/>
  <c r="O2" i="3838"/>
  <c r="H4" i="3838"/>
  <c r="C16" i="3838" l="1"/>
  <c r="C18" i="3838"/>
  <c r="B20" i="3838"/>
  <c r="H51" i="3836" l="1"/>
  <c r="H50" i="3836"/>
  <c r="H49" i="3836"/>
  <c r="H48" i="3836"/>
  <c r="H47" i="3836"/>
  <c r="H46" i="3836"/>
  <c r="H45" i="3836"/>
  <c r="H44" i="3836"/>
  <c r="H43" i="3836"/>
  <c r="H42" i="3836"/>
  <c r="H41" i="3836"/>
  <c r="H40" i="3836"/>
  <c r="H39" i="3836"/>
  <c r="H38" i="3836"/>
  <c r="H37" i="3836"/>
  <c r="H36" i="3836"/>
  <c r="H35" i="3836"/>
  <c r="H34" i="3836"/>
  <c r="H24" i="3836"/>
  <c r="H23" i="3836"/>
  <c r="H22" i="3836"/>
  <c r="H33" i="3836"/>
  <c r="H10" i="3836"/>
  <c r="H32" i="3836"/>
  <c r="C28" i="3836"/>
  <c r="H31" i="3836"/>
  <c r="H12" i="3836"/>
  <c r="H30" i="3836"/>
  <c r="H21" i="3836"/>
  <c r="H16" i="3836"/>
  <c r="C23" i="3836"/>
  <c r="H29" i="3836"/>
  <c r="C22" i="3836"/>
  <c r="H17" i="3836"/>
  <c r="B21" i="3836"/>
  <c r="H28" i="3836"/>
  <c r="H27" i="3836"/>
  <c r="C19" i="3836"/>
  <c r="H20" i="3836"/>
  <c r="H13" i="3836"/>
  <c r="H19" i="3836"/>
  <c r="B16" i="3836"/>
  <c r="B20" i="3836" s="1"/>
  <c r="H26" i="3836"/>
  <c r="C15" i="3836"/>
  <c r="H18" i="3836"/>
  <c r="C14" i="3836"/>
  <c r="H25" i="3836"/>
  <c r="C13" i="3836"/>
  <c r="H15" i="3836"/>
  <c r="C12" i="3836"/>
  <c r="H4" i="3836"/>
  <c r="C11" i="3836"/>
  <c r="H14" i="3836"/>
  <c r="C10" i="3836"/>
  <c r="H9" i="3836"/>
  <c r="C9" i="3836"/>
  <c r="H8" i="3836"/>
  <c r="C8" i="3836"/>
  <c r="O7" i="3836"/>
  <c r="H7" i="3836"/>
  <c r="C7" i="3836"/>
  <c r="O6" i="3836"/>
  <c r="H2" i="3836"/>
  <c r="B6" i="3836"/>
  <c r="O5" i="3836"/>
  <c r="H6" i="3836"/>
  <c r="B5" i="3836"/>
  <c r="O4" i="3836"/>
  <c r="H3" i="3836"/>
  <c r="O3" i="3836"/>
  <c r="H11" i="3836"/>
  <c r="O2" i="3836"/>
  <c r="H5" i="3836"/>
  <c r="C17" i="3836" l="1"/>
  <c r="C16" i="3836"/>
  <c r="C18" i="3836"/>
  <c r="H51" i="3834" l="1"/>
  <c r="H50" i="3834"/>
  <c r="H49" i="3834"/>
  <c r="H48" i="3834"/>
  <c r="H47" i="3834"/>
  <c r="H46" i="3834"/>
  <c r="H45" i="3834"/>
  <c r="H44" i="3834"/>
  <c r="H43" i="3834"/>
  <c r="H42" i="3834"/>
  <c r="H41" i="3834"/>
  <c r="H40" i="3834"/>
  <c r="H39" i="3834"/>
  <c r="H38" i="3834"/>
  <c r="H37" i="3834"/>
  <c r="H36" i="3834"/>
  <c r="H35" i="3834"/>
  <c r="H34" i="3834"/>
  <c r="H33" i="3834"/>
  <c r="H15" i="3834"/>
  <c r="H32" i="3834"/>
  <c r="H31" i="3834"/>
  <c r="H14" i="3834"/>
  <c r="H30" i="3834"/>
  <c r="C28" i="3834"/>
  <c r="H29" i="3834"/>
  <c r="H13" i="3834"/>
  <c r="H28" i="3834"/>
  <c r="H27" i="3834"/>
  <c r="H26" i="3834"/>
  <c r="C23" i="3834"/>
  <c r="H25" i="3834"/>
  <c r="C22" i="3834"/>
  <c r="H24" i="3834"/>
  <c r="B21" i="3834"/>
  <c r="H23" i="3834"/>
  <c r="H22" i="3834"/>
  <c r="C19" i="3834"/>
  <c r="H21" i="3834"/>
  <c r="H12" i="3834"/>
  <c r="H20" i="3834"/>
  <c r="B16" i="3834"/>
  <c r="B20" i="3834" s="1"/>
  <c r="H19" i="3834"/>
  <c r="C15" i="3834"/>
  <c r="H18" i="3834"/>
  <c r="C14" i="3834"/>
  <c r="H17" i="3834"/>
  <c r="C13" i="3834"/>
  <c r="H16" i="3834"/>
  <c r="C12" i="3834"/>
  <c r="H7" i="3834"/>
  <c r="C11" i="3834"/>
  <c r="H11" i="3834"/>
  <c r="C10" i="3834"/>
  <c r="H10" i="3834"/>
  <c r="C9" i="3834"/>
  <c r="H9" i="3834"/>
  <c r="C8" i="3834"/>
  <c r="O7" i="3834"/>
  <c r="H6" i="3834"/>
  <c r="C7" i="3834"/>
  <c r="O6" i="3834"/>
  <c r="H2" i="3834"/>
  <c r="B6" i="3834"/>
  <c r="O5" i="3834"/>
  <c r="H4" i="3834"/>
  <c r="B5" i="3834"/>
  <c r="O4" i="3834"/>
  <c r="H5" i="3834"/>
  <c r="O3" i="3834"/>
  <c r="H8" i="3834"/>
  <c r="O2" i="3834"/>
  <c r="H3" i="3834"/>
  <c r="C17" i="3834" l="1"/>
  <c r="C16" i="3834"/>
  <c r="C18" i="3834"/>
  <c r="H51" i="3832" l="1"/>
  <c r="H50" i="3832"/>
  <c r="H49" i="3832"/>
  <c r="H48" i="3832"/>
  <c r="H47" i="3832"/>
  <c r="H46" i="3832"/>
  <c r="H45" i="3832"/>
  <c r="H44" i="3832"/>
  <c r="H43" i="3832"/>
  <c r="H42" i="3832"/>
  <c r="H41" i="3832"/>
  <c r="H40" i="3832"/>
  <c r="H39" i="3832"/>
  <c r="H38" i="3832"/>
  <c r="H37" i="3832"/>
  <c r="H36" i="3832"/>
  <c r="H35" i="3832"/>
  <c r="H34" i="3832"/>
  <c r="H33" i="3832"/>
  <c r="H32" i="3832"/>
  <c r="H17" i="3832"/>
  <c r="H31" i="3832"/>
  <c r="H9" i="3832"/>
  <c r="H30" i="3832"/>
  <c r="C28" i="3832"/>
  <c r="H29" i="3832"/>
  <c r="H14" i="3832"/>
  <c r="H28" i="3832"/>
  <c r="H23" i="3832"/>
  <c r="H22" i="3832"/>
  <c r="C23" i="3832"/>
  <c r="H27" i="3832"/>
  <c r="C22" i="3832"/>
  <c r="H16" i="3832"/>
  <c r="B21" i="3832"/>
  <c r="H26" i="3832"/>
  <c r="H25" i="3832"/>
  <c r="C19" i="3832"/>
  <c r="H21" i="3832"/>
  <c r="H13" i="3832"/>
  <c r="H15" i="3832"/>
  <c r="B16" i="3832"/>
  <c r="B20" i="3832" s="1"/>
  <c r="H24" i="3832"/>
  <c r="C15" i="3832"/>
  <c r="H20" i="3832"/>
  <c r="C14" i="3832"/>
  <c r="H19" i="3832"/>
  <c r="C13" i="3832"/>
  <c r="H18" i="3832"/>
  <c r="C12" i="3832"/>
  <c r="H5" i="3832"/>
  <c r="C11" i="3832"/>
  <c r="H12" i="3832"/>
  <c r="C10" i="3832"/>
  <c r="H11" i="3832"/>
  <c r="C9" i="3832"/>
  <c r="H8" i="3832"/>
  <c r="C8" i="3832"/>
  <c r="O7" i="3832"/>
  <c r="H7" i="3832"/>
  <c r="C7" i="3832"/>
  <c r="O6" i="3832"/>
  <c r="H2" i="3832"/>
  <c r="B6" i="3832"/>
  <c r="O5" i="3832"/>
  <c r="H6" i="3832"/>
  <c r="B5" i="3832"/>
  <c r="O4" i="3832"/>
  <c r="H3" i="3832"/>
  <c r="O3" i="3832"/>
  <c r="H10" i="3832"/>
  <c r="O2" i="3832"/>
  <c r="H4" i="3832"/>
  <c r="H51" i="3830"/>
  <c r="H50" i="3830"/>
  <c r="H49" i="3830"/>
  <c r="H48" i="3830"/>
  <c r="H47" i="3830"/>
  <c r="H46" i="3830"/>
  <c r="H45" i="3830"/>
  <c r="H44" i="3830"/>
  <c r="H43" i="3830"/>
  <c r="H42" i="3830"/>
  <c r="H41" i="3830"/>
  <c r="H40" i="3830"/>
  <c r="H39" i="3830"/>
  <c r="H38" i="3830"/>
  <c r="H37" i="3830"/>
  <c r="H36" i="3830"/>
  <c r="H35" i="3830"/>
  <c r="H34" i="3830"/>
  <c r="H33" i="3830"/>
  <c r="H32" i="3830"/>
  <c r="H31" i="3830"/>
  <c r="H30" i="3830"/>
  <c r="H10" i="3830"/>
  <c r="H29" i="3830"/>
  <c r="C28" i="3830"/>
  <c r="H28" i="3830"/>
  <c r="H15" i="3830"/>
  <c r="H27" i="3830"/>
  <c r="H26" i="3830"/>
  <c r="H18" i="3830"/>
  <c r="C23" i="3830"/>
  <c r="H25" i="3830"/>
  <c r="C22" i="3830"/>
  <c r="H17" i="3830"/>
  <c r="B21" i="3830"/>
  <c r="H24" i="3830"/>
  <c r="H23" i="3830"/>
  <c r="C19" i="3830"/>
  <c r="H14" i="3830"/>
  <c r="H13" i="3830"/>
  <c r="H22" i="3830"/>
  <c r="B16" i="3830"/>
  <c r="C17" i="3830" s="1"/>
  <c r="H21" i="3830"/>
  <c r="C15" i="3830"/>
  <c r="H16" i="3830"/>
  <c r="C14" i="3830"/>
  <c r="H20" i="3830"/>
  <c r="C13" i="3830"/>
  <c r="H19" i="3830"/>
  <c r="C12" i="3830"/>
  <c r="H4" i="3830"/>
  <c r="C11" i="3830"/>
  <c r="H12" i="3830"/>
  <c r="C10" i="3830"/>
  <c r="H11" i="3830"/>
  <c r="C9" i="3830"/>
  <c r="H9" i="3830"/>
  <c r="C8" i="3830"/>
  <c r="O7" i="3830"/>
  <c r="H6" i="3830"/>
  <c r="C7" i="3830"/>
  <c r="O6" i="3830"/>
  <c r="H2" i="3830"/>
  <c r="B6" i="3830"/>
  <c r="O5" i="3830"/>
  <c r="H8" i="3830"/>
  <c r="B5" i="3830"/>
  <c r="O4" i="3830"/>
  <c r="H3" i="3830"/>
  <c r="O3" i="3830"/>
  <c r="H7" i="3830"/>
  <c r="O2" i="3830"/>
  <c r="H5" i="3830"/>
  <c r="C17" i="3832" l="1"/>
  <c r="C16" i="3832"/>
  <c r="C18" i="3832"/>
  <c r="C16" i="3830"/>
  <c r="B20" i="3830"/>
  <c r="C18" i="3830"/>
  <c r="H51" i="3828" l="1"/>
  <c r="H50" i="3828"/>
  <c r="H49" i="3828"/>
  <c r="H48" i="3828"/>
  <c r="H47" i="3828"/>
  <c r="H46" i="3828"/>
  <c r="H45" i="3828"/>
  <c r="H44" i="3828"/>
  <c r="H43" i="3828"/>
  <c r="H42" i="3828"/>
  <c r="H41" i="3828"/>
  <c r="H40" i="3828"/>
  <c r="H39" i="3828"/>
  <c r="H38" i="3828"/>
  <c r="H37" i="3828"/>
  <c r="H36" i="3828"/>
  <c r="H35" i="3828"/>
  <c r="H34" i="3828"/>
  <c r="H33" i="3828"/>
  <c r="H32" i="3828"/>
  <c r="H31" i="3828"/>
  <c r="H30" i="3828"/>
  <c r="H29" i="3828"/>
  <c r="H28" i="3828"/>
  <c r="C28" i="3828"/>
  <c r="H27" i="3828"/>
  <c r="H11" i="3828"/>
  <c r="H26" i="3828"/>
  <c r="H25" i="3828"/>
  <c r="H24" i="3828"/>
  <c r="C23" i="3828"/>
  <c r="H23" i="3828"/>
  <c r="C22" i="3828"/>
  <c r="H22" i="3828"/>
  <c r="B21" i="3828"/>
  <c r="H21" i="3828"/>
  <c r="H20" i="3828"/>
  <c r="C19" i="3828"/>
  <c r="H8" i="3828"/>
  <c r="H19" i="3828"/>
  <c r="H18" i="3828"/>
  <c r="B16" i="3828"/>
  <c r="B20" i="3828" s="1"/>
  <c r="H17" i="3828"/>
  <c r="C15" i="3828"/>
  <c r="H16" i="3828"/>
  <c r="C14" i="3828"/>
  <c r="H15" i="3828"/>
  <c r="C13" i="3828"/>
  <c r="H14" i="3828"/>
  <c r="C12" i="3828"/>
  <c r="H5" i="3828"/>
  <c r="C11" i="3828"/>
  <c r="H13" i="3828"/>
  <c r="C10" i="3828"/>
  <c r="H12" i="3828"/>
  <c r="C9" i="3828"/>
  <c r="H10" i="3828"/>
  <c r="C8" i="3828"/>
  <c r="O7" i="3828"/>
  <c r="H6" i="3828"/>
  <c r="C7" i="3828"/>
  <c r="O6" i="3828"/>
  <c r="H3" i="3828"/>
  <c r="B6" i="3828"/>
  <c r="O5" i="3828"/>
  <c r="H7" i="3828"/>
  <c r="B5" i="3828"/>
  <c r="O4" i="3828"/>
  <c r="H9" i="3828"/>
  <c r="O3" i="3828"/>
  <c r="H4" i="3828"/>
  <c r="O2" i="3828"/>
  <c r="H2" i="3828"/>
  <c r="C17" i="3828" l="1"/>
  <c r="C16" i="3828"/>
  <c r="C18" i="3828"/>
  <c r="H51" i="3826" l="1"/>
  <c r="H50" i="3826"/>
  <c r="H49" i="3826"/>
  <c r="H48" i="3826"/>
  <c r="H47" i="3826"/>
  <c r="H46" i="3826"/>
  <c r="H45" i="3826"/>
  <c r="H44" i="3826"/>
  <c r="H43" i="3826"/>
  <c r="H42" i="3826"/>
  <c r="H41" i="3826"/>
  <c r="H40" i="3826"/>
  <c r="H39" i="3826"/>
  <c r="H38" i="3826"/>
  <c r="H37" i="3826"/>
  <c r="H36" i="3826"/>
  <c r="H35" i="3826"/>
  <c r="H34" i="3826"/>
  <c r="H17" i="3826"/>
  <c r="H33" i="3826"/>
  <c r="H32" i="3826"/>
  <c r="H31" i="3826"/>
  <c r="H13" i="3826"/>
  <c r="H30" i="3826"/>
  <c r="C28" i="3826"/>
  <c r="H29" i="3826"/>
  <c r="H12" i="3826"/>
  <c r="H28" i="3826"/>
  <c r="H27" i="3826"/>
  <c r="H11" i="3826"/>
  <c r="C23" i="3826"/>
  <c r="H26" i="3826"/>
  <c r="C22" i="3826"/>
  <c r="H14" i="3826"/>
  <c r="B21" i="3826"/>
  <c r="H25" i="3826"/>
  <c r="H24" i="3826"/>
  <c r="C19" i="3826"/>
  <c r="H23" i="3826"/>
  <c r="H16" i="3826"/>
  <c r="H22" i="3826"/>
  <c r="B16" i="3826"/>
  <c r="C17" i="3826" s="1"/>
  <c r="H21" i="3826"/>
  <c r="C15" i="3826"/>
  <c r="H20" i="3826"/>
  <c r="C14" i="3826"/>
  <c r="H19" i="3826"/>
  <c r="C13" i="3826"/>
  <c r="H18" i="3826"/>
  <c r="C12" i="3826"/>
  <c r="H4" i="3826"/>
  <c r="C11" i="3826"/>
  <c r="H15" i="3826"/>
  <c r="C10" i="3826"/>
  <c r="H9" i="3826"/>
  <c r="C9" i="3826"/>
  <c r="H8" i="3826"/>
  <c r="C8" i="3826"/>
  <c r="O7" i="3826"/>
  <c r="H7" i="3826"/>
  <c r="C7" i="3826"/>
  <c r="O6" i="3826"/>
  <c r="H3" i="3826"/>
  <c r="B6" i="3826"/>
  <c r="O5" i="3826"/>
  <c r="H6" i="3826"/>
  <c r="B5" i="3826"/>
  <c r="O4" i="3826"/>
  <c r="H2" i="3826"/>
  <c r="O3" i="3826"/>
  <c r="H10" i="3826"/>
  <c r="O2" i="3826"/>
  <c r="H5" i="3826"/>
  <c r="H51" i="3824"/>
  <c r="H50" i="3824"/>
  <c r="H49" i="3824"/>
  <c r="H48" i="3824"/>
  <c r="H47" i="3824"/>
  <c r="H46" i="3824"/>
  <c r="H45" i="3824"/>
  <c r="H44" i="3824"/>
  <c r="H43" i="3824"/>
  <c r="H42" i="3824"/>
  <c r="H41" i="3824"/>
  <c r="H40" i="3824"/>
  <c r="H39" i="3824"/>
  <c r="H38" i="3824"/>
  <c r="H37" i="3824"/>
  <c r="H36" i="3824"/>
  <c r="H35" i="3824"/>
  <c r="H34" i="3824"/>
  <c r="H33" i="3824"/>
  <c r="H20" i="3824"/>
  <c r="H14" i="3824"/>
  <c r="H32" i="3824"/>
  <c r="H8" i="3824"/>
  <c r="H24" i="3824"/>
  <c r="C28" i="3824"/>
  <c r="H23" i="3824"/>
  <c r="H12" i="3824"/>
  <c r="H19" i="3824"/>
  <c r="H22" i="3824"/>
  <c r="H13" i="3824"/>
  <c r="C23" i="3824"/>
  <c r="H31" i="3824"/>
  <c r="C22" i="3824"/>
  <c r="H15" i="3824"/>
  <c r="B21" i="3824"/>
  <c r="H21" i="3824"/>
  <c r="H30" i="3824"/>
  <c r="C19" i="3824"/>
  <c r="H18" i="3824"/>
  <c r="H17" i="3824"/>
  <c r="H29" i="3824"/>
  <c r="B16" i="3824"/>
  <c r="B20" i="3824" s="1"/>
  <c r="H28" i="3824"/>
  <c r="C15" i="3824"/>
  <c r="H27" i="3824"/>
  <c r="C14" i="3824"/>
  <c r="H26" i="3824"/>
  <c r="C13" i="3824"/>
  <c r="H25" i="3824"/>
  <c r="C12" i="3824"/>
  <c r="H5" i="3824"/>
  <c r="C11" i="3824"/>
  <c r="H16" i="3824"/>
  <c r="C10" i="3824"/>
  <c r="H11" i="3824"/>
  <c r="C9" i="3824"/>
  <c r="H10" i="3824"/>
  <c r="C8" i="3824"/>
  <c r="O7" i="3824"/>
  <c r="H6" i="3824"/>
  <c r="C7" i="3824"/>
  <c r="O6" i="3824"/>
  <c r="H2" i="3824"/>
  <c r="B6" i="3824"/>
  <c r="O5" i="3824"/>
  <c r="H7" i="3824"/>
  <c r="B5" i="3824"/>
  <c r="O4" i="3824"/>
  <c r="H3" i="3824"/>
  <c r="O3" i="3824"/>
  <c r="H9" i="3824"/>
  <c r="O2" i="3824"/>
  <c r="H4" i="3824"/>
  <c r="C16" i="3826" l="1"/>
  <c r="C18" i="3826"/>
  <c r="B20" i="3826"/>
  <c r="C17" i="3824"/>
  <c r="C16" i="3824"/>
  <c r="C18" i="3824"/>
  <c r="H51" i="3822" l="1"/>
  <c r="H50" i="3822"/>
  <c r="H49" i="3822"/>
  <c r="H48" i="3822"/>
  <c r="H47" i="3822"/>
  <c r="H46" i="3822"/>
  <c r="H45" i="3822"/>
  <c r="H44" i="3822"/>
  <c r="H43" i="3822"/>
  <c r="H42" i="3822"/>
  <c r="H41" i="3822"/>
  <c r="H40" i="3822"/>
  <c r="H39" i="3822"/>
  <c r="H38" i="3822"/>
  <c r="H37" i="3822"/>
  <c r="H36" i="3822"/>
  <c r="H35" i="3822"/>
  <c r="H34" i="3822"/>
  <c r="H33" i="3822"/>
  <c r="H32" i="3822"/>
  <c r="H31" i="3822"/>
  <c r="H30" i="3822"/>
  <c r="H29" i="3822"/>
  <c r="H28" i="3822"/>
  <c r="C28" i="3822"/>
  <c r="H27" i="3822"/>
  <c r="H26" i="3822"/>
  <c r="H25" i="3822"/>
  <c r="H24" i="3822"/>
  <c r="H23" i="3822"/>
  <c r="C23" i="3822"/>
  <c r="H22" i="3822"/>
  <c r="C22" i="3822"/>
  <c r="H21" i="3822"/>
  <c r="B21" i="3822"/>
  <c r="H20" i="3822"/>
  <c r="H19" i="3822"/>
  <c r="C19" i="3822"/>
  <c r="H18" i="3822"/>
  <c r="H17" i="3822"/>
  <c r="H16" i="3822"/>
  <c r="B16" i="3822"/>
  <c r="C17" i="3822" s="1"/>
  <c r="H15" i="3822"/>
  <c r="C15" i="3822"/>
  <c r="H14" i="3822"/>
  <c r="C14" i="3822"/>
  <c r="H13" i="3822"/>
  <c r="C13" i="3822"/>
  <c r="H12" i="3822"/>
  <c r="C12" i="3822"/>
  <c r="H11" i="3822"/>
  <c r="C11" i="3822"/>
  <c r="H5" i="3822"/>
  <c r="C10" i="3822"/>
  <c r="H10" i="3822"/>
  <c r="C9" i="3822"/>
  <c r="H4" i="3822"/>
  <c r="C8" i="3822"/>
  <c r="O7" i="3822"/>
  <c r="H9" i="3822"/>
  <c r="C7" i="3822"/>
  <c r="O6" i="3822"/>
  <c r="H8" i="3822"/>
  <c r="B6" i="3822"/>
  <c r="O5" i="3822"/>
  <c r="H2" i="3822"/>
  <c r="B5" i="3822"/>
  <c r="O4" i="3822"/>
  <c r="H7" i="3822"/>
  <c r="O3" i="3822"/>
  <c r="H6" i="3822"/>
  <c r="O2" i="3822"/>
  <c r="H3" i="3822"/>
  <c r="H51" i="3820"/>
  <c r="H50" i="3820"/>
  <c r="H49" i="3820"/>
  <c r="H48" i="3820"/>
  <c r="H47" i="3820"/>
  <c r="H46" i="3820"/>
  <c r="H45" i="3820"/>
  <c r="H44" i="3820"/>
  <c r="H43" i="3820"/>
  <c r="H42" i="3820"/>
  <c r="H41" i="3820"/>
  <c r="H40" i="3820"/>
  <c r="H39" i="3820"/>
  <c r="H38" i="3820"/>
  <c r="H37" i="3820"/>
  <c r="H36" i="3820"/>
  <c r="H35" i="3820"/>
  <c r="H34" i="3820"/>
  <c r="H33" i="3820"/>
  <c r="H32" i="3820"/>
  <c r="H31" i="3820"/>
  <c r="H30" i="3820"/>
  <c r="H29" i="3820"/>
  <c r="H28" i="3820"/>
  <c r="C28" i="3820"/>
  <c r="H27" i="3820"/>
  <c r="H26" i="3820"/>
  <c r="H25" i="3820"/>
  <c r="H24" i="3820"/>
  <c r="H23" i="3820"/>
  <c r="C23" i="3820"/>
  <c r="H22" i="3820"/>
  <c r="C22" i="3820"/>
  <c r="H21" i="3820"/>
  <c r="B21" i="3820"/>
  <c r="H20" i="3820"/>
  <c r="H19" i="3820"/>
  <c r="C19" i="3820"/>
  <c r="H18" i="3820"/>
  <c r="H17" i="3820"/>
  <c r="C17" i="3820"/>
  <c r="H16" i="3820"/>
  <c r="C16" i="3820"/>
  <c r="B16" i="3820"/>
  <c r="B20" i="3820" s="1"/>
  <c r="H15" i="3820"/>
  <c r="C15" i="3820"/>
  <c r="H14" i="3820"/>
  <c r="C14" i="3820"/>
  <c r="H13" i="3820"/>
  <c r="C13" i="3820"/>
  <c r="H12" i="3820"/>
  <c r="C12" i="3820"/>
  <c r="H11" i="3820"/>
  <c r="C11" i="3820"/>
  <c r="H10" i="3820"/>
  <c r="C10" i="3820"/>
  <c r="H9" i="3820"/>
  <c r="C9" i="3820"/>
  <c r="H8" i="3820"/>
  <c r="C8" i="3820"/>
  <c r="O7" i="3820"/>
  <c r="H7" i="3820"/>
  <c r="C7" i="3820"/>
  <c r="O6" i="3820"/>
  <c r="H6" i="3820"/>
  <c r="B6" i="3820"/>
  <c r="O5" i="3820"/>
  <c r="H5" i="3820"/>
  <c r="B5" i="3820"/>
  <c r="O4" i="3820"/>
  <c r="H4" i="3820"/>
  <c r="O3" i="3820"/>
  <c r="H3" i="3820"/>
  <c r="O2" i="3820"/>
  <c r="H2" i="3820"/>
  <c r="H51" i="3818"/>
  <c r="H50" i="3818"/>
  <c r="H49" i="3818"/>
  <c r="H48" i="3818"/>
  <c r="H47" i="3818"/>
  <c r="H28" i="3818"/>
  <c r="H46" i="3818"/>
  <c r="H45" i="3818"/>
  <c r="H44" i="3818"/>
  <c r="H43" i="3818"/>
  <c r="H42" i="3818"/>
  <c r="H41" i="3818"/>
  <c r="H40" i="3818"/>
  <c r="H39" i="3818"/>
  <c r="H38" i="3818"/>
  <c r="H37" i="3818"/>
  <c r="H27" i="3818"/>
  <c r="H36" i="3818"/>
  <c r="H35" i="3818"/>
  <c r="H23" i="3818"/>
  <c r="H19" i="3818"/>
  <c r="H26" i="3818"/>
  <c r="H8" i="3818"/>
  <c r="H34" i="3818"/>
  <c r="C28" i="3818"/>
  <c r="H22" i="3818"/>
  <c r="H13" i="3818"/>
  <c r="H25" i="3818"/>
  <c r="H33" i="3818"/>
  <c r="H14" i="3818"/>
  <c r="C23" i="3818"/>
  <c r="H32" i="3818"/>
  <c r="C22" i="3818"/>
  <c r="H15" i="3818"/>
  <c r="B21" i="3818"/>
  <c r="H31" i="3818"/>
  <c r="H30" i="3818"/>
  <c r="C19" i="3818"/>
  <c r="H21" i="3818"/>
  <c r="H20" i="3818"/>
  <c r="H16" i="3818"/>
  <c r="B16" i="3818"/>
  <c r="B20" i="3818" s="1"/>
  <c r="H29" i="3818"/>
  <c r="C15" i="3818"/>
  <c r="H18" i="3818"/>
  <c r="C14" i="3818"/>
  <c r="H24" i="3818"/>
  <c r="C13" i="3818"/>
  <c r="H17" i="3818"/>
  <c r="C12" i="3818"/>
  <c r="H4" i="3818"/>
  <c r="C11" i="3818"/>
  <c r="H12" i="3818"/>
  <c r="C10" i="3818"/>
  <c r="H11" i="3818"/>
  <c r="C9" i="3818"/>
  <c r="H9" i="3818"/>
  <c r="C8" i="3818"/>
  <c r="O7" i="3818"/>
  <c r="H6" i="3818"/>
  <c r="C7" i="3818"/>
  <c r="O6" i="3818"/>
  <c r="H2" i="3818"/>
  <c r="B6" i="3818"/>
  <c r="O5" i="3818"/>
  <c r="H7" i="3818"/>
  <c r="B5" i="3818"/>
  <c r="O4" i="3818"/>
  <c r="H3" i="3818"/>
  <c r="O3" i="3818"/>
  <c r="H10" i="3818"/>
  <c r="O2" i="3818"/>
  <c r="H5" i="3818"/>
  <c r="H51" i="3816"/>
  <c r="H50" i="3816"/>
  <c r="H49" i="3816"/>
  <c r="H48" i="3816"/>
  <c r="H47" i="3816"/>
  <c r="H32" i="3816"/>
  <c r="H46" i="3816"/>
  <c r="H45" i="3816"/>
  <c r="H44" i="3816"/>
  <c r="H43" i="3816"/>
  <c r="H42" i="3816"/>
  <c r="H41" i="3816"/>
  <c r="H40" i="3816"/>
  <c r="H39" i="3816"/>
  <c r="H38" i="3816"/>
  <c r="H37" i="3816"/>
  <c r="H31" i="3816"/>
  <c r="H36" i="3816"/>
  <c r="H27" i="3816"/>
  <c r="H22" i="3816"/>
  <c r="H17" i="3816"/>
  <c r="H30" i="3816"/>
  <c r="H9" i="3816"/>
  <c r="H29" i="3816"/>
  <c r="C28" i="3816"/>
  <c r="H25" i="3816"/>
  <c r="H12" i="3816"/>
  <c r="H23" i="3816"/>
  <c r="H24" i="3816"/>
  <c r="H14" i="3816"/>
  <c r="C23" i="3816"/>
  <c r="H35" i="3816"/>
  <c r="C22" i="3816"/>
  <c r="H16" i="3816"/>
  <c r="B21" i="3816"/>
  <c r="H28" i="3816"/>
  <c r="H34" i="3816"/>
  <c r="C19" i="3816"/>
  <c r="H18" i="3816"/>
  <c r="H15" i="3816"/>
  <c r="H20" i="3816"/>
  <c r="B16" i="3816"/>
  <c r="C17" i="3816" s="1"/>
  <c r="H33" i="3816"/>
  <c r="C15" i="3816"/>
  <c r="H21" i="3816"/>
  <c r="C14" i="3816"/>
  <c r="H26" i="3816"/>
  <c r="C13" i="3816"/>
  <c r="H19" i="3816"/>
  <c r="C12" i="3816"/>
  <c r="H4" i="3816"/>
  <c r="C11" i="3816"/>
  <c r="H13" i="3816"/>
  <c r="C10" i="3816"/>
  <c r="H11" i="3816"/>
  <c r="C9" i="3816"/>
  <c r="H8" i="3816"/>
  <c r="C8" i="3816"/>
  <c r="O7" i="3816"/>
  <c r="H7" i="3816"/>
  <c r="C7" i="3816"/>
  <c r="O6" i="3816"/>
  <c r="H2" i="3816"/>
  <c r="B6" i="3816"/>
  <c r="O5" i="3816"/>
  <c r="H6" i="3816"/>
  <c r="B5" i="3816"/>
  <c r="O4" i="3816"/>
  <c r="H3" i="3816"/>
  <c r="O3" i="3816"/>
  <c r="H10" i="3816"/>
  <c r="O2" i="3816"/>
  <c r="H5" i="3816"/>
  <c r="C16" i="3822" l="1"/>
  <c r="C18" i="3822"/>
  <c r="B20" i="3822"/>
  <c r="C18" i="3820"/>
  <c r="C17" i="3818"/>
  <c r="C16" i="3818"/>
  <c r="C18" i="3818"/>
  <c r="C16" i="3816"/>
  <c r="C18" i="3816"/>
  <c r="B20" i="3816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<sst xmlns="http://schemas.openxmlformats.org/spreadsheetml/2006/main" count="3029" uniqueCount="236">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</sst>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全体!$K$2:$K$599</c:f>
              <c:numCache>
                <c:formatCode>General</c:formatCode>
                <c:ptCount val="5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</c:numCache>
            </c:numRef>
          </c:xVal>
          <c:yVal>
            <c:numRef>
              <c:f>全体!$L$2:$L$599</c:f>
              <c:numCache>
                <c:formatCode>\+0;\-0;\±0</c:formatCode>
                <c:ptCount val="59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  <c:pt idx="589">
                  <c:v>54.000000000000028</c:v>
                </c:pt>
                <c:pt idx="590">
                  <c:v>16.000000000000028</c:v>
                </c:pt>
                <c:pt idx="591">
                  <c:v>-4.9999999999999716</c:v>
                </c:pt>
                <c:pt idx="592">
                  <c:v>-4.9999999999999716</c:v>
                </c:pt>
                <c:pt idx="593">
                  <c:v>31.000000000000028</c:v>
                </c:pt>
                <c:pt idx="594">
                  <c:v>-4.9999999999999716</c:v>
                </c:pt>
                <c:pt idx="595">
                  <c:v>-25.499999999999972</c:v>
                </c:pt>
                <c:pt idx="596">
                  <c:v>4.400000000000027</c:v>
                </c:pt>
                <c:pt idx="597">
                  <c:v>-4.9999999999999734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6-47C5-A08A-D256E5F33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-10.256410256410257</c:v>
                </c:pt>
                <c:pt idx="1">
                  <c:v>-5.376344086021505</c:v>
                </c:pt>
                <c:pt idx="2">
                  <c:v>11.627906976744185</c:v>
                </c:pt>
                <c:pt idx="3">
                  <c:v>2.150537634408602</c:v>
                </c:pt>
                <c:pt idx="4">
                  <c:v>2.5252525252525251</c:v>
                </c:pt>
                <c:pt idx="5">
                  <c:v>-12.820512820512821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52-4007-A2BD-BD0567C8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だいち!$L$2:$L$179</c:f>
              <c:numCache>
                <c:formatCode>\+0;\-0;\±0</c:formatCode>
                <c:ptCount val="17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  <c:pt idx="175">
                  <c:v>964.10000000000025</c:v>
                </c:pt>
                <c:pt idx="176">
                  <c:v>964.10000000000025</c:v>
                </c:pt>
                <c:pt idx="177">
                  <c:v>943.60000000000025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3-4511-96C8-2ACCB2445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730.05780346820814</c:v>
                </c:pt>
                <c:pt idx="1">
                  <c:v>553.93939393939399</c:v>
                </c:pt>
                <c:pt idx="2">
                  <c:v>1365.7894736842106</c:v>
                </c:pt>
                <c:pt idx="3">
                  <c:v>1362.7737226277372</c:v>
                </c:pt>
                <c:pt idx="4">
                  <c:v>1264.1025641025642</c:v>
                </c:pt>
                <c:pt idx="5">
                  <c:v>1623.0769230769231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A-4738-8073-E3836DC5D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1-451D-B102-A26A6912E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44-4CC1-9DFB-940BB9F12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8-4525-B09B-81303CBEA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D-4C1F-AEF7-4E167E9C8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49-4B05-9167-B7656CB0B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6-4F62-9C7B-B0FE8105D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F4-4556-B801-E9D7581F1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1-4938-A1EB-FB17C7AAA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8-47A5-978E-C755E1294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D-41A3-8588-6BA588AB9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D-4D65-948F-26B03534A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C-4F97-8B6B-D6BD07C29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ただ!$L$2:$L$77</c:f>
              <c:numCache>
                <c:formatCode>\+0;\-0;\±0</c:formatCode>
                <c:ptCount val="7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  <c:pt idx="73">
                  <c:v>139.39999999999998</c:v>
                </c:pt>
                <c:pt idx="74">
                  <c:v>175.39999999999998</c:v>
                </c:pt>
                <c:pt idx="75">
                  <c:v>205.29999999999998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9-46B3-8231-AC82CA32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3397.2602739726026</c:v>
                </c:pt>
                <c:pt idx="1">
                  <c:v>41.176470588235297</c:v>
                </c:pt>
                <c:pt idx="2">
                  <c:v>-79.032258064516128</c:v>
                </c:pt>
                <c:pt idx="3">
                  <c:v>-1482.7586206896551</c:v>
                </c:pt>
                <c:pt idx="4">
                  <c:v>554.16666666666663</c:v>
                </c:pt>
                <c:pt idx="5">
                  <c:v>-521.42857142857144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9-4CF7-A0A4-9C505FDC0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2-416B-9489-9FA448FDE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9F-4AFA-898A-83FFBBAD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れんたろう!$L$2:$L$75</c:f>
              <c:numCache>
                <c:formatCode>\+0;\-0;\±0</c:formatCode>
                <c:ptCount val="7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B-4B16-9882-80951411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-1386.9565217391305</c:v>
                </c:pt>
                <c:pt idx="1">
                  <c:v>192.64705882352942</c:v>
                </c:pt>
                <c:pt idx="2">
                  <c:v>-3053.125</c:v>
                </c:pt>
                <c:pt idx="3">
                  <c:v>-430.50847457627117</c:v>
                </c:pt>
                <c:pt idx="4">
                  <c:v>-1709.2592592592594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E-420E-A3EE-74494BF6B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9-4089-87A6-C6D67510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7A-43DE-858D-08B208D21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まっつん!$L$2:$L$23</c:f>
              <c:numCache>
                <c:formatCode>\+0;\-0;\±0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1-4123-8911-6756E1602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-4433.333333333333</c:v>
                </c:pt>
                <c:pt idx="1">
                  <c:v>2295.2380952380954</c:v>
                </c:pt>
                <c:pt idx="2">
                  <c:v>-177.77777777777777</c:v>
                </c:pt>
                <c:pt idx="3">
                  <c:v>-617.64705882352939</c:v>
                </c:pt>
                <c:pt idx="4">
                  <c:v>-2862.5</c:v>
                </c:pt>
                <c:pt idx="5">
                  <c:v>-1646.1538461538462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6-4317-9EF7-EB2AE7008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まっつん2!$B$3:$B$24</c:f>
              <c:numCache>
                <c:formatCode>\+0.0;\-0.0;\±0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まっつん2!$C$3:$C$24</c:f>
              <c:numCache>
                <c:formatCode>\+0.0;\-0.0;\±0</c:formatCode>
                <c:ptCount val="22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まっつん2!$D$3:$D$24</c:f>
              <c:numCache>
                <c:formatCode>0.00\ "位"</c:formatCode>
                <c:ptCount val="2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まっつん2!$E$3:$E$24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まっつん2!$F$3:$F$24</c:f>
              <c:numCache>
                <c:formatCode>0.0%</c:formatCode>
                <c:ptCount val="22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まっつん2!$G$3:$G$24</c:f>
              <c:numCache>
                <c:formatCode>0.0%</c:formatCode>
                <c:ptCount val="22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まっつん2!$H$3:$H$24</c:f>
              <c:numCache>
                <c:formatCode>0</c:formatCode>
                <c:ptCount val="22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まっつん2!$I$3:$I$24</c:f>
              <c:numCache>
                <c:formatCode>0</c:formatCode>
                <c:ptCount val="22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まっつん2!$J$3:$J$24</c:f>
              <c:numCache>
                <c:formatCode>0.0%</c:formatCode>
                <c:ptCount val="2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まっつん2!$K$3:$K$24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まっつん2!$L$3:$L$24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まっつん2!$M$3:$M$24</c:f>
              <c:numCache>
                <c:formatCode>0.0%</c:formatCode>
                <c:ptCount val="22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まっつん2!$N$3:$N$24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まっつん2!$O$3:$O$24</c:f>
              <c:numCache>
                <c:formatCode>0.0%</c:formatCode>
                <c:ptCount val="22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まっつん2!$P$3:$P$24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まっつん2!$Q$3:$Q$24</c:f>
              <c:numCache>
                <c:formatCode>0.0%</c:formatCode>
                <c:ptCount val="2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1AFFAA-3501-49A1-B17A-EFCCF3C15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79FC3C-A3F2-4E30-BF44-FDC4E5D512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4EF1D9-B4BF-494E-BCCF-F5F806F6C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5A519A-B566-4D51-8076-E417C981A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1FFAF8-BDA8-4F37-8A54-4A1EAF48D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2DFFEA-B5F9-4BA9-BB7F-452B1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189945-1563-424A-B77F-70BBA54654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D716D9-E90F-4782-B8B0-576F14A34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A0A883-20B0-4243-BE07-3ADAB4281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046AAC-AA9B-48B9-8E9E-561D8DB43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1D903C-A550-4852-81FB-C291222BB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7030AC-6EE6-40EE-A020-69A289AC7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1064A5-0B82-409E-8F0A-EDEB453F6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6082E5-C119-44AE-93EF-2183AE1B8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3585FA-EA54-4508-9B39-C73CC1C4DA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950EB5-9C22-4F95-BF0D-25D588165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839E9A-2502-499B-A7C5-9F6E6D7F0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622E1B-D62B-4D5E-9187-CAEACEA193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B226C5-53D6-414D-8E93-49A441F10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36D90D-BBC3-40AA-AD85-C5CECD4BD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A70495-6084-48B6-861C-7A3D08BB5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E700A2-2624-46D6-8B74-8BC5E06EF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6EF890-E32A-4870-8F7E-E233B34A7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A783B6-54FF-48F9-8C4C-DC482C7E79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C0C407-1A45-449E-8AFF-AE074CF1F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B33CD5-3D0C-402E-B4A5-54E789BBF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">
      <c r="A1" s="38" t="s">
        <v>0</v>
      </c>
      <c r="B1" s="152"/>
      <c r="C1" s="15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">
      <c r="A2" s="39" t="s">
        <v>9</v>
      </c>
      <c r="B2" s="148">
        <v>0</v>
      </c>
      <c r="C2" s="149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7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">
      <c r="A3" s="40" t="s">
        <v>8</v>
      </c>
      <c r="B3" s="154">
        <v>0</v>
      </c>
      <c r="C3" s="155"/>
      <c r="E3" s="50" t="s">
        <v>68</v>
      </c>
      <c r="F3" s="46" t="s">
        <v>22</v>
      </c>
      <c r="G3" s="32">
        <v>0</v>
      </c>
      <c r="H3" s="9">
        <f t="shared" si="0"/>
        <v>0</v>
      </c>
      <c r="I3" s="138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">
      <c r="A4" s="40" t="s">
        <v>6</v>
      </c>
      <c r="B4" s="156">
        <v>0</v>
      </c>
      <c r="C4" s="157"/>
      <c r="E4" s="50" t="s">
        <v>69</v>
      </c>
      <c r="F4" s="46" t="s">
        <v>23</v>
      </c>
      <c r="G4" s="32">
        <v>0</v>
      </c>
      <c r="H4" s="9">
        <f t="shared" si="0"/>
        <v>0</v>
      </c>
      <c r="I4" s="138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">
      <c r="A5" s="40" t="s">
        <v>7</v>
      </c>
      <c r="B5" s="156">
        <f>IF(B$2=0,0,B$4/B$2)</f>
        <v>0</v>
      </c>
      <c r="C5" s="157"/>
      <c r="E5" s="50" t="s">
        <v>70</v>
      </c>
      <c r="F5" s="46" t="s">
        <v>24</v>
      </c>
      <c r="G5" s="32">
        <v>0</v>
      </c>
      <c r="H5" s="9">
        <f t="shared" si="0"/>
        <v>0</v>
      </c>
      <c r="I5" s="138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">
      <c r="A6" s="40" t="s">
        <v>1</v>
      </c>
      <c r="B6" s="146">
        <f>IF(B$2=0,0,(B$7*1+B$8*2+B$9*3)/B$2)</f>
        <v>0</v>
      </c>
      <c r="C6" s="147"/>
      <c r="E6" s="50" t="s">
        <v>71</v>
      </c>
      <c r="F6" s="46" t="s">
        <v>25</v>
      </c>
      <c r="G6" s="32">
        <v>0</v>
      </c>
      <c r="H6" s="9">
        <f t="shared" si="0"/>
        <v>0</v>
      </c>
      <c r="I6" s="138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38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38"/>
    </row>
    <row r="9" spans="1:17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38"/>
    </row>
    <row r="10" spans="1:17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38"/>
    </row>
    <row r="11" spans="1:17" x14ac:dyDescent="0.4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38"/>
    </row>
    <row r="12" spans="1:17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38"/>
    </row>
    <row r="13" spans="1:17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38"/>
    </row>
    <row r="14" spans="1:17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38"/>
    </row>
    <row r="15" spans="1:17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38"/>
    </row>
    <row r="16" spans="1:17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38"/>
    </row>
    <row r="17" spans="1:9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38"/>
    </row>
    <row r="18" spans="1:9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38"/>
    </row>
    <row r="19" spans="1:9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38"/>
    </row>
    <row r="20" spans="1:9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38"/>
    </row>
    <row r="21" spans="1:9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38"/>
    </row>
    <row r="22" spans="1:9" x14ac:dyDescent="0.4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38"/>
    </row>
    <row r="23" spans="1:9" x14ac:dyDescent="0.4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38"/>
    </row>
    <row r="24" spans="1:9" x14ac:dyDescent="0.4">
      <c r="A24" s="39" t="s">
        <v>126</v>
      </c>
      <c r="B24" s="148">
        <v>0</v>
      </c>
      <c r="C24" s="149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38"/>
    </row>
    <row r="25" spans="1:9" x14ac:dyDescent="0.4">
      <c r="A25" s="42" t="s">
        <v>127</v>
      </c>
      <c r="B25" s="150">
        <v>0</v>
      </c>
      <c r="C25" s="151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38"/>
    </row>
    <row r="26" spans="1:9" x14ac:dyDescent="0.4">
      <c r="A26" s="133" t="s">
        <v>164</v>
      </c>
      <c r="B26" s="144">
        <v>0</v>
      </c>
      <c r="C26" s="145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38"/>
    </row>
    <row r="27" spans="1:9" x14ac:dyDescent="0.4">
      <c r="A27" s="96" t="s">
        <v>205</v>
      </c>
      <c r="B27" s="142"/>
      <c r="C27" s="143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38"/>
    </row>
    <row r="28" spans="1:9" x14ac:dyDescent="0.4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38"/>
    </row>
    <row r="29" spans="1:9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38"/>
    </row>
    <row r="30" spans="1:9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38"/>
    </row>
    <row r="31" spans="1:9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38"/>
    </row>
    <row r="32" spans="1:9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38"/>
    </row>
    <row r="33" spans="5:9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38"/>
    </row>
    <row r="34" spans="5:9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38"/>
    </row>
    <row r="35" spans="5:9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38"/>
    </row>
    <row r="36" spans="5:9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38"/>
    </row>
    <row r="37" spans="5:9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38"/>
    </row>
    <row r="38" spans="5:9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38"/>
    </row>
    <row r="39" spans="5:9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38"/>
    </row>
    <row r="40" spans="5:9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38"/>
    </row>
    <row r="41" spans="5:9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38"/>
    </row>
    <row r="42" spans="5:9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38"/>
    </row>
    <row r="43" spans="5:9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38"/>
    </row>
    <row r="44" spans="5:9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38"/>
    </row>
    <row r="45" spans="5:9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38"/>
    </row>
    <row r="46" spans="5:9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38"/>
    </row>
    <row r="47" spans="5:9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38"/>
    </row>
    <row r="48" spans="5:9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38"/>
    </row>
    <row r="49" spans="5:9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38"/>
    </row>
    <row r="50" spans="5:9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38"/>
    </row>
    <row r="51" spans="5:9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39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0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171</v>
      </c>
      <c r="B2" s="54">
        <v>43454.62740740741</v>
      </c>
      <c r="C2" s="53" t="s">
        <v>140</v>
      </c>
    </row>
    <row r="3" spans="1:14" x14ac:dyDescent="0.4">
      <c r="A3" s="53" t="s">
        <v>174</v>
      </c>
      <c r="B3" s="54">
        <v>43454.62740740741</v>
      </c>
      <c r="C3" s="53" t="s">
        <v>140</v>
      </c>
    </row>
    <row r="4" spans="1:14" x14ac:dyDescent="0.4">
      <c r="A4" s="53" t="s">
        <v>175</v>
      </c>
      <c r="B4" s="54">
        <v>43454.62740740741</v>
      </c>
      <c r="C4" s="53" t="s">
        <v>140</v>
      </c>
    </row>
    <row r="5" spans="1:14" x14ac:dyDescent="0.4">
      <c r="A5" s="53" t="s">
        <v>176</v>
      </c>
      <c r="B5" s="54">
        <v>43454.62740740741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">
      <c r="A6" s="53" t="s">
        <v>178</v>
      </c>
      <c r="B6" s="54">
        <v>43454.62740740741</v>
      </c>
      <c r="C6" s="53" t="s">
        <v>140</v>
      </c>
    </row>
    <row r="7" spans="1:14" x14ac:dyDescent="0.4">
      <c r="A7" s="53" t="s">
        <v>179</v>
      </c>
      <c r="B7" s="54">
        <v>43454.62740740741</v>
      </c>
      <c r="C7" s="53" t="s">
        <v>140</v>
      </c>
      <c r="D7" s="53" t="s">
        <v>141</v>
      </c>
      <c r="E7" s="53" t="s">
        <v>142</v>
      </c>
    </row>
    <row r="8" spans="1:14" x14ac:dyDescent="0.4">
      <c r="A8" s="53" t="s">
        <v>180</v>
      </c>
      <c r="B8" s="54">
        <v>43492.671666666669</v>
      </c>
      <c r="C8" s="53" t="s">
        <v>140</v>
      </c>
      <c r="D8" s="53" t="s">
        <v>141</v>
      </c>
    </row>
    <row r="9" spans="1:14" x14ac:dyDescent="0.4">
      <c r="A9" s="53" t="s">
        <v>181</v>
      </c>
      <c r="B9" s="54">
        <v>43454.62740740741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">
      <c r="A10" s="53" t="s">
        <v>182</v>
      </c>
      <c r="B10" s="54">
        <v>43454.62740740741</v>
      </c>
      <c r="C10" s="53" t="s">
        <v>140</v>
      </c>
      <c r="D10" s="53" t="s">
        <v>141</v>
      </c>
      <c r="E10" s="53" t="s">
        <v>142</v>
      </c>
    </row>
    <row r="11" spans="1:14" x14ac:dyDescent="0.4">
      <c r="A11" s="53" t="s">
        <v>183</v>
      </c>
      <c r="B11" s="54">
        <v>43454.62740740741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">
      <c r="A12" s="53" t="s">
        <v>184</v>
      </c>
      <c r="B12" s="54">
        <v>43454.62740740741</v>
      </c>
      <c r="C12" s="53" t="s">
        <v>140</v>
      </c>
      <c r="D12" s="53" t="s">
        <v>141</v>
      </c>
    </row>
    <row r="13" spans="1:14" x14ac:dyDescent="0.4">
      <c r="A13" s="53" t="s">
        <v>185</v>
      </c>
      <c r="B13" s="54">
        <v>43454.62740740741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">
      <c r="A14" s="53" t="s">
        <v>191</v>
      </c>
      <c r="B14" s="54">
        <v>43454.62740740741</v>
      </c>
      <c r="C14" s="53" t="s">
        <v>140</v>
      </c>
      <c r="D14" s="53" t="s">
        <v>141</v>
      </c>
      <c r="E14" s="53" t="s">
        <v>142</v>
      </c>
    </row>
    <row r="15" spans="1:14" x14ac:dyDescent="0.4">
      <c r="A15" s="53" t="s">
        <v>192</v>
      </c>
      <c r="B15" s="54">
        <v>43454.62740740741</v>
      </c>
      <c r="C15" s="53" t="s">
        <v>140</v>
      </c>
      <c r="D15" s="53" t="s">
        <v>141</v>
      </c>
      <c r="E15" s="53" t="s">
        <v>142</v>
      </c>
    </row>
    <row r="16" spans="1:14" x14ac:dyDescent="0.4">
      <c r="A16" s="53" t="s">
        <v>193</v>
      </c>
      <c r="B16" s="54">
        <v>43454.62740740741</v>
      </c>
      <c r="C16" s="53" t="s">
        <v>140</v>
      </c>
      <c r="D16" s="53" t="s">
        <v>141</v>
      </c>
      <c r="E16" s="53" t="s">
        <v>142</v>
      </c>
    </row>
    <row r="17" spans="1:9" x14ac:dyDescent="0.4">
      <c r="A17" s="53" t="s">
        <v>194</v>
      </c>
      <c r="B17" s="54">
        <v>43471.701018518521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">
      <c r="A18" s="53" t="s">
        <v>195</v>
      </c>
      <c r="B18" s="54">
        <v>43454.62740740741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">
      <c r="A19" s="53" t="s">
        <v>196</v>
      </c>
      <c r="B19" s="54">
        <v>43454.62740740741</v>
      </c>
      <c r="C19" s="53" t="s">
        <v>140</v>
      </c>
      <c r="D19" s="53" t="s">
        <v>141</v>
      </c>
    </row>
    <row r="20" spans="1:9" x14ac:dyDescent="0.4">
      <c r="A20" s="53" t="s">
        <v>197</v>
      </c>
      <c r="B20" s="54">
        <v>43471.701018518521</v>
      </c>
      <c r="C20" s="53" t="s">
        <v>140</v>
      </c>
      <c r="D20" s="53" t="s">
        <v>141</v>
      </c>
      <c r="E20" s="53" t="s">
        <v>142</v>
      </c>
    </row>
    <row r="21" spans="1:9" x14ac:dyDescent="0.4">
      <c r="A21" s="53" t="s">
        <v>198</v>
      </c>
      <c r="B21" s="54">
        <v>43484.832372685189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">
      <c r="A22" s="53" t="s">
        <v>199</v>
      </c>
      <c r="B22" s="54">
        <v>43454.62740740741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">
      <c r="A23" s="53" t="s">
        <v>207</v>
      </c>
      <c r="B23" s="54">
        <v>43454.62740740741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">
      <c r="A24" s="53" t="s">
        <v>208</v>
      </c>
      <c r="B24" s="54">
        <v>43454.62740740741</v>
      </c>
      <c r="C24" s="53" t="s">
        <v>140</v>
      </c>
      <c r="D24" s="53" t="s">
        <v>141</v>
      </c>
      <c r="E24" s="53" t="s">
        <v>142</v>
      </c>
    </row>
    <row r="25" spans="1:9" x14ac:dyDescent="0.4">
      <c r="A25" s="53" t="s">
        <v>209</v>
      </c>
      <c r="B25" s="54">
        <v>43454.62740740741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">
      <c r="A26" s="53" t="s">
        <v>210</v>
      </c>
      <c r="B26" s="54">
        <v>43454.62740740741</v>
      </c>
      <c r="C26" s="53" t="s">
        <v>140</v>
      </c>
      <c r="D26" s="53" t="s">
        <v>141</v>
      </c>
    </row>
    <row r="27" spans="1:9" x14ac:dyDescent="0.4">
      <c r="A27" s="53" t="s">
        <v>211</v>
      </c>
      <c r="B27" s="54">
        <v>43454.62740740741</v>
      </c>
      <c r="C27" s="53" t="s">
        <v>140</v>
      </c>
      <c r="D27" s="53" t="s">
        <v>141</v>
      </c>
    </row>
    <row r="28" spans="1:9" x14ac:dyDescent="0.4">
      <c r="A28" s="53" t="s">
        <v>212</v>
      </c>
      <c r="B28" s="54">
        <v>43454.62740740741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">
      <c r="A29" s="53" t="s">
        <v>213</v>
      </c>
      <c r="B29" s="54">
        <v>43455.084918981483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">
      <c r="A30" s="53" t="s">
        <v>214</v>
      </c>
      <c r="B30" s="54">
        <v>43456.147789351853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">
      <c r="A31" s="53" t="s">
        <v>215</v>
      </c>
      <c r="B31" s="54">
        <v>43471.8909375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">
      <c r="A32" s="53" t="s">
        <v>216</v>
      </c>
      <c r="B32" s="54">
        <v>43475.056238425925</v>
      </c>
      <c r="C32" s="53" t="s">
        <v>140</v>
      </c>
    </row>
    <row r="33" spans="1:10" x14ac:dyDescent="0.4">
      <c r="A33" s="53" t="s">
        <v>217</v>
      </c>
      <c r="B33" s="54">
        <v>43478.456446759257</v>
      </c>
      <c r="C33" s="53" t="s">
        <v>140</v>
      </c>
      <c r="D33" s="53" t="s">
        <v>141</v>
      </c>
      <c r="E33" s="53" t="s">
        <v>142</v>
      </c>
    </row>
    <row r="34" spans="1:10" x14ac:dyDescent="0.4">
      <c r="A34" s="53" t="s">
        <v>218</v>
      </c>
      <c r="B34" s="54">
        <v>43479.152256944442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">
      <c r="A35" s="53" t="s">
        <v>219</v>
      </c>
      <c r="B35" s="54">
        <v>43480.04891203704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">
      <c r="A36" s="53" t="s">
        <v>220</v>
      </c>
      <c r="B36" s="54">
        <v>43481.046527777777</v>
      </c>
      <c r="C36" s="53" t="s">
        <v>140</v>
      </c>
      <c r="D36" s="53" t="s">
        <v>141</v>
      </c>
      <c r="E36" s="53" t="s">
        <v>142</v>
      </c>
    </row>
    <row r="37" spans="1:10" x14ac:dyDescent="0.4">
      <c r="A37" s="53" t="s">
        <v>221</v>
      </c>
      <c r="B37" s="54">
        <v>43482.020208333335</v>
      </c>
      <c r="C37" s="53" t="s">
        <v>140</v>
      </c>
      <c r="D37" s="53" t="s">
        <v>141</v>
      </c>
    </row>
    <row r="38" spans="1:10" x14ac:dyDescent="0.4">
      <c r="A38" s="53" t="s">
        <v>222</v>
      </c>
      <c r="B38" s="54">
        <v>43483.045300925929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">
      <c r="A39" s="53" t="s">
        <v>223</v>
      </c>
      <c r="B39" s="54">
        <v>43484.815625000003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">
      <c r="A40" s="53" t="s">
        <v>224</v>
      </c>
      <c r="B40" s="54">
        <v>43485.111226851855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">
      <c r="A41" s="53" t="s">
        <v>225</v>
      </c>
      <c r="B41" s="54">
        <v>43486.066643518519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">
      <c r="A42" s="53" t="s">
        <v>226</v>
      </c>
      <c r="B42" s="54">
        <v>43487.036203703705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">
      <c r="A43" s="53" t="s">
        <v>227</v>
      </c>
      <c r="B43" s="54">
        <v>43488.059837962966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">
      <c r="A44" s="53" t="s">
        <v>228</v>
      </c>
      <c r="B44" s="54">
        <v>43489.041319444441</v>
      </c>
      <c r="C44" s="53" t="s">
        <v>140</v>
      </c>
      <c r="D44" s="53" t="s">
        <v>141</v>
      </c>
      <c r="E44" s="53" t="s">
        <v>142</v>
      </c>
    </row>
    <row r="45" spans="1:10" x14ac:dyDescent="0.4">
      <c r="A45" s="53" t="s">
        <v>229</v>
      </c>
      <c r="B45" s="54">
        <v>43491.152187500003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">
      <c r="A46" s="53" t="s">
        <v>230</v>
      </c>
      <c r="B46" s="54">
        <v>43492.105717592596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">
      <c r="A47" s="53" t="s">
        <v>231</v>
      </c>
      <c r="B47" s="54">
        <v>43492.910208333335</v>
      </c>
      <c r="C47" s="53" t="s">
        <v>140</v>
      </c>
      <c r="D47" s="53" t="s">
        <v>141</v>
      </c>
      <c r="E47" s="53" t="s">
        <v>142</v>
      </c>
    </row>
    <row r="48" spans="1:10" x14ac:dyDescent="0.4">
      <c r="A48" s="53" t="s">
        <v>232</v>
      </c>
      <c r="B48" s="54">
        <v>43493.678726851853</v>
      </c>
      <c r="C48" s="53" t="s">
        <v>140</v>
      </c>
      <c r="D48" s="53" t="s">
        <v>141</v>
      </c>
    </row>
    <row r="49" spans="1:7" x14ac:dyDescent="0.4">
      <c r="A49" s="53" t="s">
        <v>234</v>
      </c>
      <c r="B49" s="54">
        <v>43496.042604166665</v>
      </c>
      <c r="C49" s="53" t="s">
        <v>140</v>
      </c>
      <c r="D49" s="53" t="s">
        <v>141</v>
      </c>
      <c r="E49" s="53" t="s">
        <v>142</v>
      </c>
      <c r="F49" s="53" t="s">
        <v>143</v>
      </c>
      <c r="G49" s="53" t="s">
        <v>144</v>
      </c>
    </row>
    <row r="50" spans="1:7" x14ac:dyDescent="0.4">
      <c r="A50" s="53" t="s">
        <v>235</v>
      </c>
      <c r="B50" s="54">
        <v>43496.854571759257</v>
      </c>
      <c r="C50" s="53" t="s">
        <v>140</v>
      </c>
      <c r="D50" s="53" t="s">
        <v>141</v>
      </c>
      <c r="E50" s="53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167</v>
      </c>
    </row>
    <row r="2" spans="1:1" x14ac:dyDescent="0.4">
      <c r="A2" t="s">
        <v>133</v>
      </c>
    </row>
    <row r="3" spans="1:1" x14ac:dyDescent="0.4">
      <c r="A3" t="s">
        <v>172</v>
      </c>
    </row>
    <row r="4" spans="1:1" x14ac:dyDescent="0.4">
      <c r="A4" t="s">
        <v>173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177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200</v>
      </c>
    </row>
    <row r="13" spans="1:1" x14ac:dyDescent="0.4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23" customWidth="1"/>
    <col min="2" max="2" width="10.75" style="124" customWidth="1"/>
    <col min="3" max="3" width="10.75" style="125" customWidth="1"/>
    <col min="4" max="4" width="10.75" style="126" customWidth="1"/>
    <col min="5" max="5" width="10.75" style="125" customWidth="1"/>
    <col min="6" max="6" width="10.75" style="126" customWidth="1"/>
    <col min="7" max="7" width="10.75" style="127" customWidth="1"/>
    <col min="8" max="8" width="10.75" style="126" customWidth="1"/>
    <col min="9" max="9" width="10.75" style="128" customWidth="1"/>
    <col min="10" max="10" width="10.75" style="126" customWidth="1"/>
    <col min="11" max="11" width="10.75" style="129" customWidth="1"/>
    <col min="12" max="12" width="10.75" style="126" customWidth="1"/>
    <col min="13" max="13" width="10.75" style="129" customWidth="1"/>
    <col min="14" max="14" width="10.75" style="126" customWidth="1"/>
    <col min="15" max="15" width="10.75" style="130" customWidth="1"/>
    <col min="16" max="16" width="10.75" style="126" customWidth="1"/>
    <col min="17" max="17" width="10.75" style="130" customWidth="1"/>
    <col min="18" max="18" width="10.75" style="126" customWidth="1"/>
    <col min="19" max="19" width="10.75" style="128" customWidth="1"/>
    <col min="20" max="20" width="10.75" style="126" customWidth="1"/>
    <col min="21" max="21" width="10.75" style="128" customWidth="1"/>
    <col min="22" max="22" width="10.75" style="126" customWidth="1"/>
    <col min="23" max="23" width="10.75" style="129" customWidth="1"/>
    <col min="24" max="24" width="10.75" style="126" customWidth="1"/>
    <col min="25" max="25" width="10.75" style="129" customWidth="1"/>
    <col min="26" max="26" width="10.75" style="126" customWidth="1"/>
    <col min="27" max="27" width="10.75" style="129" customWidth="1"/>
    <col min="28" max="28" width="10.75" style="126" customWidth="1"/>
    <col min="29" max="29" width="10.75" style="129" customWidth="1"/>
    <col min="30" max="30" width="10.75" style="126" customWidth="1"/>
    <col min="31" max="31" width="10.75" style="129" customWidth="1"/>
    <col min="32" max="32" width="10.75" style="126" customWidth="1"/>
    <col min="33" max="33" width="10.75" style="129" customWidth="1"/>
    <col min="34" max="34" width="10.75" style="126" customWidth="1"/>
    <col min="35" max="35" width="10.75" style="131" customWidth="1"/>
    <col min="36" max="36" width="10.75" style="126" customWidth="1"/>
    <col min="37" max="37" width="10.75" style="135" customWidth="1"/>
    <col min="38" max="38" width="10.75" style="126" customWidth="1"/>
    <col min="39" max="39" width="10.75" style="132" customWidth="1"/>
    <col min="40" max="16384" width="9" style="112"/>
  </cols>
  <sheetData>
    <row r="1" spans="1:39" x14ac:dyDescent="0.4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">
      <c r="A2" s="113">
        <v>1</v>
      </c>
      <c r="B2" s="114" t="s">
        <v>133</v>
      </c>
      <c r="C2" s="115">
        <v>943.60000000000025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0.38461538461538464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124700</v>
      </c>
      <c r="AL2" s="116" t="s">
        <v>167</v>
      </c>
      <c r="AM2" s="122">
        <v>18</v>
      </c>
    </row>
    <row r="3" spans="1:39" x14ac:dyDescent="0.4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1.8192090395480225</v>
      </c>
      <c r="H3" s="126" t="s">
        <v>138</v>
      </c>
      <c r="I3" s="128">
        <v>0.42105263157894735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-7703.333333333333</v>
      </c>
      <c r="R3" s="126" t="s">
        <v>200</v>
      </c>
      <c r="S3" s="128">
        <v>0</v>
      </c>
      <c r="T3" s="126" t="s">
        <v>177</v>
      </c>
      <c r="U3" s="128">
        <v>0.2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0.48148148148148145</v>
      </c>
      <c r="AD3" s="126" t="s">
        <v>139</v>
      </c>
      <c r="AE3" s="129">
        <v>0.46385542168674698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139</v>
      </c>
      <c r="AK3" s="135">
        <v>124700</v>
      </c>
      <c r="AL3" s="126" t="s">
        <v>139</v>
      </c>
      <c r="AM3" s="132">
        <v>7</v>
      </c>
    </row>
    <row r="4" spans="1:39" x14ac:dyDescent="0.4">
      <c r="A4" s="123">
        <v>3</v>
      </c>
      <c r="B4" s="124" t="s">
        <v>137</v>
      </c>
      <c r="C4" s="125">
        <v>205.29999999999998</v>
      </c>
      <c r="D4" s="126" t="s">
        <v>133</v>
      </c>
      <c r="E4" s="125">
        <v>5.331073446327685</v>
      </c>
      <c r="F4" s="126" t="s">
        <v>138</v>
      </c>
      <c r="G4" s="127">
        <v>1.8421052631578947</v>
      </c>
      <c r="H4" s="126" t="s">
        <v>133</v>
      </c>
      <c r="I4" s="128">
        <v>0.41242937853107342</v>
      </c>
      <c r="J4" s="126" t="s">
        <v>133</v>
      </c>
      <c r="K4" s="129">
        <v>0.3470007593014427</v>
      </c>
      <c r="L4" s="126" t="s">
        <v>133</v>
      </c>
      <c r="M4" s="129">
        <v>0.14350797266514806</v>
      </c>
      <c r="N4" s="126" t="s">
        <v>139</v>
      </c>
      <c r="O4" s="130">
        <v>10793.975903614459</v>
      </c>
      <c r="P4" s="126" t="s">
        <v>172</v>
      </c>
      <c r="Q4" s="130">
        <v>-8240</v>
      </c>
      <c r="R4" s="126" t="s">
        <v>133</v>
      </c>
      <c r="S4" s="128">
        <v>0.11299435028248588</v>
      </c>
      <c r="T4" s="126" t="s">
        <v>200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0.64049586776859502</v>
      </c>
      <c r="AB4" s="126" t="s">
        <v>167</v>
      </c>
      <c r="AC4" s="129">
        <v>0.39341917024320455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133</v>
      </c>
      <c r="AK4" s="135">
        <v>120200</v>
      </c>
      <c r="AL4" s="126" t="s">
        <v>134</v>
      </c>
      <c r="AM4" s="132">
        <v>4</v>
      </c>
    </row>
    <row r="5" spans="1:39" x14ac:dyDescent="0.4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0.4</v>
      </c>
      <c r="J5" s="126" t="s">
        <v>138</v>
      </c>
      <c r="K5" s="129">
        <v>0.32214765100671139</v>
      </c>
      <c r="L5" s="126" t="s">
        <v>137</v>
      </c>
      <c r="M5" s="129">
        <v>0.15742397137745975</v>
      </c>
      <c r="N5" s="126" t="s">
        <v>137</v>
      </c>
      <c r="O5" s="130">
        <v>10382.777777777777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133</v>
      </c>
      <c r="U5" s="128">
        <v>0.19774011299435029</v>
      </c>
      <c r="V5" s="126" t="s">
        <v>137</v>
      </c>
      <c r="W5" s="129">
        <v>0.32629107981220656</v>
      </c>
      <c r="X5" s="126" t="s">
        <v>137</v>
      </c>
      <c r="Y5" s="129">
        <v>0.23708920187793428</v>
      </c>
      <c r="Z5" s="126" t="s">
        <v>137</v>
      </c>
      <c r="AA5" s="129">
        <v>0.62589928057553956</v>
      </c>
      <c r="AB5" s="126" t="s">
        <v>137</v>
      </c>
      <c r="AC5" s="129">
        <v>0.38613861386138615</v>
      </c>
      <c r="AD5" s="126" t="s">
        <v>136</v>
      </c>
      <c r="AE5" s="129">
        <v>0.44230769230769229</v>
      </c>
      <c r="AF5" s="126" t="s">
        <v>133</v>
      </c>
      <c r="AG5" s="129">
        <v>0.41447368421052633</v>
      </c>
      <c r="AH5" s="126" t="s">
        <v>137</v>
      </c>
      <c r="AI5" s="131">
        <v>9</v>
      </c>
      <c r="AJ5" s="126" t="s">
        <v>135</v>
      </c>
      <c r="AK5" s="135">
        <v>118000</v>
      </c>
      <c r="AL5" s="126" t="s">
        <v>137</v>
      </c>
      <c r="AM5" s="132">
        <v>3</v>
      </c>
    </row>
    <row r="6" spans="1:39" x14ac:dyDescent="0.4">
      <c r="A6" s="123">
        <v>5</v>
      </c>
      <c r="B6" s="124" t="s">
        <v>200</v>
      </c>
      <c r="C6" s="125">
        <v>89</v>
      </c>
      <c r="D6" s="126" t="s">
        <v>137</v>
      </c>
      <c r="E6" s="125">
        <v>2.737333333333333</v>
      </c>
      <c r="F6" s="126" t="s">
        <v>137</v>
      </c>
      <c r="G6" s="127">
        <v>1.8933333333333333</v>
      </c>
      <c r="H6" s="126" t="s">
        <v>135</v>
      </c>
      <c r="I6" s="128">
        <v>0.35185185185185186</v>
      </c>
      <c r="J6" s="126" t="s">
        <v>137</v>
      </c>
      <c r="K6" s="129">
        <v>0.32200357781753131</v>
      </c>
      <c r="L6" s="126" t="s">
        <v>135</v>
      </c>
      <c r="M6" s="129">
        <v>0.15844155844155844</v>
      </c>
      <c r="N6" s="126" t="s">
        <v>167</v>
      </c>
      <c r="O6" s="130">
        <v>10247.971014492754</v>
      </c>
      <c r="P6" s="126" t="s">
        <v>136</v>
      </c>
      <c r="Q6" s="130">
        <v>-9117.2839506172841</v>
      </c>
      <c r="R6" s="126" t="s">
        <v>137</v>
      </c>
      <c r="S6" s="128">
        <v>0.14666666666666667</v>
      </c>
      <c r="T6" s="126" t="s">
        <v>137</v>
      </c>
      <c r="U6" s="128">
        <v>0.18666666666666668</v>
      </c>
      <c r="V6" s="126" t="s">
        <v>139</v>
      </c>
      <c r="W6" s="129">
        <v>0.30418250950570341</v>
      </c>
      <c r="X6" s="126" t="s">
        <v>167</v>
      </c>
      <c r="Y6" s="129">
        <v>0.2275390625</v>
      </c>
      <c r="Z6" s="126" t="s">
        <v>139</v>
      </c>
      <c r="AA6" s="129">
        <v>0.625</v>
      </c>
      <c r="AB6" s="126" t="s">
        <v>134</v>
      </c>
      <c r="AC6" s="129">
        <v>0.37864077669902912</v>
      </c>
      <c r="AD6" s="126" t="s">
        <v>137</v>
      </c>
      <c r="AE6" s="129">
        <v>0.43888888888888888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">
      <c r="A7" s="123">
        <v>6</v>
      </c>
      <c r="B7" s="124" t="s">
        <v>167</v>
      </c>
      <c r="C7" s="125">
        <v>-4.9999999999999734</v>
      </c>
      <c r="D7" s="126" t="s">
        <v>167</v>
      </c>
      <c r="E7" s="125">
        <v>-8.3752093802344618E-3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0.30605455755156352</v>
      </c>
      <c r="L7" s="126" t="s">
        <v>138</v>
      </c>
      <c r="M7" s="129">
        <v>0.16107382550335569</v>
      </c>
      <c r="N7" s="126" t="s">
        <v>133</v>
      </c>
      <c r="O7" s="130">
        <v>9916.6301969365431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135</v>
      </c>
      <c r="U7" s="128">
        <v>0.18518518518518517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200</v>
      </c>
      <c r="AA7" s="129">
        <v>0.6</v>
      </c>
      <c r="AB7" s="126" t="s">
        <v>136</v>
      </c>
      <c r="AC7" s="129">
        <v>0.3728813559322034</v>
      </c>
      <c r="AD7" s="126" t="s">
        <v>138</v>
      </c>
      <c r="AE7" s="129">
        <v>0.4375</v>
      </c>
      <c r="AF7" s="126" t="s">
        <v>167</v>
      </c>
      <c r="AG7" s="129">
        <v>0.36430481283422461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">
      <c r="A8" s="123">
        <v>7</v>
      </c>
      <c r="B8" s="124" t="s">
        <v>173</v>
      </c>
      <c r="C8" s="125">
        <v>-26.5</v>
      </c>
      <c r="D8" s="126" t="s">
        <v>134</v>
      </c>
      <c r="E8" s="125">
        <v>-4.2467889908256877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0.29484902309058614</v>
      </c>
      <c r="L8" s="126" t="s">
        <v>167</v>
      </c>
      <c r="M8" s="129">
        <v>0.17498336660013306</v>
      </c>
      <c r="N8" s="126" t="s">
        <v>135</v>
      </c>
      <c r="O8" s="130">
        <v>9855.4744525547449</v>
      </c>
      <c r="P8" s="126" t="s">
        <v>167</v>
      </c>
      <c r="Q8" s="130">
        <v>-9515.3358681875798</v>
      </c>
      <c r="R8" s="126" t="s">
        <v>167</v>
      </c>
      <c r="S8" s="128">
        <v>0.16582914572864321</v>
      </c>
      <c r="T8" s="126" t="s">
        <v>167</v>
      </c>
      <c r="U8" s="128">
        <v>0.16582914572864321</v>
      </c>
      <c r="V8" s="126" t="s">
        <v>167</v>
      </c>
      <c r="W8" s="129">
        <v>0.28645833333333331</v>
      </c>
      <c r="X8" s="126" t="s">
        <v>133</v>
      </c>
      <c r="Y8" s="129">
        <v>0.22131147540983606</v>
      </c>
      <c r="Z8" s="126" t="s">
        <v>167</v>
      </c>
      <c r="AA8" s="129">
        <v>0.59886363636363638</v>
      </c>
      <c r="AB8" s="126" t="s">
        <v>139</v>
      </c>
      <c r="AC8" s="129">
        <v>0.3611111111111111</v>
      </c>
      <c r="AD8" s="126" t="s">
        <v>134</v>
      </c>
      <c r="AE8" s="129">
        <v>0.42325581395348838</v>
      </c>
      <c r="AF8" s="126" t="s">
        <v>136</v>
      </c>
      <c r="AG8" s="129">
        <v>0.35087719298245612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">
      <c r="A9" s="123">
        <v>8</v>
      </c>
      <c r="B9" s="124" t="s">
        <v>177</v>
      </c>
      <c r="C9" s="125">
        <v>-86.4</v>
      </c>
      <c r="D9" s="126" t="s">
        <v>139</v>
      </c>
      <c r="E9" s="125">
        <v>-5.667123287671231</v>
      </c>
      <c r="F9" s="126" t="s">
        <v>177</v>
      </c>
      <c r="G9" s="127">
        <v>2.2000000000000002</v>
      </c>
      <c r="H9" s="126" t="s">
        <v>139</v>
      </c>
      <c r="I9" s="128">
        <v>0.24657534246575341</v>
      </c>
      <c r="J9" s="126" t="s">
        <v>177</v>
      </c>
      <c r="K9" s="129">
        <v>0.27027027027027029</v>
      </c>
      <c r="L9" s="126" t="s">
        <v>163</v>
      </c>
      <c r="M9" s="129">
        <v>0.17751479289940827</v>
      </c>
      <c r="N9" s="126" t="s">
        <v>163</v>
      </c>
      <c r="O9" s="130">
        <v>9509.7560975609758</v>
      </c>
      <c r="P9" s="126" t="s">
        <v>133</v>
      </c>
      <c r="Q9" s="130">
        <v>-9546.5608465608457</v>
      </c>
      <c r="R9" s="126" t="s">
        <v>163</v>
      </c>
      <c r="S9" s="128">
        <v>0.19047619047619047</v>
      </c>
      <c r="T9" s="126" t="s">
        <v>134</v>
      </c>
      <c r="U9" s="128">
        <v>0.13761467889908258</v>
      </c>
      <c r="V9" s="126" t="s">
        <v>133</v>
      </c>
      <c r="W9" s="129">
        <v>0.28337236533957844</v>
      </c>
      <c r="X9" s="126" t="s">
        <v>139</v>
      </c>
      <c r="Y9" s="129">
        <v>0.20532319391634982</v>
      </c>
      <c r="Z9" s="126" t="s">
        <v>134</v>
      </c>
      <c r="AA9" s="129">
        <v>0.56547619047619047</v>
      </c>
      <c r="AB9" s="126" t="s">
        <v>135</v>
      </c>
      <c r="AC9" s="129">
        <v>0.35416666666666669</v>
      </c>
      <c r="AD9" s="126" t="s">
        <v>167</v>
      </c>
      <c r="AE9" s="129">
        <v>0.41521739130434782</v>
      </c>
      <c r="AF9" s="126" t="s">
        <v>137</v>
      </c>
      <c r="AG9" s="129">
        <v>0.34848484848484851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">
      <c r="A10" s="123">
        <v>9</v>
      </c>
      <c r="B10" s="124" t="s">
        <v>163</v>
      </c>
      <c r="C10" s="125">
        <v>-125.80000000000001</v>
      </c>
      <c r="D10" s="126" t="s">
        <v>163</v>
      </c>
      <c r="E10" s="125">
        <v>-5.9904761904761914</v>
      </c>
      <c r="F10" s="126" t="s">
        <v>139</v>
      </c>
      <c r="G10" s="127">
        <v>2.2054794520547945</v>
      </c>
      <c r="H10" s="126" t="s">
        <v>163</v>
      </c>
      <c r="I10" s="128">
        <v>0.23809523809523808</v>
      </c>
      <c r="J10" s="126" t="s">
        <v>136</v>
      </c>
      <c r="K10" s="129">
        <v>0.25679012345679014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-9563.636363636364</v>
      </c>
      <c r="R10" s="126" t="s">
        <v>134</v>
      </c>
      <c r="S10" s="128">
        <v>0.21100917431192662</v>
      </c>
      <c r="T10" s="126" t="s">
        <v>139</v>
      </c>
      <c r="U10" s="128">
        <v>0.13698630136986301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163</v>
      </c>
      <c r="AC10" s="129">
        <v>0.32307692307692309</v>
      </c>
      <c r="AD10" s="126" t="s">
        <v>133</v>
      </c>
      <c r="AE10" s="129">
        <v>0.38293216630196936</v>
      </c>
      <c r="AF10" s="126" t="s">
        <v>139</v>
      </c>
      <c r="AG10" s="129">
        <v>0.32777777777777778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134</v>
      </c>
      <c r="K11" s="129">
        <v>0.25656324582338902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-9834.8837209302328</v>
      </c>
      <c r="R11" s="126" t="s">
        <v>136</v>
      </c>
      <c r="S11" s="128">
        <v>0.21153846153846154</v>
      </c>
      <c r="T11" s="126" t="s">
        <v>136</v>
      </c>
      <c r="U11" s="128">
        <v>0.13461538461538461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163</v>
      </c>
      <c r="G12" s="127">
        <v>2.2380952380952381</v>
      </c>
      <c r="H12" s="126" t="s">
        <v>177</v>
      </c>
      <c r="I12" s="128">
        <v>0.2</v>
      </c>
      <c r="J12" s="126" t="s">
        <v>163</v>
      </c>
      <c r="K12" s="129">
        <v>0.24260355029585798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0.21917808219178081</v>
      </c>
      <c r="T12" s="126" t="s">
        <v>163</v>
      </c>
      <c r="U12" s="128">
        <v>9.5238095238095233E-2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163</v>
      </c>
      <c r="AE12" s="129">
        <v>0.29268292682926828</v>
      </c>
      <c r="AF12" s="126" t="s">
        <v>163</v>
      </c>
      <c r="AG12" s="129">
        <v>0.26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">
      <c r="A13" s="123">
        <v>12</v>
      </c>
      <c r="B13" s="124" t="s">
        <v>139</v>
      </c>
      <c r="C13" s="125">
        <v>-413.69999999999987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0.22912966252220249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0.15976331360946747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200</v>
      </c>
      <c r="AE13" s="129">
        <v>0.27777777777777779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D109-EEF3-4155-AE4E-9C5DEF24427C}">
  <sheetPr codeName="Sheet4"/>
  <dimension ref="A1:Q599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167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597</v>
      </c>
      <c r="C2" s="149"/>
      <c r="E2" s="101" t="s">
        <v>71</v>
      </c>
      <c r="F2" s="97" t="s">
        <v>25</v>
      </c>
      <c r="G2" s="84">
        <v>837</v>
      </c>
      <c r="H2" s="60">
        <f>IF(B$25=0,0,G2/B$25)</f>
        <v>0.89137380191693294</v>
      </c>
      <c r="I2" s="137">
        <v>7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-10.256410256410257</v>
      </c>
      <c r="P2" s="77">
        <v>-6000</v>
      </c>
      <c r="Q2" s="75">
        <v>585</v>
      </c>
    </row>
    <row r="3" spans="1:17" x14ac:dyDescent="0.4">
      <c r="A3" s="93" t="s">
        <v>8</v>
      </c>
      <c r="B3" s="154">
        <v>4509</v>
      </c>
      <c r="C3" s="155"/>
      <c r="E3" s="102" t="s">
        <v>69</v>
      </c>
      <c r="F3" s="98" t="s">
        <v>23</v>
      </c>
      <c r="G3" s="85">
        <v>677</v>
      </c>
      <c r="H3" s="63">
        <f>IF(B$25=0,0,G3/B$25)</f>
        <v>0.72097976570820022</v>
      </c>
      <c r="I3" s="138">
        <v>4</v>
      </c>
      <c r="K3" s="62">
        <v>1</v>
      </c>
      <c r="L3" s="64">
        <v>15</v>
      </c>
      <c r="N3" s="62" t="s">
        <v>151</v>
      </c>
      <c r="O3" s="81">
        <f t="shared" si="0"/>
        <v>-5.376344086021505</v>
      </c>
      <c r="P3" s="78">
        <v>-3000</v>
      </c>
      <c r="Q3" s="73">
        <v>558</v>
      </c>
    </row>
    <row r="4" spans="1:17" x14ac:dyDescent="0.4">
      <c r="A4" s="93" t="s">
        <v>6</v>
      </c>
      <c r="B4" s="156">
        <v>-4.9999999999999734</v>
      </c>
      <c r="C4" s="157"/>
      <c r="E4" s="102" t="s">
        <v>76</v>
      </c>
      <c r="F4" s="98" t="s">
        <v>29</v>
      </c>
      <c r="G4" s="85">
        <v>552</v>
      </c>
      <c r="H4" s="63">
        <f>IF(B$25=0,0,G4/B$25)</f>
        <v>0.58785942492012777</v>
      </c>
      <c r="I4" s="138">
        <v>5</v>
      </c>
      <c r="K4" s="62">
        <v>2</v>
      </c>
      <c r="L4" s="64">
        <v>-7</v>
      </c>
      <c r="N4" s="62" t="s">
        <v>152</v>
      </c>
      <c r="O4" s="81">
        <f t="shared" si="0"/>
        <v>11.627906976744185</v>
      </c>
      <c r="P4" s="78">
        <v>6000</v>
      </c>
      <c r="Q4" s="73">
        <v>516</v>
      </c>
    </row>
    <row r="5" spans="1:17" x14ac:dyDescent="0.4">
      <c r="A5" s="93" t="s">
        <v>7</v>
      </c>
      <c r="B5" s="156">
        <f>IF(B$2=0,0,B$4/B$2)</f>
        <v>-8.3752093802344618E-3</v>
      </c>
      <c r="C5" s="157"/>
      <c r="E5" s="102" t="s">
        <v>67</v>
      </c>
      <c r="F5" s="98" t="s">
        <v>21</v>
      </c>
      <c r="G5" s="85">
        <v>518</v>
      </c>
      <c r="H5" s="63">
        <f>IF(B$25=0,0,G5/B$25)</f>
        <v>0.55165069222577212</v>
      </c>
      <c r="I5" s="138">
        <v>8</v>
      </c>
      <c r="K5" s="62">
        <v>3</v>
      </c>
      <c r="L5" s="64">
        <v>0</v>
      </c>
      <c r="N5" s="62" t="s">
        <v>153</v>
      </c>
      <c r="O5" s="81">
        <f t="shared" si="0"/>
        <v>2.150537634408602</v>
      </c>
      <c r="P5" s="78">
        <v>1000</v>
      </c>
      <c r="Q5" s="73">
        <v>465</v>
      </c>
    </row>
    <row r="6" spans="1:17" x14ac:dyDescent="0.4">
      <c r="A6" s="93" t="s">
        <v>1</v>
      </c>
      <c r="B6" s="146">
        <f>IF(B$2=0,0,(B$7*1+B$8*2+B$9*3)/B$2)</f>
        <v>2</v>
      </c>
      <c r="C6" s="147"/>
      <c r="E6" s="102" t="s">
        <v>70</v>
      </c>
      <c r="F6" s="98" t="s">
        <v>24</v>
      </c>
      <c r="G6" s="85">
        <v>294</v>
      </c>
      <c r="H6" s="63">
        <f>IF(B$25=0,0,G6/B$25)</f>
        <v>0.31309904153354634</v>
      </c>
      <c r="I6" s="138">
        <v>7</v>
      </c>
      <c r="K6" s="62">
        <v>4</v>
      </c>
      <c r="L6" s="64">
        <v>-1</v>
      </c>
      <c r="N6" s="62" t="s">
        <v>154</v>
      </c>
      <c r="O6" s="81">
        <f t="shared" si="0"/>
        <v>2.5252525252525251</v>
      </c>
      <c r="P6" s="78">
        <v>1000</v>
      </c>
      <c r="Q6" s="73">
        <v>396</v>
      </c>
    </row>
    <row r="7" spans="1:17" x14ac:dyDescent="0.4">
      <c r="A7" s="93" t="s">
        <v>2</v>
      </c>
      <c r="B7" s="85">
        <v>199</v>
      </c>
      <c r="C7" s="63">
        <f>IF(B$2=0,0,B7/B$2)</f>
        <v>0.33333333333333331</v>
      </c>
      <c r="E7" s="102" t="s">
        <v>72</v>
      </c>
      <c r="F7" s="98" t="s">
        <v>12</v>
      </c>
      <c r="G7" s="85">
        <v>285</v>
      </c>
      <c r="H7" s="63">
        <f>IF(B$25=0,0,G7/B$25)</f>
        <v>0.30351437699680511</v>
      </c>
      <c r="I7" s="138">
        <v>7</v>
      </c>
      <c r="K7" s="62">
        <v>5</v>
      </c>
      <c r="L7" s="64">
        <v>39.9</v>
      </c>
      <c r="N7" s="67" t="s">
        <v>155</v>
      </c>
      <c r="O7" s="82">
        <f t="shared" si="0"/>
        <v>-12.820512820512821</v>
      </c>
      <c r="P7" s="79">
        <v>-4000</v>
      </c>
      <c r="Q7" s="74">
        <v>312</v>
      </c>
    </row>
    <row r="8" spans="1:17" x14ac:dyDescent="0.4">
      <c r="A8" s="93" t="s">
        <v>3</v>
      </c>
      <c r="B8" s="85">
        <v>199</v>
      </c>
      <c r="C8" s="63">
        <f t="shared" ref="C8:C9" si="1">IF(B$2=0,0,B8/B$2)</f>
        <v>0.33333333333333331</v>
      </c>
      <c r="E8" s="102" t="s">
        <v>73</v>
      </c>
      <c r="F8" s="98" t="s">
        <v>26</v>
      </c>
      <c r="G8" s="85">
        <v>139</v>
      </c>
      <c r="H8" s="63">
        <f>IF(B$25=0,0,G8/B$25)</f>
        <v>0.14802981895633652</v>
      </c>
      <c r="I8" s="138">
        <v>8</v>
      </c>
      <c r="K8" s="62">
        <v>6</v>
      </c>
      <c r="L8" s="64">
        <v>0</v>
      </c>
    </row>
    <row r="9" spans="1:17" x14ac:dyDescent="0.4">
      <c r="A9" s="94" t="s">
        <v>4</v>
      </c>
      <c r="B9" s="86">
        <v>199</v>
      </c>
      <c r="C9" s="65">
        <f t="shared" si="1"/>
        <v>0.33333333333333331</v>
      </c>
      <c r="E9" s="102" t="s">
        <v>94</v>
      </c>
      <c r="F9" s="98" t="s">
        <v>47</v>
      </c>
      <c r="G9" s="85">
        <v>139</v>
      </c>
      <c r="H9" s="63">
        <f>IF(B$25=0,0,G9/B$25)</f>
        <v>0.14802981895633652</v>
      </c>
      <c r="I9" s="138">
        <v>5</v>
      </c>
      <c r="K9" s="62">
        <v>7</v>
      </c>
      <c r="L9" s="64">
        <v>15.1</v>
      </c>
    </row>
    <row r="10" spans="1:17" x14ac:dyDescent="0.4">
      <c r="A10" s="94" t="s">
        <v>19</v>
      </c>
      <c r="B10" s="86">
        <v>99</v>
      </c>
      <c r="C10" s="65">
        <f>IF(B$2=0,0,B10/B$2)</f>
        <v>0.16582914572864321</v>
      </c>
      <c r="E10" s="102" t="s">
        <v>68</v>
      </c>
      <c r="F10" s="98" t="s">
        <v>22</v>
      </c>
      <c r="G10" s="85">
        <v>112</v>
      </c>
      <c r="H10" s="63">
        <f>IF(B$25=0,0,G10/B$25)</f>
        <v>0.11927582534611289</v>
      </c>
      <c r="I10" s="138">
        <v>7</v>
      </c>
      <c r="K10" s="62">
        <v>8</v>
      </c>
      <c r="L10" s="64">
        <v>-26.699999999999996</v>
      </c>
    </row>
    <row r="11" spans="1:17" x14ac:dyDescent="0.4">
      <c r="A11" s="95" t="s">
        <v>160</v>
      </c>
      <c r="B11" s="87">
        <v>99</v>
      </c>
      <c r="C11" s="68">
        <f>IF(B$2=0,0,B11/B$2)</f>
        <v>0.16582914572864321</v>
      </c>
      <c r="E11" s="102" t="s">
        <v>74</v>
      </c>
      <c r="F11" s="98" t="s">
        <v>27</v>
      </c>
      <c r="G11" s="85">
        <v>96</v>
      </c>
      <c r="H11" s="63">
        <f>IF(B$25=0,0,G11/B$25)</f>
        <v>0.10223642172523961</v>
      </c>
      <c r="I11" s="138">
        <v>5</v>
      </c>
      <c r="K11" s="62">
        <v>9</v>
      </c>
      <c r="L11" s="64">
        <v>3.5527136788005009E-15</v>
      </c>
    </row>
    <row r="12" spans="1:17" x14ac:dyDescent="0.4">
      <c r="A12" s="96" t="s">
        <v>128</v>
      </c>
      <c r="B12" s="88">
        <v>880</v>
      </c>
      <c r="C12" s="71">
        <f>IF(B$24=0,0,B12/B$24)</f>
        <v>0.28645833333333331</v>
      </c>
      <c r="E12" s="102" t="s">
        <v>91</v>
      </c>
      <c r="F12" s="98" t="s">
        <v>44</v>
      </c>
      <c r="G12" s="85">
        <v>63</v>
      </c>
      <c r="H12" s="63">
        <f>IF(B$25=0,0,G12/B$25)</f>
        <v>6.7092651757188496E-2</v>
      </c>
      <c r="I12" s="138">
        <v>5</v>
      </c>
      <c r="K12" s="62">
        <v>10</v>
      </c>
      <c r="L12" s="64">
        <v>85.2</v>
      </c>
    </row>
    <row r="13" spans="1:17" x14ac:dyDescent="0.4">
      <c r="A13" s="93" t="s">
        <v>123</v>
      </c>
      <c r="B13" s="85">
        <v>699</v>
      </c>
      <c r="C13" s="63">
        <f>IF(B$24=0,0,B13/B$24)</f>
        <v>0.2275390625</v>
      </c>
      <c r="E13" s="102" t="s">
        <v>75</v>
      </c>
      <c r="F13" s="98" t="s">
        <v>28</v>
      </c>
      <c r="G13" s="85">
        <v>45</v>
      </c>
      <c r="H13" s="63">
        <f>IF(B$25=0,0,G13/B$25)</f>
        <v>4.7923322683706068E-2</v>
      </c>
      <c r="I13" s="138">
        <v>8</v>
      </c>
      <c r="K13" s="62">
        <v>11</v>
      </c>
      <c r="L13" s="64">
        <v>44.5</v>
      </c>
    </row>
    <row r="14" spans="1:17" x14ac:dyDescent="0.4">
      <c r="A14" s="92" t="s">
        <v>130</v>
      </c>
      <c r="B14" s="84">
        <v>527</v>
      </c>
      <c r="C14" s="60">
        <f>IF(B$12=0,0,B14/B$12)</f>
        <v>0.59886363636363638</v>
      </c>
      <c r="E14" s="102" t="s">
        <v>88</v>
      </c>
      <c r="F14" s="98" t="s">
        <v>41</v>
      </c>
      <c r="G14" s="85">
        <v>39</v>
      </c>
      <c r="H14" s="63">
        <f>IF(B$25=0,0,G14/B$25)</f>
        <v>4.1533546325878593E-2</v>
      </c>
      <c r="I14" s="138">
        <v>4</v>
      </c>
      <c r="K14" s="62">
        <v>12</v>
      </c>
      <c r="L14" s="64">
        <v>0</v>
      </c>
    </row>
    <row r="15" spans="1:17" x14ac:dyDescent="0.4">
      <c r="A15" s="92" t="s">
        <v>131</v>
      </c>
      <c r="B15" s="84">
        <v>275</v>
      </c>
      <c r="C15" s="60">
        <f>IF(B$13=0,0,B15/B$13)</f>
        <v>0.39341917024320455</v>
      </c>
      <c r="E15" s="102" t="s">
        <v>82</v>
      </c>
      <c r="F15" s="98" t="s">
        <v>35</v>
      </c>
      <c r="G15" s="85">
        <v>28</v>
      </c>
      <c r="H15" s="63">
        <f>IF(B$25=0,0,G15/B$25)</f>
        <v>2.9818956336528223E-2</v>
      </c>
      <c r="I15" s="138">
        <v>5</v>
      </c>
      <c r="K15" s="62">
        <v>13</v>
      </c>
      <c r="L15" s="64">
        <v>31.5</v>
      </c>
    </row>
    <row r="16" spans="1:17" x14ac:dyDescent="0.4">
      <c r="A16" s="92" t="s">
        <v>10</v>
      </c>
      <c r="B16" s="84">
        <f>B18+B17</f>
        <v>1380</v>
      </c>
      <c r="C16" s="60">
        <f>IF(B$3=0,0,B16/B$3)</f>
        <v>0.30605455755156352</v>
      </c>
      <c r="E16" s="102" t="s">
        <v>86</v>
      </c>
      <c r="F16" s="98" t="s">
        <v>39</v>
      </c>
      <c r="G16" s="85">
        <v>22</v>
      </c>
      <c r="H16" s="63">
        <f>IF(B$25=0,0,G16/B$25)</f>
        <v>2.3429179978700747E-2</v>
      </c>
      <c r="I16" s="138">
        <v>4</v>
      </c>
      <c r="K16" s="62">
        <v>14</v>
      </c>
      <c r="L16" s="64">
        <v>-4</v>
      </c>
    </row>
    <row r="17" spans="1:12" x14ac:dyDescent="0.4">
      <c r="A17" s="93" t="s">
        <v>12</v>
      </c>
      <c r="B17" s="85">
        <v>573</v>
      </c>
      <c r="C17" s="63">
        <f>IF(B$16=0,0,B17/B$16)</f>
        <v>0.41521739130434782</v>
      </c>
      <c r="E17" s="102" t="s">
        <v>96</v>
      </c>
      <c r="F17" s="98" t="s">
        <v>49</v>
      </c>
      <c r="G17" s="85">
        <v>15</v>
      </c>
      <c r="H17" s="63">
        <f>IF(B$25=0,0,G17/B$25)</f>
        <v>1.5974440894568689E-2</v>
      </c>
      <c r="I17" s="138">
        <v>4</v>
      </c>
      <c r="K17" s="62">
        <v>15</v>
      </c>
      <c r="L17" s="64">
        <v>0</v>
      </c>
    </row>
    <row r="18" spans="1:12" x14ac:dyDescent="0.4">
      <c r="A18" s="93" t="s">
        <v>11</v>
      </c>
      <c r="B18" s="85">
        <v>807</v>
      </c>
      <c r="C18" s="63">
        <f>IF(B$16=0,0,B18/B$16)</f>
        <v>0.58478260869565213</v>
      </c>
      <c r="E18" s="102" t="s">
        <v>83</v>
      </c>
      <c r="F18" s="98" t="s">
        <v>36</v>
      </c>
      <c r="G18" s="85">
        <v>12</v>
      </c>
      <c r="H18" s="63">
        <f>IF(B$25=0,0,G18/B$25)</f>
        <v>1.2779552715654952E-2</v>
      </c>
      <c r="I18" s="138">
        <v>5</v>
      </c>
      <c r="K18" s="62">
        <v>16</v>
      </c>
      <c r="L18" s="64">
        <v>-48</v>
      </c>
    </row>
    <row r="19" spans="1:12" x14ac:dyDescent="0.4">
      <c r="A19" s="93" t="s">
        <v>13</v>
      </c>
      <c r="B19" s="85">
        <v>789</v>
      </c>
      <c r="C19" s="63">
        <f>IF(B$3=0,0,B19/B$3)</f>
        <v>0.17498336660013306</v>
      </c>
      <c r="E19" s="102" t="s">
        <v>77</v>
      </c>
      <c r="F19" s="98" t="s">
        <v>30</v>
      </c>
      <c r="G19" s="85">
        <v>8</v>
      </c>
      <c r="H19" s="63">
        <f>IF(B$25=0,0,G19/B$25)</f>
        <v>8.5197018104366355E-3</v>
      </c>
      <c r="I19" s="138">
        <v>3</v>
      </c>
      <c r="K19" s="62">
        <v>17</v>
      </c>
      <c r="L19" s="64">
        <v>-8</v>
      </c>
    </row>
    <row r="20" spans="1:12" x14ac:dyDescent="0.4">
      <c r="A20" s="93" t="s">
        <v>5</v>
      </c>
      <c r="B20" s="89">
        <f>IF(B$16=0,0,C20/B$16)</f>
        <v>10247.971014492754</v>
      </c>
      <c r="C20" s="66">
        <v>14142200</v>
      </c>
      <c r="E20" s="102" t="s">
        <v>81</v>
      </c>
      <c r="F20" s="98" t="s">
        <v>34</v>
      </c>
      <c r="G20" s="85">
        <v>8</v>
      </c>
      <c r="H20" s="63">
        <f>IF(B$25=0,0,G20/B$25)</f>
        <v>8.5197018104366355E-3</v>
      </c>
      <c r="I20" s="138">
        <v>4</v>
      </c>
      <c r="K20" s="62">
        <v>18</v>
      </c>
      <c r="L20" s="64">
        <v>0</v>
      </c>
    </row>
    <row r="21" spans="1:12" x14ac:dyDescent="0.4">
      <c r="A21" s="95" t="s">
        <v>14</v>
      </c>
      <c r="B21" s="90">
        <f>IF(B$19=0,0,C21/B$19)</f>
        <v>-9515.3358681875798</v>
      </c>
      <c r="C21" s="83">
        <v>-7507600</v>
      </c>
      <c r="E21" s="102" t="s">
        <v>79</v>
      </c>
      <c r="F21" s="98" t="s">
        <v>32</v>
      </c>
      <c r="G21" s="85">
        <v>7</v>
      </c>
      <c r="H21" s="63">
        <f>IF(B$25=0,0,G21/B$25)</f>
        <v>7.4547390841320556E-3</v>
      </c>
      <c r="I21" s="138">
        <v>4</v>
      </c>
      <c r="K21" s="62">
        <v>19</v>
      </c>
      <c r="L21" s="64">
        <v>-6.1</v>
      </c>
    </row>
    <row r="22" spans="1:12" x14ac:dyDescent="0.4">
      <c r="A22" s="92" t="s">
        <v>147</v>
      </c>
      <c r="B22" s="84">
        <v>1496</v>
      </c>
      <c r="C22" s="60">
        <f>IF(B$3=0,0,B22/B$3)</f>
        <v>0.33178088267908629</v>
      </c>
      <c r="E22" s="102" t="s">
        <v>97</v>
      </c>
      <c r="F22" s="98" t="s">
        <v>50</v>
      </c>
      <c r="G22" s="85">
        <v>6</v>
      </c>
      <c r="H22" s="63">
        <f>IF(B$25=0,0,G22/B$25)</f>
        <v>6.3897763578274758E-3</v>
      </c>
      <c r="I22" s="138">
        <v>5</v>
      </c>
      <c r="K22" s="62">
        <v>20</v>
      </c>
      <c r="L22" s="64">
        <v>4.9000000000000004</v>
      </c>
    </row>
    <row r="23" spans="1:12" x14ac:dyDescent="0.4">
      <c r="A23" s="95" t="s">
        <v>148</v>
      </c>
      <c r="B23" s="87">
        <v>545</v>
      </c>
      <c r="C23" s="68">
        <f>IF(B$22=0,0,B23/B$22)</f>
        <v>0.36430481283422461</v>
      </c>
      <c r="E23" s="102" t="s">
        <v>90</v>
      </c>
      <c r="F23" s="98" t="s">
        <v>43</v>
      </c>
      <c r="G23" s="85">
        <v>4</v>
      </c>
      <c r="H23" s="63">
        <f>IF(B$25=0,0,G23/B$25)</f>
        <v>4.2598509052183178E-3</v>
      </c>
      <c r="I23" s="138">
        <v>3</v>
      </c>
      <c r="K23" s="62">
        <v>21</v>
      </c>
      <c r="L23" s="64">
        <v>0</v>
      </c>
    </row>
    <row r="24" spans="1:12" x14ac:dyDescent="0.4">
      <c r="A24" s="92" t="s">
        <v>126</v>
      </c>
      <c r="B24" s="148">
        <v>3072</v>
      </c>
      <c r="C24" s="149"/>
      <c r="E24" s="102" t="s">
        <v>89</v>
      </c>
      <c r="F24" s="98" t="s">
        <v>42</v>
      </c>
      <c r="G24" s="85">
        <v>3</v>
      </c>
      <c r="H24" s="63">
        <f>IF(B$25=0,0,G24/B$25)</f>
        <v>3.1948881789137379E-3</v>
      </c>
      <c r="I24" s="138">
        <v>4</v>
      </c>
      <c r="K24" s="62">
        <v>22</v>
      </c>
      <c r="L24" s="64">
        <v>-36</v>
      </c>
    </row>
    <row r="25" spans="1:12" x14ac:dyDescent="0.4">
      <c r="A25" s="95" t="s">
        <v>127</v>
      </c>
      <c r="B25" s="150">
        <v>939</v>
      </c>
      <c r="C25" s="151"/>
      <c r="E25" s="102" t="s">
        <v>92</v>
      </c>
      <c r="F25" s="98" t="s">
        <v>45</v>
      </c>
      <c r="G25" s="85">
        <v>3</v>
      </c>
      <c r="H25" s="63">
        <f>IF(B$25=0,0,G25/B$25)</f>
        <v>3.1948881789137379E-3</v>
      </c>
      <c r="I25" s="138">
        <v>3</v>
      </c>
      <c r="K25" s="62">
        <v>23</v>
      </c>
      <c r="L25" s="64">
        <v>-3</v>
      </c>
    </row>
    <row r="26" spans="1:12" x14ac:dyDescent="0.4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2</v>
      </c>
      <c r="H26" s="63">
        <f>IF(B$25=0,0,G26/B$25)</f>
        <v>2.1299254526091589E-3</v>
      </c>
      <c r="I26" s="138">
        <v>3</v>
      </c>
      <c r="K26" s="62">
        <v>24</v>
      </c>
      <c r="L26" s="64">
        <v>0</v>
      </c>
    </row>
    <row r="27" spans="1:12" x14ac:dyDescent="0.4">
      <c r="A27" s="96" t="s">
        <v>205</v>
      </c>
      <c r="B27" s="142">
        <v>124700</v>
      </c>
      <c r="C27" s="143"/>
      <c r="E27" s="102" t="s">
        <v>98</v>
      </c>
      <c r="F27" s="98" t="s">
        <v>51</v>
      </c>
      <c r="G27" s="85">
        <v>2</v>
      </c>
      <c r="H27" s="63">
        <f>IF(B$25=0,0,G27/B$25)</f>
        <v>2.1299254526091589E-3</v>
      </c>
      <c r="I27" s="138">
        <v>3</v>
      </c>
      <c r="K27" s="62">
        <v>25</v>
      </c>
      <c r="L27" s="64">
        <v>-41</v>
      </c>
    </row>
    <row r="28" spans="1:12" x14ac:dyDescent="0.4">
      <c r="A28" s="95" t="s">
        <v>165</v>
      </c>
      <c r="B28" s="104">
        <v>18</v>
      </c>
      <c r="C28" s="68">
        <f>IF(B$3=0,0,B28/B$3)</f>
        <v>3.9920159680638719E-3</v>
      </c>
      <c r="E28" s="102" t="s">
        <v>85</v>
      </c>
      <c r="F28" s="98" t="s">
        <v>38</v>
      </c>
      <c r="G28" s="85">
        <v>1</v>
      </c>
      <c r="H28" s="63">
        <f>IF(B$25=0,0,G28/B$25)</f>
        <v>1.0649627263045794E-3</v>
      </c>
      <c r="I28" s="138">
        <v>2</v>
      </c>
      <c r="K28" s="62">
        <v>26</v>
      </c>
      <c r="L28" s="64">
        <v>11.5</v>
      </c>
    </row>
    <row r="29" spans="1:12" x14ac:dyDescent="0.4">
      <c r="E29" s="102" t="s">
        <v>93</v>
      </c>
      <c r="F29" s="98" t="s">
        <v>46</v>
      </c>
      <c r="G29" s="85">
        <v>1</v>
      </c>
      <c r="H29" s="63">
        <f>IF(B$25=0,0,G29/B$25)</f>
        <v>1.0649627263045794E-3</v>
      </c>
      <c r="I29" s="138">
        <v>2</v>
      </c>
      <c r="K29" s="62">
        <v>27</v>
      </c>
      <c r="L29" s="64">
        <v>0</v>
      </c>
    </row>
    <row r="30" spans="1:12" x14ac:dyDescent="0.4">
      <c r="E30" s="102" t="s">
        <v>95</v>
      </c>
      <c r="F30" s="98" t="s">
        <v>48</v>
      </c>
      <c r="G30" s="85">
        <v>1</v>
      </c>
      <c r="H30" s="63">
        <f>IF(B$25=0,0,G30/B$25)</f>
        <v>1.0649627263045794E-3</v>
      </c>
      <c r="I30" s="138">
        <v>2</v>
      </c>
      <c r="K30" s="62">
        <v>28</v>
      </c>
      <c r="L30" s="64">
        <v>-31.5</v>
      </c>
    </row>
    <row r="31" spans="1:12" x14ac:dyDescent="0.4">
      <c r="E31" s="102" t="s">
        <v>100</v>
      </c>
      <c r="F31" s="98" t="s">
        <v>53</v>
      </c>
      <c r="G31" s="85">
        <v>1</v>
      </c>
      <c r="H31" s="63">
        <f>IF(B$25=0,0,G31/B$25)</f>
        <v>1.0649627263045794E-3</v>
      </c>
      <c r="I31" s="138">
        <v>2</v>
      </c>
      <c r="K31" s="62">
        <v>29</v>
      </c>
      <c r="L31" s="64">
        <v>36.700000000000003</v>
      </c>
    </row>
    <row r="32" spans="1:12" x14ac:dyDescent="0.4">
      <c r="E32" s="102" t="s">
        <v>111</v>
      </c>
      <c r="F32" s="98" t="s">
        <v>118</v>
      </c>
      <c r="G32" s="85">
        <v>1</v>
      </c>
      <c r="H32" s="63">
        <f>IF(B$25=0,0,G32/B$25)</f>
        <v>1.0649627263045794E-3</v>
      </c>
      <c r="I32" s="138">
        <v>2</v>
      </c>
      <c r="K32" s="62">
        <v>30</v>
      </c>
      <c r="L32" s="64">
        <v>0</v>
      </c>
    </row>
    <row r="33" spans="5:12" x14ac:dyDescent="0.4">
      <c r="E33" s="102" t="s">
        <v>80</v>
      </c>
      <c r="F33" s="98" t="s">
        <v>33</v>
      </c>
      <c r="G33" s="85">
        <v>0</v>
      </c>
      <c r="H33" s="63">
        <f>IF(B$25=0,0,G33/B$25)</f>
        <v>0</v>
      </c>
      <c r="I33" s="138">
        <v>1</v>
      </c>
      <c r="K33" s="62">
        <v>31</v>
      </c>
      <c r="L33" s="64">
        <v>18.3</v>
      </c>
    </row>
    <row r="34" spans="5:12" x14ac:dyDescent="0.4">
      <c r="E34" s="102" t="s">
        <v>84</v>
      </c>
      <c r="F34" s="98" t="s">
        <v>37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8.6000000000000014</v>
      </c>
    </row>
    <row r="35" spans="5:12" x14ac:dyDescent="0.4">
      <c r="E35" s="102" t="s">
        <v>87</v>
      </c>
      <c r="F35" s="98" t="s">
        <v>40</v>
      </c>
      <c r="G35" s="85">
        <v>0</v>
      </c>
      <c r="H35" s="63">
        <f>IF(B$25=0,0,G35/B$25)</f>
        <v>0</v>
      </c>
      <c r="I35" s="138">
        <v>1</v>
      </c>
      <c r="K35" s="62">
        <v>33</v>
      </c>
      <c r="L35" s="64">
        <v>1.7763568394002505E-15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12.800000000000002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36.400000000000006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7.1054273576010019E-15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57.000000000000007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32.600000000000009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7.1054273576010019E-15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-43.999999999999993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22.000000000000007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7.1054273576010019E-15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-36.999999999999993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38">
        <v>1</v>
      </c>
      <c r="K46" s="62">
        <v>44</v>
      </c>
      <c r="L46" s="64">
        <v>-35.499999999999993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7.1054273576010019E-15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1.6000000000000072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5.4000000000000075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7.1054273576010019E-15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-21.399999999999991</v>
      </c>
    </row>
    <row r="52" spans="5:12" x14ac:dyDescent="0.4">
      <c r="K52" s="62">
        <v>50</v>
      </c>
      <c r="L52" s="64">
        <v>-53.899999999999991</v>
      </c>
    </row>
    <row r="53" spans="5:12" x14ac:dyDescent="0.4">
      <c r="K53" s="62">
        <v>51</v>
      </c>
      <c r="L53" s="64">
        <v>7.1054273576010019E-15</v>
      </c>
    </row>
    <row r="54" spans="5:12" x14ac:dyDescent="0.4">
      <c r="K54" s="62">
        <v>52</v>
      </c>
      <c r="L54" s="64">
        <v>14.900000000000007</v>
      </c>
    </row>
    <row r="55" spans="5:12" x14ac:dyDescent="0.4">
      <c r="K55" s="62">
        <v>53</v>
      </c>
      <c r="L55" s="64">
        <v>1.2000000000000082</v>
      </c>
    </row>
    <row r="56" spans="5:12" x14ac:dyDescent="0.4">
      <c r="K56" s="62">
        <v>54</v>
      </c>
      <c r="L56" s="64">
        <v>8.2156503822261584E-15</v>
      </c>
    </row>
    <row r="57" spans="5:12" x14ac:dyDescent="0.4">
      <c r="K57" s="62">
        <v>55</v>
      </c>
      <c r="L57" s="64">
        <v>57.20000000000001</v>
      </c>
    </row>
    <row r="58" spans="5:12" x14ac:dyDescent="0.4">
      <c r="K58" s="62">
        <v>56</v>
      </c>
      <c r="L58" s="64">
        <v>18.800000000000011</v>
      </c>
    </row>
    <row r="59" spans="5:12" x14ac:dyDescent="0.4">
      <c r="K59" s="62">
        <v>57</v>
      </c>
      <c r="L59" s="64">
        <v>1.0658141036401503E-14</v>
      </c>
    </row>
    <row r="60" spans="5:12" x14ac:dyDescent="0.4">
      <c r="K60" s="62">
        <v>58</v>
      </c>
      <c r="L60" s="64">
        <v>26.20000000000001</v>
      </c>
    </row>
    <row r="61" spans="5:12" x14ac:dyDescent="0.4">
      <c r="K61" s="62">
        <v>59</v>
      </c>
      <c r="L61" s="64">
        <v>1.0000000000000107</v>
      </c>
    </row>
    <row r="62" spans="5:12" x14ac:dyDescent="0.4">
      <c r="K62" s="62">
        <v>60</v>
      </c>
      <c r="L62" s="64">
        <v>1.0658141036401503E-14</v>
      </c>
    </row>
    <row r="63" spans="5:12" x14ac:dyDescent="0.4">
      <c r="K63" s="62">
        <v>61</v>
      </c>
      <c r="L63" s="64">
        <v>56.500000000000014</v>
      </c>
    </row>
    <row r="64" spans="5:12" x14ac:dyDescent="0.4">
      <c r="K64" s="62">
        <v>62</v>
      </c>
      <c r="L64" s="64">
        <v>10.000000000000014</v>
      </c>
    </row>
    <row r="65" spans="11:12" x14ac:dyDescent="0.4">
      <c r="K65" s="62">
        <v>63</v>
      </c>
      <c r="L65" s="64">
        <v>1.4210854715202004E-14</v>
      </c>
    </row>
    <row r="66" spans="11:12" x14ac:dyDescent="0.4">
      <c r="K66" s="62">
        <v>64</v>
      </c>
      <c r="L66" s="64">
        <v>-25.499999999999986</v>
      </c>
    </row>
    <row r="67" spans="11:12" x14ac:dyDescent="0.4">
      <c r="K67" s="62">
        <v>65</v>
      </c>
      <c r="L67" s="64">
        <v>-65.399999999999977</v>
      </c>
    </row>
    <row r="68" spans="11:12" x14ac:dyDescent="0.4">
      <c r="K68" s="62">
        <v>66</v>
      </c>
      <c r="L68" s="64">
        <v>2.8421709430404007E-14</v>
      </c>
    </row>
    <row r="69" spans="11:12" x14ac:dyDescent="0.4">
      <c r="K69" s="62">
        <v>67</v>
      </c>
      <c r="L69" s="64">
        <v>24.700000000000028</v>
      </c>
    </row>
    <row r="70" spans="11:12" x14ac:dyDescent="0.4">
      <c r="K70" s="62">
        <v>68</v>
      </c>
      <c r="L70" s="64">
        <v>-11.099999999999969</v>
      </c>
    </row>
    <row r="71" spans="11:12" x14ac:dyDescent="0.4">
      <c r="K71" s="62">
        <v>69</v>
      </c>
      <c r="L71" s="64">
        <v>3.0198066269804258E-14</v>
      </c>
    </row>
    <row r="72" spans="11:12" x14ac:dyDescent="0.4">
      <c r="K72" s="62">
        <v>70</v>
      </c>
      <c r="L72" s="64">
        <v>-6.4999999999999698</v>
      </c>
    </row>
    <row r="73" spans="11:12" x14ac:dyDescent="0.4">
      <c r="K73" s="62">
        <v>71</v>
      </c>
      <c r="L73" s="64">
        <v>-50.999999999999972</v>
      </c>
    </row>
    <row r="74" spans="11:12" x14ac:dyDescent="0.4">
      <c r="K74" s="62">
        <v>72</v>
      </c>
      <c r="L74" s="64">
        <v>2.8421709430404007E-14</v>
      </c>
    </row>
    <row r="75" spans="11:12" x14ac:dyDescent="0.4">
      <c r="K75" s="62">
        <v>73</v>
      </c>
      <c r="L75" s="64">
        <v>-33.699999999999974</v>
      </c>
    </row>
    <row r="76" spans="11:12" x14ac:dyDescent="0.4">
      <c r="K76" s="62">
        <v>74</v>
      </c>
      <c r="L76" s="64">
        <v>-17.199999999999974</v>
      </c>
    </row>
    <row r="77" spans="11:12" x14ac:dyDescent="0.4">
      <c r="K77" s="62">
        <v>75</v>
      </c>
      <c r="L77" s="64">
        <v>2.4868995751603507E-14</v>
      </c>
    </row>
    <row r="78" spans="11:12" x14ac:dyDescent="0.4">
      <c r="K78" s="62">
        <v>76</v>
      </c>
      <c r="L78" s="64">
        <v>23.900000000000023</v>
      </c>
    </row>
    <row r="79" spans="11:12" x14ac:dyDescent="0.4">
      <c r="K79" s="62">
        <v>77</v>
      </c>
      <c r="L79" s="64">
        <v>15.500000000000023</v>
      </c>
    </row>
    <row r="80" spans="11:12" x14ac:dyDescent="0.4">
      <c r="K80" s="62">
        <v>78</v>
      </c>
      <c r="L80" s="64">
        <v>2.3092638912203256E-14</v>
      </c>
    </row>
    <row r="81" spans="11:12" x14ac:dyDescent="0.4">
      <c r="K81" s="62">
        <v>79</v>
      </c>
      <c r="L81" s="64">
        <v>-36.999999999999979</v>
      </c>
    </row>
    <row r="82" spans="11:12" x14ac:dyDescent="0.4">
      <c r="K82" s="62">
        <v>80</v>
      </c>
      <c r="L82" s="64">
        <v>24.500000000000021</v>
      </c>
    </row>
    <row r="83" spans="11:12" x14ac:dyDescent="0.4">
      <c r="K83" s="62">
        <v>81</v>
      </c>
      <c r="L83" s="64">
        <v>2.1316282072803006E-14</v>
      </c>
    </row>
    <row r="84" spans="11:12" x14ac:dyDescent="0.4">
      <c r="K84" s="62">
        <v>82</v>
      </c>
      <c r="L84" s="64">
        <v>58.000000000000021</v>
      </c>
    </row>
    <row r="85" spans="11:12" x14ac:dyDescent="0.4">
      <c r="K85" s="62">
        <v>83</v>
      </c>
      <c r="L85" s="64">
        <v>41.500000000000021</v>
      </c>
    </row>
    <row r="86" spans="11:12" x14ac:dyDescent="0.4">
      <c r="K86" s="62">
        <v>84</v>
      </c>
      <c r="L86" s="64">
        <v>2.1316282072803006E-14</v>
      </c>
    </row>
    <row r="87" spans="11:12" x14ac:dyDescent="0.4">
      <c r="K87" s="62">
        <v>85</v>
      </c>
      <c r="L87" s="64">
        <v>-8.399999999999979</v>
      </c>
    </row>
    <row r="88" spans="11:12" x14ac:dyDescent="0.4">
      <c r="K88" s="62">
        <v>86</v>
      </c>
      <c r="L88" s="64">
        <v>19.300000000000018</v>
      </c>
    </row>
    <row r="89" spans="11:12" x14ac:dyDescent="0.4">
      <c r="K89" s="62">
        <v>87</v>
      </c>
      <c r="L89" s="64">
        <v>1.7763568394002505E-14</v>
      </c>
    </row>
    <row r="90" spans="11:12" x14ac:dyDescent="0.4">
      <c r="K90" s="62">
        <v>88</v>
      </c>
      <c r="L90" s="64">
        <v>-8.3999999999999826</v>
      </c>
    </row>
    <row r="91" spans="11:12" x14ac:dyDescent="0.4">
      <c r="K91" s="62">
        <v>89</v>
      </c>
      <c r="L91" s="64">
        <v>19.300000000000018</v>
      </c>
    </row>
    <row r="92" spans="11:12" x14ac:dyDescent="0.4">
      <c r="K92" s="62">
        <v>90</v>
      </c>
      <c r="L92" s="64">
        <v>1.7763568394002505E-14</v>
      </c>
    </row>
    <row r="93" spans="11:12" x14ac:dyDescent="0.4">
      <c r="K93" s="62">
        <v>91</v>
      </c>
      <c r="L93" s="64">
        <v>53.300000000000011</v>
      </c>
    </row>
    <row r="94" spans="11:12" x14ac:dyDescent="0.4">
      <c r="K94" s="62">
        <v>92</v>
      </c>
      <c r="L94" s="64">
        <v>14.400000000000013</v>
      </c>
    </row>
    <row r="95" spans="11:12" x14ac:dyDescent="0.4">
      <c r="K95" s="62">
        <v>93</v>
      </c>
      <c r="L95" s="64">
        <v>1.2434497875801753E-14</v>
      </c>
    </row>
    <row r="96" spans="11:12" x14ac:dyDescent="0.4">
      <c r="K96" s="62">
        <v>94</v>
      </c>
      <c r="L96" s="64">
        <v>-13.999999999999988</v>
      </c>
    </row>
    <row r="97" spans="11:12" x14ac:dyDescent="0.4">
      <c r="K97" s="62">
        <v>95</v>
      </c>
      <c r="L97" s="64">
        <v>-51.999999999999986</v>
      </c>
    </row>
    <row r="98" spans="11:12" x14ac:dyDescent="0.4">
      <c r="K98" s="62">
        <v>96</v>
      </c>
      <c r="L98" s="64">
        <v>1.4210854715202004E-14</v>
      </c>
    </row>
    <row r="99" spans="11:12" x14ac:dyDescent="0.4">
      <c r="K99" s="62">
        <v>97</v>
      </c>
      <c r="L99" s="64">
        <v>60.700000000000017</v>
      </c>
    </row>
    <row r="100" spans="11:12" x14ac:dyDescent="0.4">
      <c r="K100" s="62">
        <v>98</v>
      </c>
      <c r="L100" s="64">
        <v>40.40000000000002</v>
      </c>
    </row>
    <row r="101" spans="11:12" x14ac:dyDescent="0.4">
      <c r="K101" s="62">
        <v>99</v>
      </c>
      <c r="L101" s="64">
        <v>2.1316282072803006E-14</v>
      </c>
    </row>
    <row r="102" spans="11:12" x14ac:dyDescent="0.4">
      <c r="K102" s="62">
        <v>100</v>
      </c>
      <c r="L102" s="64">
        <v>50.000000000000021</v>
      </c>
    </row>
    <row r="103" spans="11:12" x14ac:dyDescent="0.4">
      <c r="K103" s="62">
        <v>101</v>
      </c>
      <c r="L103" s="64">
        <v>41.500000000000021</v>
      </c>
    </row>
    <row r="104" spans="11:12" x14ac:dyDescent="0.4">
      <c r="K104" s="62">
        <v>102</v>
      </c>
      <c r="L104" s="64">
        <v>2.1316282072803006E-14</v>
      </c>
    </row>
    <row r="105" spans="11:12" x14ac:dyDescent="0.4">
      <c r="K105" s="62">
        <v>103</v>
      </c>
      <c r="L105" s="64">
        <v>-13.999999999999979</v>
      </c>
    </row>
    <row r="106" spans="11:12" x14ac:dyDescent="0.4">
      <c r="K106" s="62">
        <v>104</v>
      </c>
      <c r="L106" s="64">
        <v>-52.499999999999979</v>
      </c>
    </row>
    <row r="107" spans="11:12" x14ac:dyDescent="0.4">
      <c r="K107" s="62">
        <v>105</v>
      </c>
      <c r="L107" s="64">
        <v>2.1316282072803006E-14</v>
      </c>
    </row>
    <row r="108" spans="11:12" x14ac:dyDescent="0.4">
      <c r="K108" s="62">
        <v>106</v>
      </c>
      <c r="L108" s="64">
        <v>-3.3999999999999786</v>
      </c>
    </row>
    <row r="109" spans="11:12" x14ac:dyDescent="0.4">
      <c r="K109" s="62">
        <v>107</v>
      </c>
      <c r="L109" s="64">
        <v>-14.999999999999979</v>
      </c>
    </row>
    <row r="110" spans="11:12" x14ac:dyDescent="0.4">
      <c r="K110" s="62">
        <v>108</v>
      </c>
      <c r="L110" s="64">
        <v>2.1316282072803006E-14</v>
      </c>
    </row>
    <row r="111" spans="11:12" x14ac:dyDescent="0.4">
      <c r="K111" s="62">
        <v>109</v>
      </c>
      <c r="L111" s="64">
        <v>-17.09999999999998</v>
      </c>
    </row>
    <row r="112" spans="11:12" x14ac:dyDescent="0.4">
      <c r="K112" s="62">
        <v>110</v>
      </c>
      <c r="L112" s="64">
        <v>-16.799999999999979</v>
      </c>
    </row>
    <row r="113" spans="11:12" x14ac:dyDescent="0.4">
      <c r="K113" s="62">
        <v>111</v>
      </c>
      <c r="L113" s="64">
        <v>2.1316282072803006E-14</v>
      </c>
    </row>
    <row r="114" spans="11:12" x14ac:dyDescent="0.4">
      <c r="K114" s="62">
        <v>112</v>
      </c>
      <c r="L114" s="64">
        <v>21.100000000000023</v>
      </c>
    </row>
    <row r="115" spans="11:12" x14ac:dyDescent="0.4">
      <c r="K115" s="62">
        <v>113</v>
      </c>
      <c r="L115" s="64">
        <v>35.800000000000026</v>
      </c>
    </row>
    <row r="116" spans="11:12" x14ac:dyDescent="0.4">
      <c r="K116" s="62">
        <v>114</v>
      </c>
      <c r="L116" s="64">
        <v>2.8421709430404007E-14</v>
      </c>
    </row>
    <row r="117" spans="11:12" x14ac:dyDescent="0.4">
      <c r="K117" s="62">
        <v>115</v>
      </c>
      <c r="L117" s="64">
        <v>-50.599999999999973</v>
      </c>
    </row>
    <row r="118" spans="11:12" x14ac:dyDescent="0.4">
      <c r="K118" s="62">
        <v>116</v>
      </c>
      <c r="L118" s="64">
        <v>-2.599999999999973</v>
      </c>
    </row>
    <row r="119" spans="11:12" x14ac:dyDescent="0.4">
      <c r="K119" s="62">
        <v>117</v>
      </c>
      <c r="L119" s="64">
        <v>2.708944180085382E-14</v>
      </c>
    </row>
    <row r="120" spans="11:12" x14ac:dyDescent="0.4">
      <c r="K120" s="62">
        <v>118</v>
      </c>
      <c r="L120" s="64">
        <v>-8.1999999999999726</v>
      </c>
    </row>
    <row r="121" spans="11:12" x14ac:dyDescent="0.4">
      <c r="K121" s="62">
        <v>119</v>
      </c>
      <c r="L121" s="64">
        <v>-49.999999999999972</v>
      </c>
    </row>
    <row r="122" spans="11:12" x14ac:dyDescent="0.4">
      <c r="K122" s="62">
        <v>120</v>
      </c>
      <c r="L122" s="64">
        <v>2.8421709430404007E-14</v>
      </c>
    </row>
    <row r="123" spans="11:12" x14ac:dyDescent="0.4">
      <c r="K123" s="62">
        <v>121</v>
      </c>
      <c r="L123" s="64">
        <v>-6.9999999999999716</v>
      </c>
    </row>
    <row r="124" spans="11:12" x14ac:dyDescent="0.4">
      <c r="K124" s="62">
        <v>122</v>
      </c>
      <c r="L124" s="64">
        <v>-12.499999999999972</v>
      </c>
    </row>
    <row r="125" spans="11:12" x14ac:dyDescent="0.4">
      <c r="K125" s="62">
        <v>123</v>
      </c>
      <c r="L125" s="64">
        <v>2.8421709430404007E-14</v>
      </c>
    </row>
    <row r="126" spans="11:12" x14ac:dyDescent="0.4">
      <c r="K126" s="62">
        <v>124</v>
      </c>
      <c r="L126" s="64">
        <v>-36.39999999999997</v>
      </c>
    </row>
    <row r="127" spans="11:12" x14ac:dyDescent="0.4">
      <c r="K127" s="62">
        <v>125</v>
      </c>
      <c r="L127" s="64">
        <v>-11.499999999999972</v>
      </c>
    </row>
    <row r="128" spans="11:12" x14ac:dyDescent="0.4">
      <c r="K128" s="62">
        <v>126</v>
      </c>
      <c r="L128" s="64">
        <v>2.8421709430404007E-14</v>
      </c>
    </row>
    <row r="129" spans="11:12" x14ac:dyDescent="0.4">
      <c r="K129" s="62">
        <v>127</v>
      </c>
      <c r="L129" s="64">
        <v>-8.4999999999999716</v>
      </c>
    </row>
    <row r="130" spans="11:12" x14ac:dyDescent="0.4">
      <c r="K130" s="62">
        <v>128</v>
      </c>
      <c r="L130" s="64">
        <v>-5.4999999999999716</v>
      </c>
    </row>
    <row r="131" spans="11:12" x14ac:dyDescent="0.4">
      <c r="K131" s="62">
        <v>129</v>
      </c>
      <c r="L131" s="64">
        <v>2.8421709430404007E-14</v>
      </c>
    </row>
    <row r="132" spans="11:12" x14ac:dyDescent="0.4">
      <c r="K132" s="62">
        <v>130</v>
      </c>
      <c r="L132" s="64">
        <v>8.4000000000000288</v>
      </c>
    </row>
    <row r="133" spans="11:12" x14ac:dyDescent="0.4">
      <c r="K133" s="62">
        <v>131</v>
      </c>
      <c r="L133" s="64">
        <v>23.900000000000027</v>
      </c>
    </row>
    <row r="134" spans="11:12" x14ac:dyDescent="0.4">
      <c r="K134" s="62">
        <v>132</v>
      </c>
      <c r="L134" s="64">
        <v>2.8421709430404007E-14</v>
      </c>
    </row>
    <row r="135" spans="11:12" x14ac:dyDescent="0.4">
      <c r="K135" s="62">
        <v>133</v>
      </c>
      <c r="L135" s="64">
        <v>-10.399999999999972</v>
      </c>
    </row>
    <row r="136" spans="11:12" x14ac:dyDescent="0.4">
      <c r="K136" s="62">
        <v>134</v>
      </c>
      <c r="L136" s="64">
        <v>0.70000000000002771</v>
      </c>
    </row>
    <row r="137" spans="11:12" x14ac:dyDescent="0.4">
      <c r="K137" s="62">
        <v>135</v>
      </c>
      <c r="L137" s="64">
        <v>2.7755575615628914E-14</v>
      </c>
    </row>
    <row r="138" spans="11:12" x14ac:dyDescent="0.4">
      <c r="K138" s="62">
        <v>136</v>
      </c>
      <c r="L138" s="64">
        <v>27.900000000000027</v>
      </c>
    </row>
    <row r="139" spans="11:12" x14ac:dyDescent="0.4">
      <c r="K139" s="62">
        <v>137</v>
      </c>
      <c r="L139" s="64">
        <v>-7.9999999999999716</v>
      </c>
    </row>
    <row r="140" spans="11:12" x14ac:dyDescent="0.4">
      <c r="K140" s="62">
        <v>138</v>
      </c>
      <c r="L140" s="64">
        <v>2.8421709430404007E-14</v>
      </c>
    </row>
    <row r="141" spans="11:12" x14ac:dyDescent="0.4">
      <c r="K141" s="62">
        <v>139</v>
      </c>
      <c r="L141" s="64">
        <v>-20.499999999999972</v>
      </c>
    </row>
    <row r="142" spans="11:12" x14ac:dyDescent="0.4">
      <c r="K142" s="62">
        <v>140</v>
      </c>
      <c r="L142" s="64">
        <v>-25.199999999999971</v>
      </c>
    </row>
    <row r="143" spans="11:12" x14ac:dyDescent="0.4">
      <c r="K143" s="62">
        <v>141</v>
      </c>
      <c r="L143" s="64">
        <v>2.8421709430404007E-14</v>
      </c>
    </row>
    <row r="144" spans="11:12" x14ac:dyDescent="0.4">
      <c r="K144" s="62">
        <v>142</v>
      </c>
      <c r="L144" s="64">
        <v>-31.099999999999973</v>
      </c>
    </row>
    <row r="145" spans="11:12" x14ac:dyDescent="0.4">
      <c r="K145" s="62">
        <v>143</v>
      </c>
      <c r="L145" s="64">
        <v>-62.299999999999969</v>
      </c>
    </row>
    <row r="146" spans="11:12" x14ac:dyDescent="0.4">
      <c r="K146" s="62">
        <v>144</v>
      </c>
      <c r="L146" s="64">
        <v>2.8421709430404007E-14</v>
      </c>
    </row>
    <row r="147" spans="11:12" x14ac:dyDescent="0.4">
      <c r="K147" s="62">
        <v>145</v>
      </c>
      <c r="L147" s="64">
        <v>16.200000000000028</v>
      </c>
    </row>
    <row r="148" spans="11:12" x14ac:dyDescent="0.4">
      <c r="K148" s="62">
        <v>146</v>
      </c>
      <c r="L148" s="64">
        <v>-8.599999999999973</v>
      </c>
    </row>
    <row r="149" spans="11:12" x14ac:dyDescent="0.4">
      <c r="K149" s="62">
        <v>147</v>
      </c>
      <c r="L149" s="64">
        <v>2.6645352591003757E-14</v>
      </c>
    </row>
    <row r="150" spans="11:12" x14ac:dyDescent="0.4">
      <c r="K150" s="62">
        <v>148</v>
      </c>
      <c r="L150" s="64">
        <v>-4.8999999999999737</v>
      </c>
    </row>
    <row r="151" spans="11:12" x14ac:dyDescent="0.4">
      <c r="K151" s="62">
        <v>149</v>
      </c>
      <c r="L151" s="64">
        <v>-16.799999999999976</v>
      </c>
    </row>
    <row r="152" spans="11:12" x14ac:dyDescent="0.4">
      <c r="K152" s="62">
        <v>150</v>
      </c>
      <c r="L152" s="64">
        <v>-1.9999999999999751</v>
      </c>
    </row>
    <row r="153" spans="11:12" x14ac:dyDescent="0.4">
      <c r="K153" s="62">
        <v>151</v>
      </c>
      <c r="L153" s="64">
        <v>10.800000000000026</v>
      </c>
    </row>
    <row r="154" spans="11:12" x14ac:dyDescent="0.4">
      <c r="K154" s="62">
        <v>152</v>
      </c>
      <c r="L154" s="64">
        <v>14.700000000000026</v>
      </c>
    </row>
    <row r="155" spans="11:12" x14ac:dyDescent="0.4">
      <c r="K155" s="62">
        <v>153</v>
      </c>
      <c r="L155" s="64">
        <v>-1.9999999999999734</v>
      </c>
    </row>
    <row r="156" spans="11:12" x14ac:dyDescent="0.4">
      <c r="K156" s="62">
        <v>154</v>
      </c>
      <c r="L156" s="64">
        <v>-1.2999999999999734</v>
      </c>
    </row>
    <row r="157" spans="11:12" x14ac:dyDescent="0.4">
      <c r="K157" s="62">
        <v>155</v>
      </c>
      <c r="L157" s="64">
        <v>41.900000000000027</v>
      </c>
    </row>
    <row r="158" spans="11:12" x14ac:dyDescent="0.4">
      <c r="K158" s="62">
        <v>156</v>
      </c>
      <c r="L158" s="64">
        <v>-1.9999999999999716</v>
      </c>
    </row>
    <row r="159" spans="11:12" x14ac:dyDescent="0.4">
      <c r="K159" s="62">
        <v>157</v>
      </c>
      <c r="L159" s="64">
        <v>-8.6999999999999709</v>
      </c>
    </row>
    <row r="160" spans="11:12" x14ac:dyDescent="0.4">
      <c r="K160" s="62">
        <v>158</v>
      </c>
      <c r="L160" s="64">
        <v>-11.499999999999972</v>
      </c>
    </row>
    <row r="161" spans="11:12" x14ac:dyDescent="0.4">
      <c r="K161" s="62">
        <v>159</v>
      </c>
      <c r="L161" s="64">
        <v>-1.9999999999999716</v>
      </c>
    </row>
    <row r="162" spans="11:12" x14ac:dyDescent="0.4">
      <c r="K162" s="62">
        <v>160</v>
      </c>
      <c r="L162" s="64">
        <v>-29.999999999999972</v>
      </c>
    </row>
    <row r="163" spans="11:12" x14ac:dyDescent="0.4">
      <c r="K163" s="62">
        <v>161</v>
      </c>
      <c r="L163" s="64">
        <v>-84.999999999999972</v>
      </c>
    </row>
    <row r="164" spans="11:12" x14ac:dyDescent="0.4">
      <c r="K164" s="62">
        <v>162</v>
      </c>
      <c r="L164" s="64">
        <v>-1.9999999999999716</v>
      </c>
    </row>
    <row r="165" spans="11:12" x14ac:dyDescent="0.4">
      <c r="K165" s="62">
        <v>163</v>
      </c>
      <c r="L165" s="64">
        <v>14.700000000000028</v>
      </c>
    </row>
    <row r="166" spans="11:12" x14ac:dyDescent="0.4">
      <c r="K166" s="62">
        <v>164</v>
      </c>
      <c r="L166" s="64">
        <v>-22.999999999999975</v>
      </c>
    </row>
    <row r="167" spans="11:12" x14ac:dyDescent="0.4">
      <c r="K167" s="62">
        <v>165</v>
      </c>
      <c r="L167" s="64">
        <v>-1.9999999999999751</v>
      </c>
    </row>
    <row r="168" spans="11:12" x14ac:dyDescent="0.4">
      <c r="K168" s="62">
        <v>166</v>
      </c>
      <c r="L168" s="64">
        <v>-8.9999999999999751</v>
      </c>
    </row>
    <row r="169" spans="11:12" x14ac:dyDescent="0.4">
      <c r="K169" s="62">
        <v>167</v>
      </c>
      <c r="L169" s="64">
        <v>-14.899999999999975</v>
      </c>
    </row>
    <row r="170" spans="11:12" x14ac:dyDescent="0.4">
      <c r="K170" s="62">
        <v>168</v>
      </c>
      <c r="L170" s="64">
        <v>-2.9999999999999751</v>
      </c>
    </row>
    <row r="171" spans="11:12" x14ac:dyDescent="0.4">
      <c r="K171" s="62">
        <v>169</v>
      </c>
      <c r="L171" s="64">
        <v>28.600000000000026</v>
      </c>
    </row>
    <row r="172" spans="11:12" x14ac:dyDescent="0.4">
      <c r="K172" s="62">
        <v>170</v>
      </c>
      <c r="L172" s="64">
        <v>34.800000000000026</v>
      </c>
    </row>
    <row r="173" spans="11:12" x14ac:dyDescent="0.4">
      <c r="K173" s="62">
        <v>171</v>
      </c>
      <c r="L173" s="64">
        <v>-2.9999999999999716</v>
      </c>
    </row>
    <row r="174" spans="11:12" x14ac:dyDescent="0.4">
      <c r="K174" s="62">
        <v>172</v>
      </c>
      <c r="L174" s="64">
        <v>12.800000000000029</v>
      </c>
    </row>
    <row r="175" spans="11:12" x14ac:dyDescent="0.4">
      <c r="K175" s="62">
        <v>173</v>
      </c>
      <c r="L175" s="64">
        <v>-33.299999999999969</v>
      </c>
    </row>
    <row r="176" spans="11:12" x14ac:dyDescent="0.4">
      <c r="K176" s="62">
        <v>174</v>
      </c>
      <c r="L176" s="64">
        <v>-2.999999999999968</v>
      </c>
    </row>
    <row r="177" spans="11:12" x14ac:dyDescent="0.4">
      <c r="K177" s="62">
        <v>175</v>
      </c>
      <c r="L177" s="64">
        <v>54.000000000000028</v>
      </c>
    </row>
    <row r="178" spans="11:12" x14ac:dyDescent="0.4">
      <c r="K178" s="62">
        <v>176</v>
      </c>
      <c r="L178" s="64">
        <v>3.5000000000000284</v>
      </c>
    </row>
    <row r="179" spans="11:12" x14ac:dyDescent="0.4">
      <c r="K179" s="62">
        <v>177</v>
      </c>
      <c r="L179" s="64">
        <v>-2.9999999999999716</v>
      </c>
    </row>
    <row r="180" spans="11:12" x14ac:dyDescent="0.4">
      <c r="K180" s="62">
        <v>178</v>
      </c>
      <c r="L180" s="64">
        <v>2.3000000000000282</v>
      </c>
    </row>
    <row r="181" spans="11:12" x14ac:dyDescent="0.4">
      <c r="K181" s="62">
        <v>179</v>
      </c>
      <c r="L181" s="64">
        <v>8.6000000000000281</v>
      </c>
    </row>
    <row r="182" spans="11:12" x14ac:dyDescent="0.4">
      <c r="K182" s="62">
        <v>180</v>
      </c>
      <c r="L182" s="64">
        <v>-2.9999999999999716</v>
      </c>
    </row>
    <row r="183" spans="11:12" x14ac:dyDescent="0.4">
      <c r="K183" s="62">
        <v>181</v>
      </c>
      <c r="L183" s="64">
        <v>-39.199999999999974</v>
      </c>
    </row>
    <row r="184" spans="11:12" x14ac:dyDescent="0.4">
      <c r="K184" s="62">
        <v>182</v>
      </c>
      <c r="L184" s="64">
        <v>-20.499999999999975</v>
      </c>
    </row>
    <row r="185" spans="11:12" x14ac:dyDescent="0.4">
      <c r="K185" s="62">
        <v>183</v>
      </c>
      <c r="L185" s="64">
        <v>-2.9999999999999751</v>
      </c>
    </row>
    <row r="186" spans="11:12" x14ac:dyDescent="0.4">
      <c r="K186" s="62">
        <v>184</v>
      </c>
      <c r="L186" s="64">
        <v>-49.09999999999998</v>
      </c>
    </row>
    <row r="187" spans="11:12" x14ac:dyDescent="0.4">
      <c r="K187" s="62">
        <v>185</v>
      </c>
      <c r="L187" s="64">
        <v>-43.999999999999979</v>
      </c>
    </row>
    <row r="188" spans="11:12" x14ac:dyDescent="0.4">
      <c r="K188" s="62">
        <v>186</v>
      </c>
      <c r="L188" s="64">
        <v>-2.9999999999999787</v>
      </c>
    </row>
    <row r="189" spans="11:12" x14ac:dyDescent="0.4">
      <c r="K189" s="62">
        <v>187</v>
      </c>
      <c r="L189" s="64">
        <v>32.000000000000021</v>
      </c>
    </row>
    <row r="190" spans="11:12" x14ac:dyDescent="0.4">
      <c r="K190" s="62">
        <v>188</v>
      </c>
      <c r="L190" s="64">
        <v>7.5000000000000213</v>
      </c>
    </row>
    <row r="191" spans="11:12" x14ac:dyDescent="0.4">
      <c r="K191" s="62">
        <v>189</v>
      </c>
      <c r="L191" s="64">
        <v>-2.9999999999999787</v>
      </c>
    </row>
    <row r="192" spans="11:12" x14ac:dyDescent="0.4">
      <c r="K192" s="62">
        <v>190</v>
      </c>
      <c r="L192" s="64">
        <v>18.100000000000023</v>
      </c>
    </row>
    <row r="193" spans="11:12" x14ac:dyDescent="0.4">
      <c r="K193" s="62">
        <v>191</v>
      </c>
      <c r="L193" s="64">
        <v>4.2000000000000224</v>
      </c>
    </row>
    <row r="194" spans="11:12" x14ac:dyDescent="0.4">
      <c r="K194" s="62">
        <v>192</v>
      </c>
      <c r="L194" s="64">
        <v>-2.9999999999999778</v>
      </c>
    </row>
    <row r="195" spans="11:12" x14ac:dyDescent="0.4">
      <c r="K195" s="62">
        <v>193</v>
      </c>
      <c r="L195" s="64">
        <v>-68.999999999999972</v>
      </c>
    </row>
    <row r="196" spans="11:12" x14ac:dyDescent="0.4">
      <c r="K196" s="62">
        <v>194</v>
      </c>
      <c r="L196" s="64">
        <v>-77.299999999999969</v>
      </c>
    </row>
    <row r="197" spans="11:12" x14ac:dyDescent="0.4">
      <c r="K197" s="62">
        <v>195</v>
      </c>
      <c r="L197" s="64">
        <v>-2.9999999999999716</v>
      </c>
    </row>
    <row r="198" spans="11:12" x14ac:dyDescent="0.4">
      <c r="K198" s="62">
        <v>196</v>
      </c>
      <c r="L198" s="64">
        <v>-7.9999999999999716</v>
      </c>
    </row>
    <row r="199" spans="11:12" x14ac:dyDescent="0.4">
      <c r="K199" s="62">
        <v>197</v>
      </c>
      <c r="L199" s="64">
        <v>-52.999999999999972</v>
      </c>
    </row>
    <row r="200" spans="11:12" x14ac:dyDescent="0.4">
      <c r="K200" s="62">
        <v>198</v>
      </c>
      <c r="L200" s="64">
        <v>-2.9999999999999716</v>
      </c>
    </row>
    <row r="201" spans="11:12" x14ac:dyDescent="0.4">
      <c r="K201" s="62">
        <v>199</v>
      </c>
      <c r="L201" s="64">
        <v>-1.9999999999999716</v>
      </c>
    </row>
    <row r="202" spans="11:12" x14ac:dyDescent="0.4">
      <c r="K202" s="62">
        <v>200</v>
      </c>
      <c r="L202" s="64">
        <v>-37.999999999999972</v>
      </c>
    </row>
    <row r="203" spans="11:12" x14ac:dyDescent="0.4">
      <c r="K203" s="62">
        <v>201</v>
      </c>
      <c r="L203" s="64">
        <v>-2.9999999999999716</v>
      </c>
    </row>
    <row r="204" spans="11:12" x14ac:dyDescent="0.4">
      <c r="K204" s="62">
        <v>202</v>
      </c>
      <c r="L204" s="64">
        <v>28.60000000000003</v>
      </c>
    </row>
    <row r="205" spans="11:12" x14ac:dyDescent="0.4">
      <c r="K205" s="62">
        <v>203</v>
      </c>
      <c r="L205" s="64">
        <v>-2.6999999999999709</v>
      </c>
    </row>
    <row r="206" spans="11:12" x14ac:dyDescent="0.4">
      <c r="K206" s="62">
        <v>204</v>
      </c>
      <c r="L206" s="64">
        <v>-2.9999999999999707</v>
      </c>
    </row>
    <row r="207" spans="11:12" x14ac:dyDescent="0.4">
      <c r="K207" s="62">
        <v>205</v>
      </c>
      <c r="L207" s="64">
        <v>-21.999999999999972</v>
      </c>
    </row>
    <row r="208" spans="11:12" x14ac:dyDescent="0.4">
      <c r="K208" s="62">
        <v>206</v>
      </c>
      <c r="L208" s="64">
        <v>42.000000000000028</v>
      </c>
    </row>
    <row r="209" spans="11:12" x14ac:dyDescent="0.4">
      <c r="K209" s="62">
        <v>207</v>
      </c>
      <c r="L209" s="64">
        <v>-2.9999999999999716</v>
      </c>
    </row>
    <row r="210" spans="11:12" x14ac:dyDescent="0.4">
      <c r="K210" s="62">
        <v>208</v>
      </c>
      <c r="L210" s="64">
        <v>-12.899999999999972</v>
      </c>
    </row>
    <row r="211" spans="11:12" x14ac:dyDescent="0.4">
      <c r="K211" s="62">
        <v>209</v>
      </c>
      <c r="L211" s="64">
        <v>-9.7999999999999723</v>
      </c>
    </row>
    <row r="212" spans="11:12" x14ac:dyDescent="0.4">
      <c r="K212" s="62">
        <v>210</v>
      </c>
      <c r="L212" s="64">
        <v>-2.9999999999999725</v>
      </c>
    </row>
    <row r="213" spans="11:12" x14ac:dyDescent="0.4">
      <c r="K213" s="62">
        <v>211</v>
      </c>
      <c r="L213" s="64">
        <v>-2.0999999999999726</v>
      </c>
    </row>
    <row r="214" spans="11:12" x14ac:dyDescent="0.4">
      <c r="K214" s="62">
        <v>212</v>
      </c>
      <c r="L214" s="64">
        <v>-0.8999999999999726</v>
      </c>
    </row>
    <row r="215" spans="11:12" x14ac:dyDescent="0.4">
      <c r="K215" s="62">
        <v>213</v>
      </c>
      <c r="L215" s="64">
        <v>-2.9999999999999725</v>
      </c>
    </row>
    <row r="216" spans="11:12" x14ac:dyDescent="0.4">
      <c r="K216" s="62">
        <v>214</v>
      </c>
      <c r="L216" s="64">
        <v>29.300000000000026</v>
      </c>
    </row>
    <row r="217" spans="11:12" x14ac:dyDescent="0.4">
      <c r="K217" s="62">
        <v>215</v>
      </c>
      <c r="L217" s="64">
        <v>32.100000000000023</v>
      </c>
    </row>
    <row r="218" spans="11:12" x14ac:dyDescent="0.4">
      <c r="K218" s="62">
        <v>216</v>
      </c>
      <c r="L218" s="64">
        <v>-2.9999999999999787</v>
      </c>
    </row>
    <row r="219" spans="11:12" x14ac:dyDescent="0.4">
      <c r="K219" s="62">
        <v>217</v>
      </c>
      <c r="L219" s="64">
        <v>-48.999999999999979</v>
      </c>
    </row>
    <row r="220" spans="11:12" x14ac:dyDescent="0.4">
      <c r="K220" s="62">
        <v>218</v>
      </c>
      <c r="L220" s="64">
        <v>-4.3999999999999773</v>
      </c>
    </row>
    <row r="221" spans="11:12" x14ac:dyDescent="0.4">
      <c r="K221" s="62">
        <v>219</v>
      </c>
      <c r="L221" s="64">
        <v>-2.9999999999999774</v>
      </c>
    </row>
    <row r="222" spans="11:12" x14ac:dyDescent="0.4">
      <c r="K222" s="62">
        <v>220</v>
      </c>
      <c r="L222" s="64">
        <v>25.40000000000002</v>
      </c>
    </row>
    <row r="223" spans="11:12" x14ac:dyDescent="0.4">
      <c r="K223" s="62">
        <v>221</v>
      </c>
      <c r="L223" s="64">
        <v>24.000000000000021</v>
      </c>
    </row>
    <row r="224" spans="11:12" x14ac:dyDescent="0.4">
      <c r="K224" s="62">
        <v>222</v>
      </c>
      <c r="L224" s="64">
        <v>-2.9999999999999787</v>
      </c>
    </row>
    <row r="225" spans="11:12" x14ac:dyDescent="0.4">
      <c r="K225" s="62">
        <v>223</v>
      </c>
      <c r="L225" s="64">
        <v>-10.399999999999979</v>
      </c>
    </row>
    <row r="226" spans="11:12" x14ac:dyDescent="0.4">
      <c r="K226" s="62">
        <v>224</v>
      </c>
      <c r="L226" s="64">
        <v>-50.09999999999998</v>
      </c>
    </row>
    <row r="227" spans="11:12" x14ac:dyDescent="0.4">
      <c r="K227" s="62">
        <v>225</v>
      </c>
      <c r="L227" s="64">
        <v>-2.9999999999999787</v>
      </c>
    </row>
    <row r="228" spans="11:12" x14ac:dyDescent="0.4">
      <c r="K228" s="62">
        <v>226</v>
      </c>
      <c r="L228" s="64">
        <v>15.300000000000022</v>
      </c>
    </row>
    <row r="229" spans="11:12" x14ac:dyDescent="0.4">
      <c r="K229" s="62">
        <v>227</v>
      </c>
      <c r="L229" s="64">
        <v>-17.799999999999979</v>
      </c>
    </row>
    <row r="230" spans="11:12" x14ac:dyDescent="0.4">
      <c r="K230" s="62">
        <v>228</v>
      </c>
      <c r="L230" s="64">
        <v>-2.9999999999999787</v>
      </c>
    </row>
    <row r="231" spans="11:12" x14ac:dyDescent="0.4">
      <c r="K231" s="62">
        <v>229</v>
      </c>
      <c r="L231" s="64">
        <v>-16.899999999999977</v>
      </c>
    </row>
    <row r="232" spans="11:12" x14ac:dyDescent="0.4">
      <c r="K232" s="62">
        <v>230</v>
      </c>
      <c r="L232" s="64">
        <v>-35.09999999999998</v>
      </c>
    </row>
    <row r="233" spans="11:12" x14ac:dyDescent="0.4">
      <c r="K233" s="62">
        <v>231</v>
      </c>
      <c r="L233" s="64">
        <v>-2.9999999999999787</v>
      </c>
    </row>
    <row r="234" spans="11:12" x14ac:dyDescent="0.4">
      <c r="K234" s="62">
        <v>232</v>
      </c>
      <c r="L234" s="64">
        <v>37.000000000000021</v>
      </c>
    </row>
    <row r="235" spans="11:12" x14ac:dyDescent="0.4">
      <c r="K235" s="62">
        <v>233</v>
      </c>
      <c r="L235" s="64">
        <v>-3.3999999999999773</v>
      </c>
    </row>
    <row r="236" spans="11:12" x14ac:dyDescent="0.4">
      <c r="K236" s="62">
        <v>234</v>
      </c>
      <c r="L236" s="64">
        <v>-2.9999999999999774</v>
      </c>
    </row>
    <row r="237" spans="11:12" x14ac:dyDescent="0.4">
      <c r="K237" s="62">
        <v>235</v>
      </c>
      <c r="L237" s="64">
        <v>2.2000000000000228</v>
      </c>
    </row>
    <row r="238" spans="11:12" x14ac:dyDescent="0.4">
      <c r="K238" s="62">
        <v>236</v>
      </c>
      <c r="L238" s="64">
        <v>-8.7999999999999776</v>
      </c>
    </row>
    <row r="239" spans="11:12" x14ac:dyDescent="0.4">
      <c r="K239" s="62">
        <v>237</v>
      </c>
      <c r="L239" s="64">
        <v>-2.9999999999999778</v>
      </c>
    </row>
    <row r="240" spans="11:12" x14ac:dyDescent="0.4">
      <c r="K240" s="62">
        <v>238</v>
      </c>
      <c r="L240" s="64">
        <v>-16.699999999999978</v>
      </c>
    </row>
    <row r="241" spans="11:12" x14ac:dyDescent="0.4">
      <c r="K241" s="62">
        <v>239</v>
      </c>
      <c r="L241" s="64">
        <v>-32.499999999999979</v>
      </c>
    </row>
    <row r="242" spans="11:12" x14ac:dyDescent="0.4">
      <c r="K242" s="62">
        <v>240</v>
      </c>
      <c r="L242" s="64">
        <v>-2.9999999999999787</v>
      </c>
    </row>
    <row r="243" spans="11:12" x14ac:dyDescent="0.4">
      <c r="K243" s="62">
        <v>241</v>
      </c>
      <c r="L243" s="64">
        <v>-25.999999999999979</v>
      </c>
    </row>
    <row r="244" spans="11:12" x14ac:dyDescent="0.4">
      <c r="K244" s="62">
        <v>242</v>
      </c>
      <c r="L244" s="64">
        <v>-47.899999999999977</v>
      </c>
    </row>
    <row r="245" spans="11:12" x14ac:dyDescent="0.4">
      <c r="K245" s="62">
        <v>243</v>
      </c>
      <c r="L245" s="64">
        <v>-2.9999999999999787</v>
      </c>
    </row>
    <row r="246" spans="11:12" x14ac:dyDescent="0.4">
      <c r="K246" s="62">
        <v>244</v>
      </c>
      <c r="L246" s="64">
        <v>2.100000000000021</v>
      </c>
    </row>
    <row r="247" spans="11:12" x14ac:dyDescent="0.4">
      <c r="K247" s="62">
        <v>245</v>
      </c>
      <c r="L247" s="64">
        <v>13.400000000000022</v>
      </c>
    </row>
    <row r="248" spans="11:12" x14ac:dyDescent="0.4">
      <c r="K248" s="62">
        <v>246</v>
      </c>
      <c r="L248" s="64">
        <v>-2.9999999999999769</v>
      </c>
    </row>
    <row r="249" spans="11:12" x14ac:dyDescent="0.4">
      <c r="K249" s="62">
        <v>247</v>
      </c>
      <c r="L249" s="64">
        <v>28.90000000000002</v>
      </c>
    </row>
    <row r="250" spans="11:12" x14ac:dyDescent="0.4">
      <c r="K250" s="62">
        <v>248</v>
      </c>
      <c r="L250" s="64">
        <v>35.000000000000021</v>
      </c>
    </row>
    <row r="251" spans="11:12" x14ac:dyDescent="0.4">
      <c r="K251" s="62">
        <v>249</v>
      </c>
      <c r="L251" s="64">
        <v>-2.9999999999999787</v>
      </c>
    </row>
    <row r="252" spans="11:12" x14ac:dyDescent="0.4">
      <c r="K252" s="62">
        <v>250</v>
      </c>
      <c r="L252" s="64">
        <v>37.000000000000021</v>
      </c>
    </row>
    <row r="253" spans="11:12" x14ac:dyDescent="0.4">
      <c r="K253" s="62">
        <v>251</v>
      </c>
      <c r="L253" s="64">
        <v>-6.9999999999999787</v>
      </c>
    </row>
    <row r="254" spans="11:12" x14ac:dyDescent="0.4">
      <c r="K254" s="62">
        <v>252</v>
      </c>
      <c r="L254" s="64">
        <v>-2.9999999999999787</v>
      </c>
    </row>
    <row r="255" spans="11:12" x14ac:dyDescent="0.4">
      <c r="K255" s="62">
        <v>253</v>
      </c>
      <c r="L255" s="64">
        <v>19.500000000000021</v>
      </c>
    </row>
    <row r="256" spans="11:12" x14ac:dyDescent="0.4">
      <c r="K256" s="62">
        <v>254</v>
      </c>
      <c r="L256" s="64">
        <v>-21.499999999999979</v>
      </c>
    </row>
    <row r="257" spans="11:12" x14ac:dyDescent="0.4">
      <c r="K257" s="62">
        <v>255</v>
      </c>
      <c r="L257" s="64">
        <v>-2.9999999999999787</v>
      </c>
    </row>
    <row r="258" spans="11:12" x14ac:dyDescent="0.4">
      <c r="K258" s="62">
        <v>256</v>
      </c>
      <c r="L258" s="64">
        <v>28.500000000000021</v>
      </c>
    </row>
    <row r="259" spans="11:12" x14ac:dyDescent="0.4">
      <c r="K259" s="62">
        <v>257</v>
      </c>
      <c r="L259" s="64">
        <v>17.700000000000021</v>
      </c>
    </row>
    <row r="260" spans="11:12" x14ac:dyDescent="0.4">
      <c r="K260" s="62">
        <v>258</v>
      </c>
      <c r="L260" s="64">
        <v>-2.9999999999999787</v>
      </c>
    </row>
    <row r="261" spans="11:12" x14ac:dyDescent="0.4">
      <c r="K261" s="62">
        <v>259</v>
      </c>
      <c r="L261" s="64">
        <v>56.800000000000018</v>
      </c>
    </row>
    <row r="262" spans="11:12" x14ac:dyDescent="0.4">
      <c r="K262" s="62">
        <v>260</v>
      </c>
      <c r="L262" s="64">
        <v>21.300000000000018</v>
      </c>
    </row>
    <row r="263" spans="11:12" x14ac:dyDescent="0.4">
      <c r="K263" s="62">
        <v>261</v>
      </c>
      <c r="L263" s="64">
        <v>-2.9999999999999822</v>
      </c>
    </row>
    <row r="264" spans="11:12" x14ac:dyDescent="0.4">
      <c r="K264" s="62">
        <v>262</v>
      </c>
      <c r="L264" s="64">
        <v>8.1000000000000174</v>
      </c>
    </row>
    <row r="265" spans="11:12" x14ac:dyDescent="0.4">
      <c r="K265" s="62">
        <v>263</v>
      </c>
      <c r="L265" s="64">
        <v>-18.999999999999986</v>
      </c>
    </row>
    <row r="266" spans="11:12" x14ac:dyDescent="0.4">
      <c r="K266" s="62">
        <v>264</v>
      </c>
      <c r="L266" s="64">
        <v>-2.9999999999999858</v>
      </c>
    </row>
    <row r="267" spans="11:12" x14ac:dyDescent="0.4">
      <c r="K267" s="62">
        <v>265</v>
      </c>
      <c r="L267" s="64">
        <v>-1.3999999999999857</v>
      </c>
    </row>
    <row r="268" spans="11:12" x14ac:dyDescent="0.4">
      <c r="K268" s="62">
        <v>266</v>
      </c>
      <c r="L268" s="64">
        <v>21.200000000000017</v>
      </c>
    </row>
    <row r="269" spans="11:12" x14ac:dyDescent="0.4">
      <c r="K269" s="62">
        <v>267</v>
      </c>
      <c r="L269" s="64">
        <v>-2.9999999999999822</v>
      </c>
    </row>
    <row r="270" spans="11:12" x14ac:dyDescent="0.4">
      <c r="K270" s="62">
        <v>268</v>
      </c>
      <c r="L270" s="64">
        <v>-24.399999999999981</v>
      </c>
    </row>
    <row r="271" spans="11:12" x14ac:dyDescent="0.4">
      <c r="K271" s="62">
        <v>269</v>
      </c>
      <c r="L271" s="64">
        <v>-8.7999999999999812</v>
      </c>
    </row>
    <row r="272" spans="11:12" x14ac:dyDescent="0.4">
      <c r="K272" s="62">
        <v>270</v>
      </c>
      <c r="L272" s="64">
        <v>-2.9999999999999813</v>
      </c>
    </row>
    <row r="273" spans="11:12" x14ac:dyDescent="0.4">
      <c r="K273" s="62">
        <v>271</v>
      </c>
      <c r="L273" s="64">
        <v>0.50000000000001865</v>
      </c>
    </row>
    <row r="274" spans="11:12" x14ac:dyDescent="0.4">
      <c r="K274" s="62">
        <v>272</v>
      </c>
      <c r="L274" s="64">
        <v>1.1000000000000187</v>
      </c>
    </row>
    <row r="275" spans="11:12" x14ac:dyDescent="0.4">
      <c r="K275" s="62">
        <v>273</v>
      </c>
      <c r="L275" s="64">
        <v>-2.9999999999999809</v>
      </c>
    </row>
    <row r="276" spans="11:12" x14ac:dyDescent="0.4">
      <c r="K276" s="62">
        <v>274</v>
      </c>
      <c r="L276" s="64">
        <v>-46.399999999999977</v>
      </c>
    </row>
    <row r="277" spans="11:12" x14ac:dyDescent="0.4">
      <c r="K277" s="62">
        <v>275</v>
      </c>
      <c r="L277" s="64">
        <v>-6.1999999999999744</v>
      </c>
    </row>
    <row r="278" spans="11:12" x14ac:dyDescent="0.4">
      <c r="K278" s="62">
        <v>276</v>
      </c>
      <c r="L278" s="64">
        <v>-2.9999999999999742</v>
      </c>
    </row>
    <row r="279" spans="11:12" x14ac:dyDescent="0.4">
      <c r="K279" s="62">
        <v>277</v>
      </c>
      <c r="L279" s="64">
        <v>-48.499999999999972</v>
      </c>
    </row>
    <row r="280" spans="11:12" x14ac:dyDescent="0.4">
      <c r="K280" s="62">
        <v>278</v>
      </c>
      <c r="L280" s="64">
        <v>-30.999999999999972</v>
      </c>
    </row>
    <row r="281" spans="11:12" x14ac:dyDescent="0.4">
      <c r="K281" s="62">
        <v>279</v>
      </c>
      <c r="L281" s="64">
        <v>-2.9999999999999716</v>
      </c>
    </row>
    <row r="282" spans="11:12" x14ac:dyDescent="0.4">
      <c r="K282" s="62">
        <v>280</v>
      </c>
      <c r="L282" s="64">
        <v>-3.5999999999999717</v>
      </c>
    </row>
    <row r="283" spans="11:12" x14ac:dyDescent="0.4">
      <c r="K283" s="62">
        <v>281</v>
      </c>
      <c r="L283" s="64">
        <v>-42.099999999999973</v>
      </c>
    </row>
    <row r="284" spans="11:12" x14ac:dyDescent="0.4">
      <c r="K284" s="62">
        <v>282</v>
      </c>
      <c r="L284" s="64">
        <v>-2.9999999999999716</v>
      </c>
    </row>
    <row r="285" spans="11:12" x14ac:dyDescent="0.4">
      <c r="K285" s="62">
        <v>283</v>
      </c>
      <c r="L285" s="64">
        <v>23.400000000000027</v>
      </c>
    </row>
    <row r="286" spans="11:12" x14ac:dyDescent="0.4">
      <c r="K286" s="62">
        <v>284</v>
      </c>
      <c r="L286" s="64">
        <v>-4.9999999999999716</v>
      </c>
    </row>
    <row r="287" spans="11:12" x14ac:dyDescent="0.4">
      <c r="K287" s="62">
        <v>285</v>
      </c>
      <c r="L287" s="64">
        <v>-2.9999999999999716</v>
      </c>
    </row>
    <row r="288" spans="11:12" x14ac:dyDescent="0.4">
      <c r="K288" s="62">
        <v>286</v>
      </c>
      <c r="L288" s="64">
        <v>6.7000000000000277</v>
      </c>
    </row>
    <row r="289" spans="11:12" x14ac:dyDescent="0.4">
      <c r="K289" s="62">
        <v>287</v>
      </c>
      <c r="L289" s="64">
        <v>-35.699999999999974</v>
      </c>
    </row>
    <row r="290" spans="11:12" x14ac:dyDescent="0.4">
      <c r="K290" s="62">
        <v>288</v>
      </c>
      <c r="L290" s="64">
        <v>-2.9999999999999716</v>
      </c>
    </row>
    <row r="291" spans="11:12" x14ac:dyDescent="0.4">
      <c r="K291" s="62">
        <v>289</v>
      </c>
      <c r="L291" s="64">
        <v>18.10000000000003</v>
      </c>
    </row>
    <row r="292" spans="11:12" x14ac:dyDescent="0.4">
      <c r="K292" s="62">
        <v>290</v>
      </c>
      <c r="L292" s="64">
        <v>-17.599999999999973</v>
      </c>
    </row>
    <row r="293" spans="11:12" x14ac:dyDescent="0.4">
      <c r="K293" s="62">
        <v>291</v>
      </c>
      <c r="L293" s="64">
        <v>-2.9999999999999734</v>
      </c>
    </row>
    <row r="294" spans="11:12" x14ac:dyDescent="0.4">
      <c r="K294" s="62">
        <v>292</v>
      </c>
      <c r="L294" s="64">
        <v>-51.699999999999974</v>
      </c>
    </row>
    <row r="295" spans="11:12" x14ac:dyDescent="0.4">
      <c r="K295" s="62">
        <v>293</v>
      </c>
      <c r="L295" s="64">
        <v>-50.999999999999972</v>
      </c>
    </row>
    <row r="296" spans="11:12" x14ac:dyDescent="0.4">
      <c r="K296" s="62">
        <v>294</v>
      </c>
      <c r="L296" s="64">
        <v>-2.9999999999999716</v>
      </c>
    </row>
    <row r="297" spans="11:12" x14ac:dyDescent="0.4">
      <c r="K297" s="62">
        <v>295</v>
      </c>
      <c r="L297" s="64">
        <v>-18.999999999999972</v>
      </c>
    </row>
    <row r="298" spans="11:12" x14ac:dyDescent="0.4">
      <c r="K298" s="62">
        <v>296</v>
      </c>
      <c r="L298" s="64">
        <v>-6.7999999999999723</v>
      </c>
    </row>
    <row r="299" spans="11:12" x14ac:dyDescent="0.4">
      <c r="K299" s="62">
        <v>297</v>
      </c>
      <c r="L299" s="64">
        <v>-2.9999999999999725</v>
      </c>
    </row>
    <row r="300" spans="11:12" x14ac:dyDescent="0.4">
      <c r="K300" s="62">
        <v>298</v>
      </c>
      <c r="L300" s="64">
        <v>40.10000000000003</v>
      </c>
    </row>
    <row r="301" spans="11:12" x14ac:dyDescent="0.4">
      <c r="K301" s="62">
        <v>299</v>
      </c>
      <c r="L301" s="64">
        <v>2.8000000000000327</v>
      </c>
    </row>
    <row r="302" spans="11:12" x14ac:dyDescent="0.4">
      <c r="K302" s="62">
        <v>300</v>
      </c>
      <c r="L302" s="64">
        <v>-2.9999999999999671</v>
      </c>
    </row>
    <row r="303" spans="11:12" x14ac:dyDescent="0.4">
      <c r="K303" s="62">
        <v>301</v>
      </c>
      <c r="L303" s="64">
        <v>-8.999999999999968</v>
      </c>
    </row>
    <row r="304" spans="11:12" x14ac:dyDescent="0.4">
      <c r="K304" s="62">
        <v>302</v>
      </c>
      <c r="L304" s="64">
        <v>-60.899999999999963</v>
      </c>
    </row>
    <row r="305" spans="11:12" x14ac:dyDescent="0.4">
      <c r="K305" s="62">
        <v>303</v>
      </c>
      <c r="L305" s="64">
        <v>-2.9999999999999645</v>
      </c>
    </row>
    <row r="306" spans="11:12" x14ac:dyDescent="0.4">
      <c r="K306" s="62">
        <v>304</v>
      </c>
      <c r="L306" s="64">
        <v>-40.499999999999964</v>
      </c>
    </row>
    <row r="307" spans="11:12" x14ac:dyDescent="0.4">
      <c r="K307" s="62">
        <v>305</v>
      </c>
      <c r="L307" s="64">
        <v>-52.499999999999964</v>
      </c>
    </row>
    <row r="308" spans="11:12" x14ac:dyDescent="0.4">
      <c r="K308" s="62">
        <v>306</v>
      </c>
      <c r="L308" s="64">
        <v>-2.9999999999999645</v>
      </c>
    </row>
    <row r="309" spans="11:12" x14ac:dyDescent="0.4">
      <c r="K309" s="62">
        <v>307</v>
      </c>
      <c r="L309" s="64">
        <v>-42.499999999999964</v>
      </c>
    </row>
    <row r="310" spans="11:12" x14ac:dyDescent="0.4">
      <c r="K310" s="62">
        <v>308</v>
      </c>
      <c r="L310" s="64">
        <v>6.5000000000000355</v>
      </c>
    </row>
    <row r="311" spans="11:12" x14ac:dyDescent="0.4">
      <c r="K311" s="62">
        <v>309</v>
      </c>
      <c r="L311" s="64">
        <v>-2.9999999999999645</v>
      </c>
    </row>
    <row r="312" spans="11:12" x14ac:dyDescent="0.4">
      <c r="K312" s="62">
        <v>310</v>
      </c>
      <c r="L312" s="64">
        <v>8.1000000000000352</v>
      </c>
    </row>
    <row r="313" spans="11:12" x14ac:dyDescent="0.4">
      <c r="K313" s="62">
        <v>311</v>
      </c>
      <c r="L313" s="64">
        <v>-5.6999999999999655</v>
      </c>
    </row>
    <row r="314" spans="11:12" x14ac:dyDescent="0.4">
      <c r="K314" s="62">
        <v>312</v>
      </c>
      <c r="L314" s="64">
        <v>-2.9999999999999654</v>
      </c>
    </row>
    <row r="315" spans="11:12" x14ac:dyDescent="0.4">
      <c r="K315" s="62">
        <v>313</v>
      </c>
      <c r="L315" s="64">
        <v>-4.9999999999999654</v>
      </c>
    </row>
    <row r="316" spans="11:12" x14ac:dyDescent="0.4">
      <c r="K316" s="62">
        <v>314</v>
      </c>
      <c r="L316" s="64">
        <v>36.000000000000036</v>
      </c>
    </row>
    <row r="317" spans="11:12" x14ac:dyDescent="0.4">
      <c r="K317" s="62">
        <v>315</v>
      </c>
      <c r="L317" s="64">
        <v>-2.9999999999999645</v>
      </c>
    </row>
    <row r="318" spans="11:12" x14ac:dyDescent="0.4">
      <c r="K318" s="62">
        <v>316</v>
      </c>
      <c r="L318" s="64">
        <v>40.500000000000036</v>
      </c>
    </row>
    <row r="319" spans="11:12" x14ac:dyDescent="0.4">
      <c r="K319" s="62">
        <v>317</v>
      </c>
      <c r="L319" s="64">
        <v>37.100000000000037</v>
      </c>
    </row>
    <row r="320" spans="11:12" x14ac:dyDescent="0.4">
      <c r="K320" s="62">
        <v>318</v>
      </c>
      <c r="L320" s="64">
        <v>-2.9999999999999645</v>
      </c>
    </row>
    <row r="321" spans="11:12" x14ac:dyDescent="0.4">
      <c r="K321" s="62">
        <v>319</v>
      </c>
      <c r="L321" s="64">
        <v>-8.5999999999999641</v>
      </c>
    </row>
    <row r="322" spans="11:12" x14ac:dyDescent="0.4">
      <c r="K322" s="62">
        <v>320</v>
      </c>
      <c r="L322" s="64">
        <v>63.000000000000028</v>
      </c>
    </row>
    <row r="323" spans="11:12" x14ac:dyDescent="0.4">
      <c r="K323" s="62">
        <v>321</v>
      </c>
      <c r="L323" s="64">
        <v>-2.9999999999999716</v>
      </c>
    </row>
    <row r="324" spans="11:12" x14ac:dyDescent="0.4">
      <c r="K324" s="62">
        <v>322</v>
      </c>
      <c r="L324" s="64">
        <v>-10.399999999999972</v>
      </c>
    </row>
    <row r="325" spans="11:12" x14ac:dyDescent="0.4">
      <c r="K325" s="62">
        <v>323</v>
      </c>
      <c r="L325" s="64">
        <v>21.10000000000003</v>
      </c>
    </row>
    <row r="326" spans="11:12" x14ac:dyDescent="0.4">
      <c r="K326" s="62">
        <v>324</v>
      </c>
      <c r="L326" s="64">
        <v>-2.9999999999999716</v>
      </c>
    </row>
    <row r="327" spans="11:12" x14ac:dyDescent="0.4">
      <c r="K327" s="62">
        <v>325</v>
      </c>
      <c r="L327" s="64">
        <v>-40.999999999999972</v>
      </c>
    </row>
    <row r="328" spans="11:12" x14ac:dyDescent="0.4">
      <c r="K328" s="62">
        <v>326</v>
      </c>
      <c r="L328" s="64">
        <v>-5.599999999999973</v>
      </c>
    </row>
    <row r="329" spans="11:12" x14ac:dyDescent="0.4">
      <c r="K329" s="62">
        <v>327</v>
      </c>
      <c r="L329" s="64">
        <v>-2.9999999999999729</v>
      </c>
    </row>
    <row r="330" spans="11:12" x14ac:dyDescent="0.4">
      <c r="K330" s="62">
        <v>328</v>
      </c>
      <c r="L330" s="64">
        <v>-21.799999999999972</v>
      </c>
    </row>
    <row r="331" spans="11:12" x14ac:dyDescent="0.4">
      <c r="K331" s="62">
        <v>329</v>
      </c>
      <c r="L331" s="64">
        <v>-10.299999999999972</v>
      </c>
    </row>
    <row r="332" spans="11:12" x14ac:dyDescent="0.4">
      <c r="K332" s="62">
        <v>330</v>
      </c>
      <c r="L332" s="64">
        <v>-2.9999999999999725</v>
      </c>
    </row>
    <row r="333" spans="11:12" x14ac:dyDescent="0.4">
      <c r="K333" s="62">
        <v>331</v>
      </c>
      <c r="L333" s="64">
        <v>24.000000000000028</v>
      </c>
    </row>
    <row r="334" spans="11:12" x14ac:dyDescent="0.4">
      <c r="K334" s="62">
        <v>332</v>
      </c>
      <c r="L334" s="64">
        <v>33.10000000000003</v>
      </c>
    </row>
    <row r="335" spans="11:12" x14ac:dyDescent="0.4">
      <c r="K335" s="62">
        <v>333</v>
      </c>
      <c r="L335" s="64">
        <v>-2.9999999999999716</v>
      </c>
    </row>
    <row r="336" spans="11:12" x14ac:dyDescent="0.4">
      <c r="K336" s="62">
        <v>334</v>
      </c>
      <c r="L336" s="64">
        <v>41.60000000000003</v>
      </c>
    </row>
    <row r="337" spans="11:12" x14ac:dyDescent="0.4">
      <c r="K337" s="62">
        <v>335</v>
      </c>
      <c r="L337" s="64">
        <v>36.400000000000027</v>
      </c>
    </row>
    <row r="338" spans="11:12" x14ac:dyDescent="0.4">
      <c r="K338" s="62">
        <v>336</v>
      </c>
      <c r="L338" s="64">
        <v>-2.9999999999999716</v>
      </c>
    </row>
    <row r="339" spans="11:12" x14ac:dyDescent="0.4">
      <c r="K339" s="62">
        <v>337</v>
      </c>
      <c r="L339" s="64">
        <v>4.0000000000000284</v>
      </c>
    </row>
    <row r="340" spans="11:12" x14ac:dyDescent="0.4">
      <c r="K340" s="62">
        <v>338</v>
      </c>
      <c r="L340" s="64">
        <v>37.000000000000028</v>
      </c>
    </row>
    <row r="341" spans="11:12" x14ac:dyDescent="0.4">
      <c r="K341" s="62">
        <v>339</v>
      </c>
      <c r="L341" s="64">
        <v>-2.9999999999999716</v>
      </c>
    </row>
    <row r="342" spans="11:12" x14ac:dyDescent="0.4">
      <c r="K342" s="62">
        <v>340</v>
      </c>
      <c r="L342" s="64">
        <v>-14.299999999999972</v>
      </c>
    </row>
    <row r="343" spans="11:12" x14ac:dyDescent="0.4">
      <c r="K343" s="62">
        <v>341</v>
      </c>
      <c r="L343" s="64">
        <v>-9.099999999999973</v>
      </c>
    </row>
    <row r="344" spans="11:12" x14ac:dyDescent="0.4">
      <c r="K344" s="62">
        <v>342</v>
      </c>
      <c r="L344" s="64">
        <v>-2.9999999999999734</v>
      </c>
    </row>
    <row r="345" spans="11:12" x14ac:dyDescent="0.4">
      <c r="K345" s="62">
        <v>343</v>
      </c>
      <c r="L345" s="64">
        <v>-18.499999999999972</v>
      </c>
    </row>
    <row r="346" spans="11:12" x14ac:dyDescent="0.4">
      <c r="K346" s="62">
        <v>344</v>
      </c>
      <c r="L346" s="64">
        <v>-53.999999999999972</v>
      </c>
    </row>
    <row r="347" spans="11:12" x14ac:dyDescent="0.4">
      <c r="K347" s="62">
        <v>345</v>
      </c>
      <c r="L347" s="64">
        <v>-2.9999999999999716</v>
      </c>
    </row>
    <row r="348" spans="11:12" x14ac:dyDescent="0.4">
      <c r="K348" s="62">
        <v>346</v>
      </c>
      <c r="L348" s="64">
        <v>-22.299999999999972</v>
      </c>
    </row>
    <row r="349" spans="11:12" x14ac:dyDescent="0.4">
      <c r="K349" s="62">
        <v>347</v>
      </c>
      <c r="L349" s="64">
        <v>-6.099999999999973</v>
      </c>
    </row>
    <row r="350" spans="11:12" x14ac:dyDescent="0.4">
      <c r="K350" s="62">
        <v>348</v>
      </c>
      <c r="L350" s="64">
        <v>-2.9999999999999729</v>
      </c>
    </row>
    <row r="351" spans="11:12" x14ac:dyDescent="0.4">
      <c r="K351" s="62">
        <v>349</v>
      </c>
      <c r="L351" s="64">
        <v>21.000000000000028</v>
      </c>
    </row>
    <row r="352" spans="11:12" x14ac:dyDescent="0.4">
      <c r="K352" s="62">
        <v>350</v>
      </c>
      <c r="L352" s="64">
        <v>15.100000000000028</v>
      </c>
    </row>
    <row r="353" spans="11:12" x14ac:dyDescent="0.4">
      <c r="K353" s="62">
        <v>351</v>
      </c>
      <c r="L353" s="64">
        <v>-2.9999999999999734</v>
      </c>
    </row>
    <row r="354" spans="11:12" x14ac:dyDescent="0.4">
      <c r="K354" s="62">
        <v>352</v>
      </c>
      <c r="L354" s="64">
        <v>25.300000000000026</v>
      </c>
    </row>
    <row r="355" spans="11:12" x14ac:dyDescent="0.4">
      <c r="K355" s="62">
        <v>353</v>
      </c>
      <c r="L355" s="64">
        <v>5.1000000000000263</v>
      </c>
    </row>
    <row r="356" spans="11:12" x14ac:dyDescent="0.4">
      <c r="K356" s="62">
        <v>354</v>
      </c>
      <c r="L356" s="64">
        <v>-2.9999999999999734</v>
      </c>
    </row>
    <row r="357" spans="11:12" x14ac:dyDescent="0.4">
      <c r="K357" s="62">
        <v>355</v>
      </c>
      <c r="L357" s="64">
        <v>-34.499999999999972</v>
      </c>
    </row>
    <row r="358" spans="11:12" x14ac:dyDescent="0.4">
      <c r="K358" s="62">
        <v>356</v>
      </c>
      <c r="L358" s="64">
        <v>15.500000000000028</v>
      </c>
    </row>
    <row r="359" spans="11:12" x14ac:dyDescent="0.4">
      <c r="K359" s="62">
        <v>357</v>
      </c>
      <c r="L359" s="64">
        <v>-2.9999999999999716</v>
      </c>
    </row>
    <row r="360" spans="11:12" x14ac:dyDescent="0.4">
      <c r="K360" s="62">
        <v>358</v>
      </c>
      <c r="L360" s="64">
        <v>16.500000000000028</v>
      </c>
    </row>
    <row r="361" spans="11:12" x14ac:dyDescent="0.4">
      <c r="K361" s="62">
        <v>359</v>
      </c>
      <c r="L361" s="64">
        <v>4.4000000000000288</v>
      </c>
    </row>
    <row r="362" spans="11:12" x14ac:dyDescent="0.4">
      <c r="K362" s="62">
        <v>360</v>
      </c>
      <c r="L362" s="64">
        <v>-2.9999999999999716</v>
      </c>
    </row>
    <row r="363" spans="11:12" x14ac:dyDescent="0.4">
      <c r="K363" s="62">
        <v>361</v>
      </c>
      <c r="L363" s="64">
        <v>-8.3999999999999719</v>
      </c>
    </row>
    <row r="364" spans="11:12" x14ac:dyDescent="0.4">
      <c r="K364" s="62">
        <v>362</v>
      </c>
      <c r="L364" s="64">
        <v>7.4000000000000288</v>
      </c>
    </row>
    <row r="365" spans="11:12" x14ac:dyDescent="0.4">
      <c r="K365" s="62">
        <v>363</v>
      </c>
      <c r="L365" s="64">
        <v>-2.9999999999999716</v>
      </c>
    </row>
    <row r="366" spans="11:12" x14ac:dyDescent="0.4">
      <c r="K366" s="62">
        <v>364</v>
      </c>
      <c r="L366" s="64">
        <v>53.000000000000028</v>
      </c>
    </row>
    <row r="367" spans="11:12" x14ac:dyDescent="0.4">
      <c r="K367" s="62">
        <v>365</v>
      </c>
      <c r="L367" s="64">
        <v>35.000000000000028</v>
      </c>
    </row>
    <row r="368" spans="11:12" x14ac:dyDescent="0.4">
      <c r="K368" s="62">
        <v>366</v>
      </c>
      <c r="L368" s="64">
        <v>-2.9999999999999716</v>
      </c>
    </row>
    <row r="369" spans="11:12" x14ac:dyDescent="0.4">
      <c r="K369" s="62">
        <v>367</v>
      </c>
      <c r="L369" s="64">
        <v>40.000000000000028</v>
      </c>
    </row>
    <row r="370" spans="11:12" x14ac:dyDescent="0.4">
      <c r="K370" s="62">
        <v>368</v>
      </c>
      <c r="L370" s="64">
        <v>-0.99999999999997158</v>
      </c>
    </row>
    <row r="371" spans="11:12" x14ac:dyDescent="0.4">
      <c r="K371" s="62">
        <v>369</v>
      </c>
      <c r="L371" s="64">
        <v>-2.9999999999999716</v>
      </c>
    </row>
    <row r="372" spans="11:12" x14ac:dyDescent="0.4">
      <c r="K372" s="62">
        <v>370</v>
      </c>
      <c r="L372" s="64">
        <v>-16.999999999999972</v>
      </c>
    </row>
    <row r="373" spans="11:12" x14ac:dyDescent="0.4">
      <c r="K373" s="62">
        <v>371</v>
      </c>
      <c r="L373" s="64">
        <v>-24.199999999999971</v>
      </c>
    </row>
    <row r="374" spans="11:12" x14ac:dyDescent="0.4">
      <c r="K374" s="62">
        <v>372</v>
      </c>
      <c r="L374" s="64">
        <v>-2.9999999999999716</v>
      </c>
    </row>
    <row r="375" spans="11:12" x14ac:dyDescent="0.4">
      <c r="K375" s="62">
        <v>373</v>
      </c>
      <c r="L375" s="64">
        <v>-51.39999999999997</v>
      </c>
    </row>
    <row r="376" spans="11:12" x14ac:dyDescent="0.4">
      <c r="K376" s="62">
        <v>374</v>
      </c>
      <c r="L376" s="64">
        <v>-17.999999999999972</v>
      </c>
    </row>
    <row r="377" spans="11:12" x14ac:dyDescent="0.4">
      <c r="K377" s="62">
        <v>375</v>
      </c>
      <c r="L377" s="64">
        <v>-2.9999999999999716</v>
      </c>
    </row>
    <row r="378" spans="11:12" x14ac:dyDescent="0.4">
      <c r="K378" s="62">
        <v>376</v>
      </c>
      <c r="L378" s="64">
        <v>41.900000000000027</v>
      </c>
    </row>
    <row r="379" spans="11:12" x14ac:dyDescent="0.4">
      <c r="K379" s="62">
        <v>377</v>
      </c>
      <c r="L379" s="64">
        <v>36.300000000000026</v>
      </c>
    </row>
    <row r="380" spans="11:12" x14ac:dyDescent="0.4">
      <c r="K380" s="62">
        <v>378</v>
      </c>
      <c r="L380" s="64">
        <v>-2.9999999999999716</v>
      </c>
    </row>
    <row r="381" spans="11:12" x14ac:dyDescent="0.4">
      <c r="K381" s="62">
        <v>379</v>
      </c>
      <c r="L381" s="64">
        <v>14.10000000000003</v>
      </c>
    </row>
    <row r="382" spans="11:12" x14ac:dyDescent="0.4">
      <c r="K382" s="62">
        <v>380</v>
      </c>
      <c r="L382" s="64">
        <v>-12.89999999999997</v>
      </c>
    </row>
    <row r="383" spans="11:12" x14ac:dyDescent="0.4">
      <c r="K383" s="62">
        <v>381</v>
      </c>
      <c r="L383" s="64">
        <v>-2.9999999999999698</v>
      </c>
    </row>
    <row r="384" spans="11:12" x14ac:dyDescent="0.4">
      <c r="K384" s="62">
        <v>382</v>
      </c>
      <c r="L384" s="64">
        <v>-40.999999999999972</v>
      </c>
    </row>
    <row r="385" spans="11:12" x14ac:dyDescent="0.4">
      <c r="K385" s="62">
        <v>383</v>
      </c>
      <c r="L385" s="64">
        <v>-35.799999999999969</v>
      </c>
    </row>
    <row r="386" spans="11:12" x14ac:dyDescent="0.4">
      <c r="K386" s="62">
        <v>384</v>
      </c>
      <c r="L386" s="64">
        <v>-2.9999999999999716</v>
      </c>
    </row>
    <row r="387" spans="11:12" x14ac:dyDescent="0.4">
      <c r="K387" s="62">
        <v>385</v>
      </c>
      <c r="L387" s="64">
        <v>13.500000000000028</v>
      </c>
    </row>
    <row r="388" spans="11:12" x14ac:dyDescent="0.4">
      <c r="K388" s="62">
        <v>386</v>
      </c>
      <c r="L388" s="64">
        <v>5.8000000000000282</v>
      </c>
    </row>
    <row r="389" spans="11:12" x14ac:dyDescent="0.4">
      <c r="K389" s="62">
        <v>387</v>
      </c>
      <c r="L389" s="64">
        <v>-2.9999999999999725</v>
      </c>
    </row>
    <row r="390" spans="11:12" x14ac:dyDescent="0.4">
      <c r="K390" s="62">
        <v>388</v>
      </c>
      <c r="L390" s="64">
        <v>5.7000000000000268</v>
      </c>
    </row>
    <row r="391" spans="11:12" x14ac:dyDescent="0.4">
      <c r="K391" s="62">
        <v>389</v>
      </c>
      <c r="L391" s="64">
        <v>17.300000000000026</v>
      </c>
    </row>
    <row r="392" spans="11:12" x14ac:dyDescent="0.4">
      <c r="K392" s="62">
        <v>390</v>
      </c>
      <c r="L392" s="64">
        <v>-2.9999999999999751</v>
      </c>
    </row>
    <row r="393" spans="11:12" x14ac:dyDescent="0.4">
      <c r="K393" s="62">
        <v>391</v>
      </c>
      <c r="L393" s="64">
        <v>17.700000000000024</v>
      </c>
    </row>
    <row r="394" spans="11:12" x14ac:dyDescent="0.4">
      <c r="K394" s="62">
        <v>392</v>
      </c>
      <c r="L394" s="64">
        <v>-25.799999999999976</v>
      </c>
    </row>
    <row r="395" spans="11:12" x14ac:dyDescent="0.4">
      <c r="K395" s="62">
        <v>393</v>
      </c>
      <c r="L395" s="64">
        <v>-2.9999999999999751</v>
      </c>
    </row>
    <row r="396" spans="11:12" x14ac:dyDescent="0.4">
      <c r="K396" s="62">
        <v>394</v>
      </c>
      <c r="L396" s="64">
        <v>12.300000000000026</v>
      </c>
    </row>
    <row r="397" spans="11:12" x14ac:dyDescent="0.4">
      <c r="K397" s="62">
        <v>395</v>
      </c>
      <c r="L397" s="64">
        <v>5.5000000000000258</v>
      </c>
    </row>
    <row r="398" spans="11:12" x14ac:dyDescent="0.4">
      <c r="K398" s="62">
        <v>396</v>
      </c>
      <c r="L398" s="64">
        <v>-2.9999999999999742</v>
      </c>
    </row>
    <row r="399" spans="11:12" x14ac:dyDescent="0.4">
      <c r="K399" s="62">
        <v>397</v>
      </c>
      <c r="L399" s="64">
        <v>8.6000000000000263</v>
      </c>
    </row>
    <row r="400" spans="11:12" x14ac:dyDescent="0.4">
      <c r="K400" s="62">
        <v>398</v>
      </c>
      <c r="L400" s="64">
        <v>28.200000000000028</v>
      </c>
    </row>
    <row r="401" spans="11:12" x14ac:dyDescent="0.4">
      <c r="K401" s="62">
        <v>399</v>
      </c>
      <c r="L401" s="64">
        <v>-2.9999999999999716</v>
      </c>
    </row>
    <row r="402" spans="11:12" x14ac:dyDescent="0.4">
      <c r="K402" s="62">
        <v>400</v>
      </c>
      <c r="L402" s="64">
        <v>4.2000000000000286</v>
      </c>
    </row>
    <row r="403" spans="11:12" x14ac:dyDescent="0.4">
      <c r="K403" s="62">
        <v>401</v>
      </c>
      <c r="L403" s="64">
        <v>-15.799999999999972</v>
      </c>
    </row>
    <row r="404" spans="11:12" x14ac:dyDescent="0.4">
      <c r="K404" s="62">
        <v>402</v>
      </c>
      <c r="L404" s="64">
        <v>-3.9999999999999716</v>
      </c>
    </row>
    <row r="405" spans="11:12" x14ac:dyDescent="0.4">
      <c r="K405" s="62">
        <v>403</v>
      </c>
      <c r="L405" s="64">
        <v>20.500000000000028</v>
      </c>
    </row>
    <row r="406" spans="11:12" x14ac:dyDescent="0.4">
      <c r="K406" s="62">
        <v>404</v>
      </c>
      <c r="L406" s="64">
        <v>15.600000000000028</v>
      </c>
    </row>
    <row r="407" spans="11:12" x14ac:dyDescent="0.4">
      <c r="K407" s="62">
        <v>405</v>
      </c>
      <c r="L407" s="64">
        <v>-3.9999999999999734</v>
      </c>
    </row>
    <row r="408" spans="11:12" x14ac:dyDescent="0.4">
      <c r="K408" s="62">
        <v>406</v>
      </c>
      <c r="L408" s="64">
        <v>12.900000000000025</v>
      </c>
    </row>
    <row r="409" spans="11:12" x14ac:dyDescent="0.4">
      <c r="K409" s="62">
        <v>407</v>
      </c>
      <c r="L409" s="64">
        <v>14.100000000000025</v>
      </c>
    </row>
    <row r="410" spans="11:12" x14ac:dyDescent="0.4">
      <c r="K410" s="62">
        <v>408</v>
      </c>
      <c r="L410" s="64">
        <v>-3.9999999999999769</v>
      </c>
    </row>
    <row r="411" spans="11:12" x14ac:dyDescent="0.4">
      <c r="K411" s="62">
        <v>409</v>
      </c>
      <c r="L411" s="64">
        <v>-41.499999999999979</v>
      </c>
    </row>
    <row r="412" spans="11:12" x14ac:dyDescent="0.4">
      <c r="K412" s="62">
        <v>410</v>
      </c>
      <c r="L412" s="64">
        <v>-15.999999999999979</v>
      </c>
    </row>
    <row r="413" spans="11:12" x14ac:dyDescent="0.4">
      <c r="K413" s="62">
        <v>411</v>
      </c>
      <c r="L413" s="64">
        <v>-3.9999999999999787</v>
      </c>
    </row>
    <row r="414" spans="11:12" x14ac:dyDescent="0.4">
      <c r="K414" s="62">
        <v>412</v>
      </c>
      <c r="L414" s="64">
        <v>34.500000000000021</v>
      </c>
    </row>
    <row r="415" spans="11:12" x14ac:dyDescent="0.4">
      <c r="K415" s="62">
        <v>413</v>
      </c>
      <c r="L415" s="64">
        <v>-3.4999999999999787</v>
      </c>
    </row>
    <row r="416" spans="11:12" x14ac:dyDescent="0.4">
      <c r="K416" s="62">
        <v>414</v>
      </c>
      <c r="L416" s="64">
        <v>-3.9999999999999787</v>
      </c>
    </row>
    <row r="417" spans="11:12" x14ac:dyDescent="0.4">
      <c r="K417" s="62">
        <v>415</v>
      </c>
      <c r="L417" s="64">
        <v>-50.499999999999979</v>
      </c>
    </row>
    <row r="418" spans="11:12" x14ac:dyDescent="0.4">
      <c r="K418" s="62">
        <v>416</v>
      </c>
      <c r="L418" s="64">
        <v>-45.999999999999979</v>
      </c>
    </row>
    <row r="419" spans="11:12" x14ac:dyDescent="0.4">
      <c r="K419" s="62">
        <v>417</v>
      </c>
      <c r="L419" s="64">
        <v>-3.9999999999999787</v>
      </c>
    </row>
    <row r="420" spans="11:12" x14ac:dyDescent="0.4">
      <c r="K420" s="62">
        <v>418</v>
      </c>
      <c r="L420" s="64">
        <v>9.2000000000000206</v>
      </c>
    </row>
    <row r="421" spans="11:12" x14ac:dyDescent="0.4">
      <c r="K421" s="62">
        <v>419</v>
      </c>
      <c r="L421" s="64">
        <v>1.8000000000000203</v>
      </c>
    </row>
    <row r="422" spans="11:12" x14ac:dyDescent="0.4">
      <c r="K422" s="62">
        <v>420</v>
      </c>
      <c r="L422" s="64">
        <v>-3.9999999999999796</v>
      </c>
    </row>
    <row r="423" spans="11:12" x14ac:dyDescent="0.4">
      <c r="K423" s="62">
        <v>421</v>
      </c>
      <c r="L423" s="64">
        <v>-23.499999999999979</v>
      </c>
    </row>
    <row r="424" spans="11:12" x14ac:dyDescent="0.4">
      <c r="K424" s="62">
        <v>422</v>
      </c>
      <c r="L424" s="64">
        <v>-5.699999999999978</v>
      </c>
    </row>
    <row r="425" spans="11:12" x14ac:dyDescent="0.4">
      <c r="K425" s="62">
        <v>423</v>
      </c>
      <c r="L425" s="64">
        <v>-3.9999999999999778</v>
      </c>
    </row>
    <row r="426" spans="11:12" x14ac:dyDescent="0.4">
      <c r="K426" s="62">
        <v>424</v>
      </c>
      <c r="L426" s="64">
        <v>37.40000000000002</v>
      </c>
    </row>
    <row r="427" spans="11:12" x14ac:dyDescent="0.4">
      <c r="K427" s="62">
        <v>425</v>
      </c>
      <c r="L427" s="64">
        <v>11.000000000000021</v>
      </c>
    </row>
    <row r="428" spans="11:12" x14ac:dyDescent="0.4">
      <c r="K428" s="62">
        <v>426</v>
      </c>
      <c r="L428" s="64">
        <v>-3.9999999999999787</v>
      </c>
    </row>
    <row r="429" spans="11:12" x14ac:dyDescent="0.4">
      <c r="K429" s="62">
        <v>427</v>
      </c>
      <c r="L429" s="64">
        <v>23.100000000000023</v>
      </c>
    </row>
    <row r="430" spans="11:12" x14ac:dyDescent="0.4">
      <c r="K430" s="62">
        <v>428</v>
      </c>
      <c r="L430" s="64">
        <v>-27.499999999999979</v>
      </c>
    </row>
    <row r="431" spans="11:12" x14ac:dyDescent="0.4">
      <c r="K431" s="62">
        <v>429</v>
      </c>
      <c r="L431" s="64">
        <v>-3.9999999999999787</v>
      </c>
    </row>
    <row r="432" spans="11:12" x14ac:dyDescent="0.4">
      <c r="K432" s="62">
        <v>430</v>
      </c>
      <c r="L432" s="64">
        <v>4.5000000000000213</v>
      </c>
    </row>
    <row r="433" spans="11:12" x14ac:dyDescent="0.4">
      <c r="K433" s="62">
        <v>431</v>
      </c>
      <c r="L433" s="64">
        <v>30.200000000000021</v>
      </c>
    </row>
    <row r="434" spans="11:12" x14ac:dyDescent="0.4">
      <c r="K434" s="62">
        <v>432</v>
      </c>
      <c r="L434" s="64">
        <v>-3.9999999999999822</v>
      </c>
    </row>
    <row r="435" spans="11:12" x14ac:dyDescent="0.4">
      <c r="K435" s="62">
        <v>433</v>
      </c>
      <c r="L435" s="64">
        <v>0.80000000000001759</v>
      </c>
    </row>
    <row r="436" spans="11:12" x14ac:dyDescent="0.4">
      <c r="K436" s="62">
        <v>434</v>
      </c>
      <c r="L436" s="64">
        <v>-15.999999999999982</v>
      </c>
    </row>
    <row r="437" spans="11:12" x14ac:dyDescent="0.4">
      <c r="K437" s="62">
        <v>435</v>
      </c>
      <c r="L437" s="64">
        <v>-3.9999999999999822</v>
      </c>
    </row>
    <row r="438" spans="11:12" x14ac:dyDescent="0.4">
      <c r="K438" s="62">
        <v>436</v>
      </c>
      <c r="L438" s="64">
        <v>39.300000000000011</v>
      </c>
    </row>
    <row r="439" spans="11:12" x14ac:dyDescent="0.4">
      <c r="K439" s="62">
        <v>437</v>
      </c>
      <c r="L439" s="64">
        <v>31.500000000000011</v>
      </c>
    </row>
    <row r="440" spans="11:12" x14ac:dyDescent="0.4">
      <c r="K440" s="62">
        <v>438</v>
      </c>
      <c r="L440" s="64">
        <v>-3.9999999999999893</v>
      </c>
    </row>
    <row r="441" spans="11:12" x14ac:dyDescent="0.4">
      <c r="K441" s="62">
        <v>439</v>
      </c>
      <c r="L441" s="64">
        <v>22.000000000000011</v>
      </c>
    </row>
    <row r="442" spans="11:12" x14ac:dyDescent="0.4">
      <c r="K442" s="62">
        <v>440</v>
      </c>
      <c r="L442" s="64">
        <v>16.70000000000001</v>
      </c>
    </row>
    <row r="443" spans="11:12" x14ac:dyDescent="0.4">
      <c r="K443" s="62">
        <v>441</v>
      </c>
      <c r="L443" s="64">
        <v>-3.9999999999999893</v>
      </c>
    </row>
    <row r="444" spans="11:12" x14ac:dyDescent="0.4">
      <c r="K444" s="62">
        <v>442</v>
      </c>
      <c r="L444" s="64">
        <v>7.0000000000000107</v>
      </c>
    </row>
    <row r="445" spans="11:12" x14ac:dyDescent="0.4">
      <c r="K445" s="62">
        <v>443</v>
      </c>
      <c r="L445" s="64">
        <v>-25.799999999999986</v>
      </c>
    </row>
    <row r="446" spans="11:12" x14ac:dyDescent="0.4">
      <c r="K446" s="62">
        <v>444</v>
      </c>
      <c r="L446" s="64">
        <v>-3.9999999999999858</v>
      </c>
    </row>
    <row r="447" spans="11:12" x14ac:dyDescent="0.4">
      <c r="K447" s="62">
        <v>445</v>
      </c>
      <c r="L447" s="64">
        <v>37.000000000000014</v>
      </c>
    </row>
    <row r="448" spans="11:12" x14ac:dyDescent="0.4">
      <c r="K448" s="62">
        <v>446</v>
      </c>
      <c r="L448" s="64">
        <v>-8.4999999999999858</v>
      </c>
    </row>
    <row r="449" spans="11:12" x14ac:dyDescent="0.4">
      <c r="K449" s="62">
        <v>447</v>
      </c>
      <c r="L449" s="64">
        <v>-3.9999999999999858</v>
      </c>
    </row>
    <row r="450" spans="11:12" x14ac:dyDescent="0.4">
      <c r="K450" s="62">
        <v>448</v>
      </c>
      <c r="L450" s="64">
        <v>21.000000000000014</v>
      </c>
    </row>
    <row r="451" spans="11:12" x14ac:dyDescent="0.4">
      <c r="K451" s="62">
        <v>449</v>
      </c>
      <c r="L451" s="64">
        <v>-14.499999999999986</v>
      </c>
    </row>
    <row r="452" spans="11:12" x14ac:dyDescent="0.4">
      <c r="K452" s="62">
        <v>450</v>
      </c>
      <c r="L452" s="64">
        <v>-3.9999999999999858</v>
      </c>
    </row>
    <row r="453" spans="11:12" x14ac:dyDescent="0.4">
      <c r="K453" s="62">
        <v>451</v>
      </c>
      <c r="L453" s="64">
        <v>-23.799999999999986</v>
      </c>
    </row>
    <row r="454" spans="11:12" x14ac:dyDescent="0.4">
      <c r="K454" s="62">
        <v>452</v>
      </c>
      <c r="L454" s="64">
        <v>-33.799999999999983</v>
      </c>
    </row>
    <row r="455" spans="11:12" x14ac:dyDescent="0.4">
      <c r="K455" s="62">
        <v>453</v>
      </c>
      <c r="L455" s="64">
        <v>-3.9999999999999822</v>
      </c>
    </row>
    <row r="456" spans="11:12" x14ac:dyDescent="0.4">
      <c r="K456" s="62">
        <v>454</v>
      </c>
      <c r="L456" s="64">
        <v>33.600000000000023</v>
      </c>
    </row>
    <row r="457" spans="11:12" x14ac:dyDescent="0.4">
      <c r="K457" s="62">
        <v>455</v>
      </c>
      <c r="L457" s="64">
        <v>32.500000000000021</v>
      </c>
    </row>
    <row r="458" spans="11:12" x14ac:dyDescent="0.4">
      <c r="K458" s="62">
        <v>456</v>
      </c>
      <c r="L458" s="64">
        <v>-3.9999999999999787</v>
      </c>
    </row>
    <row r="459" spans="11:12" x14ac:dyDescent="0.4">
      <c r="K459" s="62">
        <v>457</v>
      </c>
      <c r="L459" s="64">
        <v>3.8000000000000211</v>
      </c>
    </row>
    <row r="460" spans="11:12" x14ac:dyDescent="0.4">
      <c r="K460" s="62">
        <v>458</v>
      </c>
      <c r="L460" s="64">
        <v>-33.399999999999984</v>
      </c>
    </row>
    <row r="461" spans="11:12" x14ac:dyDescent="0.4">
      <c r="K461" s="62">
        <v>459</v>
      </c>
      <c r="L461" s="64">
        <v>-3.9999999999999858</v>
      </c>
    </row>
    <row r="462" spans="11:12" x14ac:dyDescent="0.4">
      <c r="K462" s="62">
        <v>460</v>
      </c>
      <c r="L462" s="64">
        <v>64.100000000000009</v>
      </c>
    </row>
    <row r="463" spans="11:12" x14ac:dyDescent="0.4">
      <c r="K463" s="62">
        <v>461</v>
      </c>
      <c r="L463" s="64">
        <v>22.800000000000011</v>
      </c>
    </row>
    <row r="464" spans="11:12" x14ac:dyDescent="0.4">
      <c r="K464" s="62">
        <v>462</v>
      </c>
      <c r="L464" s="64">
        <v>-3.9999999999999893</v>
      </c>
    </row>
    <row r="465" spans="11:12" x14ac:dyDescent="0.4">
      <c r="K465" s="62">
        <v>463</v>
      </c>
      <c r="L465" s="64">
        <v>-5.9999999999999893</v>
      </c>
    </row>
    <row r="466" spans="11:12" x14ac:dyDescent="0.4">
      <c r="K466" s="62">
        <v>464</v>
      </c>
      <c r="L466" s="64">
        <v>-22.399999999999988</v>
      </c>
    </row>
    <row r="467" spans="11:12" x14ac:dyDescent="0.4">
      <c r="K467" s="62">
        <v>465</v>
      </c>
      <c r="L467" s="64">
        <v>-3.9999999999999893</v>
      </c>
    </row>
    <row r="468" spans="11:12" x14ac:dyDescent="0.4">
      <c r="K468" s="62">
        <v>466</v>
      </c>
      <c r="L468" s="64">
        <v>1.2000000000000108</v>
      </c>
    </row>
    <row r="469" spans="11:12" x14ac:dyDescent="0.4">
      <c r="K469" s="62">
        <v>467</v>
      </c>
      <c r="L469" s="64">
        <v>-30.499999999999989</v>
      </c>
    </row>
    <row r="470" spans="11:12" x14ac:dyDescent="0.4">
      <c r="K470" s="62">
        <v>468</v>
      </c>
      <c r="L470" s="64">
        <v>-3.9999999999999893</v>
      </c>
    </row>
    <row r="471" spans="11:12" x14ac:dyDescent="0.4">
      <c r="K471" s="62">
        <v>469</v>
      </c>
      <c r="L471" s="64">
        <v>12.20000000000001</v>
      </c>
    </row>
    <row r="472" spans="11:12" x14ac:dyDescent="0.4">
      <c r="K472" s="62">
        <v>470</v>
      </c>
      <c r="L472" s="64">
        <v>7.3000000000000096</v>
      </c>
    </row>
    <row r="473" spans="11:12" x14ac:dyDescent="0.4">
      <c r="K473" s="62">
        <v>471</v>
      </c>
      <c r="L473" s="64">
        <v>-3.9999999999999911</v>
      </c>
    </row>
    <row r="474" spans="11:12" x14ac:dyDescent="0.4">
      <c r="K474" s="62">
        <v>472</v>
      </c>
      <c r="L474" s="64">
        <v>20.20000000000001</v>
      </c>
    </row>
    <row r="475" spans="11:12" x14ac:dyDescent="0.4">
      <c r="K475" s="62">
        <v>473</v>
      </c>
      <c r="L475" s="64">
        <v>5.3000000000000096</v>
      </c>
    </row>
    <row r="476" spans="11:12" x14ac:dyDescent="0.4">
      <c r="K476" s="62">
        <v>474</v>
      </c>
      <c r="L476" s="64">
        <v>-3.9999999999999911</v>
      </c>
    </row>
    <row r="477" spans="11:12" x14ac:dyDescent="0.4">
      <c r="K477" s="62">
        <v>475</v>
      </c>
      <c r="L477" s="64">
        <v>16.600000000000009</v>
      </c>
    </row>
    <row r="478" spans="11:12" x14ac:dyDescent="0.4">
      <c r="K478" s="62">
        <v>476</v>
      </c>
      <c r="L478" s="64">
        <v>-29.099999999999994</v>
      </c>
    </row>
    <row r="479" spans="11:12" x14ac:dyDescent="0.4">
      <c r="K479" s="62">
        <v>477</v>
      </c>
      <c r="L479" s="64">
        <v>-3.9999999999999929</v>
      </c>
    </row>
    <row r="480" spans="11:12" x14ac:dyDescent="0.4">
      <c r="K480" s="62">
        <v>478</v>
      </c>
      <c r="L480" s="64">
        <v>3.3000000000000069</v>
      </c>
    </row>
    <row r="481" spans="11:12" x14ac:dyDescent="0.4">
      <c r="K481" s="62">
        <v>479</v>
      </c>
      <c r="L481" s="64">
        <v>29.500000000000007</v>
      </c>
    </row>
    <row r="482" spans="11:12" x14ac:dyDescent="0.4">
      <c r="K482" s="62">
        <v>480</v>
      </c>
      <c r="L482" s="64">
        <v>-3.9999999999999929</v>
      </c>
    </row>
    <row r="483" spans="11:12" x14ac:dyDescent="0.4">
      <c r="K483" s="62">
        <v>481</v>
      </c>
      <c r="L483" s="64">
        <v>0.80000000000000693</v>
      </c>
    </row>
    <row r="484" spans="11:12" x14ac:dyDescent="0.4">
      <c r="K484" s="62">
        <v>482</v>
      </c>
      <c r="L484" s="64">
        <v>33.500000000000007</v>
      </c>
    </row>
    <row r="485" spans="11:12" x14ac:dyDescent="0.4">
      <c r="K485" s="62">
        <v>483</v>
      </c>
      <c r="L485" s="64">
        <v>-3.9999999999999929</v>
      </c>
    </row>
    <row r="486" spans="11:12" x14ac:dyDescent="0.4">
      <c r="K486" s="62">
        <v>484</v>
      </c>
      <c r="L486" s="64">
        <v>0.10000000000000675</v>
      </c>
    </row>
    <row r="487" spans="11:12" x14ac:dyDescent="0.4">
      <c r="K487" s="62">
        <v>485</v>
      </c>
      <c r="L487" s="64">
        <v>5.4000000000000066</v>
      </c>
    </row>
    <row r="488" spans="11:12" x14ac:dyDescent="0.4">
      <c r="K488" s="62">
        <v>486</v>
      </c>
      <c r="L488" s="64">
        <v>-3.9999999999999938</v>
      </c>
    </row>
    <row r="489" spans="11:12" x14ac:dyDescent="0.4">
      <c r="K489" s="62">
        <v>487</v>
      </c>
      <c r="L489" s="64">
        <v>-15.999999999999993</v>
      </c>
    </row>
    <row r="490" spans="11:12" x14ac:dyDescent="0.4">
      <c r="K490" s="62">
        <v>488</v>
      </c>
      <c r="L490" s="64">
        <v>-5.4999999999999929</v>
      </c>
    </row>
    <row r="491" spans="11:12" x14ac:dyDescent="0.4">
      <c r="K491" s="62">
        <v>489</v>
      </c>
      <c r="L491" s="64">
        <v>-4.9999999999999929</v>
      </c>
    </row>
    <row r="492" spans="11:12" x14ac:dyDescent="0.4">
      <c r="K492" s="62">
        <v>490</v>
      </c>
      <c r="L492" s="64">
        <v>7.5000000000000071</v>
      </c>
    </row>
    <row r="493" spans="11:12" x14ac:dyDescent="0.4">
      <c r="K493" s="62">
        <v>491</v>
      </c>
      <c r="L493" s="64">
        <v>-4.5999999999999925</v>
      </c>
    </row>
    <row r="494" spans="11:12" x14ac:dyDescent="0.4">
      <c r="K494" s="62">
        <v>492</v>
      </c>
      <c r="L494" s="64">
        <v>-4.9999999999999929</v>
      </c>
    </row>
    <row r="495" spans="11:12" x14ac:dyDescent="0.4">
      <c r="K495" s="62">
        <v>493</v>
      </c>
      <c r="L495" s="64">
        <v>-17.899999999999991</v>
      </c>
    </row>
    <row r="496" spans="11:12" x14ac:dyDescent="0.4">
      <c r="K496" s="62">
        <v>494</v>
      </c>
      <c r="L496" s="64">
        <v>-23.099999999999991</v>
      </c>
    </row>
    <row r="497" spans="11:12" x14ac:dyDescent="0.4">
      <c r="K497" s="62">
        <v>495</v>
      </c>
      <c r="L497" s="64">
        <v>-4.9999999999999893</v>
      </c>
    </row>
    <row r="498" spans="11:12" x14ac:dyDescent="0.4">
      <c r="K498" s="62">
        <v>496</v>
      </c>
      <c r="L498" s="64">
        <v>10.60000000000001</v>
      </c>
    </row>
    <row r="499" spans="11:12" x14ac:dyDescent="0.4">
      <c r="K499" s="62">
        <v>497</v>
      </c>
      <c r="L499" s="64">
        <v>-27.79999999999999</v>
      </c>
    </row>
    <row r="500" spans="11:12" x14ac:dyDescent="0.4">
      <c r="K500" s="62">
        <v>498</v>
      </c>
      <c r="L500" s="64">
        <v>-4.9999999999999893</v>
      </c>
    </row>
    <row r="501" spans="11:12" x14ac:dyDescent="0.4">
      <c r="K501" s="62">
        <v>499</v>
      </c>
      <c r="L501" s="64">
        <v>10.60000000000001</v>
      </c>
    </row>
    <row r="502" spans="11:12" x14ac:dyDescent="0.4">
      <c r="K502" s="62">
        <v>500</v>
      </c>
      <c r="L502" s="64">
        <v>-2.1999999999999904</v>
      </c>
    </row>
    <row r="503" spans="11:12" x14ac:dyDescent="0.4">
      <c r="K503" s="62">
        <v>501</v>
      </c>
      <c r="L503" s="64">
        <v>-4.9999999999999902</v>
      </c>
    </row>
    <row r="504" spans="11:12" x14ac:dyDescent="0.4">
      <c r="K504" s="62">
        <v>502</v>
      </c>
      <c r="L504" s="64">
        <v>-40.999999999999993</v>
      </c>
    </row>
    <row r="505" spans="11:12" x14ac:dyDescent="0.4">
      <c r="K505" s="62">
        <v>503</v>
      </c>
      <c r="L505" s="64">
        <v>-4.9999999999999929</v>
      </c>
    </row>
    <row r="506" spans="11:12" x14ac:dyDescent="0.4">
      <c r="K506" s="62">
        <v>504</v>
      </c>
      <c r="L506" s="64">
        <v>-4.9999999999999929</v>
      </c>
    </row>
    <row r="507" spans="11:12" x14ac:dyDescent="0.4">
      <c r="K507" s="62">
        <v>505</v>
      </c>
      <c r="L507" s="64">
        <v>-34.599999999999994</v>
      </c>
    </row>
    <row r="508" spans="11:12" x14ac:dyDescent="0.4">
      <c r="K508" s="62">
        <v>506</v>
      </c>
      <c r="L508" s="64">
        <v>-83.699999999999989</v>
      </c>
    </row>
    <row r="509" spans="11:12" x14ac:dyDescent="0.4">
      <c r="K509" s="62">
        <v>507</v>
      </c>
      <c r="L509" s="64">
        <v>-4.9999999999999858</v>
      </c>
    </row>
    <row r="510" spans="11:12" x14ac:dyDescent="0.4">
      <c r="K510" s="62">
        <v>508</v>
      </c>
      <c r="L510" s="64">
        <v>1.800000000000014</v>
      </c>
    </row>
    <row r="511" spans="11:12" x14ac:dyDescent="0.4">
      <c r="K511" s="62">
        <v>509</v>
      </c>
      <c r="L511" s="64">
        <v>-0.79999999999998606</v>
      </c>
    </row>
    <row r="512" spans="11:12" x14ac:dyDescent="0.4">
      <c r="K512" s="62">
        <v>510</v>
      </c>
      <c r="L512" s="64">
        <v>-4.9999999999999858</v>
      </c>
    </row>
    <row r="513" spans="11:12" x14ac:dyDescent="0.4">
      <c r="K513" s="62">
        <v>511</v>
      </c>
      <c r="L513" s="64">
        <v>-18.999999999999986</v>
      </c>
    </row>
    <row r="514" spans="11:12" x14ac:dyDescent="0.4">
      <c r="K514" s="62">
        <v>512</v>
      </c>
      <c r="L514" s="64">
        <v>-31.499999999999986</v>
      </c>
    </row>
    <row r="515" spans="11:12" x14ac:dyDescent="0.4">
      <c r="K515" s="62">
        <v>513</v>
      </c>
      <c r="L515" s="64">
        <v>-4.9999999999999858</v>
      </c>
    </row>
    <row r="516" spans="11:12" x14ac:dyDescent="0.4">
      <c r="K516" s="62">
        <v>514</v>
      </c>
      <c r="L516" s="64">
        <v>-14.999999999999986</v>
      </c>
    </row>
    <row r="517" spans="11:12" x14ac:dyDescent="0.4">
      <c r="K517" s="62">
        <v>515</v>
      </c>
      <c r="L517" s="64">
        <v>45.500000000000014</v>
      </c>
    </row>
    <row r="518" spans="11:12" x14ac:dyDescent="0.4">
      <c r="K518" s="62">
        <v>516</v>
      </c>
      <c r="L518" s="64">
        <v>-4.9999999999999858</v>
      </c>
    </row>
    <row r="519" spans="11:12" x14ac:dyDescent="0.4">
      <c r="K519" s="62">
        <v>517</v>
      </c>
      <c r="L519" s="64">
        <v>39.600000000000016</v>
      </c>
    </row>
    <row r="520" spans="11:12" x14ac:dyDescent="0.4">
      <c r="K520" s="62">
        <v>518</v>
      </c>
      <c r="L520" s="64">
        <v>10.100000000000016</v>
      </c>
    </row>
    <row r="521" spans="11:12" x14ac:dyDescent="0.4">
      <c r="K521" s="62">
        <v>519</v>
      </c>
      <c r="L521" s="64">
        <v>-4.999999999999984</v>
      </c>
    </row>
    <row r="522" spans="11:12" x14ac:dyDescent="0.4">
      <c r="K522" s="62">
        <v>520</v>
      </c>
      <c r="L522" s="64">
        <v>-9.6999999999999851</v>
      </c>
    </row>
    <row r="523" spans="11:12" x14ac:dyDescent="0.4">
      <c r="K523" s="62">
        <v>521</v>
      </c>
      <c r="L523" s="64">
        <v>8.9000000000000163</v>
      </c>
    </row>
    <row r="524" spans="11:12" x14ac:dyDescent="0.4">
      <c r="K524" s="62">
        <v>522</v>
      </c>
      <c r="L524" s="64">
        <v>-4.999999999999984</v>
      </c>
    </row>
    <row r="525" spans="11:12" x14ac:dyDescent="0.4">
      <c r="K525" s="62">
        <v>523</v>
      </c>
      <c r="L525" s="64">
        <v>7.500000000000016</v>
      </c>
    </row>
    <row r="526" spans="11:12" x14ac:dyDescent="0.4">
      <c r="K526" s="62">
        <v>524</v>
      </c>
      <c r="L526" s="64">
        <v>-6.6999999999999833</v>
      </c>
    </row>
    <row r="527" spans="11:12" x14ac:dyDescent="0.4">
      <c r="K527" s="62">
        <v>525</v>
      </c>
      <c r="L527" s="64">
        <v>-4.9999999999999831</v>
      </c>
    </row>
    <row r="528" spans="11:12" x14ac:dyDescent="0.4">
      <c r="K528" s="62">
        <v>526</v>
      </c>
      <c r="L528" s="64">
        <v>9.4000000000000163</v>
      </c>
    </row>
    <row r="529" spans="11:12" x14ac:dyDescent="0.4">
      <c r="K529" s="62">
        <v>527</v>
      </c>
      <c r="L529" s="64">
        <v>21.700000000000017</v>
      </c>
    </row>
    <row r="530" spans="11:12" x14ac:dyDescent="0.4">
      <c r="K530" s="62">
        <v>528</v>
      </c>
      <c r="L530" s="64">
        <v>-4.9999999999999822</v>
      </c>
    </row>
    <row r="531" spans="11:12" x14ac:dyDescent="0.4">
      <c r="K531" s="62">
        <v>529</v>
      </c>
      <c r="L531" s="64">
        <v>-18.999999999999982</v>
      </c>
    </row>
    <row r="532" spans="11:12" x14ac:dyDescent="0.4">
      <c r="K532" s="62">
        <v>530</v>
      </c>
      <c r="L532" s="64">
        <v>-79.299999999999983</v>
      </c>
    </row>
    <row r="533" spans="11:12" x14ac:dyDescent="0.4">
      <c r="K533" s="62">
        <v>531</v>
      </c>
      <c r="L533" s="64">
        <v>-4.9999999999999858</v>
      </c>
    </row>
    <row r="534" spans="11:12" x14ac:dyDescent="0.4">
      <c r="K534" s="62">
        <v>532</v>
      </c>
      <c r="L534" s="64">
        <v>2.1000000000000139</v>
      </c>
    </row>
    <row r="535" spans="11:12" x14ac:dyDescent="0.4">
      <c r="K535" s="62">
        <v>533</v>
      </c>
      <c r="L535" s="64">
        <v>-5.8999999999999861</v>
      </c>
    </row>
    <row r="536" spans="11:12" x14ac:dyDescent="0.4">
      <c r="K536" s="62">
        <v>534</v>
      </c>
      <c r="L536" s="64">
        <v>-4.9999999999999858</v>
      </c>
    </row>
    <row r="537" spans="11:12" x14ac:dyDescent="0.4">
      <c r="K537" s="62">
        <v>535</v>
      </c>
      <c r="L537" s="64">
        <v>14.700000000000014</v>
      </c>
    </row>
    <row r="538" spans="11:12" x14ac:dyDescent="0.4">
      <c r="K538" s="62">
        <v>536</v>
      </c>
      <c r="L538" s="64">
        <v>-1.1999999999999869</v>
      </c>
    </row>
    <row r="539" spans="11:12" x14ac:dyDescent="0.4">
      <c r="K539" s="62">
        <v>537</v>
      </c>
      <c r="L539" s="64">
        <v>-4.9999999999999867</v>
      </c>
    </row>
    <row r="540" spans="11:12" x14ac:dyDescent="0.4">
      <c r="K540" s="62">
        <v>538</v>
      </c>
      <c r="L540" s="64">
        <v>18.800000000000015</v>
      </c>
    </row>
    <row r="541" spans="11:12" x14ac:dyDescent="0.4">
      <c r="K541" s="62">
        <v>539</v>
      </c>
      <c r="L541" s="64">
        <v>20.500000000000014</v>
      </c>
    </row>
    <row r="542" spans="11:12" x14ac:dyDescent="0.4">
      <c r="K542" s="62">
        <v>540</v>
      </c>
      <c r="L542" s="64">
        <v>-4.9999999999999858</v>
      </c>
    </row>
    <row r="543" spans="11:12" x14ac:dyDescent="0.4">
      <c r="K543" s="62">
        <v>541</v>
      </c>
      <c r="L543" s="64">
        <v>-1.4999999999999858</v>
      </c>
    </row>
    <row r="544" spans="11:12" x14ac:dyDescent="0.4">
      <c r="K544" s="62">
        <v>542</v>
      </c>
      <c r="L544" s="64">
        <v>-10.999999999999986</v>
      </c>
    </row>
    <row r="545" spans="11:12" x14ac:dyDescent="0.4">
      <c r="K545" s="62">
        <v>543</v>
      </c>
      <c r="L545" s="64">
        <v>-4.9999999999999858</v>
      </c>
    </row>
    <row r="546" spans="11:12" x14ac:dyDescent="0.4">
      <c r="K546" s="62">
        <v>544</v>
      </c>
      <c r="L546" s="64">
        <v>-9.7999999999999865</v>
      </c>
    </row>
    <row r="547" spans="11:12" x14ac:dyDescent="0.4">
      <c r="K547" s="62">
        <v>545</v>
      </c>
      <c r="L547" s="64">
        <v>16.000000000000014</v>
      </c>
    </row>
    <row r="548" spans="11:12" x14ac:dyDescent="0.4">
      <c r="K548" s="62">
        <v>546</v>
      </c>
      <c r="L548" s="64">
        <v>-4.9999999999999858</v>
      </c>
    </row>
    <row r="549" spans="11:12" x14ac:dyDescent="0.4">
      <c r="K549" s="62">
        <v>547</v>
      </c>
      <c r="L549" s="64">
        <v>27.500000000000014</v>
      </c>
    </row>
    <row r="550" spans="11:12" x14ac:dyDescent="0.4">
      <c r="K550" s="62">
        <v>548</v>
      </c>
      <c r="L550" s="64">
        <v>6.9000000000000128</v>
      </c>
    </row>
    <row r="551" spans="11:12" x14ac:dyDescent="0.4">
      <c r="K551" s="62">
        <v>549</v>
      </c>
      <c r="L551" s="64">
        <v>-4.9999999999999876</v>
      </c>
    </row>
    <row r="552" spans="11:12" x14ac:dyDescent="0.4">
      <c r="K552" s="62">
        <v>550</v>
      </c>
      <c r="L552" s="64">
        <v>12.100000000000014</v>
      </c>
    </row>
    <row r="553" spans="11:12" x14ac:dyDescent="0.4">
      <c r="K553" s="62">
        <v>551</v>
      </c>
      <c r="L553" s="64">
        <v>12.500000000000014</v>
      </c>
    </row>
    <row r="554" spans="11:12" x14ac:dyDescent="0.4">
      <c r="K554" s="62">
        <v>552</v>
      </c>
      <c r="L554" s="64">
        <v>-4.9999999999999858</v>
      </c>
    </row>
    <row r="555" spans="11:12" x14ac:dyDescent="0.4">
      <c r="K555" s="62">
        <v>553</v>
      </c>
      <c r="L555" s="64">
        <v>7.3000000000000149</v>
      </c>
    </row>
    <row r="556" spans="11:12" x14ac:dyDescent="0.4">
      <c r="K556" s="62">
        <v>554</v>
      </c>
      <c r="L556" s="64">
        <v>18.100000000000016</v>
      </c>
    </row>
    <row r="557" spans="11:12" x14ac:dyDescent="0.4">
      <c r="K557" s="62">
        <v>555</v>
      </c>
      <c r="L557" s="64">
        <v>-4.9999999999999858</v>
      </c>
    </row>
    <row r="558" spans="11:12" x14ac:dyDescent="0.4">
      <c r="K558" s="62">
        <v>556</v>
      </c>
      <c r="L558" s="64">
        <v>19.300000000000015</v>
      </c>
    </row>
    <row r="559" spans="11:12" x14ac:dyDescent="0.4">
      <c r="K559" s="62">
        <v>557</v>
      </c>
      <c r="L559" s="64">
        <v>6.4000000000000146</v>
      </c>
    </row>
    <row r="560" spans="11:12" x14ac:dyDescent="0.4">
      <c r="K560" s="62">
        <v>558</v>
      </c>
      <c r="L560" s="64">
        <v>-4.9999999999999858</v>
      </c>
    </row>
    <row r="561" spans="11:12" x14ac:dyDescent="0.4">
      <c r="K561" s="62">
        <v>559</v>
      </c>
      <c r="L561" s="64">
        <v>-17.199999999999985</v>
      </c>
    </row>
    <row r="562" spans="11:12" x14ac:dyDescent="0.4">
      <c r="K562" s="62">
        <v>560</v>
      </c>
      <c r="L562" s="64">
        <v>-12.299999999999985</v>
      </c>
    </row>
    <row r="563" spans="11:12" x14ac:dyDescent="0.4">
      <c r="K563" s="62">
        <v>561</v>
      </c>
      <c r="L563" s="64">
        <v>-4.9999999999999849</v>
      </c>
    </row>
    <row r="564" spans="11:12" x14ac:dyDescent="0.4">
      <c r="K564" s="62">
        <v>562</v>
      </c>
      <c r="L564" s="64">
        <v>-6.9999999999999849</v>
      </c>
    </row>
    <row r="565" spans="11:12" x14ac:dyDescent="0.4">
      <c r="K565" s="62">
        <v>563</v>
      </c>
      <c r="L565" s="64">
        <v>-0.39999999999998526</v>
      </c>
    </row>
    <row r="566" spans="11:12" x14ac:dyDescent="0.4">
      <c r="K566" s="62">
        <v>564</v>
      </c>
      <c r="L566" s="64">
        <v>-4.9999999999999849</v>
      </c>
    </row>
    <row r="567" spans="11:12" x14ac:dyDescent="0.4">
      <c r="K567" s="62">
        <v>565</v>
      </c>
      <c r="L567" s="64">
        <v>-45.599999999999987</v>
      </c>
    </row>
    <row r="568" spans="11:12" x14ac:dyDescent="0.4">
      <c r="K568" s="62">
        <v>566</v>
      </c>
      <c r="L568" s="64">
        <v>-81.499999999999986</v>
      </c>
    </row>
    <row r="569" spans="11:12" x14ac:dyDescent="0.4">
      <c r="K569" s="62">
        <v>567</v>
      </c>
      <c r="L569" s="64">
        <v>-4.9999999999999858</v>
      </c>
    </row>
    <row r="570" spans="11:12" x14ac:dyDescent="0.4">
      <c r="K570" s="62">
        <v>568</v>
      </c>
      <c r="L570" s="64">
        <v>16.700000000000014</v>
      </c>
    </row>
    <row r="571" spans="11:12" x14ac:dyDescent="0.4">
      <c r="K571" s="62">
        <v>569</v>
      </c>
      <c r="L571" s="64">
        <v>30.800000000000011</v>
      </c>
    </row>
    <row r="572" spans="11:12" x14ac:dyDescent="0.4">
      <c r="K572" s="62">
        <v>570</v>
      </c>
      <c r="L572" s="64">
        <v>-4.9999999999999858</v>
      </c>
    </row>
    <row r="573" spans="11:12" x14ac:dyDescent="0.4">
      <c r="K573" s="62">
        <v>571</v>
      </c>
      <c r="L573" s="64">
        <v>35.700000000000017</v>
      </c>
    </row>
    <row r="574" spans="11:12" x14ac:dyDescent="0.4">
      <c r="K574" s="62">
        <v>572</v>
      </c>
      <c r="L574" s="64">
        <v>-2.7999999999999829</v>
      </c>
    </row>
    <row r="575" spans="11:12" x14ac:dyDescent="0.4">
      <c r="K575" s="62">
        <v>573</v>
      </c>
      <c r="L575" s="64">
        <v>-4.9999999999999831</v>
      </c>
    </row>
    <row r="576" spans="11:12" x14ac:dyDescent="0.4">
      <c r="K576" s="62">
        <v>574</v>
      </c>
      <c r="L576" s="64">
        <v>3.0000000000000169</v>
      </c>
    </row>
    <row r="577" spans="11:12" x14ac:dyDescent="0.4">
      <c r="K577" s="62">
        <v>575</v>
      </c>
      <c r="L577" s="64">
        <v>11.900000000000016</v>
      </c>
    </row>
    <row r="578" spans="11:12" x14ac:dyDescent="0.4">
      <c r="K578" s="62">
        <v>576</v>
      </c>
      <c r="L578" s="64">
        <v>-4.9999999999999822</v>
      </c>
    </row>
    <row r="579" spans="11:12" x14ac:dyDescent="0.4">
      <c r="K579" s="62">
        <v>577</v>
      </c>
      <c r="L579" s="64">
        <v>2.7000000000000179</v>
      </c>
    </row>
    <row r="580" spans="11:12" x14ac:dyDescent="0.4">
      <c r="K580" s="62">
        <v>578</v>
      </c>
      <c r="L580" s="64">
        <v>32.40000000000002</v>
      </c>
    </row>
    <row r="581" spans="11:12" x14ac:dyDescent="0.4">
      <c r="K581" s="62">
        <v>579</v>
      </c>
      <c r="L581" s="64">
        <v>-4.9999999999999787</v>
      </c>
    </row>
    <row r="582" spans="11:12" x14ac:dyDescent="0.4">
      <c r="K582" s="62">
        <v>580</v>
      </c>
      <c r="L582" s="64">
        <v>-73.999999999999972</v>
      </c>
    </row>
    <row r="583" spans="11:12" x14ac:dyDescent="0.4">
      <c r="K583" s="62">
        <v>581</v>
      </c>
      <c r="L583" s="64">
        <v>-94.699999999999974</v>
      </c>
    </row>
    <row r="584" spans="11:12" x14ac:dyDescent="0.4">
      <c r="K584" s="62">
        <v>582</v>
      </c>
      <c r="L584" s="64">
        <v>-4.9999999999999716</v>
      </c>
    </row>
    <row r="585" spans="11:12" x14ac:dyDescent="0.4">
      <c r="K585" s="62">
        <v>583</v>
      </c>
      <c r="L585" s="64">
        <v>-7.9999999999999716</v>
      </c>
    </row>
    <row r="586" spans="11:12" x14ac:dyDescent="0.4">
      <c r="K586" s="62">
        <v>584</v>
      </c>
      <c r="L586" s="64">
        <v>-36.199999999999974</v>
      </c>
    </row>
    <row r="587" spans="11:12" x14ac:dyDescent="0.4">
      <c r="K587" s="62">
        <v>585</v>
      </c>
      <c r="L587" s="64">
        <v>-4.9999999999999751</v>
      </c>
    </row>
    <row r="588" spans="11:12" x14ac:dyDescent="0.4">
      <c r="K588" s="62">
        <v>586</v>
      </c>
      <c r="L588" s="64">
        <v>-7.5999999999999748</v>
      </c>
    </row>
    <row r="589" spans="11:12" x14ac:dyDescent="0.4">
      <c r="K589" s="62">
        <v>587</v>
      </c>
      <c r="L589" s="64">
        <v>-45.199999999999974</v>
      </c>
    </row>
    <row r="590" spans="11:12" x14ac:dyDescent="0.4">
      <c r="K590" s="62">
        <v>588</v>
      </c>
      <c r="L590" s="64">
        <v>-4.9999999999999716</v>
      </c>
    </row>
    <row r="591" spans="11:12" x14ac:dyDescent="0.4">
      <c r="K591" s="62">
        <v>589</v>
      </c>
      <c r="L591" s="64">
        <v>54.000000000000028</v>
      </c>
    </row>
    <row r="592" spans="11:12" x14ac:dyDescent="0.4">
      <c r="K592" s="62">
        <v>590</v>
      </c>
      <c r="L592" s="64">
        <v>16.000000000000028</v>
      </c>
    </row>
    <row r="593" spans="11:12" x14ac:dyDescent="0.4">
      <c r="K593" s="62">
        <v>591</v>
      </c>
      <c r="L593" s="64">
        <v>-4.9999999999999716</v>
      </c>
    </row>
    <row r="594" spans="11:12" x14ac:dyDescent="0.4">
      <c r="K594" s="62">
        <v>592</v>
      </c>
      <c r="L594" s="64">
        <v>-4.9999999999999716</v>
      </c>
    </row>
    <row r="595" spans="11:12" x14ac:dyDescent="0.4">
      <c r="K595" s="62">
        <v>593</v>
      </c>
      <c r="L595" s="64">
        <v>31.000000000000028</v>
      </c>
    </row>
    <row r="596" spans="11:12" x14ac:dyDescent="0.4">
      <c r="K596" s="62">
        <v>594</v>
      </c>
      <c r="L596" s="64">
        <v>-4.9999999999999716</v>
      </c>
    </row>
    <row r="597" spans="11:12" x14ac:dyDescent="0.4">
      <c r="K597" s="62">
        <v>595</v>
      </c>
      <c r="L597" s="64">
        <v>-25.499999999999972</v>
      </c>
    </row>
    <row r="598" spans="11:12" x14ac:dyDescent="0.4">
      <c r="K598" s="62">
        <v>596</v>
      </c>
      <c r="L598" s="64">
        <v>4.400000000000027</v>
      </c>
    </row>
    <row r="599" spans="11:12" x14ac:dyDescent="0.4">
      <c r="K599" s="62">
        <v>597</v>
      </c>
      <c r="L599" s="64">
        <v>-4.9999999999999734</v>
      </c>
    </row>
  </sheetData>
  <sortState ref="E2:I600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94EC-3846-4408-A2CA-CF0B727D9FD0}">
  <sheetPr codeName="Sheet7"/>
  <dimension ref="A1:Q179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177</v>
      </c>
      <c r="C2" s="149"/>
      <c r="E2" s="101" t="s">
        <v>71</v>
      </c>
      <c r="F2" s="97" t="s">
        <v>25</v>
      </c>
      <c r="G2" s="84">
        <v>265</v>
      </c>
      <c r="H2" s="60">
        <f>IF(B$25=0,0,G2/B$25)</f>
        <v>0.88926174496644295</v>
      </c>
      <c r="I2" s="137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730.05780346820814</v>
      </c>
      <c r="P2" s="77">
        <v>126300</v>
      </c>
      <c r="Q2" s="75">
        <v>173</v>
      </c>
    </row>
    <row r="3" spans="1:17" x14ac:dyDescent="0.4">
      <c r="A3" s="93" t="s">
        <v>8</v>
      </c>
      <c r="B3" s="154">
        <v>1317</v>
      </c>
      <c r="C3" s="155"/>
      <c r="E3" s="102" t="s">
        <v>69</v>
      </c>
      <c r="F3" s="98" t="s">
        <v>23</v>
      </c>
      <c r="G3" s="85">
        <v>203</v>
      </c>
      <c r="H3" s="63">
        <f>IF(B$25=0,0,G3/B$25)</f>
        <v>0.68120805369127513</v>
      </c>
      <c r="I3" s="138">
        <v>7</v>
      </c>
      <c r="K3" s="62">
        <v>1</v>
      </c>
      <c r="L3" s="64">
        <v>15</v>
      </c>
      <c r="N3" s="62" t="s">
        <v>151</v>
      </c>
      <c r="O3" s="81">
        <f t="shared" si="0"/>
        <v>553.93939393939399</v>
      </c>
      <c r="P3" s="78">
        <v>91400</v>
      </c>
      <c r="Q3" s="73">
        <v>165</v>
      </c>
    </row>
    <row r="4" spans="1:17" x14ac:dyDescent="0.4">
      <c r="A4" s="93" t="s">
        <v>6</v>
      </c>
      <c r="B4" s="156">
        <v>943.60000000000025</v>
      </c>
      <c r="C4" s="157"/>
      <c r="E4" s="102" t="s">
        <v>76</v>
      </c>
      <c r="F4" s="98" t="s">
        <v>29</v>
      </c>
      <c r="G4" s="85">
        <v>171</v>
      </c>
      <c r="H4" s="63">
        <f>IF(B$25=0,0,G4/B$25)</f>
        <v>0.5738255033557047</v>
      </c>
      <c r="I4" s="138">
        <v>7</v>
      </c>
      <c r="K4" s="62">
        <v>2</v>
      </c>
      <c r="L4" s="64">
        <v>14</v>
      </c>
      <c r="N4" s="62" t="s">
        <v>152</v>
      </c>
      <c r="O4" s="81">
        <f t="shared" si="0"/>
        <v>1365.7894736842106</v>
      </c>
      <c r="P4" s="78">
        <v>207600</v>
      </c>
      <c r="Q4" s="73">
        <v>152</v>
      </c>
    </row>
    <row r="5" spans="1:17" x14ac:dyDescent="0.4">
      <c r="A5" s="93" t="s">
        <v>7</v>
      </c>
      <c r="B5" s="156">
        <f>IF(B$2=0,0,B$4/B$2)</f>
        <v>5.331073446327685</v>
      </c>
      <c r="C5" s="157"/>
      <c r="E5" s="102" t="s">
        <v>67</v>
      </c>
      <c r="F5" s="98" t="s">
        <v>21</v>
      </c>
      <c r="G5" s="85">
        <v>152</v>
      </c>
      <c r="H5" s="63">
        <f>IF(B$25=0,0,G5/B$25)</f>
        <v>0.51006711409395977</v>
      </c>
      <c r="I5" s="138">
        <v>9</v>
      </c>
      <c r="K5" s="62">
        <v>3</v>
      </c>
      <c r="L5" s="64">
        <v>29.1</v>
      </c>
      <c r="N5" s="62" t="s">
        <v>153</v>
      </c>
      <c r="O5" s="81">
        <f t="shared" si="0"/>
        <v>1362.7737226277372</v>
      </c>
      <c r="P5" s="78">
        <v>186700</v>
      </c>
      <c r="Q5" s="73">
        <v>137</v>
      </c>
    </row>
    <row r="6" spans="1:17" x14ac:dyDescent="0.4">
      <c r="A6" s="93" t="s">
        <v>1</v>
      </c>
      <c r="B6" s="146">
        <f>IF(B$2=0,0,(B$7*1+B$8*2+B$9*3)/B$2)</f>
        <v>1.8192090395480225</v>
      </c>
      <c r="C6" s="147"/>
      <c r="E6" s="102" t="s">
        <v>72</v>
      </c>
      <c r="F6" s="98" t="s">
        <v>12</v>
      </c>
      <c r="G6" s="85">
        <v>82</v>
      </c>
      <c r="H6" s="63">
        <f>IF(B$25=0,0,G6/B$25)</f>
        <v>0.27516778523489932</v>
      </c>
      <c r="I6" s="138">
        <v>8</v>
      </c>
      <c r="K6" s="62">
        <v>4</v>
      </c>
      <c r="L6" s="64">
        <v>114.30000000000001</v>
      </c>
      <c r="N6" s="62" t="s">
        <v>154</v>
      </c>
      <c r="O6" s="81">
        <f t="shared" si="0"/>
        <v>1264.1025641025642</v>
      </c>
      <c r="P6" s="78">
        <v>147900</v>
      </c>
      <c r="Q6" s="73">
        <v>117</v>
      </c>
    </row>
    <row r="7" spans="1:17" x14ac:dyDescent="0.4">
      <c r="A7" s="93" t="s">
        <v>2</v>
      </c>
      <c r="B7" s="85">
        <v>73</v>
      </c>
      <c r="C7" s="63">
        <f>IF(B$2=0,0,B7/B$2)</f>
        <v>0.41242937853107342</v>
      </c>
      <c r="E7" s="102" t="s">
        <v>70</v>
      </c>
      <c r="F7" s="98" t="s">
        <v>24</v>
      </c>
      <c r="G7" s="85">
        <v>77</v>
      </c>
      <c r="H7" s="63">
        <f>IF(B$25=0,0,G7/B$25)</f>
        <v>0.25838926174496646</v>
      </c>
      <c r="I7" s="138">
        <v>9</v>
      </c>
      <c r="K7" s="62">
        <v>5</v>
      </c>
      <c r="L7" s="64">
        <v>145.80000000000001</v>
      </c>
      <c r="N7" s="67" t="s">
        <v>155</v>
      </c>
      <c r="O7" s="82">
        <f t="shared" si="0"/>
        <v>1623.0769230769231</v>
      </c>
      <c r="P7" s="79">
        <v>147700</v>
      </c>
      <c r="Q7" s="74">
        <v>91</v>
      </c>
    </row>
    <row r="8" spans="1:17" x14ac:dyDescent="0.4">
      <c r="A8" s="93" t="s">
        <v>3</v>
      </c>
      <c r="B8" s="85">
        <v>63</v>
      </c>
      <c r="C8" s="63">
        <f t="shared" ref="C8:C9" si="1">IF(B$2=0,0,B8/B$2)</f>
        <v>0.3559322033898305</v>
      </c>
      <c r="E8" s="102" t="s">
        <v>94</v>
      </c>
      <c r="F8" s="98" t="s">
        <v>47</v>
      </c>
      <c r="G8" s="85">
        <v>54</v>
      </c>
      <c r="H8" s="63">
        <f>IF(B$25=0,0,G8/B$25)</f>
        <v>0.18120805369127516</v>
      </c>
      <c r="I8" s="138">
        <v>2</v>
      </c>
      <c r="K8" s="62">
        <v>6</v>
      </c>
      <c r="L8" s="64">
        <v>97.800000000000011</v>
      </c>
    </row>
    <row r="9" spans="1:17" x14ac:dyDescent="0.4">
      <c r="A9" s="94" t="s">
        <v>4</v>
      </c>
      <c r="B9" s="86">
        <v>41</v>
      </c>
      <c r="C9" s="65">
        <f t="shared" si="1"/>
        <v>0.23163841807909605</v>
      </c>
      <c r="E9" s="102" t="s">
        <v>73</v>
      </c>
      <c r="F9" s="98" t="s">
        <v>26</v>
      </c>
      <c r="G9" s="85">
        <v>48</v>
      </c>
      <c r="H9" s="63">
        <f>IF(B$25=0,0,G9/B$25)</f>
        <v>0.16107382550335569</v>
      </c>
      <c r="I9" s="138">
        <v>4</v>
      </c>
      <c r="K9" s="62">
        <v>7</v>
      </c>
      <c r="L9" s="64">
        <v>91.700000000000017</v>
      </c>
    </row>
    <row r="10" spans="1:17" x14ac:dyDescent="0.4">
      <c r="A10" s="94" t="s">
        <v>19</v>
      </c>
      <c r="B10" s="86">
        <v>20</v>
      </c>
      <c r="C10" s="65">
        <f>IF(B$2=0,0,B10/B$2)</f>
        <v>0.11299435028248588</v>
      </c>
      <c r="E10" s="102" t="s">
        <v>68</v>
      </c>
      <c r="F10" s="98" t="s">
        <v>22</v>
      </c>
      <c r="G10" s="85">
        <v>29</v>
      </c>
      <c r="H10" s="63">
        <f>IF(B$25=0,0,G10/B$25)</f>
        <v>9.7315436241610737E-2</v>
      </c>
      <c r="I10" s="138">
        <v>9</v>
      </c>
      <c r="K10" s="62">
        <v>8</v>
      </c>
      <c r="L10" s="64">
        <v>55.700000000000017</v>
      </c>
    </row>
    <row r="11" spans="1:17" x14ac:dyDescent="0.4">
      <c r="A11" s="95" t="s">
        <v>160</v>
      </c>
      <c r="B11" s="87">
        <v>35</v>
      </c>
      <c r="C11" s="68">
        <f>IF(B$2=0,0,B11/B$2)</f>
        <v>0.19774011299435029</v>
      </c>
      <c r="E11" s="102" t="s">
        <v>74</v>
      </c>
      <c r="F11" s="98" t="s">
        <v>27</v>
      </c>
      <c r="G11" s="85">
        <v>25</v>
      </c>
      <c r="H11" s="63">
        <f>IF(B$25=0,0,G11/B$25)</f>
        <v>8.3892617449664433E-2</v>
      </c>
      <c r="I11" s="138">
        <v>6</v>
      </c>
      <c r="K11" s="62">
        <v>9</v>
      </c>
      <c r="L11" s="64">
        <v>14.700000000000017</v>
      </c>
    </row>
    <row r="12" spans="1:17" x14ac:dyDescent="0.4">
      <c r="A12" s="96" t="s">
        <v>128</v>
      </c>
      <c r="B12" s="88">
        <v>242</v>
      </c>
      <c r="C12" s="71">
        <f>IF(B$24=0,0,B12/B$24)</f>
        <v>0.28337236533957844</v>
      </c>
      <c r="E12" s="102" t="s">
        <v>75</v>
      </c>
      <c r="F12" s="98" t="s">
        <v>28</v>
      </c>
      <c r="G12" s="85">
        <v>19</v>
      </c>
      <c r="H12" s="63">
        <f>IF(B$25=0,0,G12/B$25)</f>
        <v>6.3758389261744972E-2</v>
      </c>
      <c r="I12" s="138">
        <v>2</v>
      </c>
      <c r="K12" s="62">
        <v>10</v>
      </c>
      <c r="L12" s="64">
        <v>-16.799999999999983</v>
      </c>
    </row>
    <row r="13" spans="1:17" x14ac:dyDescent="0.4">
      <c r="A13" s="93" t="s">
        <v>123</v>
      </c>
      <c r="B13" s="85">
        <v>189</v>
      </c>
      <c r="C13" s="63">
        <f>IF(B$24=0,0,B13/B$24)</f>
        <v>0.22131147540983606</v>
      </c>
      <c r="E13" s="102" t="s">
        <v>91</v>
      </c>
      <c r="F13" s="98" t="s">
        <v>44</v>
      </c>
      <c r="G13" s="85">
        <v>18</v>
      </c>
      <c r="H13" s="63">
        <f>IF(B$25=0,0,G13/B$25)</f>
        <v>6.0402684563758392E-2</v>
      </c>
      <c r="I13" s="138">
        <v>7</v>
      </c>
      <c r="K13" s="62">
        <v>11</v>
      </c>
      <c r="L13" s="64">
        <v>1.5000000000000178</v>
      </c>
    </row>
    <row r="14" spans="1:17" x14ac:dyDescent="0.4">
      <c r="A14" s="92" t="s">
        <v>130</v>
      </c>
      <c r="B14" s="84">
        <v>155</v>
      </c>
      <c r="C14" s="60">
        <f>IF(B$12=0,0,B14/B$12)</f>
        <v>0.64049586776859502</v>
      </c>
      <c r="E14" s="102" t="s">
        <v>88</v>
      </c>
      <c r="F14" s="98" t="s">
        <v>41</v>
      </c>
      <c r="G14" s="85">
        <v>10</v>
      </c>
      <c r="H14" s="63">
        <f>IF(B$25=0,0,G14/B$25)</f>
        <v>3.3557046979865772E-2</v>
      </c>
      <c r="I14" s="138">
        <v>5</v>
      </c>
      <c r="K14" s="62">
        <v>12</v>
      </c>
      <c r="L14" s="64">
        <v>14.300000000000018</v>
      </c>
    </row>
    <row r="15" spans="1:17" x14ac:dyDescent="0.4">
      <c r="A15" s="92" t="s">
        <v>131</v>
      </c>
      <c r="B15" s="84">
        <v>91</v>
      </c>
      <c r="C15" s="60">
        <f>IF(B$13=0,0,B15/B$13)</f>
        <v>0.48148148148148145</v>
      </c>
      <c r="E15" s="102" t="s">
        <v>86</v>
      </c>
      <c r="F15" s="98" t="s">
        <v>39</v>
      </c>
      <c r="G15" s="85">
        <v>6</v>
      </c>
      <c r="H15" s="63">
        <f>IF(B$25=0,0,G15/B$25)</f>
        <v>2.0134228187919462E-2</v>
      </c>
      <c r="I15" s="138">
        <v>5</v>
      </c>
      <c r="K15" s="62">
        <v>13</v>
      </c>
      <c r="L15" s="64">
        <v>71.300000000000011</v>
      </c>
    </row>
    <row r="16" spans="1:17" x14ac:dyDescent="0.4">
      <c r="A16" s="92" t="s">
        <v>10</v>
      </c>
      <c r="B16" s="84">
        <f>B18+B17</f>
        <v>457</v>
      </c>
      <c r="C16" s="60">
        <f>IF(B$3=0,0,B16/B$3)</f>
        <v>0.3470007593014427</v>
      </c>
      <c r="E16" s="102" t="s">
        <v>81</v>
      </c>
      <c r="F16" s="98" t="s">
        <v>34</v>
      </c>
      <c r="G16" s="85">
        <v>4</v>
      </c>
      <c r="H16" s="63">
        <f>IF(B$25=0,0,G16/B$25)</f>
        <v>1.3422818791946308E-2</v>
      </c>
      <c r="I16" s="138">
        <v>3</v>
      </c>
      <c r="K16" s="62">
        <v>14</v>
      </c>
      <c r="L16" s="64">
        <v>27.300000000000011</v>
      </c>
    </row>
    <row r="17" spans="1:12" x14ac:dyDescent="0.4">
      <c r="A17" s="93" t="s">
        <v>12</v>
      </c>
      <c r="B17" s="85">
        <v>175</v>
      </c>
      <c r="C17" s="63">
        <f>IF(B$16=0,0,B17/B$16)</f>
        <v>0.38293216630196936</v>
      </c>
      <c r="E17" s="102" t="s">
        <v>77</v>
      </c>
      <c r="F17" s="98" t="s">
        <v>30</v>
      </c>
      <c r="G17" s="85">
        <v>3</v>
      </c>
      <c r="H17" s="63">
        <f>IF(B$25=0,0,G17/B$25)</f>
        <v>1.0067114093959731E-2</v>
      </c>
      <c r="I17" s="138">
        <v>2</v>
      </c>
      <c r="K17" s="62">
        <v>15</v>
      </c>
      <c r="L17" s="64">
        <v>-9.6999999999999886</v>
      </c>
    </row>
    <row r="18" spans="1:12" x14ac:dyDescent="0.4">
      <c r="A18" s="93" t="s">
        <v>11</v>
      </c>
      <c r="B18" s="85">
        <v>282</v>
      </c>
      <c r="C18" s="63">
        <f>IF(B$16=0,0,B18/B$16)</f>
        <v>0.61706783369803064</v>
      </c>
      <c r="E18" s="102" t="s">
        <v>79</v>
      </c>
      <c r="F18" s="98" t="s">
        <v>32</v>
      </c>
      <c r="G18" s="85">
        <v>3</v>
      </c>
      <c r="H18" s="63">
        <f>IF(B$25=0,0,G18/B$25)</f>
        <v>1.0067114093959731E-2</v>
      </c>
      <c r="I18" s="138">
        <v>3</v>
      </c>
      <c r="K18" s="62">
        <v>16</v>
      </c>
      <c r="L18" s="64">
        <v>-8.099999999999989</v>
      </c>
    </row>
    <row r="19" spans="1:12" x14ac:dyDescent="0.4">
      <c r="A19" s="93" t="s">
        <v>13</v>
      </c>
      <c r="B19" s="85">
        <v>189</v>
      </c>
      <c r="C19" s="63">
        <f>IF(B$3=0,0,B19/B$3)</f>
        <v>0.14350797266514806</v>
      </c>
      <c r="E19" s="102" t="s">
        <v>96</v>
      </c>
      <c r="F19" s="98" t="s">
        <v>49</v>
      </c>
      <c r="G19" s="85">
        <v>3</v>
      </c>
      <c r="H19" s="63">
        <f>IF(B$25=0,0,G19/B$25)</f>
        <v>1.0067114093959731E-2</v>
      </c>
      <c r="I19" s="138">
        <v>6</v>
      </c>
      <c r="K19" s="62">
        <v>17</v>
      </c>
      <c r="L19" s="64">
        <v>-29.499999999999986</v>
      </c>
    </row>
    <row r="20" spans="1:12" x14ac:dyDescent="0.4">
      <c r="A20" s="93" t="s">
        <v>5</v>
      </c>
      <c r="B20" s="89">
        <f>IF(B$16=0,0,C20/B$16)</f>
        <v>9916.6301969365431</v>
      </c>
      <c r="C20" s="66">
        <v>4531900</v>
      </c>
      <c r="E20" s="102" t="s">
        <v>82</v>
      </c>
      <c r="F20" s="98" t="s">
        <v>35</v>
      </c>
      <c r="G20" s="85">
        <v>2</v>
      </c>
      <c r="H20" s="63">
        <f>IF(B$25=0,0,G20/B$25)</f>
        <v>6.7114093959731542E-3</v>
      </c>
      <c r="I20" s="138">
        <v>9</v>
      </c>
      <c r="K20" s="62">
        <v>18</v>
      </c>
      <c r="L20" s="64">
        <v>-14.599999999999985</v>
      </c>
    </row>
    <row r="21" spans="1:12" x14ac:dyDescent="0.4">
      <c r="A21" s="95" t="s">
        <v>14</v>
      </c>
      <c r="B21" s="90">
        <f>IF(B$19=0,0,C21/B$19)</f>
        <v>-9546.5608465608457</v>
      </c>
      <c r="C21" s="83">
        <v>-1804300</v>
      </c>
      <c r="E21" s="102" t="s">
        <v>83</v>
      </c>
      <c r="F21" s="98" t="s">
        <v>36</v>
      </c>
      <c r="G21" s="85">
        <v>2</v>
      </c>
      <c r="H21" s="63">
        <f>IF(B$25=0,0,G21/B$25)</f>
        <v>6.7114093959731542E-3</v>
      </c>
      <c r="I21" s="138">
        <v>7</v>
      </c>
      <c r="K21" s="62">
        <v>19</v>
      </c>
      <c r="L21" s="64">
        <v>42.600000000000016</v>
      </c>
    </row>
    <row r="22" spans="1:12" x14ac:dyDescent="0.4">
      <c r="A22" s="92" t="s">
        <v>147</v>
      </c>
      <c r="B22" s="84">
        <v>456</v>
      </c>
      <c r="C22" s="60">
        <f>IF(B$3=0,0,B22/B$3)</f>
        <v>0.34624145785876992</v>
      </c>
      <c r="E22" s="102" t="s">
        <v>92</v>
      </c>
      <c r="F22" s="98" t="s">
        <v>45</v>
      </c>
      <c r="G22" s="85">
        <v>2</v>
      </c>
      <c r="H22" s="63">
        <f>IF(B$25=0,0,G22/B$25)</f>
        <v>6.7114093959731542E-3</v>
      </c>
      <c r="I22" s="138">
        <v>1</v>
      </c>
      <c r="K22" s="62">
        <v>20</v>
      </c>
      <c r="L22" s="64">
        <v>68.800000000000011</v>
      </c>
    </row>
    <row r="23" spans="1:12" x14ac:dyDescent="0.4">
      <c r="A23" s="95" t="s">
        <v>148</v>
      </c>
      <c r="B23" s="87">
        <v>189</v>
      </c>
      <c r="C23" s="68">
        <f>IF(B$22=0,0,B23/B$22)</f>
        <v>0.41447368421052633</v>
      </c>
      <c r="E23" s="102" t="s">
        <v>97</v>
      </c>
      <c r="F23" s="98" t="s">
        <v>50</v>
      </c>
      <c r="G23" s="85">
        <v>2</v>
      </c>
      <c r="H23" s="63">
        <f>IF(B$25=0,0,G23/B$25)</f>
        <v>6.7114093959731542E-3</v>
      </c>
      <c r="I23" s="138">
        <v>3</v>
      </c>
      <c r="K23" s="62">
        <v>21</v>
      </c>
      <c r="L23" s="64">
        <v>125.30000000000001</v>
      </c>
    </row>
    <row r="24" spans="1:12" x14ac:dyDescent="0.4">
      <c r="A24" s="92" t="s">
        <v>126</v>
      </c>
      <c r="B24" s="148">
        <v>854</v>
      </c>
      <c r="C24" s="149"/>
      <c r="E24" s="102" t="s">
        <v>78</v>
      </c>
      <c r="F24" s="98" t="s">
        <v>31</v>
      </c>
      <c r="G24" s="85">
        <v>1</v>
      </c>
      <c r="H24" s="63">
        <f>IF(B$25=0,0,G24/B$25)</f>
        <v>3.3557046979865771E-3</v>
      </c>
      <c r="I24" s="138">
        <v>2</v>
      </c>
      <c r="K24" s="62">
        <v>22</v>
      </c>
      <c r="L24" s="64">
        <v>99.800000000000011</v>
      </c>
    </row>
    <row r="25" spans="1:12" x14ac:dyDescent="0.4">
      <c r="A25" s="95" t="s">
        <v>127</v>
      </c>
      <c r="B25" s="150">
        <v>298</v>
      </c>
      <c r="C25" s="151"/>
      <c r="E25" s="102" t="s">
        <v>90</v>
      </c>
      <c r="F25" s="98" t="s">
        <v>43</v>
      </c>
      <c r="G25" s="85">
        <v>1</v>
      </c>
      <c r="H25" s="63">
        <f>IF(B$25=0,0,G25/B$25)</f>
        <v>3.3557046979865771E-3</v>
      </c>
      <c r="I25" s="138">
        <v>4</v>
      </c>
      <c r="K25" s="62">
        <v>23</v>
      </c>
      <c r="L25" s="64">
        <v>124.50000000000001</v>
      </c>
    </row>
    <row r="26" spans="1:12" x14ac:dyDescent="0.4">
      <c r="A26" s="133" t="s">
        <v>164</v>
      </c>
      <c r="B26" s="144">
        <v>10</v>
      </c>
      <c r="C26" s="145"/>
      <c r="E26" s="102" t="s">
        <v>95</v>
      </c>
      <c r="F26" s="98" t="s">
        <v>48</v>
      </c>
      <c r="G26" s="85">
        <v>1</v>
      </c>
      <c r="H26" s="63">
        <f>IF(B$25=0,0,G26/B$25)</f>
        <v>3.3557046979865771E-3</v>
      </c>
      <c r="I26" s="138">
        <v>1</v>
      </c>
      <c r="K26" s="62">
        <v>24</v>
      </c>
      <c r="L26" s="64">
        <v>118.00000000000001</v>
      </c>
    </row>
    <row r="27" spans="1:12" x14ac:dyDescent="0.4">
      <c r="A27" s="96" t="s">
        <v>205</v>
      </c>
      <c r="B27" s="142">
        <v>120200</v>
      </c>
      <c r="C27" s="143"/>
      <c r="E27" s="102" t="s">
        <v>100</v>
      </c>
      <c r="F27" s="98" t="s">
        <v>53</v>
      </c>
      <c r="G27" s="85">
        <v>1</v>
      </c>
      <c r="H27" s="63">
        <f>IF(B$25=0,0,G27/B$25)</f>
        <v>3.3557046979865771E-3</v>
      </c>
      <c r="I27" s="138">
        <v>1</v>
      </c>
      <c r="K27" s="62">
        <v>25</v>
      </c>
      <c r="L27" s="64">
        <v>84.300000000000011</v>
      </c>
    </row>
    <row r="28" spans="1:12" x14ac:dyDescent="0.4">
      <c r="A28" s="95" t="s">
        <v>165</v>
      </c>
      <c r="B28" s="104">
        <v>1</v>
      </c>
      <c r="C28" s="68">
        <f>IF(B$3=0,0,B28/B$3)</f>
        <v>7.5930144267274111E-4</v>
      </c>
      <c r="E28" s="102" t="s">
        <v>111</v>
      </c>
      <c r="F28" s="98" t="s">
        <v>118</v>
      </c>
      <c r="G28" s="85">
        <v>1</v>
      </c>
      <c r="H28" s="63">
        <f>IF(B$25=0,0,G28/B$25)</f>
        <v>3.3557046979865771E-3</v>
      </c>
      <c r="I28" s="138">
        <v>1</v>
      </c>
      <c r="K28" s="62">
        <v>26</v>
      </c>
      <c r="L28" s="64">
        <v>108.20000000000002</v>
      </c>
    </row>
    <row r="29" spans="1:12" x14ac:dyDescent="0.4">
      <c r="E29" s="102" t="s">
        <v>80</v>
      </c>
      <c r="F29" s="98" t="s">
        <v>33</v>
      </c>
      <c r="G29" s="85">
        <v>0</v>
      </c>
      <c r="H29" s="63">
        <f>IF(B$25=0,0,G29/B$25)</f>
        <v>0</v>
      </c>
      <c r="I29" s="138">
        <v>1</v>
      </c>
      <c r="K29" s="62">
        <v>27</v>
      </c>
      <c r="L29" s="64">
        <v>71.200000000000017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38">
        <v>1</v>
      </c>
      <c r="K30" s="62">
        <v>28</v>
      </c>
      <c r="L30" s="64">
        <v>129.20000000000002</v>
      </c>
    </row>
    <row r="31" spans="1:12" x14ac:dyDescent="0.4">
      <c r="E31" s="102" t="s">
        <v>85</v>
      </c>
      <c r="F31" s="98" t="s">
        <v>38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120.80000000000001</v>
      </c>
    </row>
    <row r="32" spans="1:12" x14ac:dyDescent="0.4">
      <c r="E32" s="102" t="s">
        <v>87</v>
      </c>
      <c r="F32" s="98" t="s">
        <v>40</v>
      </c>
      <c r="G32" s="85">
        <v>0</v>
      </c>
      <c r="H32" s="63">
        <f>IF(B$25=0,0,G32/B$25)</f>
        <v>0</v>
      </c>
      <c r="I32" s="138">
        <v>1</v>
      </c>
      <c r="K32" s="62">
        <v>30</v>
      </c>
      <c r="L32" s="64">
        <v>112.4</v>
      </c>
    </row>
    <row r="33" spans="5:12" x14ac:dyDescent="0.4">
      <c r="E33" s="102" t="s">
        <v>89</v>
      </c>
      <c r="F33" s="98" t="s">
        <v>42</v>
      </c>
      <c r="G33" s="85">
        <v>0</v>
      </c>
      <c r="H33" s="63">
        <f>IF(B$25=0,0,G33/B$25)</f>
        <v>0</v>
      </c>
      <c r="I33" s="138">
        <v>5</v>
      </c>
      <c r="K33" s="62">
        <v>31</v>
      </c>
      <c r="L33" s="64">
        <v>165.7</v>
      </c>
    </row>
    <row r="34" spans="5:12" x14ac:dyDescent="0.4">
      <c r="E34" s="102" t="s">
        <v>93</v>
      </c>
      <c r="F34" s="98" t="s">
        <v>46</v>
      </c>
      <c r="G34" s="85">
        <v>0</v>
      </c>
      <c r="H34" s="63">
        <f>IF(B$25=0,0,G34/B$25)</f>
        <v>0</v>
      </c>
      <c r="I34" s="138">
        <v>3</v>
      </c>
      <c r="K34" s="62">
        <v>32</v>
      </c>
      <c r="L34" s="64">
        <v>151.69999999999999</v>
      </c>
    </row>
    <row r="35" spans="5:12" x14ac:dyDescent="0.4">
      <c r="E35" s="102" t="s">
        <v>98</v>
      </c>
      <c r="F35" s="98" t="s">
        <v>51</v>
      </c>
      <c r="G35" s="85">
        <v>0</v>
      </c>
      <c r="H35" s="63">
        <f>IF(B$25=0,0,G35/B$25)</f>
        <v>0</v>
      </c>
      <c r="I35" s="138">
        <v>4</v>
      </c>
      <c r="K35" s="62">
        <v>33</v>
      </c>
      <c r="L35" s="64">
        <v>212.39999999999998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262.39999999999998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248.39999999999998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244.99999999999997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227.89999999999998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248.99999999999997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198.39999999999998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190.2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183.2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146.79999999999998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138.29999999999998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38">
        <v>1</v>
      </c>
      <c r="K46" s="62">
        <v>44</v>
      </c>
      <c r="L46" s="64">
        <v>146.69999999999999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136.29999999999998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164.2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143.69999999999999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112.6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128.79999999999998</v>
      </c>
    </row>
    <row r="52" spans="5:12" x14ac:dyDescent="0.4">
      <c r="K52" s="62">
        <v>50</v>
      </c>
      <c r="L52" s="64">
        <v>123.89999999999998</v>
      </c>
    </row>
    <row r="53" spans="5:12" x14ac:dyDescent="0.4">
      <c r="K53" s="62">
        <v>51</v>
      </c>
      <c r="L53" s="64">
        <v>136.69999999999999</v>
      </c>
    </row>
    <row r="54" spans="5:12" x14ac:dyDescent="0.4">
      <c r="K54" s="62">
        <v>52</v>
      </c>
      <c r="L54" s="64">
        <v>137.39999999999998</v>
      </c>
    </row>
    <row r="55" spans="5:12" x14ac:dyDescent="0.4">
      <c r="K55" s="62">
        <v>53</v>
      </c>
      <c r="L55" s="64">
        <v>130.69999999999999</v>
      </c>
    </row>
    <row r="56" spans="5:12" x14ac:dyDescent="0.4">
      <c r="K56" s="62">
        <v>54</v>
      </c>
      <c r="L56" s="64">
        <v>102.69999999999999</v>
      </c>
    </row>
    <row r="57" spans="5:12" x14ac:dyDescent="0.4">
      <c r="K57" s="62">
        <v>55</v>
      </c>
      <c r="L57" s="64">
        <v>119.39999999999999</v>
      </c>
    </row>
    <row r="58" spans="5:12" x14ac:dyDescent="0.4">
      <c r="K58" s="62">
        <v>56</v>
      </c>
      <c r="L58" s="64">
        <v>112.39999999999999</v>
      </c>
    </row>
    <row r="59" spans="5:12" x14ac:dyDescent="0.4">
      <c r="K59" s="62">
        <v>57</v>
      </c>
      <c r="L59" s="64">
        <v>144</v>
      </c>
    </row>
    <row r="60" spans="5:12" x14ac:dyDescent="0.4">
      <c r="K60" s="62">
        <v>58</v>
      </c>
      <c r="L60" s="64">
        <v>159.80000000000001</v>
      </c>
    </row>
    <row r="61" spans="5:12" x14ac:dyDescent="0.4">
      <c r="K61" s="62">
        <v>59</v>
      </c>
      <c r="L61" s="64">
        <v>216.8</v>
      </c>
    </row>
    <row r="62" spans="5:12" x14ac:dyDescent="0.4">
      <c r="K62" s="62">
        <v>60</v>
      </c>
      <c r="L62" s="64">
        <v>222.10000000000002</v>
      </c>
    </row>
    <row r="63" spans="5:12" x14ac:dyDescent="0.4">
      <c r="K63" s="62">
        <v>61</v>
      </c>
      <c r="L63" s="64">
        <v>176.00000000000003</v>
      </c>
    </row>
    <row r="64" spans="5:12" x14ac:dyDescent="0.4">
      <c r="K64" s="62">
        <v>62</v>
      </c>
      <c r="L64" s="64">
        <v>197.10000000000002</v>
      </c>
    </row>
    <row r="65" spans="11:12" x14ac:dyDescent="0.4">
      <c r="K65" s="62">
        <v>63</v>
      </c>
      <c r="L65" s="64">
        <v>131.10000000000002</v>
      </c>
    </row>
    <row r="66" spans="11:12" x14ac:dyDescent="0.4">
      <c r="K66" s="62">
        <v>64</v>
      </c>
      <c r="L66" s="64">
        <v>126.10000000000002</v>
      </c>
    </row>
    <row r="67" spans="11:12" x14ac:dyDescent="0.4">
      <c r="K67" s="62">
        <v>65</v>
      </c>
      <c r="L67" s="64">
        <v>127.10000000000002</v>
      </c>
    </row>
    <row r="68" spans="11:12" x14ac:dyDescent="0.4">
      <c r="K68" s="62">
        <v>66</v>
      </c>
      <c r="L68" s="64">
        <v>158.70000000000002</v>
      </c>
    </row>
    <row r="69" spans="11:12" x14ac:dyDescent="0.4">
      <c r="K69" s="62">
        <v>67</v>
      </c>
      <c r="L69" s="64">
        <v>139.70000000000002</v>
      </c>
    </row>
    <row r="70" spans="11:12" x14ac:dyDescent="0.4">
      <c r="K70" s="62">
        <v>68</v>
      </c>
      <c r="L70" s="64">
        <v>129.80000000000001</v>
      </c>
    </row>
    <row r="71" spans="11:12" x14ac:dyDescent="0.4">
      <c r="K71" s="62">
        <v>69</v>
      </c>
      <c r="L71" s="64">
        <v>130.70000000000002</v>
      </c>
    </row>
    <row r="72" spans="11:12" x14ac:dyDescent="0.4">
      <c r="K72" s="62">
        <v>70</v>
      </c>
      <c r="L72" s="64">
        <v>163</v>
      </c>
    </row>
    <row r="73" spans="11:12" x14ac:dyDescent="0.4">
      <c r="K73" s="62">
        <v>71</v>
      </c>
      <c r="L73" s="64">
        <v>191.4</v>
      </c>
    </row>
    <row r="74" spans="11:12" x14ac:dyDescent="0.4">
      <c r="K74" s="62">
        <v>72</v>
      </c>
      <c r="L74" s="64">
        <v>184</v>
      </c>
    </row>
    <row r="75" spans="11:12" x14ac:dyDescent="0.4">
      <c r="K75" s="62">
        <v>73</v>
      </c>
      <c r="L75" s="64">
        <v>202.3</v>
      </c>
    </row>
    <row r="76" spans="11:12" x14ac:dyDescent="0.4">
      <c r="K76" s="62">
        <v>74</v>
      </c>
      <c r="L76" s="64">
        <v>188.4</v>
      </c>
    </row>
    <row r="77" spans="11:12" x14ac:dyDescent="0.4">
      <c r="K77" s="62">
        <v>75</v>
      </c>
      <c r="L77" s="64">
        <v>228.4</v>
      </c>
    </row>
    <row r="78" spans="11:12" x14ac:dyDescent="0.4">
      <c r="K78" s="62">
        <v>76</v>
      </c>
      <c r="L78" s="64">
        <v>233.6</v>
      </c>
    </row>
    <row r="79" spans="11:12" x14ac:dyDescent="0.4">
      <c r="K79" s="62">
        <v>77</v>
      </c>
      <c r="L79" s="64">
        <v>219.9</v>
      </c>
    </row>
    <row r="80" spans="11:12" x14ac:dyDescent="0.4">
      <c r="K80" s="62">
        <v>78</v>
      </c>
      <c r="L80" s="64">
        <v>225</v>
      </c>
    </row>
    <row r="81" spans="11:12" x14ac:dyDescent="0.4">
      <c r="K81" s="62">
        <v>79</v>
      </c>
      <c r="L81" s="64">
        <v>256.89999999999998</v>
      </c>
    </row>
    <row r="82" spans="11:12" x14ac:dyDescent="0.4">
      <c r="K82" s="62">
        <v>80</v>
      </c>
      <c r="L82" s="64">
        <v>296.89999999999998</v>
      </c>
    </row>
    <row r="83" spans="11:12" x14ac:dyDescent="0.4">
      <c r="K83" s="62">
        <v>81</v>
      </c>
      <c r="L83" s="64">
        <v>319.39999999999998</v>
      </c>
    </row>
    <row r="84" spans="11:12" x14ac:dyDescent="0.4">
      <c r="K84" s="62">
        <v>82</v>
      </c>
      <c r="L84" s="64">
        <v>350.9</v>
      </c>
    </row>
    <row r="85" spans="11:12" x14ac:dyDescent="0.4">
      <c r="K85" s="62">
        <v>83</v>
      </c>
      <c r="L85" s="64">
        <v>410.7</v>
      </c>
    </row>
    <row r="86" spans="11:12" x14ac:dyDescent="0.4">
      <c r="K86" s="62">
        <v>84</v>
      </c>
      <c r="L86" s="64">
        <v>421.8</v>
      </c>
    </row>
    <row r="87" spans="11:12" x14ac:dyDescent="0.4">
      <c r="K87" s="62">
        <v>85</v>
      </c>
      <c r="L87" s="64">
        <v>423.40000000000003</v>
      </c>
    </row>
    <row r="88" spans="11:12" x14ac:dyDescent="0.4">
      <c r="K88" s="62">
        <v>86</v>
      </c>
      <c r="L88" s="64">
        <v>402.00000000000006</v>
      </c>
    </row>
    <row r="89" spans="11:12" x14ac:dyDescent="0.4">
      <c r="K89" s="62">
        <v>87</v>
      </c>
      <c r="L89" s="64">
        <v>405.50000000000006</v>
      </c>
    </row>
    <row r="90" spans="11:12" x14ac:dyDescent="0.4">
      <c r="K90" s="62">
        <v>88</v>
      </c>
      <c r="L90" s="64">
        <v>360.00000000000006</v>
      </c>
    </row>
    <row r="91" spans="11:12" x14ac:dyDescent="0.4">
      <c r="K91" s="62">
        <v>89</v>
      </c>
      <c r="L91" s="64">
        <v>359.40000000000003</v>
      </c>
    </row>
    <row r="92" spans="11:12" x14ac:dyDescent="0.4">
      <c r="K92" s="62">
        <v>90</v>
      </c>
      <c r="L92" s="64">
        <v>385.8</v>
      </c>
    </row>
    <row r="93" spans="11:12" x14ac:dyDescent="0.4">
      <c r="K93" s="62">
        <v>91</v>
      </c>
      <c r="L93" s="64">
        <v>395.5</v>
      </c>
    </row>
    <row r="94" spans="11:12" x14ac:dyDescent="0.4">
      <c r="K94" s="62">
        <v>92</v>
      </c>
      <c r="L94" s="64">
        <v>416.6</v>
      </c>
    </row>
    <row r="95" spans="11:12" x14ac:dyDescent="0.4">
      <c r="K95" s="62">
        <v>93</v>
      </c>
      <c r="L95" s="64">
        <v>459.70000000000005</v>
      </c>
    </row>
    <row r="96" spans="11:12" x14ac:dyDescent="0.4">
      <c r="K96" s="62">
        <v>94</v>
      </c>
      <c r="L96" s="64">
        <v>453.70000000000005</v>
      </c>
    </row>
    <row r="97" spans="11:12" x14ac:dyDescent="0.4">
      <c r="K97" s="62">
        <v>95</v>
      </c>
      <c r="L97" s="64">
        <v>416.20000000000005</v>
      </c>
    </row>
    <row r="98" spans="11:12" x14ac:dyDescent="0.4">
      <c r="K98" s="62">
        <v>96</v>
      </c>
      <c r="L98" s="64">
        <v>376.70000000000005</v>
      </c>
    </row>
    <row r="99" spans="11:12" x14ac:dyDescent="0.4">
      <c r="K99" s="62">
        <v>97</v>
      </c>
      <c r="L99" s="64">
        <v>387.80000000000007</v>
      </c>
    </row>
    <row r="100" spans="11:12" x14ac:dyDescent="0.4">
      <c r="K100" s="62">
        <v>98</v>
      </c>
      <c r="L100" s="64">
        <v>385.80000000000007</v>
      </c>
    </row>
    <row r="101" spans="11:12" x14ac:dyDescent="0.4">
      <c r="K101" s="62">
        <v>99</v>
      </c>
      <c r="L101" s="64">
        <v>429.30000000000007</v>
      </c>
    </row>
    <row r="102" spans="11:12" x14ac:dyDescent="0.4">
      <c r="K102" s="62">
        <v>100</v>
      </c>
      <c r="L102" s="64">
        <v>423.70000000000005</v>
      </c>
    </row>
    <row r="103" spans="11:12" x14ac:dyDescent="0.4">
      <c r="K103" s="62">
        <v>101</v>
      </c>
      <c r="L103" s="64">
        <v>416.30000000000007</v>
      </c>
    </row>
    <row r="104" spans="11:12" x14ac:dyDescent="0.4">
      <c r="K104" s="62">
        <v>102</v>
      </c>
      <c r="L104" s="64">
        <v>378.30000000000007</v>
      </c>
    </row>
    <row r="105" spans="11:12" x14ac:dyDescent="0.4">
      <c r="K105" s="62">
        <v>103</v>
      </c>
      <c r="L105" s="64">
        <v>359.50000000000006</v>
      </c>
    </row>
    <row r="106" spans="11:12" x14ac:dyDescent="0.4">
      <c r="K106" s="62">
        <v>104</v>
      </c>
      <c r="L106" s="64">
        <v>386.50000000000006</v>
      </c>
    </row>
    <row r="107" spans="11:12" x14ac:dyDescent="0.4">
      <c r="K107" s="62">
        <v>105</v>
      </c>
      <c r="L107" s="64">
        <v>431.10000000000008</v>
      </c>
    </row>
    <row r="108" spans="11:12" x14ac:dyDescent="0.4">
      <c r="K108" s="62">
        <v>106</v>
      </c>
      <c r="L108" s="64">
        <v>438.10000000000008</v>
      </c>
    </row>
    <row r="109" spans="11:12" x14ac:dyDescent="0.4">
      <c r="K109" s="62">
        <v>107</v>
      </c>
      <c r="L109" s="64">
        <v>426.80000000000007</v>
      </c>
    </row>
    <row r="110" spans="11:12" x14ac:dyDescent="0.4">
      <c r="K110" s="62">
        <v>108</v>
      </c>
      <c r="L110" s="64">
        <v>411.30000000000007</v>
      </c>
    </row>
    <row r="111" spans="11:12" x14ac:dyDescent="0.4">
      <c r="K111" s="62">
        <v>109</v>
      </c>
      <c r="L111" s="64">
        <v>392.00000000000006</v>
      </c>
    </row>
    <row r="112" spans="11:12" x14ac:dyDescent="0.4">
      <c r="K112" s="62">
        <v>110</v>
      </c>
      <c r="L112" s="64">
        <v>416.00000000000006</v>
      </c>
    </row>
    <row r="113" spans="11:12" x14ac:dyDescent="0.4">
      <c r="K113" s="62">
        <v>111</v>
      </c>
      <c r="L113" s="64">
        <v>435.50000000000006</v>
      </c>
    </row>
    <row r="114" spans="11:12" x14ac:dyDescent="0.4">
      <c r="K114" s="62">
        <v>112</v>
      </c>
      <c r="L114" s="64">
        <v>430.10000000000008</v>
      </c>
    </row>
    <row r="115" spans="11:12" x14ac:dyDescent="0.4">
      <c r="K115" s="62">
        <v>113</v>
      </c>
      <c r="L115" s="64">
        <v>486.10000000000008</v>
      </c>
    </row>
    <row r="116" spans="11:12" x14ac:dyDescent="0.4">
      <c r="K116" s="62">
        <v>114</v>
      </c>
      <c r="L116" s="64">
        <v>503.2000000000001</v>
      </c>
    </row>
    <row r="117" spans="11:12" x14ac:dyDescent="0.4">
      <c r="K117" s="62">
        <v>115</v>
      </c>
      <c r="L117" s="64">
        <v>465.2000000000001</v>
      </c>
    </row>
    <row r="118" spans="11:12" x14ac:dyDescent="0.4">
      <c r="K118" s="62">
        <v>116</v>
      </c>
      <c r="L118" s="64">
        <v>481.7000000000001</v>
      </c>
    </row>
    <row r="119" spans="11:12" x14ac:dyDescent="0.4">
      <c r="K119" s="62">
        <v>117</v>
      </c>
      <c r="L119" s="64">
        <v>497.00000000000011</v>
      </c>
    </row>
    <row r="120" spans="11:12" x14ac:dyDescent="0.4">
      <c r="K120" s="62">
        <v>118</v>
      </c>
      <c r="L120" s="64">
        <v>508.60000000000014</v>
      </c>
    </row>
    <row r="121" spans="11:12" x14ac:dyDescent="0.4">
      <c r="K121" s="62">
        <v>119</v>
      </c>
      <c r="L121" s="64">
        <v>525.50000000000011</v>
      </c>
    </row>
    <row r="122" spans="11:12" x14ac:dyDescent="0.4">
      <c r="K122" s="62">
        <v>120</v>
      </c>
      <c r="L122" s="64">
        <v>488.00000000000011</v>
      </c>
    </row>
    <row r="123" spans="11:12" x14ac:dyDescent="0.4">
      <c r="K123" s="62">
        <v>121</v>
      </c>
      <c r="L123" s="64">
        <v>526.50000000000011</v>
      </c>
    </row>
    <row r="124" spans="11:12" x14ac:dyDescent="0.4">
      <c r="K124" s="62">
        <v>122</v>
      </c>
      <c r="L124" s="64">
        <v>480.00000000000011</v>
      </c>
    </row>
    <row r="125" spans="11:12" x14ac:dyDescent="0.4">
      <c r="K125" s="62">
        <v>123</v>
      </c>
      <c r="L125" s="64">
        <v>493.2000000000001</v>
      </c>
    </row>
    <row r="126" spans="11:12" x14ac:dyDescent="0.4">
      <c r="K126" s="62">
        <v>124</v>
      </c>
      <c r="L126" s="64">
        <v>473.7000000000001</v>
      </c>
    </row>
    <row r="127" spans="11:12" x14ac:dyDescent="0.4">
      <c r="K127" s="62">
        <v>125</v>
      </c>
      <c r="L127" s="64">
        <v>515.10000000000014</v>
      </c>
    </row>
    <row r="128" spans="11:12" x14ac:dyDescent="0.4">
      <c r="K128" s="62">
        <v>126</v>
      </c>
      <c r="L128" s="64">
        <v>542.20000000000016</v>
      </c>
    </row>
    <row r="129" spans="11:12" x14ac:dyDescent="0.4">
      <c r="K129" s="62">
        <v>127</v>
      </c>
      <c r="L129" s="64">
        <v>550.70000000000016</v>
      </c>
    </row>
    <row r="130" spans="11:12" x14ac:dyDescent="0.4">
      <c r="K130" s="62">
        <v>128</v>
      </c>
      <c r="L130" s="64">
        <v>594.00000000000011</v>
      </c>
    </row>
    <row r="131" spans="11:12" x14ac:dyDescent="0.4">
      <c r="K131" s="62">
        <v>129</v>
      </c>
      <c r="L131" s="64">
        <v>620.00000000000011</v>
      </c>
    </row>
    <row r="132" spans="11:12" x14ac:dyDescent="0.4">
      <c r="K132" s="62">
        <v>130</v>
      </c>
      <c r="L132" s="64">
        <v>631.00000000000011</v>
      </c>
    </row>
    <row r="133" spans="11:12" x14ac:dyDescent="0.4">
      <c r="K133" s="62">
        <v>131</v>
      </c>
      <c r="L133" s="64">
        <v>672.00000000000011</v>
      </c>
    </row>
    <row r="134" spans="11:12" x14ac:dyDescent="0.4">
      <c r="K134" s="62">
        <v>132</v>
      </c>
      <c r="L134" s="64">
        <v>652.20000000000016</v>
      </c>
    </row>
    <row r="135" spans="11:12" x14ac:dyDescent="0.4">
      <c r="K135" s="62">
        <v>133</v>
      </c>
      <c r="L135" s="64">
        <v>689.80000000000018</v>
      </c>
    </row>
    <row r="136" spans="11:12" x14ac:dyDescent="0.4">
      <c r="K136" s="62">
        <v>134</v>
      </c>
      <c r="L136" s="64">
        <v>697.60000000000014</v>
      </c>
    </row>
    <row r="137" spans="11:12" x14ac:dyDescent="0.4">
      <c r="K137" s="62">
        <v>135</v>
      </c>
      <c r="L137" s="64">
        <v>765.70000000000016</v>
      </c>
    </row>
    <row r="138" spans="11:12" x14ac:dyDescent="0.4">
      <c r="K138" s="62">
        <v>136</v>
      </c>
      <c r="L138" s="64">
        <v>770.9000000000002</v>
      </c>
    </row>
    <row r="139" spans="11:12" x14ac:dyDescent="0.4">
      <c r="K139" s="62">
        <v>137</v>
      </c>
      <c r="L139" s="64">
        <v>787.10000000000025</v>
      </c>
    </row>
    <row r="140" spans="11:12" x14ac:dyDescent="0.4">
      <c r="K140" s="62">
        <v>138</v>
      </c>
      <c r="L140" s="64">
        <v>811.3000000000003</v>
      </c>
    </row>
    <row r="141" spans="11:12" x14ac:dyDescent="0.4">
      <c r="K141" s="62">
        <v>139</v>
      </c>
      <c r="L141" s="64">
        <v>831.90000000000032</v>
      </c>
    </row>
    <row r="142" spans="11:12" x14ac:dyDescent="0.4">
      <c r="K142" s="62">
        <v>140</v>
      </c>
      <c r="L142" s="64">
        <v>839.20000000000027</v>
      </c>
    </row>
    <row r="143" spans="11:12" x14ac:dyDescent="0.4">
      <c r="K143" s="62">
        <v>141</v>
      </c>
      <c r="L143" s="64">
        <v>844.00000000000023</v>
      </c>
    </row>
    <row r="144" spans="11:12" x14ac:dyDescent="0.4">
      <c r="K144" s="62">
        <v>142</v>
      </c>
      <c r="L144" s="64">
        <v>848.10000000000025</v>
      </c>
    </row>
    <row r="145" spans="11:12" x14ac:dyDescent="0.4">
      <c r="K145" s="62">
        <v>143</v>
      </c>
      <c r="L145" s="64">
        <v>836.10000000000025</v>
      </c>
    </row>
    <row r="146" spans="11:12" x14ac:dyDescent="0.4">
      <c r="K146" s="62">
        <v>144</v>
      </c>
      <c r="L146" s="64">
        <v>848.60000000000025</v>
      </c>
    </row>
    <row r="147" spans="11:12" x14ac:dyDescent="0.4">
      <c r="K147" s="62">
        <v>145</v>
      </c>
      <c r="L147" s="64">
        <v>835.70000000000027</v>
      </c>
    </row>
    <row r="148" spans="11:12" x14ac:dyDescent="0.4">
      <c r="K148" s="62">
        <v>146</v>
      </c>
      <c r="L148" s="64">
        <v>851.3000000000003</v>
      </c>
    </row>
    <row r="149" spans="11:12" x14ac:dyDescent="0.4">
      <c r="K149" s="62">
        <v>147</v>
      </c>
      <c r="L149" s="64">
        <v>866.90000000000032</v>
      </c>
    </row>
    <row r="150" spans="11:12" x14ac:dyDescent="0.4">
      <c r="K150" s="62">
        <v>148</v>
      </c>
      <c r="L150" s="64">
        <v>830.90000000000032</v>
      </c>
    </row>
    <row r="151" spans="11:12" x14ac:dyDescent="0.4">
      <c r="K151" s="62">
        <v>149</v>
      </c>
      <c r="L151" s="64">
        <v>801.3000000000003</v>
      </c>
    </row>
    <row r="152" spans="11:12" x14ac:dyDescent="0.4">
      <c r="K152" s="62">
        <v>150</v>
      </c>
      <c r="L152" s="64">
        <v>808.10000000000025</v>
      </c>
    </row>
    <row r="153" spans="11:12" x14ac:dyDescent="0.4">
      <c r="K153" s="62">
        <v>151</v>
      </c>
      <c r="L153" s="64">
        <v>794.10000000000025</v>
      </c>
    </row>
    <row r="154" spans="11:12" x14ac:dyDescent="0.4">
      <c r="K154" s="62">
        <v>152</v>
      </c>
      <c r="L154" s="64">
        <v>784.10000000000025</v>
      </c>
    </row>
    <row r="155" spans="11:12" x14ac:dyDescent="0.4">
      <c r="K155" s="62">
        <v>153</v>
      </c>
      <c r="L155" s="64">
        <v>828.70000000000027</v>
      </c>
    </row>
    <row r="156" spans="11:12" x14ac:dyDescent="0.4">
      <c r="K156" s="62">
        <v>154</v>
      </c>
      <c r="L156" s="64">
        <v>824.00000000000023</v>
      </c>
    </row>
    <row r="157" spans="11:12" x14ac:dyDescent="0.4">
      <c r="K157" s="62">
        <v>155</v>
      </c>
      <c r="L157" s="64">
        <v>838.4000000000002</v>
      </c>
    </row>
    <row r="158" spans="11:12" x14ac:dyDescent="0.4">
      <c r="K158" s="62">
        <v>156</v>
      </c>
      <c r="L158" s="64">
        <v>824.4000000000002</v>
      </c>
    </row>
    <row r="159" spans="11:12" x14ac:dyDescent="0.4">
      <c r="K159" s="62">
        <v>157</v>
      </c>
      <c r="L159" s="64">
        <v>831.50000000000023</v>
      </c>
    </row>
    <row r="160" spans="11:12" x14ac:dyDescent="0.4">
      <c r="K160" s="62">
        <v>158</v>
      </c>
      <c r="L160" s="64">
        <v>851.20000000000027</v>
      </c>
    </row>
    <row r="161" spans="11:12" x14ac:dyDescent="0.4">
      <c r="K161" s="62">
        <v>159</v>
      </c>
      <c r="L161" s="64">
        <v>875.00000000000023</v>
      </c>
    </row>
    <row r="162" spans="11:12" x14ac:dyDescent="0.4">
      <c r="K162" s="62">
        <v>160</v>
      </c>
      <c r="L162" s="64">
        <v>870.20000000000027</v>
      </c>
    </row>
    <row r="163" spans="11:12" x14ac:dyDescent="0.4">
      <c r="K163" s="62">
        <v>161</v>
      </c>
      <c r="L163" s="64">
        <v>902.70000000000027</v>
      </c>
    </row>
    <row r="164" spans="11:12" x14ac:dyDescent="0.4">
      <c r="K164" s="62">
        <v>162</v>
      </c>
      <c r="L164" s="64">
        <v>919.8000000000003</v>
      </c>
    </row>
    <row r="165" spans="11:12" x14ac:dyDescent="0.4">
      <c r="K165" s="62">
        <v>163</v>
      </c>
      <c r="L165" s="64">
        <v>932.10000000000025</v>
      </c>
    </row>
    <row r="166" spans="11:12" x14ac:dyDescent="0.4">
      <c r="K166" s="62">
        <v>164</v>
      </c>
      <c r="L166" s="64">
        <v>956.4000000000002</v>
      </c>
    </row>
    <row r="167" spans="11:12" x14ac:dyDescent="0.4">
      <c r="K167" s="62">
        <v>165</v>
      </c>
      <c r="L167" s="64">
        <v>944.20000000000016</v>
      </c>
    </row>
    <row r="168" spans="11:12" x14ac:dyDescent="0.4">
      <c r="K168" s="62">
        <v>166</v>
      </c>
      <c r="L168" s="64">
        <v>942.20000000000016</v>
      </c>
    </row>
    <row r="169" spans="11:12" x14ac:dyDescent="0.4">
      <c r="K169" s="62">
        <v>167</v>
      </c>
      <c r="L169" s="64">
        <v>901.60000000000014</v>
      </c>
    </row>
    <row r="170" spans="11:12" x14ac:dyDescent="0.4">
      <c r="K170" s="62">
        <v>168</v>
      </c>
      <c r="L170" s="64">
        <v>923.30000000000018</v>
      </c>
    </row>
    <row r="171" spans="11:12" x14ac:dyDescent="0.4">
      <c r="K171" s="62">
        <v>169</v>
      </c>
      <c r="L171" s="64">
        <v>964.00000000000023</v>
      </c>
    </row>
    <row r="172" spans="11:12" x14ac:dyDescent="0.4">
      <c r="K172" s="62">
        <v>170</v>
      </c>
      <c r="L172" s="64">
        <v>972.00000000000023</v>
      </c>
    </row>
    <row r="173" spans="11:12" x14ac:dyDescent="0.4">
      <c r="K173" s="62">
        <v>171</v>
      </c>
      <c r="L173" s="64">
        <v>979.70000000000027</v>
      </c>
    </row>
    <row r="174" spans="11:12" x14ac:dyDescent="0.4">
      <c r="K174" s="62">
        <v>172</v>
      </c>
      <c r="L174" s="64">
        <v>910.70000000000027</v>
      </c>
    </row>
    <row r="175" spans="11:12" x14ac:dyDescent="0.4">
      <c r="K175" s="62">
        <v>173</v>
      </c>
      <c r="L175" s="64">
        <v>907.70000000000027</v>
      </c>
    </row>
    <row r="176" spans="11:12" x14ac:dyDescent="0.4">
      <c r="K176" s="62">
        <v>174</v>
      </c>
      <c r="L176" s="64">
        <v>905.10000000000025</v>
      </c>
    </row>
    <row r="177" spans="11:12" x14ac:dyDescent="0.4">
      <c r="K177" s="62">
        <v>175</v>
      </c>
      <c r="L177" s="64">
        <v>964.10000000000025</v>
      </c>
    </row>
    <row r="178" spans="11:12" x14ac:dyDescent="0.4">
      <c r="K178" s="62">
        <v>176</v>
      </c>
      <c r="L178" s="64">
        <v>964.10000000000025</v>
      </c>
    </row>
    <row r="179" spans="11:12" x14ac:dyDescent="0.4">
      <c r="K179" s="62">
        <v>177</v>
      </c>
      <c r="L179" s="64">
        <v>943.60000000000025</v>
      </c>
    </row>
  </sheetData>
  <sortState ref="E2:I180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A387-126C-4AAF-B22F-1C495D72ABA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172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4</v>
      </c>
      <c r="C2" s="149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">
      <c r="A3" s="93" t="s">
        <v>8</v>
      </c>
      <c r="B3" s="154">
        <v>25</v>
      </c>
      <c r="C3" s="155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38">
        <v>12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">
      <c r="A4" s="93" t="s">
        <v>6</v>
      </c>
      <c r="B4" s="156">
        <v>-132.1</v>
      </c>
      <c r="C4" s="157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38">
        <v>12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">
      <c r="A5" s="93" t="s">
        <v>7</v>
      </c>
      <c r="B5" s="156">
        <f>IF(B$2=0,0,B$4/B$2)</f>
        <v>-33.024999999999999</v>
      </c>
      <c r="C5" s="157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38">
        <v>13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">
      <c r="A6" s="93" t="s">
        <v>1</v>
      </c>
      <c r="B6" s="146">
        <f>IF(B$2=0,0,(B$7*1+B$8*2+B$9*3)/B$2)</f>
        <v>3</v>
      </c>
      <c r="C6" s="147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38">
        <v>12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38">
        <v>12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38">
        <v>13</v>
      </c>
    </row>
    <row r="9" spans="1:17" x14ac:dyDescent="0.4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38">
        <v>12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38">
        <v>12</v>
      </c>
    </row>
    <row r="12" spans="1:17" x14ac:dyDescent="0.4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38">
        <v>5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38">
        <v>4</v>
      </c>
    </row>
    <row r="14" spans="1:17" x14ac:dyDescent="0.4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38">
        <v>1</v>
      </c>
    </row>
    <row r="16" spans="1:17" x14ac:dyDescent="0.4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38">
        <v>6</v>
      </c>
    </row>
    <row r="17" spans="1:9" x14ac:dyDescent="0.4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38">
        <v>10</v>
      </c>
    </row>
    <row r="18" spans="1:9" x14ac:dyDescent="0.4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38">
        <v>9</v>
      </c>
    </row>
    <row r="19" spans="1:9" x14ac:dyDescent="0.4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38">
        <v>1</v>
      </c>
    </row>
    <row r="20" spans="1:9" x14ac:dyDescent="0.4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38">
        <v>9</v>
      </c>
    </row>
    <row r="22" spans="1:9" x14ac:dyDescent="0.4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38">
        <v>9</v>
      </c>
    </row>
    <row r="24" spans="1:9" x14ac:dyDescent="0.4">
      <c r="A24" s="92" t="s">
        <v>126</v>
      </c>
      <c r="B24" s="148">
        <v>0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38">
        <v>5</v>
      </c>
    </row>
    <row r="25" spans="1:9" x14ac:dyDescent="0.4">
      <c r="A25" s="95" t="s">
        <v>127</v>
      </c>
      <c r="B25" s="150">
        <v>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38">
        <v>5</v>
      </c>
    </row>
    <row r="26" spans="1:9" x14ac:dyDescent="0.4">
      <c r="A26" s="133" t="s">
        <v>164</v>
      </c>
      <c r="B26" s="144">
        <v>0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38">
        <v>12</v>
      </c>
    </row>
    <row r="27" spans="1:9" x14ac:dyDescent="0.4">
      <c r="A27" s="96" t="s">
        <v>205</v>
      </c>
      <c r="B27" s="142">
        <v>13000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B98E6-7DF5-4F48-B742-E37B60C28EB9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3</v>
      </c>
      <c r="C2" s="149"/>
      <c r="E2" s="101" t="s">
        <v>70</v>
      </c>
      <c r="F2" s="97" t="s">
        <v>24</v>
      </c>
      <c r="G2" s="84">
        <v>2</v>
      </c>
      <c r="H2" s="60">
        <f>IF(B$25=0,0,G2/B$25)</f>
        <v>2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">
      <c r="A3" s="93" t="s">
        <v>8</v>
      </c>
      <c r="B3" s="154">
        <v>16</v>
      </c>
      <c r="C3" s="155"/>
      <c r="E3" s="102" t="s">
        <v>67</v>
      </c>
      <c r="F3" s="98" t="s">
        <v>21</v>
      </c>
      <c r="G3" s="85">
        <v>1</v>
      </c>
      <c r="H3" s="63">
        <f>IF(B$25=0,0,G3/B$25)</f>
        <v>1</v>
      </c>
      <c r="I3" s="138">
        <v>1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">
      <c r="A4" s="93" t="s">
        <v>6</v>
      </c>
      <c r="B4" s="156">
        <v>-26.5</v>
      </c>
      <c r="C4" s="157"/>
      <c r="E4" s="102" t="s">
        <v>73</v>
      </c>
      <c r="F4" s="98" t="s">
        <v>26</v>
      </c>
      <c r="G4" s="85">
        <v>1</v>
      </c>
      <c r="H4" s="63">
        <f>IF(B$25=0,0,G4/B$25)</f>
        <v>1</v>
      </c>
      <c r="I4" s="138">
        <v>1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">
      <c r="A5" s="93" t="s">
        <v>7</v>
      </c>
      <c r="B5" s="156">
        <f>IF(B$2=0,0,B$4/B$2)</f>
        <v>-8.8333333333333339</v>
      </c>
      <c r="C5" s="157"/>
      <c r="E5" s="102" t="s">
        <v>75</v>
      </c>
      <c r="F5" s="98" t="s">
        <v>28</v>
      </c>
      <c r="G5" s="85">
        <v>1</v>
      </c>
      <c r="H5" s="63">
        <f>IF(B$25=0,0,G5/B$25)</f>
        <v>1</v>
      </c>
      <c r="I5" s="138">
        <v>1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">
      <c r="A6" s="93" t="s">
        <v>1</v>
      </c>
      <c r="B6" s="146">
        <f>IF(B$2=0,0,(B$7*1+B$8*2+B$9*3)/B$2)</f>
        <v>2.3333333333333335</v>
      </c>
      <c r="C6" s="147"/>
      <c r="E6" s="102" t="s">
        <v>68</v>
      </c>
      <c r="F6" s="98" t="s">
        <v>22</v>
      </c>
      <c r="G6" s="85">
        <v>0</v>
      </c>
      <c r="H6" s="63">
        <f>IF(B$25=0,0,G6/B$25)</f>
        <v>0</v>
      </c>
      <c r="I6" s="138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I7" s="138">
        <v>12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  <c r="I8" s="138">
        <v>12</v>
      </c>
    </row>
    <row r="9" spans="1:17" x14ac:dyDescent="0.4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  <c r="I9" s="138">
        <v>12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  <c r="I10" s="138">
        <v>11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38">
        <v>12</v>
      </c>
    </row>
    <row r="12" spans="1:17" x14ac:dyDescent="0.4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38">
        <v>5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38">
        <v>4</v>
      </c>
    </row>
    <row r="14" spans="1:17" x14ac:dyDescent="0.4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38">
        <v>1</v>
      </c>
    </row>
    <row r="16" spans="1:17" x14ac:dyDescent="0.4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38">
        <v>6</v>
      </c>
    </row>
    <row r="17" spans="1:9" x14ac:dyDescent="0.4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38">
        <v>10</v>
      </c>
    </row>
    <row r="18" spans="1:9" x14ac:dyDescent="0.4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38">
        <v>9</v>
      </c>
    </row>
    <row r="19" spans="1:9" x14ac:dyDescent="0.4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38">
        <v>1</v>
      </c>
    </row>
    <row r="20" spans="1:9" x14ac:dyDescent="0.4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38">
        <v>9</v>
      </c>
    </row>
    <row r="22" spans="1:9" x14ac:dyDescent="0.4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38">
        <v>9</v>
      </c>
    </row>
    <row r="24" spans="1:9" x14ac:dyDescent="0.4">
      <c r="A24" s="92" t="s">
        <v>126</v>
      </c>
      <c r="B24" s="148">
        <v>11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38">
        <v>5</v>
      </c>
    </row>
    <row r="25" spans="1:9" x14ac:dyDescent="0.4">
      <c r="A25" s="95" t="s">
        <v>127</v>
      </c>
      <c r="B25" s="150">
        <v>1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38">
        <v>5</v>
      </c>
    </row>
    <row r="26" spans="1:9" x14ac:dyDescent="0.4">
      <c r="A26" s="133" t="s">
        <v>164</v>
      </c>
      <c r="B26" s="144">
        <v>2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38">
        <v>12</v>
      </c>
    </row>
    <row r="27" spans="1:9" x14ac:dyDescent="0.4">
      <c r="A27" s="96" t="s">
        <v>205</v>
      </c>
      <c r="B27" s="142">
        <v>42000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E8A54-80F7-4B01-AF4B-16A8BF4FD96B}">
  <sheetPr codeName="Sheet13"/>
  <dimension ref="A1:Q11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134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109</v>
      </c>
      <c r="C2" s="149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I2" s="137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">
      <c r="A3" s="93" t="s">
        <v>8</v>
      </c>
      <c r="B3" s="154">
        <v>838</v>
      </c>
      <c r="C3" s="155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I3" s="138">
        <v>8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">
      <c r="A4" s="93" t="s">
        <v>6</v>
      </c>
      <c r="B4" s="156">
        <v>-462.89999999999992</v>
      </c>
      <c r="C4" s="157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I4" s="138">
        <v>6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">
      <c r="A5" s="93" t="s">
        <v>7</v>
      </c>
      <c r="B5" s="156">
        <f>IF(B$2=0,0,B$4/B$2)</f>
        <v>-4.2467889908256877</v>
      </c>
      <c r="C5" s="157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I5" s="138">
        <v>8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">
      <c r="A6" s="93" t="s">
        <v>1</v>
      </c>
      <c r="B6" s="146">
        <f>IF(B$2=0,0,(B$7*1+B$8*2+B$9*3)/B$2)</f>
        <v>2.1284403669724772</v>
      </c>
      <c r="C6" s="147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I6" s="138">
        <v>2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I7" s="138">
        <v>8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I8" s="138">
        <v>3</v>
      </c>
      <c r="K8" s="62">
        <v>6</v>
      </c>
      <c r="L8" s="64">
        <v>47.6</v>
      </c>
    </row>
    <row r="9" spans="1:17" x14ac:dyDescent="0.4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I9" s="138">
        <v>3</v>
      </c>
      <c r="K9" s="62">
        <v>7</v>
      </c>
      <c r="L9" s="64">
        <v>100.1</v>
      </c>
    </row>
    <row r="10" spans="1:17" x14ac:dyDescent="0.4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I10" s="138">
        <v>7</v>
      </c>
      <c r="K10" s="62">
        <v>8</v>
      </c>
      <c r="L10" s="64">
        <v>60.199999999999996</v>
      </c>
    </row>
    <row r="11" spans="1:17" x14ac:dyDescent="0.4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I11" s="138">
        <v>2</v>
      </c>
      <c r="K11" s="62">
        <v>9</v>
      </c>
      <c r="L11" s="64">
        <v>24.4</v>
      </c>
    </row>
    <row r="12" spans="1:17" x14ac:dyDescent="0.4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I12" s="138">
        <v>4</v>
      </c>
      <c r="K12" s="62">
        <v>10</v>
      </c>
      <c r="L12" s="64">
        <v>-20.100000000000001</v>
      </c>
    </row>
    <row r="13" spans="1:17" x14ac:dyDescent="0.4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I13" s="138">
        <v>2</v>
      </c>
      <c r="K13" s="62">
        <v>11</v>
      </c>
      <c r="L13" s="64">
        <v>-3.6000000000000014</v>
      </c>
    </row>
    <row r="14" spans="1:17" x14ac:dyDescent="0.4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I14" s="138">
        <v>2</v>
      </c>
      <c r="K14" s="62">
        <v>12</v>
      </c>
      <c r="L14" s="64">
        <v>-12.000000000000002</v>
      </c>
    </row>
    <row r="15" spans="1:17" x14ac:dyDescent="0.4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I15" s="138">
        <v>3</v>
      </c>
      <c r="K15" s="62">
        <v>13</v>
      </c>
      <c r="L15" s="64">
        <v>49.5</v>
      </c>
    </row>
    <row r="16" spans="1:17" x14ac:dyDescent="0.4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I16" s="138">
        <v>9</v>
      </c>
      <c r="K16" s="62">
        <v>14</v>
      </c>
      <c r="L16" s="64">
        <v>33</v>
      </c>
    </row>
    <row r="17" spans="1:12" x14ac:dyDescent="0.4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38">
        <v>8</v>
      </c>
      <c r="K17" s="62">
        <v>15</v>
      </c>
      <c r="L17" s="64">
        <v>38.5</v>
      </c>
    </row>
    <row r="18" spans="1:12" x14ac:dyDescent="0.4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38">
        <v>4</v>
      </c>
      <c r="K18" s="62">
        <v>16</v>
      </c>
      <c r="L18" s="64">
        <v>14.600000000000001</v>
      </c>
    </row>
    <row r="19" spans="1:12" x14ac:dyDescent="0.4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I19" s="138">
        <v>2</v>
      </c>
      <c r="K19" s="62">
        <v>17</v>
      </c>
      <c r="L19" s="64">
        <v>13.900000000000002</v>
      </c>
    </row>
    <row r="20" spans="1:12" x14ac:dyDescent="0.4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I20" s="138">
        <v>2</v>
      </c>
      <c r="K20" s="62">
        <v>18</v>
      </c>
      <c r="L20" s="64">
        <v>-21.999999999999996</v>
      </c>
    </row>
    <row r="21" spans="1:12" x14ac:dyDescent="0.4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I21" s="138">
        <v>1</v>
      </c>
      <c r="K21" s="62">
        <v>19</v>
      </c>
      <c r="L21" s="64">
        <v>-26.699999999999996</v>
      </c>
    </row>
    <row r="22" spans="1:12" x14ac:dyDescent="0.4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I22" s="138">
        <v>2</v>
      </c>
      <c r="K22" s="62">
        <v>20</v>
      </c>
      <c r="L22" s="64">
        <v>-57.899999999999991</v>
      </c>
    </row>
    <row r="23" spans="1:12" x14ac:dyDescent="0.4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I23" s="138">
        <v>2</v>
      </c>
      <c r="K23" s="62">
        <v>21</v>
      </c>
      <c r="L23" s="64">
        <v>-82.699999999999989</v>
      </c>
    </row>
    <row r="24" spans="1:12" x14ac:dyDescent="0.4">
      <c r="A24" s="92" t="s">
        <v>126</v>
      </c>
      <c r="B24" s="148">
        <v>577</v>
      </c>
      <c r="C24" s="149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I24" s="138">
        <v>1</v>
      </c>
      <c r="K24" s="62">
        <v>22</v>
      </c>
      <c r="L24" s="64">
        <v>-94.6</v>
      </c>
    </row>
    <row r="25" spans="1:12" x14ac:dyDescent="0.4">
      <c r="A25" s="95" t="s">
        <v>127</v>
      </c>
      <c r="B25" s="150">
        <v>154</v>
      </c>
      <c r="C25" s="151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I25" s="138">
        <v>5</v>
      </c>
      <c r="K25" s="62">
        <v>23</v>
      </c>
      <c r="L25" s="64">
        <v>-111.3</v>
      </c>
    </row>
    <row r="26" spans="1:12" x14ac:dyDescent="0.4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I26" s="138">
        <v>4</v>
      </c>
      <c r="K26" s="62">
        <v>24</v>
      </c>
      <c r="L26" s="64">
        <v>-68.099999999999994</v>
      </c>
    </row>
    <row r="27" spans="1:12" x14ac:dyDescent="0.4">
      <c r="A27" s="96" t="s">
        <v>205</v>
      </c>
      <c r="B27" s="142">
        <v>96500</v>
      </c>
      <c r="C27" s="143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I27" s="138">
        <v>6</v>
      </c>
      <c r="K27" s="62">
        <v>25</v>
      </c>
      <c r="L27" s="64">
        <v>-70.899999999999991</v>
      </c>
    </row>
    <row r="28" spans="1:12" x14ac:dyDescent="0.4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I28" s="138">
        <v>1</v>
      </c>
      <c r="K28" s="62">
        <v>26</v>
      </c>
      <c r="L28" s="64">
        <v>-125.89999999999999</v>
      </c>
    </row>
    <row r="29" spans="1:12" x14ac:dyDescent="0.4">
      <c r="E29" s="102" t="s">
        <v>81</v>
      </c>
      <c r="F29" s="98" t="s">
        <v>34</v>
      </c>
      <c r="G29" s="85">
        <v>0</v>
      </c>
      <c r="H29" s="63">
        <f>IF(B$25=0,0,G29/B$25)</f>
        <v>0</v>
      </c>
      <c r="I29" s="138">
        <v>6</v>
      </c>
      <c r="K29" s="62">
        <v>27</v>
      </c>
      <c r="L29" s="64">
        <v>-163.6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38">
        <v>1</v>
      </c>
      <c r="K30" s="62">
        <v>28</v>
      </c>
      <c r="L30" s="64">
        <v>-169.5</v>
      </c>
    </row>
    <row r="31" spans="1:12" x14ac:dyDescent="0.4">
      <c r="E31" s="102" t="s">
        <v>87</v>
      </c>
      <c r="F31" s="98" t="s">
        <v>40</v>
      </c>
      <c r="G31" s="85">
        <v>0</v>
      </c>
      <c r="H31" s="63">
        <f>IF(B$25=0,0,G31/B$25)</f>
        <v>0</v>
      </c>
      <c r="I31" s="138">
        <v>1</v>
      </c>
      <c r="K31" s="62">
        <v>29</v>
      </c>
      <c r="L31" s="64">
        <v>-163.30000000000001</v>
      </c>
    </row>
    <row r="32" spans="1:12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38">
        <v>3</v>
      </c>
      <c r="K32" s="62">
        <v>30</v>
      </c>
      <c r="L32" s="64">
        <v>-209.4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  <c r="K33" s="62">
        <v>31</v>
      </c>
      <c r="L33" s="64">
        <v>-259.89999999999998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-253.59999999999997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-234.89999999999998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-229.79999999999998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-254.29999999999998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-204.29999999999998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-249.29999999999998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-242.49999999999997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-244.59999999999997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-279.7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-320.09999999999997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-314.29999999999995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-284.79999999999995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-239.89999999999995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-256.29999999999995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-280.59999999999997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-264.59999999999997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-288.79999999999995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-282.99999999999994</v>
      </c>
    </row>
    <row r="52" spans="5:12" x14ac:dyDescent="0.4">
      <c r="K52" s="62">
        <v>50</v>
      </c>
      <c r="L52" s="64">
        <v>-287.09999999999997</v>
      </c>
    </row>
    <row r="53" spans="5:12" x14ac:dyDescent="0.4">
      <c r="K53" s="62">
        <v>51</v>
      </c>
      <c r="L53" s="64">
        <v>-269.59999999999997</v>
      </c>
    </row>
    <row r="54" spans="5:12" x14ac:dyDescent="0.4">
      <c r="K54" s="62">
        <v>52</v>
      </c>
      <c r="L54" s="64">
        <v>-308.09999999999997</v>
      </c>
    </row>
    <row r="55" spans="5:12" x14ac:dyDescent="0.4">
      <c r="K55" s="62">
        <v>53</v>
      </c>
      <c r="L55" s="64">
        <v>-336.49999999999994</v>
      </c>
    </row>
    <row r="56" spans="5:12" x14ac:dyDescent="0.4">
      <c r="K56" s="62">
        <v>54</v>
      </c>
      <c r="L56" s="64">
        <v>-378.89999999999992</v>
      </c>
    </row>
    <row r="57" spans="5:12" x14ac:dyDescent="0.4">
      <c r="K57" s="62">
        <v>55</v>
      </c>
      <c r="L57" s="64">
        <v>-364.2999999999999</v>
      </c>
    </row>
    <row r="58" spans="5:12" x14ac:dyDescent="0.4">
      <c r="K58" s="62">
        <v>56</v>
      </c>
      <c r="L58" s="64">
        <v>-316.2999999999999</v>
      </c>
    </row>
    <row r="59" spans="5:12" x14ac:dyDescent="0.4">
      <c r="K59" s="62">
        <v>57</v>
      </c>
      <c r="L59" s="64">
        <v>-312.49999999999989</v>
      </c>
    </row>
    <row r="60" spans="5:12" x14ac:dyDescent="0.4">
      <c r="K60" s="62">
        <v>58</v>
      </c>
      <c r="L60" s="64">
        <v>-254.59999999999988</v>
      </c>
    </row>
    <row r="61" spans="5:12" x14ac:dyDescent="0.4">
      <c r="K61" s="62">
        <v>59</v>
      </c>
      <c r="L61" s="64">
        <v>-205.09999999999988</v>
      </c>
    </row>
    <row r="62" spans="5:12" x14ac:dyDescent="0.4">
      <c r="K62" s="62">
        <v>60</v>
      </c>
      <c r="L62" s="64">
        <v>-214.59999999999988</v>
      </c>
    </row>
    <row r="63" spans="5:12" x14ac:dyDescent="0.4">
      <c r="K63" s="62">
        <v>61</v>
      </c>
      <c r="L63" s="64">
        <v>-211.89999999999989</v>
      </c>
    </row>
    <row r="64" spans="5:12" x14ac:dyDescent="0.4">
      <c r="K64" s="62">
        <v>62</v>
      </c>
      <c r="L64" s="64">
        <v>-250.89999999999989</v>
      </c>
    </row>
    <row r="65" spans="11:12" x14ac:dyDescent="0.4">
      <c r="K65" s="62">
        <v>63</v>
      </c>
      <c r="L65" s="64">
        <v>-290.99999999999989</v>
      </c>
    </row>
    <row r="66" spans="11:12" x14ac:dyDescent="0.4">
      <c r="K66" s="62">
        <v>64</v>
      </c>
      <c r="L66" s="64">
        <v>-356.99999999999989</v>
      </c>
    </row>
    <row r="67" spans="11:12" x14ac:dyDescent="0.4">
      <c r="K67" s="62">
        <v>65</v>
      </c>
      <c r="L67" s="64">
        <v>-381.09999999999991</v>
      </c>
    </row>
    <row r="68" spans="11:12" x14ac:dyDescent="0.4">
      <c r="K68" s="62">
        <v>66</v>
      </c>
      <c r="L68" s="64">
        <v>-378.49999999999989</v>
      </c>
    </row>
    <row r="69" spans="11:12" x14ac:dyDescent="0.4">
      <c r="K69" s="62">
        <v>67</v>
      </c>
      <c r="L69" s="64">
        <v>-371.19999999999987</v>
      </c>
    </row>
    <row r="70" spans="11:12" x14ac:dyDescent="0.4">
      <c r="K70" s="62">
        <v>68</v>
      </c>
      <c r="L70" s="64">
        <v>-407.2999999999999</v>
      </c>
    </row>
    <row r="71" spans="11:12" x14ac:dyDescent="0.4">
      <c r="K71" s="62">
        <v>69</v>
      </c>
      <c r="L71" s="64">
        <v>-412.49999999999989</v>
      </c>
    </row>
    <row r="72" spans="11:12" x14ac:dyDescent="0.4">
      <c r="K72" s="62">
        <v>70</v>
      </c>
      <c r="L72" s="64">
        <v>-379.49999999999989</v>
      </c>
    </row>
    <row r="73" spans="11:12" x14ac:dyDescent="0.4">
      <c r="K73" s="62">
        <v>71</v>
      </c>
      <c r="L73" s="64">
        <v>-374.2999999999999</v>
      </c>
    </row>
    <row r="74" spans="11:12" x14ac:dyDescent="0.4">
      <c r="K74" s="62">
        <v>72</v>
      </c>
      <c r="L74" s="64">
        <v>-409.7999999999999</v>
      </c>
    </row>
    <row r="75" spans="11:12" x14ac:dyDescent="0.4">
      <c r="K75" s="62">
        <v>73</v>
      </c>
      <c r="L75" s="64">
        <v>-393.59999999999991</v>
      </c>
    </row>
    <row r="76" spans="11:12" x14ac:dyDescent="0.4">
      <c r="K76" s="62">
        <v>74</v>
      </c>
      <c r="L76" s="64">
        <v>-399.49999999999989</v>
      </c>
    </row>
    <row r="77" spans="11:12" x14ac:dyDescent="0.4">
      <c r="K77" s="62">
        <v>75</v>
      </c>
      <c r="L77" s="64">
        <v>-419.69999999999987</v>
      </c>
    </row>
    <row r="78" spans="11:12" x14ac:dyDescent="0.4">
      <c r="K78" s="62">
        <v>76</v>
      </c>
      <c r="L78" s="64">
        <v>-369.69999999999987</v>
      </c>
    </row>
    <row r="79" spans="11:12" x14ac:dyDescent="0.4">
      <c r="K79" s="62">
        <v>77</v>
      </c>
      <c r="L79" s="64">
        <v>-381.7999999999999</v>
      </c>
    </row>
    <row r="80" spans="11:12" x14ac:dyDescent="0.4">
      <c r="K80" s="62">
        <v>78</v>
      </c>
      <c r="L80" s="64">
        <v>-365.99999999999989</v>
      </c>
    </row>
    <row r="81" spans="11:12" x14ac:dyDescent="0.4">
      <c r="K81" s="62">
        <v>79</v>
      </c>
      <c r="L81" s="64">
        <v>-383.99999999999989</v>
      </c>
    </row>
    <row r="82" spans="11:12" x14ac:dyDescent="0.4">
      <c r="K82" s="62">
        <v>80</v>
      </c>
      <c r="L82" s="64">
        <v>-390.7999999999999</v>
      </c>
    </row>
    <row r="83" spans="11:12" x14ac:dyDescent="0.4">
      <c r="K83" s="62">
        <v>81</v>
      </c>
      <c r="L83" s="64">
        <v>-378.99999999999989</v>
      </c>
    </row>
    <row r="84" spans="11:12" x14ac:dyDescent="0.4">
      <c r="K84" s="62">
        <v>82</v>
      </c>
      <c r="L84" s="64">
        <v>-398.59999999999991</v>
      </c>
    </row>
    <row r="85" spans="11:12" x14ac:dyDescent="0.4">
      <c r="K85" s="62">
        <v>83</v>
      </c>
      <c r="L85" s="64">
        <v>-397.39999999999992</v>
      </c>
    </row>
    <row r="86" spans="11:12" x14ac:dyDescent="0.4">
      <c r="K86" s="62">
        <v>84</v>
      </c>
      <c r="L86" s="64">
        <v>-371.89999999999992</v>
      </c>
    </row>
    <row r="87" spans="11:12" x14ac:dyDescent="0.4">
      <c r="K87" s="62">
        <v>85</v>
      </c>
      <c r="L87" s="64">
        <v>-409.89999999999992</v>
      </c>
    </row>
    <row r="88" spans="11:12" x14ac:dyDescent="0.4">
      <c r="K88" s="62">
        <v>86</v>
      </c>
      <c r="L88" s="64">
        <v>-386.39999999999992</v>
      </c>
    </row>
    <row r="89" spans="11:12" x14ac:dyDescent="0.4">
      <c r="K89" s="62">
        <v>87</v>
      </c>
      <c r="L89" s="64">
        <v>-360.69999999999993</v>
      </c>
    </row>
    <row r="90" spans="11:12" x14ac:dyDescent="0.4">
      <c r="K90" s="62">
        <v>88</v>
      </c>
      <c r="L90" s="64">
        <v>-377.49999999999994</v>
      </c>
    </row>
    <row r="91" spans="11:12" x14ac:dyDescent="0.4">
      <c r="K91" s="62">
        <v>89</v>
      </c>
      <c r="L91" s="64">
        <v>-410.29999999999995</v>
      </c>
    </row>
    <row r="92" spans="11:12" x14ac:dyDescent="0.4">
      <c r="K92" s="62">
        <v>90</v>
      </c>
      <c r="L92" s="64">
        <v>-405.79999999999995</v>
      </c>
    </row>
    <row r="93" spans="11:12" x14ac:dyDescent="0.4">
      <c r="K93" s="62">
        <v>91</v>
      </c>
      <c r="L93" s="64">
        <v>-395.29999999999995</v>
      </c>
    </row>
    <row r="94" spans="11:12" x14ac:dyDescent="0.4">
      <c r="K94" s="62">
        <v>92</v>
      </c>
      <c r="L94" s="64">
        <v>-365.49999999999994</v>
      </c>
    </row>
    <row r="95" spans="11:12" x14ac:dyDescent="0.4">
      <c r="K95" s="62">
        <v>93</v>
      </c>
      <c r="L95" s="64">
        <v>-401.99999999999994</v>
      </c>
    </row>
    <row r="96" spans="11:12" x14ac:dyDescent="0.4">
      <c r="K96" s="62">
        <v>94</v>
      </c>
      <c r="L96" s="64">
        <v>-372.59999999999997</v>
      </c>
    </row>
    <row r="97" spans="11:12" x14ac:dyDescent="0.4">
      <c r="K97" s="62">
        <v>95</v>
      </c>
      <c r="L97" s="64">
        <v>-399.4</v>
      </c>
    </row>
    <row r="98" spans="11:12" x14ac:dyDescent="0.4">
      <c r="K98" s="62">
        <v>96</v>
      </c>
      <c r="L98" s="64">
        <v>-381</v>
      </c>
    </row>
    <row r="99" spans="11:12" x14ac:dyDescent="0.4">
      <c r="K99" s="62">
        <v>97</v>
      </c>
      <c r="L99" s="64">
        <v>-393.5</v>
      </c>
    </row>
    <row r="100" spans="11:12" x14ac:dyDescent="0.4">
      <c r="K100" s="62">
        <v>98</v>
      </c>
      <c r="L100" s="64">
        <v>-333</v>
      </c>
    </row>
    <row r="101" spans="11:12" x14ac:dyDescent="0.4">
      <c r="K101" s="62">
        <v>99</v>
      </c>
      <c r="L101" s="64">
        <v>-362.5</v>
      </c>
    </row>
    <row r="102" spans="11:12" x14ac:dyDescent="0.4">
      <c r="K102" s="62">
        <v>100</v>
      </c>
      <c r="L102" s="64">
        <v>-376.4</v>
      </c>
    </row>
    <row r="103" spans="11:12" x14ac:dyDescent="0.4">
      <c r="K103" s="62">
        <v>101</v>
      </c>
      <c r="L103" s="64">
        <v>-374.7</v>
      </c>
    </row>
    <row r="104" spans="11:12" x14ac:dyDescent="0.4">
      <c r="K104" s="62">
        <v>102</v>
      </c>
      <c r="L104" s="64">
        <v>-401.4</v>
      </c>
    </row>
    <row r="105" spans="11:12" x14ac:dyDescent="0.4">
      <c r="K105" s="62">
        <v>103</v>
      </c>
      <c r="L105" s="64">
        <v>-426.9</v>
      </c>
    </row>
    <row r="106" spans="11:12" x14ac:dyDescent="0.4">
      <c r="K106" s="62">
        <v>104</v>
      </c>
      <c r="L106" s="64">
        <v>-436.4</v>
      </c>
    </row>
    <row r="107" spans="11:12" x14ac:dyDescent="0.4">
      <c r="K107" s="62">
        <v>105</v>
      </c>
      <c r="L107" s="64">
        <v>-425.59999999999997</v>
      </c>
    </row>
    <row r="108" spans="11:12" x14ac:dyDescent="0.4">
      <c r="K108" s="62">
        <v>106</v>
      </c>
      <c r="L108" s="64">
        <v>-438.49999999999994</v>
      </c>
    </row>
    <row r="109" spans="11:12" x14ac:dyDescent="0.4">
      <c r="K109" s="62">
        <v>107</v>
      </c>
      <c r="L109" s="64">
        <v>-433.59999999999997</v>
      </c>
    </row>
    <row r="110" spans="11:12" x14ac:dyDescent="0.4">
      <c r="K110" s="62">
        <v>108</v>
      </c>
      <c r="L110" s="64">
        <v>-426.99999999999994</v>
      </c>
    </row>
    <row r="111" spans="11:12" x14ac:dyDescent="0.4">
      <c r="K111" s="62">
        <v>109</v>
      </c>
      <c r="L111" s="64">
        <v>-462.89999999999992</v>
      </c>
    </row>
  </sheetData>
  <sortState ref="E2:I11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DAE49-40A1-4FE3-BA9B-DD7AA5A3EDC8}">
  <sheetPr codeName="Sheet15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135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54</v>
      </c>
      <c r="C2" s="149"/>
      <c r="E2" s="101" t="s">
        <v>69</v>
      </c>
      <c r="F2" s="97" t="s">
        <v>23</v>
      </c>
      <c r="G2" s="84">
        <v>49</v>
      </c>
      <c r="H2" s="60">
        <f>IF(B$25=0,0,G2/B$25)</f>
        <v>0.98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">
      <c r="A3" s="93" t="s">
        <v>8</v>
      </c>
      <c r="B3" s="154">
        <v>385</v>
      </c>
      <c r="C3" s="155"/>
      <c r="E3" s="102" t="s">
        <v>71</v>
      </c>
      <c r="F3" s="98" t="s">
        <v>25</v>
      </c>
      <c r="G3" s="85">
        <v>46</v>
      </c>
      <c r="H3" s="63">
        <f>IF(B$25=0,0,G3/B$25)</f>
        <v>0.92</v>
      </c>
      <c r="I3" s="138">
        <v>3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">
      <c r="A4" s="93" t="s">
        <v>6</v>
      </c>
      <c r="B4" s="156">
        <v>250.50000000000003</v>
      </c>
      <c r="C4" s="157"/>
      <c r="E4" s="102" t="s">
        <v>76</v>
      </c>
      <c r="F4" s="98" t="s">
        <v>29</v>
      </c>
      <c r="G4" s="85">
        <v>30</v>
      </c>
      <c r="H4" s="63">
        <f>IF(B$25=0,0,G4/B$25)</f>
        <v>0.6</v>
      </c>
      <c r="I4" s="138">
        <v>4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">
      <c r="A5" s="93" t="s">
        <v>7</v>
      </c>
      <c r="B5" s="156">
        <f>IF(B$2=0,0,B$4/B$2)</f>
        <v>4.6388888888888893</v>
      </c>
      <c r="C5" s="157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38">
        <v>10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">
      <c r="A6" s="93" t="s">
        <v>1</v>
      </c>
      <c r="B6" s="146">
        <f>IF(B$2=0,0,(B$7*1+B$8*2+B$9*3)/B$2)</f>
        <v>1.8888888888888888</v>
      </c>
      <c r="C6" s="147"/>
      <c r="E6" s="102" t="s">
        <v>70</v>
      </c>
      <c r="F6" s="98" t="s">
        <v>24</v>
      </c>
      <c r="G6" s="85">
        <v>17</v>
      </c>
      <c r="H6" s="63">
        <f>IF(B$25=0,0,G6/B$25)</f>
        <v>0.34</v>
      </c>
      <c r="I6" s="138">
        <v>5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38">
        <v>6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38">
        <v>10</v>
      </c>
      <c r="K8" s="62">
        <v>6</v>
      </c>
      <c r="L8" s="64">
        <v>-50.6</v>
      </c>
    </row>
    <row r="9" spans="1:17" x14ac:dyDescent="0.4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38">
        <v>7</v>
      </c>
      <c r="K9" s="62">
        <v>7</v>
      </c>
      <c r="L9" s="64">
        <v>-47.6</v>
      </c>
    </row>
    <row r="10" spans="1:17" x14ac:dyDescent="0.4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I10" s="138">
        <v>11</v>
      </c>
      <c r="K10" s="62">
        <v>8</v>
      </c>
      <c r="L10" s="64">
        <v>-59.1</v>
      </c>
    </row>
    <row r="11" spans="1:17" x14ac:dyDescent="0.4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I11" s="138">
        <v>3</v>
      </c>
      <c r="K11" s="62">
        <v>9</v>
      </c>
      <c r="L11" s="64">
        <v>-77.900000000000006</v>
      </c>
    </row>
    <row r="12" spans="1:17" x14ac:dyDescent="0.4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I12" s="138">
        <v>8</v>
      </c>
      <c r="K12" s="62">
        <v>10</v>
      </c>
      <c r="L12" s="64">
        <v>-78.900000000000006</v>
      </c>
    </row>
    <row r="13" spans="1:17" x14ac:dyDescent="0.4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I13" s="138">
        <v>9</v>
      </c>
      <c r="K13" s="62">
        <v>11</v>
      </c>
      <c r="L13" s="64">
        <v>-88.9</v>
      </c>
    </row>
    <row r="14" spans="1:17" x14ac:dyDescent="0.4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I14" s="138">
        <v>2</v>
      </c>
      <c r="K14" s="62">
        <v>12</v>
      </c>
      <c r="L14" s="64">
        <v>-23.5</v>
      </c>
    </row>
    <row r="15" spans="1:17" x14ac:dyDescent="0.4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I15" s="138">
        <v>11</v>
      </c>
      <c r="K15" s="62">
        <v>13</v>
      </c>
      <c r="L15" s="64">
        <v>-12.4</v>
      </c>
    </row>
    <row r="16" spans="1:17" x14ac:dyDescent="0.4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I16" s="138">
        <v>7</v>
      </c>
      <c r="K16" s="62">
        <v>14</v>
      </c>
      <c r="L16" s="64">
        <v>38.6</v>
      </c>
    </row>
    <row r="17" spans="1:12" x14ac:dyDescent="0.4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I17" s="138">
        <v>1</v>
      </c>
      <c r="K17" s="62">
        <v>15</v>
      </c>
      <c r="L17" s="64">
        <v>55.8</v>
      </c>
    </row>
    <row r="18" spans="1:12" x14ac:dyDescent="0.4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I18" s="138">
        <v>5</v>
      </c>
      <c r="K18" s="62">
        <v>16</v>
      </c>
      <c r="L18" s="64">
        <v>40.299999999999997</v>
      </c>
    </row>
    <row r="19" spans="1:12" x14ac:dyDescent="0.4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I19" s="138">
        <v>4</v>
      </c>
      <c r="K19" s="62">
        <v>17</v>
      </c>
      <c r="L19" s="64">
        <v>15.799999999999997</v>
      </c>
    </row>
    <row r="20" spans="1:12" x14ac:dyDescent="0.4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I20" s="138">
        <v>6</v>
      </c>
      <c r="K20" s="62">
        <v>18</v>
      </c>
      <c r="L20" s="64">
        <v>-25.700000000000003</v>
      </c>
    </row>
    <row r="21" spans="1:12" x14ac:dyDescent="0.4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38">
        <v>1</v>
      </c>
      <c r="K21" s="62">
        <v>19</v>
      </c>
      <c r="L21" s="64">
        <v>-17.700000000000003</v>
      </c>
    </row>
    <row r="22" spans="1:12" x14ac:dyDescent="0.4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38">
        <v>6</v>
      </c>
      <c r="K22" s="62">
        <v>20</v>
      </c>
      <c r="L22" s="64">
        <v>7.4999999999999964</v>
      </c>
    </row>
    <row r="23" spans="1:12" x14ac:dyDescent="0.4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I23" s="138">
        <v>9</v>
      </c>
      <c r="K23" s="62">
        <v>21</v>
      </c>
      <c r="L23" s="64">
        <v>69.8</v>
      </c>
    </row>
    <row r="24" spans="1:12" x14ac:dyDescent="0.4">
      <c r="A24" s="92" t="s">
        <v>126</v>
      </c>
      <c r="B24" s="148">
        <v>147</v>
      </c>
      <c r="C24" s="149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I24" s="138">
        <v>1</v>
      </c>
      <c r="K24" s="62">
        <v>22</v>
      </c>
      <c r="L24" s="64">
        <v>78.399999999999991</v>
      </c>
    </row>
    <row r="25" spans="1:12" x14ac:dyDescent="0.4">
      <c r="A25" s="95" t="s">
        <v>127</v>
      </c>
      <c r="B25" s="150">
        <v>50</v>
      </c>
      <c r="C25" s="151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I25" s="138">
        <v>3</v>
      </c>
      <c r="K25" s="62">
        <v>23</v>
      </c>
      <c r="L25" s="64">
        <v>93.199999999999989</v>
      </c>
    </row>
    <row r="26" spans="1:12" x14ac:dyDescent="0.4">
      <c r="A26" s="133" t="s">
        <v>164</v>
      </c>
      <c r="B26" s="144">
        <v>7</v>
      </c>
      <c r="C26" s="145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I26" s="138">
        <v>1</v>
      </c>
      <c r="K26" s="62">
        <v>24</v>
      </c>
      <c r="L26" s="64">
        <v>49.29999999999999</v>
      </c>
    </row>
    <row r="27" spans="1:12" x14ac:dyDescent="0.4">
      <c r="A27" s="96" t="s">
        <v>205</v>
      </c>
      <c r="B27" s="142">
        <v>118000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5</v>
      </c>
      <c r="K27" s="62">
        <v>25</v>
      </c>
      <c r="L27" s="64">
        <v>58.79999999999999</v>
      </c>
    </row>
    <row r="28" spans="1:12" x14ac:dyDescent="0.4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  <c r="K28" s="62">
        <v>26</v>
      </c>
      <c r="L28" s="64">
        <v>141.79999999999998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  <c r="K29" s="62">
        <v>27</v>
      </c>
      <c r="L29" s="64">
        <v>162.79999999999998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  <c r="K30" s="62">
        <v>28</v>
      </c>
      <c r="L30" s="64">
        <v>174.7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205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38">
        <v>8</v>
      </c>
      <c r="K32" s="62">
        <v>30</v>
      </c>
      <c r="L32" s="64">
        <v>198.5</v>
      </c>
    </row>
    <row r="33" spans="5:12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38">
        <v>6</v>
      </c>
      <c r="K33" s="62">
        <v>31</v>
      </c>
      <c r="L33" s="64">
        <v>186.9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204.4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245.4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234.9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188.9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236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250.8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232.60000000000002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233.00000000000003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236.10000000000002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234.10000000000002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255.3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288.10000000000002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279.3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248.10000000000002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212.60000000000002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191.90000000000003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213.70000000000005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210.90000000000003</v>
      </c>
    </row>
    <row r="52" spans="5:12" x14ac:dyDescent="0.4">
      <c r="K52" s="62">
        <v>50</v>
      </c>
      <c r="L52" s="64">
        <v>210.90000000000003</v>
      </c>
    </row>
    <row r="53" spans="5:12" x14ac:dyDescent="0.4">
      <c r="K53" s="62">
        <v>51</v>
      </c>
      <c r="L53" s="64">
        <v>289.60000000000002</v>
      </c>
    </row>
    <row r="54" spans="5:12" x14ac:dyDescent="0.4">
      <c r="K54" s="62">
        <v>52</v>
      </c>
      <c r="L54" s="64">
        <v>316.10000000000002</v>
      </c>
    </row>
    <row r="55" spans="5:12" x14ac:dyDescent="0.4">
      <c r="K55" s="62">
        <v>53</v>
      </c>
      <c r="L55" s="64">
        <v>265.60000000000002</v>
      </c>
    </row>
    <row r="56" spans="5:12" x14ac:dyDescent="0.4">
      <c r="K56" s="62">
        <v>54</v>
      </c>
      <c r="L56" s="64">
        <v>250.50000000000003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02317-AE90-4D0A-8B2F-A9A3927E8FD5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</v>
      </c>
      <c r="C2" s="149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37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">
      <c r="A3" s="93" t="s">
        <v>8</v>
      </c>
      <c r="B3" s="154">
        <v>37</v>
      </c>
      <c r="C3" s="155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I3" s="138">
        <v>10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">
      <c r="A4" s="93" t="s">
        <v>6</v>
      </c>
      <c r="B4" s="156">
        <v>-86.4</v>
      </c>
      <c r="C4" s="157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I4" s="138">
        <v>1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">
      <c r="A5" s="93" t="s">
        <v>7</v>
      </c>
      <c r="B5" s="156">
        <f>IF(B$2=0,0,B$4/B$2)</f>
        <v>-17.28</v>
      </c>
      <c r="C5" s="157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I5" s="138">
        <v>10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">
      <c r="A6" s="93" t="s">
        <v>1</v>
      </c>
      <c r="B6" s="146">
        <f>IF(B$2=0,0,(B$7*1+B$8*2+B$9*3)/B$2)</f>
        <v>2.2000000000000002</v>
      </c>
      <c r="C6" s="147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I6" s="138">
        <v>4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I7" s="138">
        <v>10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  <c r="I8" s="138">
        <v>1</v>
      </c>
    </row>
    <row r="9" spans="1:17" x14ac:dyDescent="0.4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  <c r="I10" s="138">
        <v>9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  <c r="I11" s="138">
        <v>2</v>
      </c>
    </row>
    <row r="12" spans="1:17" x14ac:dyDescent="0.4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  <c r="I12" s="138">
        <v>11</v>
      </c>
    </row>
    <row r="13" spans="1:17" x14ac:dyDescent="0.4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  <c r="I13" s="138">
        <v>12</v>
      </c>
    </row>
    <row r="14" spans="1:17" x14ac:dyDescent="0.4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  <c r="I14" s="138">
        <v>5</v>
      </c>
    </row>
    <row r="15" spans="1:17" x14ac:dyDescent="0.4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  <c r="I15" s="138">
        <v>4</v>
      </c>
    </row>
    <row r="16" spans="1:17" x14ac:dyDescent="0.4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  <c r="I16" s="138">
        <v>6</v>
      </c>
    </row>
    <row r="17" spans="1:9" x14ac:dyDescent="0.4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  <c r="I17" s="138">
        <v>1</v>
      </c>
    </row>
    <row r="18" spans="1:9" x14ac:dyDescent="0.4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  <c r="I18" s="138">
        <v>6</v>
      </c>
    </row>
    <row r="19" spans="1:9" x14ac:dyDescent="0.4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  <c r="I19" s="138">
        <v>10</v>
      </c>
    </row>
    <row r="20" spans="1:9" x14ac:dyDescent="0.4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  <c r="I20" s="138">
        <v>1</v>
      </c>
    </row>
    <row r="21" spans="1:9" x14ac:dyDescent="0.4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  <c r="I21" s="138">
        <v>3</v>
      </c>
    </row>
    <row r="22" spans="1:9" x14ac:dyDescent="0.4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  <c r="I22" s="138">
        <v>9</v>
      </c>
    </row>
    <row r="23" spans="1:9" x14ac:dyDescent="0.4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  <c r="I23" s="138">
        <v>1</v>
      </c>
    </row>
    <row r="24" spans="1:9" x14ac:dyDescent="0.4">
      <c r="A24" s="92" t="s">
        <v>126</v>
      </c>
      <c r="B24" s="148">
        <v>31</v>
      </c>
      <c r="C24" s="149"/>
      <c r="E24" s="102" t="s">
        <v>88</v>
      </c>
      <c r="F24" s="98" t="s">
        <v>41</v>
      </c>
      <c r="G24" s="85">
        <v>0</v>
      </c>
      <c r="H24" s="63">
        <f>IF(B$25=0,0,G24/B$25)</f>
        <v>0</v>
      </c>
      <c r="I24" s="138">
        <v>9</v>
      </c>
    </row>
    <row r="25" spans="1:9" x14ac:dyDescent="0.4">
      <c r="A25" s="95" t="s">
        <v>127</v>
      </c>
      <c r="B25" s="150">
        <v>9</v>
      </c>
      <c r="C25" s="151"/>
      <c r="E25" s="102" t="s">
        <v>89</v>
      </c>
      <c r="F25" s="98" t="s">
        <v>42</v>
      </c>
      <c r="G25" s="85">
        <v>0</v>
      </c>
      <c r="H25" s="63">
        <f>IF(B$25=0,0,G25/B$25)</f>
        <v>0</v>
      </c>
      <c r="I25" s="138">
        <v>5</v>
      </c>
    </row>
    <row r="26" spans="1:9" x14ac:dyDescent="0.4">
      <c r="A26" s="133" t="s">
        <v>164</v>
      </c>
      <c r="B26" s="144">
        <v>3</v>
      </c>
      <c r="C26" s="145"/>
      <c r="E26" s="102" t="s">
        <v>90</v>
      </c>
      <c r="F26" s="98" t="s">
        <v>43</v>
      </c>
      <c r="G26" s="85">
        <v>0</v>
      </c>
      <c r="H26" s="63">
        <f>IF(B$25=0,0,G26/B$25)</f>
        <v>0</v>
      </c>
      <c r="I26" s="138">
        <v>5</v>
      </c>
    </row>
    <row r="27" spans="1:9" x14ac:dyDescent="0.4">
      <c r="A27" s="96" t="s">
        <v>205</v>
      </c>
      <c r="B27" s="142">
        <v>57800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D65F8-E678-4C14-A4EB-D7D0D04892C2}">
  <sheetPr codeName="Sheet19"/>
  <dimension ref="A1:Q5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136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52</v>
      </c>
      <c r="C2" s="149"/>
      <c r="E2" s="101" t="s">
        <v>71</v>
      </c>
      <c r="F2" s="97" t="s">
        <v>25</v>
      </c>
      <c r="G2" s="84">
        <v>45</v>
      </c>
      <c r="H2" s="60">
        <f>IF(B$25=0,0,G2/B$25)</f>
        <v>0.9</v>
      </c>
      <c r="I2" s="137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">
      <c r="A3" s="93" t="s">
        <v>8</v>
      </c>
      <c r="B3" s="154">
        <v>405</v>
      </c>
      <c r="C3" s="155"/>
      <c r="E3" s="102" t="s">
        <v>69</v>
      </c>
      <c r="F3" s="98" t="s">
        <v>23</v>
      </c>
      <c r="G3" s="85">
        <v>35</v>
      </c>
      <c r="H3" s="63">
        <f>IF(B$25=0,0,G3/B$25)</f>
        <v>0.7</v>
      </c>
      <c r="I3" s="138">
        <v>6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">
      <c r="A4" s="93" t="s">
        <v>6</v>
      </c>
      <c r="B4" s="156">
        <v>-389.59999999999997</v>
      </c>
      <c r="C4" s="157"/>
      <c r="E4" s="102" t="s">
        <v>76</v>
      </c>
      <c r="F4" s="98" t="s">
        <v>29</v>
      </c>
      <c r="G4" s="85">
        <v>34</v>
      </c>
      <c r="H4" s="63">
        <f>IF(B$25=0,0,G4/B$25)</f>
        <v>0.68</v>
      </c>
      <c r="I4" s="138">
        <v>2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">
      <c r="A5" s="93" t="s">
        <v>7</v>
      </c>
      <c r="B5" s="156">
        <f>IF(B$2=0,0,B$4/B$2)</f>
        <v>-7.4923076923076914</v>
      </c>
      <c r="C5" s="157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38">
        <v>10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">
      <c r="A6" s="93" t="s">
        <v>1</v>
      </c>
      <c r="B6" s="146">
        <f>IF(B$2=0,0,(B$7*1+B$8*2+B$9*3)/B$2)</f>
        <v>2.2115384615384617</v>
      </c>
      <c r="C6" s="147"/>
      <c r="E6" s="102" t="s">
        <v>72</v>
      </c>
      <c r="F6" s="98" t="s">
        <v>12</v>
      </c>
      <c r="G6" s="85">
        <v>11</v>
      </c>
      <c r="H6" s="63">
        <f>IF(B$25=0,0,G6/B$25)</f>
        <v>0.22</v>
      </c>
      <c r="I6" s="138">
        <v>9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I7" s="138">
        <v>5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I8" s="138">
        <v>12</v>
      </c>
      <c r="K8" s="62">
        <v>6</v>
      </c>
      <c r="L8" s="64">
        <v>125.19999999999999</v>
      </c>
    </row>
    <row r="9" spans="1:17" x14ac:dyDescent="0.4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I9" s="138">
        <v>11</v>
      </c>
      <c r="K9" s="62">
        <v>7</v>
      </c>
      <c r="L9" s="64">
        <v>129</v>
      </c>
    </row>
    <row r="10" spans="1:17" x14ac:dyDescent="0.4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I10" s="138">
        <v>8</v>
      </c>
      <c r="K10" s="62">
        <v>8</v>
      </c>
      <c r="L10" s="64">
        <v>96.5</v>
      </c>
    </row>
    <row r="11" spans="1:17" x14ac:dyDescent="0.4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I11" s="138">
        <v>9</v>
      </c>
      <c r="K11" s="62">
        <v>9</v>
      </c>
      <c r="L11" s="64">
        <v>82.8</v>
      </c>
    </row>
    <row r="12" spans="1:17" x14ac:dyDescent="0.4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I12" s="138">
        <v>4</v>
      </c>
      <c r="K12" s="62">
        <v>10</v>
      </c>
      <c r="L12" s="64">
        <v>110.5</v>
      </c>
    </row>
    <row r="13" spans="1:17" x14ac:dyDescent="0.4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I13" s="138">
        <v>4</v>
      </c>
      <c r="K13" s="62">
        <v>11</v>
      </c>
      <c r="L13" s="64">
        <v>138.19999999999999</v>
      </c>
    </row>
    <row r="14" spans="1:17" x14ac:dyDescent="0.4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I14" s="138">
        <v>3</v>
      </c>
      <c r="K14" s="62">
        <v>12</v>
      </c>
      <c r="L14" s="64">
        <v>99.299999999999983</v>
      </c>
    </row>
    <row r="15" spans="1:17" x14ac:dyDescent="0.4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I15" s="138">
        <v>11</v>
      </c>
      <c r="K15" s="62">
        <v>13</v>
      </c>
      <c r="L15" s="64">
        <v>61.299999999999983</v>
      </c>
    </row>
    <row r="16" spans="1:17" x14ac:dyDescent="0.4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I16" s="138">
        <v>1</v>
      </c>
      <c r="K16" s="62">
        <v>14</v>
      </c>
      <c r="L16" s="64">
        <v>40.999999999999986</v>
      </c>
    </row>
    <row r="17" spans="1:12" x14ac:dyDescent="0.4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I17" s="138">
        <v>6</v>
      </c>
      <c r="K17" s="62">
        <v>15</v>
      </c>
      <c r="L17" s="64">
        <v>32.499999999999986</v>
      </c>
    </row>
    <row r="18" spans="1:12" x14ac:dyDescent="0.4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I18" s="138">
        <v>7</v>
      </c>
      <c r="K18" s="62">
        <v>16</v>
      </c>
      <c r="L18" s="64">
        <v>-6.0000000000000142</v>
      </c>
    </row>
    <row r="19" spans="1:12" x14ac:dyDescent="0.4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I19" s="138">
        <v>5</v>
      </c>
      <c r="K19" s="62">
        <v>17</v>
      </c>
      <c r="L19" s="64">
        <v>-17.600000000000016</v>
      </c>
    </row>
    <row r="20" spans="1:12" x14ac:dyDescent="0.4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I20" s="138">
        <v>4</v>
      </c>
      <c r="K20" s="62">
        <v>18</v>
      </c>
      <c r="L20" s="64">
        <v>-17.300000000000015</v>
      </c>
    </row>
    <row r="21" spans="1:12" x14ac:dyDescent="0.4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38">
        <v>1</v>
      </c>
      <c r="K21" s="62">
        <v>19</v>
      </c>
      <c r="L21" s="64">
        <v>-2.6000000000000156</v>
      </c>
    </row>
    <row r="22" spans="1:12" x14ac:dyDescent="0.4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38">
        <v>6</v>
      </c>
      <c r="K22" s="62">
        <v>20</v>
      </c>
      <c r="L22" s="64">
        <v>45.399999999999984</v>
      </c>
    </row>
    <row r="23" spans="1:12" x14ac:dyDescent="0.4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I23" s="138">
        <v>1</v>
      </c>
      <c r="K23" s="62">
        <v>21</v>
      </c>
      <c r="L23" s="64">
        <v>3.5999999999999872</v>
      </c>
    </row>
    <row r="24" spans="1:12" x14ac:dyDescent="0.4">
      <c r="A24" s="92" t="s">
        <v>126</v>
      </c>
      <c r="B24" s="148">
        <v>218</v>
      </c>
      <c r="C24" s="149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I24" s="138">
        <v>3</v>
      </c>
      <c r="K24" s="62">
        <v>22</v>
      </c>
      <c r="L24" s="64">
        <v>-1.9000000000000128</v>
      </c>
    </row>
    <row r="25" spans="1:12" x14ac:dyDescent="0.4">
      <c r="A25" s="95" t="s">
        <v>127</v>
      </c>
      <c r="B25" s="150">
        <v>50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1</v>
      </c>
      <c r="K25" s="62">
        <v>23</v>
      </c>
      <c r="L25" s="64">
        <v>22.999999999999986</v>
      </c>
    </row>
    <row r="26" spans="1:12" x14ac:dyDescent="0.4">
      <c r="A26" s="133" t="s">
        <v>164</v>
      </c>
      <c r="B26" s="144">
        <v>5</v>
      </c>
      <c r="C26" s="145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I26" s="138">
        <v>5</v>
      </c>
      <c r="K26" s="62">
        <v>24</v>
      </c>
      <c r="L26" s="64">
        <v>9.0999999999999854</v>
      </c>
    </row>
    <row r="27" spans="1:12" x14ac:dyDescent="0.4">
      <c r="A27" s="96" t="s">
        <v>205</v>
      </c>
      <c r="B27" s="142">
        <v>103200</v>
      </c>
      <c r="C27" s="143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I27" s="138">
        <v>5</v>
      </c>
      <c r="K27" s="62">
        <v>25</v>
      </c>
      <c r="L27" s="64">
        <v>0.79999999999998472</v>
      </c>
    </row>
    <row r="28" spans="1:12" x14ac:dyDescent="0.4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I28" s="138">
        <v>4</v>
      </c>
      <c r="K28" s="62">
        <v>26</v>
      </c>
      <c r="L28" s="64">
        <v>-10.200000000000015</v>
      </c>
    </row>
    <row r="29" spans="1:12" x14ac:dyDescent="0.4">
      <c r="E29" s="102" t="s">
        <v>93</v>
      </c>
      <c r="F29" s="98" t="s">
        <v>46</v>
      </c>
      <c r="G29" s="85">
        <v>0</v>
      </c>
      <c r="H29" s="63">
        <f>IF(B$25=0,0,G29/B$25)</f>
        <v>0</v>
      </c>
      <c r="I29" s="138">
        <v>3</v>
      </c>
      <c r="K29" s="62">
        <v>27</v>
      </c>
      <c r="L29" s="64">
        <v>-32.100000000000016</v>
      </c>
    </row>
    <row r="30" spans="1:12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3</v>
      </c>
      <c r="K30" s="62">
        <v>28</v>
      </c>
      <c r="L30" s="64">
        <v>-26.000000000000014</v>
      </c>
    </row>
    <row r="31" spans="1:12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8</v>
      </c>
      <c r="K31" s="62">
        <v>29</v>
      </c>
      <c r="L31" s="64">
        <v>-25.400000000000013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  <c r="K32" s="62">
        <v>30</v>
      </c>
      <c r="L32" s="64">
        <v>14.79999999999999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  <c r="K33" s="62">
        <v>31</v>
      </c>
      <c r="L33" s="64">
        <v>-20.900000000000013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-36.900000000000013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-42.70000000000001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-94.600000000000009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-106.60000000000001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-73.200000000000017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-78.800000000000011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-105.80000000000001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-100.60000000000001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-108.30000000000001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-123.30000000000001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-173.9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-169.1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-214.6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-215.7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-252.89999999999998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-294.2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-298.39999999999998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-358.7</v>
      </c>
    </row>
    <row r="52" spans="5:12" x14ac:dyDescent="0.4">
      <c r="K52" s="62">
        <v>50</v>
      </c>
      <c r="L52" s="64">
        <v>-374.59999999999997</v>
      </c>
    </row>
    <row r="53" spans="5:12" x14ac:dyDescent="0.4">
      <c r="K53" s="62">
        <v>51</v>
      </c>
      <c r="L53" s="64">
        <v>-368.59999999999997</v>
      </c>
    </row>
    <row r="54" spans="5:12" x14ac:dyDescent="0.4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A909C-39D9-4AB6-96AC-D6FB74D944F6}">
  <sheetPr codeName="Sheet21"/>
  <dimension ref="A1:Q77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75</v>
      </c>
      <c r="C2" s="149"/>
      <c r="E2" s="101" t="s">
        <v>71</v>
      </c>
      <c r="F2" s="97" t="s">
        <v>25</v>
      </c>
      <c r="G2" s="84">
        <v>127</v>
      </c>
      <c r="H2" s="60">
        <f>IF(B$25=0,0,G2/B$25)</f>
        <v>0.89436619718309862</v>
      </c>
      <c r="I2" s="137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3397.2602739726026</v>
      </c>
      <c r="P2" s="77">
        <v>248000</v>
      </c>
      <c r="Q2" s="75">
        <v>73</v>
      </c>
    </row>
    <row r="3" spans="1:17" x14ac:dyDescent="0.4">
      <c r="A3" s="93" t="s">
        <v>8</v>
      </c>
      <c r="B3" s="154">
        <v>559</v>
      </c>
      <c r="C3" s="155"/>
      <c r="E3" s="102" t="s">
        <v>69</v>
      </c>
      <c r="F3" s="98" t="s">
        <v>23</v>
      </c>
      <c r="G3" s="85">
        <v>110</v>
      </c>
      <c r="H3" s="63">
        <f>IF(B$25=0,0,G3/B$25)</f>
        <v>0.77464788732394363</v>
      </c>
      <c r="I3" s="138">
        <v>3</v>
      </c>
      <c r="K3" s="62">
        <v>1</v>
      </c>
      <c r="L3" s="64">
        <v>-36.700000000000003</v>
      </c>
      <c r="N3" s="62" t="s">
        <v>151</v>
      </c>
      <c r="O3" s="81">
        <f t="shared" si="0"/>
        <v>41.176470588235297</v>
      </c>
      <c r="P3" s="78">
        <v>2800</v>
      </c>
      <c r="Q3" s="73">
        <v>68</v>
      </c>
    </row>
    <row r="4" spans="1:17" x14ac:dyDescent="0.4">
      <c r="A4" s="93" t="s">
        <v>6</v>
      </c>
      <c r="B4" s="156">
        <v>205.29999999999998</v>
      </c>
      <c r="C4" s="157"/>
      <c r="E4" s="102" t="s">
        <v>67</v>
      </c>
      <c r="F4" s="98" t="s">
        <v>21</v>
      </c>
      <c r="G4" s="85">
        <v>85</v>
      </c>
      <c r="H4" s="63">
        <f>IF(B$25=0,0,G4/B$25)</f>
        <v>0.59859154929577463</v>
      </c>
      <c r="I4" s="138">
        <v>7</v>
      </c>
      <c r="K4" s="62">
        <v>2</v>
      </c>
      <c r="L4" s="64">
        <v>-45.300000000000004</v>
      </c>
      <c r="N4" s="62" t="s">
        <v>152</v>
      </c>
      <c r="O4" s="81">
        <f t="shared" si="0"/>
        <v>-79.032258064516128</v>
      </c>
      <c r="P4" s="78">
        <v>-4900</v>
      </c>
      <c r="Q4" s="73">
        <v>62</v>
      </c>
    </row>
    <row r="5" spans="1:17" x14ac:dyDescent="0.4">
      <c r="A5" s="93" t="s">
        <v>7</v>
      </c>
      <c r="B5" s="156">
        <f>IF(B$2=0,0,B$4/B$2)</f>
        <v>2.737333333333333</v>
      </c>
      <c r="C5" s="157"/>
      <c r="E5" s="102" t="s">
        <v>76</v>
      </c>
      <c r="F5" s="98" t="s">
        <v>29</v>
      </c>
      <c r="G5" s="85">
        <v>82</v>
      </c>
      <c r="H5" s="63">
        <f>IF(B$25=0,0,G5/B$25)</f>
        <v>0.57746478873239437</v>
      </c>
      <c r="I5" s="138">
        <v>6</v>
      </c>
      <c r="K5" s="62">
        <v>3</v>
      </c>
      <c r="L5" s="64">
        <v>-81.7</v>
      </c>
      <c r="N5" s="62" t="s">
        <v>153</v>
      </c>
      <c r="O5" s="81">
        <f t="shared" si="0"/>
        <v>-1482.7586206896551</v>
      </c>
      <c r="P5" s="78">
        <v>-86000</v>
      </c>
      <c r="Q5" s="73">
        <v>58</v>
      </c>
    </row>
    <row r="6" spans="1:17" x14ac:dyDescent="0.4">
      <c r="A6" s="93" t="s">
        <v>1</v>
      </c>
      <c r="B6" s="146">
        <f>IF(B$2=0,0,(B$7*1+B$8*2+B$9*3)/B$2)</f>
        <v>1.8933333333333333</v>
      </c>
      <c r="C6" s="147"/>
      <c r="E6" s="102" t="s">
        <v>70</v>
      </c>
      <c r="F6" s="98" t="s">
        <v>24</v>
      </c>
      <c r="G6" s="85">
        <v>58</v>
      </c>
      <c r="H6" s="63">
        <f>IF(B$25=0,0,G6/B$25)</f>
        <v>0.40845070422535212</v>
      </c>
      <c r="I6" s="138">
        <v>3</v>
      </c>
      <c r="K6" s="62">
        <v>4</v>
      </c>
      <c r="L6" s="64">
        <v>-114.30000000000001</v>
      </c>
      <c r="N6" s="62" t="s">
        <v>154</v>
      </c>
      <c r="O6" s="81">
        <f t="shared" si="0"/>
        <v>554.16666666666663</v>
      </c>
      <c r="P6" s="78">
        <v>26600</v>
      </c>
      <c r="Q6" s="73">
        <v>48</v>
      </c>
    </row>
    <row r="7" spans="1:17" x14ac:dyDescent="0.4">
      <c r="A7" s="93" t="s">
        <v>2</v>
      </c>
      <c r="B7" s="85">
        <v>30</v>
      </c>
      <c r="C7" s="63">
        <f>IF(B$2=0,0,B7/B$2)</f>
        <v>0.4</v>
      </c>
      <c r="E7" s="102" t="s">
        <v>72</v>
      </c>
      <c r="F7" s="98" t="s">
        <v>12</v>
      </c>
      <c r="G7" s="85">
        <v>46</v>
      </c>
      <c r="H7" s="63">
        <f>IF(B$25=0,0,G7/B$25)</f>
        <v>0.323943661971831</v>
      </c>
      <c r="I7" s="138">
        <v>5</v>
      </c>
      <c r="K7" s="62">
        <v>5</v>
      </c>
      <c r="L7" s="64">
        <v>-136.30000000000001</v>
      </c>
      <c r="N7" s="67" t="s">
        <v>155</v>
      </c>
      <c r="O7" s="82">
        <f t="shared" si="0"/>
        <v>-521.42857142857144</v>
      </c>
      <c r="P7" s="79">
        <v>-21900</v>
      </c>
      <c r="Q7" s="74">
        <v>42</v>
      </c>
    </row>
    <row r="8" spans="1:17" x14ac:dyDescent="0.4">
      <c r="A8" s="93" t="s">
        <v>3</v>
      </c>
      <c r="B8" s="85">
        <v>23</v>
      </c>
      <c r="C8" s="63">
        <f t="shared" ref="C8:C9" si="1">IF(B$2=0,0,B8/B$2)</f>
        <v>0.30666666666666664</v>
      </c>
      <c r="E8" s="102" t="s">
        <v>73</v>
      </c>
      <c r="F8" s="98" t="s">
        <v>26</v>
      </c>
      <c r="G8" s="85">
        <v>25</v>
      </c>
      <c r="H8" s="63">
        <f>IF(B$25=0,0,G8/B$25)</f>
        <v>0.176056338028169</v>
      </c>
      <c r="I8" s="138">
        <v>2</v>
      </c>
      <c r="K8" s="62">
        <v>6</v>
      </c>
      <c r="L8" s="64">
        <v>-100.80000000000001</v>
      </c>
    </row>
    <row r="9" spans="1:17" x14ac:dyDescent="0.4">
      <c r="A9" s="94" t="s">
        <v>4</v>
      </c>
      <c r="B9" s="86">
        <v>22</v>
      </c>
      <c r="C9" s="65">
        <f t="shared" si="1"/>
        <v>0.29333333333333333</v>
      </c>
      <c r="E9" s="102" t="s">
        <v>94</v>
      </c>
      <c r="F9" s="98" t="s">
        <v>47</v>
      </c>
      <c r="G9" s="85">
        <v>21</v>
      </c>
      <c r="H9" s="63">
        <f>IF(B$25=0,0,G9/B$25)</f>
        <v>0.14788732394366197</v>
      </c>
      <c r="I9" s="138">
        <v>6</v>
      </c>
      <c r="K9" s="62">
        <v>7</v>
      </c>
      <c r="L9" s="64">
        <v>-106.20000000000002</v>
      </c>
    </row>
    <row r="10" spans="1:17" x14ac:dyDescent="0.4">
      <c r="A10" s="94" t="s">
        <v>19</v>
      </c>
      <c r="B10" s="86">
        <v>11</v>
      </c>
      <c r="C10" s="65">
        <f>IF(B$2=0,0,B10/B$2)</f>
        <v>0.14666666666666667</v>
      </c>
      <c r="E10" s="102" t="s">
        <v>68</v>
      </c>
      <c r="F10" s="98" t="s">
        <v>22</v>
      </c>
      <c r="G10" s="85">
        <v>20</v>
      </c>
      <c r="H10" s="63">
        <f>IF(B$25=0,0,G10/B$25)</f>
        <v>0.14084507042253522</v>
      </c>
      <c r="I10" s="138">
        <v>4</v>
      </c>
      <c r="K10" s="62">
        <v>8</v>
      </c>
      <c r="L10" s="64">
        <v>-52.300000000000018</v>
      </c>
    </row>
    <row r="11" spans="1:17" x14ac:dyDescent="0.4">
      <c r="A11" s="95" t="s">
        <v>160</v>
      </c>
      <c r="B11" s="87">
        <v>14</v>
      </c>
      <c r="C11" s="68">
        <f>IF(B$2=0,0,B11/B$2)</f>
        <v>0.18666666666666668</v>
      </c>
      <c r="E11" s="102" t="s">
        <v>74</v>
      </c>
      <c r="F11" s="98" t="s">
        <v>27</v>
      </c>
      <c r="G11" s="85">
        <v>9</v>
      </c>
      <c r="H11" s="63">
        <f>IF(B$25=0,0,G11/B$25)</f>
        <v>6.3380281690140844E-2</v>
      </c>
      <c r="I11" s="138">
        <v>8</v>
      </c>
      <c r="K11" s="62">
        <v>9</v>
      </c>
      <c r="L11" s="64">
        <v>-53.500000000000021</v>
      </c>
    </row>
    <row r="12" spans="1:17" x14ac:dyDescent="0.4">
      <c r="A12" s="96" t="s">
        <v>128</v>
      </c>
      <c r="B12" s="88">
        <v>139</v>
      </c>
      <c r="C12" s="71">
        <f>IF(B$24=0,0,B12/B$24)</f>
        <v>0.32629107981220656</v>
      </c>
      <c r="E12" s="102" t="s">
        <v>75</v>
      </c>
      <c r="F12" s="98" t="s">
        <v>28</v>
      </c>
      <c r="G12" s="85">
        <v>9</v>
      </c>
      <c r="H12" s="63">
        <f>IF(B$25=0,0,G12/B$25)</f>
        <v>6.3380281690140844E-2</v>
      </c>
      <c r="I12" s="138">
        <v>3</v>
      </c>
      <c r="K12" s="62">
        <v>10</v>
      </c>
      <c r="L12" s="64">
        <v>-72.800000000000026</v>
      </c>
    </row>
    <row r="13" spans="1:17" x14ac:dyDescent="0.4">
      <c r="A13" s="93" t="s">
        <v>123</v>
      </c>
      <c r="B13" s="85">
        <v>101</v>
      </c>
      <c r="C13" s="63">
        <f>IF(B$24=0,0,B13/B$24)</f>
        <v>0.23708920187793428</v>
      </c>
      <c r="E13" s="102" t="s">
        <v>82</v>
      </c>
      <c r="F13" s="98" t="s">
        <v>35</v>
      </c>
      <c r="G13" s="85">
        <v>9</v>
      </c>
      <c r="H13" s="63">
        <f>IF(B$25=0,0,G13/B$25)</f>
        <v>6.3380281690140844E-2</v>
      </c>
      <c r="I13" s="138">
        <v>1</v>
      </c>
      <c r="K13" s="62">
        <v>11</v>
      </c>
      <c r="L13" s="64">
        <v>-92.100000000000023</v>
      </c>
    </row>
    <row r="14" spans="1:17" x14ac:dyDescent="0.4">
      <c r="A14" s="92" t="s">
        <v>130</v>
      </c>
      <c r="B14" s="84">
        <v>87</v>
      </c>
      <c r="C14" s="60">
        <f>IF(B$12=0,0,B14/B$12)</f>
        <v>0.62589928057553956</v>
      </c>
      <c r="E14" s="102" t="s">
        <v>91</v>
      </c>
      <c r="F14" s="98" t="s">
        <v>44</v>
      </c>
      <c r="G14" s="85">
        <v>7</v>
      </c>
      <c r="H14" s="63">
        <f>IF(B$25=0,0,G14/B$25)</f>
        <v>4.9295774647887321E-2</v>
      </c>
      <c r="I14" s="138">
        <v>10</v>
      </c>
      <c r="K14" s="62">
        <v>12</v>
      </c>
      <c r="L14" s="64">
        <v>-89.100000000000023</v>
      </c>
    </row>
    <row r="15" spans="1:17" x14ac:dyDescent="0.4">
      <c r="A15" s="92" t="s">
        <v>131</v>
      </c>
      <c r="B15" s="84">
        <v>39</v>
      </c>
      <c r="C15" s="60">
        <f>IF(B$13=0,0,B15/B$13)</f>
        <v>0.38613861386138615</v>
      </c>
      <c r="E15" s="102" t="s">
        <v>81</v>
      </c>
      <c r="F15" s="98" t="s">
        <v>34</v>
      </c>
      <c r="G15" s="85">
        <v>2</v>
      </c>
      <c r="H15" s="63">
        <f>IF(B$25=0,0,G15/B$25)</f>
        <v>1.4084507042253521E-2</v>
      </c>
      <c r="I15" s="138">
        <v>2</v>
      </c>
      <c r="K15" s="62">
        <v>13</v>
      </c>
      <c r="L15" s="64">
        <v>-73.600000000000023</v>
      </c>
    </row>
    <row r="16" spans="1:17" x14ac:dyDescent="0.4">
      <c r="A16" s="92" t="s">
        <v>10</v>
      </c>
      <c r="B16" s="84">
        <f>B18+B17</f>
        <v>180</v>
      </c>
      <c r="C16" s="60">
        <f>IF(B$3=0,0,B16/B$3)</f>
        <v>0.32200357781753131</v>
      </c>
      <c r="E16" s="102" t="s">
        <v>86</v>
      </c>
      <c r="F16" s="98" t="s">
        <v>39</v>
      </c>
      <c r="G16" s="85">
        <v>2</v>
      </c>
      <c r="H16" s="63">
        <f>IF(B$25=0,0,G16/B$25)</f>
        <v>1.4084507042253521E-2</v>
      </c>
      <c r="I16" s="138">
        <v>8</v>
      </c>
      <c r="K16" s="62">
        <v>14</v>
      </c>
      <c r="L16" s="64">
        <v>-62.500000000000021</v>
      </c>
    </row>
    <row r="17" spans="1:12" x14ac:dyDescent="0.4">
      <c r="A17" s="93" t="s">
        <v>12</v>
      </c>
      <c r="B17" s="85">
        <v>79</v>
      </c>
      <c r="C17" s="63">
        <f>IF(B$16=0,0,B17/B$16)</f>
        <v>0.43888888888888888</v>
      </c>
      <c r="E17" s="102" t="s">
        <v>96</v>
      </c>
      <c r="F17" s="98" t="s">
        <v>49</v>
      </c>
      <c r="G17" s="85">
        <v>2</v>
      </c>
      <c r="H17" s="63">
        <f>IF(B$25=0,0,G17/B$25)</f>
        <v>1.4084507042253521E-2</v>
      </c>
      <c r="I17" s="138">
        <v>5</v>
      </c>
      <c r="K17" s="62">
        <v>15</v>
      </c>
      <c r="L17" s="64">
        <v>-69.700000000000017</v>
      </c>
    </row>
    <row r="18" spans="1:12" x14ac:dyDescent="0.4">
      <c r="A18" s="93" t="s">
        <v>11</v>
      </c>
      <c r="B18" s="85">
        <v>101</v>
      </c>
      <c r="C18" s="63">
        <f>IF(B$16=0,0,B18/B$16)</f>
        <v>0.56111111111111112</v>
      </c>
      <c r="E18" s="102" t="s">
        <v>77</v>
      </c>
      <c r="F18" s="98" t="s">
        <v>30</v>
      </c>
      <c r="G18" s="85">
        <v>1</v>
      </c>
      <c r="H18" s="63">
        <f>IF(B$25=0,0,G18/B$25)</f>
        <v>7.0422535211267607E-3</v>
      </c>
      <c r="I18" s="138">
        <v>4</v>
      </c>
      <c r="K18" s="62">
        <v>16</v>
      </c>
      <c r="L18" s="64">
        <v>4.5999999999999801</v>
      </c>
    </row>
    <row r="19" spans="1:12" x14ac:dyDescent="0.4">
      <c r="A19" s="93" t="s">
        <v>13</v>
      </c>
      <c r="B19" s="85">
        <v>88</v>
      </c>
      <c r="C19" s="63">
        <f>IF(B$3=0,0,B19/B$3)</f>
        <v>0.15742397137745975</v>
      </c>
      <c r="E19" s="102" t="s">
        <v>78</v>
      </c>
      <c r="F19" s="98" t="s">
        <v>31</v>
      </c>
      <c r="G19" s="85">
        <v>1</v>
      </c>
      <c r="H19" s="63">
        <f>IF(B$25=0,0,G19/B$25)</f>
        <v>7.0422535211267607E-3</v>
      </c>
      <c r="I19" s="138">
        <v>1</v>
      </c>
      <c r="K19" s="62">
        <v>17</v>
      </c>
      <c r="L19" s="64">
        <v>39.59999999999998</v>
      </c>
    </row>
    <row r="20" spans="1:12" x14ac:dyDescent="0.4">
      <c r="A20" s="93" t="s">
        <v>5</v>
      </c>
      <c r="B20" s="89">
        <f>IF(B$16=0,0,C20/B$16)</f>
        <v>10382.777777777777</v>
      </c>
      <c r="C20" s="66">
        <v>1868900</v>
      </c>
      <c r="E20" s="102" t="s">
        <v>79</v>
      </c>
      <c r="F20" s="98" t="s">
        <v>32</v>
      </c>
      <c r="G20" s="85">
        <v>1</v>
      </c>
      <c r="H20" s="63">
        <f>IF(B$25=0,0,G20/B$25)</f>
        <v>7.0422535211267607E-3</v>
      </c>
      <c r="I20" s="138">
        <v>5</v>
      </c>
      <c r="K20" s="62">
        <v>18</v>
      </c>
      <c r="L20" s="64">
        <v>39.299999999999983</v>
      </c>
    </row>
    <row r="21" spans="1:12" x14ac:dyDescent="0.4">
      <c r="A21" s="95" t="s">
        <v>14</v>
      </c>
      <c r="B21" s="90">
        <f>IF(B$19=0,0,C21/B$19)</f>
        <v>-9563.636363636364</v>
      </c>
      <c r="C21" s="83">
        <v>-841600</v>
      </c>
      <c r="E21" s="102" t="s">
        <v>83</v>
      </c>
      <c r="F21" s="98" t="s">
        <v>36</v>
      </c>
      <c r="G21" s="85">
        <v>1</v>
      </c>
      <c r="H21" s="63">
        <f>IF(B$25=0,0,G21/B$25)</f>
        <v>7.0422535211267607E-3</v>
      </c>
      <c r="I21" s="138">
        <v>6</v>
      </c>
      <c r="K21" s="62">
        <v>19</v>
      </c>
      <c r="L21" s="64">
        <v>103.29999999999998</v>
      </c>
    </row>
    <row r="22" spans="1:12" x14ac:dyDescent="0.4">
      <c r="A22" s="92" t="s">
        <v>147</v>
      </c>
      <c r="B22" s="84">
        <v>198</v>
      </c>
      <c r="C22" s="60">
        <f>IF(B$3=0,0,B22/B$3)</f>
        <v>0.35420393559928443</v>
      </c>
      <c r="E22" s="102" t="s">
        <v>88</v>
      </c>
      <c r="F22" s="98" t="s">
        <v>41</v>
      </c>
      <c r="G22" s="85">
        <v>1</v>
      </c>
      <c r="H22" s="63">
        <f>IF(B$25=0,0,G22/B$25)</f>
        <v>7.0422535211267607E-3</v>
      </c>
      <c r="I22" s="138">
        <v>8</v>
      </c>
      <c r="K22" s="62">
        <v>20</v>
      </c>
      <c r="L22" s="64">
        <v>106.39999999999998</v>
      </c>
    </row>
    <row r="23" spans="1:12" x14ac:dyDescent="0.4">
      <c r="A23" s="95" t="s">
        <v>148</v>
      </c>
      <c r="B23" s="87">
        <v>69</v>
      </c>
      <c r="C23" s="68">
        <f>IF(B$22=0,0,B23/B$22)</f>
        <v>0.34848484848484851</v>
      </c>
      <c r="E23" s="102" t="s">
        <v>89</v>
      </c>
      <c r="F23" s="98" t="s">
        <v>42</v>
      </c>
      <c r="G23" s="85">
        <v>1</v>
      </c>
      <c r="H23" s="63">
        <f>IF(B$25=0,0,G23/B$25)</f>
        <v>7.0422535211267607E-3</v>
      </c>
      <c r="I23" s="138">
        <v>1</v>
      </c>
      <c r="K23" s="62">
        <v>21</v>
      </c>
      <c r="L23" s="64">
        <v>107.59999999999998</v>
      </c>
    </row>
    <row r="24" spans="1:12" x14ac:dyDescent="0.4">
      <c r="A24" s="92" t="s">
        <v>126</v>
      </c>
      <c r="B24" s="148">
        <v>426</v>
      </c>
      <c r="C24" s="149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38">
        <v>1</v>
      </c>
      <c r="K24" s="62">
        <v>22</v>
      </c>
      <c r="L24" s="64">
        <v>110.39999999999998</v>
      </c>
    </row>
    <row r="25" spans="1:12" x14ac:dyDescent="0.4">
      <c r="A25" s="95" t="s">
        <v>127</v>
      </c>
      <c r="B25" s="150">
        <v>142</v>
      </c>
      <c r="C25" s="151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38">
        <v>1</v>
      </c>
      <c r="K25" s="62">
        <v>23</v>
      </c>
      <c r="L25" s="64">
        <v>154.99999999999997</v>
      </c>
    </row>
    <row r="26" spans="1:12" x14ac:dyDescent="0.4">
      <c r="A26" s="133" t="s">
        <v>164</v>
      </c>
      <c r="B26" s="144">
        <v>9</v>
      </c>
      <c r="C26" s="145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38">
        <v>3</v>
      </c>
      <c r="K26" s="62">
        <v>24</v>
      </c>
      <c r="L26" s="64">
        <v>153.59999999999997</v>
      </c>
    </row>
    <row r="27" spans="1:12" x14ac:dyDescent="0.4">
      <c r="A27" s="96" t="s">
        <v>205</v>
      </c>
      <c r="B27" s="142">
        <v>109300</v>
      </c>
      <c r="C27" s="143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38">
        <v>1</v>
      </c>
      <c r="K27" s="62">
        <v>25</v>
      </c>
      <c r="L27" s="64">
        <v>113.89999999999996</v>
      </c>
    </row>
    <row r="28" spans="1:12" x14ac:dyDescent="0.4">
      <c r="A28" s="95" t="s">
        <v>165</v>
      </c>
      <c r="B28" s="104">
        <v>3</v>
      </c>
      <c r="C28" s="68">
        <f>IF(B$3=0,0,B28/B$3)</f>
        <v>5.3667262969588547E-3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  <c r="K28" s="62">
        <v>26</v>
      </c>
      <c r="L28" s="64">
        <v>98.099999999999966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  <c r="K29" s="62">
        <v>27</v>
      </c>
      <c r="L29" s="64">
        <v>109.39999999999996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  <c r="K30" s="62">
        <v>28</v>
      </c>
      <c r="L30" s="64">
        <v>65.399999999999963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  <c r="K31" s="62">
        <v>29</v>
      </c>
      <c r="L31" s="64">
        <v>24.399999999999963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  <c r="K32" s="62">
        <v>30</v>
      </c>
      <c r="L32" s="64">
        <v>13.599999999999962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  <c r="K33" s="62">
        <v>31</v>
      </c>
      <c r="L33" s="64">
        <v>29.19999999999996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-14.200000000000038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-13.500000000000039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-1.3000000000000398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-38.600000000000037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10.399999999999963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-3.4000000000000377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37.599999999999966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34.199999999999967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105.79999999999995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137.29999999999995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172.69999999999996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184.19999999999996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193.29999999999995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144.89999999999995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189.79999999999995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199.69999999999996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179.69999999999996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174.79999999999995</v>
      </c>
    </row>
    <row r="52" spans="5:12" x14ac:dyDescent="0.4">
      <c r="K52" s="62">
        <v>50</v>
      </c>
      <c r="L52" s="64">
        <v>192.59999999999997</v>
      </c>
    </row>
    <row r="53" spans="5:12" x14ac:dyDescent="0.4">
      <c r="K53" s="62">
        <v>51</v>
      </c>
      <c r="L53" s="64">
        <v>166.19999999999996</v>
      </c>
    </row>
    <row r="54" spans="5:12" x14ac:dyDescent="0.4">
      <c r="K54" s="62">
        <v>52</v>
      </c>
      <c r="L54" s="64">
        <v>176.69999999999996</v>
      </c>
    </row>
    <row r="55" spans="5:12" x14ac:dyDescent="0.4">
      <c r="K55" s="62">
        <v>53</v>
      </c>
      <c r="L55" s="64">
        <v>176.29999999999995</v>
      </c>
    </row>
    <row r="56" spans="5:12" x14ac:dyDescent="0.4">
      <c r="K56" s="62">
        <v>54</v>
      </c>
      <c r="L56" s="64">
        <v>194.39999999999995</v>
      </c>
    </row>
    <row r="57" spans="5:12" x14ac:dyDescent="0.4">
      <c r="K57" s="62">
        <v>55</v>
      </c>
      <c r="L57" s="64">
        <v>217.19999999999996</v>
      </c>
    </row>
    <row r="58" spans="5:12" x14ac:dyDescent="0.4">
      <c r="K58" s="62">
        <v>56</v>
      </c>
      <c r="L58" s="64">
        <v>204.39999999999995</v>
      </c>
    </row>
    <row r="59" spans="5:12" x14ac:dyDescent="0.4">
      <c r="K59" s="62">
        <v>57</v>
      </c>
      <c r="L59" s="64">
        <v>240.39999999999995</v>
      </c>
    </row>
    <row r="60" spans="5:12" x14ac:dyDescent="0.4">
      <c r="K60" s="62">
        <v>58</v>
      </c>
      <c r="L60" s="64">
        <v>191.29999999999995</v>
      </c>
    </row>
    <row r="61" spans="5:12" x14ac:dyDescent="0.4">
      <c r="K61" s="62">
        <v>59</v>
      </c>
      <c r="L61" s="64">
        <v>188.69999999999996</v>
      </c>
    </row>
    <row r="62" spans="5:12" x14ac:dyDescent="0.4">
      <c r="K62" s="62">
        <v>60</v>
      </c>
      <c r="L62" s="64">
        <v>201.19999999999996</v>
      </c>
    </row>
    <row r="63" spans="5:12" x14ac:dyDescent="0.4">
      <c r="K63" s="62">
        <v>61</v>
      </c>
      <c r="L63" s="64">
        <v>213.49999999999997</v>
      </c>
    </row>
    <row r="64" spans="5:12" x14ac:dyDescent="0.4">
      <c r="K64" s="62">
        <v>62</v>
      </c>
      <c r="L64" s="64">
        <v>214.39999999999998</v>
      </c>
    </row>
    <row r="65" spans="11:12" x14ac:dyDescent="0.4">
      <c r="K65" s="62">
        <v>63</v>
      </c>
      <c r="L65" s="64">
        <v>210.59999999999997</v>
      </c>
    </row>
    <row r="66" spans="11:12" x14ac:dyDescent="0.4">
      <c r="K66" s="62">
        <v>64</v>
      </c>
      <c r="L66" s="64">
        <v>198.69999999999996</v>
      </c>
    </row>
    <row r="67" spans="11:12" x14ac:dyDescent="0.4">
      <c r="K67" s="62">
        <v>65</v>
      </c>
      <c r="L67" s="64">
        <v>181.19999999999996</v>
      </c>
    </row>
    <row r="68" spans="11:12" x14ac:dyDescent="0.4">
      <c r="K68" s="62">
        <v>66</v>
      </c>
      <c r="L68" s="64">
        <v>188.49999999999997</v>
      </c>
    </row>
    <row r="69" spans="11:12" x14ac:dyDescent="0.4">
      <c r="K69" s="62">
        <v>67</v>
      </c>
      <c r="L69" s="64">
        <v>183.89999999999998</v>
      </c>
    </row>
    <row r="70" spans="11:12" x14ac:dyDescent="0.4">
      <c r="K70" s="62">
        <v>68</v>
      </c>
      <c r="L70" s="64">
        <v>197.99999999999997</v>
      </c>
    </row>
    <row r="71" spans="11:12" x14ac:dyDescent="0.4">
      <c r="K71" s="62">
        <v>69</v>
      </c>
      <c r="L71" s="64">
        <v>159.49999999999997</v>
      </c>
    </row>
    <row r="72" spans="11:12" x14ac:dyDescent="0.4">
      <c r="K72" s="62">
        <v>70</v>
      </c>
      <c r="L72" s="64">
        <v>168.39999999999998</v>
      </c>
    </row>
    <row r="73" spans="11:12" x14ac:dyDescent="0.4">
      <c r="K73" s="62">
        <v>71</v>
      </c>
      <c r="L73" s="64">
        <v>198.09999999999997</v>
      </c>
    </row>
    <row r="74" spans="11:12" x14ac:dyDescent="0.4">
      <c r="K74" s="62">
        <v>72</v>
      </c>
      <c r="L74" s="64">
        <v>177.39999999999998</v>
      </c>
    </row>
    <row r="75" spans="11:12" x14ac:dyDescent="0.4">
      <c r="K75" s="62">
        <v>73</v>
      </c>
      <c r="L75" s="64">
        <v>139.39999999999998</v>
      </c>
    </row>
    <row r="76" spans="11:12" x14ac:dyDescent="0.4">
      <c r="K76" s="62">
        <v>74</v>
      </c>
      <c r="L76" s="64">
        <v>175.39999999999998</v>
      </c>
    </row>
    <row r="77" spans="11:12" x14ac:dyDescent="0.4">
      <c r="K77" s="62">
        <v>75</v>
      </c>
      <c r="L77" s="64">
        <v>205.29999999999998</v>
      </c>
    </row>
  </sheetData>
  <sortState ref="E2:I7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633FB-69E7-47BB-87D2-0AF71F34519E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138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19</v>
      </c>
      <c r="C2" s="149"/>
      <c r="E2" s="101" t="s">
        <v>71</v>
      </c>
      <c r="F2" s="97" t="s">
        <v>25</v>
      </c>
      <c r="G2" s="84">
        <v>18</v>
      </c>
      <c r="H2" s="60">
        <f>IF(B$25=0,0,G2/B$25)</f>
        <v>0.9</v>
      </c>
      <c r="I2" s="137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">
      <c r="A3" s="93" t="s">
        <v>8</v>
      </c>
      <c r="B3" s="154">
        <v>149</v>
      </c>
      <c r="C3" s="155"/>
      <c r="E3" s="102" t="s">
        <v>67</v>
      </c>
      <c r="F3" s="98" t="s">
        <v>21</v>
      </c>
      <c r="G3" s="85">
        <v>15</v>
      </c>
      <c r="H3" s="63">
        <f>IF(B$25=0,0,G3/B$25)</f>
        <v>0.75</v>
      </c>
      <c r="I3" s="138">
        <v>2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">
      <c r="A4" s="93" t="s">
        <v>6</v>
      </c>
      <c r="B4" s="156">
        <v>143.60000000000002</v>
      </c>
      <c r="C4" s="157"/>
      <c r="E4" s="102" t="s">
        <v>70</v>
      </c>
      <c r="F4" s="98" t="s">
        <v>24</v>
      </c>
      <c r="G4" s="85">
        <v>14</v>
      </c>
      <c r="H4" s="63">
        <f>IF(B$25=0,0,G4/B$25)</f>
        <v>0.7</v>
      </c>
      <c r="I4" s="138">
        <v>2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">
      <c r="A5" s="93" t="s">
        <v>7</v>
      </c>
      <c r="B5" s="156">
        <f>IF(B$2=0,0,B$4/B$2)</f>
        <v>7.5578947368421066</v>
      </c>
      <c r="C5" s="157"/>
      <c r="E5" s="102" t="s">
        <v>69</v>
      </c>
      <c r="F5" s="98" t="s">
        <v>23</v>
      </c>
      <c r="G5" s="85">
        <v>10</v>
      </c>
      <c r="H5" s="63">
        <f>IF(B$25=0,0,G5/B$25)</f>
        <v>0.5</v>
      </c>
      <c r="I5" s="138">
        <v>10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">
      <c r="A6" s="93" t="s">
        <v>1</v>
      </c>
      <c r="B6" s="146">
        <f>IF(B$2=0,0,(B$7*1+B$8*2+B$9*3)/B$2)</f>
        <v>1.8421052631578947</v>
      </c>
      <c r="C6" s="147"/>
      <c r="E6" s="102" t="s">
        <v>72</v>
      </c>
      <c r="F6" s="98" t="s">
        <v>12</v>
      </c>
      <c r="G6" s="85">
        <v>7</v>
      </c>
      <c r="H6" s="63">
        <f>IF(B$25=0,0,G6/B$25)</f>
        <v>0.35</v>
      </c>
      <c r="I6" s="138">
        <v>3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I7" s="138">
        <v>11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I8" s="138">
        <v>2</v>
      </c>
      <c r="K8" s="62">
        <v>6</v>
      </c>
      <c r="L8" s="64">
        <v>23.200000000000003</v>
      </c>
    </row>
    <row r="9" spans="1:17" x14ac:dyDescent="0.4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I9" s="138">
        <v>6</v>
      </c>
      <c r="K9" s="62">
        <v>7</v>
      </c>
      <c r="L9" s="64">
        <v>40</v>
      </c>
    </row>
    <row r="10" spans="1:17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I10" s="138">
        <v>10</v>
      </c>
      <c r="K10" s="62">
        <v>8</v>
      </c>
      <c r="L10" s="64">
        <v>4.2000000000000028</v>
      </c>
    </row>
    <row r="11" spans="1:17" x14ac:dyDescent="0.4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I11" s="138">
        <v>6</v>
      </c>
      <c r="K11" s="62">
        <v>9</v>
      </c>
      <c r="L11" s="64">
        <v>6.8000000000000025</v>
      </c>
    </row>
    <row r="12" spans="1:17" x14ac:dyDescent="0.4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I12" s="138">
        <v>3</v>
      </c>
      <c r="K12" s="62">
        <v>10</v>
      </c>
      <c r="L12" s="64">
        <v>56.800000000000004</v>
      </c>
    </row>
    <row r="13" spans="1:17" x14ac:dyDescent="0.4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I13" s="138">
        <v>9</v>
      </c>
      <c r="K13" s="62">
        <v>11</v>
      </c>
      <c r="L13" s="64">
        <v>69.300000000000011</v>
      </c>
    </row>
    <row r="14" spans="1:17" x14ac:dyDescent="0.4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I14" s="138">
        <v>10</v>
      </c>
      <c r="K14" s="62">
        <v>12</v>
      </c>
      <c r="L14" s="64">
        <v>80.800000000000011</v>
      </c>
    </row>
    <row r="15" spans="1:17" x14ac:dyDescent="0.4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I15" s="138">
        <v>1</v>
      </c>
      <c r="K15" s="62">
        <v>13</v>
      </c>
      <c r="L15" s="64">
        <v>155.10000000000002</v>
      </c>
    </row>
    <row r="16" spans="1:17" x14ac:dyDescent="0.4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I16" s="138">
        <v>5</v>
      </c>
      <c r="K16" s="62">
        <v>14</v>
      </c>
      <c r="L16" s="64">
        <v>147.10000000000002</v>
      </c>
    </row>
    <row r="17" spans="1:12" x14ac:dyDescent="0.4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I17" s="138">
        <v>4</v>
      </c>
      <c r="K17" s="62">
        <v>15</v>
      </c>
      <c r="L17" s="64">
        <v>148.80000000000001</v>
      </c>
    </row>
    <row r="18" spans="1:12" x14ac:dyDescent="0.4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I18" s="138">
        <v>6</v>
      </c>
      <c r="K18" s="62">
        <v>16</v>
      </c>
      <c r="L18" s="64">
        <v>152.30000000000001</v>
      </c>
    </row>
    <row r="19" spans="1:12" x14ac:dyDescent="0.4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I19" s="138">
        <v>1</v>
      </c>
      <c r="K19" s="62">
        <v>17</v>
      </c>
      <c r="L19" s="64">
        <v>178.10000000000002</v>
      </c>
    </row>
    <row r="20" spans="1:12" x14ac:dyDescent="0.4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I20" s="138">
        <v>6</v>
      </c>
      <c r="K20" s="62">
        <v>18</v>
      </c>
      <c r="L20" s="64">
        <v>155.00000000000003</v>
      </c>
    </row>
    <row r="21" spans="1:12" x14ac:dyDescent="0.4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38">
        <v>9</v>
      </c>
      <c r="K21" s="62">
        <v>19</v>
      </c>
      <c r="L21" s="64">
        <v>143.60000000000002</v>
      </c>
    </row>
    <row r="22" spans="1:12" x14ac:dyDescent="0.4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38">
        <v>1</v>
      </c>
    </row>
    <row r="23" spans="1:12" x14ac:dyDescent="0.4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38">
        <v>3</v>
      </c>
    </row>
    <row r="24" spans="1:12" x14ac:dyDescent="0.4">
      <c r="A24" s="92" t="s">
        <v>126</v>
      </c>
      <c r="B24" s="148">
        <v>67</v>
      </c>
      <c r="C24" s="149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38">
        <v>9</v>
      </c>
    </row>
    <row r="25" spans="1:12" x14ac:dyDescent="0.4">
      <c r="A25" s="95" t="s">
        <v>127</v>
      </c>
      <c r="B25" s="150">
        <v>20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1</v>
      </c>
    </row>
    <row r="26" spans="1:12" x14ac:dyDescent="0.4">
      <c r="A26" s="133" t="s">
        <v>164</v>
      </c>
      <c r="B26" s="144">
        <v>6</v>
      </c>
      <c r="C26" s="145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38">
        <v>9</v>
      </c>
    </row>
    <row r="27" spans="1:12" x14ac:dyDescent="0.4">
      <c r="A27" s="96" t="s">
        <v>205</v>
      </c>
      <c r="B27" s="142">
        <v>109300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5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38">
        <v>8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4F372-D4FE-42FB-B84B-DC1338BE0D33}">
  <sheetPr codeName="Sheet25"/>
  <dimension ref="A1:Q75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139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73</v>
      </c>
      <c r="C2" s="149"/>
      <c r="E2" s="101" t="s">
        <v>71</v>
      </c>
      <c r="F2" s="97" t="s">
        <v>25</v>
      </c>
      <c r="G2" s="84">
        <v>156</v>
      </c>
      <c r="H2" s="60">
        <f>IF(B$25=0,0,G2/B$25)</f>
        <v>1</v>
      </c>
      <c r="I2" s="137">
        <v>2</v>
      </c>
      <c r="K2" s="59">
        <v>0</v>
      </c>
      <c r="L2" s="61">
        <v>0</v>
      </c>
      <c r="N2" s="59" t="s">
        <v>150</v>
      </c>
      <c r="O2" s="80">
        <f t="shared" ref="O2:O7" si="0">IF(Q2=0,0,P2/Q2)</f>
        <v>-1386.9565217391305</v>
      </c>
      <c r="P2" s="77">
        <v>-95700</v>
      </c>
      <c r="Q2" s="75">
        <v>69</v>
      </c>
    </row>
    <row r="3" spans="1:17" x14ac:dyDescent="0.4">
      <c r="A3" s="93" t="s">
        <v>8</v>
      </c>
      <c r="B3" s="154">
        <v>563</v>
      </c>
      <c r="C3" s="155"/>
      <c r="E3" s="102" t="s">
        <v>69</v>
      </c>
      <c r="F3" s="98" t="s">
        <v>23</v>
      </c>
      <c r="G3" s="85">
        <v>124</v>
      </c>
      <c r="H3" s="63">
        <f>IF(B$25=0,0,G3/B$25)</f>
        <v>0.79487179487179482</v>
      </c>
      <c r="I3" s="138">
        <v>2</v>
      </c>
      <c r="K3" s="62">
        <v>1</v>
      </c>
      <c r="L3" s="64">
        <v>3.9</v>
      </c>
      <c r="N3" s="62" t="s">
        <v>151</v>
      </c>
      <c r="O3" s="81">
        <f t="shared" si="0"/>
        <v>192.64705882352942</v>
      </c>
      <c r="P3" s="78">
        <v>13100</v>
      </c>
      <c r="Q3" s="73">
        <v>68</v>
      </c>
    </row>
    <row r="4" spans="1:17" x14ac:dyDescent="0.4">
      <c r="A4" s="93" t="s">
        <v>6</v>
      </c>
      <c r="B4" s="156">
        <v>-413.69999999999987</v>
      </c>
      <c r="C4" s="157"/>
      <c r="E4" s="102" t="s">
        <v>76</v>
      </c>
      <c r="F4" s="98" t="s">
        <v>29</v>
      </c>
      <c r="G4" s="85">
        <v>99</v>
      </c>
      <c r="H4" s="63">
        <f>IF(B$25=0,0,G4/B$25)</f>
        <v>0.63461538461538458</v>
      </c>
      <c r="I4" s="138">
        <v>3</v>
      </c>
      <c r="K4" s="62">
        <v>2</v>
      </c>
      <c r="L4" s="64">
        <v>-33.9</v>
      </c>
      <c r="N4" s="62" t="s">
        <v>152</v>
      </c>
      <c r="O4" s="81">
        <f t="shared" si="0"/>
        <v>-3053.125</v>
      </c>
      <c r="P4" s="78">
        <v>-195400</v>
      </c>
      <c r="Q4" s="73">
        <v>64</v>
      </c>
    </row>
    <row r="5" spans="1:17" x14ac:dyDescent="0.4">
      <c r="A5" s="93" t="s">
        <v>7</v>
      </c>
      <c r="B5" s="156">
        <f>IF(B$2=0,0,B$4/B$2)</f>
        <v>-5.667123287671231</v>
      </c>
      <c r="C5" s="157"/>
      <c r="E5" s="102" t="s">
        <v>67</v>
      </c>
      <c r="F5" s="98" t="s">
        <v>21</v>
      </c>
      <c r="G5" s="85">
        <v>97</v>
      </c>
      <c r="H5" s="63">
        <f>IF(B$25=0,0,G5/B$25)</f>
        <v>0.62179487179487181</v>
      </c>
      <c r="I5" s="138">
        <v>4</v>
      </c>
      <c r="K5" s="62">
        <v>3</v>
      </c>
      <c r="L5" s="64">
        <v>-70.099999999999994</v>
      </c>
      <c r="N5" s="62" t="s">
        <v>153</v>
      </c>
      <c r="O5" s="81">
        <f t="shared" si="0"/>
        <v>-430.50847457627117</v>
      </c>
      <c r="P5" s="78">
        <v>-25400</v>
      </c>
      <c r="Q5" s="73">
        <v>59</v>
      </c>
    </row>
    <row r="6" spans="1:17" x14ac:dyDescent="0.4">
      <c r="A6" s="93" t="s">
        <v>1</v>
      </c>
      <c r="B6" s="146">
        <f>IF(B$2=0,0,(B$7*1+B$8*2+B$9*3)/B$2)</f>
        <v>2.2054794520547945</v>
      </c>
      <c r="C6" s="147"/>
      <c r="E6" s="102" t="s">
        <v>70</v>
      </c>
      <c r="F6" s="98" t="s">
        <v>24</v>
      </c>
      <c r="G6" s="85">
        <v>62</v>
      </c>
      <c r="H6" s="63">
        <f>IF(B$25=0,0,G6/B$25)</f>
        <v>0.39743589743589741</v>
      </c>
      <c r="I6" s="138">
        <v>4</v>
      </c>
      <c r="K6" s="62">
        <v>4</v>
      </c>
      <c r="L6" s="64">
        <v>-35.099999999999994</v>
      </c>
      <c r="N6" s="62" t="s">
        <v>154</v>
      </c>
      <c r="O6" s="81">
        <f t="shared" si="0"/>
        <v>-1709.2592592592594</v>
      </c>
      <c r="P6" s="78">
        <v>-92300</v>
      </c>
      <c r="Q6" s="73">
        <v>54</v>
      </c>
    </row>
    <row r="7" spans="1:17" x14ac:dyDescent="0.4">
      <c r="A7" s="93" t="s">
        <v>2</v>
      </c>
      <c r="B7" s="85">
        <v>18</v>
      </c>
      <c r="C7" s="63">
        <f>IF(B$2=0,0,B7/B$2)</f>
        <v>0.24657534246575341</v>
      </c>
      <c r="E7" s="102" t="s">
        <v>72</v>
      </c>
      <c r="F7" s="98" t="s">
        <v>12</v>
      </c>
      <c r="G7" s="85">
        <v>55</v>
      </c>
      <c r="H7" s="63">
        <f>IF(B$25=0,0,G7/B$25)</f>
        <v>0.35256410256410259</v>
      </c>
      <c r="I7" s="138">
        <v>1</v>
      </c>
      <c r="K7" s="62">
        <v>5</v>
      </c>
      <c r="L7" s="64">
        <v>-80.099999999999994</v>
      </c>
      <c r="N7" s="67" t="s">
        <v>155</v>
      </c>
      <c r="O7" s="82">
        <f t="shared" si="0"/>
        <v>2300</v>
      </c>
      <c r="P7" s="79">
        <v>94300</v>
      </c>
      <c r="Q7" s="74">
        <v>41</v>
      </c>
    </row>
    <row r="8" spans="1:17" x14ac:dyDescent="0.4">
      <c r="A8" s="93" t="s">
        <v>3</v>
      </c>
      <c r="B8" s="85">
        <v>22</v>
      </c>
      <c r="C8" s="63">
        <f t="shared" ref="C8:C9" si="1">IF(B$2=0,0,B8/B$2)</f>
        <v>0.30136986301369861</v>
      </c>
      <c r="E8" s="102" t="s">
        <v>73</v>
      </c>
      <c r="F8" s="98" t="s">
        <v>26</v>
      </c>
      <c r="G8" s="85">
        <v>24</v>
      </c>
      <c r="H8" s="63">
        <f>IF(B$25=0,0,G8/B$25)</f>
        <v>0.15384615384615385</v>
      </c>
      <c r="I8" s="138">
        <v>5</v>
      </c>
      <c r="K8" s="62">
        <v>6</v>
      </c>
      <c r="L8" s="64">
        <v>-116.1</v>
      </c>
    </row>
    <row r="9" spans="1:17" x14ac:dyDescent="0.4">
      <c r="A9" s="94" t="s">
        <v>4</v>
      </c>
      <c r="B9" s="86">
        <v>33</v>
      </c>
      <c r="C9" s="65">
        <f t="shared" si="1"/>
        <v>0.45205479452054792</v>
      </c>
      <c r="E9" s="102" t="s">
        <v>74</v>
      </c>
      <c r="F9" s="98" t="s">
        <v>27</v>
      </c>
      <c r="G9" s="85">
        <v>21</v>
      </c>
      <c r="H9" s="63">
        <f>IF(B$25=0,0,G9/B$25)</f>
        <v>0.13461538461538461</v>
      </c>
      <c r="I9" s="138">
        <v>4</v>
      </c>
      <c r="K9" s="62">
        <v>7</v>
      </c>
      <c r="L9" s="64">
        <v>-147.4</v>
      </c>
    </row>
    <row r="10" spans="1:17" x14ac:dyDescent="0.4">
      <c r="A10" s="94" t="s">
        <v>19</v>
      </c>
      <c r="B10" s="86">
        <v>16</v>
      </c>
      <c r="C10" s="65">
        <f>IF(B$2=0,0,B10/B$2)</f>
        <v>0.21917808219178081</v>
      </c>
      <c r="E10" s="102" t="s">
        <v>94</v>
      </c>
      <c r="F10" s="98" t="s">
        <v>47</v>
      </c>
      <c r="G10" s="85">
        <v>19</v>
      </c>
      <c r="H10" s="63">
        <f>IF(B$25=0,0,G10/B$25)</f>
        <v>0.12179487179487179</v>
      </c>
      <c r="I10" s="138">
        <v>7</v>
      </c>
      <c r="K10" s="62">
        <v>8</v>
      </c>
      <c r="L10" s="64">
        <v>-146</v>
      </c>
    </row>
    <row r="11" spans="1:17" x14ac:dyDescent="0.4">
      <c r="A11" s="95" t="s">
        <v>160</v>
      </c>
      <c r="B11" s="87">
        <v>10</v>
      </c>
      <c r="C11" s="68">
        <f>IF(B$2=0,0,B11/B$2)</f>
        <v>0.13698630136986301</v>
      </c>
      <c r="E11" s="102" t="s">
        <v>68</v>
      </c>
      <c r="F11" s="98" t="s">
        <v>22</v>
      </c>
      <c r="G11" s="85">
        <v>14</v>
      </c>
      <c r="H11" s="63">
        <f>IF(B$25=0,0,G11/B$25)</f>
        <v>8.9743589743589744E-2</v>
      </c>
      <c r="I11" s="138">
        <v>10</v>
      </c>
      <c r="K11" s="62">
        <v>9</v>
      </c>
      <c r="L11" s="64">
        <v>-173</v>
      </c>
    </row>
    <row r="12" spans="1:17" x14ac:dyDescent="0.4">
      <c r="A12" s="96" t="s">
        <v>128</v>
      </c>
      <c r="B12" s="88">
        <v>160</v>
      </c>
      <c r="C12" s="71">
        <f>IF(B$24=0,0,B12/B$24)</f>
        <v>0.30418250950570341</v>
      </c>
      <c r="E12" s="102" t="s">
        <v>91</v>
      </c>
      <c r="F12" s="98" t="s">
        <v>44</v>
      </c>
      <c r="G12" s="85">
        <v>10</v>
      </c>
      <c r="H12" s="63">
        <f>IF(B$25=0,0,G12/B$25)</f>
        <v>6.4102564102564097E-2</v>
      </c>
      <c r="I12" s="138">
        <v>6</v>
      </c>
      <c r="K12" s="62">
        <v>10</v>
      </c>
      <c r="L12" s="64">
        <v>-206.1</v>
      </c>
    </row>
    <row r="13" spans="1:17" x14ac:dyDescent="0.4">
      <c r="A13" s="93" t="s">
        <v>123</v>
      </c>
      <c r="B13" s="85">
        <v>108</v>
      </c>
      <c r="C13" s="63">
        <f>IF(B$24=0,0,B13/B$24)</f>
        <v>0.20532319391634982</v>
      </c>
      <c r="E13" s="102" t="s">
        <v>82</v>
      </c>
      <c r="F13" s="98" t="s">
        <v>35</v>
      </c>
      <c r="G13" s="85">
        <v>9</v>
      </c>
      <c r="H13" s="63">
        <f>IF(B$25=0,0,G13/B$25)</f>
        <v>5.7692307692307696E-2</v>
      </c>
      <c r="I13" s="138">
        <v>2</v>
      </c>
      <c r="K13" s="62">
        <v>11</v>
      </c>
      <c r="L13" s="64">
        <v>-174</v>
      </c>
    </row>
    <row r="14" spans="1:17" x14ac:dyDescent="0.4">
      <c r="A14" s="92" t="s">
        <v>130</v>
      </c>
      <c r="B14" s="84">
        <v>100</v>
      </c>
      <c r="C14" s="60">
        <f>IF(B$12=0,0,B14/B$12)</f>
        <v>0.625</v>
      </c>
      <c r="E14" s="102" t="s">
        <v>75</v>
      </c>
      <c r="F14" s="98" t="s">
        <v>28</v>
      </c>
      <c r="G14" s="85">
        <v>4</v>
      </c>
      <c r="H14" s="63">
        <f>IF(B$25=0,0,G14/B$25)</f>
        <v>2.564102564102564E-2</v>
      </c>
      <c r="I14" s="138">
        <v>10</v>
      </c>
      <c r="K14" s="62">
        <v>12</v>
      </c>
      <c r="L14" s="64">
        <v>-197</v>
      </c>
    </row>
    <row r="15" spans="1:17" x14ac:dyDescent="0.4">
      <c r="A15" s="92" t="s">
        <v>131</v>
      </c>
      <c r="B15" s="84">
        <v>39</v>
      </c>
      <c r="C15" s="60">
        <f>IF(B$13=0,0,B15/B$13)</f>
        <v>0.3611111111111111</v>
      </c>
      <c r="E15" s="102" t="s">
        <v>77</v>
      </c>
      <c r="F15" s="98" t="s">
        <v>30</v>
      </c>
      <c r="G15" s="85">
        <v>4</v>
      </c>
      <c r="H15" s="63">
        <f>IF(B$25=0,0,G15/B$25)</f>
        <v>2.564102564102564E-2</v>
      </c>
      <c r="I15" s="138">
        <v>1</v>
      </c>
      <c r="K15" s="62">
        <v>13</v>
      </c>
      <c r="L15" s="64">
        <v>-235</v>
      </c>
    </row>
    <row r="16" spans="1:17" x14ac:dyDescent="0.4">
      <c r="A16" s="92" t="s">
        <v>10</v>
      </c>
      <c r="B16" s="84">
        <f>B18+B17</f>
        <v>166</v>
      </c>
      <c r="C16" s="60">
        <f>IF(B$3=0,0,B16/B$3)</f>
        <v>0.29484902309058614</v>
      </c>
      <c r="E16" s="102" t="s">
        <v>88</v>
      </c>
      <c r="F16" s="98" t="s">
        <v>41</v>
      </c>
      <c r="G16" s="85">
        <v>4</v>
      </c>
      <c r="H16" s="63">
        <f>IF(B$25=0,0,G16/B$25)</f>
        <v>2.564102564102564E-2</v>
      </c>
      <c r="I16" s="138">
        <v>6</v>
      </c>
      <c r="K16" s="62">
        <v>14</v>
      </c>
      <c r="L16" s="64">
        <v>-231</v>
      </c>
    </row>
    <row r="17" spans="1:12" x14ac:dyDescent="0.4">
      <c r="A17" s="93" t="s">
        <v>12</v>
      </c>
      <c r="B17" s="85">
        <v>77</v>
      </c>
      <c r="C17" s="63">
        <f>IF(B$16=0,0,B17/B$16)</f>
        <v>0.46385542168674698</v>
      </c>
      <c r="E17" s="102" t="s">
        <v>86</v>
      </c>
      <c r="F17" s="98" t="s">
        <v>39</v>
      </c>
      <c r="G17" s="85">
        <v>3</v>
      </c>
      <c r="H17" s="63">
        <f>IF(B$25=0,0,G17/B$25)</f>
        <v>1.9230769230769232E-2</v>
      </c>
      <c r="I17" s="138">
        <v>7</v>
      </c>
      <c r="K17" s="62">
        <v>15</v>
      </c>
      <c r="L17" s="64">
        <v>-212.5</v>
      </c>
    </row>
    <row r="18" spans="1:12" x14ac:dyDescent="0.4">
      <c r="A18" s="93" t="s">
        <v>11</v>
      </c>
      <c r="B18" s="85">
        <v>89</v>
      </c>
      <c r="C18" s="63">
        <f>IF(B$16=0,0,B18/B$16)</f>
        <v>0.53614457831325302</v>
      </c>
      <c r="E18" s="102" t="s">
        <v>79</v>
      </c>
      <c r="F18" s="98" t="s">
        <v>32</v>
      </c>
      <c r="G18" s="85">
        <v>2</v>
      </c>
      <c r="H18" s="63">
        <f>IF(B$25=0,0,G18/B$25)</f>
        <v>1.282051282051282E-2</v>
      </c>
      <c r="I18" s="138">
        <v>2</v>
      </c>
      <c r="K18" s="62">
        <v>16</v>
      </c>
      <c r="L18" s="64">
        <v>-233.2</v>
      </c>
    </row>
    <row r="19" spans="1:12" x14ac:dyDescent="0.4">
      <c r="A19" s="93" t="s">
        <v>13</v>
      </c>
      <c r="B19" s="85">
        <v>129</v>
      </c>
      <c r="C19" s="63">
        <f>IF(B$3=0,0,B19/B$3)</f>
        <v>0.22912966252220249</v>
      </c>
      <c r="E19" s="102" t="s">
        <v>81</v>
      </c>
      <c r="F19" s="98" t="s">
        <v>34</v>
      </c>
      <c r="G19" s="85">
        <v>1</v>
      </c>
      <c r="H19" s="63">
        <f>IF(B$25=0,0,G19/B$25)</f>
        <v>6.41025641025641E-3</v>
      </c>
      <c r="I19" s="138">
        <v>5</v>
      </c>
      <c r="K19" s="62">
        <v>17</v>
      </c>
      <c r="L19" s="64">
        <v>-268.7</v>
      </c>
    </row>
    <row r="20" spans="1:12" x14ac:dyDescent="0.4">
      <c r="A20" s="93" t="s">
        <v>5</v>
      </c>
      <c r="B20" s="89">
        <f>IF(B$16=0,0,C20/B$16)</f>
        <v>10793.975903614459</v>
      </c>
      <c r="C20" s="66">
        <v>1791800</v>
      </c>
      <c r="E20" s="102" t="s">
        <v>83</v>
      </c>
      <c r="F20" s="98" t="s">
        <v>36</v>
      </c>
      <c r="G20" s="85">
        <v>1</v>
      </c>
      <c r="H20" s="63">
        <f>IF(B$25=0,0,G20/B$25)</f>
        <v>6.41025641025641E-3</v>
      </c>
      <c r="I20" s="138">
        <v>8</v>
      </c>
      <c r="K20" s="62">
        <v>18</v>
      </c>
      <c r="L20" s="64">
        <v>-295.8</v>
      </c>
    </row>
    <row r="21" spans="1:12" x14ac:dyDescent="0.4">
      <c r="A21" s="95" t="s">
        <v>14</v>
      </c>
      <c r="B21" s="90">
        <f>IF(B$19=0,0,C21/B$19)</f>
        <v>-9834.8837209302328</v>
      </c>
      <c r="C21" s="83">
        <v>-1268700</v>
      </c>
      <c r="E21" s="102" t="s">
        <v>89</v>
      </c>
      <c r="F21" s="98" t="s">
        <v>42</v>
      </c>
      <c r="G21" s="85">
        <v>1</v>
      </c>
      <c r="H21" s="63">
        <f>IF(B$25=0,0,G21/B$25)</f>
        <v>6.41025641025641E-3</v>
      </c>
      <c r="I21" s="138">
        <v>3</v>
      </c>
      <c r="K21" s="62">
        <v>19</v>
      </c>
      <c r="L21" s="64">
        <v>-273.2</v>
      </c>
    </row>
    <row r="22" spans="1:12" x14ac:dyDescent="0.4">
      <c r="A22" s="92" t="s">
        <v>147</v>
      </c>
      <c r="B22" s="84">
        <v>180</v>
      </c>
      <c r="C22" s="60">
        <f>IF(B$3=0,0,B22/B$3)</f>
        <v>0.31971580817051509</v>
      </c>
      <c r="E22" s="102" t="s">
        <v>96</v>
      </c>
      <c r="F22" s="98" t="s">
        <v>49</v>
      </c>
      <c r="G22" s="85">
        <v>1</v>
      </c>
      <c r="H22" s="63">
        <f>IF(B$25=0,0,G22/B$25)</f>
        <v>6.41025641025641E-3</v>
      </c>
      <c r="I22" s="138">
        <v>7</v>
      </c>
      <c r="K22" s="62">
        <v>20</v>
      </c>
      <c r="L22" s="64">
        <v>-270</v>
      </c>
    </row>
    <row r="23" spans="1:12" x14ac:dyDescent="0.4">
      <c r="A23" s="95" t="s">
        <v>148</v>
      </c>
      <c r="B23" s="87">
        <v>59</v>
      </c>
      <c r="C23" s="68">
        <f>IF(B$22=0,0,B23/B$22)</f>
        <v>0.32777777777777778</v>
      </c>
      <c r="E23" s="102" t="s">
        <v>97</v>
      </c>
      <c r="F23" s="98" t="s">
        <v>50</v>
      </c>
      <c r="G23" s="85">
        <v>1</v>
      </c>
      <c r="H23" s="63">
        <f>IF(B$25=0,0,G23/B$25)</f>
        <v>6.41025641025641E-3</v>
      </c>
      <c r="I23" s="138">
        <v>4</v>
      </c>
      <c r="K23" s="62">
        <v>21</v>
      </c>
      <c r="L23" s="64">
        <v>-242</v>
      </c>
    </row>
    <row r="24" spans="1:12" x14ac:dyDescent="0.4">
      <c r="A24" s="92" t="s">
        <v>126</v>
      </c>
      <c r="B24" s="148">
        <v>526</v>
      </c>
      <c r="C24" s="149"/>
      <c r="E24" s="102" t="s">
        <v>98</v>
      </c>
      <c r="F24" s="98" t="s">
        <v>51</v>
      </c>
      <c r="G24" s="85">
        <v>1</v>
      </c>
      <c r="H24" s="63">
        <f>IF(B$25=0,0,G24/B$25)</f>
        <v>6.41025641025641E-3</v>
      </c>
      <c r="I24" s="138">
        <v>2</v>
      </c>
      <c r="K24" s="62">
        <v>22</v>
      </c>
      <c r="L24" s="64">
        <v>-202.9</v>
      </c>
    </row>
    <row r="25" spans="1:12" x14ac:dyDescent="0.4">
      <c r="A25" s="95" t="s">
        <v>127</v>
      </c>
      <c r="B25" s="150">
        <v>156</v>
      </c>
      <c r="C25" s="151"/>
      <c r="E25" s="102" t="s">
        <v>78</v>
      </c>
      <c r="F25" s="98" t="s">
        <v>31</v>
      </c>
      <c r="G25" s="85">
        <v>0</v>
      </c>
      <c r="H25" s="63">
        <f>IF(B$25=0,0,G25/B$25)</f>
        <v>0</v>
      </c>
      <c r="I25" s="138">
        <v>4</v>
      </c>
      <c r="K25" s="62">
        <v>23</v>
      </c>
      <c r="L25" s="64">
        <v>-200.9</v>
      </c>
    </row>
    <row r="26" spans="1:12" x14ac:dyDescent="0.4">
      <c r="A26" s="133" t="s">
        <v>164</v>
      </c>
      <c r="B26" s="144">
        <v>7</v>
      </c>
      <c r="C26" s="145"/>
      <c r="E26" s="102" t="s">
        <v>80</v>
      </c>
      <c r="F26" s="98" t="s">
        <v>33</v>
      </c>
      <c r="G26" s="85">
        <v>0</v>
      </c>
      <c r="H26" s="63">
        <f>IF(B$25=0,0,G26/B$25)</f>
        <v>0</v>
      </c>
      <c r="I26" s="138">
        <v>1</v>
      </c>
      <c r="K26" s="62">
        <v>24</v>
      </c>
      <c r="L26" s="64">
        <v>-168.2</v>
      </c>
    </row>
    <row r="27" spans="1:12" x14ac:dyDescent="0.4">
      <c r="A27" s="96" t="s">
        <v>205</v>
      </c>
      <c r="B27" s="142">
        <v>124700</v>
      </c>
      <c r="C27" s="143"/>
      <c r="E27" s="102" t="s">
        <v>84</v>
      </c>
      <c r="F27" s="98" t="s">
        <v>37</v>
      </c>
      <c r="G27" s="85">
        <v>0</v>
      </c>
      <c r="H27" s="63">
        <f>IF(B$25=0,0,G27/B$25)</f>
        <v>0</v>
      </c>
      <c r="I27" s="138">
        <v>1</v>
      </c>
      <c r="K27" s="62">
        <v>25</v>
      </c>
      <c r="L27" s="64">
        <v>-216.89999999999998</v>
      </c>
    </row>
    <row r="28" spans="1:12" x14ac:dyDescent="0.4">
      <c r="A28" s="95" t="s">
        <v>165</v>
      </c>
      <c r="B28" s="104">
        <v>7</v>
      </c>
      <c r="C28" s="68">
        <f>IF(B$3=0,0,B28/B$3)</f>
        <v>1.2433392539964476E-2</v>
      </c>
      <c r="E28" s="102" t="s">
        <v>85</v>
      </c>
      <c r="F28" s="98" t="s">
        <v>38</v>
      </c>
      <c r="G28" s="85">
        <v>0</v>
      </c>
      <c r="H28" s="63">
        <f>IF(B$25=0,0,G28/B$25)</f>
        <v>0</v>
      </c>
      <c r="I28" s="138">
        <v>3</v>
      </c>
      <c r="K28" s="62">
        <v>26</v>
      </c>
      <c r="L28" s="64">
        <v>-256.29999999999995</v>
      </c>
    </row>
    <row r="29" spans="1:12" x14ac:dyDescent="0.4">
      <c r="E29" s="102" t="s">
        <v>87</v>
      </c>
      <c r="F29" s="98" t="s">
        <v>40</v>
      </c>
      <c r="G29" s="85">
        <v>0</v>
      </c>
      <c r="H29" s="63">
        <f>IF(B$25=0,0,G29/B$25)</f>
        <v>0</v>
      </c>
      <c r="I29" s="138">
        <v>1</v>
      </c>
      <c r="K29" s="62">
        <v>27</v>
      </c>
      <c r="L29" s="64">
        <v>-296.29999999999995</v>
      </c>
    </row>
    <row r="30" spans="1:12" x14ac:dyDescent="0.4">
      <c r="E30" s="102" t="s">
        <v>90</v>
      </c>
      <c r="F30" s="98" t="s">
        <v>43</v>
      </c>
      <c r="G30" s="85">
        <v>0</v>
      </c>
      <c r="H30" s="63">
        <f>IF(B$25=0,0,G30/B$25)</f>
        <v>0</v>
      </c>
      <c r="I30" s="138">
        <v>5</v>
      </c>
      <c r="K30" s="62">
        <v>28</v>
      </c>
      <c r="L30" s="64">
        <v>-290.19999999999993</v>
      </c>
    </row>
    <row r="31" spans="1:12" x14ac:dyDescent="0.4">
      <c r="E31" s="102" t="s">
        <v>92</v>
      </c>
      <c r="F31" s="98" t="s">
        <v>45</v>
      </c>
      <c r="G31" s="85">
        <v>0</v>
      </c>
      <c r="H31" s="63">
        <f>IF(B$25=0,0,G31/B$25)</f>
        <v>0</v>
      </c>
      <c r="I31" s="138">
        <v>4</v>
      </c>
      <c r="K31" s="62">
        <v>29</v>
      </c>
      <c r="L31" s="64">
        <v>-239.19999999999993</v>
      </c>
    </row>
    <row r="32" spans="1:12" x14ac:dyDescent="0.4">
      <c r="E32" s="102" t="s">
        <v>93</v>
      </c>
      <c r="F32" s="98" t="s">
        <v>46</v>
      </c>
      <c r="G32" s="85">
        <v>0</v>
      </c>
      <c r="H32" s="63">
        <f>IF(B$25=0,0,G32/B$25)</f>
        <v>0</v>
      </c>
      <c r="I32" s="138">
        <v>3</v>
      </c>
      <c r="K32" s="62">
        <v>30</v>
      </c>
      <c r="L32" s="64">
        <v>-257.29999999999995</v>
      </c>
    </row>
    <row r="33" spans="5:12" x14ac:dyDescent="0.4">
      <c r="E33" s="102" t="s">
        <v>95</v>
      </c>
      <c r="F33" s="98" t="s">
        <v>48</v>
      </c>
      <c r="G33" s="85">
        <v>0</v>
      </c>
      <c r="H33" s="63">
        <f>IF(B$25=0,0,G33/B$25)</f>
        <v>0</v>
      </c>
      <c r="I33" s="138">
        <v>3</v>
      </c>
      <c r="K33" s="62">
        <v>31</v>
      </c>
      <c r="L33" s="64">
        <v>-265.39999999999998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  <c r="K34" s="62">
        <v>32</v>
      </c>
      <c r="L34" s="64">
        <v>-283.89999999999998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  <c r="K35" s="62">
        <v>33</v>
      </c>
      <c r="L35" s="64">
        <v>-291.29999999999995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  <c r="K36" s="62">
        <v>34</v>
      </c>
      <c r="L36" s="64">
        <v>-301.69999999999993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  <c r="K37" s="62">
        <v>35</v>
      </c>
      <c r="L37" s="64">
        <v>-339.69999999999993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  <c r="K38" s="62">
        <v>36</v>
      </c>
      <c r="L38" s="64">
        <v>-328.09999999999991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  <c r="K39" s="62">
        <v>37</v>
      </c>
      <c r="L39" s="64">
        <v>-371.59999999999991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  <c r="K40" s="62">
        <v>38</v>
      </c>
      <c r="L40" s="64">
        <v>-380.09999999999991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  <c r="K41" s="62">
        <v>39</v>
      </c>
      <c r="L41" s="64">
        <v>-360.49999999999989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  <c r="K42" s="62">
        <v>40</v>
      </c>
      <c r="L42" s="64">
        <v>-378.59999999999991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  <c r="K43" s="62">
        <v>41</v>
      </c>
      <c r="L43" s="64">
        <v>-366.59999999999991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  <c r="K44" s="62">
        <v>42</v>
      </c>
      <c r="L44" s="64">
        <v>-367.09999999999991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  <c r="K45" s="62">
        <v>43</v>
      </c>
      <c r="L45" s="64">
        <v>-325.09999999999991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  <c r="K46" s="62">
        <v>44</v>
      </c>
      <c r="L46" s="64">
        <v>-330.89999999999992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  <c r="K47" s="62">
        <v>45</v>
      </c>
      <c r="L47" s="64">
        <v>-329.19999999999993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  <c r="K48" s="62">
        <v>46</v>
      </c>
      <c r="L48" s="64">
        <v>-363.39999999999992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  <c r="K49" s="62">
        <v>47</v>
      </c>
      <c r="L49" s="64">
        <v>-351.39999999999992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  <c r="K50" s="62">
        <v>48</v>
      </c>
      <c r="L50" s="64">
        <v>-359.19999999999993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  <c r="K51" s="62">
        <v>49</v>
      </c>
      <c r="L51" s="64">
        <v>-364.49999999999994</v>
      </c>
    </row>
    <row r="52" spans="5:12" x14ac:dyDescent="0.4">
      <c r="K52" s="62">
        <v>50</v>
      </c>
      <c r="L52" s="64">
        <v>-399.99999999999994</v>
      </c>
    </row>
    <row r="53" spans="5:12" x14ac:dyDescent="0.4">
      <c r="K53" s="62">
        <v>51</v>
      </c>
      <c r="L53" s="64">
        <v>-409.99999999999994</v>
      </c>
    </row>
    <row r="54" spans="5:12" x14ac:dyDescent="0.4">
      <c r="K54" s="62">
        <v>52</v>
      </c>
      <c r="L54" s="64">
        <v>-426.39999999999992</v>
      </c>
    </row>
    <row r="55" spans="5:12" x14ac:dyDescent="0.4">
      <c r="K55" s="62">
        <v>53</v>
      </c>
      <c r="L55" s="64">
        <v>-399.89999999999992</v>
      </c>
    </row>
    <row r="56" spans="5:12" x14ac:dyDescent="0.4">
      <c r="K56" s="62">
        <v>54</v>
      </c>
      <c r="L56" s="64">
        <v>-411.19999999999993</v>
      </c>
    </row>
    <row r="57" spans="5:12" x14ac:dyDescent="0.4">
      <c r="K57" s="62">
        <v>55</v>
      </c>
      <c r="L57" s="64">
        <v>-420.49999999999994</v>
      </c>
    </row>
    <row r="58" spans="5:12" x14ac:dyDescent="0.4">
      <c r="K58" s="62">
        <v>56</v>
      </c>
      <c r="L58" s="64">
        <v>-395.39999999999992</v>
      </c>
    </row>
    <row r="59" spans="5:12" x14ac:dyDescent="0.4">
      <c r="K59" s="62">
        <v>57</v>
      </c>
      <c r="L59" s="64">
        <v>-428.89999999999992</v>
      </c>
    </row>
    <row r="60" spans="5:12" x14ac:dyDescent="0.4">
      <c r="K60" s="62">
        <v>58</v>
      </c>
      <c r="L60" s="64">
        <v>-466.39999999999992</v>
      </c>
    </row>
    <row r="61" spans="5:12" x14ac:dyDescent="0.4">
      <c r="K61" s="62">
        <v>59</v>
      </c>
      <c r="L61" s="64">
        <v>-475.7999999999999</v>
      </c>
    </row>
    <row r="62" spans="5:12" x14ac:dyDescent="0.4">
      <c r="K62" s="62">
        <v>60</v>
      </c>
      <c r="L62" s="64">
        <v>-475.2999999999999</v>
      </c>
    </row>
    <row r="63" spans="5:12" x14ac:dyDescent="0.4">
      <c r="K63" s="62">
        <v>61</v>
      </c>
      <c r="L63" s="64">
        <v>-487.39999999999992</v>
      </c>
    </row>
    <row r="64" spans="5:12" x14ac:dyDescent="0.4">
      <c r="K64" s="62">
        <v>62</v>
      </c>
      <c r="L64" s="64">
        <v>-492.59999999999991</v>
      </c>
    </row>
    <row r="65" spans="11:12" x14ac:dyDescent="0.4">
      <c r="K65" s="62">
        <v>63</v>
      </c>
      <c r="L65" s="64">
        <v>-416.09999999999991</v>
      </c>
    </row>
    <row r="66" spans="11:12" x14ac:dyDescent="0.4">
      <c r="K66" s="62">
        <v>64</v>
      </c>
      <c r="L66" s="64">
        <v>-451.89999999999992</v>
      </c>
    </row>
    <row r="67" spans="11:12" x14ac:dyDescent="0.4">
      <c r="K67" s="62">
        <v>65</v>
      </c>
      <c r="L67" s="64">
        <v>-454.09999999999991</v>
      </c>
    </row>
    <row r="68" spans="11:12" x14ac:dyDescent="0.4">
      <c r="K68" s="62">
        <v>66</v>
      </c>
      <c r="L68" s="64">
        <v>-470.99999999999989</v>
      </c>
    </row>
    <row r="69" spans="11:12" x14ac:dyDescent="0.4">
      <c r="K69" s="62">
        <v>67</v>
      </c>
      <c r="L69" s="64">
        <v>-508.39999999999986</v>
      </c>
    </row>
    <row r="70" spans="11:12" x14ac:dyDescent="0.4">
      <c r="K70" s="62">
        <v>68</v>
      </c>
      <c r="L70" s="64">
        <v>-418.69999999999987</v>
      </c>
    </row>
    <row r="71" spans="11:12" x14ac:dyDescent="0.4">
      <c r="K71" s="62">
        <v>69</v>
      </c>
      <c r="L71" s="64">
        <v>-387.49999999999989</v>
      </c>
    </row>
    <row r="72" spans="11:12" x14ac:dyDescent="0.4">
      <c r="K72" s="62">
        <v>70</v>
      </c>
      <c r="L72" s="64">
        <v>-347.2999999999999</v>
      </c>
    </row>
    <row r="73" spans="11:12" x14ac:dyDescent="0.4">
      <c r="K73" s="62">
        <v>71</v>
      </c>
      <c r="L73" s="64">
        <v>-368.2999999999999</v>
      </c>
    </row>
    <row r="74" spans="11:12" x14ac:dyDescent="0.4">
      <c r="K74" s="62">
        <v>72</v>
      </c>
      <c r="L74" s="64">
        <v>-404.2999999999999</v>
      </c>
    </row>
    <row r="75" spans="11:12" x14ac:dyDescent="0.4">
      <c r="K75" s="62">
        <v>73</v>
      </c>
      <c r="L75" s="64">
        <v>-413.69999999999987</v>
      </c>
    </row>
  </sheetData>
  <sortState ref="E2:I7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66999-34CB-424A-851D-87849E3CE3E3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200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</v>
      </c>
      <c r="C2" s="149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I2" s="137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">
      <c r="A3" s="93" t="s">
        <v>8</v>
      </c>
      <c r="B3" s="154">
        <v>46</v>
      </c>
      <c r="C3" s="155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I3" s="138">
        <v>10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">
      <c r="A4" s="93" t="s">
        <v>6</v>
      </c>
      <c r="B4" s="156">
        <v>89</v>
      </c>
      <c r="C4" s="157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I4" s="138">
        <v>5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">
      <c r="A5" s="93" t="s">
        <v>7</v>
      </c>
      <c r="B5" s="156">
        <f>IF(B$2=0,0,B$4/B$2)</f>
        <v>17.8</v>
      </c>
      <c r="C5" s="157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I5" s="138">
        <v>9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">
      <c r="A6" s="93" t="s">
        <v>1</v>
      </c>
      <c r="B6" s="146">
        <f>IF(B$2=0,0,(B$7*1+B$8*2+B$9*3)/B$2)</f>
        <v>1.6</v>
      </c>
      <c r="C6" s="147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I6" s="138">
        <v>6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I7" s="138">
        <v>1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  <c r="I8" s="138">
        <v>11</v>
      </c>
    </row>
    <row r="9" spans="1:17" x14ac:dyDescent="0.4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  <c r="I9" s="138">
        <v>3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  <c r="I10" s="138">
        <v>1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  <c r="I11" s="138">
        <v>4</v>
      </c>
    </row>
    <row r="12" spans="1:17" x14ac:dyDescent="0.4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  <c r="I12" s="138">
        <v>8</v>
      </c>
    </row>
    <row r="13" spans="1:17" x14ac:dyDescent="0.4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  <c r="I13" s="138">
        <v>5</v>
      </c>
    </row>
    <row r="14" spans="1:17" x14ac:dyDescent="0.4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  <c r="I14" s="138">
        <v>1</v>
      </c>
    </row>
    <row r="15" spans="1:17" x14ac:dyDescent="0.4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  <c r="I15" s="138">
        <v>5</v>
      </c>
    </row>
    <row r="16" spans="1:17" x14ac:dyDescent="0.4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  <c r="I16" s="138">
        <v>4</v>
      </c>
    </row>
    <row r="17" spans="1:9" x14ac:dyDescent="0.4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  <c r="I17" s="138">
        <v>6</v>
      </c>
    </row>
    <row r="18" spans="1:9" x14ac:dyDescent="0.4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  <c r="I18" s="138">
        <v>1</v>
      </c>
    </row>
    <row r="19" spans="1:9" x14ac:dyDescent="0.4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  <c r="I19" s="138">
        <v>6</v>
      </c>
    </row>
    <row r="20" spans="1:9" x14ac:dyDescent="0.4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  <c r="I20" s="138">
        <v>10</v>
      </c>
    </row>
    <row r="21" spans="1:9" x14ac:dyDescent="0.4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38">
        <v>9</v>
      </c>
    </row>
    <row r="22" spans="1:9" x14ac:dyDescent="0.4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38">
        <v>1</v>
      </c>
    </row>
    <row r="23" spans="1:9" x14ac:dyDescent="0.4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38">
        <v>3</v>
      </c>
    </row>
    <row r="24" spans="1:9" x14ac:dyDescent="0.4">
      <c r="A24" s="92" t="s">
        <v>126</v>
      </c>
      <c r="B24" s="148">
        <v>46</v>
      </c>
      <c r="C24" s="149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38">
        <v>9</v>
      </c>
    </row>
    <row r="25" spans="1:9" x14ac:dyDescent="0.4">
      <c r="A25" s="95" t="s">
        <v>127</v>
      </c>
      <c r="B25" s="150">
        <v>18</v>
      </c>
      <c r="C25" s="151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1</v>
      </c>
    </row>
    <row r="26" spans="1:9" x14ac:dyDescent="0.4">
      <c r="A26" s="133" t="s">
        <v>164</v>
      </c>
      <c r="B26" s="144">
        <v>5</v>
      </c>
      <c r="C26" s="145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38">
        <v>9</v>
      </c>
    </row>
    <row r="27" spans="1:9" x14ac:dyDescent="0.4">
      <c r="A27" s="96" t="s">
        <v>205</v>
      </c>
      <c r="B27" s="142">
        <v>78000</v>
      </c>
      <c r="C27" s="143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5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5</v>
      </c>
    </row>
    <row r="29" spans="1:9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</row>
    <row r="30" spans="1:9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</row>
    <row r="31" spans="1:9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76511-4C12-40F9-9DDA-C82597827E7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163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21</v>
      </c>
      <c r="C2" s="149"/>
      <c r="E2" s="101" t="s">
        <v>71</v>
      </c>
      <c r="F2" s="97" t="s">
        <v>25</v>
      </c>
      <c r="G2" s="84">
        <v>44</v>
      </c>
      <c r="H2" s="60">
        <f>IF(B$25=0,0,G2/B$25)</f>
        <v>1.0731707317073171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-4433.333333333333</v>
      </c>
      <c r="P2" s="77">
        <v>-93100</v>
      </c>
      <c r="Q2" s="75">
        <v>21</v>
      </c>
    </row>
    <row r="3" spans="1:17" x14ac:dyDescent="0.4">
      <c r="A3" s="93" t="s">
        <v>8</v>
      </c>
      <c r="B3" s="154">
        <v>169</v>
      </c>
      <c r="C3" s="155"/>
      <c r="E3" s="102" t="s">
        <v>69</v>
      </c>
      <c r="F3" s="98" t="s">
        <v>23</v>
      </c>
      <c r="G3" s="85">
        <v>29</v>
      </c>
      <c r="H3" s="63">
        <f>IF(B$25=0,0,G3/B$25)</f>
        <v>0.70731707317073167</v>
      </c>
      <c r="I3" s="138">
        <v>5</v>
      </c>
      <c r="K3" s="62">
        <v>1</v>
      </c>
      <c r="L3" s="64">
        <v>15</v>
      </c>
      <c r="N3" s="62" t="s">
        <v>151</v>
      </c>
      <c r="O3" s="81">
        <f t="shared" si="0"/>
        <v>2295.2380952380954</v>
      </c>
      <c r="P3" s="78">
        <v>48200</v>
      </c>
      <c r="Q3" s="73">
        <v>21</v>
      </c>
    </row>
    <row r="4" spans="1:17" x14ac:dyDescent="0.4">
      <c r="A4" s="93" t="s">
        <v>6</v>
      </c>
      <c r="B4" s="156">
        <v>-125.80000000000001</v>
      </c>
      <c r="C4" s="157"/>
      <c r="E4" s="102" t="s">
        <v>76</v>
      </c>
      <c r="F4" s="98" t="s">
        <v>29</v>
      </c>
      <c r="G4" s="85">
        <v>29</v>
      </c>
      <c r="H4" s="63">
        <f>IF(B$25=0,0,G4/B$25)</f>
        <v>0.70731707317073167</v>
      </c>
      <c r="I4" s="138">
        <v>1</v>
      </c>
      <c r="K4" s="62">
        <v>2</v>
      </c>
      <c r="L4" s="64">
        <v>-24.299999999999997</v>
      </c>
      <c r="N4" s="62" t="s">
        <v>152</v>
      </c>
      <c r="O4" s="81">
        <f t="shared" si="0"/>
        <v>-177.77777777777777</v>
      </c>
      <c r="P4" s="78">
        <v>-3200</v>
      </c>
      <c r="Q4" s="73">
        <v>18</v>
      </c>
    </row>
    <row r="5" spans="1:17" x14ac:dyDescent="0.4">
      <c r="A5" s="93" t="s">
        <v>7</v>
      </c>
      <c r="B5" s="156">
        <f>IF(B$2=0,0,B$4/B$2)</f>
        <v>-5.9904761904761914</v>
      </c>
      <c r="C5" s="157"/>
      <c r="E5" s="102" t="s">
        <v>67</v>
      </c>
      <c r="F5" s="98" t="s">
        <v>21</v>
      </c>
      <c r="G5" s="85">
        <v>13</v>
      </c>
      <c r="H5" s="63">
        <f>IF(B$25=0,0,G5/B$25)</f>
        <v>0.31707317073170732</v>
      </c>
      <c r="I5" s="138">
        <v>12</v>
      </c>
      <c r="K5" s="62">
        <v>3</v>
      </c>
      <c r="L5" s="64">
        <v>-15.599999999999998</v>
      </c>
      <c r="N5" s="62" t="s">
        <v>153</v>
      </c>
      <c r="O5" s="81">
        <f t="shared" si="0"/>
        <v>-617.64705882352939</v>
      </c>
      <c r="P5" s="78">
        <v>-10500</v>
      </c>
      <c r="Q5" s="73">
        <v>17</v>
      </c>
    </row>
    <row r="6" spans="1:17" x14ac:dyDescent="0.4">
      <c r="A6" s="93" t="s">
        <v>1</v>
      </c>
      <c r="B6" s="146">
        <f>IF(B$2=0,0,(B$7*1+B$8*2+B$9*3)/B$2)</f>
        <v>2.2380952380952381</v>
      </c>
      <c r="C6" s="147"/>
      <c r="E6" s="102" t="s">
        <v>72</v>
      </c>
      <c r="F6" s="98" t="s">
        <v>12</v>
      </c>
      <c r="G6" s="85">
        <v>8</v>
      </c>
      <c r="H6" s="63">
        <f>IF(B$25=0,0,G6/B$25)</f>
        <v>0.1951219512195122</v>
      </c>
      <c r="I6" s="138">
        <v>10</v>
      </c>
      <c r="K6" s="62">
        <v>4</v>
      </c>
      <c r="L6" s="64">
        <v>5.1000000000000014</v>
      </c>
      <c r="N6" s="62" t="s">
        <v>154</v>
      </c>
      <c r="O6" s="81">
        <f t="shared" si="0"/>
        <v>-2862.5</v>
      </c>
      <c r="P6" s="78">
        <v>-45800</v>
      </c>
      <c r="Q6" s="73">
        <v>16</v>
      </c>
    </row>
    <row r="7" spans="1:17" x14ac:dyDescent="0.4">
      <c r="A7" s="93" t="s">
        <v>2</v>
      </c>
      <c r="B7" s="85">
        <v>5</v>
      </c>
      <c r="C7" s="63">
        <f>IF(B$2=0,0,B7/B$2)</f>
        <v>0.23809523809523808</v>
      </c>
      <c r="E7" s="102" t="s">
        <v>94</v>
      </c>
      <c r="F7" s="98" t="s">
        <v>47</v>
      </c>
      <c r="G7" s="85">
        <v>8</v>
      </c>
      <c r="H7" s="63">
        <f>IF(B$25=0,0,G7/B$25)</f>
        <v>0.1951219512195122</v>
      </c>
      <c r="I7" s="138">
        <v>1</v>
      </c>
      <c r="K7" s="62">
        <v>5</v>
      </c>
      <c r="L7" s="64">
        <v>9.6000000000000014</v>
      </c>
      <c r="N7" s="67" t="s">
        <v>155</v>
      </c>
      <c r="O7" s="82">
        <f t="shared" si="0"/>
        <v>-1646.1538461538462</v>
      </c>
      <c r="P7" s="79">
        <v>-21400</v>
      </c>
      <c r="Q7" s="74">
        <v>13</v>
      </c>
    </row>
    <row r="8" spans="1:17" x14ac:dyDescent="0.4">
      <c r="A8" s="93" t="s">
        <v>3</v>
      </c>
      <c r="B8" s="85">
        <v>6</v>
      </c>
      <c r="C8" s="63">
        <f t="shared" ref="C8:C9" si="1">IF(B$2=0,0,B8/B$2)</f>
        <v>0.2857142857142857</v>
      </c>
      <c r="E8" s="102" t="s">
        <v>88</v>
      </c>
      <c r="F8" s="98" t="s">
        <v>41</v>
      </c>
      <c r="G8" s="85">
        <v>7</v>
      </c>
      <c r="H8" s="63">
        <f>IF(B$25=0,0,G8/B$25)</f>
        <v>0.17073170731707318</v>
      </c>
      <c r="I8" s="138">
        <v>1</v>
      </c>
      <c r="K8" s="62">
        <v>6</v>
      </c>
      <c r="L8" s="64">
        <v>2.2000000000000011</v>
      </c>
    </row>
    <row r="9" spans="1:17" x14ac:dyDescent="0.4">
      <c r="A9" s="94" t="s">
        <v>4</v>
      </c>
      <c r="B9" s="86">
        <v>10</v>
      </c>
      <c r="C9" s="65">
        <f t="shared" si="1"/>
        <v>0.47619047619047616</v>
      </c>
      <c r="E9" s="102" t="s">
        <v>74</v>
      </c>
      <c r="F9" s="98" t="s">
        <v>27</v>
      </c>
      <c r="G9" s="85">
        <v>6</v>
      </c>
      <c r="H9" s="63">
        <f>IF(B$25=0,0,G9/B$25)</f>
        <v>0.14634146341463414</v>
      </c>
      <c r="I9" s="138">
        <v>3</v>
      </c>
      <c r="K9" s="62">
        <v>7</v>
      </c>
      <c r="L9" s="64">
        <v>27.200000000000003</v>
      </c>
    </row>
    <row r="10" spans="1:17" x14ac:dyDescent="0.4">
      <c r="A10" s="94" t="s">
        <v>19</v>
      </c>
      <c r="B10" s="86">
        <v>4</v>
      </c>
      <c r="C10" s="65">
        <f>IF(B$2=0,0,B10/B$2)</f>
        <v>0.19047619047619047</v>
      </c>
      <c r="E10" s="102" t="s">
        <v>68</v>
      </c>
      <c r="F10" s="98" t="s">
        <v>22</v>
      </c>
      <c r="G10" s="85">
        <v>5</v>
      </c>
      <c r="H10" s="63">
        <f>IF(B$25=0,0,G10/B$25)</f>
        <v>0.12195121951219512</v>
      </c>
      <c r="I10" s="138">
        <v>6</v>
      </c>
      <c r="K10" s="62">
        <v>8</v>
      </c>
      <c r="L10" s="64">
        <v>-4.4999999999999964</v>
      </c>
    </row>
    <row r="11" spans="1:17" x14ac:dyDescent="0.4">
      <c r="A11" s="95" t="s">
        <v>160</v>
      </c>
      <c r="B11" s="87">
        <v>2</v>
      </c>
      <c r="C11" s="68">
        <f>IF(B$2=0,0,B11/B$2)</f>
        <v>9.5238095238095233E-2</v>
      </c>
      <c r="E11" s="102" t="s">
        <v>70</v>
      </c>
      <c r="F11" s="98" t="s">
        <v>24</v>
      </c>
      <c r="G11" s="85">
        <v>5</v>
      </c>
      <c r="H11" s="63">
        <f>IF(B$25=0,0,G11/B$25)</f>
        <v>0.12195121951219512</v>
      </c>
      <c r="I11" s="138">
        <v>11</v>
      </c>
      <c r="K11" s="62">
        <v>9</v>
      </c>
      <c r="L11" s="64">
        <v>-9.3999999999999968</v>
      </c>
    </row>
    <row r="12" spans="1:17" x14ac:dyDescent="0.4">
      <c r="A12" s="96" t="s">
        <v>128</v>
      </c>
      <c r="B12" s="88">
        <v>27</v>
      </c>
      <c r="C12" s="71">
        <f>IF(B$24=0,0,B12/B$24)</f>
        <v>0.15976331360946747</v>
      </c>
      <c r="E12" s="102" t="s">
        <v>91</v>
      </c>
      <c r="F12" s="98" t="s">
        <v>44</v>
      </c>
      <c r="G12" s="85">
        <v>4</v>
      </c>
      <c r="H12" s="63">
        <f>IF(B$25=0,0,G12/B$25)</f>
        <v>9.7560975609756101E-2</v>
      </c>
      <c r="I12" s="138">
        <v>3</v>
      </c>
      <c r="K12" s="62">
        <v>10</v>
      </c>
      <c r="L12" s="64">
        <v>-24.299999999999997</v>
      </c>
    </row>
    <row r="13" spans="1:17" x14ac:dyDescent="0.4">
      <c r="A13" s="93" t="s">
        <v>123</v>
      </c>
      <c r="B13" s="85">
        <v>65</v>
      </c>
      <c r="C13" s="63">
        <f>IF(B$24=0,0,B13/B$24)</f>
        <v>0.38461538461538464</v>
      </c>
      <c r="E13" s="102" t="s">
        <v>73</v>
      </c>
      <c r="F13" s="98" t="s">
        <v>26</v>
      </c>
      <c r="G13" s="85">
        <v>2</v>
      </c>
      <c r="H13" s="63">
        <f>IF(B$25=0,0,G13/B$25)</f>
        <v>4.878048780487805E-2</v>
      </c>
      <c r="I13" s="138">
        <v>12</v>
      </c>
      <c r="K13" s="62">
        <v>11</v>
      </c>
      <c r="L13" s="64">
        <v>-70</v>
      </c>
    </row>
    <row r="14" spans="1:17" x14ac:dyDescent="0.4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4.878048780487805E-2</v>
      </c>
      <c r="I14" s="138">
        <v>7</v>
      </c>
      <c r="K14" s="62">
        <v>12</v>
      </c>
      <c r="L14" s="64">
        <v>-43.8</v>
      </c>
    </row>
    <row r="15" spans="1:17" x14ac:dyDescent="0.4">
      <c r="A15" s="92" t="s">
        <v>131</v>
      </c>
      <c r="B15" s="84">
        <v>21</v>
      </c>
      <c r="C15" s="60">
        <f>IF(B$13=0,0,B15/B$13)</f>
        <v>0.32307692307692309</v>
      </c>
      <c r="E15" s="102" t="s">
        <v>83</v>
      </c>
      <c r="F15" s="98" t="s">
        <v>36</v>
      </c>
      <c r="G15" s="85">
        <v>2</v>
      </c>
      <c r="H15" s="63">
        <f>IF(B$25=0,0,G15/B$25)</f>
        <v>4.878048780487805E-2</v>
      </c>
      <c r="I15" s="138">
        <v>2</v>
      </c>
      <c r="K15" s="62">
        <v>13</v>
      </c>
      <c r="L15" s="64">
        <v>-11.099999999999994</v>
      </c>
    </row>
    <row r="16" spans="1:17" x14ac:dyDescent="0.4">
      <c r="A16" s="92" t="s">
        <v>10</v>
      </c>
      <c r="B16" s="84">
        <f>B18+B17</f>
        <v>41</v>
      </c>
      <c r="C16" s="60">
        <f>IF(B$3=0,0,B16/B$3)</f>
        <v>0.24260355029585798</v>
      </c>
      <c r="E16" s="102" t="s">
        <v>86</v>
      </c>
      <c r="F16" s="98" t="s">
        <v>39</v>
      </c>
      <c r="G16" s="85">
        <v>2</v>
      </c>
      <c r="H16" s="63">
        <f>IF(B$25=0,0,G16/B$25)</f>
        <v>4.878048780487805E-2</v>
      </c>
      <c r="I16" s="138">
        <v>1</v>
      </c>
      <c r="K16" s="62">
        <v>14</v>
      </c>
      <c r="L16" s="64">
        <v>-5.7999999999999945</v>
      </c>
    </row>
    <row r="17" spans="1:12" x14ac:dyDescent="0.4">
      <c r="A17" s="93" t="s">
        <v>12</v>
      </c>
      <c r="B17" s="85">
        <v>12</v>
      </c>
      <c r="C17" s="63">
        <f>IF(B$16=0,0,B17/B$16)</f>
        <v>0.29268292682926828</v>
      </c>
      <c r="E17" s="102" t="s">
        <v>81</v>
      </c>
      <c r="F17" s="98" t="s">
        <v>34</v>
      </c>
      <c r="G17" s="85">
        <v>1</v>
      </c>
      <c r="H17" s="63">
        <f>IF(B$25=0,0,G17/B$25)</f>
        <v>2.4390243902439025E-2</v>
      </c>
      <c r="I17" s="138">
        <v>1</v>
      </c>
      <c r="K17" s="62">
        <v>15</v>
      </c>
      <c r="L17" s="64">
        <v>-44.199999999999996</v>
      </c>
    </row>
    <row r="18" spans="1:12" x14ac:dyDescent="0.4">
      <c r="A18" s="93" t="s">
        <v>11</v>
      </c>
      <c r="B18" s="85">
        <v>29</v>
      </c>
      <c r="C18" s="63">
        <f>IF(B$16=0,0,B18/B$16)</f>
        <v>0.70731707317073167</v>
      </c>
      <c r="E18" s="102" t="s">
        <v>82</v>
      </c>
      <c r="F18" s="98" t="s">
        <v>35</v>
      </c>
      <c r="G18" s="85">
        <v>1</v>
      </c>
      <c r="H18" s="63">
        <f>IF(B$25=0,0,G18/B$25)</f>
        <v>2.4390243902439025E-2</v>
      </c>
      <c r="I18" s="138">
        <v>6</v>
      </c>
      <c r="K18" s="62">
        <v>16</v>
      </c>
      <c r="L18" s="64">
        <v>-25.599999999999994</v>
      </c>
    </row>
    <row r="19" spans="1:12" x14ac:dyDescent="0.4">
      <c r="A19" s="93" t="s">
        <v>13</v>
      </c>
      <c r="B19" s="85">
        <v>30</v>
      </c>
      <c r="C19" s="63">
        <f>IF(B$3=0,0,B19/B$3)</f>
        <v>0.17751479289940827</v>
      </c>
      <c r="E19" s="102" t="s">
        <v>90</v>
      </c>
      <c r="F19" s="98" t="s">
        <v>43</v>
      </c>
      <c r="G19" s="85">
        <v>1</v>
      </c>
      <c r="H19" s="63">
        <f>IF(B$25=0,0,G19/B$25)</f>
        <v>2.4390243902439025E-2</v>
      </c>
      <c r="I19" s="138">
        <v>1</v>
      </c>
      <c r="K19" s="62">
        <v>17</v>
      </c>
      <c r="L19" s="64">
        <v>-39.799999999999997</v>
      </c>
    </row>
    <row r="20" spans="1:12" x14ac:dyDescent="0.4">
      <c r="A20" s="93" t="s">
        <v>5</v>
      </c>
      <c r="B20" s="89">
        <f>IF(B$16=0,0,C20/B$16)</f>
        <v>9509.7560975609758</v>
      </c>
      <c r="C20" s="66">
        <v>389900</v>
      </c>
      <c r="E20" s="102" t="s">
        <v>96</v>
      </c>
      <c r="F20" s="98" t="s">
        <v>49</v>
      </c>
      <c r="G20" s="85">
        <v>1</v>
      </c>
      <c r="H20" s="63">
        <f>IF(B$25=0,0,G20/B$25)</f>
        <v>2.4390243902439025E-2</v>
      </c>
      <c r="I20" s="138">
        <v>3</v>
      </c>
      <c r="K20" s="62">
        <v>18</v>
      </c>
      <c r="L20" s="64">
        <v>-60.4</v>
      </c>
    </row>
    <row r="21" spans="1:12" x14ac:dyDescent="0.4">
      <c r="A21" s="95" t="s">
        <v>14</v>
      </c>
      <c r="B21" s="90">
        <f>IF(B$19=0,0,C21/B$19)</f>
        <v>-7703.333333333333</v>
      </c>
      <c r="C21" s="83">
        <v>-231100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I21" s="138">
        <v>5</v>
      </c>
      <c r="K21" s="62">
        <v>19</v>
      </c>
      <c r="L21" s="64">
        <v>-60</v>
      </c>
    </row>
    <row r="22" spans="1:12" x14ac:dyDescent="0.4">
      <c r="A22" s="92" t="s">
        <v>147</v>
      </c>
      <c r="B22" s="84">
        <v>50</v>
      </c>
      <c r="C22" s="60">
        <f>IF(B$3=0,0,B22/B$3)</f>
        <v>0.29585798816568049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  <c r="I22" s="138">
        <v>4</v>
      </c>
      <c r="K22" s="62">
        <v>20</v>
      </c>
      <c r="L22" s="64">
        <v>-88.2</v>
      </c>
    </row>
    <row r="23" spans="1:12" x14ac:dyDescent="0.4">
      <c r="A23" s="95" t="s">
        <v>148</v>
      </c>
      <c r="B23" s="87">
        <v>13</v>
      </c>
      <c r="C23" s="68">
        <f>IF(B$22=0,0,B23/B$22)</f>
        <v>0.26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  <c r="I23" s="138">
        <v>6</v>
      </c>
      <c r="K23" s="62">
        <v>21</v>
      </c>
      <c r="L23" s="64">
        <v>-125.80000000000001</v>
      </c>
    </row>
    <row r="24" spans="1:12" x14ac:dyDescent="0.4">
      <c r="A24" s="92" t="s">
        <v>126</v>
      </c>
      <c r="B24" s="148">
        <v>169</v>
      </c>
      <c r="C24" s="149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38">
        <v>1</v>
      </c>
    </row>
    <row r="25" spans="1:12" x14ac:dyDescent="0.4">
      <c r="A25" s="95" t="s">
        <v>127</v>
      </c>
      <c r="B25" s="150">
        <v>41</v>
      </c>
      <c r="C25" s="151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38">
        <v>1</v>
      </c>
    </row>
    <row r="26" spans="1:12" x14ac:dyDescent="0.4">
      <c r="A26" s="133" t="s">
        <v>164</v>
      </c>
      <c r="B26" s="144">
        <v>5</v>
      </c>
      <c r="C26" s="145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38">
        <v>3</v>
      </c>
    </row>
    <row r="27" spans="1:12" x14ac:dyDescent="0.4">
      <c r="A27" s="96" t="s">
        <v>205</v>
      </c>
      <c r="B27" s="142">
        <v>67700</v>
      </c>
      <c r="C27" s="143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38">
        <v>1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4A0C3-ADA6-4185-8194-3F35CCC48921}">
  <sheetPr codeName="Sheet30"/>
  <dimension ref="A1:Q2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  <row r="23" spans="1:17" x14ac:dyDescent="0.4">
      <c r="A23" s="108">
        <v>20</v>
      </c>
      <c r="B23" s="105">
        <v>-88.2</v>
      </c>
      <c r="C23" s="105">
        <v>-4.41</v>
      </c>
      <c r="D23" s="110">
        <v>2.2000000000000002</v>
      </c>
      <c r="E23" s="106">
        <v>0.25</v>
      </c>
      <c r="F23" s="106">
        <v>0.25308641975308643</v>
      </c>
      <c r="G23" s="106">
        <v>0.1728395061728395</v>
      </c>
      <c r="H23" s="107">
        <v>9509.7560975609758</v>
      </c>
      <c r="I23" s="107">
        <v>-7839.2857142857147</v>
      </c>
      <c r="J23" s="106">
        <v>0.15</v>
      </c>
      <c r="K23" s="106">
        <v>0.1</v>
      </c>
      <c r="L23" s="106">
        <v>0.16666666666666666</v>
      </c>
      <c r="M23" s="106">
        <v>0.3888888888888889</v>
      </c>
      <c r="N23" s="106">
        <v>0.51851851851851849</v>
      </c>
      <c r="O23" s="106">
        <v>0.33333333333333331</v>
      </c>
      <c r="P23" s="106">
        <v>0.29268292682926828</v>
      </c>
      <c r="Q23" s="106">
        <v>0.27083333333333331</v>
      </c>
    </row>
    <row r="24" spans="1:17" x14ac:dyDescent="0.4">
      <c r="A24" s="108">
        <v>21</v>
      </c>
      <c r="B24" s="105">
        <v>-125.80000000000001</v>
      </c>
      <c r="C24" s="105">
        <v>-5.9904761904761914</v>
      </c>
      <c r="D24" s="110">
        <v>2.2380952380952381</v>
      </c>
      <c r="E24" s="106">
        <v>0.23809523809523808</v>
      </c>
      <c r="F24" s="106">
        <v>0.24260355029585798</v>
      </c>
      <c r="G24" s="106">
        <v>0.17751479289940827</v>
      </c>
      <c r="H24" s="107">
        <v>9509.7560975609758</v>
      </c>
      <c r="I24" s="107">
        <v>-7703.333333333333</v>
      </c>
      <c r="J24" s="106">
        <v>0.19047619047619047</v>
      </c>
      <c r="K24" s="106">
        <v>9.5238095238095233E-2</v>
      </c>
      <c r="L24" s="106">
        <v>0.15976331360946747</v>
      </c>
      <c r="M24" s="106">
        <v>0.38461538461538464</v>
      </c>
      <c r="N24" s="106">
        <v>0.51851851851851849</v>
      </c>
      <c r="O24" s="106">
        <v>0.32307692307692309</v>
      </c>
      <c r="P24" s="106">
        <v>0.29268292682926828</v>
      </c>
      <c r="Q24" s="106">
        <v>0.26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77F5D-7D98-4B79-84C9-A7CD12E9E9EF}">
  <sheetPr codeName="Sheet2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100E-3865-4889-B8CF-8C29D3F79228}">
  <sheetPr codeName="Sheet26"/>
  <dimension ref="A1:Q7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  <row r="69" spans="1:17" x14ac:dyDescent="0.4">
      <c r="A69" s="108">
        <v>66</v>
      </c>
      <c r="B69" s="105">
        <v>-470.99999999999989</v>
      </c>
      <c r="C69" s="105">
        <v>-7.1363636363636349</v>
      </c>
      <c r="D69" s="110">
        <v>2.2424242424242422</v>
      </c>
      <c r="E69" s="106">
        <v>0.22727272727272727</v>
      </c>
      <c r="F69" s="106">
        <v>0.28294573643410853</v>
      </c>
      <c r="G69" s="106">
        <v>0.23255813953488372</v>
      </c>
      <c r="H69" s="107">
        <v>10562.328767123288</v>
      </c>
      <c r="I69" s="107">
        <v>-9602.5</v>
      </c>
      <c r="J69" s="106">
        <v>0.21212121212121213</v>
      </c>
      <c r="K69" s="106">
        <v>0.12121212121212122</v>
      </c>
      <c r="L69" s="106">
        <v>0.30062630480167013</v>
      </c>
      <c r="M69" s="106">
        <v>0.21085594989561587</v>
      </c>
      <c r="N69" s="106">
        <v>0.59027777777777779</v>
      </c>
      <c r="O69" s="106">
        <v>0.36633663366336633</v>
      </c>
      <c r="P69" s="106">
        <v>0.46575342465753422</v>
      </c>
      <c r="Q69" s="106">
        <v>0.31288343558282211</v>
      </c>
    </row>
    <row r="70" spans="1:17" x14ac:dyDescent="0.4">
      <c r="A70" s="108">
        <v>67</v>
      </c>
      <c r="B70" s="105">
        <v>-508.39999999999986</v>
      </c>
      <c r="C70" s="105">
        <v>-7.5880597014925355</v>
      </c>
      <c r="D70" s="110">
        <v>2.2537313432835822</v>
      </c>
      <c r="E70" s="106">
        <v>0.22388059701492538</v>
      </c>
      <c r="F70" s="106">
        <v>0.28000000000000003</v>
      </c>
      <c r="G70" s="106">
        <v>0.23428571428571429</v>
      </c>
      <c r="H70" s="107">
        <v>10599.319727891156</v>
      </c>
      <c r="I70" s="107">
        <v>-9550.4065040650403</v>
      </c>
      <c r="J70" s="106">
        <v>0.22388059701492538</v>
      </c>
      <c r="K70" s="106">
        <v>0.11940298507462686</v>
      </c>
      <c r="L70" s="106">
        <v>0.29713114754098363</v>
      </c>
      <c r="M70" s="106">
        <v>0.21106557377049182</v>
      </c>
      <c r="N70" s="106">
        <v>0.59310344827586203</v>
      </c>
      <c r="O70" s="106">
        <v>0.35922330097087379</v>
      </c>
      <c r="P70" s="106">
        <v>0.46938775510204084</v>
      </c>
      <c r="Q70" s="106">
        <v>0.30909090909090908</v>
      </c>
    </row>
    <row r="71" spans="1:17" x14ac:dyDescent="0.4">
      <c r="A71" s="108">
        <v>68</v>
      </c>
      <c r="B71" s="105">
        <v>-418.69999999999987</v>
      </c>
      <c r="C71" s="105">
        <v>-6.1573529411764687</v>
      </c>
      <c r="D71" s="110">
        <v>2.2352941176470589</v>
      </c>
      <c r="E71" s="106">
        <v>0.23529411764705882</v>
      </c>
      <c r="F71" s="106">
        <v>0.28625235404896421</v>
      </c>
      <c r="G71" s="106">
        <v>0.23163841807909605</v>
      </c>
      <c r="H71" s="107">
        <v>10788.157894736842</v>
      </c>
      <c r="I71" s="107">
        <v>-9550.4065040650403</v>
      </c>
      <c r="J71" s="106">
        <v>0.22058823529411764</v>
      </c>
      <c r="K71" s="106">
        <v>0.13235294117647059</v>
      </c>
      <c r="L71" s="106">
        <v>0.29959514170040485</v>
      </c>
      <c r="M71" s="106">
        <v>0.20850202429149797</v>
      </c>
      <c r="N71" s="106">
        <v>0.60135135135135132</v>
      </c>
      <c r="O71" s="106">
        <v>0.35922330097087379</v>
      </c>
      <c r="P71" s="106">
        <v>0.46052631578947367</v>
      </c>
      <c r="Q71" s="106">
        <v>0.32941176470588235</v>
      </c>
    </row>
    <row r="72" spans="1:17" x14ac:dyDescent="0.4">
      <c r="A72" s="108">
        <v>69</v>
      </c>
      <c r="B72" s="105">
        <v>-387.49999999999989</v>
      </c>
      <c r="C72" s="105">
        <v>-5.615942028985506</v>
      </c>
      <c r="D72" s="110">
        <v>2.2173913043478262</v>
      </c>
      <c r="E72" s="106">
        <v>0.24637681159420291</v>
      </c>
      <c r="F72" s="106">
        <v>0.29151291512915128</v>
      </c>
      <c r="G72" s="106">
        <v>0.22878228782287824</v>
      </c>
      <c r="H72" s="107">
        <v>10778.481012658227</v>
      </c>
      <c r="I72" s="107">
        <v>-9570.1612903225814</v>
      </c>
      <c r="J72" s="106">
        <v>0.21739130434782608</v>
      </c>
      <c r="K72" s="106">
        <v>0.13043478260869565</v>
      </c>
      <c r="L72" s="106">
        <v>0.30297029702970296</v>
      </c>
      <c r="M72" s="106">
        <v>0.20594059405940593</v>
      </c>
      <c r="N72" s="106">
        <v>0.6143790849673203</v>
      </c>
      <c r="O72" s="106">
        <v>0.36538461538461536</v>
      </c>
      <c r="P72" s="106">
        <v>0.46202531645569622</v>
      </c>
      <c r="Q72" s="106">
        <v>0.33333333333333331</v>
      </c>
    </row>
    <row r="73" spans="1:17" x14ac:dyDescent="0.4">
      <c r="A73" s="108">
        <v>70</v>
      </c>
      <c r="B73" s="105">
        <v>-347.2999999999999</v>
      </c>
      <c r="C73" s="105">
        <v>-4.96142857142857</v>
      </c>
      <c r="D73" s="110">
        <v>2.2000000000000002</v>
      </c>
      <c r="E73" s="106">
        <v>0.25714285714285712</v>
      </c>
      <c r="F73" s="106">
        <v>0.29690346083788705</v>
      </c>
      <c r="G73" s="106">
        <v>0.22586520947176686</v>
      </c>
      <c r="H73" s="107">
        <v>10755.828220858895</v>
      </c>
      <c r="I73" s="107">
        <v>-9570.1612903225814</v>
      </c>
      <c r="J73" s="106">
        <v>0.21428571428571427</v>
      </c>
      <c r="K73" s="106">
        <v>0.14285714285714285</v>
      </c>
      <c r="L73" s="106">
        <v>0.3046875</v>
      </c>
      <c r="M73" s="106">
        <v>0.205078125</v>
      </c>
      <c r="N73" s="106">
        <v>0.62179487179487181</v>
      </c>
      <c r="O73" s="106">
        <v>0.37142857142857144</v>
      </c>
      <c r="P73" s="106">
        <v>0.46012269938650308</v>
      </c>
      <c r="Q73" s="106">
        <v>0.33333333333333331</v>
      </c>
    </row>
    <row r="74" spans="1:17" x14ac:dyDescent="0.4">
      <c r="A74" s="108">
        <v>71</v>
      </c>
      <c r="B74" s="105">
        <v>-368.2999999999999</v>
      </c>
      <c r="C74" s="105">
        <v>-5.18732394366197</v>
      </c>
      <c r="D74" s="110">
        <v>2.1971830985915495</v>
      </c>
      <c r="E74" s="106">
        <v>0.25352112676056338</v>
      </c>
      <c r="F74" s="106">
        <v>0.29475587703435807</v>
      </c>
      <c r="G74" s="106">
        <v>0.22784810126582278</v>
      </c>
      <c r="H74" s="107">
        <v>10755.828220858895</v>
      </c>
      <c r="I74" s="107">
        <v>-9576.9841269841272</v>
      </c>
      <c r="J74" s="106">
        <v>0.21126760563380281</v>
      </c>
      <c r="K74" s="106">
        <v>0.14084507042253522</v>
      </c>
      <c r="L74" s="106">
        <v>0.30426356589147285</v>
      </c>
      <c r="M74" s="106">
        <v>0.20348837209302326</v>
      </c>
      <c r="N74" s="106">
        <v>0.61783439490445857</v>
      </c>
      <c r="O74" s="106">
        <v>0.37142857142857144</v>
      </c>
      <c r="P74" s="106">
        <v>0.46012269938650308</v>
      </c>
      <c r="Q74" s="106">
        <v>0.33146067415730335</v>
      </c>
    </row>
    <row r="75" spans="1:17" x14ac:dyDescent="0.4">
      <c r="A75" s="108">
        <v>72</v>
      </c>
      <c r="B75" s="105">
        <v>-404.2999999999999</v>
      </c>
      <c r="C75" s="105">
        <v>-5.6152777777777763</v>
      </c>
      <c r="D75" s="110">
        <v>2.2083333333333335</v>
      </c>
      <c r="E75" s="106">
        <v>0.25</v>
      </c>
      <c r="F75" s="106">
        <v>0.29422382671480146</v>
      </c>
      <c r="G75" s="106">
        <v>0.2292418772563177</v>
      </c>
      <c r="H75" s="107">
        <v>10755.828220858895</v>
      </c>
      <c r="I75" s="107">
        <v>-9785.0393700787408</v>
      </c>
      <c r="J75" s="106">
        <v>0.22222222222222221</v>
      </c>
      <c r="K75" s="106">
        <v>0.1388888888888889</v>
      </c>
      <c r="L75" s="106">
        <v>0.30367504835589942</v>
      </c>
      <c r="M75" s="106">
        <v>0.20502901353965183</v>
      </c>
      <c r="N75" s="106">
        <v>0.61783439490445857</v>
      </c>
      <c r="O75" s="106">
        <v>0.36792452830188677</v>
      </c>
      <c r="P75" s="106">
        <v>0.46012269938650308</v>
      </c>
      <c r="Q75" s="106">
        <v>0.33146067415730335</v>
      </c>
    </row>
    <row r="76" spans="1:17" x14ac:dyDescent="0.4">
      <c r="A76" s="108">
        <v>73</v>
      </c>
      <c r="B76" s="105">
        <v>-413.69999999999987</v>
      </c>
      <c r="C76" s="105">
        <v>-5.667123287671231</v>
      </c>
      <c r="D76" s="110">
        <v>2.2054794520547945</v>
      </c>
      <c r="E76" s="106">
        <v>0.24657534246575341</v>
      </c>
      <c r="F76" s="106">
        <v>0.29484902309058614</v>
      </c>
      <c r="G76" s="106">
        <v>0.22912966252220249</v>
      </c>
      <c r="H76" s="107">
        <v>10793.975903614459</v>
      </c>
      <c r="I76" s="107">
        <v>-9834.8837209302328</v>
      </c>
      <c r="J76" s="106">
        <v>0.21917808219178081</v>
      </c>
      <c r="K76" s="106">
        <v>0.13698630136986301</v>
      </c>
      <c r="L76" s="106">
        <v>0.30418250950570341</v>
      </c>
      <c r="M76" s="106">
        <v>0.20532319391634982</v>
      </c>
      <c r="N76" s="106">
        <v>0.625</v>
      </c>
      <c r="O76" s="106">
        <v>0.3611111111111111</v>
      </c>
      <c r="P76" s="106">
        <v>0.46385542168674698</v>
      </c>
      <c r="Q76" s="106">
        <v>0.32777777777777778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1F86C-FC71-4956-A016-6866D39739C3}">
  <sheetPr codeName="Sheet24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5C41-29D3-40C8-8F02-66D6B6119A69}">
  <sheetPr codeName="Sheet22"/>
  <dimension ref="A1:Q7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  <row r="73" spans="1:17" x14ac:dyDescent="0.4">
      <c r="A73" s="108">
        <v>70</v>
      </c>
      <c r="B73" s="105">
        <v>168.39999999999998</v>
      </c>
      <c r="C73" s="105">
        <v>2.4057142857142852</v>
      </c>
      <c r="D73" s="110">
        <v>1.9142857142857144</v>
      </c>
      <c r="E73" s="106">
        <v>0.38571428571428573</v>
      </c>
      <c r="F73" s="106">
        <v>0.32075471698113206</v>
      </c>
      <c r="G73" s="106">
        <v>0.15849056603773584</v>
      </c>
      <c r="H73" s="107">
        <v>10186.470588235294</v>
      </c>
      <c r="I73" s="107">
        <v>-9467.8571428571431</v>
      </c>
      <c r="J73" s="106">
        <v>0.14285714285714285</v>
      </c>
      <c r="K73" s="106">
        <v>0.17142857142857143</v>
      </c>
      <c r="L73" s="106">
        <v>0.32241813602015112</v>
      </c>
      <c r="M73" s="106">
        <v>0.23425692695214106</v>
      </c>
      <c r="N73" s="106">
        <v>0.625</v>
      </c>
      <c r="O73" s="106">
        <v>0.39784946236559138</v>
      </c>
      <c r="P73" s="106">
        <v>0.42352941176470588</v>
      </c>
      <c r="Q73" s="106">
        <v>0.34759358288770054</v>
      </c>
    </row>
    <row r="74" spans="1:17" x14ac:dyDescent="0.4">
      <c r="A74" s="108">
        <v>71</v>
      </c>
      <c r="B74" s="105">
        <v>198.09999999999997</v>
      </c>
      <c r="C74" s="105">
        <v>2.7901408450704221</v>
      </c>
      <c r="D74" s="110">
        <v>1.9014084507042253</v>
      </c>
      <c r="E74" s="106">
        <v>0.39436619718309857</v>
      </c>
      <c r="F74" s="106">
        <v>0.32282003710575141</v>
      </c>
      <c r="G74" s="106">
        <v>0.15584415584415584</v>
      </c>
      <c r="H74" s="107">
        <v>10212.068965517241</v>
      </c>
      <c r="I74" s="107">
        <v>-9467.8571428571431</v>
      </c>
      <c r="J74" s="106">
        <v>0.14084507042253522</v>
      </c>
      <c r="K74" s="106">
        <v>0.18309859154929578</v>
      </c>
      <c r="L74" s="106">
        <v>0.32758620689655171</v>
      </c>
      <c r="M74" s="106">
        <v>0.23399014778325122</v>
      </c>
      <c r="N74" s="106">
        <v>0.62406015037593987</v>
      </c>
      <c r="O74" s="106">
        <v>0.38947368421052631</v>
      </c>
      <c r="P74" s="106">
        <v>0.43103448275862066</v>
      </c>
      <c r="Q74" s="106">
        <v>0.34554973821989526</v>
      </c>
    </row>
    <row r="75" spans="1:17" x14ac:dyDescent="0.4">
      <c r="A75" s="108">
        <v>72</v>
      </c>
      <c r="B75" s="105">
        <v>177.39999999999998</v>
      </c>
      <c r="C75" s="105">
        <v>2.4638888888888886</v>
      </c>
      <c r="D75" s="110">
        <v>1.9027777777777777</v>
      </c>
      <c r="E75" s="106">
        <v>0.3888888888888889</v>
      </c>
      <c r="F75" s="106">
        <v>0.31926605504587158</v>
      </c>
      <c r="G75" s="106">
        <v>0.15596330275229359</v>
      </c>
      <c r="H75" s="107">
        <v>10212.068965517241</v>
      </c>
      <c r="I75" s="107">
        <v>-9447.0588235294126</v>
      </c>
      <c r="J75" s="106">
        <v>0.1388888888888889</v>
      </c>
      <c r="K75" s="106">
        <v>0.18055555555555555</v>
      </c>
      <c r="L75" s="106">
        <v>0.32524271844660196</v>
      </c>
      <c r="M75" s="106">
        <v>0.2354368932038835</v>
      </c>
      <c r="N75" s="106">
        <v>0.61940298507462688</v>
      </c>
      <c r="O75" s="106">
        <v>0.38144329896907214</v>
      </c>
      <c r="P75" s="106">
        <v>0.43103448275862066</v>
      </c>
      <c r="Q75" s="106">
        <v>0.34375</v>
      </c>
    </row>
    <row r="76" spans="1:17" x14ac:dyDescent="0.4">
      <c r="A76" s="108">
        <v>73</v>
      </c>
      <c r="B76" s="105">
        <v>139.39999999999998</v>
      </c>
      <c r="C76" s="105">
        <v>1.90958904109589</v>
      </c>
      <c r="D76" s="110">
        <v>1.9178082191780821</v>
      </c>
      <c r="E76" s="106">
        <v>0.38356164383561642</v>
      </c>
      <c r="F76" s="106">
        <v>0.31693989071038253</v>
      </c>
      <c r="G76" s="106">
        <v>0.15846994535519127</v>
      </c>
      <c r="H76" s="107">
        <v>10212.068965517241</v>
      </c>
      <c r="I76" s="107">
        <v>-9643.6781609195405</v>
      </c>
      <c r="J76" s="106">
        <v>0.15068493150684931</v>
      </c>
      <c r="K76" s="106">
        <v>0.17808219178082191</v>
      </c>
      <c r="L76" s="106">
        <v>0.32451923076923078</v>
      </c>
      <c r="M76" s="106">
        <v>0.23557692307692307</v>
      </c>
      <c r="N76" s="106">
        <v>0.61481481481481481</v>
      </c>
      <c r="O76" s="106">
        <v>0.37755102040816324</v>
      </c>
      <c r="P76" s="106">
        <v>0.43103448275862066</v>
      </c>
      <c r="Q76" s="106">
        <v>0.34196891191709844</v>
      </c>
    </row>
    <row r="77" spans="1:17" x14ac:dyDescent="0.4">
      <c r="A77" s="108">
        <v>74</v>
      </c>
      <c r="B77" s="105">
        <v>175.39999999999998</v>
      </c>
      <c r="C77" s="105">
        <v>2.3702702702702698</v>
      </c>
      <c r="D77" s="110">
        <v>1.9054054054054055</v>
      </c>
      <c r="E77" s="106">
        <v>0.39189189189189189</v>
      </c>
      <c r="F77" s="106">
        <v>0.31818181818181818</v>
      </c>
      <c r="G77" s="106">
        <v>0.15818181818181817</v>
      </c>
      <c r="H77" s="107">
        <v>10359.428571428571</v>
      </c>
      <c r="I77" s="107">
        <v>-9643.6781609195405</v>
      </c>
      <c r="J77" s="106">
        <v>0.14864864864864866</v>
      </c>
      <c r="K77" s="106">
        <v>0.1891891891891892</v>
      </c>
      <c r="L77" s="106">
        <v>0.32613908872901681</v>
      </c>
      <c r="M77" s="106">
        <v>0.23501199040767387</v>
      </c>
      <c r="N77" s="106">
        <v>0.61764705882352944</v>
      </c>
      <c r="O77" s="106">
        <v>0.37755102040816324</v>
      </c>
      <c r="P77" s="106">
        <v>0.42857142857142855</v>
      </c>
      <c r="Q77" s="106">
        <v>0.34536082474226804</v>
      </c>
    </row>
    <row r="78" spans="1:17" x14ac:dyDescent="0.4">
      <c r="A78" s="108">
        <v>75</v>
      </c>
      <c r="B78" s="105">
        <v>205.29999999999998</v>
      </c>
      <c r="C78" s="105">
        <v>2.737333333333333</v>
      </c>
      <c r="D78" s="110">
        <v>1.8933333333333333</v>
      </c>
      <c r="E78" s="106">
        <v>0.4</v>
      </c>
      <c r="F78" s="106">
        <v>0.32200357781753131</v>
      </c>
      <c r="G78" s="106">
        <v>0.15742397137745975</v>
      </c>
      <c r="H78" s="107">
        <v>10382.777777777777</v>
      </c>
      <c r="I78" s="107">
        <v>-9563.636363636364</v>
      </c>
      <c r="J78" s="106">
        <v>0.14666666666666667</v>
      </c>
      <c r="K78" s="106">
        <v>0.18666666666666668</v>
      </c>
      <c r="L78" s="106">
        <v>0.32629107981220656</v>
      </c>
      <c r="M78" s="106">
        <v>0.23708920187793428</v>
      </c>
      <c r="N78" s="106">
        <v>0.62589928057553956</v>
      </c>
      <c r="O78" s="106">
        <v>0.38613861386138615</v>
      </c>
      <c r="P78" s="106">
        <v>0.43888888888888888</v>
      </c>
      <c r="Q78" s="106">
        <v>0.34848484848484851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6FBE-40F4-4566-93F8-2CEB4A3A7377}">
  <sheetPr codeName="Sheet20"/>
  <dimension ref="A1:Q5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477B-1BC1-4143-B702-525791076F6D}">
  <sheetPr codeName="Sheet1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4100B-0BFD-4170-BAB2-142A5386543E}">
  <sheetPr codeName="Sheet16"/>
  <dimension ref="A1:Q5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ED26-4C32-4AF0-80E5-30DFA08D268C}">
  <sheetPr codeName="Sheet14"/>
  <dimension ref="A1:Q11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F1DE3-05DC-4684-999A-67A7A5356430}">
  <sheetPr codeName="Sheet12"/>
  <dimension ref="A1:Q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391B-2248-41C2-BA72-B0F7FFA69663}">
  <sheetPr codeName="Sheet10"/>
  <dimension ref="A1:Q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7AD64-6F45-4487-9B74-23446FEC33FB}">
  <sheetPr codeName="Sheet8"/>
  <dimension ref="A1:Q180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  <row r="173" spans="1:17" x14ac:dyDescent="0.4">
      <c r="A173" s="108">
        <v>170</v>
      </c>
      <c r="B173" s="105">
        <v>972.00000000000023</v>
      </c>
      <c r="C173" s="105">
        <v>5.7176470588235304</v>
      </c>
      <c r="D173" s="110">
        <v>1.8058823529411765</v>
      </c>
      <c r="E173" s="106">
        <v>0.42352941176470588</v>
      </c>
      <c r="F173" s="106">
        <v>0.34960629921259845</v>
      </c>
      <c r="G173" s="106">
        <v>0.14409448818897638</v>
      </c>
      <c r="H173" s="107">
        <v>9861.936936936936</v>
      </c>
      <c r="I173" s="107">
        <v>-9419.1256830601087</v>
      </c>
      <c r="J173" s="106">
        <v>0.11176470588235295</v>
      </c>
      <c r="K173" s="106">
        <v>0.2</v>
      </c>
      <c r="L173" s="106">
        <v>0.28376703841387857</v>
      </c>
      <c r="M173" s="106">
        <v>0.22304832713754646</v>
      </c>
      <c r="N173" s="106">
        <v>0.63755458515283847</v>
      </c>
      <c r="O173" s="106">
        <v>0.48333333333333334</v>
      </c>
      <c r="P173" s="106">
        <v>0.38513513513513514</v>
      </c>
      <c r="Q173" s="106">
        <v>0.41402714932126694</v>
      </c>
    </row>
    <row r="174" spans="1:17" x14ac:dyDescent="0.4">
      <c r="A174" s="108">
        <v>171</v>
      </c>
      <c r="B174" s="105">
        <v>979.70000000000027</v>
      </c>
      <c r="C174" s="105">
        <v>5.7292397660818732</v>
      </c>
      <c r="D174" s="110">
        <v>1.8070175438596492</v>
      </c>
      <c r="E174" s="106">
        <v>0.42105263157894735</v>
      </c>
      <c r="F174" s="106">
        <v>0.34949179046129791</v>
      </c>
      <c r="G174" s="106">
        <v>0.14308053166536355</v>
      </c>
      <c r="H174" s="107">
        <v>9861.0738255033557</v>
      </c>
      <c r="I174" s="107">
        <v>-9419.1256830601087</v>
      </c>
      <c r="J174" s="106">
        <v>0.1111111111111111</v>
      </c>
      <c r="K174" s="106">
        <v>0.19883040935672514</v>
      </c>
      <c r="L174" s="106">
        <v>0.28431372549019607</v>
      </c>
      <c r="M174" s="106">
        <v>0.22426470588235295</v>
      </c>
      <c r="N174" s="106">
        <v>0.64224137931034486</v>
      </c>
      <c r="O174" s="106">
        <v>0.47540983606557374</v>
      </c>
      <c r="P174" s="106">
        <v>0.38478747203579416</v>
      </c>
      <c r="Q174" s="106">
        <v>0.4157303370786517</v>
      </c>
    </row>
    <row r="175" spans="1:17" x14ac:dyDescent="0.4">
      <c r="A175" s="108">
        <v>172</v>
      </c>
      <c r="B175" s="105">
        <v>910.70000000000027</v>
      </c>
      <c r="C175" s="105">
        <v>5.2947674418604667</v>
      </c>
      <c r="D175" s="110">
        <v>1.8139534883720929</v>
      </c>
      <c r="E175" s="106">
        <v>0.41860465116279072</v>
      </c>
      <c r="F175" s="106">
        <v>0.34863813229571983</v>
      </c>
      <c r="G175" s="106">
        <v>0.14474708171206227</v>
      </c>
      <c r="H175" s="107">
        <v>9856.9196428571431</v>
      </c>
      <c r="I175" s="107">
        <v>-9600.5376344086017</v>
      </c>
      <c r="J175" s="106">
        <v>0.11627906976744186</v>
      </c>
      <c r="K175" s="106">
        <v>0.19767441860465115</v>
      </c>
      <c r="L175" s="106">
        <v>0.28223844282238442</v>
      </c>
      <c r="M175" s="106">
        <v>0.22384428223844283</v>
      </c>
      <c r="N175" s="106">
        <v>0.64224137931034486</v>
      </c>
      <c r="O175" s="106">
        <v>0.47826086956521741</v>
      </c>
      <c r="P175" s="106">
        <v>0.3861607142857143</v>
      </c>
      <c r="Q175" s="106">
        <v>0.4157303370786517</v>
      </c>
    </row>
    <row r="176" spans="1:17" x14ac:dyDescent="0.4">
      <c r="A176" s="108">
        <v>173</v>
      </c>
      <c r="B176" s="105">
        <v>907.70000000000027</v>
      </c>
      <c r="C176" s="105">
        <v>5.2468208092485566</v>
      </c>
      <c r="D176" s="110">
        <v>1.8150289017341041</v>
      </c>
      <c r="E176" s="106">
        <v>0.41618497109826591</v>
      </c>
      <c r="F176" s="106">
        <v>0.34799382716049382</v>
      </c>
      <c r="G176" s="106">
        <v>0.14506172839506173</v>
      </c>
      <c r="H176" s="107">
        <v>9857.8713968957873</v>
      </c>
      <c r="I176" s="107">
        <v>-9583.510638297872</v>
      </c>
      <c r="J176" s="106">
        <v>0.11560693641618497</v>
      </c>
      <c r="K176" s="106">
        <v>0.19653179190751446</v>
      </c>
      <c r="L176" s="106">
        <v>0.28331332533013204</v>
      </c>
      <c r="M176" s="106">
        <v>0.22448979591836735</v>
      </c>
      <c r="N176" s="106">
        <v>0.63983050847457623</v>
      </c>
      <c r="O176" s="106">
        <v>0.47593582887700536</v>
      </c>
      <c r="P176" s="106">
        <v>0.38580931263858093</v>
      </c>
      <c r="Q176" s="106">
        <v>0.41425389755011138</v>
      </c>
    </row>
    <row r="177" spans="1:17" x14ac:dyDescent="0.4">
      <c r="A177" s="108">
        <v>174</v>
      </c>
      <c r="B177" s="105">
        <v>905.10000000000025</v>
      </c>
      <c r="C177" s="105">
        <v>5.2017241379310359</v>
      </c>
      <c r="D177" s="110">
        <v>1.8160919540229885</v>
      </c>
      <c r="E177" s="106">
        <v>0.41379310344827586</v>
      </c>
      <c r="F177" s="106">
        <v>0.34689178818112049</v>
      </c>
      <c r="G177" s="106">
        <v>0.14504988488104376</v>
      </c>
      <c r="H177" s="107">
        <v>9862.6106194690274</v>
      </c>
      <c r="I177" s="107">
        <v>-9546.5608465608457</v>
      </c>
      <c r="J177" s="106">
        <v>0.11494252873563218</v>
      </c>
      <c r="K177" s="106">
        <v>0.19540229885057472</v>
      </c>
      <c r="L177" s="106">
        <v>0.28333333333333333</v>
      </c>
      <c r="M177" s="106">
        <v>0.22261904761904761</v>
      </c>
      <c r="N177" s="106">
        <v>0.6386554621848739</v>
      </c>
      <c r="O177" s="106">
        <v>0.47593582887700536</v>
      </c>
      <c r="P177" s="106">
        <v>0.38716814159292035</v>
      </c>
      <c r="Q177" s="106">
        <v>0.41241685144124168</v>
      </c>
    </row>
    <row r="178" spans="1:17" x14ac:dyDescent="0.4">
      <c r="A178" s="108">
        <v>175</v>
      </c>
      <c r="B178" s="105">
        <v>964.10000000000025</v>
      </c>
      <c r="C178" s="105">
        <v>5.5091428571428587</v>
      </c>
      <c r="D178" s="110">
        <v>1.8114285714285714</v>
      </c>
      <c r="E178" s="106">
        <v>0.41714285714285715</v>
      </c>
      <c r="F178" s="106">
        <v>0.34889058913542464</v>
      </c>
      <c r="G178" s="106">
        <v>0.14460596786534047</v>
      </c>
      <c r="H178" s="107">
        <v>9898.9035087719294</v>
      </c>
      <c r="I178" s="107">
        <v>-9546.5608465608457</v>
      </c>
      <c r="J178" s="106">
        <v>0.11428571428571428</v>
      </c>
      <c r="K178" s="106">
        <v>0.2</v>
      </c>
      <c r="L178" s="106">
        <v>0.28436018957345971</v>
      </c>
      <c r="M178" s="106">
        <v>0.22393364928909953</v>
      </c>
      <c r="N178" s="106">
        <v>0.64166666666666672</v>
      </c>
      <c r="O178" s="106">
        <v>0.48148148148148145</v>
      </c>
      <c r="P178" s="106">
        <v>0.38377192982456143</v>
      </c>
      <c r="Q178" s="106">
        <v>0.41501103752759383</v>
      </c>
    </row>
    <row r="179" spans="1:17" x14ac:dyDescent="0.4">
      <c r="A179" s="108">
        <v>176</v>
      </c>
      <c r="B179" s="105">
        <v>964.10000000000025</v>
      </c>
      <c r="C179" s="105">
        <v>5.4778409090909106</v>
      </c>
      <c r="D179" s="110">
        <v>1.8125</v>
      </c>
      <c r="E179" s="106">
        <v>0.41477272727272729</v>
      </c>
      <c r="F179" s="106">
        <v>0.34862385321100919</v>
      </c>
      <c r="G179" s="106">
        <v>0.14449541284403669</v>
      </c>
      <c r="H179" s="107">
        <v>9898.9035087719294</v>
      </c>
      <c r="I179" s="107">
        <v>-9546.5608465608457</v>
      </c>
      <c r="J179" s="106">
        <v>0.11363636363636363</v>
      </c>
      <c r="K179" s="106">
        <v>0.19886363636363635</v>
      </c>
      <c r="L179" s="106">
        <v>0.28402366863905326</v>
      </c>
      <c r="M179" s="106">
        <v>0.22366863905325443</v>
      </c>
      <c r="N179" s="106">
        <v>0.64166666666666672</v>
      </c>
      <c r="O179" s="106">
        <v>0.48148148148148145</v>
      </c>
      <c r="P179" s="106">
        <v>0.38377192982456143</v>
      </c>
      <c r="Q179" s="106">
        <v>0.41501103752759383</v>
      </c>
    </row>
    <row r="180" spans="1:17" x14ac:dyDescent="0.4">
      <c r="A180" s="108">
        <v>177</v>
      </c>
      <c r="B180" s="105">
        <v>943.60000000000025</v>
      </c>
      <c r="C180" s="105">
        <v>5.331073446327685</v>
      </c>
      <c r="D180" s="110">
        <v>1.8192090395480225</v>
      </c>
      <c r="E180" s="106">
        <v>0.41242937853107342</v>
      </c>
      <c r="F180" s="106">
        <v>0.3470007593014427</v>
      </c>
      <c r="G180" s="106">
        <v>0.14350797266514806</v>
      </c>
      <c r="H180" s="107">
        <v>9916.6301969365431</v>
      </c>
      <c r="I180" s="107">
        <v>-9546.5608465608457</v>
      </c>
      <c r="J180" s="106">
        <v>0.11299435028248588</v>
      </c>
      <c r="K180" s="106">
        <v>0.19774011299435029</v>
      </c>
      <c r="L180" s="106">
        <v>0.28337236533957844</v>
      </c>
      <c r="M180" s="106">
        <v>0.22131147540983606</v>
      </c>
      <c r="N180" s="106">
        <v>0.64049586776859502</v>
      </c>
      <c r="O180" s="106">
        <v>0.48148148148148145</v>
      </c>
      <c r="P180" s="106">
        <v>0.38293216630196936</v>
      </c>
      <c r="Q180" s="106">
        <v>0.41447368421052633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6E0C-396D-4B47-8C54-4ED365257E7B}">
  <sheetPr codeName="Sheet6"/>
  <dimension ref="A1:Q20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  <row r="195" spans="1:17" x14ac:dyDescent="0.4">
      <c r="A195" s="108">
        <v>192</v>
      </c>
      <c r="B195" s="105">
        <v>-4.9999999999999822</v>
      </c>
      <c r="C195" s="105">
        <v>-8.6805555555555247E-3</v>
      </c>
      <c r="D195" s="110">
        <v>2</v>
      </c>
      <c r="E195" s="106">
        <v>0.33333333333333331</v>
      </c>
      <c r="F195" s="106">
        <v>0.30586080586080588</v>
      </c>
      <c r="G195" s="106">
        <v>0.17536630036630035</v>
      </c>
      <c r="H195" s="107">
        <v>10176.721556886228</v>
      </c>
      <c r="I195" s="107">
        <v>-9458.8772845953008</v>
      </c>
      <c r="J195" s="106">
        <v>0.16319444444444445</v>
      </c>
      <c r="K195" s="106">
        <v>0.16319444444444445</v>
      </c>
      <c r="L195" s="106">
        <v>0.2865916069600819</v>
      </c>
      <c r="M195" s="106">
        <v>0.22790856363016035</v>
      </c>
      <c r="N195" s="106">
        <v>0.59047619047619049</v>
      </c>
      <c r="O195" s="106">
        <v>0.39970059880239522</v>
      </c>
      <c r="P195" s="106">
        <v>0.41317365269461076</v>
      </c>
      <c r="Q195" s="106">
        <v>0.36300897170462387</v>
      </c>
    </row>
    <row r="196" spans="1:17" x14ac:dyDescent="0.4">
      <c r="A196" s="108">
        <v>193</v>
      </c>
      <c r="B196" s="105">
        <v>-4.9999999999999787</v>
      </c>
      <c r="C196" s="105">
        <v>-8.6355785837650759E-3</v>
      </c>
      <c r="D196" s="110">
        <v>2</v>
      </c>
      <c r="E196" s="106">
        <v>0.33333333333333331</v>
      </c>
      <c r="F196" s="106">
        <v>0.30580204778156994</v>
      </c>
      <c r="G196" s="106">
        <v>0.17497155858930602</v>
      </c>
      <c r="H196" s="107">
        <v>10183.407738095239</v>
      </c>
      <c r="I196" s="107">
        <v>-9451.1053315994795</v>
      </c>
      <c r="J196" s="106">
        <v>0.16407599309153714</v>
      </c>
      <c r="K196" s="106">
        <v>0.16407599309153714</v>
      </c>
      <c r="L196" s="106">
        <v>0.2870182555780933</v>
      </c>
      <c r="M196" s="106">
        <v>0.2281947261663286</v>
      </c>
      <c r="N196" s="106">
        <v>0.59246171967020023</v>
      </c>
      <c r="O196" s="106">
        <v>0.39555555555555555</v>
      </c>
      <c r="P196" s="106">
        <v>0.41443452380952384</v>
      </c>
      <c r="Q196" s="106">
        <v>0.36282578875171467</v>
      </c>
    </row>
    <row r="197" spans="1:17" x14ac:dyDescent="0.4">
      <c r="A197" s="108">
        <v>194</v>
      </c>
      <c r="B197" s="105">
        <v>-4.9999999999999716</v>
      </c>
      <c r="C197" s="105">
        <v>-8.5910652920961703E-3</v>
      </c>
      <c r="D197" s="110">
        <v>2</v>
      </c>
      <c r="E197" s="106">
        <v>0.33333333333333331</v>
      </c>
      <c r="F197" s="106">
        <v>0.30591434398368456</v>
      </c>
      <c r="G197" s="106">
        <v>0.17516428733288011</v>
      </c>
      <c r="H197" s="107">
        <v>10204.592592592593</v>
      </c>
      <c r="I197" s="107">
        <v>-9492.3673997412679</v>
      </c>
      <c r="J197" s="106">
        <v>0.16494845360824742</v>
      </c>
      <c r="K197" s="106">
        <v>0.16494845360824742</v>
      </c>
      <c r="L197" s="106">
        <v>0.2866263440860215</v>
      </c>
      <c r="M197" s="106">
        <v>0.22782258064516128</v>
      </c>
      <c r="N197" s="106">
        <v>0.59320046893317702</v>
      </c>
      <c r="O197" s="106">
        <v>0.39528023598820061</v>
      </c>
      <c r="P197" s="106">
        <v>0.41407407407407409</v>
      </c>
      <c r="Q197" s="106">
        <v>0.36475409836065575</v>
      </c>
    </row>
    <row r="198" spans="1:17" x14ac:dyDescent="0.4">
      <c r="A198" s="108">
        <v>195</v>
      </c>
      <c r="B198" s="105">
        <v>-4.9999999999999751</v>
      </c>
      <c r="C198" s="105">
        <v>-8.5470085470085045E-3</v>
      </c>
      <c r="D198" s="110">
        <v>2</v>
      </c>
      <c r="E198" s="106">
        <v>0.33333333333333331</v>
      </c>
      <c r="F198" s="106">
        <v>0.30589293747188484</v>
      </c>
      <c r="G198" s="106">
        <v>0.17498875393612237</v>
      </c>
      <c r="H198" s="107">
        <v>10202.5</v>
      </c>
      <c r="I198" s="107">
        <v>-9476.6066838046281</v>
      </c>
      <c r="J198" s="106">
        <v>0.1641025641025641</v>
      </c>
      <c r="K198" s="106">
        <v>0.1641025641025641</v>
      </c>
      <c r="L198" s="106">
        <v>0.28647391159853774</v>
      </c>
      <c r="M198" s="106">
        <v>0.22831505483549352</v>
      </c>
      <c r="N198" s="106">
        <v>0.59512761020881666</v>
      </c>
      <c r="O198" s="106">
        <v>0.3930131004366812</v>
      </c>
      <c r="P198" s="106">
        <v>0.4147058823529412</v>
      </c>
      <c r="Q198" s="106">
        <v>0.36474576271186443</v>
      </c>
    </row>
    <row r="199" spans="1:17" x14ac:dyDescent="0.4">
      <c r="A199" s="108">
        <v>196</v>
      </c>
      <c r="B199" s="105">
        <v>-4.9999999999999716</v>
      </c>
      <c r="C199" s="105">
        <v>-8.5034013605441699E-3</v>
      </c>
      <c r="D199" s="110">
        <v>2</v>
      </c>
      <c r="E199" s="106">
        <v>0.33333333333333331</v>
      </c>
      <c r="F199" s="106">
        <v>0.3057980747705395</v>
      </c>
      <c r="G199" s="106">
        <v>0.17483769867920304</v>
      </c>
      <c r="H199" s="107">
        <v>10203.221083455344</v>
      </c>
      <c r="I199" s="107">
        <v>-9458.3866837387959</v>
      </c>
      <c r="J199" s="106">
        <v>0.16496598639455781</v>
      </c>
      <c r="K199" s="106">
        <v>0.16496598639455781</v>
      </c>
      <c r="L199" s="106">
        <v>0.28613861386138612</v>
      </c>
      <c r="M199" s="106">
        <v>0.22772277227722773</v>
      </c>
      <c r="N199" s="106">
        <v>0.59630911188004609</v>
      </c>
      <c r="O199" s="106">
        <v>0.39275362318840579</v>
      </c>
      <c r="P199" s="106">
        <v>0.4150805270863836</v>
      </c>
      <c r="Q199" s="106">
        <v>0.36369770580296895</v>
      </c>
    </row>
    <row r="200" spans="1:17" x14ac:dyDescent="0.4">
      <c r="A200" s="108">
        <v>197</v>
      </c>
      <c r="B200" s="105">
        <v>-4.9999999999999716</v>
      </c>
      <c r="C200" s="105">
        <v>-8.4602368866327771E-3</v>
      </c>
      <c r="D200" s="110">
        <v>2</v>
      </c>
      <c r="E200" s="106">
        <v>0.33333333333333331</v>
      </c>
      <c r="F200" s="106">
        <v>0.30587184639428444</v>
      </c>
      <c r="G200" s="106">
        <v>0.17526233534271043</v>
      </c>
      <c r="H200" s="107">
        <v>10214.306569343065</v>
      </c>
      <c r="I200" s="107">
        <v>-9481.5286624203818</v>
      </c>
      <c r="J200" s="106">
        <v>0.16582064297800339</v>
      </c>
      <c r="K200" s="106">
        <v>0.16582064297800339</v>
      </c>
      <c r="L200" s="106">
        <v>0.28632478632478631</v>
      </c>
      <c r="M200" s="106">
        <v>0.22781065088757396</v>
      </c>
      <c r="N200" s="106">
        <v>0.59586681974741673</v>
      </c>
      <c r="O200" s="106">
        <v>0.39393939393939392</v>
      </c>
      <c r="P200" s="106">
        <v>0.41386861313868611</v>
      </c>
      <c r="Q200" s="106">
        <v>0.36406460296096904</v>
      </c>
    </row>
    <row r="201" spans="1:17" x14ac:dyDescent="0.4">
      <c r="A201" s="108">
        <v>198</v>
      </c>
      <c r="B201" s="105">
        <v>-4.9999999999999716</v>
      </c>
      <c r="C201" s="105">
        <v>-8.4175084175083705E-3</v>
      </c>
      <c r="D201" s="110">
        <v>2</v>
      </c>
      <c r="E201" s="106">
        <v>0.33333333333333331</v>
      </c>
      <c r="F201" s="106">
        <v>0.30589022757697454</v>
      </c>
      <c r="G201" s="106">
        <v>0.1753681392235609</v>
      </c>
      <c r="H201" s="107">
        <v>10233.114514952589</v>
      </c>
      <c r="I201" s="107">
        <v>-9515.2671755725187</v>
      </c>
      <c r="J201" s="106">
        <v>0.16666666666666666</v>
      </c>
      <c r="K201" s="106">
        <v>0.16666666666666666</v>
      </c>
      <c r="L201" s="106">
        <v>0.28637110016420364</v>
      </c>
      <c r="M201" s="106">
        <v>0.22791461412151068</v>
      </c>
      <c r="N201" s="106">
        <v>0.59633027522935778</v>
      </c>
      <c r="O201" s="106">
        <v>0.39337175792507206</v>
      </c>
      <c r="P201" s="106">
        <v>0.41356673960612689</v>
      </c>
      <c r="Q201" s="106">
        <v>0.36449226630800269</v>
      </c>
    </row>
    <row r="202" spans="1:17" x14ac:dyDescent="0.4">
      <c r="A202" s="108">
        <v>199</v>
      </c>
      <c r="B202" s="105">
        <v>-4.9999999999999734</v>
      </c>
      <c r="C202" s="105">
        <v>-8.3752093802344618E-3</v>
      </c>
      <c r="D202" s="110">
        <v>2</v>
      </c>
      <c r="E202" s="106">
        <v>0.33333333333333331</v>
      </c>
      <c r="F202" s="106">
        <v>0.30605455755156352</v>
      </c>
      <c r="G202" s="106">
        <v>0.17498336660013306</v>
      </c>
      <c r="H202" s="107">
        <v>10247.971014492754</v>
      </c>
      <c r="I202" s="107">
        <v>-9515.3358681875798</v>
      </c>
      <c r="J202" s="106">
        <v>0.16582914572864321</v>
      </c>
      <c r="K202" s="106">
        <v>0.16582914572864321</v>
      </c>
      <c r="L202" s="106">
        <v>0.28645833333333331</v>
      </c>
      <c r="M202" s="106">
        <v>0.2275390625</v>
      </c>
      <c r="N202" s="106">
        <v>0.59886363636363638</v>
      </c>
      <c r="O202" s="106">
        <v>0.39341917024320455</v>
      </c>
      <c r="P202" s="106">
        <v>0.41521739130434782</v>
      </c>
      <c r="Q202" s="106">
        <v>0.36430481283422461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2019-01-31T11:40:31Z</dcterms:modified>
</cp:coreProperties>
</file>