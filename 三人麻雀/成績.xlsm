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BC170B19-9C69-43CD-9D35-EE4B620F74D4}" xr6:coauthVersionLast="36" xr6:coauthVersionMax="36" xr10:uidLastSave="{00000000-0000-0000-0000-000000000000}"/>
  <bookViews>
    <workbookView xWindow="0" yWindow="0" windowWidth="28800" windowHeight="13050" tabRatio="663" firstSheet="4" activeTab="6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156" r:id="rId6"/>
    <sheet name="だいち" sheetId="4158" r:id="rId7"/>
    <sheet name="かこたろう" sheetId="4160" r:id="rId8"/>
    <sheet name="ともき" sheetId="4162" r:id="rId9"/>
    <sheet name="りくと" sheetId="4164" r:id="rId10"/>
    <sheet name="いっしー" sheetId="4166" r:id="rId11"/>
    <sheet name="がくと" sheetId="4168" r:id="rId12"/>
    <sheet name="たかの" sheetId="4170" r:id="rId13"/>
    <sheet name="ただ" sheetId="4172" r:id="rId14"/>
    <sheet name="やがさき" sheetId="4174" r:id="rId15"/>
    <sheet name="れんたろう" sheetId="4176" r:id="rId16"/>
    <sheet name="あさひ" sheetId="4178" r:id="rId17"/>
    <sheet name="まっつん" sheetId="4180" r:id="rId18"/>
    <sheet name="ぱぱ" sheetId="4182" r:id="rId19"/>
    <sheet name="ぱぱ2" sheetId="4183" state="hidden" r:id="rId20"/>
    <sheet name="まっつん2" sheetId="4181" state="hidden" r:id="rId21"/>
    <sheet name="あさひ2" sheetId="4179" state="hidden" r:id="rId22"/>
    <sheet name="れんたろう2" sheetId="4177" state="hidden" r:id="rId23"/>
    <sheet name="やがさき2" sheetId="4175" state="hidden" r:id="rId24"/>
    <sheet name="ただ2" sheetId="4173" state="hidden" r:id="rId25"/>
    <sheet name="たかの2" sheetId="4171" state="hidden" r:id="rId26"/>
    <sheet name="がくと2" sheetId="4169" state="hidden" r:id="rId27"/>
    <sheet name="いっしー2" sheetId="4167" state="hidden" r:id="rId28"/>
    <sheet name="りくと2" sheetId="4165" state="hidden" r:id="rId29"/>
    <sheet name="ともき2" sheetId="4163" state="hidden" r:id="rId30"/>
    <sheet name="かこたろう2" sheetId="4161" state="hidden" r:id="rId31"/>
    <sheet name="だいち2" sheetId="4159" state="hidden" r:id="rId32"/>
    <sheet name="全体2" sheetId="4157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176" l="1"/>
  <c r="O18" i="4182"/>
  <c r="O15" i="4164" l="1"/>
  <c r="O20" i="4182"/>
  <c r="O18" i="4174" l="1"/>
  <c r="O19" i="4182"/>
  <c r="O16" i="4182"/>
  <c r="O17" i="4158"/>
  <c r="O22" i="4166"/>
  <c r="O17" i="4166"/>
  <c r="O15" i="4182"/>
  <c r="O17" i="4182"/>
  <c r="H51" i="4182"/>
  <c r="H50" i="4182"/>
  <c r="H49" i="4182"/>
  <c r="H48" i="4182"/>
  <c r="H47" i="4182"/>
  <c r="H46" i="4182"/>
  <c r="H45" i="4182"/>
  <c r="H44" i="4182"/>
  <c r="H43" i="4182"/>
  <c r="H42" i="4182"/>
  <c r="H41" i="4182"/>
  <c r="H40" i="4182"/>
  <c r="H39" i="4182"/>
  <c r="H38" i="4182"/>
  <c r="H37" i="4182"/>
  <c r="H36" i="4182"/>
  <c r="H35" i="4182"/>
  <c r="H34" i="4182"/>
  <c r="H33" i="4182"/>
  <c r="H32" i="4182"/>
  <c r="H31" i="4182"/>
  <c r="H30" i="4182"/>
  <c r="H9" i="4182"/>
  <c r="H29" i="4182"/>
  <c r="H28" i="4182"/>
  <c r="H13" i="4182"/>
  <c r="H27" i="4182"/>
  <c r="C25" i="4182"/>
  <c r="H26" i="4182"/>
  <c r="H10" i="4182"/>
  <c r="H25" i="4182"/>
  <c r="B22" i="4182"/>
  <c r="H12" i="4182"/>
  <c r="H24" i="4182"/>
  <c r="C20" i="4182"/>
  <c r="H23" i="4182"/>
  <c r="H11" i="4182"/>
  <c r="H22" i="4182"/>
  <c r="B17" i="4182"/>
  <c r="B21" i="4182" s="1"/>
  <c r="H21" i="4182"/>
  <c r="C16" i="4182"/>
  <c r="H20" i="4182"/>
  <c r="C15" i="4182"/>
  <c r="H19" i="4182"/>
  <c r="C14" i="4182"/>
  <c r="H18" i="4182"/>
  <c r="C13" i="4182"/>
  <c r="O12" i="4182"/>
  <c r="H17" i="4182"/>
  <c r="C12" i="4182"/>
  <c r="O11" i="4182"/>
  <c r="H3" i="4182"/>
  <c r="C11" i="4182"/>
  <c r="O10" i="4182"/>
  <c r="H16" i="4182"/>
  <c r="C10" i="4182"/>
  <c r="H8" i="4182"/>
  <c r="C9" i="4182"/>
  <c r="H15" i="4182"/>
  <c r="C8" i="4182"/>
  <c r="O7" i="4182"/>
  <c r="H7" i="4182"/>
  <c r="C7" i="4182"/>
  <c r="O6" i="4182"/>
  <c r="H2" i="4182"/>
  <c r="B6" i="4182"/>
  <c r="O5" i="4182"/>
  <c r="H6" i="4182"/>
  <c r="B5" i="4182"/>
  <c r="O4" i="4182"/>
  <c r="H4" i="4182"/>
  <c r="O3" i="4182"/>
  <c r="H14" i="4182"/>
  <c r="O2" i="4182"/>
  <c r="H5" i="4182"/>
  <c r="O21" i="4180"/>
  <c r="O19" i="4180"/>
  <c r="O17" i="4156"/>
  <c r="C18" i="4182" l="1"/>
  <c r="C17" i="4182"/>
  <c r="C19" i="4182"/>
  <c r="O15" i="4166" l="1"/>
  <c r="O21" i="4174"/>
  <c r="O20" i="4174"/>
  <c r="O17" i="4176"/>
  <c r="O19" i="4164" l="1"/>
  <c r="O17" i="4174"/>
  <c r="O19" i="4172"/>
  <c r="O16" i="4174"/>
  <c r="O21" i="4164" l="1"/>
  <c r="O16" i="4180"/>
  <c r="O22" i="4180" l="1"/>
  <c r="O18" i="4158"/>
  <c r="O21" i="4172" l="1"/>
  <c r="O17" i="4178"/>
  <c r="O15" i="4168"/>
  <c r="O16" i="4168"/>
  <c r="O18" i="4176"/>
  <c r="O25" i="4176"/>
  <c r="O15" i="4180"/>
  <c r="O17" i="4180"/>
  <c r="O21" i="4166"/>
  <c r="O18" i="4170"/>
  <c r="O20" i="4180" l="1"/>
  <c r="O18" i="4180"/>
  <c r="H51" i="4180"/>
  <c r="H50" i="4180"/>
  <c r="H49" i="4180"/>
  <c r="H48" i="4180"/>
  <c r="H47" i="4180"/>
  <c r="H46" i="4180"/>
  <c r="H45" i="4180"/>
  <c r="H44" i="4180"/>
  <c r="H43" i="4180"/>
  <c r="H42" i="4180"/>
  <c r="H41" i="4180"/>
  <c r="H40" i="4180"/>
  <c r="H39" i="4180"/>
  <c r="H38" i="4180"/>
  <c r="H37" i="4180"/>
  <c r="H36" i="4180"/>
  <c r="H35" i="4180"/>
  <c r="H34" i="4180"/>
  <c r="H33" i="4180"/>
  <c r="H21" i="4180"/>
  <c r="H20" i="4180"/>
  <c r="H32" i="4180"/>
  <c r="H8" i="4180"/>
  <c r="H31" i="4180"/>
  <c r="H30" i="4180"/>
  <c r="H12" i="4180"/>
  <c r="H19" i="4180"/>
  <c r="C25" i="4180"/>
  <c r="H29" i="4180"/>
  <c r="H7" i="4180"/>
  <c r="H28" i="4180"/>
  <c r="B22" i="4180"/>
  <c r="H17" i="4180"/>
  <c r="H27" i="4180"/>
  <c r="C20" i="4180"/>
  <c r="H26" i="4180"/>
  <c r="H16" i="4180"/>
  <c r="H13" i="4180"/>
  <c r="B17" i="4180"/>
  <c r="B21" i="4180" s="1"/>
  <c r="H18" i="4180"/>
  <c r="C16" i="4180"/>
  <c r="H25" i="4180"/>
  <c r="C15" i="4180"/>
  <c r="H24" i="4180"/>
  <c r="C14" i="4180"/>
  <c r="H23" i="4180"/>
  <c r="C13" i="4180"/>
  <c r="O12" i="4180"/>
  <c r="H22" i="4180"/>
  <c r="C12" i="4180"/>
  <c r="O11" i="4180"/>
  <c r="H3" i="4180"/>
  <c r="C11" i="4180"/>
  <c r="O10" i="4180"/>
  <c r="H15" i="4180"/>
  <c r="C10" i="4180"/>
  <c r="H10" i="4180"/>
  <c r="C9" i="4180"/>
  <c r="H14" i="4180"/>
  <c r="C8" i="4180"/>
  <c r="O7" i="4180"/>
  <c r="H6" i="4180"/>
  <c r="C7" i="4180"/>
  <c r="O6" i="4180"/>
  <c r="H2" i="4180"/>
  <c r="B6" i="4180"/>
  <c r="O5" i="4180"/>
  <c r="H9" i="4180"/>
  <c r="B5" i="4180"/>
  <c r="O4" i="4180"/>
  <c r="H4" i="4180"/>
  <c r="O3" i="4180"/>
  <c r="H11" i="4180"/>
  <c r="O2" i="4180"/>
  <c r="H5" i="4180"/>
  <c r="O15" i="4170"/>
  <c r="O16" i="4172"/>
  <c r="O18" i="4156"/>
  <c r="O24" i="4166"/>
  <c r="O18" i="4168"/>
  <c r="O18" i="4178"/>
  <c r="O15" i="4178"/>
  <c r="C17" i="4180" l="1"/>
  <c r="C18" i="4180"/>
  <c r="C19" i="4180"/>
  <c r="O21" i="4176" l="1"/>
  <c r="O17" i="4164"/>
  <c r="O16" i="4162"/>
  <c r="O18" i="4162"/>
  <c r="O16" i="4176"/>
  <c r="O24" i="4164"/>
  <c r="O27" i="4156"/>
  <c r="O19" i="4178"/>
  <c r="O16" i="4178"/>
  <c r="H51" i="4178"/>
  <c r="H50" i="4178"/>
  <c r="H49" i="4178"/>
  <c r="H48" i="4178"/>
  <c r="H47" i="4178"/>
  <c r="H46" i="4178"/>
  <c r="H45" i="4178"/>
  <c r="H44" i="4178"/>
  <c r="H43" i="4178"/>
  <c r="H42" i="4178"/>
  <c r="H41" i="4178"/>
  <c r="H40" i="4178"/>
  <c r="H39" i="4178"/>
  <c r="H38" i="4178"/>
  <c r="H37" i="4178"/>
  <c r="H36" i="4178"/>
  <c r="H35" i="4178"/>
  <c r="H34" i="4178"/>
  <c r="H33" i="4178"/>
  <c r="H32" i="4178"/>
  <c r="H14" i="4178"/>
  <c r="H31" i="4178"/>
  <c r="H12" i="4178"/>
  <c r="H30" i="4178"/>
  <c r="H29" i="4178"/>
  <c r="H11" i="4178"/>
  <c r="H28" i="4178"/>
  <c r="C25" i="4178"/>
  <c r="H27" i="4178"/>
  <c r="H26" i="4178"/>
  <c r="H25" i="4178"/>
  <c r="B22" i="4178"/>
  <c r="H24" i="4178"/>
  <c r="H23" i="4178"/>
  <c r="C20" i="4178"/>
  <c r="H22" i="4178"/>
  <c r="H21" i="4178"/>
  <c r="H20" i="4178"/>
  <c r="B17" i="4178"/>
  <c r="B21" i="4178" s="1"/>
  <c r="H19" i="4178"/>
  <c r="C16" i="4178"/>
  <c r="H18" i="4178"/>
  <c r="C15" i="4178"/>
  <c r="H17" i="4178"/>
  <c r="C14" i="4178"/>
  <c r="H16" i="4178"/>
  <c r="C13" i="4178"/>
  <c r="O12" i="4178"/>
  <c r="H15" i="4178"/>
  <c r="C12" i="4178"/>
  <c r="O11" i="4178"/>
  <c r="H5" i="4178"/>
  <c r="C11" i="4178"/>
  <c r="O10" i="4178"/>
  <c r="H13" i="4178"/>
  <c r="C10" i="4178"/>
  <c r="H8" i="4178"/>
  <c r="C9" i="4178"/>
  <c r="H10" i="4178"/>
  <c r="C8" i="4178"/>
  <c r="O7" i="4178"/>
  <c r="H7" i="4178"/>
  <c r="C7" i="4178"/>
  <c r="O6" i="4178"/>
  <c r="H4" i="4178"/>
  <c r="B6" i="4178"/>
  <c r="O5" i="4178"/>
  <c r="H6" i="4178"/>
  <c r="B5" i="4178"/>
  <c r="O4" i="4178"/>
  <c r="H3" i="4178"/>
  <c r="O3" i="4178"/>
  <c r="H9" i="4178"/>
  <c r="O2" i="4178"/>
  <c r="H2" i="4178"/>
  <c r="C17" i="4178" l="1"/>
  <c r="C18" i="4178"/>
  <c r="C19" i="4178"/>
  <c r="O16" i="4170" l="1"/>
  <c r="O23" i="4176"/>
  <c r="O16" i="4164"/>
  <c r="O21" i="4170"/>
  <c r="O22" i="4172" l="1"/>
  <c r="O20" i="4166"/>
  <c r="O17" i="4172" l="1"/>
  <c r="O24" i="4176"/>
  <c r="O25" i="4166" l="1"/>
  <c r="O19" i="4176"/>
  <c r="O18" i="4164" l="1"/>
  <c r="O22" i="4176"/>
  <c r="O20" i="4176"/>
  <c r="H51" i="4176"/>
  <c r="H50" i="4176"/>
  <c r="H49" i="4176"/>
  <c r="H48" i="4176"/>
  <c r="H47" i="4176"/>
  <c r="H46" i="4176"/>
  <c r="H45" i="4176"/>
  <c r="H44" i="4176"/>
  <c r="H43" i="4176"/>
  <c r="H42" i="4176"/>
  <c r="H41" i="4176"/>
  <c r="H40" i="4176"/>
  <c r="H39" i="4176"/>
  <c r="H38" i="4176"/>
  <c r="H37" i="4176"/>
  <c r="H36" i="4176"/>
  <c r="H35" i="4176"/>
  <c r="H34" i="4176"/>
  <c r="H21" i="4176"/>
  <c r="H27" i="4176"/>
  <c r="H18" i="4176"/>
  <c r="H26" i="4176"/>
  <c r="H9" i="4176"/>
  <c r="H33" i="4176"/>
  <c r="H32" i="4176"/>
  <c r="H12" i="4176"/>
  <c r="H25" i="4176"/>
  <c r="C25" i="4176"/>
  <c r="H24" i="4176"/>
  <c r="H14" i="4176"/>
  <c r="H31" i="4176"/>
  <c r="B22" i="4176"/>
  <c r="H16" i="4176"/>
  <c r="H30" i="4176"/>
  <c r="C20" i="4176"/>
  <c r="H29" i="4176"/>
  <c r="H20" i="4176"/>
  <c r="H13" i="4176"/>
  <c r="B17" i="4176"/>
  <c r="B21" i="4176" s="1"/>
  <c r="H23" i="4176"/>
  <c r="C16" i="4176"/>
  <c r="H28" i="4176"/>
  <c r="C15" i="4176"/>
  <c r="H19" i="4176"/>
  <c r="C14" i="4176"/>
  <c r="H22" i="4176"/>
  <c r="C13" i="4176"/>
  <c r="O12" i="4176"/>
  <c r="H17" i="4176"/>
  <c r="C12" i="4176"/>
  <c r="O11" i="4176"/>
  <c r="H5" i="4176"/>
  <c r="C11" i="4176"/>
  <c r="O10" i="4176"/>
  <c r="H15" i="4176"/>
  <c r="C10" i="4176"/>
  <c r="H10" i="4176"/>
  <c r="C9" i="4176"/>
  <c r="H8" i="4176"/>
  <c r="C8" i="4176"/>
  <c r="O7" i="4176"/>
  <c r="H7" i="4176"/>
  <c r="C7" i="4176"/>
  <c r="O6" i="4176"/>
  <c r="H2" i="4176"/>
  <c r="B6" i="4176"/>
  <c r="O5" i="4176"/>
  <c r="H6" i="4176"/>
  <c r="B5" i="4176"/>
  <c r="O4" i="4176"/>
  <c r="H3" i="4176"/>
  <c r="O3" i="4176"/>
  <c r="H11" i="4176"/>
  <c r="O2" i="4176"/>
  <c r="H4" i="4176"/>
  <c r="O20" i="4158"/>
  <c r="O20" i="4156"/>
  <c r="C17" i="4176" l="1"/>
  <c r="C18" i="4176"/>
  <c r="C19" i="4176"/>
  <c r="O23" i="4164" l="1"/>
  <c r="O15" i="4172"/>
  <c r="O15" i="4174" l="1"/>
  <c r="O19" i="4174"/>
  <c r="H51" i="4174"/>
  <c r="H50" i="4174"/>
  <c r="H49" i="4174"/>
  <c r="H48" i="4174"/>
  <c r="H47" i="4174"/>
  <c r="H46" i="4174"/>
  <c r="H45" i="4174"/>
  <c r="H44" i="4174"/>
  <c r="H43" i="4174"/>
  <c r="H42" i="4174"/>
  <c r="H41" i="4174"/>
  <c r="H40" i="4174"/>
  <c r="H39" i="4174"/>
  <c r="H38" i="4174"/>
  <c r="H37" i="4174"/>
  <c r="H36" i="4174"/>
  <c r="H35" i="4174"/>
  <c r="H34" i="4174"/>
  <c r="H33" i="4174"/>
  <c r="H19" i="4174"/>
  <c r="H18" i="4174"/>
  <c r="H32" i="4174"/>
  <c r="H9" i="4174"/>
  <c r="H31" i="4174"/>
  <c r="H30" i="4174"/>
  <c r="H17" i="4174"/>
  <c r="H29" i="4174"/>
  <c r="C25" i="4174"/>
  <c r="H28" i="4174"/>
  <c r="H16" i="4174"/>
  <c r="H27" i="4174"/>
  <c r="B22" i="4174"/>
  <c r="H26" i="4174"/>
  <c r="H25" i="4174"/>
  <c r="C20" i="4174"/>
  <c r="H24" i="4174"/>
  <c r="H15" i="4174"/>
  <c r="H13" i="4174"/>
  <c r="B17" i="4174"/>
  <c r="B21" i="4174" s="1"/>
  <c r="H23" i="4174"/>
  <c r="C16" i="4174"/>
  <c r="H22" i="4174"/>
  <c r="C15" i="4174"/>
  <c r="H21" i="4174"/>
  <c r="C14" i="4174"/>
  <c r="H20" i="4174"/>
  <c r="C13" i="4174"/>
  <c r="O12" i="4174"/>
  <c r="H14" i="4174"/>
  <c r="C12" i="4174"/>
  <c r="O11" i="4174"/>
  <c r="H6" i="4174"/>
  <c r="C11" i="4174"/>
  <c r="O10" i="4174"/>
  <c r="H12" i="4174"/>
  <c r="C10" i="4174"/>
  <c r="H11" i="4174"/>
  <c r="C9" i="4174"/>
  <c r="H10" i="4174"/>
  <c r="C8" i="4174"/>
  <c r="O7" i="4174"/>
  <c r="H7" i="4174"/>
  <c r="C7" i="4174"/>
  <c r="O6" i="4174"/>
  <c r="H2" i="4174"/>
  <c r="B6" i="4174"/>
  <c r="O5" i="4174"/>
  <c r="H4" i="4174"/>
  <c r="B5" i="4174"/>
  <c r="O4" i="4174"/>
  <c r="H5" i="4174"/>
  <c r="O3" i="4174"/>
  <c r="H8" i="4174"/>
  <c r="O2" i="4174"/>
  <c r="H3" i="4174"/>
  <c r="O20" i="4170"/>
  <c r="O21" i="4158"/>
  <c r="O23" i="4156"/>
  <c r="C17" i="4174" l="1"/>
  <c r="C18" i="4174"/>
  <c r="C19" i="4174"/>
  <c r="O16" i="4166" l="1"/>
  <c r="O15" i="4160"/>
  <c r="O18" i="4172" l="1"/>
  <c r="O20" i="4172"/>
  <c r="H51" i="4172"/>
  <c r="H50" i="4172"/>
  <c r="H49" i="4172"/>
  <c r="H48" i="4172"/>
  <c r="H47" i="4172"/>
  <c r="H46" i="4172"/>
  <c r="H45" i="4172"/>
  <c r="H44" i="4172"/>
  <c r="H43" i="4172"/>
  <c r="H42" i="4172"/>
  <c r="H41" i="4172"/>
  <c r="H40" i="4172"/>
  <c r="H39" i="4172"/>
  <c r="H38" i="4172"/>
  <c r="H37" i="4172"/>
  <c r="H36" i="4172"/>
  <c r="H35" i="4172"/>
  <c r="H34" i="4172"/>
  <c r="H21" i="4172"/>
  <c r="H33" i="4172"/>
  <c r="H18" i="4172"/>
  <c r="H32" i="4172"/>
  <c r="H9" i="4172"/>
  <c r="H31" i="4172"/>
  <c r="H30" i="4172"/>
  <c r="H14" i="4172"/>
  <c r="H29" i="4172"/>
  <c r="C25" i="4172"/>
  <c r="H24" i="4172"/>
  <c r="H16" i="4172"/>
  <c r="H28" i="4172"/>
  <c r="B22" i="4172"/>
  <c r="H15" i="4172"/>
  <c r="H27" i="4172"/>
  <c r="C20" i="4172"/>
  <c r="H26" i="4172"/>
  <c r="H20" i="4172"/>
  <c r="H13" i="4172"/>
  <c r="B17" i="4172"/>
  <c r="B21" i="4172" s="1"/>
  <c r="H19" i="4172"/>
  <c r="C16" i="4172"/>
  <c r="H25" i="4172"/>
  <c r="C15" i="4172"/>
  <c r="H23" i="4172"/>
  <c r="C14" i="4172"/>
  <c r="H22" i="4172"/>
  <c r="C13" i="4172"/>
  <c r="O12" i="4172"/>
  <c r="H17" i="4172"/>
  <c r="C12" i="4172"/>
  <c r="O11" i="4172"/>
  <c r="H5" i="4172"/>
  <c r="C11" i="4172"/>
  <c r="O10" i="4172"/>
  <c r="H12" i="4172"/>
  <c r="C10" i="4172"/>
  <c r="H11" i="4172"/>
  <c r="C9" i="4172"/>
  <c r="H8" i="4172"/>
  <c r="C8" i="4172"/>
  <c r="O7" i="4172"/>
  <c r="H7" i="4172"/>
  <c r="C7" i="4172"/>
  <c r="O6" i="4172"/>
  <c r="H2" i="4172"/>
  <c r="B6" i="4172"/>
  <c r="O5" i="4172"/>
  <c r="H6" i="4172"/>
  <c r="B5" i="4172"/>
  <c r="O4" i="4172"/>
  <c r="H3" i="4172"/>
  <c r="O3" i="4172"/>
  <c r="H10" i="4172"/>
  <c r="O2" i="4172"/>
  <c r="H4" i="4172"/>
  <c r="O19" i="4170"/>
  <c r="O17" i="4170"/>
  <c r="H51" i="4170"/>
  <c r="H50" i="4170"/>
  <c r="H49" i="4170"/>
  <c r="H48" i="4170"/>
  <c r="H47" i="4170"/>
  <c r="H46" i="4170"/>
  <c r="H45" i="4170"/>
  <c r="H44" i="4170"/>
  <c r="H43" i="4170"/>
  <c r="H42" i="4170"/>
  <c r="H41" i="4170"/>
  <c r="H40" i="4170"/>
  <c r="H39" i="4170"/>
  <c r="H38" i="4170"/>
  <c r="H37" i="4170"/>
  <c r="H36" i="4170"/>
  <c r="H35" i="4170"/>
  <c r="H34" i="4170"/>
  <c r="H33" i="4170"/>
  <c r="H32" i="4170"/>
  <c r="H31" i="4170"/>
  <c r="H30" i="4170"/>
  <c r="H11" i="4170"/>
  <c r="H29" i="4170"/>
  <c r="H28" i="4170"/>
  <c r="H14" i="4170"/>
  <c r="H27" i="4170"/>
  <c r="C25" i="4170"/>
  <c r="H26" i="4170"/>
  <c r="H16" i="4170"/>
  <c r="H25" i="4170"/>
  <c r="B22" i="4170"/>
  <c r="H19" i="4170"/>
  <c r="H24" i="4170"/>
  <c r="C20" i="4170"/>
  <c r="H23" i="4170"/>
  <c r="H15" i="4170"/>
  <c r="H13" i="4170"/>
  <c r="B17" i="4170"/>
  <c r="B21" i="4170" s="1"/>
  <c r="H18" i="4170"/>
  <c r="C16" i="4170"/>
  <c r="H22" i="4170"/>
  <c r="C15" i="4170"/>
  <c r="H17" i="4170"/>
  <c r="C14" i="4170"/>
  <c r="H21" i="4170"/>
  <c r="C13" i="4170"/>
  <c r="O12" i="4170"/>
  <c r="H20" i="4170"/>
  <c r="C12" i="4170"/>
  <c r="O11" i="4170"/>
  <c r="H4" i="4170"/>
  <c r="C11" i="4170"/>
  <c r="O10" i="4170"/>
  <c r="H12" i="4170"/>
  <c r="C10" i="4170"/>
  <c r="H10" i="4170"/>
  <c r="C9" i="4170"/>
  <c r="H8" i="4170"/>
  <c r="C8" i="4170"/>
  <c r="O7" i="4170"/>
  <c r="H6" i="4170"/>
  <c r="C7" i="4170"/>
  <c r="O6" i="4170"/>
  <c r="H2" i="4170"/>
  <c r="B6" i="4170"/>
  <c r="O5" i="4170"/>
  <c r="H9" i="4170"/>
  <c r="B5" i="4170"/>
  <c r="O4" i="4170"/>
  <c r="H3" i="4170"/>
  <c r="O3" i="4170"/>
  <c r="H7" i="4170"/>
  <c r="O2" i="4170"/>
  <c r="H5" i="4170"/>
  <c r="O24" i="4158"/>
  <c r="O19" i="4158"/>
  <c r="O24" i="4156"/>
  <c r="O19" i="4156"/>
  <c r="C17" i="4172" l="1"/>
  <c r="C18" i="4172"/>
  <c r="C19" i="4172"/>
  <c r="C18" i="4170"/>
  <c r="C19" i="4170"/>
  <c r="C17" i="4170"/>
  <c r="O18" i="4166" l="1"/>
  <c r="O19" i="4168"/>
  <c r="O17" i="4168"/>
  <c r="H51" i="4168"/>
  <c r="H50" i="4168"/>
  <c r="H49" i="4168"/>
  <c r="H48" i="4168"/>
  <c r="H47" i="4168"/>
  <c r="H46" i="4168"/>
  <c r="H45" i="4168"/>
  <c r="H44" i="4168"/>
  <c r="H43" i="4168"/>
  <c r="H42" i="4168"/>
  <c r="H41" i="4168"/>
  <c r="H40" i="4168"/>
  <c r="H39" i="4168"/>
  <c r="H38" i="4168"/>
  <c r="H37" i="4168"/>
  <c r="H36" i="4168"/>
  <c r="H35" i="4168"/>
  <c r="H34" i="4168"/>
  <c r="H33" i="4168"/>
  <c r="H32" i="4168"/>
  <c r="H31" i="4168"/>
  <c r="H30" i="4168"/>
  <c r="H29" i="4168"/>
  <c r="H28" i="4168"/>
  <c r="H27" i="4168"/>
  <c r="H11" i="4168"/>
  <c r="H26" i="4168"/>
  <c r="C25" i="4168"/>
  <c r="H25" i="4168"/>
  <c r="H24" i="4168"/>
  <c r="H23" i="4168"/>
  <c r="B22" i="4168"/>
  <c r="H22" i="4168"/>
  <c r="H21" i="4168"/>
  <c r="C20" i="4168"/>
  <c r="H20" i="4168"/>
  <c r="H8" i="4168"/>
  <c r="H19" i="4168"/>
  <c r="B17" i="4168"/>
  <c r="B21" i="4168" s="1"/>
  <c r="H18" i="4168"/>
  <c r="C16" i="4168"/>
  <c r="H17" i="4168"/>
  <c r="C15" i="4168"/>
  <c r="H16" i="4168"/>
  <c r="C14" i="4168"/>
  <c r="H15" i="4168"/>
  <c r="C13" i="4168"/>
  <c r="O12" i="4168"/>
  <c r="H14" i="4168"/>
  <c r="C12" i="4168"/>
  <c r="O11" i="4168"/>
  <c r="H5" i="4168"/>
  <c r="C11" i="4168"/>
  <c r="O10" i="4168"/>
  <c r="H13" i="4168"/>
  <c r="C10" i="4168"/>
  <c r="H12" i="4168"/>
  <c r="C9" i="4168"/>
  <c r="H10" i="4168"/>
  <c r="C8" i="4168"/>
  <c r="O7" i="4168"/>
  <c r="H6" i="4168"/>
  <c r="C7" i="4168"/>
  <c r="O6" i="4168"/>
  <c r="H3" i="4168"/>
  <c r="B6" i="4168"/>
  <c r="O5" i="4168"/>
  <c r="H7" i="4168"/>
  <c r="B5" i="4168"/>
  <c r="O4" i="4168"/>
  <c r="H9" i="4168"/>
  <c r="O3" i="4168"/>
  <c r="H4" i="4168"/>
  <c r="O2" i="4168"/>
  <c r="H2" i="4168"/>
  <c r="O15" i="4158"/>
  <c r="O16" i="4156"/>
  <c r="C17" i="4168" l="1"/>
  <c r="C18" i="4168"/>
  <c r="C19" i="4168"/>
  <c r="O19" i="4166" l="1"/>
  <c r="O23" i="4166"/>
  <c r="H51" i="4166"/>
  <c r="H50" i="4166"/>
  <c r="H49" i="4166"/>
  <c r="H48" i="4166"/>
  <c r="H47" i="4166"/>
  <c r="H46" i="4166"/>
  <c r="H45" i="4166"/>
  <c r="H44" i="4166"/>
  <c r="H43" i="4166"/>
  <c r="H42" i="4166"/>
  <c r="H41" i="4166"/>
  <c r="H40" i="4166"/>
  <c r="H39" i="4166"/>
  <c r="H38" i="4166"/>
  <c r="H37" i="4166"/>
  <c r="H36" i="4166"/>
  <c r="H35" i="4166"/>
  <c r="H34" i="4166"/>
  <c r="H18" i="4166"/>
  <c r="H33" i="4166"/>
  <c r="H17" i="4166"/>
  <c r="H32" i="4166"/>
  <c r="H10" i="4166"/>
  <c r="H31" i="4166"/>
  <c r="H30" i="4166"/>
  <c r="H14" i="4166"/>
  <c r="H29" i="4166"/>
  <c r="C25" i="4166"/>
  <c r="H28" i="4166"/>
  <c r="H8" i="4166"/>
  <c r="H27" i="4166"/>
  <c r="B22" i="4166"/>
  <c r="H13" i="4166"/>
  <c r="H26" i="4166"/>
  <c r="C20" i="4166"/>
  <c r="H25" i="4166"/>
  <c r="H24" i="4166"/>
  <c r="H16" i="4166"/>
  <c r="B17" i="4166"/>
  <c r="B21" i="4166" s="1"/>
  <c r="H23" i="4166"/>
  <c r="C16" i="4166"/>
  <c r="H22" i="4166"/>
  <c r="C15" i="4166"/>
  <c r="H21" i="4166"/>
  <c r="C14" i="4166"/>
  <c r="H20" i="4166"/>
  <c r="C13" i="4166"/>
  <c r="O12" i="4166"/>
  <c r="H19" i="4166"/>
  <c r="C12" i="4166"/>
  <c r="O11" i="4166"/>
  <c r="H4" i="4166"/>
  <c r="C11" i="4166"/>
  <c r="O10" i="4166"/>
  <c r="H15" i="4166"/>
  <c r="C10" i="4166"/>
  <c r="H12" i="4166"/>
  <c r="C9" i="4166"/>
  <c r="H9" i="4166"/>
  <c r="C8" i="4166"/>
  <c r="O7" i="4166"/>
  <c r="H6" i="4166"/>
  <c r="C7" i="4166"/>
  <c r="O6" i="4166"/>
  <c r="H2" i="4166"/>
  <c r="B6" i="4166"/>
  <c r="O5" i="4166"/>
  <c r="H7" i="4166"/>
  <c r="B5" i="4166"/>
  <c r="O4" i="4166"/>
  <c r="H3" i="4166"/>
  <c r="O3" i="4166"/>
  <c r="H11" i="4166"/>
  <c r="O2" i="4166"/>
  <c r="H5" i="4166"/>
  <c r="O20" i="4164"/>
  <c r="O22" i="4164"/>
  <c r="H51" i="4164"/>
  <c r="H50" i="4164"/>
  <c r="H49" i="4164"/>
  <c r="H48" i="4164"/>
  <c r="H47" i="4164"/>
  <c r="H46" i="4164"/>
  <c r="H45" i="4164"/>
  <c r="H44" i="4164"/>
  <c r="H43" i="4164"/>
  <c r="H42" i="4164"/>
  <c r="H41" i="4164"/>
  <c r="H40" i="4164"/>
  <c r="H39" i="4164"/>
  <c r="H38" i="4164"/>
  <c r="H37" i="4164"/>
  <c r="H36" i="4164"/>
  <c r="H35" i="4164"/>
  <c r="H34" i="4164"/>
  <c r="H33" i="4164"/>
  <c r="H21" i="4164"/>
  <c r="H15" i="4164"/>
  <c r="H32" i="4164"/>
  <c r="H8" i="4164"/>
  <c r="H26" i="4164"/>
  <c r="H25" i="4164"/>
  <c r="H12" i="4164"/>
  <c r="H20" i="4164"/>
  <c r="C25" i="4164"/>
  <c r="H19" i="4164"/>
  <c r="H13" i="4164"/>
  <c r="H31" i="4164"/>
  <c r="B22" i="4164"/>
  <c r="H14" i="4164"/>
  <c r="H24" i="4164"/>
  <c r="C20" i="4164"/>
  <c r="H30" i="4164"/>
  <c r="H18" i="4164"/>
  <c r="H17" i="4164"/>
  <c r="B17" i="4164"/>
  <c r="C18" i="4164" s="1"/>
  <c r="H29" i="4164"/>
  <c r="C16" i="4164"/>
  <c r="H28" i="4164"/>
  <c r="C15" i="4164"/>
  <c r="H27" i="4164"/>
  <c r="C14" i="4164"/>
  <c r="H23" i="4164"/>
  <c r="C13" i="4164"/>
  <c r="O12" i="4164"/>
  <c r="H22" i="4164"/>
  <c r="C12" i="4164"/>
  <c r="O11" i="4164"/>
  <c r="H5" i="4164"/>
  <c r="C11" i="4164"/>
  <c r="O10" i="4164"/>
  <c r="H16" i="4164"/>
  <c r="C10" i="4164"/>
  <c r="H11" i="4164"/>
  <c r="C9" i="4164"/>
  <c r="H9" i="4164"/>
  <c r="C8" i="4164"/>
  <c r="O7" i="4164"/>
  <c r="H6" i="4164"/>
  <c r="C7" i="4164"/>
  <c r="O6" i="4164"/>
  <c r="H2" i="4164"/>
  <c r="B6" i="4164"/>
  <c r="O5" i="4164"/>
  <c r="H7" i="4164"/>
  <c r="B5" i="4164"/>
  <c r="O4" i="4164"/>
  <c r="H3" i="4164"/>
  <c r="O3" i="4164"/>
  <c r="H10" i="4164"/>
  <c r="O2" i="4164"/>
  <c r="H4" i="4164"/>
  <c r="O25" i="4158"/>
  <c r="O22" i="4158"/>
  <c r="O25" i="4156"/>
  <c r="O22" i="4156"/>
  <c r="C17" i="4166" l="1"/>
  <c r="C18" i="4166"/>
  <c r="C19" i="4166"/>
  <c r="C19" i="4164"/>
  <c r="B21" i="4164"/>
  <c r="C17" i="4164"/>
  <c r="O15" i="4162" l="1"/>
  <c r="O17" i="4162"/>
  <c r="H51" i="4162"/>
  <c r="H50" i="4162"/>
  <c r="H49" i="4162"/>
  <c r="H48" i="4162"/>
  <c r="H47" i="4162"/>
  <c r="H46" i="4162"/>
  <c r="H45" i="4162"/>
  <c r="H44" i="4162"/>
  <c r="H43" i="4162"/>
  <c r="H42" i="4162"/>
  <c r="H41" i="4162"/>
  <c r="H40" i="4162"/>
  <c r="H39" i="4162"/>
  <c r="H38" i="4162"/>
  <c r="H37" i="4162"/>
  <c r="H36" i="4162"/>
  <c r="H35" i="4162"/>
  <c r="H34" i="4162"/>
  <c r="H33" i="4162"/>
  <c r="H32" i="4162"/>
  <c r="H31" i="4162"/>
  <c r="H30" i="4162"/>
  <c r="H7" i="4162"/>
  <c r="H29" i="4162"/>
  <c r="H28" i="4162"/>
  <c r="H12" i="4162"/>
  <c r="H27" i="4162"/>
  <c r="C25" i="4162"/>
  <c r="H26" i="4162"/>
  <c r="H11" i="4162"/>
  <c r="H25" i="4162"/>
  <c r="B22" i="4162"/>
  <c r="H24" i="4162"/>
  <c r="H23" i="4162"/>
  <c r="C20" i="4162"/>
  <c r="H22" i="4162"/>
  <c r="H21" i="4162"/>
  <c r="H20" i="4162"/>
  <c r="B17" i="4162"/>
  <c r="C18" i="4162" s="1"/>
  <c r="H19" i="4162"/>
  <c r="C16" i="4162"/>
  <c r="H18" i="4162"/>
  <c r="C15" i="4162"/>
  <c r="H17" i="4162"/>
  <c r="C14" i="4162"/>
  <c r="H16" i="4162"/>
  <c r="C13" i="4162"/>
  <c r="O12" i="4162"/>
  <c r="H15" i="4162"/>
  <c r="C12" i="4162"/>
  <c r="O11" i="4162"/>
  <c r="H3" i="4162"/>
  <c r="C11" i="4162"/>
  <c r="O10" i="4162"/>
  <c r="H10" i="4162"/>
  <c r="C10" i="4162"/>
  <c r="H14" i="4162"/>
  <c r="C9" i="4162"/>
  <c r="H9" i="4162"/>
  <c r="C8" i="4162"/>
  <c r="O7" i="4162"/>
  <c r="H8" i="4162"/>
  <c r="C7" i="4162"/>
  <c r="O6" i="4162"/>
  <c r="H6" i="4162"/>
  <c r="B6" i="4162"/>
  <c r="O5" i="4162"/>
  <c r="H5" i="4162"/>
  <c r="B5" i="4162"/>
  <c r="O4" i="4162"/>
  <c r="H2" i="4162"/>
  <c r="O3" i="4162"/>
  <c r="H13" i="4162"/>
  <c r="O2" i="4162"/>
  <c r="H4" i="4162"/>
  <c r="O17" i="4160"/>
  <c r="O16" i="4160"/>
  <c r="H51" i="4160"/>
  <c r="H50" i="4160"/>
  <c r="H49" i="4160"/>
  <c r="H48" i="4160"/>
  <c r="H47" i="4160"/>
  <c r="H46" i="4160"/>
  <c r="H45" i="4160"/>
  <c r="H44" i="4160"/>
  <c r="H43" i="4160"/>
  <c r="H42" i="4160"/>
  <c r="H41" i="4160"/>
  <c r="H40" i="4160"/>
  <c r="H39" i="4160"/>
  <c r="H38" i="4160"/>
  <c r="H37" i="4160"/>
  <c r="H36" i="4160"/>
  <c r="H35" i="4160"/>
  <c r="H34" i="4160"/>
  <c r="H33" i="4160"/>
  <c r="H32" i="4160"/>
  <c r="H31" i="4160"/>
  <c r="H30" i="4160"/>
  <c r="H29" i="4160"/>
  <c r="H28" i="4160"/>
  <c r="H27" i="4160"/>
  <c r="H26" i="4160"/>
  <c r="H25" i="4160"/>
  <c r="C25" i="4160"/>
  <c r="H24" i="4160"/>
  <c r="H23" i="4160"/>
  <c r="H22" i="4160"/>
  <c r="B22" i="4160"/>
  <c r="H21" i="4160"/>
  <c r="H20" i="4160"/>
  <c r="C20" i="4160"/>
  <c r="H19" i="4160"/>
  <c r="H18" i="4160"/>
  <c r="H17" i="4160"/>
  <c r="C17" i="4160"/>
  <c r="B17" i="4160"/>
  <c r="C18" i="4160" s="1"/>
  <c r="H16" i="4160"/>
  <c r="C16" i="4160"/>
  <c r="H15" i="4160"/>
  <c r="C15" i="4160"/>
  <c r="H14" i="4160"/>
  <c r="C14" i="4160"/>
  <c r="H13" i="4160"/>
  <c r="C13" i="4160"/>
  <c r="O12" i="4160"/>
  <c r="H12" i="4160"/>
  <c r="C12" i="4160"/>
  <c r="O11" i="4160"/>
  <c r="H11" i="4160"/>
  <c r="C11" i="4160"/>
  <c r="O10" i="4160"/>
  <c r="H10" i="4160"/>
  <c r="C10" i="4160"/>
  <c r="H9" i="4160"/>
  <c r="C9" i="4160"/>
  <c r="H8" i="4160"/>
  <c r="C8" i="4160"/>
  <c r="O7" i="4160"/>
  <c r="H7" i="4160"/>
  <c r="C7" i="4160"/>
  <c r="O6" i="4160"/>
  <c r="H6" i="4160"/>
  <c r="B6" i="4160"/>
  <c r="O5" i="4160"/>
  <c r="H5" i="4160"/>
  <c r="B5" i="4160"/>
  <c r="O4" i="4160"/>
  <c r="H4" i="4160"/>
  <c r="O3" i="4160"/>
  <c r="H3" i="4160"/>
  <c r="O2" i="4160"/>
  <c r="H2" i="4160"/>
  <c r="O26" i="4156"/>
  <c r="O23" i="4158"/>
  <c r="O16" i="4158"/>
  <c r="H51" i="4158"/>
  <c r="H50" i="4158"/>
  <c r="H49" i="4158"/>
  <c r="H48" i="4158"/>
  <c r="H47" i="4158"/>
  <c r="H29" i="4158"/>
  <c r="H46" i="4158"/>
  <c r="H45" i="4158"/>
  <c r="H44" i="4158"/>
  <c r="H43" i="4158"/>
  <c r="H42" i="4158"/>
  <c r="H41" i="4158"/>
  <c r="H40" i="4158"/>
  <c r="H39" i="4158"/>
  <c r="H38" i="4158"/>
  <c r="H37" i="4158"/>
  <c r="H28" i="4158"/>
  <c r="H36" i="4158"/>
  <c r="H27" i="4158"/>
  <c r="H22" i="4158"/>
  <c r="H16" i="4158"/>
  <c r="H26" i="4158"/>
  <c r="H8" i="4158"/>
  <c r="H35" i="4158"/>
  <c r="H24" i="4158"/>
  <c r="H13" i="4158"/>
  <c r="H25" i="4158"/>
  <c r="C25" i="4158"/>
  <c r="H34" i="4158"/>
  <c r="H14" i="4158"/>
  <c r="H33" i="4158"/>
  <c r="B22" i="4158"/>
  <c r="H15" i="4158"/>
  <c r="H32" i="4158"/>
  <c r="C20" i="4158"/>
  <c r="H31" i="4158"/>
  <c r="H18" i="4158"/>
  <c r="H17" i="4158"/>
  <c r="B17" i="4158"/>
  <c r="B21" i="4158" s="1"/>
  <c r="H20" i="4158"/>
  <c r="C16" i="4158"/>
  <c r="H30" i="4158"/>
  <c r="C15" i="4158"/>
  <c r="H19" i="4158"/>
  <c r="C14" i="4158"/>
  <c r="H23" i="4158"/>
  <c r="C13" i="4158"/>
  <c r="O12" i="4158"/>
  <c r="H21" i="4158"/>
  <c r="C12" i="4158"/>
  <c r="O11" i="4158"/>
  <c r="H5" i="4158"/>
  <c r="C11" i="4158"/>
  <c r="O10" i="4158"/>
  <c r="H12" i="4158"/>
  <c r="C10" i="4158"/>
  <c r="H11" i="4158"/>
  <c r="C9" i="4158"/>
  <c r="H9" i="4158"/>
  <c r="C8" i="4158"/>
  <c r="O7" i="4158"/>
  <c r="H7" i="4158"/>
  <c r="C7" i="4158"/>
  <c r="O6" i="4158"/>
  <c r="H2" i="4158"/>
  <c r="B6" i="4158"/>
  <c r="O5" i="4158"/>
  <c r="H6" i="4158"/>
  <c r="B5" i="4158"/>
  <c r="O4" i="4158"/>
  <c r="H3" i="4158"/>
  <c r="O3" i="4158"/>
  <c r="H10" i="4158"/>
  <c r="O2" i="4158"/>
  <c r="H4" i="4158"/>
  <c r="O21" i="4156"/>
  <c r="O15" i="4156"/>
  <c r="H51" i="4156"/>
  <c r="H50" i="4156"/>
  <c r="H49" i="4156"/>
  <c r="H48" i="4156"/>
  <c r="H47" i="4156"/>
  <c r="H32" i="4156"/>
  <c r="H46" i="4156"/>
  <c r="H45" i="4156"/>
  <c r="H44" i="4156"/>
  <c r="H43" i="4156"/>
  <c r="H42" i="4156"/>
  <c r="H41" i="4156"/>
  <c r="H40" i="4156"/>
  <c r="H39" i="4156"/>
  <c r="H38" i="4156"/>
  <c r="H37" i="4156"/>
  <c r="H31" i="4156"/>
  <c r="H36" i="4156"/>
  <c r="H23" i="4156"/>
  <c r="H22" i="4156"/>
  <c r="H17" i="4156"/>
  <c r="H28" i="4156"/>
  <c r="H8" i="4156"/>
  <c r="H30" i="4156"/>
  <c r="H27" i="4156"/>
  <c r="H12" i="4156"/>
  <c r="H25" i="4156"/>
  <c r="C25" i="4156"/>
  <c r="H26" i="4156"/>
  <c r="H14" i="4156"/>
  <c r="H35" i="4156"/>
  <c r="B22" i="4156"/>
  <c r="H16" i="4156"/>
  <c r="H29" i="4156"/>
  <c r="C20" i="4156"/>
  <c r="H34" i="4156"/>
  <c r="H18" i="4156"/>
  <c r="H15" i="4156"/>
  <c r="B17" i="4156"/>
  <c r="C18" i="4156" s="1"/>
  <c r="H21" i="4156"/>
  <c r="C16" i="4156"/>
  <c r="H33" i="4156"/>
  <c r="C15" i="4156"/>
  <c r="H20" i="4156"/>
  <c r="C14" i="4156"/>
  <c r="H24" i="4156"/>
  <c r="C13" i="4156"/>
  <c r="O12" i="4156"/>
  <c r="H19" i="4156"/>
  <c r="C12" i="4156"/>
  <c r="O11" i="4156"/>
  <c r="H4" i="4156"/>
  <c r="C11" i="4156"/>
  <c r="O10" i="4156"/>
  <c r="H13" i="4156"/>
  <c r="C10" i="4156"/>
  <c r="H11" i="4156"/>
  <c r="C9" i="4156"/>
  <c r="H9" i="4156"/>
  <c r="C8" i="4156"/>
  <c r="O7" i="4156"/>
  <c r="H6" i="4156"/>
  <c r="C7" i="4156"/>
  <c r="O6" i="4156"/>
  <c r="H2" i="4156"/>
  <c r="B6" i="4156"/>
  <c r="O5" i="4156"/>
  <c r="H7" i="4156"/>
  <c r="B5" i="4156"/>
  <c r="O4" i="4156"/>
  <c r="H3" i="4156"/>
  <c r="O3" i="4156"/>
  <c r="H10" i="4156"/>
  <c r="O2" i="4156"/>
  <c r="H5" i="4156"/>
  <c r="C19" i="4162" l="1"/>
  <c r="B21" i="4162"/>
  <c r="C17" i="4162"/>
  <c r="C19" i="4160"/>
  <c r="B21" i="4160"/>
  <c r="C17" i="4158"/>
  <c r="C18" i="4158"/>
  <c r="C19" i="4158"/>
  <c r="B21" i="4156"/>
  <c r="C19" i="4156"/>
  <c r="C17" i="4156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<sst xmlns="http://schemas.openxmlformats.org/spreadsheetml/2006/main" count="3593" uniqueCount="260">
  <si>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</si>
  <si>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</si>
  <si>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</si>
  <si>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</si>
  <si>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</si>
  <si>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</si>
  <si>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</si>
  <si>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</si>
  <si>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</si>
  <si>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</si>
  <si>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</si>
  <si>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</si>
  <si>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</si>
  <si>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</si>
  <si>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</si>
  <si>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</si>
  <si>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</si>
  <si>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</si>
  <si>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</si>
  <si>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</si>
  <si>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</si>
  <si>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</si>
  <si>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</si>
  <si>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</si>
  <si>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</si>
  <si>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</si>
  <si>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</si>
  <si>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</si>
  <si>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</si>
  <si>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</si>
  <si>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</si>
  <si>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</si>
  <si>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</si>
  <si>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</si>
  <si>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</si>
  <si>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</si>
  <si>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</si>
  <si>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</si>
  <si>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</si>
  <si>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</si>
  <si>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</si>
  <si>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</si>
  <si>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</si>
  <si>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</si>
  <si>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</si>
  <si>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</si>
  <si>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</si>
  <si>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</si>
  <si>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</si>
  <si>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</si>
  <si>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</si>
  <si>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</si>
  <si>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</si>
  <si>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</si>
  <si>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</si>
  <si>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</si>
  <si>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</si>
  <si>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</si>
  <si>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</si>
  <si>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</si>
  <si>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</si>
  <si>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</si>
  <si>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</si>
  <si>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</si>
  <si>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</si>
  <si>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</si>
  <si>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</si>
  <si>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</si>
  <si>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</si>
  <si>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</si>
  <si>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</si>
  <si>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</si>
  <si>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</si>
  <si>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</si>
  <si>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</si>
  <si>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</si>
  <si>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</si>
  <si>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</si>
  <si>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</si>
  <si>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</si>
  <si>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</si>
  <si>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</si>
  <si>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</si>
  <si>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</si>
  <si>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</si>
  <si>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</si>
  <si>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</si>
  <si>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</si>
  <si>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</si>
  <si>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</si>
  <si>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</si>
  <si>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</si>
  <si>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</si>
  <si>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</si>
  <si>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</si>
  <si>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</si>
  <si>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</si>
  <si>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</si>
  <si>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</si>
  <si>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</si>
  <si>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</si>
  <si>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</si>
  <si>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</si>
  <si>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</si>
  <si>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</si>
  <si>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</si>
  <si>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</si>
  <si>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</si>
  <si>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</si>
  <si>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</si>
  <si>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</si>
  <si>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</si>
  <si>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</si>
  <si>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</si>
  <si>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</si>
  <si>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</si>
  <si>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</si>
  <si>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</si>
  <si>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</si>
  <si>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</si>
  <si>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</si>
  <si>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</si>
  <si>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</si>
  <si>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</si>
  <si>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</si>
  <si>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</si>
  <si>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</si>
  <si>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</si>
  <si>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</si>
  <si>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</si>
  <si>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</si>
  <si>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</si>
  <si>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</si>
  <si>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</si>
  <si>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</si>
  <si>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</si>
  <si>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</si>
  <si>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</si>
  <si>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</si>
  <si>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</si>
  <si>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</si>
  <si>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</si>
  <si>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</si>
  <si>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</si>
  <si>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</si>
  <si>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</si>
  <si>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</si>
  <si>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</si>
  <si>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</si>
  <si>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</si>
  <si>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</si>
  <si>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</si>
  <si>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</si>
  <si>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</si>
  <si>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</si>
  <si>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</si>
  <si>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</si>
  <si>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</si>
  <si>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</si>
  <si>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</si>
  <si>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</si>
  <si>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</si>
  <si>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</si>
  <si>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</si>
  <si>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</si>
  <si>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</si>
  <si>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</si>
  <si>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</si>
  <si>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</si>
  <si>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</si>
  <si>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</si>
  <si>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</si>
  <si>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</si>
  <si>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</si>
  <si>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</si>
  <si>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</si>
  <si>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</si>
  <si>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</si>
  <si>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</si>
  <si>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</si>
  <si>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</si>
  <si>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</si>
  <si>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</si>
  <si>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</si>
  <si>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</si>
  <si>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</si>
  <si>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</si>
  <si>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</si>
  <si>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</si>
  <si>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</si>
  <si>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</si>
  <si>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</si>
  <si>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</si>
  <si>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</si>
  <si>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</si>
  <si>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</si>
  <si>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</si>
  <si>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</si>
  <si>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</si>
  <si>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</si>
  <si>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</si>
  <si>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</si>
  <si>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</si>
  <si>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</si>
  <si>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</si>
  <si>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</si>
  <si>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</si>
  <si>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</si>
  <si>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</si>
  <si>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</si>
  <si>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</si>
  <si>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</si>
  <si>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</si>
  <si>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</si>
  <si>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</si>
  <si>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</si>
  <si>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</si>
  <si>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</si>
  <si>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</si>
  <si>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</si>
  <si>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</si>
  <si>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</si>
  <si>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</si>
  <si>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</si>
  <si>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</si>
  <si>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</si>
  <si>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</si>
  <si>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</si>
  <si>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</si>
  <si>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</si>
  <si>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</si>
  <si>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</si>
  <si>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</si>
  <si>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</si>
  <si>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</si>
  <si>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</si>
  <si>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</si>
  <si>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</si>
  <si>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</si>
  <si>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</si>
  <si>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</si>
  <si>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</si>
  <si>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</si>
  <si>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</si>
  <si>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</si>
  <si>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</si>
  <si>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</si>
  <si>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</si>
  <si>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</si>
  <si>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</si>
  <si>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</si>
  <si>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</si>
  <si>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</si>
  <si>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</si>
  <si>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</si>
  <si>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</si>
  <si>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</si>
  <si>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2019-02-17.xlsm</t>
  </si>
  <si>
    <t>2019-02-18.xlsm</t>
  </si>
  <si>
    <t>2019-02-19.xlsm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</si>
</sst>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79" fontId="0" fillId="0" borderId="46" xfId="0" applyNumberFormat="1" applyBorder="1" applyAlignment="1">
      <alignment horizontal="center" vertical="center" shrinkToFit="1"/>
    </xf>
    <xf numFmtId="179" fontId="0" fillId="0" borderId="47" xfId="0" applyNumberFormat="1" applyBorder="1" applyAlignment="1">
      <alignment horizontal="center" vertical="center" shrinkToFit="1"/>
    </xf>
    <xf numFmtId="179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全体!$K$2:$K$827</c:f>
              <c:numCache>
                <c:formatCode>General</c:formatCode>
                <c:ptCount val="8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</c:numCache>
            </c:numRef>
          </c:xVal>
          <c:yVal>
            <c:numRef>
              <c:f>全体!$L$2:$L$827</c:f>
              <c:numCache>
                <c:formatCode>\+0.0;\-0.0;\±0</c:formatCode>
                <c:ptCount val="826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E7-4DC8-B624-B9541ACCA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-15.990159901599016</c:v>
                </c:pt>
                <c:pt idx="1">
                  <c:v>-3.8314176245210727</c:v>
                </c:pt>
                <c:pt idx="2">
                  <c:v>6.8306010928961749</c:v>
                </c:pt>
                <c:pt idx="3">
                  <c:v>3.0441400304414001</c:v>
                </c:pt>
                <c:pt idx="4">
                  <c:v>10.416666666666666</c:v>
                </c:pt>
                <c:pt idx="5">
                  <c:v>-4.3572984749455337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81-4D40-A181-5B59B3084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だいち!$K$2:$K$237</c:f>
              <c:numCache>
                <c:formatCode>General</c:formatCode>
                <c:ptCount val="2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</c:numCache>
            </c:numRef>
          </c:xVal>
          <c:yVal>
            <c:numRef>
              <c:f>だいち!$L$2:$L$237</c:f>
              <c:numCache>
                <c:formatCode>\+0.0;\-0.0;\±0</c:formatCode>
                <c:ptCount val="236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DF-4ECA-BE8B-430D052AD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1416.4502164502164</c:v>
                </c:pt>
                <c:pt idx="1">
                  <c:v>390.13452914798205</c:v>
                </c:pt>
                <c:pt idx="2">
                  <c:v>1814.4230769230769</c:v>
                </c:pt>
                <c:pt idx="3">
                  <c:v>1363.6363636363637</c:v>
                </c:pt>
                <c:pt idx="4">
                  <c:v>1636.5853658536585</c:v>
                </c:pt>
                <c:pt idx="5">
                  <c:v>1722.9007633587787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3-4848-97FD-712472D22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FA-443B-AFE2-8C8B75DF1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42-443C-81F2-09E2DE6B1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42-4615-91B1-63A3A8060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B-455A-A638-2975813F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りくと!$L$2:$L$134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9E-4DF1-8188-64BF2C952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-596.15384615384619</c:v>
                </c:pt>
                <c:pt idx="1">
                  <c:v>-1070.6349206349207</c:v>
                </c:pt>
                <c:pt idx="2">
                  <c:v>1286.8852459016393</c:v>
                </c:pt>
                <c:pt idx="3">
                  <c:v>-1069.7247706422017</c:v>
                </c:pt>
                <c:pt idx="4">
                  <c:v>-1992.4731182795699</c:v>
                </c:pt>
                <c:pt idx="5">
                  <c:v>-1786.3013698630136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5-465C-AC9C-6E39E2B32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いっしー!$L$2:$L$63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5-473F-B177-6116F11D2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-408.19672131147541</c:v>
                </c:pt>
                <c:pt idx="1">
                  <c:v>2170.6896551724139</c:v>
                </c:pt>
                <c:pt idx="2">
                  <c:v>-1817.8571428571429</c:v>
                </c:pt>
                <c:pt idx="3">
                  <c:v>-312.7659574468085</c:v>
                </c:pt>
                <c:pt idx="4">
                  <c:v>7068.292682926829</c:v>
                </c:pt>
                <c:pt idx="5">
                  <c:v>-541.37931034482756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55-4A4E-9CE1-53735C0BB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60-494E-BBEC-DF46FD772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B3-4DD9-9FE8-898A8EAD3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たかの!$L$2:$L$73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58-452F-8EDC-5EFB004EA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-1422.5352112676057</c:v>
                </c:pt>
                <c:pt idx="1">
                  <c:v>-3371.6417910447763</c:v>
                </c:pt>
                <c:pt idx="2">
                  <c:v>-1023.728813559322</c:v>
                </c:pt>
                <c:pt idx="3">
                  <c:v>1263.1578947368421</c:v>
                </c:pt>
                <c:pt idx="4">
                  <c:v>-2336.1702127659573</c:v>
                </c:pt>
                <c:pt idx="5">
                  <c:v>-583.78378378378375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B6-43DD-BBE8-F049562BB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ただ!$K$2:$K$114</c:f>
              <c:numCache>
                <c:formatCode>General</c:formatCode>
                <c:ptCount val="1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</c:numCache>
            </c:numRef>
          </c:xVal>
          <c:yVal>
            <c:numRef>
              <c:f>ただ!$L$2:$L$114</c:f>
              <c:numCache>
                <c:formatCode>\+0.0;\-0.0;\±0</c:formatCode>
                <c:ptCount val="113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78-4510-8E4B-169E60347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1675.4545454545455</c:v>
                </c:pt>
                <c:pt idx="1">
                  <c:v>577.88461538461536</c:v>
                </c:pt>
                <c:pt idx="2">
                  <c:v>-29.166666666666668</c:v>
                </c:pt>
                <c:pt idx="3">
                  <c:v>-1273.3333333333333</c:v>
                </c:pt>
                <c:pt idx="4">
                  <c:v>997.43589743589746</c:v>
                </c:pt>
                <c:pt idx="5">
                  <c:v>-303.030303030303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3F-4481-846B-9B218FAD8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やがさき!$L$2:$L$34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BA-4855-980B-AFA79926D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543.75</c:v>
                </c:pt>
                <c:pt idx="1">
                  <c:v>2250</c:v>
                </c:pt>
                <c:pt idx="2">
                  <c:v>-900</c:v>
                </c:pt>
                <c:pt idx="3">
                  <c:v>608</c:v>
                </c:pt>
                <c:pt idx="4">
                  <c:v>-1685.7142857142858</c:v>
                </c:pt>
                <c:pt idx="5">
                  <c:v>-1788.8888888888889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C3-46B4-B4F8-1B6B1E7FB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れんたろう!$L$2:$L$123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C-4684-BCC6-93B41110A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-1787.1794871794871</c:v>
                </c:pt>
                <c:pt idx="1">
                  <c:v>759.13043478260875</c:v>
                </c:pt>
                <c:pt idx="2">
                  <c:v>-199.08256880733944</c:v>
                </c:pt>
                <c:pt idx="3">
                  <c:v>-578.78787878787875</c:v>
                </c:pt>
                <c:pt idx="4">
                  <c:v>-2642.391304347826</c:v>
                </c:pt>
                <c:pt idx="5">
                  <c:v>628.37837837837833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B5-4160-912E-91E3D3AC9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ED-4772-ABC1-4DAEE29A6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09-4F95-BDF8-F4FF246BB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25-48EA-AFB1-8DF9E1904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-2948.3870967741937</c:v>
                </c:pt>
                <c:pt idx="1">
                  <c:v>1164.516129032258</c:v>
                </c:pt>
                <c:pt idx="2">
                  <c:v>-4366.666666666667</c:v>
                </c:pt>
                <c:pt idx="3">
                  <c:v>-2141.6666666666665</c:v>
                </c:pt>
                <c:pt idx="4">
                  <c:v>-3491.304347826087</c:v>
                </c:pt>
                <c:pt idx="5">
                  <c:v>-1764.7058823529412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40-4A95-8760-132EB6D41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05-483F-904C-3298330A1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-381.81818181818181</c:v>
                </c:pt>
                <c:pt idx="1">
                  <c:v>-3318.181818181818</c:v>
                </c:pt>
                <c:pt idx="2">
                  <c:v>-8363.636363636364</c:v>
                </c:pt>
                <c:pt idx="3">
                  <c:v>662.5</c:v>
                </c:pt>
                <c:pt idx="4">
                  <c:v>-1985.7142857142858</c:v>
                </c:pt>
                <c:pt idx="5">
                  <c:v>-460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77-4DF4-BF08-AB996E764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ぱぱ2!$B$3:$B$14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ぱぱ2!$C$3:$C$14</c:f>
              <c:numCache>
                <c:formatCode>\+0.0;\-0.0;\±0</c:formatCode>
                <c:ptCount val="12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ぱぱ2!$D$3:$D$14</c:f>
              <c:numCache>
                <c:formatCode>0.00\ "位"</c:formatCode>
                <c:ptCount val="12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ぱぱ2!$E$3:$E$14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ぱぱ2!$F$3:$F$14</c:f>
              <c:numCache>
                <c:formatCode>0.0%</c:formatCode>
                <c:ptCount val="12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ぱぱ2!$G$3:$G$14</c:f>
              <c:numCache>
                <c:formatCode>0.0%</c:formatCode>
                <c:ptCount val="12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ぱぱ2!$H$3:$H$14</c:f>
              <c:numCache>
                <c:formatCode>0</c:formatCode>
                <c:ptCount val="12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ぱぱ2!$I$3:$I$14</c:f>
              <c:numCache>
                <c:formatCode>0</c:formatCode>
                <c:ptCount val="12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ぱぱ2!$J$3:$J$14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ぱぱ2!$K$3:$K$14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ぱぱ2!$M$3:$M$14</c:f>
              <c:numCache>
                <c:formatCode>0.0%</c:formatCode>
                <c:ptCount val="12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ぱぱ2!$N$3:$N$14</c:f>
              <c:numCache>
                <c:formatCode>0.0%</c:formatCode>
                <c:ptCount val="12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ぱぱ2!$O$3:$O$14</c:f>
              <c:numCache>
                <c:formatCode>0.0%</c:formatCode>
                <c:ptCount val="1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ぱぱ2!$P$3:$P$14</c:f>
              <c:numCache>
                <c:formatCode>0.0%</c:formatCode>
                <c:ptCount val="12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ぱぱ2!$Q$3:$Q$14</c:f>
              <c:numCache>
                <c:formatCode>0.0%</c:formatCode>
                <c:ptCount val="12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ぱぱ2!$L$3:$L$14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42"/>
      <c r="C1" s="143"/>
      <c r="E1" s="135" t="s">
        <v>256</v>
      </c>
      <c r="F1" s="12" t="s">
        <v>120</v>
      </c>
      <c r="G1" s="27" t="s">
        <v>121</v>
      </c>
      <c r="H1" s="136" t="s">
        <v>122</v>
      </c>
      <c r="I1" s="106" t="s">
        <v>227</v>
      </c>
      <c r="K1" s="2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235</v>
      </c>
    </row>
    <row r="2" spans="1:17" x14ac:dyDescent="0.4">
      <c r="A2" s="22" t="s">
        <v>9</v>
      </c>
      <c r="B2" s="144">
        <v>0</v>
      </c>
      <c r="C2" s="145"/>
      <c r="E2" s="64" t="s">
        <v>67</v>
      </c>
      <c r="F2" s="28" t="s">
        <v>21</v>
      </c>
      <c r="G2" s="14">
        <v>0</v>
      </c>
      <c r="H2" s="137">
        <f t="shared" ref="H2:H33" si="0">IF(B$27=0,0,G2/B$27)</f>
        <v>0</v>
      </c>
      <c r="I2" s="99"/>
      <c r="K2" s="3">
        <v>0</v>
      </c>
      <c r="L2" s="104">
        <v>0</v>
      </c>
      <c r="N2" s="120" t="s">
        <v>147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46">
        <v>0</v>
      </c>
      <c r="C3" s="147"/>
      <c r="E3" s="65" t="s">
        <v>68</v>
      </c>
      <c r="F3" s="29" t="s">
        <v>22</v>
      </c>
      <c r="G3" s="15">
        <v>0</v>
      </c>
      <c r="H3" s="138">
        <f t="shared" si="0"/>
        <v>0</v>
      </c>
      <c r="I3" s="100"/>
      <c r="N3" s="121" t="s">
        <v>148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48">
        <v>0</v>
      </c>
      <c r="C4" s="149"/>
      <c r="E4" s="65" t="s">
        <v>69</v>
      </c>
      <c r="F4" s="29" t="s">
        <v>23</v>
      </c>
      <c r="G4" s="15">
        <v>0</v>
      </c>
      <c r="H4" s="138">
        <f t="shared" si="0"/>
        <v>0</v>
      </c>
      <c r="I4" s="100"/>
      <c r="N4" s="121" t="s">
        <v>149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0">
        <f>IF(B$2=0,0,B$4/B$2)</f>
        <v>0</v>
      </c>
      <c r="C5" s="151"/>
      <c r="E5" s="65" t="s">
        <v>70</v>
      </c>
      <c r="F5" s="29" t="s">
        <v>24</v>
      </c>
      <c r="G5" s="15">
        <v>0</v>
      </c>
      <c r="H5" s="138">
        <f t="shared" si="0"/>
        <v>0</v>
      </c>
      <c r="I5" s="100"/>
      <c r="N5" s="121" t="s">
        <v>150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56">
        <f>IF(B$2=0,0,(B$7*1+B$8*2+B$9*3)/B$2)</f>
        <v>0</v>
      </c>
      <c r="C6" s="157"/>
      <c r="E6" s="65" t="s">
        <v>71</v>
      </c>
      <c r="F6" s="29" t="s">
        <v>25</v>
      </c>
      <c r="G6" s="15">
        <v>0</v>
      </c>
      <c r="H6" s="138">
        <f t="shared" si="0"/>
        <v>0</v>
      </c>
      <c r="I6" s="100"/>
      <c r="N6" s="121" t="s">
        <v>151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8">
        <f t="shared" si="0"/>
        <v>0</v>
      </c>
      <c r="I7" s="100"/>
      <c r="N7" s="122" t="s">
        <v>152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8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8">
        <f t="shared" si="0"/>
        <v>0</v>
      </c>
      <c r="I9" s="100"/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8">
        <f t="shared" si="0"/>
        <v>0</v>
      </c>
      <c r="I10" s="100"/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8">
        <f t="shared" si="0"/>
        <v>0</v>
      </c>
      <c r="I11" s="100"/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8">
        <f t="shared" si="0"/>
        <v>0</v>
      </c>
      <c r="I12" s="100"/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8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8">
        <f t="shared" si="0"/>
        <v>0</v>
      </c>
      <c r="I14" s="100"/>
      <c r="N14" s="119" t="s">
        <v>231</v>
      </c>
      <c r="O14" s="36" t="s">
        <v>232</v>
      </c>
      <c r="P14" s="123" t="s">
        <v>233</v>
      </c>
      <c r="Q14" s="111" t="s">
        <v>234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8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8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8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8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8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8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8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8">
        <f t="shared" si="0"/>
        <v>0</v>
      </c>
      <c r="I22" s="100"/>
    </row>
    <row r="23" spans="1:9" x14ac:dyDescent="0.4">
      <c r="A23" s="96" t="s">
        <v>158</v>
      </c>
      <c r="B23" s="154">
        <v>0</v>
      </c>
      <c r="C23" s="155"/>
      <c r="E23" s="65" t="s">
        <v>88</v>
      </c>
      <c r="F23" s="29" t="s">
        <v>41</v>
      </c>
      <c r="G23" s="15">
        <v>0</v>
      </c>
      <c r="H23" s="138">
        <f t="shared" si="0"/>
        <v>0</v>
      </c>
      <c r="I23" s="100"/>
    </row>
    <row r="24" spans="1:9" x14ac:dyDescent="0.4">
      <c r="A24" s="60" t="s">
        <v>199</v>
      </c>
      <c r="B24" s="152">
        <v>0</v>
      </c>
      <c r="C24" s="153"/>
      <c r="E24" s="65" t="s">
        <v>89</v>
      </c>
      <c r="F24" s="29" t="s">
        <v>42</v>
      </c>
      <c r="G24" s="15">
        <v>0</v>
      </c>
      <c r="H24" s="138">
        <f t="shared" si="0"/>
        <v>0</v>
      </c>
      <c r="I24" s="100"/>
    </row>
    <row r="25" spans="1:9" x14ac:dyDescent="0.4">
      <c r="A25" s="25" t="s">
        <v>159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8">
        <f t="shared" si="0"/>
        <v>0</v>
      </c>
      <c r="I25" s="100"/>
    </row>
    <row r="26" spans="1:9" x14ac:dyDescent="0.4">
      <c r="A26" s="22" t="s">
        <v>126</v>
      </c>
      <c r="B26" s="144">
        <v>0</v>
      </c>
      <c r="C26" s="145"/>
      <c r="E26" s="65" t="s">
        <v>91</v>
      </c>
      <c r="F26" s="29" t="s">
        <v>44</v>
      </c>
      <c r="G26" s="15">
        <v>0</v>
      </c>
      <c r="H26" s="138">
        <f t="shared" si="0"/>
        <v>0</v>
      </c>
      <c r="I26" s="100"/>
    </row>
    <row r="27" spans="1:9" x14ac:dyDescent="0.4">
      <c r="A27" s="25" t="s">
        <v>127</v>
      </c>
      <c r="B27" s="158">
        <v>0</v>
      </c>
      <c r="C27" s="159"/>
      <c r="E27" s="65" t="s">
        <v>92</v>
      </c>
      <c r="F27" s="29" t="s">
        <v>45</v>
      </c>
      <c r="G27" s="15">
        <v>0</v>
      </c>
      <c r="H27" s="138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8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8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8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8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8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8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8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8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8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8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8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8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8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8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8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8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8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8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8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8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8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8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8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39">
        <f t="shared" si="3"/>
        <v>0</v>
      </c>
      <c r="I51" s="101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3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43512.853634259256</v>
      </c>
      <c r="C2" s="32" t="s">
        <v>140</v>
      </c>
    </row>
    <row r="3" spans="1:14" x14ac:dyDescent="0.4">
      <c r="A3" s="32" t="s">
        <v>168</v>
      </c>
      <c r="B3" s="33">
        <v>43502.904247685183</v>
      </c>
      <c r="C3" s="32" t="s">
        <v>140</v>
      </c>
    </row>
    <row r="4" spans="1:14" x14ac:dyDescent="0.4">
      <c r="A4" s="32" t="s">
        <v>169</v>
      </c>
      <c r="B4" s="33">
        <v>43502.904247685183</v>
      </c>
      <c r="C4" s="32" t="s">
        <v>140</v>
      </c>
    </row>
    <row r="5" spans="1:14" x14ac:dyDescent="0.4">
      <c r="A5" s="32" t="s">
        <v>170</v>
      </c>
      <c r="B5" s="33">
        <v>43502.904247685183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43502.904247685183</v>
      </c>
      <c r="C6" s="32" t="s">
        <v>140</v>
      </c>
    </row>
    <row r="7" spans="1:14" x14ac:dyDescent="0.4">
      <c r="A7" s="32" t="s">
        <v>173</v>
      </c>
      <c r="B7" s="33">
        <v>43502.904247685183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43502.904247685183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43502.904247685183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43512.854710648149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43502.904247685183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43502.905972222223</v>
      </c>
      <c r="C12" s="32" t="s">
        <v>140</v>
      </c>
    </row>
    <row r="13" spans="1:14" x14ac:dyDescent="0.4">
      <c r="A13" s="32" t="s">
        <v>179</v>
      </c>
      <c r="B13" s="33">
        <v>43502.904247685183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43502.904247685183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43502.904247685183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43502.904247685183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43502.904247685183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43502.904247685183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43502.904247685183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43502.904247685183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43502.904247685183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43502.904247685183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201</v>
      </c>
      <c r="B23" s="33">
        <v>43502.904247685183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202</v>
      </c>
      <c r="B24" s="33">
        <v>43502.904247685183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203</v>
      </c>
      <c r="B25" s="33">
        <v>43502.904247685183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204</v>
      </c>
      <c r="B26" s="33">
        <v>43502.904247685183</v>
      </c>
      <c r="C26" s="32" t="s">
        <v>140</v>
      </c>
      <c r="D26" s="32" t="s">
        <v>141</v>
      </c>
    </row>
    <row r="27" spans="1:9" x14ac:dyDescent="0.4">
      <c r="A27" s="32" t="s">
        <v>205</v>
      </c>
      <c r="B27" s="33">
        <v>43502.904247685183</v>
      </c>
      <c r="C27" s="32" t="s">
        <v>140</v>
      </c>
      <c r="D27" s="32" t="s">
        <v>141</v>
      </c>
    </row>
    <row r="28" spans="1:9" x14ac:dyDescent="0.4">
      <c r="A28" s="32" t="s">
        <v>206</v>
      </c>
      <c r="B28" s="33">
        <v>43454.62740740741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207</v>
      </c>
      <c r="B29" s="33">
        <v>43455.084918981483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208</v>
      </c>
      <c r="B30" s="33">
        <v>43456.147789351853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209</v>
      </c>
      <c r="B31" s="33">
        <v>43471.8909375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210</v>
      </c>
      <c r="B32" s="33">
        <v>43475.056238425925</v>
      </c>
      <c r="C32" s="32" t="s">
        <v>140</v>
      </c>
    </row>
    <row r="33" spans="1:10" x14ac:dyDescent="0.4">
      <c r="A33" s="32" t="s">
        <v>211</v>
      </c>
      <c r="B33" s="33">
        <v>43478.456446759257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212</v>
      </c>
      <c r="B34" s="33">
        <v>43479.152256944442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213</v>
      </c>
      <c r="B35" s="33">
        <v>43480.04891203704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214</v>
      </c>
      <c r="B36" s="33">
        <v>43481.046527777777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215</v>
      </c>
      <c r="B37" s="33">
        <v>43482.020208333335</v>
      </c>
      <c r="C37" s="32" t="s">
        <v>140</v>
      </c>
      <c r="D37" s="32" t="s">
        <v>141</v>
      </c>
    </row>
    <row r="38" spans="1:10" x14ac:dyDescent="0.4">
      <c r="A38" s="32" t="s">
        <v>216</v>
      </c>
      <c r="B38" s="33">
        <v>43483.045300925929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217</v>
      </c>
      <c r="B39" s="33">
        <v>43484.815625000003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218</v>
      </c>
      <c r="B40" s="33">
        <v>43485.111226851855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219</v>
      </c>
      <c r="B41" s="33">
        <v>43486.066643518519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220</v>
      </c>
      <c r="B42" s="33">
        <v>43487.036203703705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221</v>
      </c>
      <c r="B43" s="33">
        <v>43488.059837962966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222</v>
      </c>
      <c r="B44" s="33">
        <v>43489.041319444441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223</v>
      </c>
      <c r="B45" s="33">
        <v>43491.152187500003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224</v>
      </c>
      <c r="B46" s="33">
        <v>43492.105717592596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225</v>
      </c>
      <c r="B47" s="33">
        <v>43492.910208333335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226</v>
      </c>
      <c r="B48" s="33">
        <v>43493.678726851853</v>
      </c>
      <c r="C48" s="32" t="s">
        <v>140</v>
      </c>
      <c r="D48" s="32" t="s">
        <v>141</v>
      </c>
    </row>
    <row r="49" spans="1:14" x14ac:dyDescent="0.4">
      <c r="A49" s="32" t="s">
        <v>228</v>
      </c>
      <c r="B49" s="33">
        <v>43496.042604166665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229</v>
      </c>
      <c r="B50" s="33">
        <v>43496.854571759257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230</v>
      </c>
      <c r="B51" s="33">
        <v>43498.203101851854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236</v>
      </c>
      <c r="B52" s="33">
        <v>43499.151064814818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237</v>
      </c>
      <c r="B53" s="33">
        <v>43500.01253472222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238</v>
      </c>
      <c r="B54" s="33">
        <v>43503.072442129633</v>
      </c>
      <c r="C54" s="32" t="s">
        <v>140</v>
      </c>
      <c r="D54" s="32" t="s">
        <v>141</v>
      </c>
    </row>
    <row r="55" spans="1:14" x14ac:dyDescent="0.4">
      <c r="A55" s="32" t="s">
        <v>242</v>
      </c>
      <c r="B55" s="33">
        <v>43505.113252314812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243</v>
      </c>
      <c r="B56" s="33">
        <v>43506.129988425928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244</v>
      </c>
      <c r="B57" s="33">
        <v>43506.793969907405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248</v>
      </c>
      <c r="B58" s="33">
        <v>43510.743020833332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249</v>
      </c>
      <c r="B59" s="33">
        <v>43512.098368055558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251</v>
      </c>
      <c r="B60" s="33">
        <v>43513.072754629633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  <row r="61" spans="1:14" x14ac:dyDescent="0.4">
      <c r="A61" s="32" t="s">
        <v>257</v>
      </c>
      <c r="B61" s="33">
        <v>43513.867638888885</v>
      </c>
      <c r="C61" s="32" t="s">
        <v>140</v>
      </c>
      <c r="D61" s="32" t="s">
        <v>141</v>
      </c>
      <c r="E61" s="32" t="s">
        <v>142</v>
      </c>
      <c r="F61" s="32" t="s">
        <v>143</v>
      </c>
      <c r="G61" s="32" t="s">
        <v>144</v>
      </c>
    </row>
    <row r="62" spans="1:14" x14ac:dyDescent="0.4">
      <c r="A62" s="32" t="s">
        <v>258</v>
      </c>
      <c r="B62" s="33">
        <v>43514.699583333335</v>
      </c>
      <c r="C62" s="32" t="s">
        <v>140</v>
      </c>
      <c r="D62" s="32" t="s">
        <v>141</v>
      </c>
      <c r="E62" s="32" t="s">
        <v>142</v>
      </c>
      <c r="F62" s="32" t="s">
        <v>143</v>
      </c>
      <c r="G62" s="32" t="s">
        <v>144</v>
      </c>
    </row>
    <row r="63" spans="1:14" x14ac:dyDescent="0.4">
      <c r="A63" s="32" t="s">
        <v>259</v>
      </c>
      <c r="B63" s="33">
        <v>43516.111550925925</v>
      </c>
      <c r="C63" s="32" t="s">
        <v>140</v>
      </c>
      <c r="D63" s="32" t="s">
        <v>141</v>
      </c>
      <c r="E63" s="32" t="s">
        <v>142</v>
      </c>
      <c r="F63" s="32" t="s">
        <v>143</v>
      </c>
      <c r="G63" s="32" t="s">
        <v>144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6"/>
  <sheetViews>
    <sheetView showGridLines="0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4" t="s">
        <v>6</v>
      </c>
      <c r="C1" s="165"/>
      <c r="D1" s="164" t="s">
        <v>7</v>
      </c>
      <c r="E1" s="165"/>
      <c r="F1" s="164" t="s">
        <v>16</v>
      </c>
      <c r="G1" s="165"/>
      <c r="H1" s="164" t="s">
        <v>15</v>
      </c>
      <c r="I1" s="165"/>
      <c r="J1" s="164" t="s">
        <v>246</v>
      </c>
      <c r="K1" s="165"/>
      <c r="L1" s="164" t="s">
        <v>195</v>
      </c>
      <c r="M1" s="165"/>
      <c r="N1" s="164" t="s">
        <v>196</v>
      </c>
      <c r="O1" s="165"/>
      <c r="P1" s="164" t="s">
        <v>5</v>
      </c>
      <c r="Q1" s="165"/>
      <c r="R1" s="164" t="s">
        <v>17</v>
      </c>
      <c r="S1" s="165"/>
      <c r="T1" s="164" t="s">
        <v>18</v>
      </c>
      <c r="U1" s="165"/>
      <c r="V1" s="164" t="s">
        <v>156</v>
      </c>
      <c r="W1" s="165"/>
      <c r="X1" s="164" t="s">
        <v>241</v>
      </c>
      <c r="Y1" s="165"/>
      <c r="Z1" s="164" t="s">
        <v>129</v>
      </c>
      <c r="AA1" s="165"/>
      <c r="AB1" s="164" t="s">
        <v>124</v>
      </c>
      <c r="AC1" s="165"/>
      <c r="AD1" s="164" t="s">
        <v>132</v>
      </c>
      <c r="AE1" s="165"/>
      <c r="AF1" s="164" t="s">
        <v>197</v>
      </c>
      <c r="AG1" s="165"/>
      <c r="AH1" s="164" t="s">
        <v>160</v>
      </c>
      <c r="AI1" s="165"/>
      <c r="AJ1" s="164" t="s">
        <v>198</v>
      </c>
      <c r="AK1" s="165"/>
      <c r="AL1" s="164" t="s">
        <v>200</v>
      </c>
      <c r="AM1" s="165"/>
      <c r="AN1" s="164" t="s">
        <v>247</v>
      </c>
      <c r="AO1" s="165"/>
    </row>
    <row r="2" spans="1:41" x14ac:dyDescent="0.4">
      <c r="A2" s="74" t="s">
        <v>245</v>
      </c>
      <c r="B2" s="162"/>
      <c r="C2" s="163"/>
      <c r="D2" s="162"/>
      <c r="E2" s="163"/>
      <c r="F2" s="160">
        <v>0.987340759775309</v>
      </c>
      <c r="G2" s="161"/>
      <c r="H2" s="160">
        <v>0.94017898756603457</v>
      </c>
      <c r="I2" s="161"/>
      <c r="J2" s="160">
        <v>0.97946511443734141</v>
      </c>
      <c r="K2" s="161"/>
      <c r="L2" s="160">
        <v>0.95832663667040552</v>
      </c>
      <c r="M2" s="161"/>
      <c r="N2" s="160">
        <v>0.90355551757494457</v>
      </c>
      <c r="O2" s="161"/>
      <c r="P2" s="160">
        <v>0.47692766218885191</v>
      </c>
      <c r="Q2" s="161"/>
      <c r="R2" s="160">
        <v>0.1151408220670323</v>
      </c>
      <c r="S2" s="161"/>
      <c r="T2" s="160">
        <v>0.93552191805896212</v>
      </c>
      <c r="U2" s="161"/>
      <c r="V2" s="160">
        <v>0.99119837964812318</v>
      </c>
      <c r="W2" s="161"/>
      <c r="X2" s="160">
        <v>0.3973307921801017</v>
      </c>
      <c r="Y2" s="161"/>
      <c r="Z2" s="160">
        <v>0.72709955165765561</v>
      </c>
      <c r="AA2" s="161"/>
      <c r="AB2" s="160">
        <v>-0.45759898143075334</v>
      </c>
      <c r="AC2" s="161"/>
      <c r="AD2" s="160">
        <v>0.8680904784047645</v>
      </c>
      <c r="AE2" s="161"/>
      <c r="AF2" s="160">
        <v>0.5466787025989096</v>
      </c>
      <c r="AG2" s="161"/>
      <c r="AH2" s="160">
        <v>0.15028319019865172</v>
      </c>
      <c r="AI2" s="161"/>
      <c r="AJ2" s="160">
        <v>0.73709773617367047</v>
      </c>
      <c r="AK2" s="161"/>
      <c r="AL2" s="160">
        <v>0.83398919503870605</v>
      </c>
      <c r="AM2" s="161"/>
      <c r="AN2" s="160">
        <v>9.9502369505113791E-2</v>
      </c>
      <c r="AO2" s="161"/>
    </row>
    <row r="3" spans="1:41" x14ac:dyDescent="0.4">
      <c r="A3" s="76">
        <v>1</v>
      </c>
      <c r="B3" s="77" t="s">
        <v>133</v>
      </c>
      <c r="C3" s="78">
        <v>1576.6999999999998</v>
      </c>
      <c r="D3" s="79" t="s">
        <v>194</v>
      </c>
      <c r="E3" s="102">
        <v>7.833333333333333</v>
      </c>
      <c r="F3" s="79" t="s">
        <v>133</v>
      </c>
      <c r="G3" s="80">
        <v>1.7659574468085106</v>
      </c>
      <c r="H3" s="79" t="s">
        <v>194</v>
      </c>
      <c r="I3" s="81">
        <v>0.5</v>
      </c>
      <c r="J3" s="79" t="s">
        <v>133</v>
      </c>
      <c r="K3" s="81">
        <v>0.20851063829787234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171</v>
      </c>
      <c r="Y3" s="81">
        <v>0.2</v>
      </c>
      <c r="Z3" s="79" t="s">
        <v>167</v>
      </c>
      <c r="AA3" s="82">
        <v>0.42105263157894735</v>
      </c>
      <c r="AB3" s="79" t="s">
        <v>157</v>
      </c>
      <c r="AC3" s="82">
        <v>0.40336134453781514</v>
      </c>
      <c r="AD3" s="79" t="s">
        <v>171</v>
      </c>
      <c r="AE3" s="82">
        <v>0.75</v>
      </c>
      <c r="AF3" s="79" t="s">
        <v>167</v>
      </c>
      <c r="AG3" s="82">
        <v>1</v>
      </c>
      <c r="AH3" s="79" t="s">
        <v>166</v>
      </c>
      <c r="AI3" s="82">
        <v>1</v>
      </c>
      <c r="AJ3" s="79" t="s">
        <v>133</v>
      </c>
      <c r="AK3" s="84">
        <v>10</v>
      </c>
      <c r="AL3" s="79" t="s">
        <v>139</v>
      </c>
      <c r="AM3" s="97">
        <v>124700</v>
      </c>
      <c r="AN3" s="79" t="s">
        <v>161</v>
      </c>
      <c r="AO3" s="85">
        <v>20</v>
      </c>
    </row>
    <row r="4" spans="1:41" x14ac:dyDescent="0.4">
      <c r="A4" s="86">
        <v>2</v>
      </c>
      <c r="B4" s="87" t="s">
        <v>135</v>
      </c>
      <c r="C4" s="88">
        <v>256.20000000000005</v>
      </c>
      <c r="D4" s="89" t="s">
        <v>133</v>
      </c>
      <c r="E4" s="103">
        <v>6.7093617021276586</v>
      </c>
      <c r="F4" s="89" t="s">
        <v>194</v>
      </c>
      <c r="G4" s="90">
        <v>1.8333333333333333</v>
      </c>
      <c r="H4" s="89" t="s">
        <v>133</v>
      </c>
      <c r="I4" s="91">
        <v>0.44255319148936167</v>
      </c>
      <c r="J4" s="89" t="s">
        <v>167</v>
      </c>
      <c r="K4" s="91">
        <v>0.25</v>
      </c>
      <c r="L4" s="89" t="s">
        <v>133</v>
      </c>
      <c r="M4" s="92">
        <v>0.35376827896512936</v>
      </c>
      <c r="N4" s="89" t="s">
        <v>133</v>
      </c>
      <c r="O4" s="92">
        <v>0.14116985376827895</v>
      </c>
      <c r="P4" s="89" t="s">
        <v>138</v>
      </c>
      <c r="Q4" s="93">
        <v>11041.666666666666</v>
      </c>
      <c r="R4" s="89" t="s">
        <v>157</v>
      </c>
      <c r="S4" s="93">
        <v>-8586.95652173913</v>
      </c>
      <c r="T4" s="89" t="s">
        <v>133</v>
      </c>
      <c r="U4" s="91">
        <v>0.10212765957446808</v>
      </c>
      <c r="V4" s="89" t="s">
        <v>133</v>
      </c>
      <c r="W4" s="91">
        <v>0.19148936170212766</v>
      </c>
      <c r="X4" s="89" t="s">
        <v>133</v>
      </c>
      <c r="Y4" s="91">
        <v>0.10212765957446808</v>
      </c>
      <c r="Z4" s="89" t="s">
        <v>194</v>
      </c>
      <c r="AA4" s="92">
        <v>0.42</v>
      </c>
      <c r="AB4" s="89" t="s">
        <v>135</v>
      </c>
      <c r="AC4" s="92">
        <v>0.31527093596059114</v>
      </c>
      <c r="AD4" s="89" t="s">
        <v>133</v>
      </c>
      <c r="AE4" s="92">
        <v>0.63771712158808935</v>
      </c>
      <c r="AF4" s="89" t="s">
        <v>194</v>
      </c>
      <c r="AG4" s="92">
        <v>0.5</v>
      </c>
      <c r="AH4" s="89" t="s">
        <v>136</v>
      </c>
      <c r="AI4" s="92">
        <v>0.46938775510204084</v>
      </c>
      <c r="AJ4" s="89" t="s">
        <v>134</v>
      </c>
      <c r="AK4" s="94">
        <v>10</v>
      </c>
      <c r="AL4" s="89" t="s">
        <v>161</v>
      </c>
      <c r="AM4" s="98">
        <v>124700</v>
      </c>
      <c r="AN4" s="89" t="s">
        <v>139</v>
      </c>
      <c r="AO4" s="95">
        <v>7</v>
      </c>
    </row>
    <row r="5" spans="1:41" x14ac:dyDescent="0.4">
      <c r="A5" s="86">
        <v>3</v>
      </c>
      <c r="B5" s="87" t="s">
        <v>137</v>
      </c>
      <c r="C5" s="88">
        <v>225.49999999999983</v>
      </c>
      <c r="D5" s="89" t="s">
        <v>135</v>
      </c>
      <c r="E5" s="103">
        <v>4.2000000000000011</v>
      </c>
      <c r="F5" s="89" t="s">
        <v>135</v>
      </c>
      <c r="G5" s="90">
        <v>1.9180327868852458</v>
      </c>
      <c r="H5" s="89" t="s">
        <v>137</v>
      </c>
      <c r="I5" s="91">
        <v>0.375</v>
      </c>
      <c r="J5" s="89" t="s">
        <v>135</v>
      </c>
      <c r="K5" s="91">
        <v>0.26229508196721313</v>
      </c>
      <c r="L5" s="89" t="s">
        <v>135</v>
      </c>
      <c r="M5" s="92">
        <v>0.34693877551020408</v>
      </c>
      <c r="N5" s="89" t="s">
        <v>135</v>
      </c>
      <c r="O5" s="92">
        <v>0.15646258503401361</v>
      </c>
      <c r="P5" s="89" t="s">
        <v>134</v>
      </c>
      <c r="Q5" s="93">
        <v>11027.509293680298</v>
      </c>
      <c r="R5" s="89" t="s">
        <v>138</v>
      </c>
      <c r="S5" s="93">
        <v>-8928.8888888888887</v>
      </c>
      <c r="T5" s="89" t="s">
        <v>135</v>
      </c>
      <c r="U5" s="91">
        <v>0.11475409836065574</v>
      </c>
      <c r="V5" s="89" t="s">
        <v>135</v>
      </c>
      <c r="W5" s="91">
        <v>0.18032786885245902</v>
      </c>
      <c r="X5" s="89" t="s">
        <v>139</v>
      </c>
      <c r="Y5" s="91">
        <v>9.9173553719008267E-2</v>
      </c>
      <c r="Z5" s="89" t="s">
        <v>138</v>
      </c>
      <c r="AA5" s="92">
        <v>0.31111111111111112</v>
      </c>
      <c r="AB5" s="89" t="s">
        <v>250</v>
      </c>
      <c r="AC5" s="92">
        <v>0.28048780487804881</v>
      </c>
      <c r="AD5" s="89" t="s">
        <v>194</v>
      </c>
      <c r="AE5" s="92">
        <v>0.61904761904761907</v>
      </c>
      <c r="AF5" s="89" t="s">
        <v>133</v>
      </c>
      <c r="AG5" s="92">
        <v>0.4907749077490775</v>
      </c>
      <c r="AH5" s="89" t="s">
        <v>138</v>
      </c>
      <c r="AI5" s="92">
        <v>0.45833333333333331</v>
      </c>
      <c r="AJ5" s="89" t="s">
        <v>161</v>
      </c>
      <c r="AK5" s="94">
        <v>10</v>
      </c>
      <c r="AL5" s="89" t="s">
        <v>133</v>
      </c>
      <c r="AM5" s="98">
        <v>120200</v>
      </c>
      <c r="AN5" s="89" t="s">
        <v>134</v>
      </c>
      <c r="AO5" s="95">
        <v>4</v>
      </c>
    </row>
    <row r="6" spans="1:41" x14ac:dyDescent="0.4">
      <c r="A6" s="86">
        <v>4</v>
      </c>
      <c r="B6" s="87" t="s">
        <v>194</v>
      </c>
      <c r="C6" s="88">
        <v>47</v>
      </c>
      <c r="D6" s="89" t="s">
        <v>137</v>
      </c>
      <c r="E6" s="103">
        <v>2.0133928571428554</v>
      </c>
      <c r="F6" s="89" t="s">
        <v>137</v>
      </c>
      <c r="G6" s="90">
        <v>1.9285714285714286</v>
      </c>
      <c r="H6" s="89" t="s">
        <v>135</v>
      </c>
      <c r="I6" s="91">
        <v>0.34426229508196721</v>
      </c>
      <c r="J6" s="89" t="s">
        <v>137</v>
      </c>
      <c r="K6" s="91">
        <v>0.30357142857142855</v>
      </c>
      <c r="L6" s="89" t="s">
        <v>137</v>
      </c>
      <c r="M6" s="92">
        <v>0.30106257378984652</v>
      </c>
      <c r="N6" s="89" t="s">
        <v>137</v>
      </c>
      <c r="O6" s="92">
        <v>0.16292798110979928</v>
      </c>
      <c r="P6" s="89" t="s">
        <v>137</v>
      </c>
      <c r="Q6" s="93">
        <v>10497.64705882353</v>
      </c>
      <c r="R6" s="89" t="s">
        <v>135</v>
      </c>
      <c r="S6" s="93">
        <v>-8992.753623188406</v>
      </c>
      <c r="T6" s="89" t="s">
        <v>137</v>
      </c>
      <c r="U6" s="91">
        <v>0.11607142857142858</v>
      </c>
      <c r="V6" s="89" t="s">
        <v>137</v>
      </c>
      <c r="W6" s="91">
        <v>0.16964285714285715</v>
      </c>
      <c r="X6" s="89" t="s">
        <v>137</v>
      </c>
      <c r="Y6" s="91">
        <v>9.8214285714285712E-2</v>
      </c>
      <c r="Z6" s="89" t="s">
        <v>137</v>
      </c>
      <c r="AA6" s="92">
        <v>0.30651872399445212</v>
      </c>
      <c r="AB6" s="89" t="s">
        <v>136</v>
      </c>
      <c r="AC6" s="92">
        <v>0.27567567567567569</v>
      </c>
      <c r="AD6" s="89" t="s">
        <v>139</v>
      </c>
      <c r="AE6" s="92">
        <v>0.58736059479553904</v>
      </c>
      <c r="AF6" s="89" t="s">
        <v>135</v>
      </c>
      <c r="AG6" s="92">
        <v>0.40625</v>
      </c>
      <c r="AH6" s="89" t="s">
        <v>135</v>
      </c>
      <c r="AI6" s="92">
        <v>0.44444444444444442</v>
      </c>
      <c r="AJ6" s="89" t="s">
        <v>137</v>
      </c>
      <c r="AK6" s="94">
        <v>9</v>
      </c>
      <c r="AL6" s="89" t="s">
        <v>135</v>
      </c>
      <c r="AM6" s="98">
        <v>118000</v>
      </c>
      <c r="AN6" s="89" t="s">
        <v>137</v>
      </c>
      <c r="AO6" s="95">
        <v>3</v>
      </c>
    </row>
    <row r="7" spans="1:41" x14ac:dyDescent="0.4">
      <c r="A7" s="86">
        <v>5</v>
      </c>
      <c r="B7" s="87" t="s">
        <v>138</v>
      </c>
      <c r="C7" s="88">
        <v>8.2000000000000242</v>
      </c>
      <c r="D7" s="89" t="s">
        <v>138</v>
      </c>
      <c r="E7" s="103">
        <v>0.25625000000000075</v>
      </c>
      <c r="F7" s="89" t="s">
        <v>161</v>
      </c>
      <c r="G7" s="90">
        <v>2</v>
      </c>
      <c r="H7" s="89" t="s">
        <v>138</v>
      </c>
      <c r="I7" s="91">
        <v>0.34375</v>
      </c>
      <c r="J7" s="89" t="s">
        <v>161</v>
      </c>
      <c r="K7" s="91">
        <v>0.33333333333333331</v>
      </c>
      <c r="L7" s="89" t="s">
        <v>161</v>
      </c>
      <c r="M7" s="92">
        <v>0.30063492063492064</v>
      </c>
      <c r="N7" s="89" t="s">
        <v>167</v>
      </c>
      <c r="O7" s="92">
        <v>0.16666666666666666</v>
      </c>
      <c r="P7" s="89" t="s">
        <v>139</v>
      </c>
      <c r="Q7" s="93">
        <v>10486.142322097377</v>
      </c>
      <c r="R7" s="89" t="s">
        <v>137</v>
      </c>
      <c r="S7" s="93">
        <v>-9266.6666666666661</v>
      </c>
      <c r="T7" s="89" t="s">
        <v>161</v>
      </c>
      <c r="U7" s="91">
        <v>0.15636363636363637</v>
      </c>
      <c r="V7" s="89" t="s">
        <v>194</v>
      </c>
      <c r="W7" s="91">
        <v>0.16666666666666666</v>
      </c>
      <c r="X7" s="89" t="s">
        <v>138</v>
      </c>
      <c r="Y7" s="91">
        <v>9.375E-2</v>
      </c>
      <c r="Z7" s="89" t="s">
        <v>133</v>
      </c>
      <c r="AA7" s="92">
        <v>0.30484114977307109</v>
      </c>
      <c r="AB7" s="89" t="s">
        <v>161</v>
      </c>
      <c r="AC7" s="92">
        <v>0.21928746928746928</v>
      </c>
      <c r="AD7" s="89" t="s">
        <v>135</v>
      </c>
      <c r="AE7" s="92">
        <v>0.58333333333333337</v>
      </c>
      <c r="AF7" s="89" t="s">
        <v>161</v>
      </c>
      <c r="AG7" s="92">
        <v>0.39589169000933705</v>
      </c>
      <c r="AH7" s="89" t="s">
        <v>137</v>
      </c>
      <c r="AI7" s="92">
        <v>0.44313725490196076</v>
      </c>
      <c r="AJ7" s="89" t="s">
        <v>135</v>
      </c>
      <c r="AK7" s="94">
        <v>7</v>
      </c>
      <c r="AL7" s="89" t="s">
        <v>137</v>
      </c>
      <c r="AM7" s="98">
        <v>109300</v>
      </c>
      <c r="AN7" s="89" t="s">
        <v>133</v>
      </c>
      <c r="AO7" s="95">
        <v>2</v>
      </c>
    </row>
    <row r="8" spans="1:41" x14ac:dyDescent="0.4">
      <c r="A8" s="86">
        <v>6</v>
      </c>
      <c r="B8" s="87" t="s">
        <v>161</v>
      </c>
      <c r="C8" s="88">
        <v>-4.9999999999999361</v>
      </c>
      <c r="D8" s="89" t="s">
        <v>161</v>
      </c>
      <c r="E8" s="103">
        <v>-6.0606060606059834E-3</v>
      </c>
      <c r="F8" s="89" t="s">
        <v>167</v>
      </c>
      <c r="G8" s="90">
        <v>2</v>
      </c>
      <c r="H8" s="89" t="s">
        <v>161</v>
      </c>
      <c r="I8" s="91">
        <v>0.33333333333333331</v>
      </c>
      <c r="J8" s="89" t="s">
        <v>194</v>
      </c>
      <c r="K8" s="91">
        <v>0.33333333333333331</v>
      </c>
      <c r="L8" s="89" t="s">
        <v>139</v>
      </c>
      <c r="M8" s="92">
        <v>0.28434504792332266</v>
      </c>
      <c r="N8" s="89" t="s">
        <v>161</v>
      </c>
      <c r="O8" s="92">
        <v>0.17174603174603176</v>
      </c>
      <c r="P8" s="89" t="s">
        <v>161</v>
      </c>
      <c r="Q8" s="93">
        <v>10137.486800422386</v>
      </c>
      <c r="R8" s="89" t="s">
        <v>133</v>
      </c>
      <c r="S8" s="93">
        <v>-9292.0318725099605</v>
      </c>
      <c r="T8" s="89" t="s">
        <v>194</v>
      </c>
      <c r="U8" s="91">
        <v>0.16666666666666666</v>
      </c>
      <c r="V8" s="89" t="s">
        <v>161</v>
      </c>
      <c r="W8" s="91">
        <v>0.15636363636363637</v>
      </c>
      <c r="X8" s="89" t="s">
        <v>250</v>
      </c>
      <c r="Y8" s="91">
        <v>9.0909090909090912E-2</v>
      </c>
      <c r="Z8" s="89" t="s">
        <v>139</v>
      </c>
      <c r="AA8" s="92">
        <v>0.29822616407982261</v>
      </c>
      <c r="AB8" s="89" t="s">
        <v>137</v>
      </c>
      <c r="AC8" s="92">
        <v>0.21359223300970873</v>
      </c>
      <c r="AD8" s="89" t="s">
        <v>161</v>
      </c>
      <c r="AE8" s="92">
        <v>0.58096590909090906</v>
      </c>
      <c r="AF8" s="89" t="s">
        <v>139</v>
      </c>
      <c r="AG8" s="92">
        <v>0.38857142857142857</v>
      </c>
      <c r="AH8" s="89" t="s">
        <v>134</v>
      </c>
      <c r="AI8" s="92">
        <v>0.44237918215613381</v>
      </c>
      <c r="AJ8" s="89" t="s">
        <v>138</v>
      </c>
      <c r="AK8" s="94">
        <v>7</v>
      </c>
      <c r="AL8" s="89" t="s">
        <v>138</v>
      </c>
      <c r="AM8" s="98">
        <v>109300</v>
      </c>
      <c r="AN8" s="89" t="s">
        <v>136</v>
      </c>
      <c r="AO8" s="95">
        <v>2</v>
      </c>
    </row>
    <row r="9" spans="1:41" x14ac:dyDescent="0.4">
      <c r="A9" s="86">
        <v>7</v>
      </c>
      <c r="B9" s="87" t="s">
        <v>167</v>
      </c>
      <c r="C9" s="88">
        <v>-15.5</v>
      </c>
      <c r="D9" s="89" t="s">
        <v>134</v>
      </c>
      <c r="E9" s="103">
        <v>-3.4068181818181817</v>
      </c>
      <c r="F9" s="89" t="s">
        <v>138</v>
      </c>
      <c r="G9" s="90">
        <v>2.03125</v>
      </c>
      <c r="H9" s="89" t="s">
        <v>134</v>
      </c>
      <c r="I9" s="91">
        <v>0.29545454545454547</v>
      </c>
      <c r="J9" s="89" t="s">
        <v>138</v>
      </c>
      <c r="K9" s="91">
        <v>0.375</v>
      </c>
      <c r="L9" s="89" t="s">
        <v>138</v>
      </c>
      <c r="M9" s="92">
        <v>0.27480916030534353</v>
      </c>
      <c r="N9" s="89" t="s">
        <v>138</v>
      </c>
      <c r="O9" s="92">
        <v>0.1717557251908397</v>
      </c>
      <c r="P9" s="89" t="s">
        <v>133</v>
      </c>
      <c r="Q9" s="93">
        <v>9847.5357710651824</v>
      </c>
      <c r="R9" s="89" t="s">
        <v>161</v>
      </c>
      <c r="S9" s="93">
        <v>-9380.6839186691304</v>
      </c>
      <c r="T9" s="89" t="s">
        <v>136</v>
      </c>
      <c r="U9" s="91">
        <v>0.18309859154929578</v>
      </c>
      <c r="V9" s="89" t="s">
        <v>138</v>
      </c>
      <c r="W9" s="91">
        <v>0.15625</v>
      </c>
      <c r="X9" s="89" t="s">
        <v>161</v>
      </c>
      <c r="Y9" s="91">
        <v>8.3636363636363634E-2</v>
      </c>
      <c r="Z9" s="89" t="s">
        <v>134</v>
      </c>
      <c r="AA9" s="92">
        <v>0.29765013054830286</v>
      </c>
      <c r="AB9" s="89" t="s">
        <v>138</v>
      </c>
      <c r="AC9" s="92">
        <v>0.20555555555555555</v>
      </c>
      <c r="AD9" s="89" t="s">
        <v>134</v>
      </c>
      <c r="AE9" s="92">
        <v>0.57894736842105265</v>
      </c>
      <c r="AF9" s="89" t="s">
        <v>137</v>
      </c>
      <c r="AG9" s="92">
        <v>0.38311688311688313</v>
      </c>
      <c r="AH9" s="89" t="s">
        <v>139</v>
      </c>
      <c r="AI9" s="92">
        <v>0.43820224719101125</v>
      </c>
      <c r="AJ9" s="89" t="s">
        <v>139</v>
      </c>
      <c r="AK9" s="94">
        <v>7</v>
      </c>
      <c r="AL9" s="89" t="s">
        <v>136</v>
      </c>
      <c r="AM9" s="98">
        <v>103200</v>
      </c>
      <c r="AN9" s="89" t="s">
        <v>135</v>
      </c>
      <c r="AO9" s="95">
        <v>1</v>
      </c>
    </row>
    <row r="10" spans="1:41" x14ac:dyDescent="0.4">
      <c r="A10" s="86">
        <v>8</v>
      </c>
      <c r="B10" s="87" t="s">
        <v>171</v>
      </c>
      <c r="C10" s="88">
        <v>-86.4</v>
      </c>
      <c r="D10" s="89" t="s">
        <v>167</v>
      </c>
      <c r="E10" s="103">
        <v>-3.875</v>
      </c>
      <c r="F10" s="89" t="s">
        <v>134</v>
      </c>
      <c r="G10" s="90">
        <v>2.0984848484848486</v>
      </c>
      <c r="H10" s="89" t="s">
        <v>167</v>
      </c>
      <c r="I10" s="91">
        <v>0.25</v>
      </c>
      <c r="J10" s="89" t="s">
        <v>134</v>
      </c>
      <c r="K10" s="91">
        <v>0.39393939393939392</v>
      </c>
      <c r="L10" s="89" t="s">
        <v>171</v>
      </c>
      <c r="M10" s="92">
        <v>0.27027027027027029</v>
      </c>
      <c r="N10" s="89" t="s">
        <v>136</v>
      </c>
      <c r="O10" s="92">
        <v>0.18181818181818182</v>
      </c>
      <c r="P10" s="89" t="s">
        <v>135</v>
      </c>
      <c r="Q10" s="93">
        <v>9726.1437908496737</v>
      </c>
      <c r="R10" s="89" t="s">
        <v>139</v>
      </c>
      <c r="S10" s="93">
        <v>-9495.2380952380954</v>
      </c>
      <c r="T10" s="89" t="s">
        <v>138</v>
      </c>
      <c r="U10" s="91">
        <v>0.1875</v>
      </c>
      <c r="V10" s="89" t="s">
        <v>139</v>
      </c>
      <c r="W10" s="91">
        <v>0.14049586776859505</v>
      </c>
      <c r="X10" s="89" t="s">
        <v>134</v>
      </c>
      <c r="Y10" s="91">
        <v>7.575757575757576E-2</v>
      </c>
      <c r="Z10" s="89" t="s">
        <v>161</v>
      </c>
      <c r="AA10" s="92">
        <v>0.28828828828828829</v>
      </c>
      <c r="AB10" s="89" t="s">
        <v>133</v>
      </c>
      <c r="AC10" s="92">
        <v>0.20499243570347958</v>
      </c>
      <c r="AD10" s="89" t="s">
        <v>137</v>
      </c>
      <c r="AE10" s="92">
        <v>0.56108597285067874</v>
      </c>
      <c r="AF10" s="89" t="s">
        <v>134</v>
      </c>
      <c r="AG10" s="92">
        <v>0.38235294117647056</v>
      </c>
      <c r="AH10" s="89" t="s">
        <v>250</v>
      </c>
      <c r="AI10" s="92">
        <v>0.4375</v>
      </c>
      <c r="AJ10" s="89" t="s">
        <v>136</v>
      </c>
      <c r="AK10" s="94">
        <v>6</v>
      </c>
      <c r="AL10" s="89" t="s">
        <v>134</v>
      </c>
      <c r="AM10" s="98">
        <v>97700</v>
      </c>
      <c r="AN10" s="89" t="s">
        <v>157</v>
      </c>
      <c r="AO10" s="95">
        <v>1</v>
      </c>
    </row>
    <row r="11" spans="1:41" x14ac:dyDescent="0.4">
      <c r="A11" s="86">
        <v>9</v>
      </c>
      <c r="B11" s="87" t="s">
        <v>166</v>
      </c>
      <c r="C11" s="88">
        <v>-132.1</v>
      </c>
      <c r="D11" s="89" t="s">
        <v>139</v>
      </c>
      <c r="E11" s="103">
        <v>-4.2123966942148749</v>
      </c>
      <c r="F11" s="89" t="s">
        <v>139</v>
      </c>
      <c r="G11" s="90">
        <v>2.1818181818181817</v>
      </c>
      <c r="H11" s="89" t="s">
        <v>139</v>
      </c>
      <c r="I11" s="91">
        <v>0.23966942148760331</v>
      </c>
      <c r="J11" s="89" t="s">
        <v>171</v>
      </c>
      <c r="K11" s="91">
        <v>0.4</v>
      </c>
      <c r="L11" s="89" t="s">
        <v>136</v>
      </c>
      <c r="M11" s="92">
        <v>0.26727272727272727</v>
      </c>
      <c r="N11" s="89" t="s">
        <v>134</v>
      </c>
      <c r="O11" s="92">
        <v>0.19279454722492698</v>
      </c>
      <c r="P11" s="89" t="s">
        <v>157</v>
      </c>
      <c r="Q11" s="93">
        <v>9544</v>
      </c>
      <c r="R11" s="89" t="s">
        <v>250</v>
      </c>
      <c r="S11" s="93">
        <v>-9550</v>
      </c>
      <c r="T11" s="89" t="s">
        <v>134</v>
      </c>
      <c r="U11" s="91">
        <v>0.18939393939393939</v>
      </c>
      <c r="V11" s="89" t="s">
        <v>134</v>
      </c>
      <c r="W11" s="91">
        <v>0.12878787878787878</v>
      </c>
      <c r="X11" s="89" t="s">
        <v>136</v>
      </c>
      <c r="Y11" s="91">
        <v>5.6338028169014086E-2</v>
      </c>
      <c r="Z11" s="89" t="s">
        <v>136</v>
      </c>
      <c r="AA11" s="92">
        <v>0.27027027027027029</v>
      </c>
      <c r="AB11" s="89" t="s">
        <v>139</v>
      </c>
      <c r="AC11" s="92">
        <v>0.19401330376940132</v>
      </c>
      <c r="AD11" s="89" t="s">
        <v>138</v>
      </c>
      <c r="AE11" s="92">
        <v>0.5178571428571429</v>
      </c>
      <c r="AF11" s="89" t="s">
        <v>136</v>
      </c>
      <c r="AG11" s="92">
        <v>0.36274509803921567</v>
      </c>
      <c r="AH11" s="89" t="s">
        <v>161</v>
      </c>
      <c r="AI11" s="92">
        <v>0.41710665258711721</v>
      </c>
      <c r="AJ11" s="89" t="s">
        <v>157</v>
      </c>
      <c r="AK11" s="94">
        <v>5</v>
      </c>
      <c r="AL11" s="89" t="s">
        <v>194</v>
      </c>
      <c r="AM11" s="98">
        <v>78000</v>
      </c>
      <c r="AN11" s="89" t="s">
        <v>138</v>
      </c>
      <c r="AO11" s="95">
        <v>0</v>
      </c>
    </row>
    <row r="12" spans="1:41" x14ac:dyDescent="0.4">
      <c r="A12" s="86">
        <v>10</v>
      </c>
      <c r="B12" s="87" t="s">
        <v>250</v>
      </c>
      <c r="C12" s="88">
        <v>-143.6</v>
      </c>
      <c r="D12" s="89" t="s">
        <v>136</v>
      </c>
      <c r="E12" s="103">
        <v>-6.2915492957746482</v>
      </c>
      <c r="F12" s="89" t="s">
        <v>136</v>
      </c>
      <c r="G12" s="90">
        <v>2.1971830985915495</v>
      </c>
      <c r="H12" s="89" t="s">
        <v>157</v>
      </c>
      <c r="I12" s="91">
        <v>0.22580645161290322</v>
      </c>
      <c r="J12" s="89" t="s">
        <v>136</v>
      </c>
      <c r="K12" s="91">
        <v>0.40845070422535212</v>
      </c>
      <c r="L12" s="89" t="s">
        <v>134</v>
      </c>
      <c r="M12" s="92">
        <v>0.26192794547224929</v>
      </c>
      <c r="N12" s="89" t="s">
        <v>157</v>
      </c>
      <c r="O12" s="92">
        <v>0.19327731092436976</v>
      </c>
      <c r="P12" s="89" t="s">
        <v>194</v>
      </c>
      <c r="Q12" s="93">
        <v>9163.1578947368416</v>
      </c>
      <c r="R12" s="89" t="s">
        <v>134</v>
      </c>
      <c r="S12" s="93">
        <v>-9564.1414141414134</v>
      </c>
      <c r="T12" s="89" t="s">
        <v>139</v>
      </c>
      <c r="U12" s="91">
        <v>0.19008264462809918</v>
      </c>
      <c r="V12" s="89" t="s">
        <v>136</v>
      </c>
      <c r="W12" s="91">
        <v>0.12676056338028169</v>
      </c>
      <c r="X12" s="89" t="s">
        <v>135</v>
      </c>
      <c r="Y12" s="91">
        <v>4.9180327868852458E-2</v>
      </c>
      <c r="Z12" s="89" t="s">
        <v>171</v>
      </c>
      <c r="AA12" s="92">
        <v>0.25806451612903225</v>
      </c>
      <c r="AB12" s="89" t="s">
        <v>134</v>
      </c>
      <c r="AC12" s="92">
        <v>0.17754569190600522</v>
      </c>
      <c r="AD12" s="89" t="s">
        <v>136</v>
      </c>
      <c r="AE12" s="92">
        <v>0.49</v>
      </c>
      <c r="AF12" s="89" t="s">
        <v>250</v>
      </c>
      <c r="AG12" s="92">
        <v>0.30434782608695654</v>
      </c>
      <c r="AH12" s="89" t="s">
        <v>133</v>
      </c>
      <c r="AI12" s="92">
        <v>0.37519872813990462</v>
      </c>
      <c r="AJ12" s="89" t="s">
        <v>250</v>
      </c>
      <c r="AK12" s="94">
        <v>5</v>
      </c>
      <c r="AL12" s="89" t="s">
        <v>157</v>
      </c>
      <c r="AM12" s="98">
        <v>67700</v>
      </c>
      <c r="AN12" s="89" t="s">
        <v>250</v>
      </c>
      <c r="AO12" s="95">
        <v>0</v>
      </c>
    </row>
    <row r="13" spans="1:41" x14ac:dyDescent="0.4">
      <c r="A13" s="86">
        <v>11</v>
      </c>
      <c r="B13" s="87" t="s">
        <v>157</v>
      </c>
      <c r="C13" s="88">
        <v>-334.9</v>
      </c>
      <c r="D13" s="89" t="s">
        <v>157</v>
      </c>
      <c r="E13" s="103">
        <v>-10.803225806451612</v>
      </c>
      <c r="F13" s="89" t="s">
        <v>171</v>
      </c>
      <c r="G13" s="90">
        <v>2.2000000000000002</v>
      </c>
      <c r="H13" s="89" t="s">
        <v>136</v>
      </c>
      <c r="I13" s="91">
        <v>0.21126760563380281</v>
      </c>
      <c r="J13" s="89" t="s">
        <v>139</v>
      </c>
      <c r="K13" s="91">
        <v>0.42148760330578511</v>
      </c>
      <c r="L13" s="89" t="s">
        <v>167</v>
      </c>
      <c r="M13" s="92">
        <v>0.25</v>
      </c>
      <c r="N13" s="89" t="s">
        <v>139</v>
      </c>
      <c r="O13" s="92">
        <v>0.2012779552715655</v>
      </c>
      <c r="P13" s="89" t="s">
        <v>136</v>
      </c>
      <c r="Q13" s="93">
        <v>9092.5170068027219</v>
      </c>
      <c r="R13" s="89" t="s">
        <v>136</v>
      </c>
      <c r="S13" s="93">
        <v>-9718</v>
      </c>
      <c r="T13" s="89" t="s">
        <v>157</v>
      </c>
      <c r="U13" s="91">
        <v>0.29032258064516131</v>
      </c>
      <c r="V13" s="89" t="s">
        <v>157</v>
      </c>
      <c r="W13" s="91">
        <v>9.6774193548387094E-2</v>
      </c>
      <c r="X13" s="89" t="s">
        <v>157</v>
      </c>
      <c r="Y13" s="91">
        <v>0</v>
      </c>
      <c r="Z13" s="89" t="s">
        <v>135</v>
      </c>
      <c r="AA13" s="92">
        <v>0.23645320197044334</v>
      </c>
      <c r="AB13" s="89" t="s">
        <v>171</v>
      </c>
      <c r="AC13" s="92">
        <v>0.16129032258064516</v>
      </c>
      <c r="AD13" s="89" t="s">
        <v>157</v>
      </c>
      <c r="AE13" s="92">
        <v>0.44117647058823528</v>
      </c>
      <c r="AF13" s="89" t="s">
        <v>157</v>
      </c>
      <c r="AG13" s="92">
        <v>0.29166666666666669</v>
      </c>
      <c r="AH13" s="89" t="s">
        <v>167</v>
      </c>
      <c r="AI13" s="92">
        <v>0.33333333333333331</v>
      </c>
      <c r="AJ13" s="89" t="s">
        <v>194</v>
      </c>
      <c r="AK13" s="94">
        <v>5</v>
      </c>
      <c r="AL13" s="89" t="s">
        <v>250</v>
      </c>
      <c r="AM13" s="98">
        <v>59500</v>
      </c>
      <c r="AN13" s="89" t="s">
        <v>166</v>
      </c>
      <c r="AO13" s="95">
        <v>0</v>
      </c>
    </row>
    <row r="14" spans="1:41" x14ac:dyDescent="0.4">
      <c r="A14" s="86">
        <v>12</v>
      </c>
      <c r="B14" s="87" t="s">
        <v>136</v>
      </c>
      <c r="C14" s="88">
        <v>-446.7</v>
      </c>
      <c r="D14" s="89" t="s">
        <v>250</v>
      </c>
      <c r="E14" s="103">
        <v>-13.054545454545455</v>
      </c>
      <c r="F14" s="89" t="s">
        <v>157</v>
      </c>
      <c r="G14" s="90">
        <v>2.3225806451612905</v>
      </c>
      <c r="H14" s="89" t="s">
        <v>171</v>
      </c>
      <c r="I14" s="91">
        <v>0.2</v>
      </c>
      <c r="J14" s="89" t="s">
        <v>250</v>
      </c>
      <c r="K14" s="91">
        <v>0.54545454545454541</v>
      </c>
      <c r="L14" s="89" t="s">
        <v>157</v>
      </c>
      <c r="M14" s="92">
        <v>0.21008403361344538</v>
      </c>
      <c r="N14" s="89" t="s">
        <v>171</v>
      </c>
      <c r="O14" s="92">
        <v>0.21621621621621623</v>
      </c>
      <c r="P14" s="89" t="s">
        <v>250</v>
      </c>
      <c r="Q14" s="93">
        <v>8712.5</v>
      </c>
      <c r="R14" s="89" t="s">
        <v>194</v>
      </c>
      <c r="S14" s="93">
        <v>-10025</v>
      </c>
      <c r="T14" s="89" t="s">
        <v>250</v>
      </c>
      <c r="U14" s="91">
        <v>0.36363636363636365</v>
      </c>
      <c r="V14" s="89" t="s">
        <v>250</v>
      </c>
      <c r="W14" s="91">
        <v>9.0909090909090912E-2</v>
      </c>
      <c r="X14" s="89" t="s">
        <v>166</v>
      </c>
      <c r="Y14" s="91">
        <v>0</v>
      </c>
      <c r="Z14" s="89" t="s">
        <v>250</v>
      </c>
      <c r="AA14" s="92">
        <v>0.14634146341463414</v>
      </c>
      <c r="AB14" s="89" t="s">
        <v>194</v>
      </c>
      <c r="AC14" s="92">
        <v>0.12</v>
      </c>
      <c r="AD14" s="89" t="s">
        <v>250</v>
      </c>
      <c r="AE14" s="92">
        <v>0.41666666666666669</v>
      </c>
      <c r="AF14" s="89" t="s">
        <v>138</v>
      </c>
      <c r="AG14" s="92">
        <v>0.21621621621621623</v>
      </c>
      <c r="AH14" s="89" t="s">
        <v>157</v>
      </c>
      <c r="AI14" s="92">
        <v>0.32</v>
      </c>
      <c r="AJ14" s="89" t="s">
        <v>167</v>
      </c>
      <c r="AK14" s="94">
        <v>3</v>
      </c>
      <c r="AL14" s="89" t="s">
        <v>171</v>
      </c>
      <c r="AM14" s="98">
        <v>57800</v>
      </c>
      <c r="AN14" s="89" t="s">
        <v>167</v>
      </c>
      <c r="AO14" s="95">
        <v>0</v>
      </c>
    </row>
    <row r="15" spans="1:41" x14ac:dyDescent="0.4">
      <c r="A15" s="86">
        <v>13</v>
      </c>
      <c r="B15" s="87" t="s">
        <v>134</v>
      </c>
      <c r="C15" s="88">
        <v>-449.7</v>
      </c>
      <c r="D15" s="89" t="s">
        <v>171</v>
      </c>
      <c r="E15" s="103">
        <v>-17.28</v>
      </c>
      <c r="F15" s="89" t="s">
        <v>250</v>
      </c>
      <c r="G15" s="90">
        <v>2.3636363636363638</v>
      </c>
      <c r="H15" s="89" t="s">
        <v>250</v>
      </c>
      <c r="I15" s="91">
        <v>0.18181818181818182</v>
      </c>
      <c r="J15" s="89" t="s">
        <v>157</v>
      </c>
      <c r="K15" s="91">
        <v>0.54838709677419351</v>
      </c>
      <c r="L15" s="89" t="s">
        <v>250</v>
      </c>
      <c r="M15" s="92">
        <v>0.1951219512195122</v>
      </c>
      <c r="N15" s="89" t="s">
        <v>250</v>
      </c>
      <c r="O15" s="92">
        <v>0.24390243902439024</v>
      </c>
      <c r="P15" s="89" t="s">
        <v>166</v>
      </c>
      <c r="Q15" s="93">
        <v>7800</v>
      </c>
      <c r="R15" s="89" t="s">
        <v>167</v>
      </c>
      <c r="S15" s="93">
        <v>-12000</v>
      </c>
      <c r="T15" s="89" t="s">
        <v>171</v>
      </c>
      <c r="U15" s="91">
        <v>0.4</v>
      </c>
      <c r="V15" s="89" t="s">
        <v>166</v>
      </c>
      <c r="W15" s="91">
        <v>0</v>
      </c>
      <c r="X15" s="89" t="s">
        <v>167</v>
      </c>
      <c r="Y15" s="91">
        <v>0</v>
      </c>
      <c r="Z15" s="89" t="s">
        <v>157</v>
      </c>
      <c r="AA15" s="92">
        <v>0.14285714285714285</v>
      </c>
      <c r="AB15" s="89" t="s">
        <v>167</v>
      </c>
      <c r="AC15" s="92">
        <v>0.10526315789473684</v>
      </c>
      <c r="AD15" s="89" t="s">
        <v>167</v>
      </c>
      <c r="AE15" s="92">
        <v>0.25</v>
      </c>
      <c r="AF15" s="89" t="s">
        <v>171</v>
      </c>
      <c r="AG15" s="92">
        <v>0.2</v>
      </c>
      <c r="AH15" s="89" t="s">
        <v>194</v>
      </c>
      <c r="AI15" s="92">
        <v>0.31578947368421051</v>
      </c>
      <c r="AJ15" s="89" t="s">
        <v>171</v>
      </c>
      <c r="AK15" s="94">
        <v>3</v>
      </c>
      <c r="AL15" s="89" t="s">
        <v>167</v>
      </c>
      <c r="AM15" s="98">
        <v>46000</v>
      </c>
      <c r="AN15" s="89" t="s">
        <v>171</v>
      </c>
      <c r="AO15" s="95">
        <v>0</v>
      </c>
    </row>
    <row r="16" spans="1:41" x14ac:dyDescent="0.4">
      <c r="A16" s="86">
        <v>14</v>
      </c>
      <c r="B16" s="87" t="s">
        <v>139</v>
      </c>
      <c r="C16" s="88">
        <v>-509.69999999999987</v>
      </c>
      <c r="D16" s="89" t="s">
        <v>166</v>
      </c>
      <c r="E16" s="103">
        <v>-33.024999999999999</v>
      </c>
      <c r="F16" s="89" t="s">
        <v>166</v>
      </c>
      <c r="G16" s="90">
        <v>3</v>
      </c>
      <c r="H16" s="89" t="s">
        <v>166</v>
      </c>
      <c r="I16" s="91">
        <v>0</v>
      </c>
      <c r="J16" s="89" t="s">
        <v>166</v>
      </c>
      <c r="K16" s="91">
        <v>1</v>
      </c>
      <c r="L16" s="89" t="s">
        <v>166</v>
      </c>
      <c r="M16" s="92">
        <v>0.04</v>
      </c>
      <c r="N16" s="89" t="s">
        <v>166</v>
      </c>
      <c r="O16" s="92">
        <v>0.4</v>
      </c>
      <c r="P16" s="89" t="s">
        <v>171</v>
      </c>
      <c r="Q16" s="93">
        <v>7100</v>
      </c>
      <c r="R16" s="89" t="s">
        <v>171</v>
      </c>
      <c r="S16" s="93">
        <v>-12487.5</v>
      </c>
      <c r="T16" s="89" t="s">
        <v>166</v>
      </c>
      <c r="U16" s="91">
        <v>0.5</v>
      </c>
      <c r="V16" s="89" t="s">
        <v>167</v>
      </c>
      <c r="W16" s="91">
        <v>0</v>
      </c>
      <c r="X16" s="89" t="s">
        <v>194</v>
      </c>
      <c r="Y16" s="91">
        <v>0</v>
      </c>
      <c r="Z16" s="89" t="s">
        <v>166</v>
      </c>
      <c r="AA16" s="92">
        <v>0</v>
      </c>
      <c r="AB16" s="89" t="s">
        <v>166</v>
      </c>
      <c r="AC16" s="92">
        <v>0</v>
      </c>
      <c r="AD16" s="89" t="s">
        <v>166</v>
      </c>
      <c r="AE16" s="92">
        <v>0</v>
      </c>
      <c r="AF16" s="89" t="s">
        <v>166</v>
      </c>
      <c r="AG16" s="92">
        <v>0</v>
      </c>
      <c r="AH16" s="89" t="s">
        <v>171</v>
      </c>
      <c r="AI16" s="92">
        <v>0.3</v>
      </c>
      <c r="AJ16" s="89" t="s">
        <v>166</v>
      </c>
      <c r="AK16" s="94">
        <v>0</v>
      </c>
      <c r="AL16" s="89" t="s">
        <v>166</v>
      </c>
      <c r="AM16" s="98">
        <v>13000</v>
      </c>
      <c r="AN16" s="89" t="s">
        <v>194</v>
      </c>
      <c r="AO16" s="95">
        <v>0</v>
      </c>
    </row>
  </sheetData>
  <sortState ref="AN3:AO48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B0F33-1B95-447A-9344-DF061135EEC4}">
  <sheetPr codeName="Sheet4"/>
  <dimension ref="A1:Q82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161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825</v>
      </c>
      <c r="C2" s="145"/>
      <c r="E2" s="64" t="s">
        <v>71</v>
      </c>
      <c r="F2" s="61" t="s">
        <v>25</v>
      </c>
      <c r="G2" s="48">
        <v>1271</v>
      </c>
      <c r="H2" s="137">
        <f>IF(B$27=0,0,G2/B$27)</f>
        <v>0.8705479452054794</v>
      </c>
      <c r="I2" s="99">
        <v>8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-15.990159901599016</v>
      </c>
      <c r="P2" s="124">
        <v>813</v>
      </c>
      <c r="Q2" s="108">
        <v>-13000</v>
      </c>
    </row>
    <row r="3" spans="1:17" x14ac:dyDescent="0.4">
      <c r="A3" s="57" t="s">
        <v>8</v>
      </c>
      <c r="B3" s="146">
        <v>6300</v>
      </c>
      <c r="C3" s="147"/>
      <c r="E3" s="65" t="s">
        <v>69</v>
      </c>
      <c r="F3" s="62" t="s">
        <v>23</v>
      </c>
      <c r="G3" s="49">
        <v>1057</v>
      </c>
      <c r="H3" s="138">
        <f>IF(B$27=0,0,G3/B$27)</f>
        <v>0.72397260273972608</v>
      </c>
      <c r="I3" s="100">
        <v>5</v>
      </c>
      <c r="K3" s="40">
        <v>1</v>
      </c>
      <c r="L3" s="105">
        <v>15</v>
      </c>
      <c r="N3" s="121" t="s">
        <v>148</v>
      </c>
      <c r="O3" s="128">
        <f t="shared" si="0"/>
        <v>-3.8314176245210727</v>
      </c>
      <c r="P3" s="125">
        <v>783</v>
      </c>
      <c r="Q3" s="109">
        <v>-3000</v>
      </c>
    </row>
    <row r="4" spans="1:17" x14ac:dyDescent="0.4">
      <c r="A4" s="57" t="s">
        <v>6</v>
      </c>
      <c r="B4" s="148">
        <v>-4.9999999999999361</v>
      </c>
      <c r="C4" s="149"/>
      <c r="E4" s="65" t="s">
        <v>76</v>
      </c>
      <c r="F4" s="62" t="s">
        <v>29</v>
      </c>
      <c r="G4" s="49">
        <v>818</v>
      </c>
      <c r="H4" s="138">
        <f>IF(B$27=0,0,G4/B$27)</f>
        <v>0.5602739726027397</v>
      </c>
      <c r="I4" s="100">
        <v>7</v>
      </c>
      <c r="K4" s="40">
        <v>2</v>
      </c>
      <c r="L4" s="105">
        <v>-7</v>
      </c>
      <c r="N4" s="121" t="s">
        <v>149</v>
      </c>
      <c r="O4" s="128">
        <f t="shared" si="0"/>
        <v>6.8306010928961749</v>
      </c>
      <c r="P4" s="125">
        <v>732</v>
      </c>
      <c r="Q4" s="109">
        <v>5000</v>
      </c>
    </row>
    <row r="5" spans="1:17" x14ac:dyDescent="0.4">
      <c r="A5" s="57" t="s">
        <v>7</v>
      </c>
      <c r="B5" s="150">
        <f>IF(B$2=0,0,B$4/B$2)</f>
        <v>-6.0606060606059834E-3</v>
      </c>
      <c r="C5" s="151"/>
      <c r="E5" s="65" t="s">
        <v>67</v>
      </c>
      <c r="F5" s="62" t="s">
        <v>21</v>
      </c>
      <c r="G5" s="49">
        <v>805</v>
      </c>
      <c r="H5" s="138">
        <f>IF(B$27=0,0,G5/B$27)</f>
        <v>0.55136986301369861</v>
      </c>
      <c r="I5" s="100">
        <v>7</v>
      </c>
      <c r="K5" s="40">
        <v>3</v>
      </c>
      <c r="L5" s="105">
        <v>0</v>
      </c>
      <c r="N5" s="121" t="s">
        <v>150</v>
      </c>
      <c r="O5" s="128">
        <f t="shared" si="0"/>
        <v>3.0441400304414001</v>
      </c>
      <c r="P5" s="125">
        <v>657</v>
      </c>
      <c r="Q5" s="109">
        <v>2000</v>
      </c>
    </row>
    <row r="6" spans="1:17" x14ac:dyDescent="0.4">
      <c r="A6" s="57" t="s">
        <v>1</v>
      </c>
      <c r="B6" s="156">
        <f>IF(B$2=0,0,(B$7*1+B$8*2+B$9*3)/B$2)</f>
        <v>2</v>
      </c>
      <c r="C6" s="157"/>
      <c r="E6" s="65" t="s">
        <v>72</v>
      </c>
      <c r="F6" s="62" t="s">
        <v>12</v>
      </c>
      <c r="G6" s="49">
        <v>447</v>
      </c>
      <c r="H6" s="138">
        <f>IF(B$27=0,0,G6/B$27)</f>
        <v>0.30616438356164383</v>
      </c>
      <c r="I6" s="100">
        <v>7</v>
      </c>
      <c r="K6" s="40">
        <v>4</v>
      </c>
      <c r="L6" s="105">
        <v>-1</v>
      </c>
      <c r="N6" s="121" t="s">
        <v>151</v>
      </c>
      <c r="O6" s="128">
        <f t="shared" si="0"/>
        <v>10.416666666666666</v>
      </c>
      <c r="P6" s="125">
        <v>576</v>
      </c>
      <c r="Q6" s="109">
        <v>6000</v>
      </c>
    </row>
    <row r="7" spans="1:17" x14ac:dyDescent="0.4">
      <c r="A7" s="57" t="s">
        <v>2</v>
      </c>
      <c r="B7" s="49">
        <v>275</v>
      </c>
      <c r="C7" s="41">
        <f>IF(B$2=0,0,B7/B$2)</f>
        <v>0.33333333333333331</v>
      </c>
      <c r="E7" s="65" t="s">
        <v>70</v>
      </c>
      <c r="F7" s="62" t="s">
        <v>24</v>
      </c>
      <c r="G7" s="49">
        <v>444</v>
      </c>
      <c r="H7" s="138">
        <f>IF(B$27=0,0,G7/B$27)</f>
        <v>0.30410958904109592</v>
      </c>
      <c r="I7" s="100">
        <v>7</v>
      </c>
      <c r="K7" s="40">
        <v>5</v>
      </c>
      <c r="L7" s="105">
        <v>39.9</v>
      </c>
      <c r="N7" s="122" t="s">
        <v>152</v>
      </c>
      <c r="O7" s="129">
        <f t="shared" si="0"/>
        <v>-4.3572984749455337</v>
      </c>
      <c r="P7" s="126">
        <v>459</v>
      </c>
      <c r="Q7" s="110">
        <v>-2000</v>
      </c>
    </row>
    <row r="8" spans="1:17" x14ac:dyDescent="0.4">
      <c r="A8" s="57" t="s">
        <v>3</v>
      </c>
      <c r="B8" s="49">
        <v>275</v>
      </c>
      <c r="C8" s="41">
        <f>IF(B$2=0,0,B8/B$2)</f>
        <v>0.33333333333333331</v>
      </c>
      <c r="E8" s="65" t="s">
        <v>94</v>
      </c>
      <c r="F8" s="62" t="s">
        <v>47</v>
      </c>
      <c r="G8" s="49">
        <v>220</v>
      </c>
      <c r="H8" s="138">
        <f>IF(B$27=0,0,G8/B$27)</f>
        <v>0.15068493150684931</v>
      </c>
      <c r="I8" s="100">
        <v>8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275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216</v>
      </c>
      <c r="H9" s="138">
        <f>IF(B$27=0,0,G9/B$27)</f>
        <v>0.14794520547945206</v>
      </c>
      <c r="I9" s="100">
        <v>7</v>
      </c>
      <c r="K9" s="40">
        <v>7</v>
      </c>
      <c r="L9" s="105">
        <v>15.1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129</v>
      </c>
      <c r="C10" s="42">
        <f>IF(B$2=0,0,B10/B$2)</f>
        <v>0.15636363636363637</v>
      </c>
      <c r="E10" s="65" t="s">
        <v>68</v>
      </c>
      <c r="F10" s="62" t="s">
        <v>22</v>
      </c>
      <c r="G10" s="49">
        <v>174</v>
      </c>
      <c r="H10" s="138">
        <f>IF(B$27=0,0,G10/B$27)</f>
        <v>0.11917808219178082</v>
      </c>
      <c r="I10" s="100">
        <v>6</v>
      </c>
      <c r="K10" s="40">
        <v>8</v>
      </c>
      <c r="L10" s="105">
        <v>-26.699999999999996</v>
      </c>
      <c r="N10" s="120" t="s">
        <v>253</v>
      </c>
      <c r="O10" s="130">
        <f>IF(P10=0,0,Q10/P10)</f>
        <v>-2.211397058823529</v>
      </c>
      <c r="P10" s="124">
        <v>272</v>
      </c>
      <c r="Q10" s="112">
        <v>-601.49999999999989</v>
      </c>
    </row>
    <row r="11" spans="1:17" x14ac:dyDescent="0.4">
      <c r="A11" s="58" t="s">
        <v>155</v>
      </c>
      <c r="B11" s="50">
        <v>129</v>
      </c>
      <c r="C11" s="42">
        <f>IF(B$2=0,0,B11/B$2)</f>
        <v>0.15636363636363637</v>
      </c>
      <c r="E11" s="65" t="s">
        <v>74</v>
      </c>
      <c r="F11" s="62" t="s">
        <v>27</v>
      </c>
      <c r="G11" s="49">
        <v>146</v>
      </c>
      <c r="H11" s="138">
        <f>IF(B$27=0,0,G11/B$27)</f>
        <v>0.1</v>
      </c>
      <c r="I11" s="100">
        <v>6</v>
      </c>
      <c r="K11" s="40">
        <v>9</v>
      </c>
      <c r="L11" s="105">
        <v>3.5527136788005009E-15</v>
      </c>
      <c r="N11" s="121" t="s">
        <v>254</v>
      </c>
      <c r="O11" s="131">
        <f>IF(P11=0,0,Q11/P11)</f>
        <v>0.16875000000000043</v>
      </c>
      <c r="P11" s="125">
        <v>272</v>
      </c>
      <c r="Q11" s="113">
        <v>45.900000000000119</v>
      </c>
    </row>
    <row r="12" spans="1:17" x14ac:dyDescent="0.4">
      <c r="A12" s="59" t="s">
        <v>239</v>
      </c>
      <c r="B12" s="51">
        <v>69</v>
      </c>
      <c r="C12" s="44">
        <f>IF(B$2=0,0,B12/B$2)</f>
        <v>8.3636363636363634E-2</v>
      </c>
      <c r="E12" s="65" t="s">
        <v>91</v>
      </c>
      <c r="F12" s="62" t="s">
        <v>44</v>
      </c>
      <c r="G12" s="49">
        <v>99</v>
      </c>
      <c r="H12" s="138">
        <f>IF(B$27=0,0,G12/B$27)</f>
        <v>6.7808219178082191E-2</v>
      </c>
      <c r="I12" s="100">
        <v>7</v>
      </c>
      <c r="K12" s="40">
        <v>10</v>
      </c>
      <c r="L12" s="105">
        <v>85.2</v>
      </c>
      <c r="N12" s="122" t="s">
        <v>255</v>
      </c>
      <c r="O12" s="132">
        <f>IF(P12=0,0,Q12/P12)</f>
        <v>2.024264705882354</v>
      </c>
      <c r="P12" s="126">
        <v>272</v>
      </c>
      <c r="Q12" s="114">
        <v>550.60000000000025</v>
      </c>
    </row>
    <row r="13" spans="1:17" x14ac:dyDescent="0.4">
      <c r="A13" s="60" t="s">
        <v>128</v>
      </c>
      <c r="B13" s="52">
        <v>1408</v>
      </c>
      <c r="C13" s="46">
        <f>IF(B$26=0,0,B13/B$26)</f>
        <v>0.28828828828828829</v>
      </c>
      <c r="E13" s="65" t="s">
        <v>75</v>
      </c>
      <c r="F13" s="62" t="s">
        <v>28</v>
      </c>
      <c r="G13" s="49">
        <v>70</v>
      </c>
      <c r="H13" s="138">
        <f>IF(B$27=0,0,G13/B$27)</f>
        <v>4.7945205479452052E-2</v>
      </c>
      <c r="I13" s="100">
        <v>5</v>
      </c>
      <c r="K13" s="40">
        <v>11</v>
      </c>
      <c r="L13" s="105">
        <v>44.5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1071</v>
      </c>
      <c r="C14" s="41">
        <f>IF(B$26=0,0,B14/B$26)</f>
        <v>0.21928746928746928</v>
      </c>
      <c r="E14" s="65" t="s">
        <v>88</v>
      </c>
      <c r="F14" s="62" t="s">
        <v>41</v>
      </c>
      <c r="G14" s="49">
        <v>66</v>
      </c>
      <c r="H14" s="138">
        <f>IF(B$27=0,0,G14/B$27)</f>
        <v>4.5205479452054796E-2</v>
      </c>
      <c r="I14" s="100">
        <v>6</v>
      </c>
      <c r="K14" s="40">
        <v>12</v>
      </c>
      <c r="L14" s="105">
        <v>0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818</v>
      </c>
      <c r="C15" s="39">
        <f>IF(B$13=0,0,B15/B$13)</f>
        <v>0.58096590909090906</v>
      </c>
      <c r="E15" s="65" t="s">
        <v>82</v>
      </c>
      <c r="F15" s="62" t="s">
        <v>35</v>
      </c>
      <c r="G15" s="49">
        <v>46</v>
      </c>
      <c r="H15" s="138">
        <f>IF(B$27=0,0,G15/B$27)</f>
        <v>3.1506849315068496E-2</v>
      </c>
      <c r="I15" s="100">
        <v>6</v>
      </c>
      <c r="K15" s="40">
        <v>13</v>
      </c>
      <c r="L15" s="105">
        <v>31.5</v>
      </c>
      <c r="N15" s="120" t="s">
        <v>166</v>
      </c>
      <c r="O15" s="130">
        <f>IF(P15=0,0,Q15/P15)</f>
        <v>49.537499999999994</v>
      </c>
      <c r="P15" s="124">
        <v>8</v>
      </c>
      <c r="Q15" s="112">
        <v>396.29999999999995</v>
      </c>
    </row>
    <row r="16" spans="1:17" x14ac:dyDescent="0.4">
      <c r="A16" s="56" t="s">
        <v>131</v>
      </c>
      <c r="B16" s="48">
        <v>424</v>
      </c>
      <c r="C16" s="39">
        <f>IF(B$14=0,0,B16/B$14)</f>
        <v>0.39589169000933705</v>
      </c>
      <c r="E16" s="65" t="s">
        <v>86</v>
      </c>
      <c r="F16" s="62" t="s">
        <v>39</v>
      </c>
      <c r="G16" s="49">
        <v>42</v>
      </c>
      <c r="H16" s="138">
        <f>IF(B$27=0,0,G16/B$27)</f>
        <v>2.8767123287671233E-2</v>
      </c>
      <c r="I16" s="100">
        <v>6</v>
      </c>
      <c r="K16" s="40">
        <v>14</v>
      </c>
      <c r="L16" s="105">
        <v>-4</v>
      </c>
      <c r="N16" s="121" t="s">
        <v>171</v>
      </c>
      <c r="O16" s="131">
        <f>IF(P16=0,0,Q16/P16)</f>
        <v>25.919999999999998</v>
      </c>
      <c r="P16" s="125">
        <v>10</v>
      </c>
      <c r="Q16" s="113">
        <v>259.2</v>
      </c>
    </row>
    <row r="17" spans="1:17" x14ac:dyDescent="0.4">
      <c r="A17" s="56" t="s">
        <v>10</v>
      </c>
      <c r="B17" s="48">
        <f>B19+B18</f>
        <v>1894</v>
      </c>
      <c r="C17" s="39">
        <f>IF(B$3=0,0,B17/B$3)</f>
        <v>0.30063492063492064</v>
      </c>
      <c r="E17" s="65" t="s">
        <v>96</v>
      </c>
      <c r="F17" s="62" t="s">
        <v>49</v>
      </c>
      <c r="G17" s="49">
        <v>27</v>
      </c>
      <c r="H17" s="138">
        <f>IF(B$27=0,0,G17/B$27)</f>
        <v>1.8493150684931507E-2</v>
      </c>
      <c r="I17" s="100">
        <v>5</v>
      </c>
      <c r="K17" s="40">
        <v>15</v>
      </c>
      <c r="L17" s="105">
        <v>0</v>
      </c>
      <c r="N17" s="121" t="s">
        <v>250</v>
      </c>
      <c r="O17" s="131">
        <f>IF(P17=0,0,Q17/P17)</f>
        <v>19.581818181818178</v>
      </c>
      <c r="P17" s="125">
        <v>22</v>
      </c>
      <c r="Q17" s="113">
        <v>430.79999999999995</v>
      </c>
    </row>
    <row r="18" spans="1:17" x14ac:dyDescent="0.4">
      <c r="A18" s="57" t="s">
        <v>12</v>
      </c>
      <c r="B18" s="49">
        <v>790</v>
      </c>
      <c r="C18" s="41">
        <f>IF(B$17=0,0,B18/B$17)</f>
        <v>0.41710665258711721</v>
      </c>
      <c r="E18" s="65" t="s">
        <v>83</v>
      </c>
      <c r="F18" s="62" t="s">
        <v>36</v>
      </c>
      <c r="G18" s="49">
        <v>22</v>
      </c>
      <c r="H18" s="138">
        <f>IF(B$27=0,0,G18/B$27)</f>
        <v>1.5068493150684932E-2</v>
      </c>
      <c r="I18" s="100">
        <v>6</v>
      </c>
      <c r="K18" s="40">
        <v>16</v>
      </c>
      <c r="L18" s="105">
        <v>-48</v>
      </c>
      <c r="N18" s="121" t="s">
        <v>157</v>
      </c>
      <c r="O18" s="131">
        <f>IF(P18=0,0,Q18/P18)</f>
        <v>16.204838709677421</v>
      </c>
      <c r="P18" s="125">
        <v>62</v>
      </c>
      <c r="Q18" s="113">
        <v>1004.7</v>
      </c>
    </row>
    <row r="19" spans="1:17" x14ac:dyDescent="0.4">
      <c r="A19" s="57" t="s">
        <v>11</v>
      </c>
      <c r="B19" s="49">
        <v>1104</v>
      </c>
      <c r="C19" s="41">
        <f>IF(B$17=0,0,B19/B$17)</f>
        <v>0.58289334741288279</v>
      </c>
      <c r="E19" s="65" t="s">
        <v>77</v>
      </c>
      <c r="F19" s="62" t="s">
        <v>30</v>
      </c>
      <c r="G19" s="49">
        <v>13</v>
      </c>
      <c r="H19" s="138">
        <f>IF(B$27=0,0,G19/B$27)</f>
        <v>8.9041095890410957E-3</v>
      </c>
      <c r="I19" s="100">
        <v>4</v>
      </c>
      <c r="K19" s="40">
        <v>17</v>
      </c>
      <c r="L19" s="105">
        <v>-8</v>
      </c>
      <c r="N19" s="121" t="s">
        <v>136</v>
      </c>
      <c r="O19" s="131">
        <f>IF(P19=0,0,Q19/P19)</f>
        <v>9.4373239436619745</v>
      </c>
      <c r="P19" s="125">
        <v>142</v>
      </c>
      <c r="Q19" s="113">
        <v>1340.1000000000004</v>
      </c>
    </row>
    <row r="20" spans="1:17" x14ac:dyDescent="0.4">
      <c r="A20" s="57" t="s">
        <v>13</v>
      </c>
      <c r="B20" s="49">
        <v>1082</v>
      </c>
      <c r="C20" s="41">
        <f>IF(B$3=0,0,B20/B$3)</f>
        <v>0.17174603174603176</v>
      </c>
      <c r="E20" s="65" t="s">
        <v>79</v>
      </c>
      <c r="F20" s="62" t="s">
        <v>32</v>
      </c>
      <c r="G20" s="49">
        <v>9</v>
      </c>
      <c r="H20" s="138">
        <f>IF(B$27=0,0,G20/B$27)</f>
        <v>6.1643835616438354E-3</v>
      </c>
      <c r="I20" s="100">
        <v>4</v>
      </c>
      <c r="K20" s="40">
        <v>18</v>
      </c>
      <c r="L20" s="105">
        <v>0</v>
      </c>
      <c r="N20" s="121" t="s">
        <v>139</v>
      </c>
      <c r="O20" s="131">
        <f>IF(P20=0,0,Q20/P20)</f>
        <v>6.3144628099173552</v>
      </c>
      <c r="P20" s="125">
        <v>242</v>
      </c>
      <c r="Q20" s="113">
        <v>1528.1</v>
      </c>
    </row>
    <row r="21" spans="1:17" x14ac:dyDescent="0.4">
      <c r="A21" s="57" t="s">
        <v>5</v>
      </c>
      <c r="B21" s="53">
        <f>IF(B$17=0,0,C21/B$17)</f>
        <v>10137.486800422386</v>
      </c>
      <c r="C21" s="43">
        <v>19200400</v>
      </c>
      <c r="E21" s="65" t="s">
        <v>81</v>
      </c>
      <c r="F21" s="62" t="s">
        <v>34</v>
      </c>
      <c r="G21" s="49">
        <v>9</v>
      </c>
      <c r="H21" s="138">
        <f>IF(B$27=0,0,G21/B$27)</f>
        <v>6.1643835616438354E-3</v>
      </c>
      <c r="I21" s="100">
        <v>5</v>
      </c>
      <c r="K21" s="40">
        <v>19</v>
      </c>
      <c r="L21" s="105">
        <v>-6.1</v>
      </c>
      <c r="N21" s="121" t="s">
        <v>167</v>
      </c>
      <c r="O21" s="131">
        <f>IF(P21=0,0,Q21/P21)</f>
        <v>5.8125</v>
      </c>
      <c r="P21" s="125">
        <v>8</v>
      </c>
      <c r="Q21" s="113">
        <v>46.5</v>
      </c>
    </row>
    <row r="22" spans="1:17" x14ac:dyDescent="0.4">
      <c r="A22" s="59" t="s">
        <v>14</v>
      </c>
      <c r="B22" s="54">
        <f>IF(B$20=0,0,C22/B$20)</f>
        <v>-9380.6839186691304</v>
      </c>
      <c r="C22" s="47">
        <v>-10149900</v>
      </c>
      <c r="E22" s="65" t="s">
        <v>97</v>
      </c>
      <c r="F22" s="62" t="s">
        <v>50</v>
      </c>
      <c r="G22" s="49">
        <v>8</v>
      </c>
      <c r="H22" s="138">
        <f>IF(B$27=0,0,G22/B$27)</f>
        <v>5.4794520547945206E-3</v>
      </c>
      <c r="I22" s="100">
        <v>5</v>
      </c>
      <c r="K22" s="40">
        <v>20</v>
      </c>
      <c r="L22" s="105">
        <v>4.9000000000000004</v>
      </c>
      <c r="N22" s="121" t="s">
        <v>134</v>
      </c>
      <c r="O22" s="131">
        <f>IF(P22=0,0,Q22/P22)</f>
        <v>5.0950757575757537</v>
      </c>
      <c r="P22" s="125">
        <v>264</v>
      </c>
      <c r="Q22" s="113">
        <v>1345.099999999999</v>
      </c>
    </row>
    <row r="23" spans="1:17" x14ac:dyDescent="0.4">
      <c r="A23" s="96" t="s">
        <v>158</v>
      </c>
      <c r="B23" s="154">
        <v>10</v>
      </c>
      <c r="C23" s="155"/>
      <c r="E23" s="65" t="s">
        <v>98</v>
      </c>
      <c r="F23" s="62" t="s">
        <v>51</v>
      </c>
      <c r="G23" s="49">
        <v>6</v>
      </c>
      <c r="H23" s="138">
        <f>IF(B$27=0,0,G23/B$27)</f>
        <v>4.10958904109589E-3</v>
      </c>
      <c r="I23" s="100">
        <v>4</v>
      </c>
      <c r="K23" s="40">
        <v>21</v>
      </c>
      <c r="L23" s="105">
        <v>0</v>
      </c>
      <c r="N23" s="121" t="s">
        <v>138</v>
      </c>
      <c r="O23" s="131">
        <f>IF(P23=0,0,Q23/P23)</f>
        <v>-0.38437499999999858</v>
      </c>
      <c r="P23" s="125">
        <v>64</v>
      </c>
      <c r="Q23" s="113">
        <v>-24.599999999999909</v>
      </c>
    </row>
    <row r="24" spans="1:17" x14ac:dyDescent="0.4">
      <c r="A24" s="60" t="s">
        <v>199</v>
      </c>
      <c r="B24" s="152">
        <v>124700</v>
      </c>
      <c r="C24" s="153"/>
      <c r="E24" s="65" t="s">
        <v>78</v>
      </c>
      <c r="F24" s="62" t="s">
        <v>31</v>
      </c>
      <c r="G24" s="49">
        <v>5</v>
      </c>
      <c r="H24" s="138">
        <f>IF(B$27=0,0,G24/B$27)</f>
        <v>3.4246575342465752E-3</v>
      </c>
      <c r="I24" s="100">
        <v>5</v>
      </c>
      <c r="K24" s="40">
        <v>22</v>
      </c>
      <c r="L24" s="105">
        <v>-36</v>
      </c>
      <c r="N24" s="121" t="s">
        <v>137</v>
      </c>
      <c r="O24" s="131">
        <f>IF(P24=0,0,Q24/P24)</f>
        <v>-3.0290178571428563</v>
      </c>
      <c r="P24" s="125">
        <v>224</v>
      </c>
      <c r="Q24" s="113">
        <v>-678.49999999999977</v>
      </c>
    </row>
    <row r="25" spans="1:17" x14ac:dyDescent="0.4">
      <c r="A25" s="59" t="s">
        <v>159</v>
      </c>
      <c r="B25" s="67">
        <v>20</v>
      </c>
      <c r="C25" s="44">
        <f>IF(B$3=0,0,B25/B$3)</f>
        <v>3.1746031746031746E-3</v>
      </c>
      <c r="E25" s="65" t="s">
        <v>90</v>
      </c>
      <c r="F25" s="62" t="s">
        <v>43</v>
      </c>
      <c r="G25" s="49">
        <v>5</v>
      </c>
      <c r="H25" s="138">
        <f>IF(B$27=0,0,G25/B$27)</f>
        <v>3.4246575342465752E-3</v>
      </c>
      <c r="I25" s="100">
        <v>4</v>
      </c>
      <c r="K25" s="40">
        <v>23</v>
      </c>
      <c r="L25" s="105">
        <v>-3</v>
      </c>
      <c r="N25" s="121" t="s">
        <v>135</v>
      </c>
      <c r="O25" s="131">
        <f>IF(P25=0,0,Q25/P25)</f>
        <v>-6.3245901639344204</v>
      </c>
      <c r="P25" s="125">
        <v>122</v>
      </c>
      <c r="Q25" s="113">
        <v>-771.59999999999934</v>
      </c>
    </row>
    <row r="26" spans="1:17" x14ac:dyDescent="0.4">
      <c r="A26" s="56" t="s">
        <v>126</v>
      </c>
      <c r="B26" s="144">
        <v>4884</v>
      </c>
      <c r="C26" s="145"/>
      <c r="E26" s="65" t="s">
        <v>89</v>
      </c>
      <c r="F26" s="62" t="s">
        <v>42</v>
      </c>
      <c r="G26" s="49">
        <v>4</v>
      </c>
      <c r="H26" s="138">
        <f>IF(B$27=0,0,G26/B$27)</f>
        <v>2.7397260273972603E-3</v>
      </c>
      <c r="I26" s="100">
        <v>4</v>
      </c>
      <c r="K26" s="40">
        <v>24</v>
      </c>
      <c r="L26" s="105">
        <v>0</v>
      </c>
      <c r="N26" s="121" t="s">
        <v>133</v>
      </c>
      <c r="O26" s="131">
        <f>IF(P26=0,0,Q26/P26)</f>
        <v>-10.072553191489353</v>
      </c>
      <c r="P26" s="125">
        <v>470</v>
      </c>
      <c r="Q26" s="113">
        <v>-4734.0999999999958</v>
      </c>
    </row>
    <row r="27" spans="1:17" x14ac:dyDescent="0.4">
      <c r="A27" s="59" t="s">
        <v>127</v>
      </c>
      <c r="B27" s="158">
        <v>1460</v>
      </c>
      <c r="C27" s="159"/>
      <c r="E27" s="65" t="s">
        <v>92</v>
      </c>
      <c r="F27" s="62" t="s">
        <v>45</v>
      </c>
      <c r="G27" s="49">
        <v>3</v>
      </c>
      <c r="H27" s="138">
        <f>IF(B$27=0,0,G27/B$27)</f>
        <v>2.054794520547945E-3</v>
      </c>
      <c r="I27" s="100">
        <v>3</v>
      </c>
      <c r="K27" s="40">
        <v>25</v>
      </c>
      <c r="L27" s="105">
        <v>-41</v>
      </c>
      <c r="N27" s="121" t="s">
        <v>194</v>
      </c>
      <c r="O27" s="131">
        <f>IF(P27=0,0,Q27/P27)</f>
        <v>-11.833333333333334</v>
      </c>
      <c r="P27" s="125">
        <v>12</v>
      </c>
      <c r="Q27" s="113">
        <v>-142</v>
      </c>
    </row>
    <row r="28" spans="1:17" x14ac:dyDescent="0.4">
      <c r="E28" s="65" t="s">
        <v>95</v>
      </c>
      <c r="F28" s="62" t="s">
        <v>48</v>
      </c>
      <c r="G28" s="49">
        <v>2</v>
      </c>
      <c r="H28" s="138">
        <f>IF(B$27=0,0,G28/B$27)</f>
        <v>1.3698630136986301E-3</v>
      </c>
      <c r="I28" s="100">
        <v>3</v>
      </c>
      <c r="K28" s="40">
        <v>26</v>
      </c>
      <c r="L28" s="105">
        <v>11.5</v>
      </c>
    </row>
    <row r="29" spans="1:17" x14ac:dyDescent="0.4">
      <c r="E29" s="65" t="s">
        <v>85</v>
      </c>
      <c r="F29" s="62" t="s">
        <v>38</v>
      </c>
      <c r="G29" s="49">
        <v>1</v>
      </c>
      <c r="H29" s="138">
        <f>IF(B$27=0,0,G29/B$27)</f>
        <v>6.8493150684931507E-4</v>
      </c>
      <c r="I29" s="100">
        <v>2</v>
      </c>
      <c r="K29" s="40">
        <v>27</v>
      </c>
      <c r="L29" s="105">
        <v>0</v>
      </c>
    </row>
    <row r="30" spans="1:17" x14ac:dyDescent="0.4">
      <c r="E30" s="65" t="s">
        <v>93</v>
      </c>
      <c r="F30" s="62" t="s">
        <v>46</v>
      </c>
      <c r="G30" s="49">
        <v>1</v>
      </c>
      <c r="H30" s="138">
        <f>IF(B$27=0,0,G30/B$27)</f>
        <v>6.8493150684931507E-4</v>
      </c>
      <c r="I30" s="100">
        <v>2</v>
      </c>
      <c r="K30" s="40">
        <v>28</v>
      </c>
      <c r="L30" s="105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38">
        <f>IF(B$27=0,0,G31/B$27)</f>
        <v>6.8493150684931507E-4</v>
      </c>
      <c r="I31" s="100">
        <v>2</v>
      </c>
      <c r="K31" s="40">
        <v>29</v>
      </c>
      <c r="L31" s="105">
        <v>36.700000000000003</v>
      </c>
    </row>
    <row r="32" spans="1:17" x14ac:dyDescent="0.4">
      <c r="E32" s="65" t="s">
        <v>111</v>
      </c>
      <c r="F32" s="62" t="s">
        <v>118</v>
      </c>
      <c r="G32" s="49">
        <v>1</v>
      </c>
      <c r="H32" s="138">
        <f>IF(B$27=0,0,G32/B$27)</f>
        <v>6.8493150684931507E-4</v>
      </c>
      <c r="I32" s="100">
        <v>2</v>
      </c>
      <c r="K32" s="40">
        <v>30</v>
      </c>
      <c r="L32" s="105">
        <v>0</v>
      </c>
    </row>
    <row r="33" spans="5:12" x14ac:dyDescent="0.4">
      <c r="E33" s="65" t="s">
        <v>80</v>
      </c>
      <c r="F33" s="62" t="s">
        <v>33</v>
      </c>
      <c r="G33" s="49">
        <v>0</v>
      </c>
      <c r="H33" s="138">
        <f>IF(B$27=0,0,G33/B$27)</f>
        <v>0</v>
      </c>
      <c r="I33" s="100">
        <v>1</v>
      </c>
      <c r="K33" s="40">
        <v>31</v>
      </c>
      <c r="L33" s="105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8.6000000000000014</v>
      </c>
    </row>
    <row r="35" spans="5:12" x14ac:dyDescent="0.4">
      <c r="E35" s="65" t="s">
        <v>87</v>
      </c>
      <c r="F35" s="62" t="s">
        <v>40</v>
      </c>
      <c r="G35" s="49">
        <v>0</v>
      </c>
      <c r="H35" s="138">
        <f>IF(B$27=0,0,G35/B$27)</f>
        <v>0</v>
      </c>
      <c r="I35" s="100">
        <v>1</v>
      </c>
      <c r="K35" s="40">
        <v>33</v>
      </c>
      <c r="L35" s="105">
        <v>1.7763568394002505E-15</v>
      </c>
    </row>
    <row r="36" spans="5:12" x14ac:dyDescent="0.4">
      <c r="E36" s="65" t="s">
        <v>99</v>
      </c>
      <c r="F36" s="62" t="s">
        <v>52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12.800000000000002</v>
      </c>
    </row>
    <row r="37" spans="5:12" x14ac:dyDescent="0.4">
      <c r="E37" s="65" t="s">
        <v>101</v>
      </c>
      <c r="F37" s="62" t="s">
        <v>54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36.400000000000006</v>
      </c>
    </row>
    <row r="38" spans="5:12" x14ac:dyDescent="0.4">
      <c r="E38" s="65" t="s">
        <v>102</v>
      </c>
      <c r="F38" s="62" t="s">
        <v>55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7.1054273576010019E-15</v>
      </c>
    </row>
    <row r="39" spans="5:12" x14ac:dyDescent="0.4">
      <c r="E39" s="65" t="s">
        <v>103</v>
      </c>
      <c r="F39" s="62" t="s">
        <v>56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57.000000000000007</v>
      </c>
    </row>
    <row r="40" spans="5:12" x14ac:dyDescent="0.4">
      <c r="E40" s="65" t="s">
        <v>104</v>
      </c>
      <c r="F40" s="62" t="s">
        <v>57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32.600000000000009</v>
      </c>
    </row>
    <row r="41" spans="5:12" x14ac:dyDescent="0.4">
      <c r="E41" s="65" t="s">
        <v>105</v>
      </c>
      <c r="F41" s="62" t="s">
        <v>58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7.1054273576010019E-15</v>
      </c>
    </row>
    <row r="42" spans="5:12" x14ac:dyDescent="0.4">
      <c r="E42" s="65" t="s">
        <v>106</v>
      </c>
      <c r="F42" s="62" t="s">
        <v>59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-43.999999999999993</v>
      </c>
    </row>
    <row r="43" spans="5:12" x14ac:dyDescent="0.4">
      <c r="E43" s="65" t="s">
        <v>107</v>
      </c>
      <c r="F43" s="62" t="s">
        <v>60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22.000000000000007</v>
      </c>
    </row>
    <row r="44" spans="5:12" x14ac:dyDescent="0.4">
      <c r="E44" s="65" t="s">
        <v>108</v>
      </c>
      <c r="F44" s="62" t="s">
        <v>61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7.1054273576010019E-15</v>
      </c>
    </row>
    <row r="45" spans="5:12" x14ac:dyDescent="0.4">
      <c r="E45" s="65" t="s">
        <v>109</v>
      </c>
      <c r="F45" s="62" t="s">
        <v>62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-36.999999999999993</v>
      </c>
    </row>
    <row r="46" spans="5:12" x14ac:dyDescent="0.4">
      <c r="E46" s="65" t="s">
        <v>110</v>
      </c>
      <c r="F46" s="62" t="s">
        <v>117</v>
      </c>
      <c r="G46" s="49">
        <v>0</v>
      </c>
      <c r="H46" s="138">
        <f>IF(B$27=0,0,G46/B$27)</f>
        <v>0</v>
      </c>
      <c r="I46" s="100">
        <v>1</v>
      </c>
      <c r="K46" s="40">
        <v>44</v>
      </c>
      <c r="L46" s="105">
        <v>-35.499999999999993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1.6000000000000072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5.4000000000000075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7.1054273576010019E-15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-21.399999999999991</v>
      </c>
    </row>
    <row r="52" spans="5:12" x14ac:dyDescent="0.4">
      <c r="K52" s="40">
        <v>50</v>
      </c>
      <c r="L52" s="105">
        <v>-53.899999999999991</v>
      </c>
    </row>
    <row r="53" spans="5:12" x14ac:dyDescent="0.4">
      <c r="K53" s="40">
        <v>51</v>
      </c>
      <c r="L53" s="105">
        <v>7.1054273576010019E-15</v>
      </c>
    </row>
    <row r="54" spans="5:12" x14ac:dyDescent="0.4">
      <c r="K54" s="40">
        <v>52</v>
      </c>
      <c r="L54" s="105">
        <v>14.900000000000007</v>
      </c>
    </row>
    <row r="55" spans="5:12" x14ac:dyDescent="0.4">
      <c r="K55" s="40">
        <v>53</v>
      </c>
      <c r="L55" s="105">
        <v>1.2000000000000082</v>
      </c>
    </row>
    <row r="56" spans="5:12" x14ac:dyDescent="0.4">
      <c r="K56" s="40">
        <v>54</v>
      </c>
      <c r="L56" s="105">
        <v>8.2156503822261584E-15</v>
      </c>
    </row>
    <row r="57" spans="5:12" x14ac:dyDescent="0.4">
      <c r="K57" s="40">
        <v>55</v>
      </c>
      <c r="L57" s="105">
        <v>57.20000000000001</v>
      </c>
    </row>
    <row r="58" spans="5:12" x14ac:dyDescent="0.4">
      <c r="K58" s="40">
        <v>56</v>
      </c>
      <c r="L58" s="105">
        <v>18.800000000000011</v>
      </c>
    </row>
    <row r="59" spans="5:12" x14ac:dyDescent="0.4">
      <c r="K59" s="40">
        <v>57</v>
      </c>
      <c r="L59" s="105">
        <v>1.0658141036401503E-14</v>
      </c>
    </row>
    <row r="60" spans="5:12" x14ac:dyDescent="0.4">
      <c r="K60" s="40">
        <v>58</v>
      </c>
      <c r="L60" s="105">
        <v>26.20000000000001</v>
      </c>
    </row>
    <row r="61" spans="5:12" x14ac:dyDescent="0.4">
      <c r="K61" s="40">
        <v>59</v>
      </c>
      <c r="L61" s="105">
        <v>1.0000000000000107</v>
      </c>
    </row>
    <row r="62" spans="5:12" x14ac:dyDescent="0.4">
      <c r="K62" s="40">
        <v>60</v>
      </c>
      <c r="L62" s="105">
        <v>1.0658141036401503E-14</v>
      </c>
    </row>
    <row r="63" spans="5:12" x14ac:dyDescent="0.4">
      <c r="K63" s="40">
        <v>61</v>
      </c>
      <c r="L63" s="105">
        <v>56.500000000000014</v>
      </c>
    </row>
    <row r="64" spans="5:12" x14ac:dyDescent="0.4">
      <c r="K64" s="40">
        <v>62</v>
      </c>
      <c r="L64" s="105">
        <v>10.000000000000014</v>
      </c>
    </row>
    <row r="65" spans="11:12" x14ac:dyDescent="0.4">
      <c r="K65" s="40">
        <v>63</v>
      </c>
      <c r="L65" s="105">
        <v>1.4210854715202004E-14</v>
      </c>
    </row>
    <row r="66" spans="11:12" x14ac:dyDescent="0.4">
      <c r="K66" s="40">
        <v>64</v>
      </c>
      <c r="L66" s="105">
        <v>-25.499999999999986</v>
      </c>
    </row>
    <row r="67" spans="11:12" x14ac:dyDescent="0.4">
      <c r="K67" s="40">
        <v>65</v>
      </c>
      <c r="L67" s="105">
        <v>-65.399999999999977</v>
      </c>
    </row>
    <row r="68" spans="11:12" x14ac:dyDescent="0.4">
      <c r="K68" s="40">
        <v>66</v>
      </c>
      <c r="L68" s="105">
        <v>2.8421709430404007E-14</v>
      </c>
    </row>
    <row r="69" spans="11:12" x14ac:dyDescent="0.4">
      <c r="K69" s="40">
        <v>67</v>
      </c>
      <c r="L69" s="105">
        <v>24.700000000000028</v>
      </c>
    </row>
    <row r="70" spans="11:12" x14ac:dyDescent="0.4">
      <c r="K70" s="40">
        <v>68</v>
      </c>
      <c r="L70" s="105">
        <v>-11.099999999999969</v>
      </c>
    </row>
    <row r="71" spans="11:12" x14ac:dyDescent="0.4">
      <c r="K71" s="40">
        <v>69</v>
      </c>
      <c r="L71" s="105">
        <v>3.0198066269804258E-14</v>
      </c>
    </row>
    <row r="72" spans="11:12" x14ac:dyDescent="0.4">
      <c r="K72" s="40">
        <v>70</v>
      </c>
      <c r="L72" s="105">
        <v>-6.4999999999999698</v>
      </c>
    </row>
    <row r="73" spans="11:12" x14ac:dyDescent="0.4">
      <c r="K73" s="40">
        <v>71</v>
      </c>
      <c r="L73" s="105">
        <v>-50.999999999999972</v>
      </c>
    </row>
    <row r="74" spans="11:12" x14ac:dyDescent="0.4">
      <c r="K74" s="40">
        <v>72</v>
      </c>
      <c r="L74" s="105">
        <v>2.8421709430404007E-14</v>
      </c>
    </row>
    <row r="75" spans="11:12" x14ac:dyDescent="0.4">
      <c r="K75" s="40">
        <v>73</v>
      </c>
      <c r="L75" s="105">
        <v>-33.699999999999974</v>
      </c>
    </row>
    <row r="76" spans="11:12" x14ac:dyDescent="0.4">
      <c r="K76" s="40">
        <v>74</v>
      </c>
      <c r="L76" s="105">
        <v>-17.199999999999974</v>
      </c>
    </row>
    <row r="77" spans="11:12" x14ac:dyDescent="0.4">
      <c r="K77" s="40">
        <v>75</v>
      </c>
      <c r="L77" s="105">
        <v>2.4868995751603507E-14</v>
      </c>
    </row>
    <row r="78" spans="11:12" x14ac:dyDescent="0.4">
      <c r="K78" s="40">
        <v>76</v>
      </c>
      <c r="L78" s="105">
        <v>23.900000000000023</v>
      </c>
    </row>
    <row r="79" spans="11:12" x14ac:dyDescent="0.4">
      <c r="K79" s="40">
        <v>77</v>
      </c>
      <c r="L79" s="105">
        <v>15.500000000000023</v>
      </c>
    </row>
    <row r="80" spans="11:12" x14ac:dyDescent="0.4">
      <c r="K80" s="40">
        <v>78</v>
      </c>
      <c r="L80" s="105">
        <v>2.3092638912203256E-14</v>
      </c>
    </row>
    <row r="81" spans="11:12" x14ac:dyDescent="0.4">
      <c r="K81" s="40">
        <v>79</v>
      </c>
      <c r="L81" s="105">
        <v>-36.999999999999979</v>
      </c>
    </row>
    <row r="82" spans="11:12" x14ac:dyDescent="0.4">
      <c r="K82" s="40">
        <v>80</v>
      </c>
      <c r="L82" s="105">
        <v>24.500000000000021</v>
      </c>
    </row>
    <row r="83" spans="11:12" x14ac:dyDescent="0.4">
      <c r="K83" s="40">
        <v>81</v>
      </c>
      <c r="L83" s="105">
        <v>2.1316282072803006E-14</v>
      </c>
    </row>
    <row r="84" spans="11:12" x14ac:dyDescent="0.4">
      <c r="K84" s="40">
        <v>82</v>
      </c>
      <c r="L84" s="105">
        <v>58.000000000000021</v>
      </c>
    </row>
    <row r="85" spans="11:12" x14ac:dyDescent="0.4">
      <c r="K85" s="40">
        <v>83</v>
      </c>
      <c r="L85" s="105">
        <v>41.500000000000021</v>
      </c>
    </row>
    <row r="86" spans="11:12" x14ac:dyDescent="0.4">
      <c r="K86" s="40">
        <v>84</v>
      </c>
      <c r="L86" s="105">
        <v>2.1316282072803006E-14</v>
      </c>
    </row>
    <row r="87" spans="11:12" x14ac:dyDescent="0.4">
      <c r="K87" s="40">
        <v>85</v>
      </c>
      <c r="L87" s="105">
        <v>-8.399999999999979</v>
      </c>
    </row>
    <row r="88" spans="11:12" x14ac:dyDescent="0.4">
      <c r="K88" s="40">
        <v>86</v>
      </c>
      <c r="L88" s="105">
        <v>19.300000000000018</v>
      </c>
    </row>
    <row r="89" spans="11:12" x14ac:dyDescent="0.4">
      <c r="K89" s="40">
        <v>87</v>
      </c>
      <c r="L89" s="105">
        <v>1.7763568394002505E-14</v>
      </c>
    </row>
    <row r="90" spans="11:12" x14ac:dyDescent="0.4">
      <c r="K90" s="40">
        <v>88</v>
      </c>
      <c r="L90" s="105">
        <v>53.300000000000011</v>
      </c>
    </row>
    <row r="91" spans="11:12" x14ac:dyDescent="0.4">
      <c r="K91" s="40">
        <v>89</v>
      </c>
      <c r="L91" s="105">
        <v>14.400000000000013</v>
      </c>
    </row>
    <row r="92" spans="11:12" x14ac:dyDescent="0.4">
      <c r="K92" s="40">
        <v>90</v>
      </c>
      <c r="L92" s="105">
        <v>1.2434497875801753E-14</v>
      </c>
    </row>
    <row r="93" spans="11:12" x14ac:dyDescent="0.4">
      <c r="K93" s="40">
        <v>91</v>
      </c>
      <c r="L93" s="105">
        <v>-13.999999999999988</v>
      </c>
    </row>
    <row r="94" spans="11:12" x14ac:dyDescent="0.4">
      <c r="K94" s="40">
        <v>92</v>
      </c>
      <c r="L94" s="105">
        <v>-51.999999999999986</v>
      </c>
    </row>
    <row r="95" spans="11:12" x14ac:dyDescent="0.4">
      <c r="K95" s="40">
        <v>93</v>
      </c>
      <c r="L95" s="105">
        <v>1.4210854715202004E-14</v>
      </c>
    </row>
    <row r="96" spans="11:12" x14ac:dyDescent="0.4">
      <c r="K96" s="40">
        <v>94</v>
      </c>
      <c r="L96" s="105">
        <v>60.700000000000017</v>
      </c>
    </row>
    <row r="97" spans="11:12" x14ac:dyDescent="0.4">
      <c r="K97" s="40">
        <v>95</v>
      </c>
      <c r="L97" s="105">
        <v>40.40000000000002</v>
      </c>
    </row>
    <row r="98" spans="11:12" x14ac:dyDescent="0.4">
      <c r="K98" s="40">
        <v>96</v>
      </c>
      <c r="L98" s="105">
        <v>2.1316282072803006E-14</v>
      </c>
    </row>
    <row r="99" spans="11:12" x14ac:dyDescent="0.4">
      <c r="K99" s="40">
        <v>97</v>
      </c>
      <c r="L99" s="105">
        <v>50.000000000000021</v>
      </c>
    </row>
    <row r="100" spans="11:12" x14ac:dyDescent="0.4">
      <c r="K100" s="40">
        <v>98</v>
      </c>
      <c r="L100" s="105">
        <v>41.500000000000021</v>
      </c>
    </row>
    <row r="101" spans="11:12" x14ac:dyDescent="0.4">
      <c r="K101" s="40">
        <v>99</v>
      </c>
      <c r="L101" s="105">
        <v>2.1316282072803006E-14</v>
      </c>
    </row>
    <row r="102" spans="11:12" x14ac:dyDescent="0.4">
      <c r="K102" s="40">
        <v>100</v>
      </c>
      <c r="L102" s="105">
        <v>-13.999999999999979</v>
      </c>
    </row>
    <row r="103" spans="11:12" x14ac:dyDescent="0.4">
      <c r="K103" s="40">
        <v>101</v>
      </c>
      <c r="L103" s="105">
        <v>-52.499999999999979</v>
      </c>
    </row>
    <row r="104" spans="11:12" x14ac:dyDescent="0.4">
      <c r="K104" s="40">
        <v>102</v>
      </c>
      <c r="L104" s="105">
        <v>2.1316282072803006E-14</v>
      </c>
    </row>
    <row r="105" spans="11:12" x14ac:dyDescent="0.4">
      <c r="K105" s="40">
        <v>103</v>
      </c>
      <c r="L105" s="105">
        <v>-3.3999999999999786</v>
      </c>
    </row>
    <row r="106" spans="11:12" x14ac:dyDescent="0.4">
      <c r="K106" s="40">
        <v>104</v>
      </c>
      <c r="L106" s="105">
        <v>-14.999999999999979</v>
      </c>
    </row>
    <row r="107" spans="11:12" x14ac:dyDescent="0.4">
      <c r="K107" s="40">
        <v>105</v>
      </c>
      <c r="L107" s="105">
        <v>2.1316282072803006E-14</v>
      </c>
    </row>
    <row r="108" spans="11:12" x14ac:dyDescent="0.4">
      <c r="K108" s="40">
        <v>106</v>
      </c>
      <c r="L108" s="105">
        <v>-17.09999999999998</v>
      </c>
    </row>
    <row r="109" spans="11:12" x14ac:dyDescent="0.4">
      <c r="K109" s="40">
        <v>107</v>
      </c>
      <c r="L109" s="105">
        <v>-16.799999999999979</v>
      </c>
    </row>
    <row r="110" spans="11:12" x14ac:dyDescent="0.4">
      <c r="K110" s="40">
        <v>108</v>
      </c>
      <c r="L110" s="105">
        <v>2.1316282072803006E-14</v>
      </c>
    </row>
    <row r="111" spans="11:12" x14ac:dyDescent="0.4">
      <c r="K111" s="40">
        <v>109</v>
      </c>
      <c r="L111" s="105">
        <v>21.100000000000023</v>
      </c>
    </row>
    <row r="112" spans="11:12" x14ac:dyDescent="0.4">
      <c r="K112" s="40">
        <v>110</v>
      </c>
      <c r="L112" s="105">
        <v>35.800000000000026</v>
      </c>
    </row>
    <row r="113" spans="11:12" x14ac:dyDescent="0.4">
      <c r="K113" s="40">
        <v>111</v>
      </c>
      <c r="L113" s="105">
        <v>2.8421709430404007E-14</v>
      </c>
    </row>
    <row r="114" spans="11:12" x14ac:dyDescent="0.4">
      <c r="K114" s="40">
        <v>112</v>
      </c>
      <c r="L114" s="105">
        <v>-50.599999999999973</v>
      </c>
    </row>
    <row r="115" spans="11:12" x14ac:dyDescent="0.4">
      <c r="K115" s="40">
        <v>113</v>
      </c>
      <c r="L115" s="105">
        <v>-2.599999999999973</v>
      </c>
    </row>
    <row r="116" spans="11:12" x14ac:dyDescent="0.4">
      <c r="K116" s="40">
        <v>114</v>
      </c>
      <c r="L116" s="105">
        <v>2.708944180085382E-14</v>
      </c>
    </row>
    <row r="117" spans="11:12" x14ac:dyDescent="0.4">
      <c r="K117" s="40">
        <v>115</v>
      </c>
      <c r="L117" s="105">
        <v>-8.1999999999999726</v>
      </c>
    </row>
    <row r="118" spans="11:12" x14ac:dyDescent="0.4">
      <c r="K118" s="40">
        <v>116</v>
      </c>
      <c r="L118" s="105">
        <v>-49.999999999999972</v>
      </c>
    </row>
    <row r="119" spans="11:12" x14ac:dyDescent="0.4">
      <c r="K119" s="40">
        <v>117</v>
      </c>
      <c r="L119" s="105">
        <v>2.8421709430404007E-14</v>
      </c>
    </row>
    <row r="120" spans="11:12" x14ac:dyDescent="0.4">
      <c r="K120" s="40">
        <v>118</v>
      </c>
      <c r="L120" s="105">
        <v>-6.9999999999999716</v>
      </c>
    </row>
    <row r="121" spans="11:12" x14ac:dyDescent="0.4">
      <c r="K121" s="40">
        <v>119</v>
      </c>
      <c r="L121" s="105">
        <v>-12.499999999999972</v>
      </c>
    </row>
    <row r="122" spans="11:12" x14ac:dyDescent="0.4">
      <c r="K122" s="40">
        <v>120</v>
      </c>
      <c r="L122" s="105">
        <v>2.8421709430404007E-14</v>
      </c>
    </row>
    <row r="123" spans="11:12" x14ac:dyDescent="0.4">
      <c r="K123" s="40">
        <v>121</v>
      </c>
      <c r="L123" s="105">
        <v>-36.39999999999997</v>
      </c>
    </row>
    <row r="124" spans="11:12" x14ac:dyDescent="0.4">
      <c r="K124" s="40">
        <v>122</v>
      </c>
      <c r="L124" s="105">
        <v>-11.499999999999972</v>
      </c>
    </row>
    <row r="125" spans="11:12" x14ac:dyDescent="0.4">
      <c r="K125" s="40">
        <v>123</v>
      </c>
      <c r="L125" s="105">
        <v>2.8421709430404007E-14</v>
      </c>
    </row>
    <row r="126" spans="11:12" x14ac:dyDescent="0.4">
      <c r="K126" s="40">
        <v>124</v>
      </c>
      <c r="L126" s="105">
        <v>-8.4999999999999716</v>
      </c>
    </row>
    <row r="127" spans="11:12" x14ac:dyDescent="0.4">
      <c r="K127" s="40">
        <v>125</v>
      </c>
      <c r="L127" s="105">
        <v>-5.4999999999999716</v>
      </c>
    </row>
    <row r="128" spans="11:12" x14ac:dyDescent="0.4">
      <c r="K128" s="40">
        <v>126</v>
      </c>
      <c r="L128" s="105">
        <v>2.8421709430404007E-14</v>
      </c>
    </row>
    <row r="129" spans="11:12" x14ac:dyDescent="0.4">
      <c r="K129" s="40">
        <v>127</v>
      </c>
      <c r="L129" s="105">
        <v>8.4000000000000288</v>
      </c>
    </row>
    <row r="130" spans="11:12" x14ac:dyDescent="0.4">
      <c r="K130" s="40">
        <v>128</v>
      </c>
      <c r="L130" s="105">
        <v>23.900000000000027</v>
      </c>
    </row>
    <row r="131" spans="11:12" x14ac:dyDescent="0.4">
      <c r="K131" s="40">
        <v>129</v>
      </c>
      <c r="L131" s="105">
        <v>2.8421709430404007E-14</v>
      </c>
    </row>
    <row r="132" spans="11:12" x14ac:dyDescent="0.4">
      <c r="K132" s="40">
        <v>130</v>
      </c>
      <c r="L132" s="105">
        <v>-10.399999999999972</v>
      </c>
    </row>
    <row r="133" spans="11:12" x14ac:dyDescent="0.4">
      <c r="K133" s="40">
        <v>131</v>
      </c>
      <c r="L133" s="105">
        <v>0.70000000000002771</v>
      </c>
    </row>
    <row r="134" spans="11:12" x14ac:dyDescent="0.4">
      <c r="K134" s="40">
        <v>132</v>
      </c>
      <c r="L134" s="105">
        <v>2.7755575615628914E-14</v>
      </c>
    </row>
    <row r="135" spans="11:12" x14ac:dyDescent="0.4">
      <c r="K135" s="40">
        <v>133</v>
      </c>
      <c r="L135" s="105">
        <v>27.900000000000027</v>
      </c>
    </row>
    <row r="136" spans="11:12" x14ac:dyDescent="0.4">
      <c r="K136" s="40">
        <v>134</v>
      </c>
      <c r="L136" s="105">
        <v>-7.9999999999999716</v>
      </c>
    </row>
    <row r="137" spans="11:12" x14ac:dyDescent="0.4">
      <c r="K137" s="40">
        <v>135</v>
      </c>
      <c r="L137" s="105">
        <v>2.8421709430404007E-14</v>
      </c>
    </row>
    <row r="138" spans="11:12" x14ac:dyDescent="0.4">
      <c r="K138" s="40">
        <v>136</v>
      </c>
      <c r="L138" s="105">
        <v>-20.499999999999972</v>
      </c>
    </row>
    <row r="139" spans="11:12" x14ac:dyDescent="0.4">
      <c r="K139" s="40">
        <v>137</v>
      </c>
      <c r="L139" s="105">
        <v>-25.199999999999971</v>
      </c>
    </row>
    <row r="140" spans="11:12" x14ac:dyDescent="0.4">
      <c r="K140" s="40">
        <v>138</v>
      </c>
      <c r="L140" s="105">
        <v>2.8421709430404007E-14</v>
      </c>
    </row>
    <row r="141" spans="11:12" x14ac:dyDescent="0.4">
      <c r="K141" s="40">
        <v>139</v>
      </c>
      <c r="L141" s="105">
        <v>-31.099999999999973</v>
      </c>
    </row>
    <row r="142" spans="11:12" x14ac:dyDescent="0.4">
      <c r="K142" s="40">
        <v>140</v>
      </c>
      <c r="L142" s="105">
        <v>-62.299999999999969</v>
      </c>
    </row>
    <row r="143" spans="11:12" x14ac:dyDescent="0.4">
      <c r="K143" s="40">
        <v>141</v>
      </c>
      <c r="L143" s="105">
        <v>2.8421709430404007E-14</v>
      </c>
    </row>
    <row r="144" spans="11:12" x14ac:dyDescent="0.4">
      <c r="K144" s="40">
        <v>142</v>
      </c>
      <c r="L144" s="105">
        <v>16.200000000000028</v>
      </c>
    </row>
    <row r="145" spans="11:12" x14ac:dyDescent="0.4">
      <c r="K145" s="40">
        <v>143</v>
      </c>
      <c r="L145" s="105">
        <v>-8.599999999999973</v>
      </c>
    </row>
    <row r="146" spans="11:12" x14ac:dyDescent="0.4">
      <c r="K146" s="40">
        <v>144</v>
      </c>
      <c r="L146" s="105">
        <v>2.6645352591003757E-14</v>
      </c>
    </row>
    <row r="147" spans="11:12" x14ac:dyDescent="0.4">
      <c r="K147" s="40">
        <v>145</v>
      </c>
      <c r="L147" s="105">
        <v>-4.8999999999999737</v>
      </c>
    </row>
    <row r="148" spans="11:12" x14ac:dyDescent="0.4">
      <c r="K148" s="40">
        <v>146</v>
      </c>
      <c r="L148" s="105">
        <v>-16.799999999999976</v>
      </c>
    </row>
    <row r="149" spans="11:12" x14ac:dyDescent="0.4">
      <c r="K149" s="40">
        <v>147</v>
      </c>
      <c r="L149" s="105">
        <v>-1.9999999999999751</v>
      </c>
    </row>
    <row r="150" spans="11:12" x14ac:dyDescent="0.4">
      <c r="K150" s="40">
        <v>148</v>
      </c>
      <c r="L150" s="105">
        <v>10.800000000000026</v>
      </c>
    </row>
    <row r="151" spans="11:12" x14ac:dyDescent="0.4">
      <c r="K151" s="40">
        <v>149</v>
      </c>
      <c r="L151" s="105">
        <v>14.700000000000026</v>
      </c>
    </row>
    <row r="152" spans="11:12" x14ac:dyDescent="0.4">
      <c r="K152" s="40">
        <v>150</v>
      </c>
      <c r="L152" s="105">
        <v>-1.9999999999999734</v>
      </c>
    </row>
    <row r="153" spans="11:12" x14ac:dyDescent="0.4">
      <c r="K153" s="40">
        <v>151</v>
      </c>
      <c r="L153" s="105">
        <v>-1.2999999999999734</v>
      </c>
    </row>
    <row r="154" spans="11:12" x14ac:dyDescent="0.4">
      <c r="K154" s="40">
        <v>152</v>
      </c>
      <c r="L154" s="105">
        <v>41.900000000000027</v>
      </c>
    </row>
    <row r="155" spans="11:12" x14ac:dyDescent="0.4">
      <c r="K155" s="40">
        <v>153</v>
      </c>
      <c r="L155" s="105">
        <v>-1.9999999999999716</v>
      </c>
    </row>
    <row r="156" spans="11:12" x14ac:dyDescent="0.4">
      <c r="K156" s="40">
        <v>154</v>
      </c>
      <c r="L156" s="105">
        <v>-8.6999999999999709</v>
      </c>
    </row>
    <row r="157" spans="11:12" x14ac:dyDescent="0.4">
      <c r="K157" s="40">
        <v>155</v>
      </c>
      <c r="L157" s="105">
        <v>-11.499999999999972</v>
      </c>
    </row>
    <row r="158" spans="11:12" x14ac:dyDescent="0.4">
      <c r="K158" s="40">
        <v>156</v>
      </c>
      <c r="L158" s="105">
        <v>-1.9999999999999716</v>
      </c>
    </row>
    <row r="159" spans="11:12" x14ac:dyDescent="0.4">
      <c r="K159" s="40">
        <v>157</v>
      </c>
      <c r="L159" s="105">
        <v>-29.999999999999972</v>
      </c>
    </row>
    <row r="160" spans="11:12" x14ac:dyDescent="0.4">
      <c r="K160" s="40">
        <v>158</v>
      </c>
      <c r="L160" s="105">
        <v>-84.999999999999972</v>
      </c>
    </row>
    <row r="161" spans="11:12" x14ac:dyDescent="0.4">
      <c r="K161" s="40">
        <v>159</v>
      </c>
      <c r="L161" s="105">
        <v>-1.9999999999999716</v>
      </c>
    </row>
    <row r="162" spans="11:12" x14ac:dyDescent="0.4">
      <c r="K162" s="40">
        <v>160</v>
      </c>
      <c r="L162" s="105">
        <v>14.700000000000028</v>
      </c>
    </row>
    <row r="163" spans="11:12" x14ac:dyDescent="0.4">
      <c r="K163" s="40">
        <v>161</v>
      </c>
      <c r="L163" s="105">
        <v>-22.999999999999975</v>
      </c>
    </row>
    <row r="164" spans="11:12" x14ac:dyDescent="0.4">
      <c r="K164" s="40">
        <v>162</v>
      </c>
      <c r="L164" s="105">
        <v>-1.9999999999999751</v>
      </c>
    </row>
    <row r="165" spans="11:12" x14ac:dyDescent="0.4">
      <c r="K165" s="40">
        <v>163</v>
      </c>
      <c r="L165" s="105">
        <v>-8.9999999999999751</v>
      </c>
    </row>
    <row r="166" spans="11:12" x14ac:dyDescent="0.4">
      <c r="K166" s="40">
        <v>164</v>
      </c>
      <c r="L166" s="105">
        <v>-14.899999999999975</v>
      </c>
    </row>
    <row r="167" spans="11:12" x14ac:dyDescent="0.4">
      <c r="K167" s="40">
        <v>165</v>
      </c>
      <c r="L167" s="105">
        <v>-2.9999999999999751</v>
      </c>
    </row>
    <row r="168" spans="11:12" x14ac:dyDescent="0.4">
      <c r="K168" s="40">
        <v>166</v>
      </c>
      <c r="L168" s="105">
        <v>28.600000000000026</v>
      </c>
    </row>
    <row r="169" spans="11:12" x14ac:dyDescent="0.4">
      <c r="K169" s="40">
        <v>167</v>
      </c>
      <c r="L169" s="105">
        <v>34.800000000000026</v>
      </c>
    </row>
    <row r="170" spans="11:12" x14ac:dyDescent="0.4">
      <c r="K170" s="40">
        <v>168</v>
      </c>
      <c r="L170" s="105">
        <v>-2.9999999999999716</v>
      </c>
    </row>
    <row r="171" spans="11:12" x14ac:dyDescent="0.4">
      <c r="K171" s="40">
        <v>169</v>
      </c>
      <c r="L171" s="105">
        <v>12.800000000000029</v>
      </c>
    </row>
    <row r="172" spans="11:12" x14ac:dyDescent="0.4">
      <c r="K172" s="40">
        <v>170</v>
      </c>
      <c r="L172" s="105">
        <v>-33.299999999999969</v>
      </c>
    </row>
    <row r="173" spans="11:12" x14ac:dyDescent="0.4">
      <c r="K173" s="40">
        <v>171</v>
      </c>
      <c r="L173" s="105">
        <v>-2.999999999999968</v>
      </c>
    </row>
    <row r="174" spans="11:12" x14ac:dyDescent="0.4">
      <c r="K174" s="40">
        <v>172</v>
      </c>
      <c r="L174" s="105">
        <v>54.000000000000028</v>
      </c>
    </row>
    <row r="175" spans="11:12" x14ac:dyDescent="0.4">
      <c r="K175" s="40">
        <v>173</v>
      </c>
      <c r="L175" s="105">
        <v>3.5000000000000284</v>
      </c>
    </row>
    <row r="176" spans="11:12" x14ac:dyDescent="0.4">
      <c r="K176" s="40">
        <v>174</v>
      </c>
      <c r="L176" s="105">
        <v>-2.9999999999999716</v>
      </c>
    </row>
    <row r="177" spans="11:12" x14ac:dyDescent="0.4">
      <c r="K177" s="40">
        <v>175</v>
      </c>
      <c r="L177" s="105">
        <v>2.3000000000000282</v>
      </c>
    </row>
    <row r="178" spans="11:12" x14ac:dyDescent="0.4">
      <c r="K178" s="40">
        <v>176</v>
      </c>
      <c r="L178" s="105">
        <v>8.6000000000000281</v>
      </c>
    </row>
    <row r="179" spans="11:12" x14ac:dyDescent="0.4">
      <c r="K179" s="40">
        <v>177</v>
      </c>
      <c r="L179" s="105">
        <v>-2.9999999999999716</v>
      </c>
    </row>
    <row r="180" spans="11:12" x14ac:dyDescent="0.4">
      <c r="K180" s="40">
        <v>178</v>
      </c>
      <c r="L180" s="105">
        <v>-39.199999999999974</v>
      </c>
    </row>
    <row r="181" spans="11:12" x14ac:dyDescent="0.4">
      <c r="K181" s="40">
        <v>179</v>
      </c>
      <c r="L181" s="105">
        <v>-20.499999999999975</v>
      </c>
    </row>
    <row r="182" spans="11:12" x14ac:dyDescent="0.4">
      <c r="K182" s="40">
        <v>180</v>
      </c>
      <c r="L182" s="105">
        <v>-2.9999999999999751</v>
      </c>
    </row>
    <row r="183" spans="11:12" x14ac:dyDescent="0.4">
      <c r="K183" s="40">
        <v>181</v>
      </c>
      <c r="L183" s="105">
        <v>-49.09999999999998</v>
      </c>
    </row>
    <row r="184" spans="11:12" x14ac:dyDescent="0.4">
      <c r="K184" s="40">
        <v>182</v>
      </c>
      <c r="L184" s="105">
        <v>-43.999999999999979</v>
      </c>
    </row>
    <row r="185" spans="11:12" x14ac:dyDescent="0.4">
      <c r="K185" s="40">
        <v>183</v>
      </c>
      <c r="L185" s="105">
        <v>-2.9999999999999787</v>
      </c>
    </row>
    <row r="186" spans="11:12" x14ac:dyDescent="0.4">
      <c r="K186" s="40">
        <v>184</v>
      </c>
      <c r="L186" s="105">
        <v>32.000000000000021</v>
      </c>
    </row>
    <row r="187" spans="11:12" x14ac:dyDescent="0.4">
      <c r="K187" s="40">
        <v>185</v>
      </c>
      <c r="L187" s="105">
        <v>7.5000000000000213</v>
      </c>
    </row>
    <row r="188" spans="11:12" x14ac:dyDescent="0.4">
      <c r="K188" s="40">
        <v>186</v>
      </c>
      <c r="L188" s="105">
        <v>-2.9999999999999787</v>
      </c>
    </row>
    <row r="189" spans="11:12" x14ac:dyDescent="0.4">
      <c r="K189" s="40">
        <v>187</v>
      </c>
      <c r="L189" s="105">
        <v>18.100000000000023</v>
      </c>
    </row>
    <row r="190" spans="11:12" x14ac:dyDescent="0.4">
      <c r="K190" s="40">
        <v>188</v>
      </c>
      <c r="L190" s="105">
        <v>4.2000000000000224</v>
      </c>
    </row>
    <row r="191" spans="11:12" x14ac:dyDescent="0.4">
      <c r="K191" s="40">
        <v>189</v>
      </c>
      <c r="L191" s="105">
        <v>-2.9999999999999778</v>
      </c>
    </row>
    <row r="192" spans="11:12" x14ac:dyDescent="0.4">
      <c r="K192" s="40">
        <v>190</v>
      </c>
      <c r="L192" s="105">
        <v>-68.999999999999972</v>
      </c>
    </row>
    <row r="193" spans="11:12" x14ac:dyDescent="0.4">
      <c r="K193" s="40">
        <v>191</v>
      </c>
      <c r="L193" s="105">
        <v>-77.299999999999969</v>
      </c>
    </row>
    <row r="194" spans="11:12" x14ac:dyDescent="0.4">
      <c r="K194" s="40">
        <v>192</v>
      </c>
      <c r="L194" s="105">
        <v>-2.9999999999999716</v>
      </c>
    </row>
    <row r="195" spans="11:12" x14ac:dyDescent="0.4">
      <c r="K195" s="40">
        <v>193</v>
      </c>
      <c r="L195" s="105">
        <v>-7.9999999999999716</v>
      </c>
    </row>
    <row r="196" spans="11:12" x14ac:dyDescent="0.4">
      <c r="K196" s="40">
        <v>194</v>
      </c>
      <c r="L196" s="105">
        <v>-52.999999999999972</v>
      </c>
    </row>
    <row r="197" spans="11:12" x14ac:dyDescent="0.4">
      <c r="K197" s="40">
        <v>195</v>
      </c>
      <c r="L197" s="105">
        <v>-2.9999999999999716</v>
      </c>
    </row>
    <row r="198" spans="11:12" x14ac:dyDescent="0.4">
      <c r="K198" s="40">
        <v>196</v>
      </c>
      <c r="L198" s="105">
        <v>-1.9999999999999716</v>
      </c>
    </row>
    <row r="199" spans="11:12" x14ac:dyDescent="0.4">
      <c r="K199" s="40">
        <v>197</v>
      </c>
      <c r="L199" s="105">
        <v>-37.999999999999972</v>
      </c>
    </row>
    <row r="200" spans="11:12" x14ac:dyDescent="0.4">
      <c r="K200" s="40">
        <v>198</v>
      </c>
      <c r="L200" s="105">
        <v>-2.9999999999999716</v>
      </c>
    </row>
    <row r="201" spans="11:12" x14ac:dyDescent="0.4">
      <c r="K201" s="40">
        <v>199</v>
      </c>
      <c r="L201" s="105">
        <v>28.60000000000003</v>
      </c>
    </row>
    <row r="202" spans="11:12" x14ac:dyDescent="0.4">
      <c r="K202" s="40">
        <v>200</v>
      </c>
      <c r="L202" s="105">
        <v>-2.6999999999999709</v>
      </c>
    </row>
    <row r="203" spans="11:12" x14ac:dyDescent="0.4">
      <c r="K203" s="40">
        <v>201</v>
      </c>
      <c r="L203" s="105">
        <v>-2.9999999999999707</v>
      </c>
    </row>
    <row r="204" spans="11:12" x14ac:dyDescent="0.4">
      <c r="K204" s="40">
        <v>202</v>
      </c>
      <c r="L204" s="105">
        <v>-21.999999999999972</v>
      </c>
    </row>
    <row r="205" spans="11:12" x14ac:dyDescent="0.4">
      <c r="K205" s="40">
        <v>203</v>
      </c>
      <c r="L205" s="105">
        <v>42.000000000000028</v>
      </c>
    </row>
    <row r="206" spans="11:12" x14ac:dyDescent="0.4">
      <c r="K206" s="40">
        <v>204</v>
      </c>
      <c r="L206" s="105">
        <v>-2.9999999999999716</v>
      </c>
    </row>
    <row r="207" spans="11:12" x14ac:dyDescent="0.4">
      <c r="K207" s="40">
        <v>205</v>
      </c>
      <c r="L207" s="105">
        <v>-12.899999999999972</v>
      </c>
    </row>
    <row r="208" spans="11:12" x14ac:dyDescent="0.4">
      <c r="K208" s="40">
        <v>206</v>
      </c>
      <c r="L208" s="105">
        <v>-9.7999999999999723</v>
      </c>
    </row>
    <row r="209" spans="11:12" x14ac:dyDescent="0.4">
      <c r="K209" s="40">
        <v>207</v>
      </c>
      <c r="L209" s="105">
        <v>-2.9999999999999725</v>
      </c>
    </row>
    <row r="210" spans="11:12" x14ac:dyDescent="0.4">
      <c r="K210" s="40">
        <v>208</v>
      </c>
      <c r="L210" s="105">
        <v>-2.0999999999999726</v>
      </c>
    </row>
    <row r="211" spans="11:12" x14ac:dyDescent="0.4">
      <c r="K211" s="40">
        <v>209</v>
      </c>
      <c r="L211" s="105">
        <v>-0.8999999999999726</v>
      </c>
    </row>
    <row r="212" spans="11:12" x14ac:dyDescent="0.4">
      <c r="K212" s="40">
        <v>210</v>
      </c>
      <c r="L212" s="105">
        <v>-2.9999999999999725</v>
      </c>
    </row>
    <row r="213" spans="11:12" x14ac:dyDescent="0.4">
      <c r="K213" s="40">
        <v>211</v>
      </c>
      <c r="L213" s="105">
        <v>29.300000000000026</v>
      </c>
    </row>
    <row r="214" spans="11:12" x14ac:dyDescent="0.4">
      <c r="K214" s="40">
        <v>212</v>
      </c>
      <c r="L214" s="105">
        <v>32.100000000000023</v>
      </c>
    </row>
    <row r="215" spans="11:12" x14ac:dyDescent="0.4">
      <c r="K215" s="40">
        <v>213</v>
      </c>
      <c r="L215" s="105">
        <v>-2.9999999999999787</v>
      </c>
    </row>
    <row r="216" spans="11:12" x14ac:dyDescent="0.4">
      <c r="K216" s="40">
        <v>214</v>
      </c>
      <c r="L216" s="105">
        <v>-48.999999999999979</v>
      </c>
    </row>
    <row r="217" spans="11:12" x14ac:dyDescent="0.4">
      <c r="K217" s="40">
        <v>215</v>
      </c>
      <c r="L217" s="105">
        <v>-4.3999999999999773</v>
      </c>
    </row>
    <row r="218" spans="11:12" x14ac:dyDescent="0.4">
      <c r="K218" s="40">
        <v>216</v>
      </c>
      <c r="L218" s="105">
        <v>-2.9999999999999774</v>
      </c>
    </row>
    <row r="219" spans="11:12" x14ac:dyDescent="0.4">
      <c r="K219" s="40">
        <v>217</v>
      </c>
      <c r="L219" s="105">
        <v>25.40000000000002</v>
      </c>
    </row>
    <row r="220" spans="11:12" x14ac:dyDescent="0.4">
      <c r="K220" s="40">
        <v>218</v>
      </c>
      <c r="L220" s="105">
        <v>24.000000000000021</v>
      </c>
    </row>
    <row r="221" spans="11:12" x14ac:dyDescent="0.4">
      <c r="K221" s="40">
        <v>219</v>
      </c>
      <c r="L221" s="105">
        <v>-2.9999999999999787</v>
      </c>
    </row>
    <row r="222" spans="11:12" x14ac:dyDescent="0.4">
      <c r="K222" s="40">
        <v>220</v>
      </c>
      <c r="L222" s="105">
        <v>-10.399999999999979</v>
      </c>
    </row>
    <row r="223" spans="11:12" x14ac:dyDescent="0.4">
      <c r="K223" s="40">
        <v>221</v>
      </c>
      <c r="L223" s="105">
        <v>-50.09999999999998</v>
      </c>
    </row>
    <row r="224" spans="11:12" x14ac:dyDescent="0.4">
      <c r="K224" s="40">
        <v>222</v>
      </c>
      <c r="L224" s="105">
        <v>-2.9999999999999787</v>
      </c>
    </row>
    <row r="225" spans="11:12" x14ac:dyDescent="0.4">
      <c r="K225" s="40">
        <v>223</v>
      </c>
      <c r="L225" s="105">
        <v>15.300000000000022</v>
      </c>
    </row>
    <row r="226" spans="11:12" x14ac:dyDescent="0.4">
      <c r="K226" s="40">
        <v>224</v>
      </c>
      <c r="L226" s="105">
        <v>-17.799999999999979</v>
      </c>
    </row>
    <row r="227" spans="11:12" x14ac:dyDescent="0.4">
      <c r="K227" s="40">
        <v>225</v>
      </c>
      <c r="L227" s="105">
        <v>-2.9999999999999787</v>
      </c>
    </row>
    <row r="228" spans="11:12" x14ac:dyDescent="0.4">
      <c r="K228" s="40">
        <v>226</v>
      </c>
      <c r="L228" s="105">
        <v>-16.899999999999977</v>
      </c>
    </row>
    <row r="229" spans="11:12" x14ac:dyDescent="0.4">
      <c r="K229" s="40">
        <v>227</v>
      </c>
      <c r="L229" s="105">
        <v>-35.09999999999998</v>
      </c>
    </row>
    <row r="230" spans="11:12" x14ac:dyDescent="0.4">
      <c r="K230" s="40">
        <v>228</v>
      </c>
      <c r="L230" s="105">
        <v>-2.9999999999999787</v>
      </c>
    </row>
    <row r="231" spans="11:12" x14ac:dyDescent="0.4">
      <c r="K231" s="40">
        <v>229</v>
      </c>
      <c r="L231" s="105">
        <v>37.000000000000021</v>
      </c>
    </row>
    <row r="232" spans="11:12" x14ac:dyDescent="0.4">
      <c r="K232" s="40">
        <v>230</v>
      </c>
      <c r="L232" s="105">
        <v>-3.3999999999999773</v>
      </c>
    </row>
    <row r="233" spans="11:12" x14ac:dyDescent="0.4">
      <c r="K233" s="40">
        <v>231</v>
      </c>
      <c r="L233" s="105">
        <v>-2.9999999999999774</v>
      </c>
    </row>
    <row r="234" spans="11:12" x14ac:dyDescent="0.4">
      <c r="K234" s="40">
        <v>232</v>
      </c>
      <c r="L234" s="105">
        <v>2.2000000000000228</v>
      </c>
    </row>
    <row r="235" spans="11:12" x14ac:dyDescent="0.4">
      <c r="K235" s="40">
        <v>233</v>
      </c>
      <c r="L235" s="105">
        <v>-8.7999999999999776</v>
      </c>
    </row>
    <row r="236" spans="11:12" x14ac:dyDescent="0.4">
      <c r="K236" s="40">
        <v>234</v>
      </c>
      <c r="L236" s="105">
        <v>-2.9999999999999778</v>
      </c>
    </row>
    <row r="237" spans="11:12" x14ac:dyDescent="0.4">
      <c r="K237" s="40">
        <v>235</v>
      </c>
      <c r="L237" s="105">
        <v>-16.699999999999978</v>
      </c>
    </row>
    <row r="238" spans="11:12" x14ac:dyDescent="0.4">
      <c r="K238" s="40">
        <v>236</v>
      </c>
      <c r="L238" s="105">
        <v>-32.499999999999979</v>
      </c>
    </row>
    <row r="239" spans="11:12" x14ac:dyDescent="0.4">
      <c r="K239" s="40">
        <v>237</v>
      </c>
      <c r="L239" s="105">
        <v>-2.9999999999999787</v>
      </c>
    </row>
    <row r="240" spans="11:12" x14ac:dyDescent="0.4">
      <c r="K240" s="40">
        <v>238</v>
      </c>
      <c r="L240" s="105">
        <v>-25.999999999999979</v>
      </c>
    </row>
    <row r="241" spans="11:12" x14ac:dyDescent="0.4">
      <c r="K241" s="40">
        <v>239</v>
      </c>
      <c r="L241" s="105">
        <v>-47.899999999999977</v>
      </c>
    </row>
    <row r="242" spans="11:12" x14ac:dyDescent="0.4">
      <c r="K242" s="40">
        <v>240</v>
      </c>
      <c r="L242" s="105">
        <v>-2.9999999999999787</v>
      </c>
    </row>
    <row r="243" spans="11:12" x14ac:dyDescent="0.4">
      <c r="K243" s="40">
        <v>241</v>
      </c>
      <c r="L243" s="105">
        <v>2.100000000000021</v>
      </c>
    </row>
    <row r="244" spans="11:12" x14ac:dyDescent="0.4">
      <c r="K244" s="40">
        <v>242</v>
      </c>
      <c r="L244" s="105">
        <v>13.400000000000022</v>
      </c>
    </row>
    <row r="245" spans="11:12" x14ac:dyDescent="0.4">
      <c r="K245" s="40">
        <v>243</v>
      </c>
      <c r="L245" s="105">
        <v>-2.9999999999999769</v>
      </c>
    </row>
    <row r="246" spans="11:12" x14ac:dyDescent="0.4">
      <c r="K246" s="40">
        <v>244</v>
      </c>
      <c r="L246" s="105">
        <v>28.90000000000002</v>
      </c>
    </row>
    <row r="247" spans="11:12" x14ac:dyDescent="0.4">
      <c r="K247" s="40">
        <v>245</v>
      </c>
      <c r="L247" s="105">
        <v>35.000000000000021</v>
      </c>
    </row>
    <row r="248" spans="11:12" x14ac:dyDescent="0.4">
      <c r="K248" s="40">
        <v>246</v>
      </c>
      <c r="L248" s="105">
        <v>-2.9999999999999787</v>
      </c>
    </row>
    <row r="249" spans="11:12" x14ac:dyDescent="0.4">
      <c r="K249" s="40">
        <v>247</v>
      </c>
      <c r="L249" s="105">
        <v>37.000000000000021</v>
      </c>
    </row>
    <row r="250" spans="11:12" x14ac:dyDescent="0.4">
      <c r="K250" s="40">
        <v>248</v>
      </c>
      <c r="L250" s="105">
        <v>-6.9999999999999787</v>
      </c>
    </row>
    <row r="251" spans="11:12" x14ac:dyDescent="0.4">
      <c r="K251" s="40">
        <v>249</v>
      </c>
      <c r="L251" s="105">
        <v>-2.9999999999999787</v>
      </c>
    </row>
    <row r="252" spans="11:12" x14ac:dyDescent="0.4">
      <c r="K252" s="40">
        <v>250</v>
      </c>
      <c r="L252" s="105">
        <v>19.500000000000021</v>
      </c>
    </row>
    <row r="253" spans="11:12" x14ac:dyDescent="0.4">
      <c r="K253" s="40">
        <v>251</v>
      </c>
      <c r="L253" s="105">
        <v>-21.499999999999979</v>
      </c>
    </row>
    <row r="254" spans="11:12" x14ac:dyDescent="0.4">
      <c r="K254" s="40">
        <v>252</v>
      </c>
      <c r="L254" s="105">
        <v>-2.9999999999999787</v>
      </c>
    </row>
    <row r="255" spans="11:12" x14ac:dyDescent="0.4">
      <c r="K255" s="40">
        <v>253</v>
      </c>
      <c r="L255" s="105">
        <v>28.500000000000021</v>
      </c>
    </row>
    <row r="256" spans="11:12" x14ac:dyDescent="0.4">
      <c r="K256" s="40">
        <v>254</v>
      </c>
      <c r="L256" s="105">
        <v>17.700000000000021</v>
      </c>
    </row>
    <row r="257" spans="11:12" x14ac:dyDescent="0.4">
      <c r="K257" s="40">
        <v>255</v>
      </c>
      <c r="L257" s="105">
        <v>-2.9999999999999787</v>
      </c>
    </row>
    <row r="258" spans="11:12" x14ac:dyDescent="0.4">
      <c r="K258" s="40">
        <v>256</v>
      </c>
      <c r="L258" s="105">
        <v>56.800000000000018</v>
      </c>
    </row>
    <row r="259" spans="11:12" x14ac:dyDescent="0.4">
      <c r="K259" s="40">
        <v>257</v>
      </c>
      <c r="L259" s="105">
        <v>21.300000000000018</v>
      </c>
    </row>
    <row r="260" spans="11:12" x14ac:dyDescent="0.4">
      <c r="K260" s="40">
        <v>258</v>
      </c>
      <c r="L260" s="105">
        <v>-2.9999999999999822</v>
      </c>
    </row>
    <row r="261" spans="11:12" x14ac:dyDescent="0.4">
      <c r="K261" s="40">
        <v>259</v>
      </c>
      <c r="L261" s="105">
        <v>8.1000000000000174</v>
      </c>
    </row>
    <row r="262" spans="11:12" x14ac:dyDescent="0.4">
      <c r="K262" s="40">
        <v>260</v>
      </c>
      <c r="L262" s="105">
        <v>-18.999999999999986</v>
      </c>
    </row>
    <row r="263" spans="11:12" x14ac:dyDescent="0.4">
      <c r="K263" s="40">
        <v>261</v>
      </c>
      <c r="L263" s="105">
        <v>-2.9999999999999858</v>
      </c>
    </row>
    <row r="264" spans="11:12" x14ac:dyDescent="0.4">
      <c r="K264" s="40">
        <v>262</v>
      </c>
      <c r="L264" s="105">
        <v>-1.3999999999999857</v>
      </c>
    </row>
    <row r="265" spans="11:12" x14ac:dyDescent="0.4">
      <c r="K265" s="40">
        <v>263</v>
      </c>
      <c r="L265" s="105">
        <v>21.200000000000017</v>
      </c>
    </row>
    <row r="266" spans="11:12" x14ac:dyDescent="0.4">
      <c r="K266" s="40">
        <v>264</v>
      </c>
      <c r="L266" s="105">
        <v>-2.9999999999999822</v>
      </c>
    </row>
    <row r="267" spans="11:12" x14ac:dyDescent="0.4">
      <c r="K267" s="40">
        <v>265</v>
      </c>
      <c r="L267" s="105">
        <v>-24.399999999999981</v>
      </c>
    </row>
    <row r="268" spans="11:12" x14ac:dyDescent="0.4">
      <c r="K268" s="40">
        <v>266</v>
      </c>
      <c r="L268" s="105">
        <v>-8.7999999999999812</v>
      </c>
    </row>
    <row r="269" spans="11:12" x14ac:dyDescent="0.4">
      <c r="K269" s="40">
        <v>267</v>
      </c>
      <c r="L269" s="105">
        <v>-2.9999999999999813</v>
      </c>
    </row>
    <row r="270" spans="11:12" x14ac:dyDescent="0.4">
      <c r="K270" s="40">
        <v>268</v>
      </c>
      <c r="L270" s="105">
        <v>0.50000000000001865</v>
      </c>
    </row>
    <row r="271" spans="11:12" x14ac:dyDescent="0.4">
      <c r="K271" s="40">
        <v>269</v>
      </c>
      <c r="L271" s="105">
        <v>1.1000000000000187</v>
      </c>
    </row>
    <row r="272" spans="11:12" x14ac:dyDescent="0.4">
      <c r="K272" s="40">
        <v>270</v>
      </c>
      <c r="L272" s="105">
        <v>-2.9999999999999809</v>
      </c>
    </row>
    <row r="273" spans="11:12" x14ac:dyDescent="0.4">
      <c r="K273" s="40">
        <v>271</v>
      </c>
      <c r="L273" s="105">
        <v>-46.399999999999977</v>
      </c>
    </row>
    <row r="274" spans="11:12" x14ac:dyDescent="0.4">
      <c r="K274" s="40">
        <v>272</v>
      </c>
      <c r="L274" s="105">
        <v>-6.1999999999999744</v>
      </c>
    </row>
    <row r="275" spans="11:12" x14ac:dyDescent="0.4">
      <c r="K275" s="40">
        <v>273</v>
      </c>
      <c r="L275" s="105">
        <v>-2.9999999999999742</v>
      </c>
    </row>
    <row r="276" spans="11:12" x14ac:dyDescent="0.4">
      <c r="K276" s="40">
        <v>274</v>
      </c>
      <c r="L276" s="105">
        <v>-48.499999999999972</v>
      </c>
    </row>
    <row r="277" spans="11:12" x14ac:dyDescent="0.4">
      <c r="K277" s="40">
        <v>275</v>
      </c>
      <c r="L277" s="105">
        <v>-30.999999999999972</v>
      </c>
    </row>
    <row r="278" spans="11:12" x14ac:dyDescent="0.4">
      <c r="K278" s="40">
        <v>276</v>
      </c>
      <c r="L278" s="105">
        <v>-2.9999999999999716</v>
      </c>
    </row>
    <row r="279" spans="11:12" x14ac:dyDescent="0.4">
      <c r="K279" s="40">
        <v>277</v>
      </c>
      <c r="L279" s="105">
        <v>-3.5999999999999717</v>
      </c>
    </row>
    <row r="280" spans="11:12" x14ac:dyDescent="0.4">
      <c r="K280" s="40">
        <v>278</v>
      </c>
      <c r="L280" s="105">
        <v>-42.099999999999973</v>
      </c>
    </row>
    <row r="281" spans="11:12" x14ac:dyDescent="0.4">
      <c r="K281" s="40">
        <v>279</v>
      </c>
      <c r="L281" s="105">
        <v>-2.9999999999999716</v>
      </c>
    </row>
    <row r="282" spans="11:12" x14ac:dyDescent="0.4">
      <c r="K282" s="40">
        <v>280</v>
      </c>
      <c r="L282" s="105">
        <v>23.400000000000027</v>
      </c>
    </row>
    <row r="283" spans="11:12" x14ac:dyDescent="0.4">
      <c r="K283" s="40">
        <v>281</v>
      </c>
      <c r="L283" s="105">
        <v>-4.9999999999999716</v>
      </c>
    </row>
    <row r="284" spans="11:12" x14ac:dyDescent="0.4">
      <c r="K284" s="40">
        <v>282</v>
      </c>
      <c r="L284" s="105">
        <v>-2.9999999999999716</v>
      </c>
    </row>
    <row r="285" spans="11:12" x14ac:dyDescent="0.4">
      <c r="K285" s="40">
        <v>283</v>
      </c>
      <c r="L285" s="105">
        <v>6.7000000000000277</v>
      </c>
    </row>
    <row r="286" spans="11:12" x14ac:dyDescent="0.4">
      <c r="K286" s="40">
        <v>284</v>
      </c>
      <c r="L286" s="105">
        <v>-35.699999999999974</v>
      </c>
    </row>
    <row r="287" spans="11:12" x14ac:dyDescent="0.4">
      <c r="K287" s="40">
        <v>285</v>
      </c>
      <c r="L287" s="105">
        <v>-2.9999999999999716</v>
      </c>
    </row>
    <row r="288" spans="11:12" x14ac:dyDescent="0.4">
      <c r="K288" s="40">
        <v>286</v>
      </c>
      <c r="L288" s="105">
        <v>18.10000000000003</v>
      </c>
    </row>
    <row r="289" spans="11:12" x14ac:dyDescent="0.4">
      <c r="K289" s="40">
        <v>287</v>
      </c>
      <c r="L289" s="105">
        <v>-17.599999999999973</v>
      </c>
    </row>
    <row r="290" spans="11:12" x14ac:dyDescent="0.4">
      <c r="K290" s="40">
        <v>288</v>
      </c>
      <c r="L290" s="105">
        <v>-2.9999999999999734</v>
      </c>
    </row>
    <row r="291" spans="11:12" x14ac:dyDescent="0.4">
      <c r="K291" s="40">
        <v>289</v>
      </c>
      <c r="L291" s="105">
        <v>-51.699999999999974</v>
      </c>
    </row>
    <row r="292" spans="11:12" x14ac:dyDescent="0.4">
      <c r="K292" s="40">
        <v>290</v>
      </c>
      <c r="L292" s="105">
        <v>-50.999999999999972</v>
      </c>
    </row>
    <row r="293" spans="11:12" x14ac:dyDescent="0.4">
      <c r="K293" s="40">
        <v>291</v>
      </c>
      <c r="L293" s="105">
        <v>-2.9999999999999716</v>
      </c>
    </row>
    <row r="294" spans="11:12" x14ac:dyDescent="0.4">
      <c r="K294" s="40">
        <v>292</v>
      </c>
      <c r="L294" s="105">
        <v>-18.999999999999972</v>
      </c>
    </row>
    <row r="295" spans="11:12" x14ac:dyDescent="0.4">
      <c r="K295" s="40">
        <v>293</v>
      </c>
      <c r="L295" s="105">
        <v>-6.7999999999999723</v>
      </c>
    </row>
    <row r="296" spans="11:12" x14ac:dyDescent="0.4">
      <c r="K296" s="40">
        <v>294</v>
      </c>
      <c r="L296" s="105">
        <v>-2.9999999999999725</v>
      </c>
    </row>
    <row r="297" spans="11:12" x14ac:dyDescent="0.4">
      <c r="K297" s="40">
        <v>295</v>
      </c>
      <c r="L297" s="105">
        <v>40.10000000000003</v>
      </c>
    </row>
    <row r="298" spans="11:12" x14ac:dyDescent="0.4">
      <c r="K298" s="40">
        <v>296</v>
      </c>
      <c r="L298" s="105">
        <v>2.8000000000000327</v>
      </c>
    </row>
    <row r="299" spans="11:12" x14ac:dyDescent="0.4">
      <c r="K299" s="40">
        <v>297</v>
      </c>
      <c r="L299" s="105">
        <v>-2.9999999999999671</v>
      </c>
    </row>
    <row r="300" spans="11:12" x14ac:dyDescent="0.4">
      <c r="K300" s="40">
        <v>298</v>
      </c>
      <c r="L300" s="105">
        <v>-8.999999999999968</v>
      </c>
    </row>
    <row r="301" spans="11:12" x14ac:dyDescent="0.4">
      <c r="K301" s="40">
        <v>299</v>
      </c>
      <c r="L301" s="105">
        <v>-60.899999999999963</v>
      </c>
    </row>
    <row r="302" spans="11:12" x14ac:dyDescent="0.4">
      <c r="K302" s="40">
        <v>300</v>
      </c>
      <c r="L302" s="105">
        <v>-2.9999999999999645</v>
      </c>
    </row>
    <row r="303" spans="11:12" x14ac:dyDescent="0.4">
      <c r="K303" s="40">
        <v>301</v>
      </c>
      <c r="L303" s="105">
        <v>-40.499999999999964</v>
      </c>
    </row>
    <row r="304" spans="11:12" x14ac:dyDescent="0.4">
      <c r="K304" s="40">
        <v>302</v>
      </c>
      <c r="L304" s="105">
        <v>-52.499999999999964</v>
      </c>
    </row>
    <row r="305" spans="11:12" x14ac:dyDescent="0.4">
      <c r="K305" s="40">
        <v>303</v>
      </c>
      <c r="L305" s="105">
        <v>-2.9999999999999645</v>
      </c>
    </row>
    <row r="306" spans="11:12" x14ac:dyDescent="0.4">
      <c r="K306" s="40">
        <v>304</v>
      </c>
      <c r="L306" s="105">
        <v>-42.499999999999964</v>
      </c>
    </row>
    <row r="307" spans="11:12" x14ac:dyDescent="0.4">
      <c r="K307" s="40">
        <v>305</v>
      </c>
      <c r="L307" s="105">
        <v>6.5000000000000355</v>
      </c>
    </row>
    <row r="308" spans="11:12" x14ac:dyDescent="0.4">
      <c r="K308" s="40">
        <v>306</v>
      </c>
      <c r="L308" s="105">
        <v>-2.9999999999999645</v>
      </c>
    </row>
    <row r="309" spans="11:12" x14ac:dyDescent="0.4">
      <c r="K309" s="40">
        <v>307</v>
      </c>
      <c r="L309" s="105">
        <v>8.1000000000000352</v>
      </c>
    </row>
    <row r="310" spans="11:12" x14ac:dyDescent="0.4">
      <c r="K310" s="40">
        <v>308</v>
      </c>
      <c r="L310" s="105">
        <v>-5.6999999999999655</v>
      </c>
    </row>
    <row r="311" spans="11:12" x14ac:dyDescent="0.4">
      <c r="K311" s="40">
        <v>309</v>
      </c>
      <c r="L311" s="105">
        <v>-2.9999999999999654</v>
      </c>
    </row>
    <row r="312" spans="11:12" x14ac:dyDescent="0.4">
      <c r="K312" s="40">
        <v>310</v>
      </c>
      <c r="L312" s="105">
        <v>-4.9999999999999654</v>
      </c>
    </row>
    <row r="313" spans="11:12" x14ac:dyDescent="0.4">
      <c r="K313" s="40">
        <v>311</v>
      </c>
      <c r="L313" s="105">
        <v>36.000000000000036</v>
      </c>
    </row>
    <row r="314" spans="11:12" x14ac:dyDescent="0.4">
      <c r="K314" s="40">
        <v>312</v>
      </c>
      <c r="L314" s="105">
        <v>-2.9999999999999645</v>
      </c>
    </row>
    <row r="315" spans="11:12" x14ac:dyDescent="0.4">
      <c r="K315" s="40">
        <v>313</v>
      </c>
      <c r="L315" s="105">
        <v>40.500000000000036</v>
      </c>
    </row>
    <row r="316" spans="11:12" x14ac:dyDescent="0.4">
      <c r="K316" s="40">
        <v>314</v>
      </c>
      <c r="L316" s="105">
        <v>37.100000000000037</v>
      </c>
    </row>
    <row r="317" spans="11:12" x14ac:dyDescent="0.4">
      <c r="K317" s="40">
        <v>315</v>
      </c>
      <c r="L317" s="105">
        <v>-2.9999999999999645</v>
      </c>
    </row>
    <row r="318" spans="11:12" x14ac:dyDescent="0.4">
      <c r="K318" s="40">
        <v>316</v>
      </c>
      <c r="L318" s="105">
        <v>-8.5999999999999641</v>
      </c>
    </row>
    <row r="319" spans="11:12" x14ac:dyDescent="0.4">
      <c r="K319" s="40">
        <v>317</v>
      </c>
      <c r="L319" s="105">
        <v>63.000000000000028</v>
      </c>
    </row>
    <row r="320" spans="11:12" x14ac:dyDescent="0.4">
      <c r="K320" s="40">
        <v>318</v>
      </c>
      <c r="L320" s="105">
        <v>-2.9999999999999716</v>
      </c>
    </row>
    <row r="321" spans="11:12" x14ac:dyDescent="0.4">
      <c r="K321" s="40">
        <v>319</v>
      </c>
      <c r="L321" s="105">
        <v>-10.399999999999972</v>
      </c>
    </row>
    <row r="322" spans="11:12" x14ac:dyDescent="0.4">
      <c r="K322" s="40">
        <v>320</v>
      </c>
      <c r="L322" s="105">
        <v>21.10000000000003</v>
      </c>
    </row>
    <row r="323" spans="11:12" x14ac:dyDescent="0.4">
      <c r="K323" s="40">
        <v>321</v>
      </c>
      <c r="L323" s="105">
        <v>-2.9999999999999716</v>
      </c>
    </row>
    <row r="324" spans="11:12" x14ac:dyDescent="0.4">
      <c r="K324" s="40">
        <v>322</v>
      </c>
      <c r="L324" s="105">
        <v>-40.999999999999972</v>
      </c>
    </row>
    <row r="325" spans="11:12" x14ac:dyDescent="0.4">
      <c r="K325" s="40">
        <v>323</v>
      </c>
      <c r="L325" s="105">
        <v>-5.599999999999973</v>
      </c>
    </row>
    <row r="326" spans="11:12" x14ac:dyDescent="0.4">
      <c r="K326" s="40">
        <v>324</v>
      </c>
      <c r="L326" s="105">
        <v>-2.9999999999999729</v>
      </c>
    </row>
    <row r="327" spans="11:12" x14ac:dyDescent="0.4">
      <c r="K327" s="40">
        <v>325</v>
      </c>
      <c r="L327" s="105">
        <v>-21.799999999999972</v>
      </c>
    </row>
    <row r="328" spans="11:12" x14ac:dyDescent="0.4">
      <c r="K328" s="40">
        <v>326</v>
      </c>
      <c r="L328" s="105">
        <v>-10.299999999999972</v>
      </c>
    </row>
    <row r="329" spans="11:12" x14ac:dyDescent="0.4">
      <c r="K329" s="40">
        <v>327</v>
      </c>
      <c r="L329" s="105">
        <v>-2.9999999999999725</v>
      </c>
    </row>
    <row r="330" spans="11:12" x14ac:dyDescent="0.4">
      <c r="K330" s="40">
        <v>328</v>
      </c>
      <c r="L330" s="105">
        <v>24.000000000000028</v>
      </c>
    </row>
    <row r="331" spans="11:12" x14ac:dyDescent="0.4">
      <c r="K331" s="40">
        <v>329</v>
      </c>
      <c r="L331" s="105">
        <v>33.10000000000003</v>
      </c>
    </row>
    <row r="332" spans="11:12" x14ac:dyDescent="0.4">
      <c r="K332" s="40">
        <v>330</v>
      </c>
      <c r="L332" s="105">
        <v>-2.9999999999999716</v>
      </c>
    </row>
    <row r="333" spans="11:12" x14ac:dyDescent="0.4">
      <c r="K333" s="40">
        <v>331</v>
      </c>
      <c r="L333" s="105">
        <v>41.60000000000003</v>
      </c>
    </row>
    <row r="334" spans="11:12" x14ac:dyDescent="0.4">
      <c r="K334" s="40">
        <v>332</v>
      </c>
      <c r="L334" s="105">
        <v>36.400000000000027</v>
      </c>
    </row>
    <row r="335" spans="11:12" x14ac:dyDescent="0.4">
      <c r="K335" s="40">
        <v>333</v>
      </c>
      <c r="L335" s="105">
        <v>-2.9999999999999716</v>
      </c>
    </row>
    <row r="336" spans="11:12" x14ac:dyDescent="0.4">
      <c r="K336" s="40">
        <v>334</v>
      </c>
      <c r="L336" s="105">
        <v>4.0000000000000284</v>
      </c>
    </row>
    <row r="337" spans="11:12" x14ac:dyDescent="0.4">
      <c r="K337" s="40">
        <v>335</v>
      </c>
      <c r="L337" s="105">
        <v>37.000000000000028</v>
      </c>
    </row>
    <row r="338" spans="11:12" x14ac:dyDescent="0.4">
      <c r="K338" s="40">
        <v>336</v>
      </c>
      <c r="L338" s="105">
        <v>-2.9999999999999716</v>
      </c>
    </row>
    <row r="339" spans="11:12" x14ac:dyDescent="0.4">
      <c r="K339" s="40">
        <v>337</v>
      </c>
      <c r="L339" s="105">
        <v>-14.299999999999972</v>
      </c>
    </row>
    <row r="340" spans="11:12" x14ac:dyDescent="0.4">
      <c r="K340" s="40">
        <v>338</v>
      </c>
      <c r="L340" s="105">
        <v>-9.099999999999973</v>
      </c>
    </row>
    <row r="341" spans="11:12" x14ac:dyDescent="0.4">
      <c r="K341" s="40">
        <v>339</v>
      </c>
      <c r="L341" s="105">
        <v>-2.9999999999999734</v>
      </c>
    </row>
    <row r="342" spans="11:12" x14ac:dyDescent="0.4">
      <c r="K342" s="40">
        <v>340</v>
      </c>
      <c r="L342" s="105">
        <v>-18.499999999999972</v>
      </c>
    </row>
    <row r="343" spans="11:12" x14ac:dyDescent="0.4">
      <c r="K343" s="40">
        <v>341</v>
      </c>
      <c r="L343" s="105">
        <v>-53.999999999999972</v>
      </c>
    </row>
    <row r="344" spans="11:12" x14ac:dyDescent="0.4">
      <c r="K344" s="40">
        <v>342</v>
      </c>
      <c r="L344" s="105">
        <v>-2.9999999999999716</v>
      </c>
    </row>
    <row r="345" spans="11:12" x14ac:dyDescent="0.4">
      <c r="K345" s="40">
        <v>343</v>
      </c>
      <c r="L345" s="105">
        <v>-22.299999999999972</v>
      </c>
    </row>
    <row r="346" spans="11:12" x14ac:dyDescent="0.4">
      <c r="K346" s="40">
        <v>344</v>
      </c>
      <c r="L346" s="105">
        <v>-6.099999999999973</v>
      </c>
    </row>
    <row r="347" spans="11:12" x14ac:dyDescent="0.4">
      <c r="K347" s="40">
        <v>345</v>
      </c>
      <c r="L347" s="105">
        <v>-2.9999999999999729</v>
      </c>
    </row>
    <row r="348" spans="11:12" x14ac:dyDescent="0.4">
      <c r="K348" s="40">
        <v>346</v>
      </c>
      <c r="L348" s="105">
        <v>21.000000000000028</v>
      </c>
    </row>
    <row r="349" spans="11:12" x14ac:dyDescent="0.4">
      <c r="K349" s="40">
        <v>347</v>
      </c>
      <c r="L349" s="105">
        <v>15.100000000000028</v>
      </c>
    </row>
    <row r="350" spans="11:12" x14ac:dyDescent="0.4">
      <c r="K350" s="40">
        <v>348</v>
      </c>
      <c r="L350" s="105">
        <v>-2.9999999999999734</v>
      </c>
    </row>
    <row r="351" spans="11:12" x14ac:dyDescent="0.4">
      <c r="K351" s="40">
        <v>349</v>
      </c>
      <c r="L351" s="105">
        <v>25.300000000000026</v>
      </c>
    </row>
    <row r="352" spans="11:12" x14ac:dyDescent="0.4">
      <c r="K352" s="40">
        <v>350</v>
      </c>
      <c r="L352" s="105">
        <v>5.1000000000000263</v>
      </c>
    </row>
    <row r="353" spans="11:12" x14ac:dyDescent="0.4">
      <c r="K353" s="40">
        <v>351</v>
      </c>
      <c r="L353" s="105">
        <v>-2.9999999999999734</v>
      </c>
    </row>
    <row r="354" spans="11:12" x14ac:dyDescent="0.4">
      <c r="K354" s="40">
        <v>352</v>
      </c>
      <c r="L354" s="105">
        <v>-34.499999999999972</v>
      </c>
    </row>
    <row r="355" spans="11:12" x14ac:dyDescent="0.4">
      <c r="K355" s="40">
        <v>353</v>
      </c>
      <c r="L355" s="105">
        <v>15.500000000000028</v>
      </c>
    </row>
    <row r="356" spans="11:12" x14ac:dyDescent="0.4">
      <c r="K356" s="40">
        <v>354</v>
      </c>
      <c r="L356" s="105">
        <v>-2.9999999999999716</v>
      </c>
    </row>
    <row r="357" spans="11:12" x14ac:dyDescent="0.4">
      <c r="K357" s="40">
        <v>355</v>
      </c>
      <c r="L357" s="105">
        <v>16.500000000000028</v>
      </c>
    </row>
    <row r="358" spans="11:12" x14ac:dyDescent="0.4">
      <c r="K358" s="40">
        <v>356</v>
      </c>
      <c r="L358" s="105">
        <v>4.4000000000000288</v>
      </c>
    </row>
    <row r="359" spans="11:12" x14ac:dyDescent="0.4">
      <c r="K359" s="40">
        <v>357</v>
      </c>
      <c r="L359" s="105">
        <v>-2.9999999999999716</v>
      </c>
    </row>
    <row r="360" spans="11:12" x14ac:dyDescent="0.4">
      <c r="K360" s="40">
        <v>358</v>
      </c>
      <c r="L360" s="105">
        <v>-8.3999999999999719</v>
      </c>
    </row>
    <row r="361" spans="11:12" x14ac:dyDescent="0.4">
      <c r="K361" s="40">
        <v>359</v>
      </c>
      <c r="L361" s="105">
        <v>7.4000000000000288</v>
      </c>
    </row>
    <row r="362" spans="11:12" x14ac:dyDescent="0.4">
      <c r="K362" s="40">
        <v>360</v>
      </c>
      <c r="L362" s="105">
        <v>-2.9999999999999716</v>
      </c>
    </row>
    <row r="363" spans="11:12" x14ac:dyDescent="0.4">
      <c r="K363" s="40">
        <v>361</v>
      </c>
      <c r="L363" s="105">
        <v>53.000000000000028</v>
      </c>
    </row>
    <row r="364" spans="11:12" x14ac:dyDescent="0.4">
      <c r="K364" s="40">
        <v>362</v>
      </c>
      <c r="L364" s="105">
        <v>35.000000000000028</v>
      </c>
    </row>
    <row r="365" spans="11:12" x14ac:dyDescent="0.4">
      <c r="K365" s="40">
        <v>363</v>
      </c>
      <c r="L365" s="105">
        <v>-2.9999999999999716</v>
      </c>
    </row>
    <row r="366" spans="11:12" x14ac:dyDescent="0.4">
      <c r="K366" s="40">
        <v>364</v>
      </c>
      <c r="L366" s="105">
        <v>40.000000000000028</v>
      </c>
    </row>
    <row r="367" spans="11:12" x14ac:dyDescent="0.4">
      <c r="K367" s="40">
        <v>365</v>
      </c>
      <c r="L367" s="105">
        <v>-0.99999999999997158</v>
      </c>
    </row>
    <row r="368" spans="11:12" x14ac:dyDescent="0.4">
      <c r="K368" s="40">
        <v>366</v>
      </c>
      <c r="L368" s="105">
        <v>-2.9999999999999716</v>
      </c>
    </row>
    <row r="369" spans="11:12" x14ac:dyDescent="0.4">
      <c r="K369" s="40">
        <v>367</v>
      </c>
      <c r="L369" s="105">
        <v>-16.999999999999972</v>
      </c>
    </row>
    <row r="370" spans="11:12" x14ac:dyDescent="0.4">
      <c r="K370" s="40">
        <v>368</v>
      </c>
      <c r="L370" s="105">
        <v>-24.199999999999971</v>
      </c>
    </row>
    <row r="371" spans="11:12" x14ac:dyDescent="0.4">
      <c r="K371" s="40">
        <v>369</v>
      </c>
      <c r="L371" s="105">
        <v>-2.9999999999999716</v>
      </c>
    </row>
    <row r="372" spans="11:12" x14ac:dyDescent="0.4">
      <c r="K372" s="40">
        <v>370</v>
      </c>
      <c r="L372" s="105">
        <v>-51.39999999999997</v>
      </c>
    </row>
    <row r="373" spans="11:12" x14ac:dyDescent="0.4">
      <c r="K373" s="40">
        <v>371</v>
      </c>
      <c r="L373" s="105">
        <v>-17.999999999999972</v>
      </c>
    </row>
    <row r="374" spans="11:12" x14ac:dyDescent="0.4">
      <c r="K374" s="40">
        <v>372</v>
      </c>
      <c r="L374" s="105">
        <v>-2.9999999999999716</v>
      </c>
    </row>
    <row r="375" spans="11:12" x14ac:dyDescent="0.4">
      <c r="K375" s="40">
        <v>373</v>
      </c>
      <c r="L375" s="105">
        <v>41.900000000000027</v>
      </c>
    </row>
    <row r="376" spans="11:12" x14ac:dyDescent="0.4">
      <c r="K376" s="40">
        <v>374</v>
      </c>
      <c r="L376" s="105">
        <v>36.300000000000026</v>
      </c>
    </row>
    <row r="377" spans="11:12" x14ac:dyDescent="0.4">
      <c r="K377" s="40">
        <v>375</v>
      </c>
      <c r="L377" s="105">
        <v>-2.9999999999999716</v>
      </c>
    </row>
    <row r="378" spans="11:12" x14ac:dyDescent="0.4">
      <c r="K378" s="40">
        <v>376</v>
      </c>
      <c r="L378" s="105">
        <v>14.10000000000003</v>
      </c>
    </row>
    <row r="379" spans="11:12" x14ac:dyDescent="0.4">
      <c r="K379" s="40">
        <v>377</v>
      </c>
      <c r="L379" s="105">
        <v>-12.89999999999997</v>
      </c>
    </row>
    <row r="380" spans="11:12" x14ac:dyDescent="0.4">
      <c r="K380" s="40">
        <v>378</v>
      </c>
      <c r="L380" s="105">
        <v>-2.9999999999999698</v>
      </c>
    </row>
    <row r="381" spans="11:12" x14ac:dyDescent="0.4">
      <c r="K381" s="40">
        <v>379</v>
      </c>
      <c r="L381" s="105">
        <v>-40.999999999999972</v>
      </c>
    </row>
    <row r="382" spans="11:12" x14ac:dyDescent="0.4">
      <c r="K382" s="40">
        <v>380</v>
      </c>
      <c r="L382" s="105">
        <v>-35.799999999999969</v>
      </c>
    </row>
    <row r="383" spans="11:12" x14ac:dyDescent="0.4">
      <c r="K383" s="40">
        <v>381</v>
      </c>
      <c r="L383" s="105">
        <v>-2.9999999999999716</v>
      </c>
    </row>
    <row r="384" spans="11:12" x14ac:dyDescent="0.4">
      <c r="K384" s="40">
        <v>382</v>
      </c>
      <c r="L384" s="105">
        <v>13.500000000000028</v>
      </c>
    </row>
    <row r="385" spans="11:12" x14ac:dyDescent="0.4">
      <c r="K385" s="40">
        <v>383</v>
      </c>
      <c r="L385" s="105">
        <v>5.8000000000000282</v>
      </c>
    </row>
    <row r="386" spans="11:12" x14ac:dyDescent="0.4">
      <c r="K386" s="40">
        <v>384</v>
      </c>
      <c r="L386" s="105">
        <v>-2.9999999999999725</v>
      </c>
    </row>
    <row r="387" spans="11:12" x14ac:dyDescent="0.4">
      <c r="K387" s="40">
        <v>385</v>
      </c>
      <c r="L387" s="105">
        <v>5.7000000000000268</v>
      </c>
    </row>
    <row r="388" spans="11:12" x14ac:dyDescent="0.4">
      <c r="K388" s="40">
        <v>386</v>
      </c>
      <c r="L388" s="105">
        <v>17.300000000000026</v>
      </c>
    </row>
    <row r="389" spans="11:12" x14ac:dyDescent="0.4">
      <c r="K389" s="40">
        <v>387</v>
      </c>
      <c r="L389" s="105">
        <v>-2.9999999999999751</v>
      </c>
    </row>
    <row r="390" spans="11:12" x14ac:dyDescent="0.4">
      <c r="K390" s="40">
        <v>388</v>
      </c>
      <c r="L390" s="105">
        <v>17.700000000000024</v>
      </c>
    </row>
    <row r="391" spans="11:12" x14ac:dyDescent="0.4">
      <c r="K391" s="40">
        <v>389</v>
      </c>
      <c r="L391" s="105">
        <v>-25.799999999999976</v>
      </c>
    </row>
    <row r="392" spans="11:12" x14ac:dyDescent="0.4">
      <c r="K392" s="40">
        <v>390</v>
      </c>
      <c r="L392" s="105">
        <v>-2.9999999999999751</v>
      </c>
    </row>
    <row r="393" spans="11:12" x14ac:dyDescent="0.4">
      <c r="K393" s="40">
        <v>391</v>
      </c>
      <c r="L393" s="105">
        <v>12.300000000000026</v>
      </c>
    </row>
    <row r="394" spans="11:12" x14ac:dyDescent="0.4">
      <c r="K394" s="40">
        <v>392</v>
      </c>
      <c r="L394" s="105">
        <v>5.5000000000000258</v>
      </c>
    </row>
    <row r="395" spans="11:12" x14ac:dyDescent="0.4">
      <c r="K395" s="40">
        <v>393</v>
      </c>
      <c r="L395" s="105">
        <v>-2.9999999999999742</v>
      </c>
    </row>
    <row r="396" spans="11:12" x14ac:dyDescent="0.4">
      <c r="K396" s="40">
        <v>394</v>
      </c>
      <c r="L396" s="105">
        <v>8.6000000000000263</v>
      </c>
    </row>
    <row r="397" spans="11:12" x14ac:dyDescent="0.4">
      <c r="K397" s="40">
        <v>395</v>
      </c>
      <c r="L397" s="105">
        <v>28.200000000000028</v>
      </c>
    </row>
    <row r="398" spans="11:12" x14ac:dyDescent="0.4">
      <c r="K398" s="40">
        <v>396</v>
      </c>
      <c r="L398" s="105">
        <v>-2.9999999999999716</v>
      </c>
    </row>
    <row r="399" spans="11:12" x14ac:dyDescent="0.4">
      <c r="K399" s="40">
        <v>397</v>
      </c>
      <c r="L399" s="105">
        <v>4.2000000000000286</v>
      </c>
    </row>
    <row r="400" spans="11:12" x14ac:dyDescent="0.4">
      <c r="K400" s="40">
        <v>398</v>
      </c>
      <c r="L400" s="105">
        <v>-15.799999999999972</v>
      </c>
    </row>
    <row r="401" spans="11:12" x14ac:dyDescent="0.4">
      <c r="K401" s="40">
        <v>399</v>
      </c>
      <c r="L401" s="105">
        <v>-3.9999999999999716</v>
      </c>
    </row>
    <row r="402" spans="11:12" x14ac:dyDescent="0.4">
      <c r="K402" s="40">
        <v>400</v>
      </c>
      <c r="L402" s="105">
        <v>20.500000000000028</v>
      </c>
    </row>
    <row r="403" spans="11:12" x14ac:dyDescent="0.4">
      <c r="K403" s="40">
        <v>401</v>
      </c>
      <c r="L403" s="105">
        <v>15.600000000000028</v>
      </c>
    </row>
    <row r="404" spans="11:12" x14ac:dyDescent="0.4">
      <c r="K404" s="40">
        <v>402</v>
      </c>
      <c r="L404" s="105">
        <v>-3.9999999999999734</v>
      </c>
    </row>
    <row r="405" spans="11:12" x14ac:dyDescent="0.4">
      <c r="K405" s="40">
        <v>403</v>
      </c>
      <c r="L405" s="105">
        <v>12.900000000000025</v>
      </c>
    </row>
    <row r="406" spans="11:12" x14ac:dyDescent="0.4">
      <c r="K406" s="40">
        <v>404</v>
      </c>
      <c r="L406" s="105">
        <v>14.100000000000025</v>
      </c>
    </row>
    <row r="407" spans="11:12" x14ac:dyDescent="0.4">
      <c r="K407" s="40">
        <v>405</v>
      </c>
      <c r="L407" s="105">
        <v>-3.9999999999999769</v>
      </c>
    </row>
    <row r="408" spans="11:12" x14ac:dyDescent="0.4">
      <c r="K408" s="40">
        <v>406</v>
      </c>
      <c r="L408" s="105">
        <v>-41.499999999999979</v>
      </c>
    </row>
    <row r="409" spans="11:12" x14ac:dyDescent="0.4">
      <c r="K409" s="40">
        <v>407</v>
      </c>
      <c r="L409" s="105">
        <v>-15.999999999999979</v>
      </c>
    </row>
    <row r="410" spans="11:12" x14ac:dyDescent="0.4">
      <c r="K410" s="40">
        <v>408</v>
      </c>
      <c r="L410" s="105">
        <v>-3.9999999999999787</v>
      </c>
    </row>
    <row r="411" spans="11:12" x14ac:dyDescent="0.4">
      <c r="K411" s="40">
        <v>409</v>
      </c>
      <c r="L411" s="105">
        <v>34.500000000000021</v>
      </c>
    </row>
    <row r="412" spans="11:12" x14ac:dyDescent="0.4">
      <c r="K412" s="40">
        <v>410</v>
      </c>
      <c r="L412" s="105">
        <v>-3.4999999999999787</v>
      </c>
    </row>
    <row r="413" spans="11:12" x14ac:dyDescent="0.4">
      <c r="K413" s="40">
        <v>411</v>
      </c>
      <c r="L413" s="105">
        <v>-3.9999999999999787</v>
      </c>
    </row>
    <row r="414" spans="11:12" x14ac:dyDescent="0.4">
      <c r="K414" s="40">
        <v>412</v>
      </c>
      <c r="L414" s="105">
        <v>-50.499999999999979</v>
      </c>
    </row>
    <row r="415" spans="11:12" x14ac:dyDescent="0.4">
      <c r="K415" s="40">
        <v>413</v>
      </c>
      <c r="L415" s="105">
        <v>-45.999999999999979</v>
      </c>
    </row>
    <row r="416" spans="11:12" x14ac:dyDescent="0.4">
      <c r="K416" s="40">
        <v>414</v>
      </c>
      <c r="L416" s="105">
        <v>-3.9999999999999787</v>
      </c>
    </row>
    <row r="417" spans="11:12" x14ac:dyDescent="0.4">
      <c r="K417" s="40">
        <v>415</v>
      </c>
      <c r="L417" s="105">
        <v>9.2000000000000206</v>
      </c>
    </row>
    <row r="418" spans="11:12" x14ac:dyDescent="0.4">
      <c r="K418" s="40">
        <v>416</v>
      </c>
      <c r="L418" s="105">
        <v>1.8000000000000203</v>
      </c>
    </row>
    <row r="419" spans="11:12" x14ac:dyDescent="0.4">
      <c r="K419" s="40">
        <v>417</v>
      </c>
      <c r="L419" s="105">
        <v>-3.9999999999999796</v>
      </c>
    </row>
    <row r="420" spans="11:12" x14ac:dyDescent="0.4">
      <c r="K420" s="40">
        <v>418</v>
      </c>
      <c r="L420" s="105">
        <v>-23.499999999999979</v>
      </c>
    </row>
    <row r="421" spans="11:12" x14ac:dyDescent="0.4">
      <c r="K421" s="40">
        <v>419</v>
      </c>
      <c r="L421" s="105">
        <v>-5.699999999999978</v>
      </c>
    </row>
    <row r="422" spans="11:12" x14ac:dyDescent="0.4">
      <c r="K422" s="40">
        <v>420</v>
      </c>
      <c r="L422" s="105">
        <v>-3.9999999999999778</v>
      </c>
    </row>
    <row r="423" spans="11:12" x14ac:dyDescent="0.4">
      <c r="K423" s="40">
        <v>421</v>
      </c>
      <c r="L423" s="105">
        <v>37.40000000000002</v>
      </c>
    </row>
    <row r="424" spans="11:12" x14ac:dyDescent="0.4">
      <c r="K424" s="40">
        <v>422</v>
      </c>
      <c r="L424" s="105">
        <v>11.000000000000021</v>
      </c>
    </row>
    <row r="425" spans="11:12" x14ac:dyDescent="0.4">
      <c r="K425" s="40">
        <v>423</v>
      </c>
      <c r="L425" s="105">
        <v>-3.9999999999999787</v>
      </c>
    </row>
    <row r="426" spans="11:12" x14ac:dyDescent="0.4">
      <c r="K426" s="40">
        <v>424</v>
      </c>
      <c r="L426" s="105">
        <v>23.100000000000023</v>
      </c>
    </row>
    <row r="427" spans="11:12" x14ac:dyDescent="0.4">
      <c r="K427" s="40">
        <v>425</v>
      </c>
      <c r="L427" s="105">
        <v>-27.499999999999979</v>
      </c>
    </row>
    <row r="428" spans="11:12" x14ac:dyDescent="0.4">
      <c r="K428" s="40">
        <v>426</v>
      </c>
      <c r="L428" s="105">
        <v>-3.9999999999999787</v>
      </c>
    </row>
    <row r="429" spans="11:12" x14ac:dyDescent="0.4">
      <c r="K429" s="40">
        <v>427</v>
      </c>
      <c r="L429" s="105">
        <v>4.5000000000000213</v>
      </c>
    </row>
    <row r="430" spans="11:12" x14ac:dyDescent="0.4">
      <c r="K430" s="40">
        <v>428</v>
      </c>
      <c r="L430" s="105">
        <v>30.200000000000021</v>
      </c>
    </row>
    <row r="431" spans="11:12" x14ac:dyDescent="0.4">
      <c r="K431" s="40">
        <v>429</v>
      </c>
      <c r="L431" s="105">
        <v>-3.9999999999999822</v>
      </c>
    </row>
    <row r="432" spans="11:12" x14ac:dyDescent="0.4">
      <c r="K432" s="40">
        <v>430</v>
      </c>
      <c r="L432" s="105">
        <v>0.80000000000001759</v>
      </c>
    </row>
    <row r="433" spans="11:12" x14ac:dyDescent="0.4">
      <c r="K433" s="40">
        <v>431</v>
      </c>
      <c r="L433" s="105">
        <v>-15.999999999999982</v>
      </c>
    </row>
    <row r="434" spans="11:12" x14ac:dyDescent="0.4">
      <c r="K434" s="40">
        <v>432</v>
      </c>
      <c r="L434" s="105">
        <v>-3.9999999999999822</v>
      </c>
    </row>
    <row r="435" spans="11:12" x14ac:dyDescent="0.4">
      <c r="K435" s="40">
        <v>433</v>
      </c>
      <c r="L435" s="105">
        <v>39.300000000000011</v>
      </c>
    </row>
    <row r="436" spans="11:12" x14ac:dyDescent="0.4">
      <c r="K436" s="40">
        <v>434</v>
      </c>
      <c r="L436" s="105">
        <v>31.500000000000011</v>
      </c>
    </row>
    <row r="437" spans="11:12" x14ac:dyDescent="0.4">
      <c r="K437" s="40">
        <v>435</v>
      </c>
      <c r="L437" s="105">
        <v>-3.9999999999999893</v>
      </c>
    </row>
    <row r="438" spans="11:12" x14ac:dyDescent="0.4">
      <c r="K438" s="40">
        <v>436</v>
      </c>
      <c r="L438" s="105">
        <v>22.000000000000011</v>
      </c>
    </row>
    <row r="439" spans="11:12" x14ac:dyDescent="0.4">
      <c r="K439" s="40">
        <v>437</v>
      </c>
      <c r="L439" s="105">
        <v>16.70000000000001</v>
      </c>
    </row>
    <row r="440" spans="11:12" x14ac:dyDescent="0.4">
      <c r="K440" s="40">
        <v>438</v>
      </c>
      <c r="L440" s="105">
        <v>-3.9999999999999893</v>
      </c>
    </row>
    <row r="441" spans="11:12" x14ac:dyDescent="0.4">
      <c r="K441" s="40">
        <v>439</v>
      </c>
      <c r="L441" s="105">
        <v>7.0000000000000107</v>
      </c>
    </row>
    <row r="442" spans="11:12" x14ac:dyDescent="0.4">
      <c r="K442" s="40">
        <v>440</v>
      </c>
      <c r="L442" s="105">
        <v>-25.799999999999986</v>
      </c>
    </row>
    <row r="443" spans="11:12" x14ac:dyDescent="0.4">
      <c r="K443" s="40">
        <v>441</v>
      </c>
      <c r="L443" s="105">
        <v>-3.9999999999999858</v>
      </c>
    </row>
    <row r="444" spans="11:12" x14ac:dyDescent="0.4">
      <c r="K444" s="40">
        <v>442</v>
      </c>
      <c r="L444" s="105">
        <v>37.000000000000014</v>
      </c>
    </row>
    <row r="445" spans="11:12" x14ac:dyDescent="0.4">
      <c r="K445" s="40">
        <v>443</v>
      </c>
      <c r="L445" s="105">
        <v>-8.4999999999999858</v>
      </c>
    </row>
    <row r="446" spans="11:12" x14ac:dyDescent="0.4">
      <c r="K446" s="40">
        <v>444</v>
      </c>
      <c r="L446" s="105">
        <v>-3.9999999999999858</v>
      </c>
    </row>
    <row r="447" spans="11:12" x14ac:dyDescent="0.4">
      <c r="K447" s="40">
        <v>445</v>
      </c>
      <c r="L447" s="105">
        <v>21.000000000000014</v>
      </c>
    </row>
    <row r="448" spans="11:12" x14ac:dyDescent="0.4">
      <c r="K448" s="40">
        <v>446</v>
      </c>
      <c r="L448" s="105">
        <v>-14.499999999999986</v>
      </c>
    </row>
    <row r="449" spans="11:12" x14ac:dyDescent="0.4">
      <c r="K449" s="40">
        <v>447</v>
      </c>
      <c r="L449" s="105">
        <v>-3.9999999999999858</v>
      </c>
    </row>
    <row r="450" spans="11:12" x14ac:dyDescent="0.4">
      <c r="K450" s="40">
        <v>448</v>
      </c>
      <c r="L450" s="105">
        <v>-23.799999999999986</v>
      </c>
    </row>
    <row r="451" spans="11:12" x14ac:dyDescent="0.4">
      <c r="K451" s="40">
        <v>449</v>
      </c>
      <c r="L451" s="105">
        <v>-33.799999999999983</v>
      </c>
    </row>
    <row r="452" spans="11:12" x14ac:dyDescent="0.4">
      <c r="K452" s="40">
        <v>450</v>
      </c>
      <c r="L452" s="105">
        <v>-3.9999999999999822</v>
      </c>
    </row>
    <row r="453" spans="11:12" x14ac:dyDescent="0.4">
      <c r="K453" s="40">
        <v>451</v>
      </c>
      <c r="L453" s="105">
        <v>33.600000000000023</v>
      </c>
    </row>
    <row r="454" spans="11:12" x14ac:dyDescent="0.4">
      <c r="K454" s="40">
        <v>452</v>
      </c>
      <c r="L454" s="105">
        <v>32.500000000000021</v>
      </c>
    </row>
    <row r="455" spans="11:12" x14ac:dyDescent="0.4">
      <c r="K455" s="40">
        <v>453</v>
      </c>
      <c r="L455" s="105">
        <v>-3.9999999999999787</v>
      </c>
    </row>
    <row r="456" spans="11:12" x14ac:dyDescent="0.4">
      <c r="K456" s="40">
        <v>454</v>
      </c>
      <c r="L456" s="105">
        <v>3.8000000000000211</v>
      </c>
    </row>
    <row r="457" spans="11:12" x14ac:dyDescent="0.4">
      <c r="K457" s="40">
        <v>455</v>
      </c>
      <c r="L457" s="105">
        <v>-33.399999999999984</v>
      </c>
    </row>
    <row r="458" spans="11:12" x14ac:dyDescent="0.4">
      <c r="K458" s="40">
        <v>456</v>
      </c>
      <c r="L458" s="105">
        <v>-3.9999999999999858</v>
      </c>
    </row>
    <row r="459" spans="11:12" x14ac:dyDescent="0.4">
      <c r="K459" s="40">
        <v>457</v>
      </c>
      <c r="L459" s="105">
        <v>64.100000000000009</v>
      </c>
    </row>
    <row r="460" spans="11:12" x14ac:dyDescent="0.4">
      <c r="K460" s="40">
        <v>458</v>
      </c>
      <c r="L460" s="105">
        <v>22.800000000000011</v>
      </c>
    </row>
    <row r="461" spans="11:12" x14ac:dyDescent="0.4">
      <c r="K461" s="40">
        <v>459</v>
      </c>
      <c r="L461" s="105">
        <v>-3.9999999999999893</v>
      </c>
    </row>
    <row r="462" spans="11:12" x14ac:dyDescent="0.4">
      <c r="K462" s="40">
        <v>460</v>
      </c>
      <c r="L462" s="105">
        <v>-5.9999999999999893</v>
      </c>
    </row>
    <row r="463" spans="11:12" x14ac:dyDescent="0.4">
      <c r="K463" s="40">
        <v>461</v>
      </c>
      <c r="L463" s="105">
        <v>-22.399999999999988</v>
      </c>
    </row>
    <row r="464" spans="11:12" x14ac:dyDescent="0.4">
      <c r="K464" s="40">
        <v>462</v>
      </c>
      <c r="L464" s="105">
        <v>-3.9999999999999893</v>
      </c>
    </row>
    <row r="465" spans="11:12" x14ac:dyDescent="0.4">
      <c r="K465" s="40">
        <v>463</v>
      </c>
      <c r="L465" s="105">
        <v>1.2000000000000108</v>
      </c>
    </row>
    <row r="466" spans="11:12" x14ac:dyDescent="0.4">
      <c r="K466" s="40">
        <v>464</v>
      </c>
      <c r="L466" s="105">
        <v>-30.499999999999989</v>
      </c>
    </row>
    <row r="467" spans="11:12" x14ac:dyDescent="0.4">
      <c r="K467" s="40">
        <v>465</v>
      </c>
      <c r="L467" s="105">
        <v>-3.9999999999999893</v>
      </c>
    </row>
    <row r="468" spans="11:12" x14ac:dyDescent="0.4">
      <c r="K468" s="40">
        <v>466</v>
      </c>
      <c r="L468" s="105">
        <v>12.20000000000001</v>
      </c>
    </row>
    <row r="469" spans="11:12" x14ac:dyDescent="0.4">
      <c r="K469" s="40">
        <v>467</v>
      </c>
      <c r="L469" s="105">
        <v>7.3000000000000096</v>
      </c>
    </row>
    <row r="470" spans="11:12" x14ac:dyDescent="0.4">
      <c r="K470" s="40">
        <v>468</v>
      </c>
      <c r="L470" s="105">
        <v>-3.9999999999999911</v>
      </c>
    </row>
    <row r="471" spans="11:12" x14ac:dyDescent="0.4">
      <c r="K471" s="40">
        <v>469</v>
      </c>
      <c r="L471" s="105">
        <v>20.20000000000001</v>
      </c>
    </row>
    <row r="472" spans="11:12" x14ac:dyDescent="0.4">
      <c r="K472" s="40">
        <v>470</v>
      </c>
      <c r="L472" s="105">
        <v>5.3000000000000096</v>
      </c>
    </row>
    <row r="473" spans="11:12" x14ac:dyDescent="0.4">
      <c r="K473" s="40">
        <v>471</v>
      </c>
      <c r="L473" s="105">
        <v>-3.9999999999999911</v>
      </c>
    </row>
    <row r="474" spans="11:12" x14ac:dyDescent="0.4">
      <c r="K474" s="40">
        <v>472</v>
      </c>
      <c r="L474" s="105">
        <v>16.600000000000009</v>
      </c>
    </row>
    <row r="475" spans="11:12" x14ac:dyDescent="0.4">
      <c r="K475" s="40">
        <v>473</v>
      </c>
      <c r="L475" s="105">
        <v>-29.099999999999994</v>
      </c>
    </row>
    <row r="476" spans="11:12" x14ac:dyDescent="0.4">
      <c r="K476" s="40">
        <v>474</v>
      </c>
      <c r="L476" s="105">
        <v>-3.9999999999999929</v>
      </c>
    </row>
    <row r="477" spans="11:12" x14ac:dyDescent="0.4">
      <c r="K477" s="40">
        <v>475</v>
      </c>
      <c r="L477" s="105">
        <v>3.3000000000000069</v>
      </c>
    </row>
    <row r="478" spans="11:12" x14ac:dyDescent="0.4">
      <c r="K478" s="40">
        <v>476</v>
      </c>
      <c r="L478" s="105">
        <v>29.500000000000007</v>
      </c>
    </row>
    <row r="479" spans="11:12" x14ac:dyDescent="0.4">
      <c r="K479" s="40">
        <v>477</v>
      </c>
      <c r="L479" s="105">
        <v>-3.9999999999999929</v>
      </c>
    </row>
    <row r="480" spans="11:12" x14ac:dyDescent="0.4">
      <c r="K480" s="40">
        <v>478</v>
      </c>
      <c r="L480" s="105">
        <v>0.80000000000000693</v>
      </c>
    </row>
    <row r="481" spans="11:12" x14ac:dyDescent="0.4">
      <c r="K481" s="40">
        <v>479</v>
      </c>
      <c r="L481" s="105">
        <v>33.500000000000007</v>
      </c>
    </row>
    <row r="482" spans="11:12" x14ac:dyDescent="0.4">
      <c r="K482" s="40">
        <v>480</v>
      </c>
      <c r="L482" s="105">
        <v>-3.9999999999999929</v>
      </c>
    </row>
    <row r="483" spans="11:12" x14ac:dyDescent="0.4">
      <c r="K483" s="40">
        <v>481</v>
      </c>
      <c r="L483" s="105">
        <v>0.10000000000000675</v>
      </c>
    </row>
    <row r="484" spans="11:12" x14ac:dyDescent="0.4">
      <c r="K484" s="40">
        <v>482</v>
      </c>
      <c r="L484" s="105">
        <v>5.4000000000000066</v>
      </c>
    </row>
    <row r="485" spans="11:12" x14ac:dyDescent="0.4">
      <c r="K485" s="40">
        <v>483</v>
      </c>
      <c r="L485" s="105">
        <v>-3.9999999999999938</v>
      </c>
    </row>
    <row r="486" spans="11:12" x14ac:dyDescent="0.4">
      <c r="K486" s="40">
        <v>484</v>
      </c>
      <c r="L486" s="105">
        <v>-15.999999999999993</v>
      </c>
    </row>
    <row r="487" spans="11:12" x14ac:dyDescent="0.4">
      <c r="K487" s="40">
        <v>485</v>
      </c>
      <c r="L487" s="105">
        <v>-5.4999999999999929</v>
      </c>
    </row>
    <row r="488" spans="11:12" x14ac:dyDescent="0.4">
      <c r="K488" s="40">
        <v>486</v>
      </c>
      <c r="L488" s="105">
        <v>-4.9999999999999929</v>
      </c>
    </row>
    <row r="489" spans="11:12" x14ac:dyDescent="0.4">
      <c r="K489" s="40">
        <v>487</v>
      </c>
      <c r="L489" s="105">
        <v>7.5000000000000071</v>
      </c>
    </row>
    <row r="490" spans="11:12" x14ac:dyDescent="0.4">
      <c r="K490" s="40">
        <v>488</v>
      </c>
      <c r="L490" s="105">
        <v>-4.5999999999999925</v>
      </c>
    </row>
    <row r="491" spans="11:12" x14ac:dyDescent="0.4">
      <c r="K491" s="40">
        <v>489</v>
      </c>
      <c r="L491" s="105">
        <v>-4.9999999999999929</v>
      </c>
    </row>
    <row r="492" spans="11:12" x14ac:dyDescent="0.4">
      <c r="K492" s="40">
        <v>490</v>
      </c>
      <c r="L492" s="105">
        <v>-17.899999999999991</v>
      </c>
    </row>
    <row r="493" spans="11:12" x14ac:dyDescent="0.4">
      <c r="K493" s="40">
        <v>491</v>
      </c>
      <c r="L493" s="105">
        <v>-23.099999999999991</v>
      </c>
    </row>
    <row r="494" spans="11:12" x14ac:dyDescent="0.4">
      <c r="K494" s="40">
        <v>492</v>
      </c>
      <c r="L494" s="105">
        <v>-4.9999999999999893</v>
      </c>
    </row>
    <row r="495" spans="11:12" x14ac:dyDescent="0.4">
      <c r="K495" s="40">
        <v>493</v>
      </c>
      <c r="L495" s="105">
        <v>10.60000000000001</v>
      </c>
    </row>
    <row r="496" spans="11:12" x14ac:dyDescent="0.4">
      <c r="K496" s="40">
        <v>494</v>
      </c>
      <c r="L496" s="105">
        <v>-27.79999999999999</v>
      </c>
    </row>
    <row r="497" spans="11:12" x14ac:dyDescent="0.4">
      <c r="K497" s="40">
        <v>495</v>
      </c>
      <c r="L497" s="105">
        <v>-4.9999999999999893</v>
      </c>
    </row>
    <row r="498" spans="11:12" x14ac:dyDescent="0.4">
      <c r="K498" s="40">
        <v>496</v>
      </c>
      <c r="L498" s="105">
        <v>10.60000000000001</v>
      </c>
    </row>
    <row r="499" spans="11:12" x14ac:dyDescent="0.4">
      <c r="K499" s="40">
        <v>497</v>
      </c>
      <c r="L499" s="105">
        <v>-2.1999999999999904</v>
      </c>
    </row>
    <row r="500" spans="11:12" x14ac:dyDescent="0.4">
      <c r="K500" s="40">
        <v>498</v>
      </c>
      <c r="L500" s="105">
        <v>-4.9999999999999902</v>
      </c>
    </row>
    <row r="501" spans="11:12" x14ac:dyDescent="0.4">
      <c r="K501" s="40">
        <v>499</v>
      </c>
      <c r="L501" s="105">
        <v>-40.999999999999993</v>
      </c>
    </row>
    <row r="502" spans="11:12" x14ac:dyDescent="0.4">
      <c r="K502" s="40">
        <v>500</v>
      </c>
      <c r="L502" s="105">
        <v>-4.9999999999999929</v>
      </c>
    </row>
    <row r="503" spans="11:12" x14ac:dyDescent="0.4">
      <c r="K503" s="40">
        <v>501</v>
      </c>
      <c r="L503" s="105">
        <v>-4.9999999999999929</v>
      </c>
    </row>
    <row r="504" spans="11:12" x14ac:dyDescent="0.4">
      <c r="K504" s="40">
        <v>502</v>
      </c>
      <c r="L504" s="105">
        <v>-34.599999999999994</v>
      </c>
    </row>
    <row r="505" spans="11:12" x14ac:dyDescent="0.4">
      <c r="K505" s="40">
        <v>503</v>
      </c>
      <c r="L505" s="105">
        <v>-83.699999999999989</v>
      </c>
    </row>
    <row r="506" spans="11:12" x14ac:dyDescent="0.4">
      <c r="K506" s="40">
        <v>504</v>
      </c>
      <c r="L506" s="105">
        <v>-4.9999999999999858</v>
      </c>
    </row>
    <row r="507" spans="11:12" x14ac:dyDescent="0.4">
      <c r="K507" s="40">
        <v>505</v>
      </c>
      <c r="L507" s="105">
        <v>1.800000000000014</v>
      </c>
    </row>
    <row r="508" spans="11:12" x14ac:dyDescent="0.4">
      <c r="K508" s="40">
        <v>506</v>
      </c>
      <c r="L508" s="105">
        <v>-0.79999999999998606</v>
      </c>
    </row>
    <row r="509" spans="11:12" x14ac:dyDescent="0.4">
      <c r="K509" s="40">
        <v>507</v>
      </c>
      <c r="L509" s="105">
        <v>-4.9999999999999858</v>
      </c>
    </row>
    <row r="510" spans="11:12" x14ac:dyDescent="0.4">
      <c r="K510" s="40">
        <v>508</v>
      </c>
      <c r="L510" s="105">
        <v>-18.999999999999986</v>
      </c>
    </row>
    <row r="511" spans="11:12" x14ac:dyDescent="0.4">
      <c r="K511" s="40">
        <v>509</v>
      </c>
      <c r="L511" s="105">
        <v>-31.499999999999986</v>
      </c>
    </row>
    <row r="512" spans="11:12" x14ac:dyDescent="0.4">
      <c r="K512" s="40">
        <v>510</v>
      </c>
      <c r="L512" s="105">
        <v>-4.9999999999999858</v>
      </c>
    </row>
    <row r="513" spans="11:12" x14ac:dyDescent="0.4">
      <c r="K513" s="40">
        <v>511</v>
      </c>
      <c r="L513" s="105">
        <v>-14.999999999999986</v>
      </c>
    </row>
    <row r="514" spans="11:12" x14ac:dyDescent="0.4">
      <c r="K514" s="40">
        <v>512</v>
      </c>
      <c r="L514" s="105">
        <v>45.500000000000014</v>
      </c>
    </row>
    <row r="515" spans="11:12" x14ac:dyDescent="0.4">
      <c r="K515" s="40">
        <v>513</v>
      </c>
      <c r="L515" s="105">
        <v>-4.9999999999999858</v>
      </c>
    </row>
    <row r="516" spans="11:12" x14ac:dyDescent="0.4">
      <c r="K516" s="40">
        <v>514</v>
      </c>
      <c r="L516" s="105">
        <v>39.600000000000016</v>
      </c>
    </row>
    <row r="517" spans="11:12" x14ac:dyDescent="0.4">
      <c r="K517" s="40">
        <v>515</v>
      </c>
      <c r="L517" s="105">
        <v>10.100000000000016</v>
      </c>
    </row>
    <row r="518" spans="11:12" x14ac:dyDescent="0.4">
      <c r="K518" s="40">
        <v>516</v>
      </c>
      <c r="L518" s="105">
        <v>-4.999999999999984</v>
      </c>
    </row>
    <row r="519" spans="11:12" x14ac:dyDescent="0.4">
      <c r="K519" s="40">
        <v>517</v>
      </c>
      <c r="L519" s="105">
        <v>-9.6999999999999851</v>
      </c>
    </row>
    <row r="520" spans="11:12" x14ac:dyDescent="0.4">
      <c r="K520" s="40">
        <v>518</v>
      </c>
      <c r="L520" s="105">
        <v>8.9000000000000163</v>
      </c>
    </row>
    <row r="521" spans="11:12" x14ac:dyDescent="0.4">
      <c r="K521" s="40">
        <v>519</v>
      </c>
      <c r="L521" s="105">
        <v>-4.999999999999984</v>
      </c>
    </row>
    <row r="522" spans="11:12" x14ac:dyDescent="0.4">
      <c r="K522" s="40">
        <v>520</v>
      </c>
      <c r="L522" s="105">
        <v>7.500000000000016</v>
      </c>
    </row>
    <row r="523" spans="11:12" x14ac:dyDescent="0.4">
      <c r="K523" s="40">
        <v>521</v>
      </c>
      <c r="L523" s="105">
        <v>-6.6999999999999833</v>
      </c>
    </row>
    <row r="524" spans="11:12" x14ac:dyDescent="0.4">
      <c r="K524" s="40">
        <v>522</v>
      </c>
      <c r="L524" s="105">
        <v>-4.9999999999999831</v>
      </c>
    </row>
    <row r="525" spans="11:12" x14ac:dyDescent="0.4">
      <c r="K525" s="40">
        <v>523</v>
      </c>
      <c r="L525" s="105">
        <v>9.4000000000000163</v>
      </c>
    </row>
    <row r="526" spans="11:12" x14ac:dyDescent="0.4">
      <c r="K526" s="40">
        <v>524</v>
      </c>
      <c r="L526" s="105">
        <v>21.700000000000017</v>
      </c>
    </row>
    <row r="527" spans="11:12" x14ac:dyDescent="0.4">
      <c r="K527" s="40">
        <v>525</v>
      </c>
      <c r="L527" s="105">
        <v>-4.9999999999999822</v>
      </c>
    </row>
    <row r="528" spans="11:12" x14ac:dyDescent="0.4">
      <c r="K528" s="40">
        <v>526</v>
      </c>
      <c r="L528" s="105">
        <v>-18.999999999999982</v>
      </c>
    </row>
    <row r="529" spans="11:12" x14ac:dyDescent="0.4">
      <c r="K529" s="40">
        <v>527</v>
      </c>
      <c r="L529" s="105">
        <v>-79.299999999999983</v>
      </c>
    </row>
    <row r="530" spans="11:12" x14ac:dyDescent="0.4">
      <c r="K530" s="40">
        <v>528</v>
      </c>
      <c r="L530" s="105">
        <v>-4.9999999999999858</v>
      </c>
    </row>
    <row r="531" spans="11:12" x14ac:dyDescent="0.4">
      <c r="K531" s="40">
        <v>529</v>
      </c>
      <c r="L531" s="105">
        <v>2.1000000000000139</v>
      </c>
    </row>
    <row r="532" spans="11:12" x14ac:dyDescent="0.4">
      <c r="K532" s="40">
        <v>530</v>
      </c>
      <c r="L532" s="105">
        <v>-5.8999999999999861</v>
      </c>
    </row>
    <row r="533" spans="11:12" x14ac:dyDescent="0.4">
      <c r="K533" s="40">
        <v>531</v>
      </c>
      <c r="L533" s="105">
        <v>-4.9999999999999858</v>
      </c>
    </row>
    <row r="534" spans="11:12" x14ac:dyDescent="0.4">
      <c r="K534" s="40">
        <v>532</v>
      </c>
      <c r="L534" s="105">
        <v>14.700000000000014</v>
      </c>
    </row>
    <row r="535" spans="11:12" x14ac:dyDescent="0.4">
      <c r="K535" s="40">
        <v>533</v>
      </c>
      <c r="L535" s="105">
        <v>-1.1999999999999869</v>
      </c>
    </row>
    <row r="536" spans="11:12" x14ac:dyDescent="0.4">
      <c r="K536" s="40">
        <v>534</v>
      </c>
      <c r="L536" s="105">
        <v>-4.9999999999999867</v>
      </c>
    </row>
    <row r="537" spans="11:12" x14ac:dyDescent="0.4">
      <c r="K537" s="40">
        <v>535</v>
      </c>
      <c r="L537" s="105">
        <v>18.800000000000015</v>
      </c>
    </row>
    <row r="538" spans="11:12" x14ac:dyDescent="0.4">
      <c r="K538" s="40">
        <v>536</v>
      </c>
      <c r="L538" s="105">
        <v>20.500000000000014</v>
      </c>
    </row>
    <row r="539" spans="11:12" x14ac:dyDescent="0.4">
      <c r="K539" s="40">
        <v>537</v>
      </c>
      <c r="L539" s="105">
        <v>-4.9999999999999858</v>
      </c>
    </row>
    <row r="540" spans="11:12" x14ac:dyDescent="0.4">
      <c r="K540" s="40">
        <v>538</v>
      </c>
      <c r="L540" s="105">
        <v>-1.4999999999999858</v>
      </c>
    </row>
    <row r="541" spans="11:12" x14ac:dyDescent="0.4">
      <c r="K541" s="40">
        <v>539</v>
      </c>
      <c r="L541" s="105">
        <v>-10.999999999999986</v>
      </c>
    </row>
    <row r="542" spans="11:12" x14ac:dyDescent="0.4">
      <c r="K542" s="40">
        <v>540</v>
      </c>
      <c r="L542" s="105">
        <v>-4.9999999999999858</v>
      </c>
    </row>
    <row r="543" spans="11:12" x14ac:dyDescent="0.4">
      <c r="K543" s="40">
        <v>541</v>
      </c>
      <c r="L543" s="105">
        <v>-9.7999999999999865</v>
      </c>
    </row>
    <row r="544" spans="11:12" x14ac:dyDescent="0.4">
      <c r="K544" s="40">
        <v>542</v>
      </c>
      <c r="L544" s="105">
        <v>16.000000000000014</v>
      </c>
    </row>
    <row r="545" spans="11:12" x14ac:dyDescent="0.4">
      <c r="K545" s="40">
        <v>543</v>
      </c>
      <c r="L545" s="105">
        <v>-4.9999999999999858</v>
      </c>
    </row>
    <row r="546" spans="11:12" x14ac:dyDescent="0.4">
      <c r="K546" s="40">
        <v>544</v>
      </c>
      <c r="L546" s="105">
        <v>27.500000000000014</v>
      </c>
    </row>
    <row r="547" spans="11:12" x14ac:dyDescent="0.4">
      <c r="K547" s="40">
        <v>545</v>
      </c>
      <c r="L547" s="105">
        <v>6.9000000000000128</v>
      </c>
    </row>
    <row r="548" spans="11:12" x14ac:dyDescent="0.4">
      <c r="K548" s="40">
        <v>546</v>
      </c>
      <c r="L548" s="105">
        <v>-4.9999999999999876</v>
      </c>
    </row>
    <row r="549" spans="11:12" x14ac:dyDescent="0.4">
      <c r="K549" s="40">
        <v>547</v>
      </c>
      <c r="L549" s="105">
        <v>12.100000000000014</v>
      </c>
    </row>
    <row r="550" spans="11:12" x14ac:dyDescent="0.4">
      <c r="K550" s="40">
        <v>548</v>
      </c>
      <c r="L550" s="105">
        <v>12.500000000000014</v>
      </c>
    </row>
    <row r="551" spans="11:12" x14ac:dyDescent="0.4">
      <c r="K551" s="40">
        <v>549</v>
      </c>
      <c r="L551" s="105">
        <v>-4.9999999999999858</v>
      </c>
    </row>
    <row r="552" spans="11:12" x14ac:dyDescent="0.4">
      <c r="K552" s="40">
        <v>550</v>
      </c>
      <c r="L552" s="105">
        <v>7.3000000000000149</v>
      </c>
    </row>
    <row r="553" spans="11:12" x14ac:dyDescent="0.4">
      <c r="K553" s="40">
        <v>551</v>
      </c>
      <c r="L553" s="105">
        <v>18.100000000000016</v>
      </c>
    </row>
    <row r="554" spans="11:12" x14ac:dyDescent="0.4">
      <c r="K554" s="40">
        <v>552</v>
      </c>
      <c r="L554" s="105">
        <v>-4.9999999999999858</v>
      </c>
    </row>
    <row r="555" spans="11:12" x14ac:dyDescent="0.4">
      <c r="K555" s="40">
        <v>553</v>
      </c>
      <c r="L555" s="105">
        <v>19.300000000000015</v>
      </c>
    </row>
    <row r="556" spans="11:12" x14ac:dyDescent="0.4">
      <c r="K556" s="40">
        <v>554</v>
      </c>
      <c r="L556" s="105">
        <v>6.4000000000000146</v>
      </c>
    </row>
    <row r="557" spans="11:12" x14ac:dyDescent="0.4">
      <c r="K557" s="40">
        <v>555</v>
      </c>
      <c r="L557" s="105">
        <v>-4.9999999999999858</v>
      </c>
    </row>
    <row r="558" spans="11:12" x14ac:dyDescent="0.4">
      <c r="K558" s="40">
        <v>556</v>
      </c>
      <c r="L558" s="105">
        <v>-17.199999999999985</v>
      </c>
    </row>
    <row r="559" spans="11:12" x14ac:dyDescent="0.4">
      <c r="K559" s="40">
        <v>557</v>
      </c>
      <c r="L559" s="105">
        <v>-12.299999999999985</v>
      </c>
    </row>
    <row r="560" spans="11:12" x14ac:dyDescent="0.4">
      <c r="K560" s="40">
        <v>558</v>
      </c>
      <c r="L560" s="105">
        <v>-4.9999999999999849</v>
      </c>
    </row>
    <row r="561" spans="11:12" x14ac:dyDescent="0.4">
      <c r="K561" s="40">
        <v>559</v>
      </c>
      <c r="L561" s="105">
        <v>-6.9999999999999849</v>
      </c>
    </row>
    <row r="562" spans="11:12" x14ac:dyDescent="0.4">
      <c r="K562" s="40">
        <v>560</v>
      </c>
      <c r="L562" s="105">
        <v>-0.39999999999998526</v>
      </c>
    </row>
    <row r="563" spans="11:12" x14ac:dyDescent="0.4">
      <c r="K563" s="40">
        <v>561</v>
      </c>
      <c r="L563" s="105">
        <v>-4.9999999999999849</v>
      </c>
    </row>
    <row r="564" spans="11:12" x14ac:dyDescent="0.4">
      <c r="K564" s="40">
        <v>562</v>
      </c>
      <c r="L564" s="105">
        <v>-45.599999999999987</v>
      </c>
    </row>
    <row r="565" spans="11:12" x14ac:dyDescent="0.4">
      <c r="K565" s="40">
        <v>563</v>
      </c>
      <c r="L565" s="105">
        <v>-81.499999999999986</v>
      </c>
    </row>
    <row r="566" spans="11:12" x14ac:dyDescent="0.4">
      <c r="K566" s="40">
        <v>564</v>
      </c>
      <c r="L566" s="105">
        <v>-4.9999999999999858</v>
      </c>
    </row>
    <row r="567" spans="11:12" x14ac:dyDescent="0.4">
      <c r="K567" s="40">
        <v>565</v>
      </c>
      <c r="L567" s="105">
        <v>16.700000000000014</v>
      </c>
    </row>
    <row r="568" spans="11:12" x14ac:dyDescent="0.4">
      <c r="K568" s="40">
        <v>566</v>
      </c>
      <c r="L568" s="105">
        <v>30.800000000000011</v>
      </c>
    </row>
    <row r="569" spans="11:12" x14ac:dyDescent="0.4">
      <c r="K569" s="40">
        <v>567</v>
      </c>
      <c r="L569" s="105">
        <v>-4.9999999999999858</v>
      </c>
    </row>
    <row r="570" spans="11:12" x14ac:dyDescent="0.4">
      <c r="K570" s="40">
        <v>568</v>
      </c>
      <c r="L570" s="105">
        <v>35.700000000000017</v>
      </c>
    </row>
    <row r="571" spans="11:12" x14ac:dyDescent="0.4">
      <c r="K571" s="40">
        <v>569</v>
      </c>
      <c r="L571" s="105">
        <v>-2.7999999999999829</v>
      </c>
    </row>
    <row r="572" spans="11:12" x14ac:dyDescent="0.4">
      <c r="K572" s="40">
        <v>570</v>
      </c>
      <c r="L572" s="105">
        <v>-4.9999999999999831</v>
      </c>
    </row>
    <row r="573" spans="11:12" x14ac:dyDescent="0.4">
      <c r="K573" s="40">
        <v>571</v>
      </c>
      <c r="L573" s="105">
        <v>3.0000000000000169</v>
      </c>
    </row>
    <row r="574" spans="11:12" x14ac:dyDescent="0.4">
      <c r="K574" s="40">
        <v>572</v>
      </c>
      <c r="L574" s="105">
        <v>11.900000000000016</v>
      </c>
    </row>
    <row r="575" spans="11:12" x14ac:dyDescent="0.4">
      <c r="K575" s="40">
        <v>573</v>
      </c>
      <c r="L575" s="105">
        <v>-4.9999999999999822</v>
      </c>
    </row>
    <row r="576" spans="11:12" x14ac:dyDescent="0.4">
      <c r="K576" s="40">
        <v>574</v>
      </c>
      <c r="L576" s="105">
        <v>2.7000000000000179</v>
      </c>
    </row>
    <row r="577" spans="11:12" x14ac:dyDescent="0.4">
      <c r="K577" s="40">
        <v>575</v>
      </c>
      <c r="L577" s="105">
        <v>32.40000000000002</v>
      </c>
    </row>
    <row r="578" spans="11:12" x14ac:dyDescent="0.4">
      <c r="K578" s="40">
        <v>576</v>
      </c>
      <c r="L578" s="105">
        <v>-4.9999999999999787</v>
      </c>
    </row>
    <row r="579" spans="11:12" x14ac:dyDescent="0.4">
      <c r="K579" s="40">
        <v>577</v>
      </c>
      <c r="L579" s="105">
        <v>-73.999999999999972</v>
      </c>
    </row>
    <row r="580" spans="11:12" x14ac:dyDescent="0.4">
      <c r="K580" s="40">
        <v>578</v>
      </c>
      <c r="L580" s="105">
        <v>-94.699999999999974</v>
      </c>
    </row>
    <row r="581" spans="11:12" x14ac:dyDescent="0.4">
      <c r="K581" s="40">
        <v>579</v>
      </c>
      <c r="L581" s="105">
        <v>-4.9999999999999716</v>
      </c>
    </row>
    <row r="582" spans="11:12" x14ac:dyDescent="0.4">
      <c r="K582" s="40">
        <v>580</v>
      </c>
      <c r="L582" s="105">
        <v>-7.9999999999999716</v>
      </c>
    </row>
    <row r="583" spans="11:12" x14ac:dyDescent="0.4">
      <c r="K583" s="40">
        <v>581</v>
      </c>
      <c r="L583" s="105">
        <v>-36.199999999999974</v>
      </c>
    </row>
    <row r="584" spans="11:12" x14ac:dyDescent="0.4">
      <c r="K584" s="40">
        <v>582</v>
      </c>
      <c r="L584" s="105">
        <v>-4.9999999999999751</v>
      </c>
    </row>
    <row r="585" spans="11:12" x14ac:dyDescent="0.4">
      <c r="K585" s="40">
        <v>583</v>
      </c>
      <c r="L585" s="105">
        <v>-7.5999999999999748</v>
      </c>
    </row>
    <row r="586" spans="11:12" x14ac:dyDescent="0.4">
      <c r="K586" s="40">
        <v>584</v>
      </c>
      <c r="L586" s="105">
        <v>-45.199999999999974</v>
      </c>
    </row>
    <row r="587" spans="11:12" x14ac:dyDescent="0.4">
      <c r="K587" s="40">
        <v>585</v>
      </c>
      <c r="L587" s="105">
        <v>-4.9999999999999716</v>
      </c>
    </row>
    <row r="588" spans="11:12" x14ac:dyDescent="0.4">
      <c r="K588" s="40">
        <v>586</v>
      </c>
      <c r="L588" s="105">
        <v>54.000000000000028</v>
      </c>
    </row>
    <row r="589" spans="11:12" x14ac:dyDescent="0.4">
      <c r="K589" s="40">
        <v>587</v>
      </c>
      <c r="L589" s="105">
        <v>16.000000000000028</v>
      </c>
    </row>
    <row r="590" spans="11:12" x14ac:dyDescent="0.4">
      <c r="K590" s="40">
        <v>588</v>
      </c>
      <c r="L590" s="105">
        <v>-4.9999999999999716</v>
      </c>
    </row>
    <row r="591" spans="11:12" x14ac:dyDescent="0.4">
      <c r="K591" s="40">
        <v>589</v>
      </c>
      <c r="L591" s="105">
        <v>-4.9999999999999716</v>
      </c>
    </row>
    <row r="592" spans="11:12" x14ac:dyDescent="0.4">
      <c r="K592" s="40">
        <v>590</v>
      </c>
      <c r="L592" s="105">
        <v>31.000000000000028</v>
      </c>
    </row>
    <row r="593" spans="11:12" x14ac:dyDescent="0.4">
      <c r="K593" s="40">
        <v>591</v>
      </c>
      <c r="L593" s="105">
        <v>-4.9999999999999716</v>
      </c>
    </row>
    <row r="594" spans="11:12" x14ac:dyDescent="0.4">
      <c r="K594" s="40">
        <v>592</v>
      </c>
      <c r="L594" s="105">
        <v>-25.499999999999972</v>
      </c>
    </row>
    <row r="595" spans="11:12" x14ac:dyDescent="0.4">
      <c r="K595" s="40">
        <v>593</v>
      </c>
      <c r="L595" s="105">
        <v>4.400000000000027</v>
      </c>
    </row>
    <row r="596" spans="11:12" x14ac:dyDescent="0.4">
      <c r="K596" s="40">
        <v>594</v>
      </c>
      <c r="L596" s="105">
        <v>-4.9999999999999734</v>
      </c>
    </row>
    <row r="597" spans="11:12" x14ac:dyDescent="0.4">
      <c r="K597" s="40">
        <v>595</v>
      </c>
      <c r="L597" s="105">
        <v>9.5000000000000266</v>
      </c>
    </row>
    <row r="598" spans="11:12" x14ac:dyDescent="0.4">
      <c r="K598" s="40">
        <v>596</v>
      </c>
      <c r="L598" s="105">
        <v>18.400000000000027</v>
      </c>
    </row>
    <row r="599" spans="11:12" x14ac:dyDescent="0.4">
      <c r="K599" s="40">
        <v>597</v>
      </c>
      <c r="L599" s="105">
        <v>-4.9999999999999716</v>
      </c>
    </row>
    <row r="600" spans="11:12" x14ac:dyDescent="0.4">
      <c r="K600" s="40">
        <v>598</v>
      </c>
      <c r="L600" s="105">
        <v>10.900000000000029</v>
      </c>
    </row>
    <row r="601" spans="11:12" x14ac:dyDescent="0.4">
      <c r="K601" s="40">
        <v>599</v>
      </c>
      <c r="L601" s="105">
        <v>34.400000000000027</v>
      </c>
    </row>
    <row r="602" spans="11:12" x14ac:dyDescent="0.4">
      <c r="K602" s="40">
        <v>600</v>
      </c>
      <c r="L602" s="105">
        <v>-4.9999999999999716</v>
      </c>
    </row>
    <row r="603" spans="11:12" x14ac:dyDescent="0.4">
      <c r="K603" s="40">
        <v>601</v>
      </c>
      <c r="L603" s="105">
        <v>-8.3999999999999719</v>
      </c>
    </row>
    <row r="604" spans="11:12" x14ac:dyDescent="0.4">
      <c r="K604" s="40">
        <v>602</v>
      </c>
      <c r="L604" s="105">
        <v>-22.89999999999997</v>
      </c>
    </row>
    <row r="605" spans="11:12" x14ac:dyDescent="0.4">
      <c r="K605" s="40">
        <v>603</v>
      </c>
      <c r="L605" s="105">
        <v>-4.9999999999999716</v>
      </c>
    </row>
    <row r="606" spans="11:12" x14ac:dyDescent="0.4">
      <c r="K606" s="40">
        <v>604</v>
      </c>
      <c r="L606" s="105">
        <v>-0.59999999999997122</v>
      </c>
    </row>
    <row r="607" spans="11:12" x14ac:dyDescent="0.4">
      <c r="K607" s="40">
        <v>605</v>
      </c>
      <c r="L607" s="105">
        <v>-6.399999999999971</v>
      </c>
    </row>
    <row r="608" spans="11:12" x14ac:dyDescent="0.4">
      <c r="K608" s="40">
        <v>606</v>
      </c>
      <c r="L608" s="105">
        <v>-4.9999999999999716</v>
      </c>
    </row>
    <row r="609" spans="11:12" x14ac:dyDescent="0.4">
      <c r="K609" s="40">
        <v>607</v>
      </c>
      <c r="L609" s="105">
        <v>34.500000000000028</v>
      </c>
    </row>
    <row r="610" spans="11:12" x14ac:dyDescent="0.4">
      <c r="K610" s="40">
        <v>608</v>
      </c>
      <c r="L610" s="105">
        <v>-2.1999999999999744</v>
      </c>
    </row>
    <row r="611" spans="11:12" x14ac:dyDescent="0.4">
      <c r="K611" s="40">
        <v>609</v>
      </c>
      <c r="L611" s="105">
        <v>-4.9999999999999742</v>
      </c>
    </row>
    <row r="612" spans="11:12" x14ac:dyDescent="0.4">
      <c r="K612" s="40">
        <v>610</v>
      </c>
      <c r="L612" s="105">
        <v>56.000000000000028</v>
      </c>
    </row>
    <row r="613" spans="11:12" x14ac:dyDescent="0.4">
      <c r="K613" s="40">
        <v>611</v>
      </c>
      <c r="L613" s="105">
        <v>8.5000000000000284</v>
      </c>
    </row>
    <row r="614" spans="11:12" x14ac:dyDescent="0.4">
      <c r="K614" s="40">
        <v>612</v>
      </c>
      <c r="L614" s="105">
        <v>-4.9999999999999716</v>
      </c>
    </row>
    <row r="615" spans="11:12" x14ac:dyDescent="0.4">
      <c r="K615" s="40">
        <v>613</v>
      </c>
      <c r="L615" s="105">
        <v>6.7000000000000277</v>
      </c>
    </row>
    <row r="616" spans="11:12" x14ac:dyDescent="0.4">
      <c r="K616" s="40">
        <v>614</v>
      </c>
      <c r="L616" s="105">
        <v>-16.799999999999972</v>
      </c>
    </row>
    <row r="617" spans="11:12" x14ac:dyDescent="0.4">
      <c r="K617" s="40">
        <v>615</v>
      </c>
      <c r="L617" s="105">
        <v>-4.9999999999999716</v>
      </c>
    </row>
    <row r="618" spans="11:12" x14ac:dyDescent="0.4">
      <c r="K618" s="40">
        <v>616</v>
      </c>
      <c r="L618" s="105">
        <v>11.10000000000003</v>
      </c>
    </row>
    <row r="619" spans="11:12" x14ac:dyDescent="0.4">
      <c r="K619" s="40">
        <v>617</v>
      </c>
      <c r="L619" s="105">
        <v>10.10000000000003</v>
      </c>
    </row>
    <row r="620" spans="11:12" x14ac:dyDescent="0.4">
      <c r="K620" s="40">
        <v>618</v>
      </c>
      <c r="L620" s="105">
        <v>-4.9999999999999698</v>
      </c>
    </row>
    <row r="621" spans="11:12" x14ac:dyDescent="0.4">
      <c r="K621" s="40">
        <v>619</v>
      </c>
      <c r="L621" s="105">
        <v>52.500000000000028</v>
      </c>
    </row>
    <row r="622" spans="11:12" x14ac:dyDescent="0.4">
      <c r="K622" s="40">
        <v>620</v>
      </c>
      <c r="L622" s="105">
        <v>6.7000000000000313</v>
      </c>
    </row>
    <row r="623" spans="11:12" x14ac:dyDescent="0.4">
      <c r="K623" s="40">
        <v>621</v>
      </c>
      <c r="L623" s="105">
        <v>-4.999999999999968</v>
      </c>
    </row>
    <row r="624" spans="11:12" x14ac:dyDescent="0.4">
      <c r="K624" s="40">
        <v>622</v>
      </c>
      <c r="L624" s="105">
        <v>-17.499999999999968</v>
      </c>
    </row>
    <row r="625" spans="11:12" x14ac:dyDescent="0.4">
      <c r="K625" s="40">
        <v>623</v>
      </c>
      <c r="L625" s="105">
        <v>-61.399999999999963</v>
      </c>
    </row>
    <row r="626" spans="11:12" x14ac:dyDescent="0.4">
      <c r="K626" s="40">
        <v>624</v>
      </c>
      <c r="L626" s="105">
        <v>-4.9999999999999645</v>
      </c>
    </row>
    <row r="627" spans="11:12" x14ac:dyDescent="0.4">
      <c r="K627" s="40">
        <v>625</v>
      </c>
      <c r="L627" s="105">
        <v>-46.999999999999964</v>
      </c>
    </row>
    <row r="628" spans="11:12" x14ac:dyDescent="0.4">
      <c r="K628" s="40">
        <v>626</v>
      </c>
      <c r="L628" s="105">
        <v>-49.999999999999964</v>
      </c>
    </row>
    <row r="629" spans="11:12" x14ac:dyDescent="0.4">
      <c r="K629" s="40">
        <v>627</v>
      </c>
      <c r="L629" s="105">
        <v>-4.9999999999999645</v>
      </c>
    </row>
    <row r="630" spans="11:12" x14ac:dyDescent="0.4">
      <c r="K630" s="40">
        <v>628</v>
      </c>
      <c r="L630" s="105">
        <v>5.7000000000000348</v>
      </c>
    </row>
    <row r="631" spans="11:12" x14ac:dyDescent="0.4">
      <c r="K631" s="40">
        <v>629</v>
      </c>
      <c r="L631" s="105">
        <v>1.7000000000000348</v>
      </c>
    </row>
    <row r="632" spans="11:12" x14ac:dyDescent="0.4">
      <c r="K632" s="40">
        <v>630</v>
      </c>
      <c r="L632" s="105">
        <v>-4.9999999999999654</v>
      </c>
    </row>
    <row r="633" spans="11:12" x14ac:dyDescent="0.4">
      <c r="K633" s="40">
        <v>631</v>
      </c>
      <c r="L633" s="105">
        <v>26.100000000000037</v>
      </c>
    </row>
    <row r="634" spans="11:12" x14ac:dyDescent="0.4">
      <c r="K634" s="40">
        <v>632</v>
      </c>
      <c r="L634" s="105">
        <v>-4.2999999999999616</v>
      </c>
    </row>
    <row r="635" spans="11:12" x14ac:dyDescent="0.4">
      <c r="K635" s="40">
        <v>633</v>
      </c>
      <c r="L635" s="105">
        <v>-4.9999999999999618</v>
      </c>
    </row>
    <row r="636" spans="11:12" x14ac:dyDescent="0.4">
      <c r="K636" s="40">
        <v>634</v>
      </c>
      <c r="L636" s="105">
        <v>5.2000000000000375</v>
      </c>
    </row>
    <row r="637" spans="11:12" x14ac:dyDescent="0.4">
      <c r="K637" s="40">
        <v>635</v>
      </c>
      <c r="L637" s="105">
        <v>-15.099999999999962</v>
      </c>
    </row>
    <row r="638" spans="11:12" x14ac:dyDescent="0.4">
      <c r="K638" s="40">
        <v>636</v>
      </c>
      <c r="L638" s="105">
        <v>-4.9999999999999627</v>
      </c>
    </row>
    <row r="639" spans="11:12" x14ac:dyDescent="0.4">
      <c r="K639" s="40">
        <v>637</v>
      </c>
      <c r="L639" s="105">
        <v>3.300000000000038</v>
      </c>
    </row>
    <row r="640" spans="11:12" x14ac:dyDescent="0.4">
      <c r="K640" s="40">
        <v>638</v>
      </c>
      <c r="L640" s="105">
        <v>30.80000000000004</v>
      </c>
    </row>
    <row r="641" spans="11:12" x14ac:dyDescent="0.4">
      <c r="K641" s="40">
        <v>639</v>
      </c>
      <c r="L641" s="105">
        <v>-4.9999999999999574</v>
      </c>
    </row>
    <row r="642" spans="11:12" x14ac:dyDescent="0.4">
      <c r="K642" s="40">
        <v>640</v>
      </c>
      <c r="L642" s="105">
        <v>-6.8999999999999577</v>
      </c>
    </row>
    <row r="643" spans="11:12" x14ac:dyDescent="0.4">
      <c r="K643" s="40">
        <v>641</v>
      </c>
      <c r="L643" s="105">
        <v>-1.1999999999999575</v>
      </c>
    </row>
    <row r="644" spans="11:12" x14ac:dyDescent="0.4">
      <c r="K644" s="40">
        <v>642</v>
      </c>
      <c r="L644" s="105">
        <v>-4.9999999999999574</v>
      </c>
    </row>
    <row r="645" spans="11:12" x14ac:dyDescent="0.4">
      <c r="K645" s="40">
        <v>643</v>
      </c>
      <c r="L645" s="105">
        <v>-4.4999999999999574</v>
      </c>
    </row>
    <row r="646" spans="11:12" x14ac:dyDescent="0.4">
      <c r="K646" s="40">
        <v>644</v>
      </c>
      <c r="L646" s="105">
        <v>8.7000000000000419</v>
      </c>
    </row>
    <row r="647" spans="11:12" x14ac:dyDescent="0.4">
      <c r="K647" s="40">
        <v>645</v>
      </c>
      <c r="L647" s="105">
        <v>-4.9999999999999574</v>
      </c>
    </row>
    <row r="648" spans="11:12" x14ac:dyDescent="0.4">
      <c r="K648" s="40">
        <v>646</v>
      </c>
      <c r="L648" s="105">
        <v>43.000000000000043</v>
      </c>
    </row>
    <row r="649" spans="11:12" x14ac:dyDescent="0.4">
      <c r="K649" s="40">
        <v>647</v>
      </c>
      <c r="L649" s="105">
        <v>36.000000000000043</v>
      </c>
    </row>
    <row r="650" spans="11:12" x14ac:dyDescent="0.4">
      <c r="K650" s="40">
        <v>648</v>
      </c>
      <c r="L650" s="105">
        <v>-4.9999999999999574</v>
      </c>
    </row>
    <row r="651" spans="11:12" x14ac:dyDescent="0.4">
      <c r="K651" s="40">
        <v>649</v>
      </c>
      <c r="L651" s="105">
        <v>17.800000000000043</v>
      </c>
    </row>
    <row r="652" spans="11:12" x14ac:dyDescent="0.4">
      <c r="K652" s="40">
        <v>650</v>
      </c>
      <c r="L652" s="105">
        <v>38.100000000000044</v>
      </c>
    </row>
    <row r="653" spans="11:12" x14ac:dyDescent="0.4">
      <c r="K653" s="40">
        <v>651</v>
      </c>
      <c r="L653" s="105">
        <v>-4.9999999999999574</v>
      </c>
    </row>
    <row r="654" spans="11:12" x14ac:dyDescent="0.4">
      <c r="K654" s="40">
        <v>652</v>
      </c>
      <c r="L654" s="105">
        <v>1.0000000000000426</v>
      </c>
    </row>
    <row r="655" spans="11:12" x14ac:dyDescent="0.4">
      <c r="K655" s="40">
        <v>653</v>
      </c>
      <c r="L655" s="105">
        <v>-4.9999999999999574</v>
      </c>
    </row>
    <row r="656" spans="11:12" x14ac:dyDescent="0.4">
      <c r="K656" s="40">
        <v>654</v>
      </c>
      <c r="L656" s="105">
        <v>-4.9999999999999574</v>
      </c>
    </row>
    <row r="657" spans="11:12" x14ac:dyDescent="0.4">
      <c r="K657" s="40">
        <v>655</v>
      </c>
      <c r="L657" s="105">
        <v>-21.999999999999957</v>
      </c>
    </row>
    <row r="658" spans="11:12" x14ac:dyDescent="0.4">
      <c r="K658" s="40">
        <v>656</v>
      </c>
      <c r="L658" s="105">
        <v>-1.2999999999999581</v>
      </c>
    </row>
    <row r="659" spans="11:12" x14ac:dyDescent="0.4">
      <c r="K659" s="40">
        <v>657</v>
      </c>
      <c r="L659" s="105">
        <v>-4.9999999999999583</v>
      </c>
    </row>
    <row r="660" spans="11:12" x14ac:dyDescent="0.4">
      <c r="K660" s="40">
        <v>658</v>
      </c>
      <c r="L660" s="105">
        <v>-31.199999999999957</v>
      </c>
    </row>
    <row r="661" spans="11:12" x14ac:dyDescent="0.4">
      <c r="K661" s="40">
        <v>659</v>
      </c>
      <c r="L661" s="105">
        <v>31.500000000000046</v>
      </c>
    </row>
    <row r="662" spans="11:12" x14ac:dyDescent="0.4">
      <c r="K662" s="40">
        <v>660</v>
      </c>
      <c r="L662" s="105">
        <v>-4.9999999999999538</v>
      </c>
    </row>
    <row r="663" spans="11:12" x14ac:dyDescent="0.4">
      <c r="K663" s="40">
        <v>661</v>
      </c>
      <c r="L663" s="105">
        <v>-23.899999999999952</v>
      </c>
    </row>
    <row r="664" spans="11:12" x14ac:dyDescent="0.4">
      <c r="K664" s="40">
        <v>662</v>
      </c>
      <c r="L664" s="105">
        <v>-17.299999999999955</v>
      </c>
    </row>
    <row r="665" spans="11:12" x14ac:dyDescent="0.4">
      <c r="K665" s="40">
        <v>663</v>
      </c>
      <c r="L665" s="105">
        <v>-4.9999999999999538</v>
      </c>
    </row>
    <row r="666" spans="11:12" x14ac:dyDescent="0.4">
      <c r="K666" s="40">
        <v>664</v>
      </c>
      <c r="L666" s="105">
        <v>31.000000000000046</v>
      </c>
    </row>
    <row r="667" spans="11:12" x14ac:dyDescent="0.4">
      <c r="K667" s="40">
        <v>665</v>
      </c>
      <c r="L667" s="105">
        <v>10.500000000000046</v>
      </c>
    </row>
    <row r="668" spans="11:12" x14ac:dyDescent="0.4">
      <c r="K668" s="40">
        <v>666</v>
      </c>
      <c r="L668" s="105">
        <v>-4.9999999999999538</v>
      </c>
    </row>
    <row r="669" spans="11:12" x14ac:dyDescent="0.4">
      <c r="K669" s="40">
        <v>667</v>
      </c>
      <c r="L669" s="105">
        <v>31.700000000000049</v>
      </c>
    </row>
    <row r="670" spans="11:12" x14ac:dyDescent="0.4">
      <c r="K670" s="40">
        <v>668</v>
      </c>
      <c r="L670" s="105">
        <v>-5.299999999999951</v>
      </c>
    </row>
    <row r="671" spans="11:12" x14ac:dyDescent="0.4">
      <c r="K671" s="40">
        <v>669</v>
      </c>
      <c r="L671" s="105">
        <v>-4.9999999999999512</v>
      </c>
    </row>
    <row r="672" spans="11:12" x14ac:dyDescent="0.4">
      <c r="K672" s="40">
        <v>670</v>
      </c>
      <c r="L672" s="105">
        <v>7.4000000000000492</v>
      </c>
    </row>
    <row r="673" spans="11:12" x14ac:dyDescent="0.4">
      <c r="K673" s="40">
        <v>671</v>
      </c>
      <c r="L673" s="105">
        <v>-9.1999999999999531</v>
      </c>
    </row>
    <row r="674" spans="11:12" x14ac:dyDescent="0.4">
      <c r="K674" s="40">
        <v>672</v>
      </c>
      <c r="L674" s="105">
        <v>-4.9999999999999529</v>
      </c>
    </row>
    <row r="675" spans="11:12" x14ac:dyDescent="0.4">
      <c r="K675" s="40">
        <v>673</v>
      </c>
      <c r="L675" s="105">
        <v>9.0000000000000462</v>
      </c>
    </row>
    <row r="676" spans="11:12" x14ac:dyDescent="0.4">
      <c r="K676" s="40">
        <v>674</v>
      </c>
      <c r="L676" s="105">
        <v>36.400000000000048</v>
      </c>
    </row>
    <row r="677" spans="11:12" x14ac:dyDescent="0.4">
      <c r="K677" s="40">
        <v>675</v>
      </c>
      <c r="L677" s="105">
        <v>-4.9999999999999503</v>
      </c>
    </row>
    <row r="678" spans="11:12" x14ac:dyDescent="0.4">
      <c r="K678" s="40">
        <v>676</v>
      </c>
      <c r="L678" s="105">
        <v>1.8000000000000496</v>
      </c>
    </row>
    <row r="679" spans="11:12" x14ac:dyDescent="0.4">
      <c r="K679" s="40">
        <v>677</v>
      </c>
      <c r="L679" s="105">
        <v>29.50000000000005</v>
      </c>
    </row>
    <row r="680" spans="11:12" x14ac:dyDescent="0.4">
      <c r="K680" s="40">
        <v>678</v>
      </c>
      <c r="L680" s="105">
        <v>-4.9999999999999503</v>
      </c>
    </row>
    <row r="681" spans="11:12" x14ac:dyDescent="0.4">
      <c r="K681" s="40">
        <v>679</v>
      </c>
      <c r="L681" s="105">
        <v>-12.59999999999995</v>
      </c>
    </row>
    <row r="682" spans="11:12" x14ac:dyDescent="0.4">
      <c r="K682" s="40">
        <v>680</v>
      </c>
      <c r="L682" s="105">
        <v>-14.59999999999995</v>
      </c>
    </row>
    <row r="683" spans="11:12" x14ac:dyDescent="0.4">
      <c r="K683" s="40">
        <v>681</v>
      </c>
      <c r="L683" s="105">
        <v>-4.9999999999999503</v>
      </c>
    </row>
    <row r="684" spans="11:12" x14ac:dyDescent="0.4">
      <c r="K684" s="40">
        <v>682</v>
      </c>
      <c r="L684" s="105">
        <v>21.200000000000049</v>
      </c>
    </row>
    <row r="685" spans="11:12" x14ac:dyDescent="0.4">
      <c r="K685" s="40">
        <v>683</v>
      </c>
      <c r="L685" s="105">
        <v>-7.1999999999999496</v>
      </c>
    </row>
    <row r="686" spans="11:12" x14ac:dyDescent="0.4">
      <c r="K686" s="40">
        <v>684</v>
      </c>
      <c r="L686" s="105">
        <v>-4.9999999999999494</v>
      </c>
    </row>
    <row r="687" spans="11:12" x14ac:dyDescent="0.4">
      <c r="K687" s="40">
        <v>685</v>
      </c>
      <c r="L687" s="105">
        <v>8.700000000000049</v>
      </c>
    </row>
    <row r="688" spans="11:12" x14ac:dyDescent="0.4">
      <c r="K688" s="40">
        <v>686</v>
      </c>
      <c r="L688" s="105">
        <v>-5.0999999999999517</v>
      </c>
    </row>
    <row r="689" spans="11:12" x14ac:dyDescent="0.4">
      <c r="K689" s="40">
        <v>687</v>
      </c>
      <c r="L689" s="105">
        <v>-4.999999999999952</v>
      </c>
    </row>
    <row r="690" spans="11:12" x14ac:dyDescent="0.4">
      <c r="K690" s="40">
        <v>688</v>
      </c>
      <c r="L690" s="105">
        <v>-4.6999999999999522</v>
      </c>
    </row>
    <row r="691" spans="11:12" x14ac:dyDescent="0.4">
      <c r="K691" s="40">
        <v>689</v>
      </c>
      <c r="L691" s="105">
        <v>-21.599999999999952</v>
      </c>
    </row>
    <row r="692" spans="11:12" x14ac:dyDescent="0.4">
      <c r="K692" s="40">
        <v>690</v>
      </c>
      <c r="L692" s="105">
        <v>-4.9999999999999503</v>
      </c>
    </row>
    <row r="693" spans="11:12" x14ac:dyDescent="0.4">
      <c r="K693" s="40">
        <v>691</v>
      </c>
      <c r="L693" s="105">
        <v>-10.399999999999951</v>
      </c>
    </row>
    <row r="694" spans="11:12" x14ac:dyDescent="0.4">
      <c r="K694" s="40">
        <v>692</v>
      </c>
      <c r="L694" s="105">
        <v>-35.799999999999947</v>
      </c>
    </row>
    <row r="695" spans="11:12" x14ac:dyDescent="0.4">
      <c r="K695" s="40">
        <v>693</v>
      </c>
      <c r="L695" s="105">
        <v>-4.9999999999999467</v>
      </c>
    </row>
    <row r="696" spans="11:12" x14ac:dyDescent="0.4">
      <c r="K696" s="40">
        <v>694</v>
      </c>
      <c r="L696" s="105">
        <v>-48.199999999999946</v>
      </c>
    </row>
    <row r="697" spans="11:12" x14ac:dyDescent="0.4">
      <c r="K697" s="40">
        <v>695</v>
      </c>
      <c r="L697" s="105">
        <v>-68.699999999999946</v>
      </c>
    </row>
    <row r="698" spans="11:12" x14ac:dyDescent="0.4">
      <c r="K698" s="40">
        <v>696</v>
      </c>
      <c r="L698" s="105">
        <v>-4.9999999999999432</v>
      </c>
    </row>
    <row r="699" spans="11:12" x14ac:dyDescent="0.4">
      <c r="K699" s="40">
        <v>697</v>
      </c>
      <c r="L699" s="105">
        <v>13.200000000000056</v>
      </c>
    </row>
    <row r="700" spans="11:12" x14ac:dyDescent="0.4">
      <c r="K700" s="40">
        <v>698</v>
      </c>
      <c r="L700" s="105">
        <v>-17.499999999999943</v>
      </c>
    </row>
    <row r="701" spans="11:12" x14ac:dyDescent="0.4">
      <c r="K701" s="40">
        <v>699</v>
      </c>
      <c r="L701" s="105">
        <v>-4.9999999999999432</v>
      </c>
    </row>
    <row r="702" spans="11:12" x14ac:dyDescent="0.4">
      <c r="K702" s="40">
        <v>700</v>
      </c>
      <c r="L702" s="105">
        <v>17.800000000000058</v>
      </c>
    </row>
    <row r="703" spans="11:12" x14ac:dyDescent="0.4">
      <c r="K703" s="40">
        <v>701</v>
      </c>
      <c r="L703" s="105">
        <v>-22.199999999999942</v>
      </c>
    </row>
    <row r="704" spans="11:12" x14ac:dyDescent="0.4">
      <c r="K704" s="40">
        <v>702</v>
      </c>
      <c r="L704" s="105">
        <v>-4.9999999999999432</v>
      </c>
    </row>
    <row r="705" spans="11:12" x14ac:dyDescent="0.4">
      <c r="K705" s="40">
        <v>703</v>
      </c>
      <c r="L705" s="105">
        <v>3.1000000000000565</v>
      </c>
    </row>
    <row r="706" spans="11:12" x14ac:dyDescent="0.4">
      <c r="K706" s="40">
        <v>704</v>
      </c>
      <c r="L706" s="105">
        <v>25.600000000000058</v>
      </c>
    </row>
    <row r="707" spans="11:12" x14ac:dyDescent="0.4">
      <c r="K707" s="40">
        <v>705</v>
      </c>
      <c r="L707" s="105">
        <v>-4.9999999999999432</v>
      </c>
    </row>
    <row r="708" spans="11:12" x14ac:dyDescent="0.4">
      <c r="K708" s="40">
        <v>706</v>
      </c>
      <c r="L708" s="105">
        <v>5.6843418860808015E-14</v>
      </c>
    </row>
    <row r="709" spans="11:12" x14ac:dyDescent="0.4">
      <c r="K709" s="40">
        <v>707</v>
      </c>
      <c r="L709" s="105">
        <v>-28.799999999999944</v>
      </c>
    </row>
    <row r="710" spans="11:12" x14ac:dyDescent="0.4">
      <c r="K710" s="40">
        <v>708</v>
      </c>
      <c r="L710" s="105">
        <v>-4.9999999999999432</v>
      </c>
    </row>
    <row r="711" spans="11:12" x14ac:dyDescent="0.4">
      <c r="K711" s="40">
        <v>709</v>
      </c>
      <c r="L711" s="105">
        <v>-43.999999999999943</v>
      </c>
    </row>
    <row r="712" spans="11:12" x14ac:dyDescent="0.4">
      <c r="K712" s="40">
        <v>710</v>
      </c>
      <c r="L712" s="105">
        <v>-28.499999999999943</v>
      </c>
    </row>
    <row r="713" spans="11:12" x14ac:dyDescent="0.4">
      <c r="K713" s="40">
        <v>711</v>
      </c>
      <c r="L713" s="105">
        <v>-4.9999999999999432</v>
      </c>
    </row>
    <row r="714" spans="11:12" x14ac:dyDescent="0.4">
      <c r="K714" s="40">
        <v>712</v>
      </c>
      <c r="L714" s="105">
        <v>2.5000000000000568</v>
      </c>
    </row>
    <row r="715" spans="11:12" x14ac:dyDescent="0.4">
      <c r="K715" s="40">
        <v>713</v>
      </c>
      <c r="L715" s="105">
        <v>45.500000000000057</v>
      </c>
    </row>
    <row r="716" spans="11:12" x14ac:dyDescent="0.4">
      <c r="K716" s="40">
        <v>714</v>
      </c>
      <c r="L716" s="105">
        <v>-4.9999999999999432</v>
      </c>
    </row>
    <row r="717" spans="11:12" x14ac:dyDescent="0.4">
      <c r="K717" s="40">
        <v>715</v>
      </c>
      <c r="L717" s="105">
        <v>12.800000000000058</v>
      </c>
    </row>
    <row r="718" spans="11:12" x14ac:dyDescent="0.4">
      <c r="K718" s="40">
        <v>716</v>
      </c>
      <c r="L718" s="105">
        <v>-6.7999999999999439</v>
      </c>
    </row>
    <row r="719" spans="11:12" x14ac:dyDescent="0.4">
      <c r="K719" s="40">
        <v>717</v>
      </c>
      <c r="L719" s="105">
        <v>-4.999999999999944</v>
      </c>
    </row>
    <row r="720" spans="11:12" x14ac:dyDescent="0.4">
      <c r="K720" s="40">
        <v>718</v>
      </c>
      <c r="L720" s="105">
        <v>3.2000000000000552</v>
      </c>
    </row>
    <row r="721" spans="11:12" x14ac:dyDescent="0.4">
      <c r="K721" s="40">
        <v>719</v>
      </c>
      <c r="L721" s="105">
        <v>-18.599999999999945</v>
      </c>
    </row>
    <row r="722" spans="11:12" x14ac:dyDescent="0.4">
      <c r="K722" s="40">
        <v>720</v>
      </c>
      <c r="L722" s="105">
        <v>-4.9999999999999449</v>
      </c>
    </row>
    <row r="723" spans="11:12" x14ac:dyDescent="0.4">
      <c r="K723" s="40">
        <v>721</v>
      </c>
      <c r="L723" s="105">
        <v>8.0000000000000551</v>
      </c>
    </row>
    <row r="724" spans="11:12" x14ac:dyDescent="0.4">
      <c r="K724" s="40">
        <v>722</v>
      </c>
      <c r="L724" s="105">
        <v>10.100000000000055</v>
      </c>
    </row>
    <row r="725" spans="11:12" x14ac:dyDescent="0.4">
      <c r="K725" s="40">
        <v>723</v>
      </c>
      <c r="L725" s="105">
        <v>-4.9999999999999449</v>
      </c>
    </row>
    <row r="726" spans="11:12" x14ac:dyDescent="0.4">
      <c r="K726" s="40">
        <v>724</v>
      </c>
      <c r="L726" s="105">
        <v>-44.099999999999945</v>
      </c>
    </row>
    <row r="727" spans="11:12" x14ac:dyDescent="0.4">
      <c r="K727" s="40">
        <v>725</v>
      </c>
      <c r="L727" s="105">
        <v>-56.29999999999994</v>
      </c>
    </row>
    <row r="728" spans="11:12" x14ac:dyDescent="0.4">
      <c r="K728" s="40">
        <v>726</v>
      </c>
      <c r="L728" s="105">
        <v>-4.9999999999999432</v>
      </c>
    </row>
    <row r="729" spans="11:12" x14ac:dyDescent="0.4">
      <c r="K729" s="40">
        <v>727</v>
      </c>
      <c r="L729" s="105">
        <v>31.900000000000055</v>
      </c>
    </row>
    <row r="730" spans="11:12" x14ac:dyDescent="0.4">
      <c r="K730" s="40">
        <v>728</v>
      </c>
      <c r="L730" s="105">
        <v>20.100000000000055</v>
      </c>
    </row>
    <row r="731" spans="11:12" x14ac:dyDescent="0.4">
      <c r="K731" s="40">
        <v>729</v>
      </c>
      <c r="L731" s="105">
        <v>-4.9999999999999467</v>
      </c>
    </row>
    <row r="732" spans="11:12" x14ac:dyDescent="0.4">
      <c r="K732" s="40">
        <v>730</v>
      </c>
      <c r="L732" s="105">
        <v>6.0000000000000533</v>
      </c>
    </row>
    <row r="733" spans="11:12" x14ac:dyDescent="0.4">
      <c r="K733" s="40">
        <v>731</v>
      </c>
      <c r="L733" s="105">
        <v>-5.4999999999999467</v>
      </c>
    </row>
    <row r="734" spans="11:12" x14ac:dyDescent="0.4">
      <c r="K734" s="40">
        <v>732</v>
      </c>
      <c r="L734" s="105">
        <v>-4.9999999999999467</v>
      </c>
    </row>
    <row r="735" spans="11:12" x14ac:dyDescent="0.4">
      <c r="K735" s="40">
        <v>733</v>
      </c>
      <c r="L735" s="105">
        <v>-41.999999999999943</v>
      </c>
    </row>
    <row r="736" spans="11:12" x14ac:dyDescent="0.4">
      <c r="K736" s="40">
        <v>734</v>
      </c>
      <c r="L736" s="105">
        <v>-37.999999999999943</v>
      </c>
    </row>
    <row r="737" spans="11:12" x14ac:dyDescent="0.4">
      <c r="K737" s="40">
        <v>735</v>
      </c>
      <c r="L737" s="105">
        <v>-4.9999999999999432</v>
      </c>
    </row>
    <row r="738" spans="11:12" x14ac:dyDescent="0.4">
      <c r="K738" s="40">
        <v>736</v>
      </c>
      <c r="L738" s="105">
        <v>5.3000000000000576</v>
      </c>
    </row>
    <row r="739" spans="11:12" x14ac:dyDescent="0.4">
      <c r="K739" s="40">
        <v>737</v>
      </c>
      <c r="L739" s="105">
        <v>5.0000000000000577</v>
      </c>
    </row>
    <row r="740" spans="11:12" x14ac:dyDescent="0.4">
      <c r="K740" s="40">
        <v>738</v>
      </c>
      <c r="L740" s="105">
        <v>-4.9999999999999423</v>
      </c>
    </row>
    <row r="741" spans="11:12" x14ac:dyDescent="0.4">
      <c r="K741" s="40">
        <v>739</v>
      </c>
      <c r="L741" s="105">
        <v>5.1000000000000574</v>
      </c>
    </row>
    <row r="742" spans="11:12" x14ac:dyDescent="0.4">
      <c r="K742" s="40">
        <v>740</v>
      </c>
      <c r="L742" s="105">
        <v>29.20000000000006</v>
      </c>
    </row>
    <row r="743" spans="11:12" x14ac:dyDescent="0.4">
      <c r="K743" s="40">
        <v>741</v>
      </c>
      <c r="L743" s="105">
        <v>-4.9999999999999432</v>
      </c>
    </row>
    <row r="744" spans="11:12" x14ac:dyDescent="0.4">
      <c r="K744" s="40">
        <v>742</v>
      </c>
      <c r="L744" s="105">
        <v>16.700000000000056</v>
      </c>
    </row>
    <row r="745" spans="11:12" x14ac:dyDescent="0.4">
      <c r="K745" s="40">
        <v>743</v>
      </c>
      <c r="L745" s="105">
        <v>41.20000000000006</v>
      </c>
    </row>
    <row r="746" spans="11:12" x14ac:dyDescent="0.4">
      <c r="K746" s="40">
        <v>744</v>
      </c>
      <c r="L746" s="105">
        <v>-4.9999999999999432</v>
      </c>
    </row>
    <row r="747" spans="11:12" x14ac:dyDescent="0.4">
      <c r="K747" s="40">
        <v>745</v>
      </c>
      <c r="L747" s="105">
        <v>-45.399999999999942</v>
      </c>
    </row>
    <row r="748" spans="11:12" x14ac:dyDescent="0.4">
      <c r="K748" s="40">
        <v>746</v>
      </c>
      <c r="L748" s="105">
        <v>-4.0999999999999446</v>
      </c>
    </row>
    <row r="749" spans="11:12" x14ac:dyDescent="0.4">
      <c r="K749" s="40">
        <v>747</v>
      </c>
      <c r="L749" s="105">
        <v>-4.9999999999999449</v>
      </c>
    </row>
    <row r="750" spans="11:12" x14ac:dyDescent="0.4">
      <c r="K750" s="40">
        <v>748</v>
      </c>
      <c r="L750" s="105">
        <v>0.60000000000005471</v>
      </c>
    </row>
    <row r="751" spans="11:12" x14ac:dyDescent="0.4">
      <c r="K751" s="40">
        <v>749</v>
      </c>
      <c r="L751" s="105">
        <v>12.000000000000055</v>
      </c>
    </row>
    <row r="752" spans="11:12" x14ac:dyDescent="0.4">
      <c r="K752" s="40">
        <v>750</v>
      </c>
      <c r="L752" s="105">
        <v>-4.9999999999999449</v>
      </c>
    </row>
    <row r="753" spans="11:12" x14ac:dyDescent="0.4">
      <c r="K753" s="40">
        <v>751</v>
      </c>
      <c r="L753" s="105">
        <v>-53.999999999999943</v>
      </c>
    </row>
    <row r="754" spans="11:12" x14ac:dyDescent="0.4">
      <c r="K754" s="40">
        <v>752</v>
      </c>
      <c r="L754" s="105">
        <v>-37.499999999999943</v>
      </c>
    </row>
    <row r="755" spans="11:12" x14ac:dyDescent="0.4">
      <c r="K755" s="40">
        <v>753</v>
      </c>
      <c r="L755" s="105">
        <v>-4.9999999999999432</v>
      </c>
    </row>
    <row r="756" spans="11:12" x14ac:dyDescent="0.4">
      <c r="K756" s="40">
        <v>754</v>
      </c>
      <c r="L756" s="105">
        <v>47.100000000000058</v>
      </c>
    </row>
    <row r="757" spans="11:12" x14ac:dyDescent="0.4">
      <c r="K757" s="40">
        <v>755</v>
      </c>
      <c r="L757" s="105">
        <v>31.70000000000006</v>
      </c>
    </row>
    <row r="758" spans="11:12" x14ac:dyDescent="0.4">
      <c r="K758" s="40">
        <v>756</v>
      </c>
      <c r="L758" s="105">
        <v>-4.9999999999999432</v>
      </c>
    </row>
    <row r="759" spans="11:12" x14ac:dyDescent="0.4">
      <c r="K759" s="40">
        <v>757</v>
      </c>
      <c r="L759" s="105">
        <v>-0.49999999999994316</v>
      </c>
    </row>
    <row r="760" spans="11:12" x14ac:dyDescent="0.4">
      <c r="K760" s="40">
        <v>758</v>
      </c>
      <c r="L760" s="105">
        <v>42.000000000000057</v>
      </c>
    </row>
    <row r="761" spans="11:12" x14ac:dyDescent="0.4">
      <c r="K761" s="40">
        <v>759</v>
      </c>
      <c r="L761" s="105">
        <v>-4.9999999999999432</v>
      </c>
    </row>
    <row r="762" spans="11:12" x14ac:dyDescent="0.4">
      <c r="K762" s="40">
        <v>760</v>
      </c>
      <c r="L762" s="105">
        <v>-19.999999999999943</v>
      </c>
    </row>
    <row r="763" spans="11:12" x14ac:dyDescent="0.4">
      <c r="K763" s="40">
        <v>761</v>
      </c>
      <c r="L763" s="105">
        <v>-63.199999999999946</v>
      </c>
    </row>
    <row r="764" spans="11:12" x14ac:dyDescent="0.4">
      <c r="K764" s="40">
        <v>762</v>
      </c>
      <c r="L764" s="105">
        <v>-4.9999999999999432</v>
      </c>
    </row>
    <row r="765" spans="11:12" x14ac:dyDescent="0.4">
      <c r="K765" s="40">
        <v>763</v>
      </c>
      <c r="L765" s="105">
        <v>2.8000000000000567</v>
      </c>
    </row>
    <row r="766" spans="11:12" x14ac:dyDescent="0.4">
      <c r="K766" s="40">
        <v>764</v>
      </c>
      <c r="L766" s="105">
        <v>11.800000000000058</v>
      </c>
    </row>
    <row r="767" spans="11:12" x14ac:dyDescent="0.4">
      <c r="K767" s="40">
        <v>765</v>
      </c>
      <c r="L767" s="105">
        <v>-4.9999999999999432</v>
      </c>
    </row>
    <row r="768" spans="11:12" x14ac:dyDescent="0.4">
      <c r="K768" s="40">
        <v>766</v>
      </c>
      <c r="L768" s="105">
        <v>13.600000000000058</v>
      </c>
    </row>
    <row r="769" spans="11:12" x14ac:dyDescent="0.4">
      <c r="K769" s="40">
        <v>767</v>
      </c>
      <c r="L769" s="105">
        <v>11.600000000000058</v>
      </c>
    </row>
    <row r="770" spans="11:12" x14ac:dyDescent="0.4">
      <c r="K770" s="40">
        <v>768</v>
      </c>
      <c r="L770" s="105">
        <v>-4.9999999999999432</v>
      </c>
    </row>
    <row r="771" spans="11:12" x14ac:dyDescent="0.4">
      <c r="K771" s="40">
        <v>769</v>
      </c>
      <c r="L771" s="105">
        <v>1.200000000000057</v>
      </c>
    </row>
    <row r="772" spans="11:12" x14ac:dyDescent="0.4">
      <c r="K772" s="40">
        <v>770</v>
      </c>
      <c r="L772" s="105">
        <v>5.700000000000057</v>
      </c>
    </row>
    <row r="773" spans="11:12" x14ac:dyDescent="0.4">
      <c r="K773" s="40">
        <v>771</v>
      </c>
      <c r="L773" s="105">
        <v>-4.9999999999999423</v>
      </c>
    </row>
    <row r="774" spans="11:12" x14ac:dyDescent="0.4">
      <c r="K774" s="40">
        <v>772</v>
      </c>
      <c r="L774" s="105">
        <v>7.6000000000000574</v>
      </c>
    </row>
    <row r="775" spans="11:12" x14ac:dyDescent="0.4">
      <c r="K775" s="40">
        <v>773</v>
      </c>
      <c r="L775" s="105">
        <v>8.4000000000000572</v>
      </c>
    </row>
    <row r="776" spans="11:12" x14ac:dyDescent="0.4">
      <c r="K776" s="40">
        <v>774</v>
      </c>
      <c r="L776" s="105">
        <v>-4.9999999999999432</v>
      </c>
    </row>
    <row r="777" spans="11:12" x14ac:dyDescent="0.4">
      <c r="K777" s="40">
        <v>775</v>
      </c>
      <c r="L777" s="105">
        <v>-0.99999999999994316</v>
      </c>
    </row>
    <row r="778" spans="11:12" x14ac:dyDescent="0.4">
      <c r="K778" s="40">
        <v>776</v>
      </c>
      <c r="L778" s="105">
        <v>-38.29999999999994</v>
      </c>
    </row>
    <row r="779" spans="11:12" x14ac:dyDescent="0.4">
      <c r="K779" s="40">
        <v>777</v>
      </c>
      <c r="L779" s="105">
        <v>-4.9999999999999432</v>
      </c>
    </row>
    <row r="780" spans="11:12" x14ac:dyDescent="0.4">
      <c r="K780" s="40">
        <v>778</v>
      </c>
      <c r="L780" s="105">
        <v>30.000000000000057</v>
      </c>
    </row>
    <row r="781" spans="11:12" x14ac:dyDescent="0.4">
      <c r="K781" s="40">
        <v>779</v>
      </c>
      <c r="L781" s="105">
        <v>-5.4999999999999432</v>
      </c>
    </row>
    <row r="782" spans="11:12" x14ac:dyDescent="0.4">
      <c r="K782" s="40">
        <v>780</v>
      </c>
      <c r="L782" s="105">
        <v>-4.9999999999999432</v>
      </c>
    </row>
    <row r="783" spans="11:12" x14ac:dyDescent="0.4">
      <c r="K783" s="40">
        <v>781</v>
      </c>
      <c r="L783" s="105">
        <v>8.4000000000000572</v>
      </c>
    </row>
    <row r="784" spans="11:12" x14ac:dyDescent="0.4">
      <c r="K784" s="40">
        <v>782</v>
      </c>
      <c r="L784" s="105">
        <v>17.400000000000055</v>
      </c>
    </row>
    <row r="785" spans="11:12" x14ac:dyDescent="0.4">
      <c r="K785" s="40">
        <v>783</v>
      </c>
      <c r="L785" s="105">
        <v>-4.9999999999999432</v>
      </c>
    </row>
    <row r="786" spans="11:12" x14ac:dyDescent="0.4">
      <c r="K786" s="40">
        <v>784</v>
      </c>
      <c r="L786" s="105">
        <v>1.1000000000000565</v>
      </c>
    </row>
    <row r="787" spans="11:12" x14ac:dyDescent="0.4">
      <c r="K787" s="40">
        <v>785</v>
      </c>
      <c r="L787" s="105">
        <v>-4.1999999999999433</v>
      </c>
    </row>
    <row r="788" spans="11:12" x14ac:dyDescent="0.4">
      <c r="K788" s="40">
        <v>786</v>
      </c>
      <c r="L788" s="105">
        <v>-4.9999999999999432</v>
      </c>
    </row>
    <row r="789" spans="11:12" x14ac:dyDescent="0.4">
      <c r="K789" s="40">
        <v>787</v>
      </c>
      <c r="L789" s="105">
        <v>61.70000000000006</v>
      </c>
    </row>
    <row r="790" spans="11:12" x14ac:dyDescent="0.4">
      <c r="K790" s="40">
        <v>788</v>
      </c>
      <c r="L790" s="105">
        <v>2.8000000000000611</v>
      </c>
    </row>
    <row r="791" spans="11:12" x14ac:dyDescent="0.4">
      <c r="K791" s="40">
        <v>789</v>
      </c>
      <c r="L791" s="105">
        <v>-4.9999999999999387</v>
      </c>
    </row>
    <row r="792" spans="11:12" x14ac:dyDescent="0.4">
      <c r="K792" s="40">
        <v>790</v>
      </c>
      <c r="L792" s="105">
        <v>-43.099999999999937</v>
      </c>
    </row>
    <row r="793" spans="11:12" x14ac:dyDescent="0.4">
      <c r="K793" s="40">
        <v>791</v>
      </c>
      <c r="L793" s="105">
        <v>-2.3999999999999346</v>
      </c>
    </row>
    <row r="794" spans="11:12" x14ac:dyDescent="0.4">
      <c r="K794" s="40">
        <v>792</v>
      </c>
      <c r="L794" s="105">
        <v>-4.9999999999999343</v>
      </c>
    </row>
    <row r="795" spans="11:12" x14ac:dyDescent="0.4">
      <c r="K795" s="40">
        <v>793</v>
      </c>
      <c r="L795" s="105">
        <v>18.000000000000064</v>
      </c>
    </row>
    <row r="796" spans="11:12" x14ac:dyDescent="0.4">
      <c r="K796" s="40">
        <v>794</v>
      </c>
      <c r="L796" s="105">
        <v>9.5000000000000639</v>
      </c>
    </row>
    <row r="797" spans="11:12" x14ac:dyDescent="0.4">
      <c r="K797" s="40">
        <v>795</v>
      </c>
      <c r="L797" s="105">
        <v>-4.9999999999999361</v>
      </c>
    </row>
    <row r="798" spans="11:12" x14ac:dyDescent="0.4">
      <c r="K798" s="40">
        <v>796</v>
      </c>
      <c r="L798" s="105">
        <v>4.5000000000000639</v>
      </c>
    </row>
    <row r="799" spans="11:12" x14ac:dyDescent="0.4">
      <c r="K799" s="40">
        <v>797</v>
      </c>
      <c r="L799" s="105">
        <v>-6.7999999999999368</v>
      </c>
    </row>
    <row r="800" spans="11:12" x14ac:dyDescent="0.4">
      <c r="K800" s="40">
        <v>798</v>
      </c>
      <c r="L800" s="105">
        <v>-4.9999999999999369</v>
      </c>
    </row>
    <row r="801" spans="11:12" x14ac:dyDescent="0.4">
      <c r="K801" s="40">
        <v>799</v>
      </c>
      <c r="L801" s="105">
        <v>6.3060667798708891E-14</v>
      </c>
    </row>
    <row r="802" spans="11:12" x14ac:dyDescent="0.4">
      <c r="K802" s="40">
        <v>800</v>
      </c>
      <c r="L802" s="105">
        <v>0.70000000000006302</v>
      </c>
    </row>
    <row r="803" spans="11:12" x14ac:dyDescent="0.4">
      <c r="K803" s="40">
        <v>801</v>
      </c>
      <c r="L803" s="105">
        <v>-4.9999999999999369</v>
      </c>
    </row>
    <row r="804" spans="11:12" x14ac:dyDescent="0.4">
      <c r="K804" s="40">
        <v>802</v>
      </c>
      <c r="L804" s="105">
        <v>2.8000000000000629</v>
      </c>
    </row>
    <row r="805" spans="11:12" x14ac:dyDescent="0.4">
      <c r="K805" s="40">
        <v>803</v>
      </c>
      <c r="L805" s="105">
        <v>-36.699999999999939</v>
      </c>
    </row>
    <row r="806" spans="11:12" x14ac:dyDescent="0.4">
      <c r="K806" s="40">
        <v>804</v>
      </c>
      <c r="L806" s="105">
        <v>-4.9999999999999396</v>
      </c>
    </row>
    <row r="807" spans="11:12" x14ac:dyDescent="0.4">
      <c r="K807" s="40">
        <v>805</v>
      </c>
      <c r="L807" s="105">
        <v>37.300000000000054</v>
      </c>
    </row>
    <row r="808" spans="11:12" x14ac:dyDescent="0.4">
      <c r="K808" s="40">
        <v>806</v>
      </c>
      <c r="L808" s="105">
        <v>-7.9999999999999432</v>
      </c>
    </row>
    <row r="809" spans="11:12" x14ac:dyDescent="0.4">
      <c r="K809" s="40">
        <v>807</v>
      </c>
      <c r="L809" s="105">
        <v>-4.9999999999999432</v>
      </c>
    </row>
    <row r="810" spans="11:12" x14ac:dyDescent="0.4">
      <c r="K810" s="40">
        <v>808</v>
      </c>
      <c r="L810" s="105">
        <v>35.70000000000006</v>
      </c>
    </row>
    <row r="811" spans="11:12" x14ac:dyDescent="0.4">
      <c r="K811" s="40">
        <v>809</v>
      </c>
      <c r="L811" s="105">
        <v>8.0000000000000604</v>
      </c>
    </row>
    <row r="812" spans="11:12" x14ac:dyDescent="0.4">
      <c r="K812" s="40">
        <v>810</v>
      </c>
      <c r="L812" s="105">
        <v>-4.9999999999999396</v>
      </c>
    </row>
    <row r="813" spans="11:12" x14ac:dyDescent="0.4">
      <c r="K813" s="40">
        <v>811</v>
      </c>
      <c r="L813" s="105">
        <v>-4.89999999999994</v>
      </c>
    </row>
    <row r="814" spans="11:12" x14ac:dyDescent="0.4">
      <c r="K814" s="40">
        <v>812</v>
      </c>
      <c r="L814" s="105">
        <v>3.60000000000006</v>
      </c>
    </row>
    <row r="815" spans="11:12" x14ac:dyDescent="0.4">
      <c r="K815" s="40">
        <v>813</v>
      </c>
      <c r="L815" s="105">
        <v>-4.9999999999999396</v>
      </c>
    </row>
    <row r="816" spans="11:12" x14ac:dyDescent="0.4">
      <c r="K816" s="40">
        <v>814</v>
      </c>
      <c r="L816" s="105">
        <v>7.2000000000000597</v>
      </c>
    </row>
    <row r="817" spans="11:12" x14ac:dyDescent="0.4">
      <c r="K817" s="40">
        <v>815</v>
      </c>
      <c r="L817" s="105">
        <v>11.900000000000059</v>
      </c>
    </row>
    <row r="818" spans="11:12" x14ac:dyDescent="0.4">
      <c r="K818" s="40">
        <v>816</v>
      </c>
      <c r="L818" s="105">
        <v>-4.9999999999999396</v>
      </c>
    </row>
    <row r="819" spans="11:12" x14ac:dyDescent="0.4">
      <c r="K819" s="40">
        <v>817</v>
      </c>
      <c r="L819" s="105">
        <v>4.5000000000000604</v>
      </c>
    </row>
    <row r="820" spans="11:12" x14ac:dyDescent="0.4">
      <c r="K820" s="40">
        <v>818</v>
      </c>
      <c r="L820" s="105">
        <v>-6.0999999999999392</v>
      </c>
    </row>
    <row r="821" spans="11:12" x14ac:dyDescent="0.4">
      <c r="K821" s="40">
        <v>819</v>
      </c>
      <c r="L821" s="105">
        <v>-4.9999999999999396</v>
      </c>
    </row>
    <row r="822" spans="11:12" x14ac:dyDescent="0.4">
      <c r="K822" s="40">
        <v>820</v>
      </c>
      <c r="L822" s="105">
        <v>22.20000000000006</v>
      </c>
    </row>
    <row r="823" spans="11:12" x14ac:dyDescent="0.4">
      <c r="K823" s="40">
        <v>821</v>
      </c>
      <c r="L823" s="105">
        <v>28.00000000000006</v>
      </c>
    </row>
    <row r="824" spans="11:12" x14ac:dyDescent="0.4">
      <c r="K824" s="40">
        <v>822</v>
      </c>
      <c r="L824" s="105">
        <v>-4.9999999999999396</v>
      </c>
    </row>
    <row r="825" spans="11:12" x14ac:dyDescent="0.4">
      <c r="K825" s="40">
        <v>823</v>
      </c>
      <c r="L825" s="105">
        <v>-17.599999999999937</v>
      </c>
    </row>
    <row r="826" spans="11:12" x14ac:dyDescent="0.4">
      <c r="K826" s="40">
        <v>824</v>
      </c>
      <c r="L826" s="105">
        <v>2.5000000000000639</v>
      </c>
    </row>
    <row r="827" spans="11:12" x14ac:dyDescent="0.4">
      <c r="K827" s="40">
        <v>825</v>
      </c>
      <c r="L827" s="105">
        <v>-4.9999999999999361</v>
      </c>
    </row>
  </sheetData>
  <sortState ref="N15:Q2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E855E-782C-41BD-9D1D-605E7E53E39D}">
  <sheetPr codeName="Sheet7"/>
  <dimension ref="A1:Q237"/>
  <sheetViews>
    <sheetView showGridLines="0" tabSelected="1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133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235</v>
      </c>
      <c r="C2" s="145"/>
      <c r="E2" s="64" t="s">
        <v>71</v>
      </c>
      <c r="F2" s="61" t="s">
        <v>25</v>
      </c>
      <c r="G2" s="48">
        <v>406</v>
      </c>
      <c r="H2" s="137">
        <f>IF(B$27=0,0,G2/B$27)</f>
        <v>0.85835095137420714</v>
      </c>
      <c r="I2" s="99">
        <v>9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1416.4502164502164</v>
      </c>
      <c r="P2" s="124">
        <v>231</v>
      </c>
      <c r="Q2" s="108">
        <v>327200</v>
      </c>
    </row>
    <row r="3" spans="1:17" x14ac:dyDescent="0.4">
      <c r="A3" s="57" t="s">
        <v>8</v>
      </c>
      <c r="B3" s="146">
        <v>1778</v>
      </c>
      <c r="C3" s="147"/>
      <c r="E3" s="65" t="s">
        <v>69</v>
      </c>
      <c r="F3" s="62" t="s">
        <v>23</v>
      </c>
      <c r="G3" s="49">
        <v>338</v>
      </c>
      <c r="H3" s="138">
        <f>IF(B$27=0,0,G3/B$27)</f>
        <v>0.71458773784355178</v>
      </c>
      <c r="I3" s="100">
        <v>6</v>
      </c>
      <c r="K3" s="40">
        <v>1</v>
      </c>
      <c r="L3" s="105">
        <v>15</v>
      </c>
      <c r="N3" s="121" t="s">
        <v>148</v>
      </c>
      <c r="O3" s="128">
        <f t="shared" si="0"/>
        <v>390.13452914798205</v>
      </c>
      <c r="P3" s="125">
        <v>223</v>
      </c>
      <c r="Q3" s="109">
        <v>87000</v>
      </c>
    </row>
    <row r="4" spans="1:17" x14ac:dyDescent="0.4">
      <c r="A4" s="57" t="s">
        <v>6</v>
      </c>
      <c r="B4" s="148">
        <v>1576.6999999999998</v>
      </c>
      <c r="C4" s="149"/>
      <c r="E4" s="65" t="s">
        <v>67</v>
      </c>
      <c r="F4" s="62" t="s">
        <v>21</v>
      </c>
      <c r="G4" s="49">
        <v>255</v>
      </c>
      <c r="H4" s="138">
        <f>IF(B$27=0,0,G4/B$27)</f>
        <v>0.53911205073995772</v>
      </c>
      <c r="I4" s="100">
        <v>8</v>
      </c>
      <c r="K4" s="40">
        <v>2</v>
      </c>
      <c r="L4" s="105">
        <v>14</v>
      </c>
      <c r="N4" s="121" t="s">
        <v>149</v>
      </c>
      <c r="O4" s="128">
        <f t="shared" si="0"/>
        <v>1814.4230769230769</v>
      </c>
      <c r="P4" s="125">
        <v>208</v>
      </c>
      <c r="Q4" s="109">
        <v>377400</v>
      </c>
    </row>
    <row r="5" spans="1:17" x14ac:dyDescent="0.4">
      <c r="A5" s="57" t="s">
        <v>7</v>
      </c>
      <c r="B5" s="150">
        <f>IF(B$2=0,0,B$4/B$2)</f>
        <v>6.7093617021276586</v>
      </c>
      <c r="C5" s="151"/>
      <c r="E5" s="65" t="s">
        <v>76</v>
      </c>
      <c r="F5" s="62" t="s">
        <v>29</v>
      </c>
      <c r="G5" s="49">
        <v>250</v>
      </c>
      <c r="H5" s="138">
        <f>IF(B$27=0,0,G5/B$27)</f>
        <v>0.52854122621564481</v>
      </c>
      <c r="I5" s="100">
        <v>9</v>
      </c>
      <c r="K5" s="40">
        <v>3</v>
      </c>
      <c r="L5" s="105">
        <v>29.1</v>
      </c>
      <c r="N5" s="121" t="s">
        <v>150</v>
      </c>
      <c r="O5" s="128">
        <f t="shared" si="0"/>
        <v>1363.6363636363637</v>
      </c>
      <c r="P5" s="125">
        <v>187</v>
      </c>
      <c r="Q5" s="109">
        <v>255000</v>
      </c>
    </row>
    <row r="6" spans="1:17" x14ac:dyDescent="0.4">
      <c r="A6" s="57" t="s">
        <v>1</v>
      </c>
      <c r="B6" s="156">
        <f>IF(B$2=0,0,(B$7*1+B$8*2+B$9*3)/B$2)</f>
        <v>1.7659574468085106</v>
      </c>
      <c r="C6" s="157"/>
      <c r="E6" s="65" t="s">
        <v>70</v>
      </c>
      <c r="F6" s="62" t="s">
        <v>24</v>
      </c>
      <c r="G6" s="49">
        <v>135</v>
      </c>
      <c r="H6" s="138">
        <f>IF(B$27=0,0,G6/B$27)</f>
        <v>0.28541226215644822</v>
      </c>
      <c r="I6" s="100">
        <v>8</v>
      </c>
      <c r="K6" s="40">
        <v>4</v>
      </c>
      <c r="L6" s="105">
        <v>114.30000000000001</v>
      </c>
      <c r="N6" s="121" t="s">
        <v>151</v>
      </c>
      <c r="O6" s="128">
        <f t="shared" si="0"/>
        <v>1636.5853658536585</v>
      </c>
      <c r="P6" s="125">
        <v>164</v>
      </c>
      <c r="Q6" s="109">
        <v>268400</v>
      </c>
    </row>
    <row r="7" spans="1:17" x14ac:dyDescent="0.4">
      <c r="A7" s="57" t="s">
        <v>2</v>
      </c>
      <c r="B7" s="49">
        <v>104</v>
      </c>
      <c r="C7" s="41">
        <f>IF(B$2=0,0,B7/B$2)</f>
        <v>0.44255319148936167</v>
      </c>
      <c r="E7" s="65" t="s">
        <v>72</v>
      </c>
      <c r="F7" s="62" t="s">
        <v>12</v>
      </c>
      <c r="G7" s="49">
        <v>134</v>
      </c>
      <c r="H7" s="138">
        <f>IF(B$27=0,0,G7/B$27)</f>
        <v>0.28329809725158561</v>
      </c>
      <c r="I7" s="100">
        <v>9</v>
      </c>
      <c r="K7" s="40">
        <v>5</v>
      </c>
      <c r="L7" s="105">
        <v>145.80000000000001</v>
      </c>
      <c r="N7" s="122" t="s">
        <v>152</v>
      </c>
      <c r="O7" s="129">
        <f t="shared" si="0"/>
        <v>1722.9007633587787</v>
      </c>
      <c r="P7" s="126">
        <v>131</v>
      </c>
      <c r="Q7" s="110">
        <v>225700</v>
      </c>
    </row>
    <row r="8" spans="1:17" x14ac:dyDescent="0.4">
      <c r="A8" s="57" t="s">
        <v>3</v>
      </c>
      <c r="B8" s="49">
        <v>82</v>
      </c>
      <c r="C8" s="41">
        <f>IF(B$2=0,0,B8/B$2)</f>
        <v>0.34893617021276596</v>
      </c>
      <c r="E8" s="65" t="s">
        <v>94</v>
      </c>
      <c r="F8" s="62" t="s">
        <v>47</v>
      </c>
      <c r="G8" s="49">
        <v>83</v>
      </c>
      <c r="H8" s="138">
        <f>IF(B$27=0,0,G8/B$27)</f>
        <v>0.17547568710359407</v>
      </c>
      <c r="I8" s="100">
        <v>4</v>
      </c>
      <c r="K8" s="40">
        <v>6</v>
      </c>
      <c r="L8" s="105">
        <v>97.800000000000011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49</v>
      </c>
      <c r="C9" s="42">
        <f t="shared" ref="C9" si="1">IF(B$2=0,0,B9/B$2)</f>
        <v>0.20851063829787234</v>
      </c>
      <c r="E9" s="65" t="s">
        <v>73</v>
      </c>
      <c r="F9" s="62" t="s">
        <v>26</v>
      </c>
      <c r="G9" s="49">
        <v>74</v>
      </c>
      <c r="H9" s="138">
        <f>IF(B$27=0,0,G9/B$27)</f>
        <v>0.15644820295983086</v>
      </c>
      <c r="I9" s="100">
        <v>4</v>
      </c>
      <c r="K9" s="40">
        <v>7</v>
      </c>
      <c r="L9" s="105">
        <v>91.700000000000017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24</v>
      </c>
      <c r="C10" s="42">
        <f>IF(B$2=0,0,B10/B$2)</f>
        <v>0.10212765957446808</v>
      </c>
      <c r="E10" s="65" t="s">
        <v>68</v>
      </c>
      <c r="F10" s="62" t="s">
        <v>22</v>
      </c>
      <c r="G10" s="49">
        <v>54</v>
      </c>
      <c r="H10" s="138">
        <f>IF(B$27=0,0,G10/B$27)</f>
        <v>0.11416490486257928</v>
      </c>
      <c r="I10" s="100">
        <v>8</v>
      </c>
      <c r="K10" s="40">
        <v>8</v>
      </c>
      <c r="L10" s="105">
        <v>55.700000000000017</v>
      </c>
      <c r="N10" s="120" t="s">
        <v>253</v>
      </c>
      <c r="O10" s="130">
        <f>IF(P10=0,0,Q10/P10)</f>
        <v>8.4333333333333353</v>
      </c>
      <c r="P10" s="124">
        <v>51</v>
      </c>
      <c r="Q10" s="112">
        <v>430.10000000000014</v>
      </c>
    </row>
    <row r="11" spans="1:17" x14ac:dyDescent="0.4">
      <c r="A11" s="58" t="s">
        <v>155</v>
      </c>
      <c r="B11" s="50">
        <v>45</v>
      </c>
      <c r="C11" s="42">
        <f>IF(B$2=0,0,B11/B$2)</f>
        <v>0.19148936170212766</v>
      </c>
      <c r="E11" s="65" t="s">
        <v>74</v>
      </c>
      <c r="F11" s="62" t="s">
        <v>27</v>
      </c>
      <c r="G11" s="49">
        <v>40</v>
      </c>
      <c r="H11" s="138">
        <f>IF(B$27=0,0,G11/B$27)</f>
        <v>8.4566596194503171E-2</v>
      </c>
      <c r="I11" s="100">
        <v>9</v>
      </c>
      <c r="K11" s="40">
        <v>9</v>
      </c>
      <c r="L11" s="105">
        <v>14.700000000000017</v>
      </c>
      <c r="N11" s="121" t="s">
        <v>254</v>
      </c>
      <c r="O11" s="131">
        <f>IF(P11=0,0,Q11/P11)</f>
        <v>5.6228571428571428</v>
      </c>
      <c r="P11" s="125">
        <v>70</v>
      </c>
      <c r="Q11" s="113">
        <v>393.6</v>
      </c>
    </row>
    <row r="12" spans="1:17" x14ac:dyDescent="0.4">
      <c r="A12" s="59" t="s">
        <v>239</v>
      </c>
      <c r="B12" s="51">
        <v>24</v>
      </c>
      <c r="C12" s="44">
        <f>IF(B$2=0,0,B12/B$2)</f>
        <v>0.10212765957446808</v>
      </c>
      <c r="E12" s="65" t="s">
        <v>75</v>
      </c>
      <c r="F12" s="62" t="s">
        <v>28</v>
      </c>
      <c r="G12" s="49">
        <v>32</v>
      </c>
      <c r="H12" s="138">
        <f>IF(B$27=0,0,G12/B$27)</f>
        <v>6.765327695560254E-2</v>
      </c>
      <c r="I12" s="100">
        <v>2</v>
      </c>
      <c r="K12" s="40">
        <v>10</v>
      </c>
      <c r="L12" s="105">
        <v>-16.799999999999983</v>
      </c>
      <c r="N12" s="122" t="s">
        <v>255</v>
      </c>
      <c r="O12" s="132">
        <f>IF(P12=0,0,Q12/P12)</f>
        <v>6.5351351351351363</v>
      </c>
      <c r="P12" s="126">
        <v>111</v>
      </c>
      <c r="Q12" s="114">
        <v>725.40000000000009</v>
      </c>
    </row>
    <row r="13" spans="1:17" x14ac:dyDescent="0.4">
      <c r="A13" s="60" t="s">
        <v>128</v>
      </c>
      <c r="B13" s="52">
        <v>403</v>
      </c>
      <c r="C13" s="46">
        <f>IF(B$26=0,0,B13/B$26)</f>
        <v>0.30484114977307109</v>
      </c>
      <c r="E13" s="65" t="s">
        <v>91</v>
      </c>
      <c r="F13" s="62" t="s">
        <v>44</v>
      </c>
      <c r="G13" s="49">
        <v>29</v>
      </c>
      <c r="H13" s="138">
        <f>IF(B$27=0,0,G13/B$27)</f>
        <v>6.13107822410148E-2</v>
      </c>
      <c r="I13" s="100">
        <v>9</v>
      </c>
      <c r="K13" s="40">
        <v>11</v>
      </c>
      <c r="L13" s="105">
        <v>1.5000000000000178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271</v>
      </c>
      <c r="C14" s="41">
        <f>IF(B$26=0,0,B14/B$26)</f>
        <v>0.20499243570347958</v>
      </c>
      <c r="E14" s="65" t="s">
        <v>88</v>
      </c>
      <c r="F14" s="62" t="s">
        <v>41</v>
      </c>
      <c r="G14" s="49">
        <v>13</v>
      </c>
      <c r="H14" s="138">
        <f>IF(B$27=0,0,G14/B$27)</f>
        <v>2.748414376321353E-2</v>
      </c>
      <c r="I14" s="100">
        <v>9</v>
      </c>
      <c r="K14" s="40">
        <v>12</v>
      </c>
      <c r="L14" s="105">
        <v>14.300000000000018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257</v>
      </c>
      <c r="C15" s="39">
        <f>IF(B$13=0,0,B15/B$13)</f>
        <v>0.63771712158808935</v>
      </c>
      <c r="E15" s="65" t="s">
        <v>86</v>
      </c>
      <c r="F15" s="62" t="s">
        <v>39</v>
      </c>
      <c r="G15" s="49">
        <v>10</v>
      </c>
      <c r="H15" s="138">
        <f>IF(B$27=0,0,G15/B$27)</f>
        <v>2.1141649048625793E-2</v>
      </c>
      <c r="I15" s="100">
        <v>8</v>
      </c>
      <c r="K15" s="40">
        <v>13</v>
      </c>
      <c r="L15" s="105">
        <v>71.300000000000011</v>
      </c>
      <c r="N15" s="120" t="s">
        <v>171</v>
      </c>
      <c r="O15" s="130">
        <f>IF(P15=0,0,Q15/P15)</f>
        <v>125.9</v>
      </c>
      <c r="P15" s="124">
        <v>1</v>
      </c>
      <c r="Q15" s="112">
        <v>125.9</v>
      </c>
    </row>
    <row r="16" spans="1:17" x14ac:dyDescent="0.4">
      <c r="A16" s="56" t="s">
        <v>131</v>
      </c>
      <c r="B16" s="48">
        <v>133</v>
      </c>
      <c r="C16" s="39">
        <f>IF(B$14=0,0,B16/B$14)</f>
        <v>0.4907749077490775</v>
      </c>
      <c r="E16" s="65" t="s">
        <v>96</v>
      </c>
      <c r="F16" s="62" t="s">
        <v>49</v>
      </c>
      <c r="G16" s="49">
        <v>8</v>
      </c>
      <c r="H16" s="138">
        <f>IF(B$27=0,0,G16/B$27)</f>
        <v>1.6913319238900635E-2</v>
      </c>
      <c r="I16" s="100">
        <v>7</v>
      </c>
      <c r="K16" s="40">
        <v>14</v>
      </c>
      <c r="L16" s="105">
        <v>27.300000000000011</v>
      </c>
      <c r="N16" s="121" t="s">
        <v>166</v>
      </c>
      <c r="O16" s="131">
        <f>IF(P16=0,0,Q16/P16)</f>
        <v>71.75</v>
      </c>
      <c r="P16" s="125">
        <v>4</v>
      </c>
      <c r="Q16" s="113">
        <v>287</v>
      </c>
    </row>
    <row r="17" spans="1:17" x14ac:dyDescent="0.4">
      <c r="A17" s="56" t="s">
        <v>10</v>
      </c>
      <c r="B17" s="48">
        <f>B19+B18</f>
        <v>629</v>
      </c>
      <c r="C17" s="39">
        <f>IF(B$3=0,0,B17/B$3)</f>
        <v>0.35376827896512936</v>
      </c>
      <c r="E17" s="65" t="s">
        <v>82</v>
      </c>
      <c r="F17" s="62" t="s">
        <v>35</v>
      </c>
      <c r="G17" s="49">
        <v>7</v>
      </c>
      <c r="H17" s="138">
        <f>IF(B$27=0,0,G17/B$27)</f>
        <v>1.4799154334038054E-2</v>
      </c>
      <c r="I17" s="100">
        <v>9</v>
      </c>
      <c r="K17" s="40">
        <v>15</v>
      </c>
      <c r="L17" s="105">
        <v>-9.6999999999999886</v>
      </c>
      <c r="N17" s="121" t="s">
        <v>250</v>
      </c>
      <c r="O17" s="131">
        <f>IF(P17=0,0,Q17/P17)</f>
        <v>30.228571428571424</v>
      </c>
      <c r="P17" s="125">
        <v>7</v>
      </c>
      <c r="Q17" s="113">
        <v>211.59999999999997</v>
      </c>
    </row>
    <row r="18" spans="1:17" x14ac:dyDescent="0.4">
      <c r="A18" s="57" t="s">
        <v>12</v>
      </c>
      <c r="B18" s="49">
        <v>236</v>
      </c>
      <c r="C18" s="41">
        <f>IF(B$17=0,0,B18/B$17)</f>
        <v>0.37519872813990462</v>
      </c>
      <c r="E18" s="65" t="s">
        <v>83</v>
      </c>
      <c r="F18" s="62" t="s">
        <v>36</v>
      </c>
      <c r="G18" s="49">
        <v>5</v>
      </c>
      <c r="H18" s="138">
        <f>IF(B$27=0,0,G18/B$27)</f>
        <v>1.0570824524312896E-2</v>
      </c>
      <c r="I18" s="100">
        <v>9</v>
      </c>
      <c r="K18" s="40">
        <v>16</v>
      </c>
      <c r="L18" s="105">
        <v>-8.099999999999989</v>
      </c>
      <c r="N18" s="121" t="s">
        <v>157</v>
      </c>
      <c r="O18" s="131">
        <f>IF(P18=0,0,Q18/P18)</f>
        <v>27.285714285714285</v>
      </c>
      <c r="P18" s="125">
        <v>21</v>
      </c>
      <c r="Q18" s="113">
        <v>573</v>
      </c>
    </row>
    <row r="19" spans="1:17" x14ac:dyDescent="0.4">
      <c r="A19" s="57" t="s">
        <v>11</v>
      </c>
      <c r="B19" s="49">
        <v>393</v>
      </c>
      <c r="C19" s="41">
        <f>IF(B$17=0,0,B19/B$17)</f>
        <v>0.62480127186009538</v>
      </c>
      <c r="E19" s="65" t="s">
        <v>79</v>
      </c>
      <c r="F19" s="62" t="s">
        <v>32</v>
      </c>
      <c r="G19" s="49">
        <v>4</v>
      </c>
      <c r="H19" s="138">
        <f>IF(B$27=0,0,G19/B$27)</f>
        <v>8.4566596194503175E-3</v>
      </c>
      <c r="I19" s="100">
        <v>3</v>
      </c>
      <c r="K19" s="40">
        <v>17</v>
      </c>
      <c r="L19" s="105">
        <v>-29.499999999999986</v>
      </c>
      <c r="N19" s="121" t="s">
        <v>136</v>
      </c>
      <c r="O19" s="131">
        <f>IF(P19=0,0,Q19/P19)</f>
        <v>14.024561403508777</v>
      </c>
      <c r="P19" s="125">
        <v>57</v>
      </c>
      <c r="Q19" s="113">
        <v>799.40000000000032</v>
      </c>
    </row>
    <row r="20" spans="1:17" x14ac:dyDescent="0.4">
      <c r="A20" s="57" t="s">
        <v>13</v>
      </c>
      <c r="B20" s="49">
        <v>251</v>
      </c>
      <c r="C20" s="41">
        <f>IF(B$3=0,0,B20/B$3)</f>
        <v>0.14116985376827895</v>
      </c>
      <c r="E20" s="65" t="s">
        <v>81</v>
      </c>
      <c r="F20" s="62" t="s">
        <v>34</v>
      </c>
      <c r="G20" s="49">
        <v>4</v>
      </c>
      <c r="H20" s="138">
        <f>IF(B$27=0,0,G20/B$27)</f>
        <v>8.4566596194503175E-3</v>
      </c>
      <c r="I20" s="100">
        <v>4</v>
      </c>
      <c r="K20" s="40">
        <v>18</v>
      </c>
      <c r="L20" s="105">
        <v>-14.599999999999985</v>
      </c>
      <c r="N20" s="121" t="s">
        <v>139</v>
      </c>
      <c r="O20" s="131">
        <f>IF(P20=0,0,Q20/P20)</f>
        <v>11.800000000000004</v>
      </c>
      <c r="P20" s="125">
        <v>97</v>
      </c>
      <c r="Q20" s="113">
        <v>1144.6000000000004</v>
      </c>
    </row>
    <row r="21" spans="1:17" x14ac:dyDescent="0.4">
      <c r="A21" s="57" t="s">
        <v>5</v>
      </c>
      <c r="B21" s="53">
        <f>IF(B$17=0,0,C21/B$17)</f>
        <v>9847.5357710651824</v>
      </c>
      <c r="C21" s="43">
        <v>6194100</v>
      </c>
      <c r="E21" s="65" t="s">
        <v>77</v>
      </c>
      <c r="F21" s="62" t="s">
        <v>30</v>
      </c>
      <c r="G21" s="49">
        <v>3</v>
      </c>
      <c r="H21" s="138">
        <f>IF(B$27=0,0,G21/B$27)</f>
        <v>6.3424947145877377E-3</v>
      </c>
      <c r="I21" s="100">
        <v>5</v>
      </c>
      <c r="K21" s="40">
        <v>19</v>
      </c>
      <c r="L21" s="105">
        <v>42.600000000000016</v>
      </c>
      <c r="N21" s="121" t="s">
        <v>138</v>
      </c>
      <c r="O21" s="131">
        <f>IF(P21=0,0,Q21/P21)</f>
        <v>9.1555555555555568</v>
      </c>
      <c r="P21" s="125">
        <v>27</v>
      </c>
      <c r="Q21" s="113">
        <v>247.20000000000005</v>
      </c>
    </row>
    <row r="22" spans="1:17" x14ac:dyDescent="0.4">
      <c r="A22" s="59" t="s">
        <v>14</v>
      </c>
      <c r="B22" s="54">
        <f>IF(B$20=0,0,C22/B$20)</f>
        <v>-9292.0318725099605</v>
      </c>
      <c r="C22" s="47">
        <v>-2332300</v>
      </c>
      <c r="E22" s="65" t="s">
        <v>97</v>
      </c>
      <c r="F22" s="62" t="s">
        <v>50</v>
      </c>
      <c r="G22" s="49">
        <v>3</v>
      </c>
      <c r="H22" s="138">
        <f>IF(B$27=0,0,G22/B$27)</f>
        <v>6.3424947145877377E-3</v>
      </c>
      <c r="I22" s="100">
        <v>4</v>
      </c>
      <c r="K22" s="40">
        <v>20</v>
      </c>
      <c r="L22" s="105">
        <v>68.800000000000011</v>
      </c>
      <c r="N22" s="121" t="s">
        <v>134</v>
      </c>
      <c r="O22" s="131">
        <f>IF(P22=0,0,Q22/P22)</f>
        <v>8.5636363636363591</v>
      </c>
      <c r="P22" s="125">
        <v>110</v>
      </c>
      <c r="Q22" s="113">
        <v>941.99999999999955</v>
      </c>
    </row>
    <row r="23" spans="1:17" x14ac:dyDescent="0.4">
      <c r="A23" s="96" t="s">
        <v>158</v>
      </c>
      <c r="B23" s="154">
        <v>10</v>
      </c>
      <c r="C23" s="155"/>
      <c r="E23" s="65" t="s">
        <v>78</v>
      </c>
      <c r="F23" s="62" t="s">
        <v>31</v>
      </c>
      <c r="G23" s="49">
        <v>2</v>
      </c>
      <c r="H23" s="138">
        <f>IF(B$27=0,0,G23/B$27)</f>
        <v>4.2283298097251587E-3</v>
      </c>
      <c r="I23" s="100">
        <v>3</v>
      </c>
      <c r="K23" s="40">
        <v>21</v>
      </c>
      <c r="L23" s="105">
        <v>125.30000000000001</v>
      </c>
      <c r="N23" s="121" t="s">
        <v>167</v>
      </c>
      <c r="O23" s="131">
        <f>IF(P23=0,0,Q23/P23)</f>
        <v>8</v>
      </c>
      <c r="P23" s="125">
        <v>1</v>
      </c>
      <c r="Q23" s="113">
        <v>8</v>
      </c>
    </row>
    <row r="24" spans="1:17" x14ac:dyDescent="0.4">
      <c r="A24" s="60" t="s">
        <v>199</v>
      </c>
      <c r="B24" s="152">
        <v>120200</v>
      </c>
      <c r="C24" s="153"/>
      <c r="E24" s="65" t="s">
        <v>92</v>
      </c>
      <c r="F24" s="62" t="s">
        <v>45</v>
      </c>
      <c r="G24" s="49">
        <v>2</v>
      </c>
      <c r="H24" s="138">
        <f>IF(B$27=0,0,G24/B$27)</f>
        <v>4.2283298097251587E-3</v>
      </c>
      <c r="I24" s="100">
        <v>2</v>
      </c>
      <c r="K24" s="40">
        <v>22</v>
      </c>
      <c r="L24" s="105">
        <v>99.800000000000011</v>
      </c>
      <c r="N24" s="121" t="s">
        <v>137</v>
      </c>
      <c r="O24" s="131">
        <f>IF(P24=0,0,Q24/P24)</f>
        <v>3.7720430107526872</v>
      </c>
      <c r="P24" s="125">
        <v>93</v>
      </c>
      <c r="Q24" s="113">
        <v>350.7999999999999</v>
      </c>
    </row>
    <row r="25" spans="1:17" x14ac:dyDescent="0.4">
      <c r="A25" s="59" t="s">
        <v>159</v>
      </c>
      <c r="B25" s="67">
        <v>2</v>
      </c>
      <c r="C25" s="44">
        <f>IF(B$3=0,0,B25/B$3)</f>
        <v>1.1248593925759281E-3</v>
      </c>
      <c r="E25" s="65" t="s">
        <v>90</v>
      </c>
      <c r="F25" s="62" t="s">
        <v>43</v>
      </c>
      <c r="G25" s="49">
        <v>1</v>
      </c>
      <c r="H25" s="138">
        <f>IF(B$27=0,0,G25/B$27)</f>
        <v>2.1141649048625794E-3</v>
      </c>
      <c r="I25" s="100">
        <v>5</v>
      </c>
      <c r="K25" s="40">
        <v>23</v>
      </c>
      <c r="L25" s="105">
        <v>124.50000000000001</v>
      </c>
      <c r="N25" s="121" t="s">
        <v>135</v>
      </c>
      <c r="O25" s="131">
        <f>IF(P25=0,0,Q25/P25)</f>
        <v>0.85769230769230687</v>
      </c>
      <c r="P25" s="125">
        <v>52</v>
      </c>
      <c r="Q25" s="113">
        <v>44.599999999999959</v>
      </c>
    </row>
    <row r="26" spans="1:17" x14ac:dyDescent="0.4">
      <c r="A26" s="56" t="s">
        <v>126</v>
      </c>
      <c r="B26" s="144">
        <v>1322</v>
      </c>
      <c r="C26" s="145"/>
      <c r="E26" s="65" t="s">
        <v>95</v>
      </c>
      <c r="F26" s="62" t="s">
        <v>48</v>
      </c>
      <c r="G26" s="49">
        <v>1</v>
      </c>
      <c r="H26" s="138">
        <f>IF(B$27=0,0,G26/B$27)</f>
        <v>2.1141649048625794E-3</v>
      </c>
      <c r="I26" s="100">
        <v>2</v>
      </c>
      <c r="K26" s="40">
        <v>24</v>
      </c>
      <c r="L26" s="105">
        <v>118.00000000000001</v>
      </c>
    </row>
    <row r="27" spans="1:17" x14ac:dyDescent="0.4">
      <c r="A27" s="59" t="s">
        <v>127</v>
      </c>
      <c r="B27" s="158">
        <v>473</v>
      </c>
      <c r="C27" s="159"/>
      <c r="E27" s="65" t="s">
        <v>98</v>
      </c>
      <c r="F27" s="62" t="s">
        <v>51</v>
      </c>
      <c r="G27" s="49">
        <v>1</v>
      </c>
      <c r="H27" s="138">
        <f>IF(B$27=0,0,G27/B$27)</f>
        <v>2.1141649048625794E-3</v>
      </c>
      <c r="I27" s="100">
        <v>5</v>
      </c>
      <c r="K27" s="40">
        <v>25</v>
      </c>
      <c r="L27" s="105">
        <v>84.300000000000011</v>
      </c>
    </row>
    <row r="28" spans="1:17" x14ac:dyDescent="0.4">
      <c r="E28" s="65" t="s">
        <v>100</v>
      </c>
      <c r="F28" s="62" t="s">
        <v>53</v>
      </c>
      <c r="G28" s="49">
        <v>1</v>
      </c>
      <c r="H28" s="138">
        <f>IF(B$27=0,0,G28/B$27)</f>
        <v>2.1141649048625794E-3</v>
      </c>
      <c r="I28" s="100">
        <v>1</v>
      </c>
      <c r="K28" s="40">
        <v>26</v>
      </c>
      <c r="L28" s="105">
        <v>108.20000000000002</v>
      </c>
    </row>
    <row r="29" spans="1:17" x14ac:dyDescent="0.4">
      <c r="E29" s="65" t="s">
        <v>111</v>
      </c>
      <c r="F29" s="62" t="s">
        <v>118</v>
      </c>
      <c r="G29" s="49">
        <v>1</v>
      </c>
      <c r="H29" s="138">
        <f>IF(B$27=0,0,G29/B$27)</f>
        <v>2.1141649048625794E-3</v>
      </c>
      <c r="I29" s="100">
        <v>1</v>
      </c>
      <c r="K29" s="40">
        <v>27</v>
      </c>
      <c r="L29" s="105">
        <v>71.200000000000017</v>
      </c>
    </row>
    <row r="30" spans="1:17" x14ac:dyDescent="0.4">
      <c r="E30" s="65" t="s">
        <v>80</v>
      </c>
      <c r="F30" s="62" t="s">
        <v>33</v>
      </c>
      <c r="G30" s="49">
        <v>0</v>
      </c>
      <c r="H30" s="138">
        <f>IF(B$27=0,0,G30/B$27)</f>
        <v>0</v>
      </c>
      <c r="I30" s="100">
        <v>1</v>
      </c>
      <c r="K30" s="40">
        <v>28</v>
      </c>
      <c r="L30" s="105">
        <v>129.20000000000002</v>
      </c>
    </row>
    <row r="31" spans="1:17" x14ac:dyDescent="0.4">
      <c r="E31" s="65" t="s">
        <v>84</v>
      </c>
      <c r="F31" s="62" t="s">
        <v>37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120.80000000000001</v>
      </c>
    </row>
    <row r="32" spans="1:17" x14ac:dyDescent="0.4">
      <c r="E32" s="65" t="s">
        <v>85</v>
      </c>
      <c r="F32" s="62" t="s">
        <v>38</v>
      </c>
      <c r="G32" s="49">
        <v>0</v>
      </c>
      <c r="H32" s="138">
        <f>IF(B$27=0,0,G32/B$27)</f>
        <v>0</v>
      </c>
      <c r="I32" s="100">
        <v>3</v>
      </c>
      <c r="K32" s="40">
        <v>30</v>
      </c>
      <c r="L32" s="105">
        <v>174.10000000000002</v>
      </c>
    </row>
    <row r="33" spans="5:12" x14ac:dyDescent="0.4">
      <c r="E33" s="65" t="s">
        <v>87</v>
      </c>
      <c r="F33" s="62" t="s">
        <v>40</v>
      </c>
      <c r="G33" s="49">
        <v>0</v>
      </c>
      <c r="H33" s="138">
        <f>IF(B$27=0,0,G33/B$27)</f>
        <v>0</v>
      </c>
      <c r="I33" s="100">
        <v>1</v>
      </c>
      <c r="K33" s="40">
        <v>31</v>
      </c>
      <c r="L33" s="105">
        <v>160.10000000000002</v>
      </c>
    </row>
    <row r="34" spans="5:12" x14ac:dyDescent="0.4">
      <c r="E34" s="65" t="s">
        <v>89</v>
      </c>
      <c r="F34" s="62" t="s">
        <v>42</v>
      </c>
      <c r="G34" s="49">
        <v>0</v>
      </c>
      <c r="H34" s="138">
        <f>IF(B$27=0,0,G34/B$27)</f>
        <v>0</v>
      </c>
      <c r="I34" s="100">
        <v>5</v>
      </c>
      <c r="K34" s="40">
        <v>32</v>
      </c>
      <c r="L34" s="105">
        <v>220.8</v>
      </c>
    </row>
    <row r="35" spans="5:12" x14ac:dyDescent="0.4">
      <c r="E35" s="65" t="s">
        <v>93</v>
      </c>
      <c r="F35" s="62" t="s">
        <v>46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270.8</v>
      </c>
    </row>
    <row r="36" spans="5:12" x14ac:dyDescent="0.4">
      <c r="E36" s="65" t="s">
        <v>99</v>
      </c>
      <c r="F36" s="62" t="s">
        <v>52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256.8</v>
      </c>
    </row>
    <row r="37" spans="5:12" x14ac:dyDescent="0.4">
      <c r="E37" s="65" t="s">
        <v>101</v>
      </c>
      <c r="F37" s="62" t="s">
        <v>54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253.4</v>
      </c>
    </row>
    <row r="38" spans="5:12" x14ac:dyDescent="0.4">
      <c r="E38" s="65" t="s">
        <v>102</v>
      </c>
      <c r="F38" s="62" t="s">
        <v>55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236.3</v>
      </c>
    </row>
    <row r="39" spans="5:12" x14ac:dyDescent="0.4">
      <c r="E39" s="65" t="s">
        <v>103</v>
      </c>
      <c r="F39" s="62" t="s">
        <v>56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257.40000000000003</v>
      </c>
    </row>
    <row r="40" spans="5:12" x14ac:dyDescent="0.4">
      <c r="E40" s="65" t="s">
        <v>104</v>
      </c>
      <c r="F40" s="62" t="s">
        <v>57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206.80000000000004</v>
      </c>
    </row>
    <row r="41" spans="5:12" x14ac:dyDescent="0.4">
      <c r="E41" s="65" t="s">
        <v>105</v>
      </c>
      <c r="F41" s="62" t="s">
        <v>58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198.60000000000005</v>
      </c>
    </row>
    <row r="42" spans="5:12" x14ac:dyDescent="0.4">
      <c r="E42" s="65" t="s">
        <v>106</v>
      </c>
      <c r="F42" s="62" t="s">
        <v>59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191.60000000000005</v>
      </c>
    </row>
    <row r="43" spans="5:12" x14ac:dyDescent="0.4">
      <c r="E43" s="65" t="s">
        <v>107</v>
      </c>
      <c r="F43" s="62" t="s">
        <v>60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155.20000000000005</v>
      </c>
    </row>
    <row r="44" spans="5:12" x14ac:dyDescent="0.4">
      <c r="E44" s="65" t="s">
        <v>108</v>
      </c>
      <c r="F44" s="62" t="s">
        <v>61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146.70000000000005</v>
      </c>
    </row>
    <row r="45" spans="5:12" x14ac:dyDescent="0.4">
      <c r="E45" s="65" t="s">
        <v>109</v>
      </c>
      <c r="F45" s="62" t="s">
        <v>62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155.10000000000005</v>
      </c>
    </row>
    <row r="46" spans="5:12" x14ac:dyDescent="0.4">
      <c r="E46" s="65" t="s">
        <v>110</v>
      </c>
      <c r="F46" s="62" t="s">
        <v>117</v>
      </c>
      <c r="G46" s="49">
        <v>0</v>
      </c>
      <c r="H46" s="138">
        <f>IF(B$27=0,0,G46/B$27)</f>
        <v>0</v>
      </c>
      <c r="I46" s="100">
        <v>1</v>
      </c>
      <c r="K46" s="40">
        <v>44</v>
      </c>
      <c r="L46" s="105">
        <v>144.70000000000005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172.60000000000005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152.10000000000005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121.00000000000006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137.20000000000005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132.30000000000004</v>
      </c>
    </row>
    <row r="52" spans="5:12" x14ac:dyDescent="0.4">
      <c r="K52" s="40">
        <v>50</v>
      </c>
      <c r="L52" s="105">
        <v>145.10000000000005</v>
      </c>
    </row>
    <row r="53" spans="5:12" x14ac:dyDescent="0.4">
      <c r="K53" s="40">
        <v>51</v>
      </c>
      <c r="L53" s="105">
        <v>145.80000000000004</v>
      </c>
    </row>
    <row r="54" spans="5:12" x14ac:dyDescent="0.4">
      <c r="K54" s="40">
        <v>52</v>
      </c>
      <c r="L54" s="105">
        <v>139.10000000000005</v>
      </c>
    </row>
    <row r="55" spans="5:12" x14ac:dyDescent="0.4">
      <c r="K55" s="40">
        <v>53</v>
      </c>
      <c r="L55" s="105">
        <v>111.10000000000005</v>
      </c>
    </row>
    <row r="56" spans="5:12" x14ac:dyDescent="0.4">
      <c r="K56" s="40">
        <v>54</v>
      </c>
      <c r="L56" s="105">
        <v>127.80000000000005</v>
      </c>
    </row>
    <row r="57" spans="5:12" x14ac:dyDescent="0.4">
      <c r="K57" s="40">
        <v>55</v>
      </c>
      <c r="L57" s="105">
        <v>120.80000000000005</v>
      </c>
    </row>
    <row r="58" spans="5:12" x14ac:dyDescent="0.4">
      <c r="K58" s="40">
        <v>56</v>
      </c>
      <c r="L58" s="105">
        <v>152.40000000000006</v>
      </c>
    </row>
    <row r="59" spans="5:12" x14ac:dyDescent="0.4">
      <c r="K59" s="40">
        <v>57</v>
      </c>
      <c r="L59" s="105">
        <v>168.20000000000007</v>
      </c>
    </row>
    <row r="60" spans="5:12" x14ac:dyDescent="0.4">
      <c r="K60" s="40">
        <v>58</v>
      </c>
      <c r="L60" s="105">
        <v>225.20000000000007</v>
      </c>
    </row>
    <row r="61" spans="5:12" x14ac:dyDescent="0.4">
      <c r="K61" s="40">
        <v>59</v>
      </c>
      <c r="L61" s="105">
        <v>230.50000000000009</v>
      </c>
    </row>
    <row r="62" spans="5:12" x14ac:dyDescent="0.4">
      <c r="K62" s="40">
        <v>60</v>
      </c>
      <c r="L62" s="105">
        <v>184.40000000000009</v>
      </c>
    </row>
    <row r="63" spans="5:12" x14ac:dyDescent="0.4">
      <c r="K63" s="40">
        <v>61</v>
      </c>
      <c r="L63" s="105">
        <v>205.50000000000009</v>
      </c>
    </row>
    <row r="64" spans="5:12" x14ac:dyDescent="0.4">
      <c r="K64" s="40">
        <v>62</v>
      </c>
      <c r="L64" s="105">
        <v>139.50000000000009</v>
      </c>
    </row>
    <row r="65" spans="11:12" x14ac:dyDescent="0.4">
      <c r="K65" s="40">
        <v>63</v>
      </c>
      <c r="L65" s="105">
        <v>134.50000000000009</v>
      </c>
    </row>
    <row r="66" spans="11:12" x14ac:dyDescent="0.4">
      <c r="K66" s="40">
        <v>64</v>
      </c>
      <c r="L66" s="105">
        <v>135.50000000000009</v>
      </c>
    </row>
    <row r="67" spans="11:12" x14ac:dyDescent="0.4">
      <c r="K67" s="40">
        <v>65</v>
      </c>
      <c r="L67" s="105">
        <v>167.10000000000008</v>
      </c>
    </row>
    <row r="68" spans="11:12" x14ac:dyDescent="0.4">
      <c r="K68" s="40">
        <v>66</v>
      </c>
      <c r="L68" s="105">
        <v>148.10000000000008</v>
      </c>
    </row>
    <row r="69" spans="11:12" x14ac:dyDescent="0.4">
      <c r="K69" s="40">
        <v>67</v>
      </c>
      <c r="L69" s="105">
        <v>138.20000000000007</v>
      </c>
    </row>
    <row r="70" spans="11:12" x14ac:dyDescent="0.4">
      <c r="K70" s="40">
        <v>68</v>
      </c>
      <c r="L70" s="105">
        <v>139.10000000000008</v>
      </c>
    </row>
    <row r="71" spans="11:12" x14ac:dyDescent="0.4">
      <c r="K71" s="40">
        <v>69</v>
      </c>
      <c r="L71" s="105">
        <v>171.40000000000009</v>
      </c>
    </row>
    <row r="72" spans="11:12" x14ac:dyDescent="0.4">
      <c r="K72" s="40">
        <v>70</v>
      </c>
      <c r="L72" s="105">
        <v>199.8000000000001</v>
      </c>
    </row>
    <row r="73" spans="11:12" x14ac:dyDescent="0.4">
      <c r="K73" s="40">
        <v>71</v>
      </c>
      <c r="L73" s="105">
        <v>192.40000000000009</v>
      </c>
    </row>
    <row r="74" spans="11:12" x14ac:dyDescent="0.4">
      <c r="K74" s="40">
        <v>72</v>
      </c>
      <c r="L74" s="105">
        <v>210.7000000000001</v>
      </c>
    </row>
    <row r="75" spans="11:12" x14ac:dyDescent="0.4">
      <c r="K75" s="40">
        <v>73</v>
      </c>
      <c r="L75" s="105">
        <v>196.8000000000001</v>
      </c>
    </row>
    <row r="76" spans="11:12" x14ac:dyDescent="0.4">
      <c r="K76" s="40">
        <v>74</v>
      </c>
      <c r="L76" s="105">
        <v>236.8000000000001</v>
      </c>
    </row>
    <row r="77" spans="11:12" x14ac:dyDescent="0.4">
      <c r="K77" s="40">
        <v>75</v>
      </c>
      <c r="L77" s="105">
        <v>242.00000000000009</v>
      </c>
    </row>
    <row r="78" spans="11:12" x14ac:dyDescent="0.4">
      <c r="K78" s="40">
        <v>76</v>
      </c>
      <c r="L78" s="105">
        <v>228.3000000000001</v>
      </c>
    </row>
    <row r="79" spans="11:12" x14ac:dyDescent="0.4">
      <c r="K79" s="40">
        <v>77</v>
      </c>
      <c r="L79" s="105">
        <v>233.40000000000009</v>
      </c>
    </row>
    <row r="80" spans="11:12" x14ac:dyDescent="0.4">
      <c r="K80" s="40">
        <v>78</v>
      </c>
      <c r="L80" s="105">
        <v>265.30000000000007</v>
      </c>
    </row>
    <row r="81" spans="11:12" x14ac:dyDescent="0.4">
      <c r="K81" s="40">
        <v>79</v>
      </c>
      <c r="L81" s="105">
        <v>305.30000000000007</v>
      </c>
    </row>
    <row r="82" spans="11:12" x14ac:dyDescent="0.4">
      <c r="K82" s="40">
        <v>80</v>
      </c>
      <c r="L82" s="105">
        <v>327.80000000000007</v>
      </c>
    </row>
    <row r="83" spans="11:12" x14ac:dyDescent="0.4">
      <c r="K83" s="40">
        <v>81</v>
      </c>
      <c r="L83" s="105">
        <v>359.30000000000007</v>
      </c>
    </row>
    <row r="84" spans="11:12" x14ac:dyDescent="0.4">
      <c r="K84" s="40">
        <v>82</v>
      </c>
      <c r="L84" s="105">
        <v>419.10000000000008</v>
      </c>
    </row>
    <row r="85" spans="11:12" x14ac:dyDescent="0.4">
      <c r="K85" s="40">
        <v>83</v>
      </c>
      <c r="L85" s="105">
        <v>430.2000000000001</v>
      </c>
    </row>
    <row r="86" spans="11:12" x14ac:dyDescent="0.4">
      <c r="K86" s="40">
        <v>84</v>
      </c>
      <c r="L86" s="105">
        <v>431.80000000000013</v>
      </c>
    </row>
    <row r="87" spans="11:12" x14ac:dyDescent="0.4">
      <c r="K87" s="40">
        <v>85</v>
      </c>
      <c r="L87" s="105">
        <v>410.40000000000015</v>
      </c>
    </row>
    <row r="88" spans="11:12" x14ac:dyDescent="0.4">
      <c r="K88" s="40">
        <v>86</v>
      </c>
      <c r="L88" s="105">
        <v>413.90000000000015</v>
      </c>
    </row>
    <row r="89" spans="11:12" x14ac:dyDescent="0.4">
      <c r="K89" s="40">
        <v>87</v>
      </c>
      <c r="L89" s="105">
        <v>368.40000000000015</v>
      </c>
    </row>
    <row r="90" spans="11:12" x14ac:dyDescent="0.4">
      <c r="K90" s="40">
        <v>88</v>
      </c>
      <c r="L90" s="105">
        <v>367.80000000000013</v>
      </c>
    </row>
    <row r="91" spans="11:12" x14ac:dyDescent="0.4">
      <c r="K91" s="40">
        <v>89</v>
      </c>
      <c r="L91" s="105">
        <v>394.2000000000001</v>
      </c>
    </row>
    <row r="92" spans="11:12" x14ac:dyDescent="0.4">
      <c r="K92" s="40">
        <v>90</v>
      </c>
      <c r="L92" s="105">
        <v>403.90000000000009</v>
      </c>
    </row>
    <row r="93" spans="11:12" x14ac:dyDescent="0.4">
      <c r="K93" s="40">
        <v>91</v>
      </c>
      <c r="L93" s="105">
        <v>425.00000000000011</v>
      </c>
    </row>
    <row r="94" spans="11:12" x14ac:dyDescent="0.4">
      <c r="K94" s="40">
        <v>92</v>
      </c>
      <c r="L94" s="105">
        <v>468.10000000000014</v>
      </c>
    </row>
    <row r="95" spans="11:12" x14ac:dyDescent="0.4">
      <c r="K95" s="40">
        <v>93</v>
      </c>
      <c r="L95" s="105">
        <v>462.10000000000014</v>
      </c>
    </row>
    <row r="96" spans="11:12" x14ac:dyDescent="0.4">
      <c r="K96" s="40">
        <v>94</v>
      </c>
      <c r="L96" s="105">
        <v>424.60000000000014</v>
      </c>
    </row>
    <row r="97" spans="11:12" x14ac:dyDescent="0.4">
      <c r="K97" s="40">
        <v>95</v>
      </c>
      <c r="L97" s="105">
        <v>385.10000000000014</v>
      </c>
    </row>
    <row r="98" spans="11:12" x14ac:dyDescent="0.4">
      <c r="K98" s="40">
        <v>96</v>
      </c>
      <c r="L98" s="105">
        <v>396.20000000000016</v>
      </c>
    </row>
    <row r="99" spans="11:12" x14ac:dyDescent="0.4">
      <c r="K99" s="40">
        <v>97</v>
      </c>
      <c r="L99" s="105">
        <v>394.20000000000016</v>
      </c>
    </row>
    <row r="100" spans="11:12" x14ac:dyDescent="0.4">
      <c r="K100" s="40">
        <v>98</v>
      </c>
      <c r="L100" s="105">
        <v>437.70000000000016</v>
      </c>
    </row>
    <row r="101" spans="11:12" x14ac:dyDescent="0.4">
      <c r="K101" s="40">
        <v>99</v>
      </c>
      <c r="L101" s="105">
        <v>432.10000000000014</v>
      </c>
    </row>
    <row r="102" spans="11:12" x14ac:dyDescent="0.4">
      <c r="K102" s="40">
        <v>100</v>
      </c>
      <c r="L102" s="105">
        <v>424.70000000000016</v>
      </c>
    </row>
    <row r="103" spans="11:12" x14ac:dyDescent="0.4">
      <c r="K103" s="40">
        <v>101</v>
      </c>
      <c r="L103" s="105">
        <v>386.70000000000016</v>
      </c>
    </row>
    <row r="104" spans="11:12" x14ac:dyDescent="0.4">
      <c r="K104" s="40">
        <v>102</v>
      </c>
      <c r="L104" s="105">
        <v>367.90000000000015</v>
      </c>
    </row>
    <row r="105" spans="11:12" x14ac:dyDescent="0.4">
      <c r="K105" s="40">
        <v>103</v>
      </c>
      <c r="L105" s="105">
        <v>394.90000000000015</v>
      </c>
    </row>
    <row r="106" spans="11:12" x14ac:dyDescent="0.4">
      <c r="K106" s="40">
        <v>104</v>
      </c>
      <c r="L106" s="105">
        <v>439.50000000000017</v>
      </c>
    </row>
    <row r="107" spans="11:12" x14ac:dyDescent="0.4">
      <c r="K107" s="40">
        <v>105</v>
      </c>
      <c r="L107" s="105">
        <v>446.50000000000017</v>
      </c>
    </row>
    <row r="108" spans="11:12" x14ac:dyDescent="0.4">
      <c r="K108" s="40">
        <v>106</v>
      </c>
      <c r="L108" s="105">
        <v>435.20000000000016</v>
      </c>
    </row>
    <row r="109" spans="11:12" x14ac:dyDescent="0.4">
      <c r="K109" s="40">
        <v>107</v>
      </c>
      <c r="L109" s="105">
        <v>419.70000000000016</v>
      </c>
    </row>
    <row r="110" spans="11:12" x14ac:dyDescent="0.4">
      <c r="K110" s="40">
        <v>108</v>
      </c>
      <c r="L110" s="105">
        <v>400.40000000000015</v>
      </c>
    </row>
    <row r="111" spans="11:12" x14ac:dyDescent="0.4">
      <c r="K111" s="40">
        <v>109</v>
      </c>
      <c r="L111" s="105">
        <v>424.40000000000015</v>
      </c>
    </row>
    <row r="112" spans="11:12" x14ac:dyDescent="0.4">
      <c r="K112" s="40">
        <v>110</v>
      </c>
      <c r="L112" s="105">
        <v>443.90000000000015</v>
      </c>
    </row>
    <row r="113" spans="11:12" x14ac:dyDescent="0.4">
      <c r="K113" s="40">
        <v>111</v>
      </c>
      <c r="L113" s="105">
        <v>438.50000000000017</v>
      </c>
    </row>
    <row r="114" spans="11:12" x14ac:dyDescent="0.4">
      <c r="K114" s="40">
        <v>112</v>
      </c>
      <c r="L114" s="105">
        <v>494.50000000000017</v>
      </c>
    </row>
    <row r="115" spans="11:12" x14ac:dyDescent="0.4">
      <c r="K115" s="40">
        <v>113</v>
      </c>
      <c r="L115" s="105">
        <v>511.60000000000019</v>
      </c>
    </row>
    <row r="116" spans="11:12" x14ac:dyDescent="0.4">
      <c r="K116" s="40">
        <v>114</v>
      </c>
      <c r="L116" s="105">
        <v>473.60000000000019</v>
      </c>
    </row>
    <row r="117" spans="11:12" x14ac:dyDescent="0.4">
      <c r="K117" s="40">
        <v>115</v>
      </c>
      <c r="L117" s="105">
        <v>490.10000000000019</v>
      </c>
    </row>
    <row r="118" spans="11:12" x14ac:dyDescent="0.4">
      <c r="K118" s="40">
        <v>116</v>
      </c>
      <c r="L118" s="105">
        <v>505.4000000000002</v>
      </c>
    </row>
    <row r="119" spans="11:12" x14ac:dyDescent="0.4">
      <c r="K119" s="40">
        <v>117</v>
      </c>
      <c r="L119" s="105">
        <v>517.00000000000023</v>
      </c>
    </row>
    <row r="120" spans="11:12" x14ac:dyDescent="0.4">
      <c r="K120" s="40">
        <v>118</v>
      </c>
      <c r="L120" s="105">
        <v>533.9000000000002</v>
      </c>
    </row>
    <row r="121" spans="11:12" x14ac:dyDescent="0.4">
      <c r="K121" s="40">
        <v>119</v>
      </c>
      <c r="L121" s="105">
        <v>496.4000000000002</v>
      </c>
    </row>
    <row r="122" spans="11:12" x14ac:dyDescent="0.4">
      <c r="K122" s="40">
        <v>120</v>
      </c>
      <c r="L122" s="105">
        <v>534.9000000000002</v>
      </c>
    </row>
    <row r="123" spans="11:12" x14ac:dyDescent="0.4">
      <c r="K123" s="40">
        <v>121</v>
      </c>
      <c r="L123" s="105">
        <v>488.4000000000002</v>
      </c>
    </row>
    <row r="124" spans="11:12" x14ac:dyDescent="0.4">
      <c r="K124" s="40">
        <v>122</v>
      </c>
      <c r="L124" s="105">
        <v>501.60000000000019</v>
      </c>
    </row>
    <row r="125" spans="11:12" x14ac:dyDescent="0.4">
      <c r="K125" s="40">
        <v>123</v>
      </c>
      <c r="L125" s="105">
        <v>482.10000000000019</v>
      </c>
    </row>
    <row r="126" spans="11:12" x14ac:dyDescent="0.4">
      <c r="K126" s="40">
        <v>124</v>
      </c>
      <c r="L126" s="105">
        <v>523.50000000000023</v>
      </c>
    </row>
    <row r="127" spans="11:12" x14ac:dyDescent="0.4">
      <c r="K127" s="40">
        <v>125</v>
      </c>
      <c r="L127" s="105">
        <v>550.60000000000025</v>
      </c>
    </row>
    <row r="128" spans="11:12" x14ac:dyDescent="0.4">
      <c r="K128" s="40">
        <v>126</v>
      </c>
      <c r="L128" s="105">
        <v>559.10000000000025</v>
      </c>
    </row>
    <row r="129" spans="11:12" x14ac:dyDescent="0.4">
      <c r="K129" s="40">
        <v>127</v>
      </c>
      <c r="L129" s="105">
        <v>602.4000000000002</v>
      </c>
    </row>
    <row r="130" spans="11:12" x14ac:dyDescent="0.4">
      <c r="K130" s="40">
        <v>128</v>
      </c>
      <c r="L130" s="105">
        <v>628.4000000000002</v>
      </c>
    </row>
    <row r="131" spans="11:12" x14ac:dyDescent="0.4">
      <c r="K131" s="40">
        <v>129</v>
      </c>
      <c r="L131" s="105">
        <v>639.4000000000002</v>
      </c>
    </row>
    <row r="132" spans="11:12" x14ac:dyDescent="0.4">
      <c r="K132" s="40">
        <v>130</v>
      </c>
      <c r="L132" s="105">
        <v>680.4000000000002</v>
      </c>
    </row>
    <row r="133" spans="11:12" x14ac:dyDescent="0.4">
      <c r="K133" s="40">
        <v>131</v>
      </c>
      <c r="L133" s="105">
        <v>660.60000000000025</v>
      </c>
    </row>
    <row r="134" spans="11:12" x14ac:dyDescent="0.4">
      <c r="K134" s="40">
        <v>132</v>
      </c>
      <c r="L134" s="105">
        <v>698.20000000000027</v>
      </c>
    </row>
    <row r="135" spans="11:12" x14ac:dyDescent="0.4">
      <c r="K135" s="40">
        <v>133</v>
      </c>
      <c r="L135" s="105">
        <v>706.00000000000023</v>
      </c>
    </row>
    <row r="136" spans="11:12" x14ac:dyDescent="0.4">
      <c r="K136" s="40">
        <v>134</v>
      </c>
      <c r="L136" s="105">
        <v>774.10000000000025</v>
      </c>
    </row>
    <row r="137" spans="11:12" x14ac:dyDescent="0.4">
      <c r="K137" s="40">
        <v>135</v>
      </c>
      <c r="L137" s="105">
        <v>779.3000000000003</v>
      </c>
    </row>
    <row r="138" spans="11:12" x14ac:dyDescent="0.4">
      <c r="K138" s="40">
        <v>136</v>
      </c>
      <c r="L138" s="105">
        <v>795.50000000000034</v>
      </c>
    </row>
    <row r="139" spans="11:12" x14ac:dyDescent="0.4">
      <c r="K139" s="40">
        <v>137</v>
      </c>
      <c r="L139" s="105">
        <v>819.70000000000039</v>
      </c>
    </row>
    <row r="140" spans="11:12" x14ac:dyDescent="0.4">
      <c r="K140" s="40">
        <v>138</v>
      </c>
      <c r="L140" s="105">
        <v>840.30000000000041</v>
      </c>
    </row>
    <row r="141" spans="11:12" x14ac:dyDescent="0.4">
      <c r="K141" s="40">
        <v>139</v>
      </c>
      <c r="L141" s="105">
        <v>847.60000000000036</v>
      </c>
    </row>
    <row r="142" spans="11:12" x14ac:dyDescent="0.4">
      <c r="K142" s="40">
        <v>140</v>
      </c>
      <c r="L142" s="105">
        <v>852.40000000000032</v>
      </c>
    </row>
    <row r="143" spans="11:12" x14ac:dyDescent="0.4">
      <c r="K143" s="40">
        <v>141</v>
      </c>
      <c r="L143" s="105">
        <v>856.50000000000034</v>
      </c>
    </row>
    <row r="144" spans="11:12" x14ac:dyDescent="0.4">
      <c r="K144" s="40">
        <v>142</v>
      </c>
      <c r="L144" s="105">
        <v>844.50000000000034</v>
      </c>
    </row>
    <row r="145" spans="11:12" x14ac:dyDescent="0.4">
      <c r="K145" s="40">
        <v>143</v>
      </c>
      <c r="L145" s="105">
        <v>857.00000000000034</v>
      </c>
    </row>
    <row r="146" spans="11:12" x14ac:dyDescent="0.4">
      <c r="K146" s="40">
        <v>144</v>
      </c>
      <c r="L146" s="105">
        <v>844.10000000000036</v>
      </c>
    </row>
    <row r="147" spans="11:12" x14ac:dyDescent="0.4">
      <c r="K147" s="40">
        <v>145</v>
      </c>
      <c r="L147" s="105">
        <v>859.70000000000039</v>
      </c>
    </row>
    <row r="148" spans="11:12" x14ac:dyDescent="0.4">
      <c r="K148" s="40">
        <v>146</v>
      </c>
      <c r="L148" s="105">
        <v>875.30000000000041</v>
      </c>
    </row>
    <row r="149" spans="11:12" x14ac:dyDescent="0.4">
      <c r="K149" s="40">
        <v>147</v>
      </c>
      <c r="L149" s="105">
        <v>839.30000000000041</v>
      </c>
    </row>
    <row r="150" spans="11:12" x14ac:dyDescent="0.4">
      <c r="K150" s="40">
        <v>148</v>
      </c>
      <c r="L150" s="105">
        <v>809.70000000000039</v>
      </c>
    </row>
    <row r="151" spans="11:12" x14ac:dyDescent="0.4">
      <c r="K151" s="40">
        <v>149</v>
      </c>
      <c r="L151" s="105">
        <v>816.50000000000034</v>
      </c>
    </row>
    <row r="152" spans="11:12" x14ac:dyDescent="0.4">
      <c r="K152" s="40">
        <v>150</v>
      </c>
      <c r="L152" s="105">
        <v>802.50000000000034</v>
      </c>
    </row>
    <row r="153" spans="11:12" x14ac:dyDescent="0.4">
      <c r="K153" s="40">
        <v>151</v>
      </c>
      <c r="L153" s="105">
        <v>792.50000000000034</v>
      </c>
    </row>
    <row r="154" spans="11:12" x14ac:dyDescent="0.4">
      <c r="K154" s="40">
        <v>152</v>
      </c>
      <c r="L154" s="105">
        <v>837.10000000000036</v>
      </c>
    </row>
    <row r="155" spans="11:12" x14ac:dyDescent="0.4">
      <c r="K155" s="40">
        <v>153</v>
      </c>
      <c r="L155" s="105">
        <v>832.40000000000032</v>
      </c>
    </row>
    <row r="156" spans="11:12" x14ac:dyDescent="0.4">
      <c r="K156" s="40">
        <v>154</v>
      </c>
      <c r="L156" s="105">
        <v>846.8000000000003</v>
      </c>
    </row>
    <row r="157" spans="11:12" x14ac:dyDescent="0.4">
      <c r="K157" s="40">
        <v>155</v>
      </c>
      <c r="L157" s="105">
        <v>832.8000000000003</v>
      </c>
    </row>
    <row r="158" spans="11:12" x14ac:dyDescent="0.4">
      <c r="K158" s="40">
        <v>156</v>
      </c>
      <c r="L158" s="105">
        <v>839.90000000000032</v>
      </c>
    </row>
    <row r="159" spans="11:12" x14ac:dyDescent="0.4">
      <c r="K159" s="40">
        <v>157</v>
      </c>
      <c r="L159" s="105">
        <v>859.60000000000036</v>
      </c>
    </row>
    <row r="160" spans="11:12" x14ac:dyDescent="0.4">
      <c r="K160" s="40">
        <v>158</v>
      </c>
      <c r="L160" s="105">
        <v>883.40000000000032</v>
      </c>
    </row>
    <row r="161" spans="11:12" x14ac:dyDescent="0.4">
      <c r="K161" s="40">
        <v>159</v>
      </c>
      <c r="L161" s="105">
        <v>878.60000000000036</v>
      </c>
    </row>
    <row r="162" spans="11:12" x14ac:dyDescent="0.4">
      <c r="K162" s="40">
        <v>160</v>
      </c>
      <c r="L162" s="105">
        <v>911.10000000000036</v>
      </c>
    </row>
    <row r="163" spans="11:12" x14ac:dyDescent="0.4">
      <c r="K163" s="40">
        <v>161</v>
      </c>
      <c r="L163" s="105">
        <v>928.20000000000039</v>
      </c>
    </row>
    <row r="164" spans="11:12" x14ac:dyDescent="0.4">
      <c r="K164" s="40">
        <v>162</v>
      </c>
      <c r="L164" s="105">
        <v>940.50000000000034</v>
      </c>
    </row>
    <row r="165" spans="11:12" x14ac:dyDescent="0.4">
      <c r="K165" s="40">
        <v>163</v>
      </c>
      <c r="L165" s="105">
        <v>964.8000000000003</v>
      </c>
    </row>
    <row r="166" spans="11:12" x14ac:dyDescent="0.4">
      <c r="K166" s="40">
        <v>164</v>
      </c>
      <c r="L166" s="105">
        <v>952.60000000000025</v>
      </c>
    </row>
    <row r="167" spans="11:12" x14ac:dyDescent="0.4">
      <c r="K167" s="40">
        <v>165</v>
      </c>
      <c r="L167" s="105">
        <v>950.60000000000025</v>
      </c>
    </row>
    <row r="168" spans="11:12" x14ac:dyDescent="0.4">
      <c r="K168" s="40">
        <v>166</v>
      </c>
      <c r="L168" s="105">
        <v>910.00000000000023</v>
      </c>
    </row>
    <row r="169" spans="11:12" x14ac:dyDescent="0.4">
      <c r="K169" s="40">
        <v>167</v>
      </c>
      <c r="L169" s="105">
        <v>931.70000000000027</v>
      </c>
    </row>
    <row r="170" spans="11:12" x14ac:dyDescent="0.4">
      <c r="K170" s="40">
        <v>168</v>
      </c>
      <c r="L170" s="105">
        <v>972.40000000000032</v>
      </c>
    </row>
    <row r="171" spans="11:12" x14ac:dyDescent="0.4">
      <c r="K171" s="40">
        <v>169</v>
      </c>
      <c r="L171" s="105">
        <v>980.40000000000032</v>
      </c>
    </row>
    <row r="172" spans="11:12" x14ac:dyDescent="0.4">
      <c r="K172" s="40">
        <v>170</v>
      </c>
      <c r="L172" s="105">
        <v>988.10000000000036</v>
      </c>
    </row>
    <row r="173" spans="11:12" x14ac:dyDescent="0.4">
      <c r="K173" s="40">
        <v>171</v>
      </c>
      <c r="L173" s="105">
        <v>919.10000000000036</v>
      </c>
    </row>
    <row r="174" spans="11:12" x14ac:dyDescent="0.4">
      <c r="K174" s="40">
        <v>172</v>
      </c>
      <c r="L174" s="105">
        <v>916.10000000000036</v>
      </c>
    </row>
    <row r="175" spans="11:12" x14ac:dyDescent="0.4">
      <c r="K175" s="40">
        <v>173</v>
      </c>
      <c r="L175" s="105">
        <v>913.50000000000034</v>
      </c>
    </row>
    <row r="176" spans="11:12" x14ac:dyDescent="0.4">
      <c r="K176" s="40">
        <v>174</v>
      </c>
      <c r="L176" s="105">
        <v>972.50000000000034</v>
      </c>
    </row>
    <row r="177" spans="11:12" x14ac:dyDescent="0.4">
      <c r="K177" s="40">
        <v>175</v>
      </c>
      <c r="L177" s="105">
        <v>972.50000000000034</v>
      </c>
    </row>
    <row r="178" spans="11:12" x14ac:dyDescent="0.4">
      <c r="K178" s="40">
        <v>176</v>
      </c>
      <c r="L178" s="105">
        <v>952.00000000000034</v>
      </c>
    </row>
    <row r="179" spans="11:12" x14ac:dyDescent="0.4">
      <c r="K179" s="40">
        <v>177</v>
      </c>
      <c r="L179" s="105">
        <v>948.60000000000036</v>
      </c>
    </row>
    <row r="180" spans="11:12" x14ac:dyDescent="0.4">
      <c r="K180" s="40">
        <v>178</v>
      </c>
      <c r="L180" s="105">
        <v>988.10000000000036</v>
      </c>
    </row>
    <row r="181" spans="11:12" x14ac:dyDescent="0.4">
      <c r="K181" s="40">
        <v>179</v>
      </c>
      <c r="L181" s="105">
        <v>1049.1000000000004</v>
      </c>
    </row>
    <row r="182" spans="11:12" x14ac:dyDescent="0.4">
      <c r="K182" s="40">
        <v>180</v>
      </c>
      <c r="L182" s="105">
        <v>1060.8000000000004</v>
      </c>
    </row>
    <row r="183" spans="11:12" x14ac:dyDescent="0.4">
      <c r="K183" s="40">
        <v>181</v>
      </c>
      <c r="L183" s="105">
        <v>1076.9000000000003</v>
      </c>
    </row>
    <row r="184" spans="11:12" x14ac:dyDescent="0.4">
      <c r="K184" s="40">
        <v>182</v>
      </c>
      <c r="L184" s="105">
        <v>1134.4000000000003</v>
      </c>
    </row>
    <row r="185" spans="11:12" x14ac:dyDescent="0.4">
      <c r="K185" s="40">
        <v>183</v>
      </c>
      <c r="L185" s="105">
        <v>1121.9000000000003</v>
      </c>
    </row>
    <row r="186" spans="11:12" x14ac:dyDescent="0.4">
      <c r="K186" s="40">
        <v>184</v>
      </c>
      <c r="L186" s="105">
        <v>1132.6000000000004</v>
      </c>
    </row>
    <row r="187" spans="11:12" x14ac:dyDescent="0.4">
      <c r="K187" s="40">
        <v>185</v>
      </c>
      <c r="L187" s="105">
        <v>1163.7000000000003</v>
      </c>
    </row>
    <row r="188" spans="11:12" x14ac:dyDescent="0.4">
      <c r="K188" s="40">
        <v>186</v>
      </c>
      <c r="L188" s="105">
        <v>1173.9000000000003</v>
      </c>
    </row>
    <row r="189" spans="11:12" x14ac:dyDescent="0.4">
      <c r="K189" s="40">
        <v>187</v>
      </c>
      <c r="L189" s="105">
        <v>1182.2000000000003</v>
      </c>
    </row>
    <row r="190" spans="11:12" x14ac:dyDescent="0.4">
      <c r="K190" s="40">
        <v>188</v>
      </c>
      <c r="L190" s="105">
        <v>1180.3000000000002</v>
      </c>
    </row>
    <row r="191" spans="11:12" x14ac:dyDescent="0.4">
      <c r="K191" s="40">
        <v>189</v>
      </c>
      <c r="L191" s="105">
        <v>1180.8000000000002</v>
      </c>
    </row>
    <row r="192" spans="11:12" x14ac:dyDescent="0.4">
      <c r="K192" s="40">
        <v>190</v>
      </c>
      <c r="L192" s="105">
        <v>1228.8000000000002</v>
      </c>
    </row>
    <row r="193" spans="11:12" x14ac:dyDescent="0.4">
      <c r="K193" s="40">
        <v>191</v>
      </c>
      <c r="L193" s="105">
        <v>1251.6000000000001</v>
      </c>
    </row>
    <row r="194" spans="11:12" x14ac:dyDescent="0.4">
      <c r="K194" s="40">
        <v>192</v>
      </c>
      <c r="L194" s="105">
        <v>1257.6000000000001</v>
      </c>
    </row>
    <row r="195" spans="11:12" x14ac:dyDescent="0.4">
      <c r="K195" s="40">
        <v>193</v>
      </c>
      <c r="L195" s="105">
        <v>1240.6000000000001</v>
      </c>
    </row>
    <row r="196" spans="11:12" x14ac:dyDescent="0.4">
      <c r="K196" s="40">
        <v>194</v>
      </c>
      <c r="L196" s="105">
        <v>1221.7</v>
      </c>
    </row>
    <row r="197" spans="11:12" x14ac:dyDescent="0.4">
      <c r="K197" s="40">
        <v>195</v>
      </c>
      <c r="L197" s="105">
        <v>1258.4000000000001</v>
      </c>
    </row>
    <row r="198" spans="11:12" x14ac:dyDescent="0.4">
      <c r="K198" s="40">
        <v>196</v>
      </c>
      <c r="L198" s="105">
        <v>1270.8000000000002</v>
      </c>
    </row>
    <row r="199" spans="11:12" x14ac:dyDescent="0.4">
      <c r="K199" s="40">
        <v>197</v>
      </c>
      <c r="L199" s="105">
        <v>1284.8000000000002</v>
      </c>
    </row>
    <row r="200" spans="11:12" x14ac:dyDescent="0.4">
      <c r="K200" s="40">
        <v>198</v>
      </c>
      <c r="L200" s="105">
        <v>1291.6000000000001</v>
      </c>
    </row>
    <row r="201" spans="11:12" x14ac:dyDescent="0.4">
      <c r="K201" s="40">
        <v>199</v>
      </c>
      <c r="L201" s="105">
        <v>1284.0000000000002</v>
      </c>
    </row>
    <row r="202" spans="11:12" x14ac:dyDescent="0.4">
      <c r="K202" s="40">
        <v>200</v>
      </c>
      <c r="L202" s="105">
        <v>1297.7000000000003</v>
      </c>
    </row>
    <row r="203" spans="11:12" x14ac:dyDescent="0.4">
      <c r="K203" s="40">
        <v>201</v>
      </c>
      <c r="L203" s="105">
        <v>1298.0000000000002</v>
      </c>
    </row>
    <row r="204" spans="11:12" x14ac:dyDescent="0.4">
      <c r="K204" s="40">
        <v>202</v>
      </c>
      <c r="L204" s="105">
        <v>1292.6000000000001</v>
      </c>
    </row>
    <row r="205" spans="11:12" x14ac:dyDescent="0.4">
      <c r="K205" s="40">
        <v>203</v>
      </c>
      <c r="L205" s="105">
        <v>1249.4000000000001</v>
      </c>
    </row>
    <row r="206" spans="11:12" x14ac:dyDescent="0.4">
      <c r="K206" s="40">
        <v>204</v>
      </c>
      <c r="L206" s="105">
        <v>1267.6000000000001</v>
      </c>
    </row>
    <row r="207" spans="11:12" x14ac:dyDescent="0.4">
      <c r="K207" s="40">
        <v>205</v>
      </c>
      <c r="L207" s="105">
        <v>1290.4000000000001</v>
      </c>
    </row>
    <row r="208" spans="11:12" x14ac:dyDescent="0.4">
      <c r="K208" s="40">
        <v>206</v>
      </c>
      <c r="L208" s="105">
        <v>1298.5</v>
      </c>
    </row>
    <row r="209" spans="11:12" x14ac:dyDescent="0.4">
      <c r="K209" s="40">
        <v>207</v>
      </c>
      <c r="L209" s="105">
        <v>1303.5</v>
      </c>
    </row>
    <row r="210" spans="11:12" x14ac:dyDescent="0.4">
      <c r="K210" s="40">
        <v>208</v>
      </c>
      <c r="L210" s="105">
        <v>1264.5</v>
      </c>
    </row>
    <row r="211" spans="11:12" x14ac:dyDescent="0.4">
      <c r="K211" s="40">
        <v>209</v>
      </c>
      <c r="L211" s="105">
        <v>1272.7</v>
      </c>
    </row>
    <row r="212" spans="11:12" x14ac:dyDescent="0.4">
      <c r="K212" s="40">
        <v>210</v>
      </c>
      <c r="L212" s="105">
        <v>1285.7</v>
      </c>
    </row>
    <row r="213" spans="11:12" x14ac:dyDescent="0.4">
      <c r="K213" s="40">
        <v>211</v>
      </c>
      <c r="L213" s="105">
        <v>1295.8</v>
      </c>
    </row>
    <row r="214" spans="11:12" x14ac:dyDescent="0.4">
      <c r="K214" s="40">
        <v>212</v>
      </c>
      <c r="L214" s="105">
        <v>1317.5</v>
      </c>
    </row>
    <row r="215" spans="11:12" x14ac:dyDescent="0.4">
      <c r="K215" s="40">
        <v>213</v>
      </c>
      <c r="L215" s="105">
        <v>1277.0999999999999</v>
      </c>
    </row>
    <row r="216" spans="11:12" x14ac:dyDescent="0.4">
      <c r="K216" s="40">
        <v>214</v>
      </c>
      <c r="L216" s="105">
        <v>1329.1999999999998</v>
      </c>
    </row>
    <row r="217" spans="11:12" x14ac:dyDescent="0.4">
      <c r="K217" s="40">
        <v>215</v>
      </c>
      <c r="L217" s="105">
        <v>1333.6999999999998</v>
      </c>
    </row>
    <row r="218" spans="11:12" x14ac:dyDescent="0.4">
      <c r="K218" s="40">
        <v>216</v>
      </c>
      <c r="L218" s="105">
        <v>1318.6999999999998</v>
      </c>
    </row>
    <row r="219" spans="11:12" x14ac:dyDescent="0.4">
      <c r="K219" s="40">
        <v>217</v>
      </c>
      <c r="L219" s="105">
        <v>1326.4999999999998</v>
      </c>
    </row>
    <row r="220" spans="11:12" x14ac:dyDescent="0.4">
      <c r="K220" s="40">
        <v>218</v>
      </c>
      <c r="L220" s="105">
        <v>1345.0999999999997</v>
      </c>
    </row>
    <row r="221" spans="11:12" x14ac:dyDescent="0.4">
      <c r="K221" s="40">
        <v>219</v>
      </c>
      <c r="L221" s="105">
        <v>1351.2999999999997</v>
      </c>
    </row>
    <row r="222" spans="11:12" x14ac:dyDescent="0.4">
      <c r="K222" s="40">
        <v>220</v>
      </c>
      <c r="L222" s="105">
        <v>1363.8999999999996</v>
      </c>
    </row>
    <row r="223" spans="11:12" x14ac:dyDescent="0.4">
      <c r="K223" s="40">
        <v>221</v>
      </c>
      <c r="L223" s="105">
        <v>1377.2999999999997</v>
      </c>
    </row>
    <row r="224" spans="11:12" x14ac:dyDescent="0.4">
      <c r="K224" s="40">
        <v>222</v>
      </c>
      <c r="L224" s="105">
        <v>1383.3999999999996</v>
      </c>
    </row>
    <row r="225" spans="11:12" x14ac:dyDescent="0.4">
      <c r="K225" s="40">
        <v>223</v>
      </c>
      <c r="L225" s="105">
        <v>1450.0999999999997</v>
      </c>
    </row>
    <row r="226" spans="11:12" x14ac:dyDescent="0.4">
      <c r="K226" s="40">
        <v>224</v>
      </c>
      <c r="L226" s="105">
        <v>1411.9999999999998</v>
      </c>
    </row>
    <row r="227" spans="11:12" x14ac:dyDescent="0.4">
      <c r="K227" s="40">
        <v>225</v>
      </c>
      <c r="L227" s="105">
        <v>1434.9999999999998</v>
      </c>
    </row>
    <row r="228" spans="11:12" x14ac:dyDescent="0.4">
      <c r="K228" s="40">
        <v>226</v>
      </c>
      <c r="L228" s="105">
        <v>1444.4999999999998</v>
      </c>
    </row>
    <row r="229" spans="11:12" x14ac:dyDescent="0.4">
      <c r="K229" s="40">
        <v>227</v>
      </c>
      <c r="L229" s="105">
        <v>1449.4999999999998</v>
      </c>
    </row>
    <row r="230" spans="11:12" x14ac:dyDescent="0.4">
      <c r="K230" s="40">
        <v>228</v>
      </c>
      <c r="L230" s="105">
        <v>1457.2999999999997</v>
      </c>
    </row>
    <row r="231" spans="11:12" x14ac:dyDescent="0.4">
      <c r="K231" s="40">
        <v>229</v>
      </c>
      <c r="L231" s="105">
        <v>1499.5999999999997</v>
      </c>
    </row>
    <row r="232" spans="11:12" x14ac:dyDescent="0.4">
      <c r="K232" s="40">
        <v>230</v>
      </c>
      <c r="L232" s="105">
        <v>1540.2999999999997</v>
      </c>
    </row>
    <row r="233" spans="11:12" x14ac:dyDescent="0.4">
      <c r="K233" s="40">
        <v>231</v>
      </c>
      <c r="L233" s="105">
        <v>1540.3999999999996</v>
      </c>
    </row>
    <row r="234" spans="11:12" x14ac:dyDescent="0.4">
      <c r="K234" s="40">
        <v>232</v>
      </c>
      <c r="L234" s="105">
        <v>1552.5999999999997</v>
      </c>
    </row>
    <row r="235" spans="11:12" x14ac:dyDescent="0.4">
      <c r="K235" s="40">
        <v>233</v>
      </c>
      <c r="L235" s="105">
        <v>1562.0999999999997</v>
      </c>
    </row>
    <row r="236" spans="11:12" x14ac:dyDescent="0.4">
      <c r="K236" s="40">
        <v>234</v>
      </c>
      <c r="L236" s="105">
        <v>1589.2999999999997</v>
      </c>
    </row>
    <row r="237" spans="11:12" x14ac:dyDescent="0.4">
      <c r="K237" s="40">
        <v>235</v>
      </c>
      <c r="L237" s="105">
        <v>1576.6999999999998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DE21E-9B88-4A1A-90DF-0EA9F293567F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166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4</v>
      </c>
      <c r="C2" s="145"/>
      <c r="E2" s="64" t="s">
        <v>67</v>
      </c>
      <c r="F2" s="61" t="s">
        <v>21</v>
      </c>
      <c r="G2" s="48">
        <v>0</v>
      </c>
      <c r="H2" s="137">
        <f>IF(B$27=0,0,G2/B$27)</f>
        <v>0</v>
      </c>
      <c r="I2" s="99">
        <v>14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-9250</v>
      </c>
      <c r="P2" s="124">
        <v>4</v>
      </c>
      <c r="Q2" s="108">
        <v>-37000</v>
      </c>
    </row>
    <row r="3" spans="1:17" x14ac:dyDescent="0.4">
      <c r="A3" s="57" t="s">
        <v>8</v>
      </c>
      <c r="B3" s="146">
        <v>25</v>
      </c>
      <c r="C3" s="147"/>
      <c r="E3" s="65" t="s">
        <v>68</v>
      </c>
      <c r="F3" s="62" t="s">
        <v>22</v>
      </c>
      <c r="G3" s="49">
        <v>0</v>
      </c>
      <c r="H3" s="138">
        <f>IF(B$27=0,0,G3/B$27)</f>
        <v>0</v>
      </c>
      <c r="I3" s="100">
        <v>12</v>
      </c>
      <c r="K3" s="40">
        <v>1</v>
      </c>
      <c r="L3" s="105">
        <v>-22</v>
      </c>
      <c r="N3" s="121" t="s">
        <v>148</v>
      </c>
      <c r="O3" s="128">
        <f t="shared" si="0"/>
        <v>-7225</v>
      </c>
      <c r="P3" s="125">
        <v>4</v>
      </c>
      <c r="Q3" s="109">
        <v>-28900</v>
      </c>
    </row>
    <row r="4" spans="1:17" x14ac:dyDescent="0.4">
      <c r="A4" s="57" t="s">
        <v>6</v>
      </c>
      <c r="B4" s="148">
        <v>-132.1</v>
      </c>
      <c r="C4" s="149"/>
      <c r="E4" s="65" t="s">
        <v>69</v>
      </c>
      <c r="F4" s="62" t="s">
        <v>23</v>
      </c>
      <c r="G4" s="49">
        <v>0</v>
      </c>
      <c r="H4" s="138">
        <f>IF(B$27=0,0,G4/B$27)</f>
        <v>0</v>
      </c>
      <c r="I4" s="100">
        <v>14</v>
      </c>
      <c r="K4" s="40">
        <v>2</v>
      </c>
      <c r="L4" s="105">
        <v>-60.4</v>
      </c>
      <c r="N4" s="121" t="s">
        <v>149</v>
      </c>
      <c r="O4" s="128">
        <f t="shared" si="0"/>
        <v>-10875</v>
      </c>
      <c r="P4" s="125">
        <v>4</v>
      </c>
      <c r="Q4" s="109">
        <v>-43500</v>
      </c>
    </row>
    <row r="5" spans="1:17" x14ac:dyDescent="0.4">
      <c r="A5" s="57" t="s">
        <v>7</v>
      </c>
      <c r="B5" s="150">
        <f>IF(B$2=0,0,B$4/B$2)</f>
        <v>-33.024999999999999</v>
      </c>
      <c r="C5" s="151"/>
      <c r="E5" s="65" t="s">
        <v>70</v>
      </c>
      <c r="F5" s="62" t="s">
        <v>24</v>
      </c>
      <c r="G5" s="49">
        <v>0</v>
      </c>
      <c r="H5" s="138">
        <f>IF(B$27=0,0,G5/B$27)</f>
        <v>0</v>
      </c>
      <c r="I5" s="100">
        <v>14</v>
      </c>
      <c r="K5" s="40">
        <v>3</v>
      </c>
      <c r="L5" s="105">
        <v>-85.6</v>
      </c>
      <c r="N5" s="121" t="s">
        <v>150</v>
      </c>
      <c r="O5" s="128">
        <f t="shared" si="0"/>
        <v>-2850</v>
      </c>
      <c r="P5" s="125">
        <v>2</v>
      </c>
      <c r="Q5" s="109">
        <v>-5700</v>
      </c>
    </row>
    <row r="6" spans="1:17" x14ac:dyDescent="0.4">
      <c r="A6" s="57" t="s">
        <v>1</v>
      </c>
      <c r="B6" s="156">
        <f>IF(B$2=0,0,(B$7*1+B$8*2+B$9*3)/B$2)</f>
        <v>3</v>
      </c>
      <c r="C6" s="157"/>
      <c r="E6" s="65" t="s">
        <v>71</v>
      </c>
      <c r="F6" s="62" t="s">
        <v>25</v>
      </c>
      <c r="G6" s="49">
        <v>0</v>
      </c>
      <c r="H6" s="138">
        <f>IF(B$27=0,0,G6/B$27)</f>
        <v>0</v>
      </c>
      <c r="I6" s="100">
        <v>14</v>
      </c>
      <c r="K6" s="40">
        <v>4</v>
      </c>
      <c r="L6" s="105">
        <v>-132.1</v>
      </c>
      <c r="N6" s="121" t="s">
        <v>151</v>
      </c>
      <c r="O6" s="128">
        <f t="shared" si="0"/>
        <v>-6000</v>
      </c>
      <c r="P6" s="125">
        <v>2</v>
      </c>
      <c r="Q6" s="109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38">
        <f>IF(B$27=0,0,G7/B$27)</f>
        <v>0</v>
      </c>
      <c r="I7" s="100">
        <v>14</v>
      </c>
      <c r="N7" s="122" t="s">
        <v>152</v>
      </c>
      <c r="O7" s="129">
        <f t="shared" si="0"/>
        <v>-5000</v>
      </c>
      <c r="P7" s="126">
        <v>1</v>
      </c>
      <c r="Q7" s="110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38">
        <f>IF(B$27=0,0,G8/B$27)</f>
        <v>0</v>
      </c>
      <c r="I8" s="100">
        <v>13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38">
        <f>IF(B$27=0,0,G9/B$27)</f>
        <v>0</v>
      </c>
      <c r="I9" s="100">
        <v>12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38">
        <f>IF(B$27=0,0,G10/B$27)</f>
        <v>0</v>
      </c>
      <c r="I10" s="100">
        <v>12</v>
      </c>
      <c r="N10" s="120" t="s">
        <v>253</v>
      </c>
      <c r="O10" s="130">
        <f>IF(P10=0,0,Q10/P10)</f>
        <v>-30.2</v>
      </c>
      <c r="P10" s="124">
        <v>2</v>
      </c>
      <c r="Q10" s="112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8">
        <f>IF(B$27=0,0,G11/B$27)</f>
        <v>0</v>
      </c>
      <c r="I11" s="100">
        <v>14</v>
      </c>
      <c r="N11" s="121" t="s">
        <v>254</v>
      </c>
      <c r="O11" s="131">
        <f>IF(P11=0,0,Q11/P11)</f>
        <v>-25.2</v>
      </c>
      <c r="P11" s="125">
        <v>1</v>
      </c>
      <c r="Q11" s="113">
        <v>-25.2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8">
        <f>IF(B$27=0,0,G12/B$27)</f>
        <v>0</v>
      </c>
      <c r="I12" s="100">
        <v>7</v>
      </c>
      <c r="N12" s="122" t="s">
        <v>255</v>
      </c>
      <c r="O12" s="132">
        <f>IF(P12=0,0,Q12/P12)</f>
        <v>-46.5</v>
      </c>
      <c r="P12" s="126">
        <v>1</v>
      </c>
      <c r="Q12" s="114">
        <v>-46.5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78</v>
      </c>
      <c r="F13" s="62" t="s">
        <v>31</v>
      </c>
      <c r="G13" s="49">
        <v>0</v>
      </c>
      <c r="H13" s="138">
        <f>IF(B$27=0,0,G13/B$27)</f>
        <v>0</v>
      </c>
      <c r="I13" s="100">
        <v>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0</v>
      </c>
      <c r="C14" s="41">
        <f>IF(B$26=0,0,B14/B$26)</f>
        <v>0</v>
      </c>
      <c r="E14" s="65" t="s">
        <v>79</v>
      </c>
      <c r="F14" s="62" t="s">
        <v>32</v>
      </c>
      <c r="G14" s="49">
        <v>0</v>
      </c>
      <c r="H14" s="138">
        <f>IF(B$27=0,0,G14/B$27)</f>
        <v>0</v>
      </c>
      <c r="I14" s="100">
        <v>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38">
        <f>IF(B$27=0,0,G15/B$27)</f>
        <v>0</v>
      </c>
      <c r="I15" s="100">
        <v>1</v>
      </c>
      <c r="N15" s="120" t="s">
        <v>135</v>
      </c>
      <c r="O15" s="130">
        <f>IF(P15=0,0,Q15/P15)</f>
        <v>-26.766666666666666</v>
      </c>
      <c r="P15" s="124">
        <v>3</v>
      </c>
      <c r="Q15" s="112">
        <v>-80.3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8">
        <f>IF(B$27=0,0,G16/B$27)</f>
        <v>0</v>
      </c>
      <c r="I16" s="100">
        <v>7</v>
      </c>
      <c r="N16" s="121" t="s">
        <v>167</v>
      </c>
      <c r="O16" s="131">
        <f>IF(P16=0,0,Q16/P16)</f>
        <v>-29</v>
      </c>
      <c r="P16" s="125">
        <v>1</v>
      </c>
      <c r="Q16" s="113">
        <v>-29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38">
        <f>IF(B$27=0,0,G17/B$27)</f>
        <v>0</v>
      </c>
      <c r="I17" s="100">
        <v>10</v>
      </c>
      <c r="N17" s="121" t="s">
        <v>133</v>
      </c>
      <c r="O17" s="131">
        <f>IF(P17=0,0,Q17/P17)</f>
        <v>-71.75</v>
      </c>
      <c r="P17" s="125">
        <v>4</v>
      </c>
      <c r="Q17" s="113">
        <v>-287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38">
        <f>IF(B$27=0,0,G18/B$27)</f>
        <v>0</v>
      </c>
      <c r="I18" s="100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38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38">
        <f>IF(B$27=0,0,G20/B$27)</f>
        <v>0</v>
      </c>
      <c r="I20" s="100">
        <v>3</v>
      </c>
    </row>
    <row r="21" spans="1:17" x14ac:dyDescent="0.4">
      <c r="A21" s="57" t="s">
        <v>5</v>
      </c>
      <c r="B21" s="53">
        <f>IF(B$17=0,0,C21/B$17)</f>
        <v>7800</v>
      </c>
      <c r="C21" s="43">
        <v>7800</v>
      </c>
      <c r="E21" s="65" t="s">
        <v>86</v>
      </c>
      <c r="F21" s="62" t="s">
        <v>39</v>
      </c>
      <c r="G21" s="49">
        <v>0</v>
      </c>
      <c r="H21" s="138">
        <f>IF(B$27=0,0,G21/B$27)</f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-8240</v>
      </c>
      <c r="C22" s="47">
        <v>-82400</v>
      </c>
      <c r="E22" s="65" t="s">
        <v>87</v>
      </c>
      <c r="F22" s="62" t="s">
        <v>40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54">
        <v>0</v>
      </c>
      <c r="C23" s="155"/>
      <c r="E23" s="65" t="s">
        <v>88</v>
      </c>
      <c r="F23" s="62" t="s">
        <v>41</v>
      </c>
      <c r="G23" s="49">
        <v>0</v>
      </c>
      <c r="H23" s="138">
        <f>IF(B$27=0,0,G23/B$27)</f>
        <v>0</v>
      </c>
      <c r="I23" s="100">
        <v>12</v>
      </c>
    </row>
    <row r="24" spans="1:17" x14ac:dyDescent="0.4">
      <c r="A24" s="60" t="s">
        <v>199</v>
      </c>
      <c r="B24" s="152">
        <v>13000</v>
      </c>
      <c r="C24" s="153"/>
      <c r="E24" s="65" t="s">
        <v>89</v>
      </c>
      <c r="F24" s="62" t="s">
        <v>42</v>
      </c>
      <c r="G24" s="49">
        <v>0</v>
      </c>
      <c r="H24" s="138">
        <f>IF(B$27=0,0,G24/B$27)</f>
        <v>0</v>
      </c>
      <c r="I24" s="100">
        <v>5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38">
        <f>IF(B$27=0,0,G25/B$27)</f>
        <v>0</v>
      </c>
      <c r="I25" s="100">
        <v>6</v>
      </c>
    </row>
    <row r="26" spans="1:17" x14ac:dyDescent="0.4">
      <c r="A26" s="56" t="s">
        <v>126</v>
      </c>
      <c r="B26" s="144">
        <v>0</v>
      </c>
      <c r="C26" s="145"/>
      <c r="E26" s="65" t="s">
        <v>91</v>
      </c>
      <c r="F26" s="62" t="s">
        <v>44</v>
      </c>
      <c r="G26" s="49">
        <v>0</v>
      </c>
      <c r="H26" s="138">
        <f>IF(B$27=0,0,G26/B$27)</f>
        <v>0</v>
      </c>
      <c r="I26" s="100">
        <v>14</v>
      </c>
    </row>
    <row r="27" spans="1:17" x14ac:dyDescent="0.4">
      <c r="A27" s="59" t="s">
        <v>127</v>
      </c>
      <c r="B27" s="158">
        <v>0</v>
      </c>
      <c r="C27" s="159"/>
      <c r="E27" s="65" t="s">
        <v>92</v>
      </c>
      <c r="F27" s="62" t="s">
        <v>45</v>
      </c>
      <c r="G27" s="49">
        <v>0</v>
      </c>
      <c r="H27" s="138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8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8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8D48E-51BA-4762-AF2A-315E44646569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167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4</v>
      </c>
      <c r="C2" s="145"/>
      <c r="E2" s="64" t="s">
        <v>69</v>
      </c>
      <c r="F2" s="61" t="s">
        <v>23</v>
      </c>
      <c r="G2" s="48">
        <v>5</v>
      </c>
      <c r="H2" s="137">
        <f>IF(B$27=0,0,G2/B$27)</f>
        <v>1.25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-7250</v>
      </c>
      <c r="P2" s="124">
        <v>4</v>
      </c>
      <c r="Q2" s="108">
        <v>-29000</v>
      </c>
    </row>
    <row r="3" spans="1:17" x14ac:dyDescent="0.4">
      <c r="A3" s="57" t="s">
        <v>8</v>
      </c>
      <c r="B3" s="146">
        <v>24</v>
      </c>
      <c r="C3" s="147"/>
      <c r="E3" s="65" t="s">
        <v>76</v>
      </c>
      <c r="F3" s="62" t="s">
        <v>29</v>
      </c>
      <c r="G3" s="49">
        <v>3</v>
      </c>
      <c r="H3" s="138">
        <f>IF(B$27=0,0,G3/B$27)</f>
        <v>0.75</v>
      </c>
      <c r="I3" s="100">
        <v>2</v>
      </c>
      <c r="K3" s="40">
        <v>1</v>
      </c>
      <c r="L3" s="105">
        <v>7</v>
      </c>
      <c r="N3" s="121" t="s">
        <v>148</v>
      </c>
      <c r="O3" s="128">
        <f t="shared" si="0"/>
        <v>-3166.6666666666665</v>
      </c>
      <c r="P3" s="125">
        <v>3</v>
      </c>
      <c r="Q3" s="109">
        <v>-9500</v>
      </c>
    </row>
    <row r="4" spans="1:17" x14ac:dyDescent="0.4">
      <c r="A4" s="57" t="s">
        <v>6</v>
      </c>
      <c r="B4" s="148">
        <v>-15.5</v>
      </c>
      <c r="C4" s="149"/>
      <c r="E4" s="65" t="s">
        <v>67</v>
      </c>
      <c r="F4" s="62" t="s">
        <v>21</v>
      </c>
      <c r="G4" s="49">
        <v>2</v>
      </c>
      <c r="H4" s="138">
        <f>IF(B$27=0,0,G4/B$27)</f>
        <v>0.5</v>
      </c>
      <c r="I4" s="100">
        <v>9</v>
      </c>
      <c r="K4" s="40">
        <v>2</v>
      </c>
      <c r="L4" s="105">
        <v>-24.5</v>
      </c>
      <c r="N4" s="121" t="s">
        <v>149</v>
      </c>
      <c r="O4" s="128">
        <f t="shared" si="0"/>
        <v>-3666.6666666666665</v>
      </c>
      <c r="P4" s="125">
        <v>3</v>
      </c>
      <c r="Q4" s="109">
        <v>-11000</v>
      </c>
    </row>
    <row r="5" spans="1:17" x14ac:dyDescent="0.4">
      <c r="A5" s="57" t="s">
        <v>7</v>
      </c>
      <c r="B5" s="150">
        <f>IF(B$2=0,0,B$4/B$2)</f>
        <v>-3.875</v>
      </c>
      <c r="C5" s="151"/>
      <c r="E5" s="65" t="s">
        <v>70</v>
      </c>
      <c r="F5" s="62" t="s">
        <v>24</v>
      </c>
      <c r="G5" s="49">
        <v>2</v>
      </c>
      <c r="H5" s="138">
        <f>IF(B$27=0,0,G5/B$27)</f>
        <v>0.5</v>
      </c>
      <c r="I5" s="100">
        <v>2</v>
      </c>
      <c r="K5" s="40">
        <v>3</v>
      </c>
      <c r="L5" s="105">
        <v>-26.5</v>
      </c>
      <c r="N5" s="121" t="s">
        <v>150</v>
      </c>
      <c r="O5" s="128">
        <f t="shared" si="0"/>
        <v>4000</v>
      </c>
      <c r="P5" s="125">
        <v>2</v>
      </c>
      <c r="Q5" s="109">
        <v>8000</v>
      </c>
    </row>
    <row r="6" spans="1:17" x14ac:dyDescent="0.4">
      <c r="A6" s="57" t="s">
        <v>1</v>
      </c>
      <c r="B6" s="156">
        <f>IF(B$2=0,0,(B$7*1+B$8*2+B$9*3)/B$2)</f>
        <v>2</v>
      </c>
      <c r="C6" s="157"/>
      <c r="E6" s="65" t="s">
        <v>71</v>
      </c>
      <c r="F6" s="62" t="s">
        <v>25</v>
      </c>
      <c r="G6" s="49">
        <v>2</v>
      </c>
      <c r="H6" s="138">
        <f>IF(B$27=0,0,G6/B$27)</f>
        <v>0.5</v>
      </c>
      <c r="I6" s="100">
        <v>13</v>
      </c>
      <c r="K6" s="40">
        <v>4</v>
      </c>
      <c r="L6" s="105">
        <v>-15.5</v>
      </c>
      <c r="N6" s="121" t="s">
        <v>151</v>
      </c>
      <c r="O6" s="128">
        <f t="shared" si="0"/>
        <v>21500</v>
      </c>
      <c r="P6" s="125">
        <v>2</v>
      </c>
      <c r="Q6" s="109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38">
        <f>IF(B$27=0,0,G7/B$27)</f>
        <v>0.5</v>
      </c>
      <c r="I7" s="100">
        <v>1</v>
      </c>
      <c r="N7" s="122" t="s">
        <v>152</v>
      </c>
      <c r="O7" s="129">
        <f t="shared" si="0"/>
        <v>-8500</v>
      </c>
      <c r="P7" s="126">
        <v>2</v>
      </c>
      <c r="Q7" s="110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38">
        <f>IF(B$27=0,0,G8/B$27)</f>
        <v>0.25</v>
      </c>
      <c r="I8" s="100">
        <v>10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0.25</v>
      </c>
      <c r="E9" s="65" t="s">
        <v>73</v>
      </c>
      <c r="F9" s="62" t="s">
        <v>26</v>
      </c>
      <c r="G9" s="49">
        <v>1</v>
      </c>
      <c r="H9" s="138">
        <f>IF(B$27=0,0,G9/B$27)</f>
        <v>0.25</v>
      </c>
      <c r="I9" s="100">
        <v>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38">
        <f>IF(B$27=0,0,G10/B$27)</f>
        <v>0.25</v>
      </c>
      <c r="I10" s="100">
        <v>1</v>
      </c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38">
        <f>IF(B$27=0,0,G11/B$27)</f>
        <v>0.25</v>
      </c>
      <c r="I11" s="100">
        <v>1</v>
      </c>
      <c r="N11" s="121" t="s">
        <v>254</v>
      </c>
      <c r="O11" s="131">
        <f>IF(P11=0,0,Q11/P11)</f>
        <v>9</v>
      </c>
      <c r="P11" s="125">
        <v>2</v>
      </c>
      <c r="Q11" s="113">
        <v>18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38">
        <f>IF(B$27=0,0,G12/B$27)</f>
        <v>0.25</v>
      </c>
      <c r="I12" s="100">
        <v>1</v>
      </c>
      <c r="N12" s="122" t="s">
        <v>255</v>
      </c>
      <c r="O12" s="132">
        <f>IF(P12=0,0,Q12/P12)</f>
        <v>-16.75</v>
      </c>
      <c r="P12" s="126">
        <v>2</v>
      </c>
      <c r="Q12" s="114">
        <v>-33.5</v>
      </c>
    </row>
    <row r="13" spans="1:17" x14ac:dyDescent="0.4">
      <c r="A13" s="60" t="s">
        <v>128</v>
      </c>
      <c r="B13" s="52">
        <v>8</v>
      </c>
      <c r="C13" s="46">
        <f>IF(B$26=0,0,B13/B$26)</f>
        <v>0.42105263157894735</v>
      </c>
      <c r="E13" s="65" t="s">
        <v>68</v>
      </c>
      <c r="F13" s="62" t="s">
        <v>22</v>
      </c>
      <c r="G13" s="49">
        <v>0</v>
      </c>
      <c r="H13" s="138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</v>
      </c>
      <c r="C14" s="41">
        <f>IF(B$26=0,0,B14/B$26)</f>
        <v>0.10526315789473684</v>
      </c>
      <c r="E14" s="65" t="s">
        <v>74</v>
      </c>
      <c r="F14" s="62" t="s">
        <v>27</v>
      </c>
      <c r="G14" s="49">
        <v>0</v>
      </c>
      <c r="H14" s="138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38">
        <f>IF(B$27=0,0,G15/B$27)</f>
        <v>0</v>
      </c>
      <c r="I15" s="100">
        <v>7</v>
      </c>
      <c r="N15" s="120" t="s">
        <v>166</v>
      </c>
      <c r="O15" s="130">
        <f>IF(P15=0,0,Q15/P15)</f>
        <v>29</v>
      </c>
      <c r="P15" s="124">
        <v>1</v>
      </c>
      <c r="Q15" s="112">
        <v>29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38">
        <f>IF(B$27=0,0,G16/B$27)</f>
        <v>0</v>
      </c>
      <c r="I16" s="100">
        <v>6</v>
      </c>
      <c r="N16" s="121" t="s">
        <v>139</v>
      </c>
      <c r="O16" s="131">
        <f>IF(P16=0,0,Q16/P16)</f>
        <v>3.9666666666666663</v>
      </c>
      <c r="P16" s="125">
        <v>3</v>
      </c>
      <c r="Q16" s="113">
        <v>11.899999999999999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38">
        <f>IF(B$27=0,0,G17/B$27)</f>
        <v>0</v>
      </c>
      <c r="I17" s="100">
        <v>6</v>
      </c>
      <c r="N17" s="121" t="s">
        <v>133</v>
      </c>
      <c r="O17" s="131">
        <f>IF(P17=0,0,Q17/P17)</f>
        <v>-8</v>
      </c>
      <c r="P17" s="125">
        <v>1</v>
      </c>
      <c r="Q17" s="113">
        <v>-8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38">
        <f>IF(B$27=0,0,G18/B$27)</f>
        <v>0</v>
      </c>
      <c r="I18" s="100">
        <v>1</v>
      </c>
      <c r="N18" s="121" t="s">
        <v>134</v>
      </c>
      <c r="O18" s="131">
        <f>IF(P18=0,0,Q18/P18)</f>
        <v>-26.466666666666669</v>
      </c>
      <c r="P18" s="125">
        <v>3</v>
      </c>
      <c r="Q18" s="113">
        <v>-79.400000000000006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38">
        <f>IF(B$27=0,0,G19/B$27)</f>
        <v>0</v>
      </c>
      <c r="I19" s="100">
        <v>7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38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12333.333333333334</v>
      </c>
      <c r="C21" s="43">
        <v>74000</v>
      </c>
      <c r="E21" s="65" t="s">
        <v>83</v>
      </c>
      <c r="F21" s="62" t="s">
        <v>36</v>
      </c>
      <c r="G21" s="49">
        <v>0</v>
      </c>
      <c r="H21" s="138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-12000</v>
      </c>
      <c r="C22" s="47">
        <v>-48000</v>
      </c>
      <c r="E22" s="65" t="s">
        <v>84</v>
      </c>
      <c r="F22" s="62" t="s">
        <v>37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54">
        <v>3</v>
      </c>
      <c r="C23" s="155"/>
      <c r="E23" s="65" t="s">
        <v>85</v>
      </c>
      <c r="F23" s="62" t="s">
        <v>38</v>
      </c>
      <c r="G23" s="49">
        <v>0</v>
      </c>
      <c r="H23" s="138">
        <f>IF(B$27=0,0,G23/B$27)</f>
        <v>0</v>
      </c>
      <c r="I23" s="100">
        <v>3</v>
      </c>
    </row>
    <row r="24" spans="1:17" x14ac:dyDescent="0.4">
      <c r="A24" s="60" t="s">
        <v>199</v>
      </c>
      <c r="B24" s="152">
        <v>46000</v>
      </c>
      <c r="C24" s="153"/>
      <c r="E24" s="65" t="s">
        <v>86</v>
      </c>
      <c r="F24" s="62" t="s">
        <v>39</v>
      </c>
      <c r="G24" s="49">
        <v>0</v>
      </c>
      <c r="H24" s="138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4">
        <v>19</v>
      </c>
      <c r="C26" s="145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</row>
    <row r="27" spans="1:17" x14ac:dyDescent="0.4">
      <c r="A27" s="59" t="s">
        <v>127</v>
      </c>
      <c r="B27" s="158">
        <v>4</v>
      </c>
      <c r="C27" s="159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9C66B-0345-4E5C-A739-F30DF8F43708}">
  <sheetPr codeName="Sheet13"/>
  <dimension ref="A1:Q134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134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132</v>
      </c>
      <c r="C2" s="145"/>
      <c r="E2" s="64" t="s">
        <v>71</v>
      </c>
      <c r="F2" s="61" t="s">
        <v>25</v>
      </c>
      <c r="G2" s="48">
        <v>160</v>
      </c>
      <c r="H2" s="137">
        <f>IF(B$27=0,0,G2/B$27)</f>
        <v>0.76923076923076927</v>
      </c>
      <c r="I2" s="99">
        <v>10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-596.15384615384619</v>
      </c>
      <c r="P2" s="124">
        <v>130</v>
      </c>
      <c r="Q2" s="108">
        <v>-77500</v>
      </c>
    </row>
    <row r="3" spans="1:17" x14ac:dyDescent="0.4">
      <c r="A3" s="57" t="s">
        <v>8</v>
      </c>
      <c r="B3" s="146">
        <v>1027</v>
      </c>
      <c r="C3" s="147"/>
      <c r="E3" s="65" t="s">
        <v>69</v>
      </c>
      <c r="F3" s="62" t="s">
        <v>23</v>
      </c>
      <c r="G3" s="49">
        <v>146</v>
      </c>
      <c r="H3" s="138">
        <f>IF(B$27=0,0,G3/B$27)</f>
        <v>0.70192307692307687</v>
      </c>
      <c r="I3" s="100">
        <v>7</v>
      </c>
      <c r="K3" s="40">
        <v>1</v>
      </c>
      <c r="L3" s="105">
        <v>40.9</v>
      </c>
      <c r="N3" s="121" t="s">
        <v>148</v>
      </c>
      <c r="O3" s="128">
        <f t="shared" si="0"/>
        <v>-1070.6349206349207</v>
      </c>
      <c r="P3" s="125">
        <v>126</v>
      </c>
      <c r="Q3" s="109">
        <v>-134900</v>
      </c>
    </row>
    <row r="4" spans="1:17" x14ac:dyDescent="0.4">
      <c r="A4" s="57" t="s">
        <v>6</v>
      </c>
      <c r="B4" s="148">
        <v>-449.7</v>
      </c>
      <c r="C4" s="149"/>
      <c r="E4" s="65" t="s">
        <v>67</v>
      </c>
      <c r="F4" s="62" t="s">
        <v>21</v>
      </c>
      <c r="G4" s="49">
        <v>130</v>
      </c>
      <c r="H4" s="138">
        <f>IF(B$27=0,0,G4/B$27)</f>
        <v>0.625</v>
      </c>
      <c r="I4" s="100">
        <v>4</v>
      </c>
      <c r="K4" s="40">
        <v>2</v>
      </c>
      <c r="L4" s="105">
        <v>-0.89999999999999858</v>
      </c>
      <c r="N4" s="121" t="s">
        <v>149</v>
      </c>
      <c r="O4" s="128">
        <f t="shared" si="0"/>
        <v>1286.8852459016393</v>
      </c>
      <c r="P4" s="125">
        <v>122</v>
      </c>
      <c r="Q4" s="109">
        <v>157000</v>
      </c>
    </row>
    <row r="5" spans="1:17" x14ac:dyDescent="0.4">
      <c r="A5" s="57" t="s">
        <v>7</v>
      </c>
      <c r="B5" s="150">
        <f>IF(B$2=0,0,B$4/B$2)</f>
        <v>-3.4068181818181817</v>
      </c>
      <c r="C5" s="151"/>
      <c r="E5" s="65" t="s">
        <v>76</v>
      </c>
      <c r="F5" s="62" t="s">
        <v>29</v>
      </c>
      <c r="G5" s="49">
        <v>105</v>
      </c>
      <c r="H5" s="138">
        <f>IF(B$27=0,0,G5/B$27)</f>
        <v>0.50480769230769229</v>
      </c>
      <c r="I5" s="100">
        <v>11</v>
      </c>
      <c r="K5" s="40">
        <v>3</v>
      </c>
      <c r="L5" s="105">
        <v>-36.4</v>
      </c>
      <c r="N5" s="121" t="s">
        <v>150</v>
      </c>
      <c r="O5" s="128">
        <f t="shared" si="0"/>
        <v>-1069.7247706422017</v>
      </c>
      <c r="P5" s="125">
        <v>109</v>
      </c>
      <c r="Q5" s="109">
        <v>-116600</v>
      </c>
    </row>
    <row r="6" spans="1:17" x14ac:dyDescent="0.4">
      <c r="A6" s="57" t="s">
        <v>1</v>
      </c>
      <c r="B6" s="156">
        <f>IF(B$2=0,0,(B$7*1+B$8*2+B$9*3)/B$2)</f>
        <v>2.0984848484848486</v>
      </c>
      <c r="C6" s="157"/>
      <c r="E6" s="65" t="s">
        <v>72</v>
      </c>
      <c r="F6" s="62" t="s">
        <v>12</v>
      </c>
      <c r="G6" s="49">
        <v>75</v>
      </c>
      <c r="H6" s="138">
        <f>IF(B$27=0,0,G6/B$27)</f>
        <v>0.36057692307692307</v>
      </c>
      <c r="I6" s="100">
        <v>2</v>
      </c>
      <c r="K6" s="40">
        <v>4</v>
      </c>
      <c r="L6" s="105">
        <v>3.6000000000000014</v>
      </c>
      <c r="N6" s="121" t="s">
        <v>151</v>
      </c>
      <c r="O6" s="128">
        <f t="shared" si="0"/>
        <v>-1992.4731182795699</v>
      </c>
      <c r="P6" s="125">
        <v>93</v>
      </c>
      <c r="Q6" s="109">
        <v>-185300</v>
      </c>
    </row>
    <row r="7" spans="1:17" x14ac:dyDescent="0.4">
      <c r="A7" s="57" t="s">
        <v>2</v>
      </c>
      <c r="B7" s="49">
        <v>39</v>
      </c>
      <c r="C7" s="41">
        <f>IF(B$2=0,0,B7/B$2)</f>
        <v>0.29545454545454547</v>
      </c>
      <c r="E7" s="65" t="s">
        <v>70</v>
      </c>
      <c r="F7" s="62" t="s">
        <v>24</v>
      </c>
      <c r="G7" s="49">
        <v>66</v>
      </c>
      <c r="H7" s="138">
        <f>IF(B$27=0,0,G7/B$27)</f>
        <v>0.31730769230769229</v>
      </c>
      <c r="I7" s="100">
        <v>6</v>
      </c>
      <c r="K7" s="40">
        <v>5</v>
      </c>
      <c r="L7" s="105">
        <v>14.600000000000001</v>
      </c>
      <c r="N7" s="122" t="s">
        <v>152</v>
      </c>
      <c r="O7" s="129">
        <f t="shared" si="0"/>
        <v>-1786.3013698630136</v>
      </c>
      <c r="P7" s="126">
        <v>73</v>
      </c>
      <c r="Q7" s="110">
        <v>-130400</v>
      </c>
    </row>
    <row r="8" spans="1:17" x14ac:dyDescent="0.4">
      <c r="A8" s="57" t="s">
        <v>3</v>
      </c>
      <c r="B8" s="49">
        <v>41</v>
      </c>
      <c r="C8" s="41">
        <f>IF(B$2=0,0,B8/B$2)</f>
        <v>0.31060606060606061</v>
      </c>
      <c r="E8" s="65" t="s">
        <v>94</v>
      </c>
      <c r="F8" s="62" t="s">
        <v>47</v>
      </c>
      <c r="G8" s="49">
        <v>36</v>
      </c>
      <c r="H8" s="138">
        <f>IF(B$27=0,0,G8/B$27)</f>
        <v>0.17307692307692307</v>
      </c>
      <c r="I8" s="100">
        <v>5</v>
      </c>
      <c r="K8" s="40">
        <v>6</v>
      </c>
      <c r="L8" s="105">
        <v>47.6</v>
      </c>
      <c r="N8" s="45"/>
      <c r="O8" s="133"/>
      <c r="P8" s="117"/>
      <c r="Q8" s="115"/>
    </row>
    <row r="9" spans="1:17" x14ac:dyDescent="0.4">
      <c r="A9" s="58" t="s">
        <v>4</v>
      </c>
      <c r="B9" s="50">
        <v>52</v>
      </c>
      <c r="C9" s="42">
        <f t="shared" ref="C9" si="1">IF(B$2=0,0,B9/B$2)</f>
        <v>0.39393939393939392</v>
      </c>
      <c r="E9" s="65" t="s">
        <v>73</v>
      </c>
      <c r="F9" s="62" t="s">
        <v>26</v>
      </c>
      <c r="G9" s="49">
        <v>32</v>
      </c>
      <c r="H9" s="138">
        <f>IF(B$27=0,0,G9/B$27)</f>
        <v>0.15384615384615385</v>
      </c>
      <c r="I9" s="100">
        <v>6</v>
      </c>
      <c r="K9" s="40">
        <v>7</v>
      </c>
      <c r="L9" s="105">
        <v>100.1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25</v>
      </c>
      <c r="C10" s="42">
        <f>IF(B$2=0,0,B10/B$2)</f>
        <v>0.18939393939393939</v>
      </c>
      <c r="E10" s="65" t="s">
        <v>68</v>
      </c>
      <c r="F10" s="62" t="s">
        <v>22</v>
      </c>
      <c r="G10" s="49">
        <v>30</v>
      </c>
      <c r="H10" s="138">
        <f>IF(B$27=0,0,G10/B$27)</f>
        <v>0.14423076923076922</v>
      </c>
      <c r="I10" s="100">
        <v>5</v>
      </c>
      <c r="K10" s="40">
        <v>8</v>
      </c>
      <c r="L10" s="105">
        <v>60.199999999999996</v>
      </c>
      <c r="N10" s="120" t="s">
        <v>253</v>
      </c>
      <c r="O10" s="130">
        <f>IF(P10=0,0,Q10/P10)</f>
        <v>-7.3357142857142845</v>
      </c>
      <c r="P10" s="124">
        <v>42</v>
      </c>
      <c r="Q10" s="112">
        <v>-308.09999999999997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0.12878787878787878</v>
      </c>
      <c r="E11" s="65" t="s">
        <v>74</v>
      </c>
      <c r="F11" s="62" t="s">
        <v>27</v>
      </c>
      <c r="G11" s="49">
        <v>29</v>
      </c>
      <c r="H11" s="138">
        <f>IF(B$27=0,0,G11/B$27)</f>
        <v>0.13942307692307693</v>
      </c>
      <c r="I11" s="100">
        <v>3</v>
      </c>
      <c r="K11" s="40">
        <v>9</v>
      </c>
      <c r="L11" s="105">
        <v>24.4</v>
      </c>
      <c r="N11" s="121" t="s">
        <v>254</v>
      </c>
      <c r="O11" s="131">
        <f>IF(P11=0,0,Q11/P11)</f>
        <v>-4.6448979591836732</v>
      </c>
      <c r="P11" s="125">
        <v>49</v>
      </c>
      <c r="Q11" s="113">
        <v>-227.59999999999997</v>
      </c>
    </row>
    <row r="12" spans="1:17" x14ac:dyDescent="0.4">
      <c r="A12" s="59" t="s">
        <v>239</v>
      </c>
      <c r="B12" s="51">
        <v>10</v>
      </c>
      <c r="C12" s="44">
        <f>IF(B$2=0,0,B12/B$2)</f>
        <v>7.575757575757576E-2</v>
      </c>
      <c r="E12" s="65" t="s">
        <v>91</v>
      </c>
      <c r="F12" s="62" t="s">
        <v>44</v>
      </c>
      <c r="G12" s="49">
        <v>20</v>
      </c>
      <c r="H12" s="138">
        <f>IF(B$27=0,0,G12/B$27)</f>
        <v>9.6153846153846159E-2</v>
      </c>
      <c r="I12" s="100">
        <v>4</v>
      </c>
      <c r="K12" s="40">
        <v>10</v>
      </c>
      <c r="L12" s="105">
        <v>-20.100000000000001</v>
      </c>
      <c r="N12" s="122" t="s">
        <v>255</v>
      </c>
      <c r="O12" s="132">
        <f>IF(P12=0,0,Q12/P12)</f>
        <v>0.9</v>
      </c>
      <c r="P12" s="126">
        <v>40</v>
      </c>
      <c r="Q12" s="114">
        <v>36</v>
      </c>
    </row>
    <row r="13" spans="1:17" x14ac:dyDescent="0.4">
      <c r="A13" s="60" t="s">
        <v>128</v>
      </c>
      <c r="B13" s="52">
        <v>228</v>
      </c>
      <c r="C13" s="46">
        <f>IF(B$26=0,0,B13/B$26)</f>
        <v>0.29765013054830286</v>
      </c>
      <c r="E13" s="65" t="s">
        <v>88</v>
      </c>
      <c r="F13" s="62" t="s">
        <v>41</v>
      </c>
      <c r="G13" s="49">
        <v>16</v>
      </c>
      <c r="H13" s="138">
        <f>IF(B$27=0,0,G13/B$27)</f>
        <v>7.6923076923076927E-2</v>
      </c>
      <c r="I13" s="100">
        <v>5</v>
      </c>
      <c r="K13" s="40">
        <v>11</v>
      </c>
      <c r="L13" s="105">
        <v>-3.6000000000000014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136</v>
      </c>
      <c r="C14" s="41">
        <f>IF(B$26=0,0,B14/B$26)</f>
        <v>0.17754569190600522</v>
      </c>
      <c r="E14" s="65" t="s">
        <v>86</v>
      </c>
      <c r="F14" s="62" t="s">
        <v>39</v>
      </c>
      <c r="G14" s="49">
        <v>10</v>
      </c>
      <c r="H14" s="138">
        <f>IF(B$27=0,0,G14/B$27)</f>
        <v>4.807692307692308E-2</v>
      </c>
      <c r="I14" s="100">
        <v>3</v>
      </c>
      <c r="K14" s="40">
        <v>12</v>
      </c>
      <c r="L14" s="105">
        <v>-12.000000000000002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132</v>
      </c>
      <c r="C15" s="39">
        <f>IF(B$13=0,0,B15/B$13)</f>
        <v>0.57894736842105265</v>
      </c>
      <c r="E15" s="65" t="s">
        <v>96</v>
      </c>
      <c r="F15" s="62" t="s">
        <v>49</v>
      </c>
      <c r="G15" s="49">
        <v>7</v>
      </c>
      <c r="H15" s="138">
        <f>IF(B$27=0,0,G15/B$27)</f>
        <v>3.3653846153846152E-2</v>
      </c>
      <c r="I15" s="100">
        <v>2</v>
      </c>
      <c r="K15" s="40">
        <v>13</v>
      </c>
      <c r="L15" s="105">
        <v>49.5</v>
      </c>
      <c r="N15" s="120" t="s">
        <v>250</v>
      </c>
      <c r="O15" s="130">
        <f>IF(P15=0,0,Q15/P15)</f>
        <v>53.3</v>
      </c>
      <c r="P15" s="124">
        <v>2</v>
      </c>
      <c r="Q15" s="112">
        <v>106.6</v>
      </c>
    </row>
    <row r="16" spans="1:17" x14ac:dyDescent="0.4">
      <c r="A16" s="56" t="s">
        <v>131</v>
      </c>
      <c r="B16" s="48">
        <v>52</v>
      </c>
      <c r="C16" s="39">
        <f>IF(B$14=0,0,B16/B$14)</f>
        <v>0.38235294117647056</v>
      </c>
      <c r="E16" s="65" t="s">
        <v>75</v>
      </c>
      <c r="F16" s="62" t="s">
        <v>28</v>
      </c>
      <c r="G16" s="49">
        <v>6</v>
      </c>
      <c r="H16" s="138">
        <f>IF(B$27=0,0,G16/B$27)</f>
        <v>2.8846153846153848E-2</v>
      </c>
      <c r="I16" s="100">
        <v>9</v>
      </c>
      <c r="K16" s="40">
        <v>14</v>
      </c>
      <c r="L16" s="105">
        <v>33</v>
      </c>
      <c r="N16" s="121" t="s">
        <v>136</v>
      </c>
      <c r="O16" s="131">
        <f>IF(P16=0,0,Q16/P16)</f>
        <v>26.972222222222218</v>
      </c>
      <c r="P16" s="125">
        <v>18</v>
      </c>
      <c r="Q16" s="113">
        <v>485.49999999999994</v>
      </c>
    </row>
    <row r="17" spans="1:17" x14ac:dyDescent="0.4">
      <c r="A17" s="56" t="s">
        <v>10</v>
      </c>
      <c r="B17" s="48">
        <f>B19+B18</f>
        <v>269</v>
      </c>
      <c r="C17" s="39">
        <f>IF(B$3=0,0,B17/B$3)</f>
        <v>0.26192794547224929</v>
      </c>
      <c r="E17" s="65" t="s">
        <v>82</v>
      </c>
      <c r="F17" s="62" t="s">
        <v>35</v>
      </c>
      <c r="G17" s="49">
        <v>5</v>
      </c>
      <c r="H17" s="138">
        <f>IF(B$27=0,0,G17/B$27)</f>
        <v>2.403846153846154E-2</v>
      </c>
      <c r="I17" s="100">
        <v>7</v>
      </c>
      <c r="K17" s="40">
        <v>15</v>
      </c>
      <c r="L17" s="105">
        <v>38.5</v>
      </c>
      <c r="N17" s="121" t="s">
        <v>167</v>
      </c>
      <c r="O17" s="131">
        <f>IF(P17=0,0,Q17/P17)</f>
        <v>26.466666666666669</v>
      </c>
      <c r="P17" s="125">
        <v>3</v>
      </c>
      <c r="Q17" s="113">
        <v>79.400000000000006</v>
      </c>
    </row>
    <row r="18" spans="1:17" x14ac:dyDescent="0.4">
      <c r="A18" s="57" t="s">
        <v>12</v>
      </c>
      <c r="B18" s="49">
        <v>119</v>
      </c>
      <c r="C18" s="41">
        <f>IF(B$17=0,0,B18/B$17)</f>
        <v>0.44237918215613381</v>
      </c>
      <c r="E18" s="65" t="s">
        <v>83</v>
      </c>
      <c r="F18" s="62" t="s">
        <v>36</v>
      </c>
      <c r="G18" s="49">
        <v>3</v>
      </c>
      <c r="H18" s="138">
        <f>IF(B$27=0,0,G18/B$27)</f>
        <v>1.4423076923076924E-2</v>
      </c>
      <c r="I18" s="100">
        <v>7</v>
      </c>
      <c r="K18" s="40">
        <v>16</v>
      </c>
      <c r="L18" s="105">
        <v>14.600000000000001</v>
      </c>
      <c r="N18" s="121" t="s">
        <v>139</v>
      </c>
      <c r="O18" s="131">
        <f>IF(P18=0,0,Q18/P18)</f>
        <v>3.4244444444444424</v>
      </c>
      <c r="P18" s="125">
        <v>45</v>
      </c>
      <c r="Q18" s="113">
        <v>154.09999999999991</v>
      </c>
    </row>
    <row r="19" spans="1:17" x14ac:dyDescent="0.4">
      <c r="A19" s="57" t="s">
        <v>11</v>
      </c>
      <c r="B19" s="49">
        <v>150</v>
      </c>
      <c r="C19" s="41">
        <f>IF(B$17=0,0,B19/B$17)</f>
        <v>0.55762081784386619</v>
      </c>
      <c r="E19" s="65" t="s">
        <v>89</v>
      </c>
      <c r="F19" s="62" t="s">
        <v>42</v>
      </c>
      <c r="G19" s="49">
        <v>2</v>
      </c>
      <c r="H19" s="138">
        <f>IF(B$27=0,0,G19/B$27)</f>
        <v>9.6153846153846159E-3</v>
      </c>
      <c r="I19" s="100">
        <v>1</v>
      </c>
      <c r="K19" s="40">
        <v>17</v>
      </c>
      <c r="L19" s="105">
        <v>13.900000000000002</v>
      </c>
      <c r="N19" s="121" t="s">
        <v>138</v>
      </c>
      <c r="O19" s="131">
        <f>IF(P19=0,0,Q19/P19)</f>
        <v>-0.14444444444444493</v>
      </c>
      <c r="P19" s="125">
        <v>9</v>
      </c>
      <c r="Q19" s="113">
        <v>-1.3000000000000043</v>
      </c>
    </row>
    <row r="20" spans="1:17" x14ac:dyDescent="0.4">
      <c r="A20" s="57" t="s">
        <v>13</v>
      </c>
      <c r="B20" s="49">
        <v>198</v>
      </c>
      <c r="C20" s="41">
        <f>IF(B$3=0,0,B20/B$3)</f>
        <v>0.19279454722492698</v>
      </c>
      <c r="E20" s="65" t="s">
        <v>90</v>
      </c>
      <c r="F20" s="62" t="s">
        <v>43</v>
      </c>
      <c r="G20" s="49">
        <v>2</v>
      </c>
      <c r="H20" s="138">
        <f>IF(B$27=0,0,G20/B$27)</f>
        <v>9.6153846153846159E-3</v>
      </c>
      <c r="I20" s="100">
        <v>2</v>
      </c>
      <c r="K20" s="40">
        <v>18</v>
      </c>
      <c r="L20" s="105">
        <v>-21.999999999999996</v>
      </c>
      <c r="N20" s="121" t="s">
        <v>133</v>
      </c>
      <c r="O20" s="131">
        <f>IF(P20=0,0,Q20/P20)</f>
        <v>-8.5636363636363591</v>
      </c>
      <c r="P20" s="125">
        <v>110</v>
      </c>
      <c r="Q20" s="113">
        <v>-941.99999999999955</v>
      </c>
    </row>
    <row r="21" spans="1:17" x14ac:dyDescent="0.4">
      <c r="A21" s="57" t="s">
        <v>5</v>
      </c>
      <c r="B21" s="53">
        <f>IF(B$17=0,0,C21/B$17)</f>
        <v>11027.509293680298</v>
      </c>
      <c r="C21" s="43">
        <v>2966400</v>
      </c>
      <c r="E21" s="65" t="s">
        <v>97</v>
      </c>
      <c r="F21" s="62" t="s">
        <v>50</v>
      </c>
      <c r="G21" s="49">
        <v>2</v>
      </c>
      <c r="H21" s="138">
        <f>IF(B$27=0,0,G21/B$27)</f>
        <v>9.6153846153846159E-3</v>
      </c>
      <c r="I21" s="100">
        <v>3</v>
      </c>
      <c r="K21" s="40">
        <v>19</v>
      </c>
      <c r="L21" s="105">
        <v>-26.699999999999996</v>
      </c>
      <c r="N21" s="121" t="s">
        <v>157</v>
      </c>
      <c r="O21" s="131">
        <f>IF(P21=0,0,Q21/P21)</f>
        <v>-10.366666666666665</v>
      </c>
      <c r="P21" s="125">
        <v>3</v>
      </c>
      <c r="Q21" s="113">
        <v>-31.099999999999998</v>
      </c>
    </row>
    <row r="22" spans="1:17" x14ac:dyDescent="0.4">
      <c r="A22" s="59" t="s">
        <v>14</v>
      </c>
      <c r="B22" s="54">
        <f>IF(B$20=0,0,C22/B$20)</f>
        <v>-9564.1414141414134</v>
      </c>
      <c r="C22" s="47">
        <v>-1893700</v>
      </c>
      <c r="E22" s="65" t="s">
        <v>77</v>
      </c>
      <c r="F22" s="62" t="s">
        <v>30</v>
      </c>
      <c r="G22" s="49">
        <v>1</v>
      </c>
      <c r="H22" s="138">
        <f>IF(B$27=0,0,G22/B$27)</f>
        <v>4.807692307692308E-3</v>
      </c>
      <c r="I22" s="100">
        <v>6</v>
      </c>
      <c r="K22" s="40">
        <v>20</v>
      </c>
      <c r="L22" s="105">
        <v>-57.899999999999991</v>
      </c>
      <c r="N22" s="121" t="s">
        <v>135</v>
      </c>
      <c r="O22" s="131">
        <f>IF(P22=0,0,Q22/P22)</f>
        <v>-15.51666666666666</v>
      </c>
      <c r="P22" s="125">
        <v>36</v>
      </c>
      <c r="Q22" s="113">
        <v>-558.5999999999998</v>
      </c>
    </row>
    <row r="23" spans="1:17" x14ac:dyDescent="0.4">
      <c r="A23" s="96" t="s">
        <v>158</v>
      </c>
      <c r="B23" s="154">
        <v>10</v>
      </c>
      <c r="C23" s="155"/>
      <c r="E23" s="65" t="s">
        <v>78</v>
      </c>
      <c r="F23" s="62" t="s">
        <v>31</v>
      </c>
      <c r="G23" s="49">
        <v>1</v>
      </c>
      <c r="H23" s="138">
        <f>IF(B$27=0,0,G23/B$27)</f>
        <v>4.807692307692308E-3</v>
      </c>
      <c r="I23" s="100">
        <v>1</v>
      </c>
      <c r="K23" s="40">
        <v>21</v>
      </c>
      <c r="L23" s="105">
        <v>-82.699999999999989</v>
      </c>
      <c r="N23" s="121" t="s">
        <v>137</v>
      </c>
      <c r="O23" s="131">
        <f>IF(P23=0,0,Q23/P23)</f>
        <v>-15.705714285714285</v>
      </c>
      <c r="P23" s="125">
        <v>35</v>
      </c>
      <c r="Q23" s="113">
        <v>-549.69999999999993</v>
      </c>
    </row>
    <row r="24" spans="1:17" x14ac:dyDescent="0.4">
      <c r="A24" s="60" t="s">
        <v>199</v>
      </c>
      <c r="B24" s="152">
        <v>97700</v>
      </c>
      <c r="C24" s="153"/>
      <c r="E24" s="65" t="s">
        <v>85</v>
      </c>
      <c r="F24" s="62" t="s">
        <v>38</v>
      </c>
      <c r="G24" s="49">
        <v>1</v>
      </c>
      <c r="H24" s="138">
        <f>IF(B$27=0,0,G24/B$27)</f>
        <v>4.807692307692308E-3</v>
      </c>
      <c r="I24" s="100">
        <v>1</v>
      </c>
      <c r="K24" s="40">
        <v>22</v>
      </c>
      <c r="L24" s="105">
        <v>-94.6</v>
      </c>
      <c r="N24" s="121" t="s">
        <v>194</v>
      </c>
      <c r="O24" s="131">
        <f>IF(P24=0,0,Q24/P24)</f>
        <v>-29.333333333333332</v>
      </c>
      <c r="P24" s="125">
        <v>3</v>
      </c>
      <c r="Q24" s="113">
        <v>-88</v>
      </c>
    </row>
    <row r="25" spans="1:17" x14ac:dyDescent="0.4">
      <c r="A25" s="59" t="s">
        <v>159</v>
      </c>
      <c r="B25" s="67">
        <v>4</v>
      </c>
      <c r="C25" s="44">
        <f>IF(B$3=0,0,B25/B$3)</f>
        <v>3.8948393378773127E-3</v>
      </c>
      <c r="E25" s="65" t="s">
        <v>92</v>
      </c>
      <c r="F25" s="62" t="s">
        <v>45</v>
      </c>
      <c r="G25" s="49">
        <v>1</v>
      </c>
      <c r="H25" s="138">
        <f>IF(B$27=0,0,G25/B$27)</f>
        <v>4.807692307692308E-3</v>
      </c>
      <c r="I25" s="100">
        <v>1</v>
      </c>
      <c r="K25" s="40">
        <v>23</v>
      </c>
      <c r="L25" s="105">
        <v>-111.3</v>
      </c>
    </row>
    <row r="26" spans="1:17" x14ac:dyDescent="0.4">
      <c r="A26" s="56" t="s">
        <v>126</v>
      </c>
      <c r="B26" s="144">
        <v>766</v>
      </c>
      <c r="C26" s="145"/>
      <c r="E26" s="65" t="s">
        <v>93</v>
      </c>
      <c r="F26" s="62" t="s">
        <v>46</v>
      </c>
      <c r="G26" s="49">
        <v>1</v>
      </c>
      <c r="H26" s="138">
        <f>IF(B$27=0,0,G26/B$27)</f>
        <v>4.807692307692308E-3</v>
      </c>
      <c r="I26" s="100">
        <v>1</v>
      </c>
      <c r="K26" s="40">
        <v>24</v>
      </c>
      <c r="L26" s="105">
        <v>-68.099999999999994</v>
      </c>
    </row>
    <row r="27" spans="1:17" x14ac:dyDescent="0.4">
      <c r="A27" s="59" t="s">
        <v>127</v>
      </c>
      <c r="B27" s="158">
        <v>208</v>
      </c>
      <c r="C27" s="159"/>
      <c r="E27" s="65" t="s">
        <v>79</v>
      </c>
      <c r="F27" s="62" t="s">
        <v>32</v>
      </c>
      <c r="G27" s="49">
        <v>0</v>
      </c>
      <c r="H27" s="138">
        <f>IF(B$27=0,0,G27/B$27)</f>
        <v>0</v>
      </c>
      <c r="I27" s="100">
        <v>6</v>
      </c>
      <c r="K27" s="40">
        <v>25</v>
      </c>
      <c r="L27" s="105">
        <v>-70.899999999999991</v>
      </c>
    </row>
    <row r="28" spans="1:17" x14ac:dyDescent="0.4">
      <c r="E28" s="65" t="s">
        <v>80</v>
      </c>
      <c r="F28" s="62" t="s">
        <v>33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-125.89999999999999</v>
      </c>
    </row>
    <row r="29" spans="1:17" x14ac:dyDescent="0.4">
      <c r="E29" s="65" t="s">
        <v>81</v>
      </c>
      <c r="F29" s="62" t="s">
        <v>34</v>
      </c>
      <c r="G29" s="49">
        <v>0</v>
      </c>
      <c r="H29" s="138">
        <f>IF(B$27=0,0,G29/B$27)</f>
        <v>0</v>
      </c>
      <c r="I29" s="100">
        <v>7</v>
      </c>
      <c r="K29" s="40">
        <v>27</v>
      </c>
      <c r="L29" s="105">
        <v>-163.6</v>
      </c>
    </row>
    <row r="30" spans="1:17" x14ac:dyDescent="0.4">
      <c r="E30" s="65" t="s">
        <v>84</v>
      </c>
      <c r="F30" s="62" t="s">
        <v>37</v>
      </c>
      <c r="G30" s="49">
        <v>0</v>
      </c>
      <c r="H30" s="138">
        <f>IF(B$27=0,0,G30/B$27)</f>
        <v>0</v>
      </c>
      <c r="I30" s="100">
        <v>1</v>
      </c>
      <c r="K30" s="40">
        <v>28</v>
      </c>
      <c r="L30" s="105">
        <v>-169.5</v>
      </c>
    </row>
    <row r="31" spans="1:17" x14ac:dyDescent="0.4">
      <c r="E31" s="65" t="s">
        <v>87</v>
      </c>
      <c r="F31" s="62" t="s">
        <v>40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-163.30000000000001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-209.4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-259.89999999999998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-253.59999999999997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-234.89999999999998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-229.79999999999998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-254.29999999999998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-204.29999999999998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-249.29999999999998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-242.49999999999997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-244.59999999999997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-279.7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-320.09999999999997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-314.29999999999995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-284.79999999999995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-239.89999999999995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-256.29999999999995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-280.59999999999997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-264.59999999999997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-288.79999999999995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-282.99999999999994</v>
      </c>
    </row>
    <row r="52" spans="5:12" x14ac:dyDescent="0.4">
      <c r="K52" s="40">
        <v>50</v>
      </c>
      <c r="L52" s="105">
        <v>-287.09999999999997</v>
      </c>
    </row>
    <row r="53" spans="5:12" x14ac:dyDescent="0.4">
      <c r="K53" s="40">
        <v>51</v>
      </c>
      <c r="L53" s="105">
        <v>-269.59999999999997</v>
      </c>
    </row>
    <row r="54" spans="5:12" x14ac:dyDescent="0.4">
      <c r="K54" s="40">
        <v>52</v>
      </c>
      <c r="L54" s="105">
        <v>-308.09999999999997</v>
      </c>
    </row>
    <row r="55" spans="5:12" x14ac:dyDescent="0.4">
      <c r="K55" s="40">
        <v>53</v>
      </c>
      <c r="L55" s="105">
        <v>-336.49999999999994</v>
      </c>
    </row>
    <row r="56" spans="5:12" x14ac:dyDescent="0.4">
      <c r="K56" s="40">
        <v>54</v>
      </c>
      <c r="L56" s="105">
        <v>-378.89999999999992</v>
      </c>
    </row>
    <row r="57" spans="5:12" x14ac:dyDescent="0.4">
      <c r="K57" s="40">
        <v>55</v>
      </c>
      <c r="L57" s="105">
        <v>-364.2999999999999</v>
      </c>
    </row>
    <row r="58" spans="5:12" x14ac:dyDescent="0.4">
      <c r="K58" s="40">
        <v>56</v>
      </c>
      <c r="L58" s="105">
        <v>-316.2999999999999</v>
      </c>
    </row>
    <row r="59" spans="5:12" x14ac:dyDescent="0.4">
      <c r="K59" s="40">
        <v>57</v>
      </c>
      <c r="L59" s="105">
        <v>-312.49999999999989</v>
      </c>
    </row>
    <row r="60" spans="5:12" x14ac:dyDescent="0.4">
      <c r="K60" s="40">
        <v>58</v>
      </c>
      <c r="L60" s="105">
        <v>-254.59999999999988</v>
      </c>
    </row>
    <row r="61" spans="5:12" x14ac:dyDescent="0.4">
      <c r="K61" s="40">
        <v>59</v>
      </c>
      <c r="L61" s="105">
        <v>-205.09999999999988</v>
      </c>
    </row>
    <row r="62" spans="5:12" x14ac:dyDescent="0.4">
      <c r="K62" s="40">
        <v>60</v>
      </c>
      <c r="L62" s="105">
        <v>-214.59999999999988</v>
      </c>
    </row>
    <row r="63" spans="5:12" x14ac:dyDescent="0.4">
      <c r="K63" s="40">
        <v>61</v>
      </c>
      <c r="L63" s="105">
        <v>-211.89999999999989</v>
      </c>
    </row>
    <row r="64" spans="5:12" x14ac:dyDescent="0.4">
      <c r="K64" s="40">
        <v>62</v>
      </c>
      <c r="L64" s="105">
        <v>-250.89999999999989</v>
      </c>
    </row>
    <row r="65" spans="11:12" x14ac:dyDescent="0.4">
      <c r="K65" s="40">
        <v>63</v>
      </c>
      <c r="L65" s="105">
        <v>-290.99999999999989</v>
      </c>
    </row>
    <row r="66" spans="11:12" x14ac:dyDescent="0.4">
      <c r="K66" s="40">
        <v>64</v>
      </c>
      <c r="L66" s="105">
        <v>-356.99999999999989</v>
      </c>
    </row>
    <row r="67" spans="11:12" x14ac:dyDescent="0.4">
      <c r="K67" s="40">
        <v>65</v>
      </c>
      <c r="L67" s="105">
        <v>-381.09999999999991</v>
      </c>
    </row>
    <row r="68" spans="11:12" x14ac:dyDescent="0.4">
      <c r="K68" s="40">
        <v>66</v>
      </c>
      <c r="L68" s="105">
        <v>-378.49999999999989</v>
      </c>
    </row>
    <row r="69" spans="11:12" x14ac:dyDescent="0.4">
      <c r="K69" s="40">
        <v>67</v>
      </c>
      <c r="L69" s="105">
        <v>-371.19999999999987</v>
      </c>
    </row>
    <row r="70" spans="11:12" x14ac:dyDescent="0.4">
      <c r="K70" s="40">
        <v>68</v>
      </c>
      <c r="L70" s="105">
        <v>-407.2999999999999</v>
      </c>
    </row>
    <row r="71" spans="11:12" x14ac:dyDescent="0.4">
      <c r="K71" s="40">
        <v>69</v>
      </c>
      <c r="L71" s="105">
        <v>-412.49999999999989</v>
      </c>
    </row>
    <row r="72" spans="11:12" x14ac:dyDescent="0.4">
      <c r="K72" s="40">
        <v>70</v>
      </c>
      <c r="L72" s="105">
        <v>-379.49999999999989</v>
      </c>
    </row>
    <row r="73" spans="11:12" x14ac:dyDescent="0.4">
      <c r="K73" s="40">
        <v>71</v>
      </c>
      <c r="L73" s="105">
        <v>-374.2999999999999</v>
      </c>
    </row>
    <row r="74" spans="11:12" x14ac:dyDescent="0.4">
      <c r="K74" s="40">
        <v>72</v>
      </c>
      <c r="L74" s="105">
        <v>-409.7999999999999</v>
      </c>
    </row>
    <row r="75" spans="11:12" x14ac:dyDescent="0.4">
      <c r="K75" s="40">
        <v>73</v>
      </c>
      <c r="L75" s="105">
        <v>-393.59999999999991</v>
      </c>
    </row>
    <row r="76" spans="11:12" x14ac:dyDescent="0.4">
      <c r="K76" s="40">
        <v>74</v>
      </c>
      <c r="L76" s="105">
        <v>-399.49999999999989</v>
      </c>
    </row>
    <row r="77" spans="11:12" x14ac:dyDescent="0.4">
      <c r="K77" s="40">
        <v>75</v>
      </c>
      <c r="L77" s="105">
        <v>-419.69999999999987</v>
      </c>
    </row>
    <row r="78" spans="11:12" x14ac:dyDescent="0.4">
      <c r="K78" s="40">
        <v>76</v>
      </c>
      <c r="L78" s="105">
        <v>-369.69999999999987</v>
      </c>
    </row>
    <row r="79" spans="11:12" x14ac:dyDescent="0.4">
      <c r="K79" s="40">
        <v>77</v>
      </c>
      <c r="L79" s="105">
        <v>-381.7999999999999</v>
      </c>
    </row>
    <row r="80" spans="11:12" x14ac:dyDescent="0.4">
      <c r="K80" s="40">
        <v>78</v>
      </c>
      <c r="L80" s="105">
        <v>-365.99999999999989</v>
      </c>
    </row>
    <row r="81" spans="11:12" x14ac:dyDescent="0.4">
      <c r="K81" s="40">
        <v>79</v>
      </c>
      <c r="L81" s="105">
        <v>-383.99999999999989</v>
      </c>
    </row>
    <row r="82" spans="11:12" x14ac:dyDescent="0.4">
      <c r="K82" s="40">
        <v>80</v>
      </c>
      <c r="L82" s="105">
        <v>-390.7999999999999</v>
      </c>
    </row>
    <row r="83" spans="11:12" x14ac:dyDescent="0.4">
      <c r="K83" s="40">
        <v>81</v>
      </c>
      <c r="L83" s="105">
        <v>-378.99999999999989</v>
      </c>
    </row>
    <row r="84" spans="11:12" x14ac:dyDescent="0.4">
      <c r="K84" s="40">
        <v>82</v>
      </c>
      <c r="L84" s="105">
        <v>-398.59999999999991</v>
      </c>
    </row>
    <row r="85" spans="11:12" x14ac:dyDescent="0.4">
      <c r="K85" s="40">
        <v>83</v>
      </c>
      <c r="L85" s="105">
        <v>-397.39999999999992</v>
      </c>
    </row>
    <row r="86" spans="11:12" x14ac:dyDescent="0.4">
      <c r="K86" s="40">
        <v>84</v>
      </c>
      <c r="L86" s="105">
        <v>-371.89999999999992</v>
      </c>
    </row>
    <row r="87" spans="11:12" x14ac:dyDescent="0.4">
      <c r="K87" s="40">
        <v>85</v>
      </c>
      <c r="L87" s="105">
        <v>-409.89999999999992</v>
      </c>
    </row>
    <row r="88" spans="11:12" x14ac:dyDescent="0.4">
      <c r="K88" s="40">
        <v>86</v>
      </c>
      <c r="L88" s="105">
        <v>-386.39999999999992</v>
      </c>
    </row>
    <row r="89" spans="11:12" x14ac:dyDescent="0.4">
      <c r="K89" s="40">
        <v>87</v>
      </c>
      <c r="L89" s="105">
        <v>-360.69999999999993</v>
      </c>
    </row>
    <row r="90" spans="11:12" x14ac:dyDescent="0.4">
      <c r="K90" s="40">
        <v>88</v>
      </c>
      <c r="L90" s="105">
        <v>-377.49999999999994</v>
      </c>
    </row>
    <row r="91" spans="11:12" x14ac:dyDescent="0.4">
      <c r="K91" s="40">
        <v>89</v>
      </c>
      <c r="L91" s="105">
        <v>-410.29999999999995</v>
      </c>
    </row>
    <row r="92" spans="11:12" x14ac:dyDescent="0.4">
      <c r="K92" s="40">
        <v>90</v>
      </c>
      <c r="L92" s="105">
        <v>-405.79999999999995</v>
      </c>
    </row>
    <row r="93" spans="11:12" x14ac:dyDescent="0.4">
      <c r="K93" s="40">
        <v>91</v>
      </c>
      <c r="L93" s="105">
        <v>-395.29999999999995</v>
      </c>
    </row>
    <row r="94" spans="11:12" x14ac:dyDescent="0.4">
      <c r="K94" s="40">
        <v>92</v>
      </c>
      <c r="L94" s="105">
        <v>-365.49999999999994</v>
      </c>
    </row>
    <row r="95" spans="11:12" x14ac:dyDescent="0.4">
      <c r="K95" s="40">
        <v>93</v>
      </c>
      <c r="L95" s="105">
        <v>-401.99999999999994</v>
      </c>
    </row>
    <row r="96" spans="11:12" x14ac:dyDescent="0.4">
      <c r="K96" s="40">
        <v>94</v>
      </c>
      <c r="L96" s="105">
        <v>-372.59999999999997</v>
      </c>
    </row>
    <row r="97" spans="11:12" x14ac:dyDescent="0.4">
      <c r="K97" s="40">
        <v>95</v>
      </c>
      <c r="L97" s="105">
        <v>-399.4</v>
      </c>
    </row>
    <row r="98" spans="11:12" x14ac:dyDescent="0.4">
      <c r="K98" s="40">
        <v>96</v>
      </c>
      <c r="L98" s="105">
        <v>-381</v>
      </c>
    </row>
    <row r="99" spans="11:12" x14ac:dyDescent="0.4">
      <c r="K99" s="40">
        <v>97</v>
      </c>
      <c r="L99" s="105">
        <v>-393.5</v>
      </c>
    </row>
    <row r="100" spans="11:12" x14ac:dyDescent="0.4">
      <c r="K100" s="40">
        <v>98</v>
      </c>
      <c r="L100" s="105">
        <v>-333</v>
      </c>
    </row>
    <row r="101" spans="11:12" x14ac:dyDescent="0.4">
      <c r="K101" s="40">
        <v>99</v>
      </c>
      <c r="L101" s="105">
        <v>-362.5</v>
      </c>
    </row>
    <row r="102" spans="11:12" x14ac:dyDescent="0.4">
      <c r="K102" s="40">
        <v>100</v>
      </c>
      <c r="L102" s="105">
        <v>-376.4</v>
      </c>
    </row>
    <row r="103" spans="11:12" x14ac:dyDescent="0.4">
      <c r="K103" s="40">
        <v>101</v>
      </c>
      <c r="L103" s="105">
        <v>-374.7</v>
      </c>
    </row>
    <row r="104" spans="11:12" x14ac:dyDescent="0.4">
      <c r="K104" s="40">
        <v>102</v>
      </c>
      <c r="L104" s="105">
        <v>-401.4</v>
      </c>
    </row>
    <row r="105" spans="11:12" x14ac:dyDescent="0.4">
      <c r="K105" s="40">
        <v>103</v>
      </c>
      <c r="L105" s="105">
        <v>-426.9</v>
      </c>
    </row>
    <row r="106" spans="11:12" x14ac:dyDescent="0.4">
      <c r="K106" s="40">
        <v>104</v>
      </c>
      <c r="L106" s="105">
        <v>-436.4</v>
      </c>
    </row>
    <row r="107" spans="11:12" x14ac:dyDescent="0.4">
      <c r="K107" s="40">
        <v>105</v>
      </c>
      <c r="L107" s="105">
        <v>-425.59999999999997</v>
      </c>
    </row>
    <row r="108" spans="11:12" x14ac:dyDescent="0.4">
      <c r="K108" s="40">
        <v>106</v>
      </c>
      <c r="L108" s="105">
        <v>-438.49999999999994</v>
      </c>
    </row>
    <row r="109" spans="11:12" x14ac:dyDescent="0.4">
      <c r="K109" s="40">
        <v>107</v>
      </c>
      <c r="L109" s="105">
        <v>-433.59999999999997</v>
      </c>
    </row>
    <row r="110" spans="11:12" x14ac:dyDescent="0.4">
      <c r="K110" s="40">
        <v>108</v>
      </c>
      <c r="L110" s="105">
        <v>-426.99999999999994</v>
      </c>
    </row>
    <row r="111" spans="11:12" x14ac:dyDescent="0.4">
      <c r="K111" s="40">
        <v>109</v>
      </c>
      <c r="L111" s="105">
        <v>-462.89999999999992</v>
      </c>
    </row>
    <row r="112" spans="11:12" x14ac:dyDescent="0.4">
      <c r="K112" s="40">
        <v>110</v>
      </c>
      <c r="L112" s="105">
        <v>-486.2999999999999</v>
      </c>
    </row>
    <row r="113" spans="11:12" x14ac:dyDescent="0.4">
      <c r="K113" s="40">
        <v>111</v>
      </c>
      <c r="L113" s="105">
        <v>-468.39999999999992</v>
      </c>
    </row>
    <row r="114" spans="11:12" x14ac:dyDescent="0.4">
      <c r="K114" s="40">
        <v>112</v>
      </c>
      <c r="L114" s="105">
        <v>-447.69999999999993</v>
      </c>
    </row>
    <row r="115" spans="11:12" x14ac:dyDescent="0.4">
      <c r="K115" s="40">
        <v>113</v>
      </c>
      <c r="L115" s="105">
        <v>-384.99999999999994</v>
      </c>
    </row>
    <row r="116" spans="11:12" x14ac:dyDescent="0.4">
      <c r="K116" s="40">
        <v>114</v>
      </c>
      <c r="L116" s="105">
        <v>-372.69999999999993</v>
      </c>
    </row>
    <row r="117" spans="11:12" x14ac:dyDescent="0.4">
      <c r="K117" s="40">
        <v>115</v>
      </c>
      <c r="L117" s="105">
        <v>-388.19999999999993</v>
      </c>
    </row>
    <row r="118" spans="11:12" x14ac:dyDescent="0.4">
      <c r="K118" s="40">
        <v>116</v>
      </c>
      <c r="L118" s="105">
        <v>-383.99999999999994</v>
      </c>
    </row>
    <row r="119" spans="11:12" x14ac:dyDescent="0.4">
      <c r="K119" s="40">
        <v>117</v>
      </c>
      <c r="L119" s="105">
        <v>-374.39999999999992</v>
      </c>
    </row>
    <row r="120" spans="11:12" x14ac:dyDescent="0.4">
      <c r="K120" s="40">
        <v>118</v>
      </c>
      <c r="L120" s="105">
        <v>-374.2999999999999</v>
      </c>
    </row>
    <row r="121" spans="11:12" x14ac:dyDescent="0.4">
      <c r="K121" s="40">
        <v>119</v>
      </c>
      <c r="L121" s="105">
        <v>-394.7999999999999</v>
      </c>
    </row>
    <row r="122" spans="11:12" x14ac:dyDescent="0.4">
      <c r="K122" s="40">
        <v>120</v>
      </c>
      <c r="L122" s="105">
        <v>-433.89999999999992</v>
      </c>
    </row>
    <row r="123" spans="11:12" x14ac:dyDescent="0.4">
      <c r="K123" s="40">
        <v>121</v>
      </c>
      <c r="L123" s="105">
        <v>-396.99999999999994</v>
      </c>
    </row>
    <row r="124" spans="11:12" x14ac:dyDescent="0.4">
      <c r="K124" s="40">
        <v>122</v>
      </c>
      <c r="L124" s="105">
        <v>-408.49999999999994</v>
      </c>
    </row>
    <row r="125" spans="11:12" x14ac:dyDescent="0.4">
      <c r="K125" s="40">
        <v>123</v>
      </c>
      <c r="L125" s="105">
        <v>-451.69999999999993</v>
      </c>
    </row>
    <row r="126" spans="11:12" x14ac:dyDescent="0.4">
      <c r="K126" s="40">
        <v>124</v>
      </c>
      <c r="L126" s="105">
        <v>-442.69999999999993</v>
      </c>
    </row>
    <row r="127" spans="11:12" x14ac:dyDescent="0.4">
      <c r="K127" s="40">
        <v>125</v>
      </c>
      <c r="L127" s="105">
        <v>-444.69999999999993</v>
      </c>
    </row>
    <row r="128" spans="11:12" x14ac:dyDescent="0.4">
      <c r="K128" s="40">
        <v>126</v>
      </c>
      <c r="L128" s="105">
        <v>-411.39999999999992</v>
      </c>
    </row>
    <row r="129" spans="11:12" x14ac:dyDescent="0.4">
      <c r="K129" s="40">
        <v>127</v>
      </c>
      <c r="L129" s="105">
        <v>-410.89999999999992</v>
      </c>
    </row>
    <row r="130" spans="11:12" x14ac:dyDescent="0.4">
      <c r="K130" s="40">
        <v>128</v>
      </c>
      <c r="L130" s="105">
        <v>-416.19999999999993</v>
      </c>
    </row>
    <row r="131" spans="11:12" x14ac:dyDescent="0.4">
      <c r="K131" s="40">
        <v>129</v>
      </c>
      <c r="L131" s="105">
        <v>-423.99999999999994</v>
      </c>
    </row>
    <row r="132" spans="11:12" x14ac:dyDescent="0.4">
      <c r="K132" s="40">
        <v>130</v>
      </c>
      <c r="L132" s="105">
        <v>-426.59999999999997</v>
      </c>
    </row>
    <row r="133" spans="11:12" x14ac:dyDescent="0.4">
      <c r="K133" s="40">
        <v>131</v>
      </c>
      <c r="L133" s="105">
        <v>-441.09999999999997</v>
      </c>
    </row>
    <row r="134" spans="11:12" x14ac:dyDescent="0.4">
      <c r="K134" s="40">
        <v>132</v>
      </c>
      <c r="L134" s="105">
        <v>-449.7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45830-C844-4225-8E28-CBA41B9D4F56}">
  <sheetPr codeName="Sheet15"/>
  <dimension ref="A1:Q6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135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61</v>
      </c>
      <c r="C2" s="145"/>
      <c r="E2" s="64" t="s">
        <v>71</v>
      </c>
      <c r="F2" s="61" t="s">
        <v>25</v>
      </c>
      <c r="G2" s="48">
        <v>60</v>
      </c>
      <c r="H2" s="137">
        <f>IF(B$27=0,0,G2/B$27)</f>
        <v>0.90909090909090906</v>
      </c>
      <c r="I2" s="99">
        <v>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-408.19672131147541</v>
      </c>
      <c r="P2" s="124">
        <v>61</v>
      </c>
      <c r="Q2" s="108">
        <v>-24900</v>
      </c>
    </row>
    <row r="3" spans="1:17" x14ac:dyDescent="0.4">
      <c r="A3" s="57" t="s">
        <v>8</v>
      </c>
      <c r="B3" s="146">
        <v>441</v>
      </c>
      <c r="C3" s="147"/>
      <c r="E3" s="65" t="s">
        <v>69</v>
      </c>
      <c r="F3" s="62" t="s">
        <v>23</v>
      </c>
      <c r="G3" s="49">
        <v>57</v>
      </c>
      <c r="H3" s="138">
        <f>IF(B$27=0,0,G3/B$27)</f>
        <v>0.86363636363636365</v>
      </c>
      <c r="I3" s="100">
        <v>2</v>
      </c>
      <c r="K3" s="40">
        <v>1</v>
      </c>
      <c r="L3" s="105">
        <v>-39.9</v>
      </c>
      <c r="N3" s="121" t="s">
        <v>148</v>
      </c>
      <c r="O3" s="128">
        <f t="shared" si="0"/>
        <v>2170.6896551724139</v>
      </c>
      <c r="P3" s="125">
        <v>58</v>
      </c>
      <c r="Q3" s="109">
        <v>125900</v>
      </c>
    </row>
    <row r="4" spans="1:17" x14ac:dyDescent="0.4">
      <c r="A4" s="57" t="s">
        <v>6</v>
      </c>
      <c r="B4" s="148">
        <v>256.20000000000005</v>
      </c>
      <c r="C4" s="149"/>
      <c r="E4" s="65" t="s">
        <v>76</v>
      </c>
      <c r="F4" s="62" t="s">
        <v>29</v>
      </c>
      <c r="G4" s="49">
        <v>43</v>
      </c>
      <c r="H4" s="138">
        <f>IF(B$27=0,0,G4/B$27)</f>
        <v>0.65151515151515149</v>
      </c>
      <c r="I4" s="100">
        <v>4</v>
      </c>
      <c r="K4" s="40">
        <v>2</v>
      </c>
      <c r="L4" s="105">
        <v>-13.2</v>
      </c>
      <c r="N4" s="121" t="s">
        <v>149</v>
      </c>
      <c r="O4" s="128">
        <f t="shared" si="0"/>
        <v>-1817.8571428571429</v>
      </c>
      <c r="P4" s="125">
        <v>56</v>
      </c>
      <c r="Q4" s="109">
        <v>-101800</v>
      </c>
    </row>
    <row r="5" spans="1:17" x14ac:dyDescent="0.4">
      <c r="A5" s="57" t="s">
        <v>7</v>
      </c>
      <c r="B5" s="150">
        <f>IF(B$2=0,0,B$4/B$2)</f>
        <v>4.2000000000000011</v>
      </c>
      <c r="C5" s="151"/>
      <c r="E5" s="65" t="s">
        <v>67</v>
      </c>
      <c r="F5" s="62" t="s">
        <v>21</v>
      </c>
      <c r="G5" s="49">
        <v>28</v>
      </c>
      <c r="H5" s="138">
        <f>IF(B$27=0,0,G5/B$27)</f>
        <v>0.42424242424242425</v>
      </c>
      <c r="I5" s="100">
        <v>11</v>
      </c>
      <c r="K5" s="40">
        <v>3</v>
      </c>
      <c r="L5" s="105">
        <v>-57.7</v>
      </c>
      <c r="N5" s="121" t="s">
        <v>150</v>
      </c>
      <c r="O5" s="128">
        <f t="shared" si="0"/>
        <v>-312.7659574468085</v>
      </c>
      <c r="P5" s="125">
        <v>47</v>
      </c>
      <c r="Q5" s="109">
        <v>-14700</v>
      </c>
    </row>
    <row r="6" spans="1:17" x14ac:dyDescent="0.4">
      <c r="A6" s="57" t="s">
        <v>1</v>
      </c>
      <c r="B6" s="156">
        <f>IF(B$2=0,0,(B$7*1+B$8*2+B$9*3)/B$2)</f>
        <v>1.9180327868852458</v>
      </c>
      <c r="C6" s="157"/>
      <c r="E6" s="65" t="s">
        <v>72</v>
      </c>
      <c r="F6" s="62" t="s">
        <v>12</v>
      </c>
      <c r="G6" s="49">
        <v>19</v>
      </c>
      <c r="H6" s="138">
        <f>IF(B$27=0,0,G6/B$27)</f>
        <v>0.2878787878787879</v>
      </c>
      <c r="I6" s="100">
        <v>8</v>
      </c>
      <c r="K6" s="40">
        <v>4</v>
      </c>
      <c r="L6" s="105">
        <v>-53.7</v>
      </c>
      <c r="N6" s="121" t="s">
        <v>151</v>
      </c>
      <c r="O6" s="128">
        <f t="shared" si="0"/>
        <v>7068.292682926829</v>
      </c>
      <c r="P6" s="125">
        <v>41</v>
      </c>
      <c r="Q6" s="109">
        <v>289800</v>
      </c>
    </row>
    <row r="7" spans="1:17" x14ac:dyDescent="0.4">
      <c r="A7" s="57" t="s">
        <v>2</v>
      </c>
      <c r="B7" s="49">
        <v>21</v>
      </c>
      <c r="C7" s="41">
        <f>IF(B$2=0,0,B7/B$2)</f>
        <v>0.34426229508196721</v>
      </c>
      <c r="E7" s="65" t="s">
        <v>70</v>
      </c>
      <c r="F7" s="62" t="s">
        <v>24</v>
      </c>
      <c r="G7" s="49">
        <v>17</v>
      </c>
      <c r="H7" s="138">
        <f>IF(B$27=0,0,G7/B$27)</f>
        <v>0.25757575757575757</v>
      </c>
      <c r="I7" s="100">
        <v>9</v>
      </c>
      <c r="K7" s="40">
        <v>5</v>
      </c>
      <c r="L7" s="105">
        <v>-45.7</v>
      </c>
      <c r="N7" s="122" t="s">
        <v>152</v>
      </c>
      <c r="O7" s="129">
        <f t="shared" si="0"/>
        <v>-541.37931034482756</v>
      </c>
      <c r="P7" s="126">
        <v>29</v>
      </c>
      <c r="Q7" s="110">
        <v>-15700</v>
      </c>
    </row>
    <row r="8" spans="1:17" x14ac:dyDescent="0.4">
      <c r="A8" s="57" t="s">
        <v>3</v>
      </c>
      <c r="B8" s="49">
        <v>24</v>
      </c>
      <c r="C8" s="41">
        <f>IF(B$2=0,0,B8/B$2)</f>
        <v>0.39344262295081966</v>
      </c>
      <c r="E8" s="65" t="s">
        <v>88</v>
      </c>
      <c r="F8" s="62" t="s">
        <v>41</v>
      </c>
      <c r="G8" s="49">
        <v>7</v>
      </c>
      <c r="H8" s="138">
        <f>IF(B$27=0,0,G8/B$27)</f>
        <v>0.10606060606060606</v>
      </c>
      <c r="I8" s="100">
        <v>4</v>
      </c>
      <c r="K8" s="40">
        <v>6</v>
      </c>
      <c r="L8" s="105">
        <v>-50.6</v>
      </c>
      <c r="N8" s="45"/>
      <c r="O8" s="133"/>
      <c r="P8" s="117"/>
      <c r="Q8" s="115"/>
    </row>
    <row r="9" spans="1:17" x14ac:dyDescent="0.4">
      <c r="A9" s="58" t="s">
        <v>4</v>
      </c>
      <c r="B9" s="50">
        <v>16</v>
      </c>
      <c r="C9" s="42">
        <f t="shared" ref="C9" si="1">IF(B$2=0,0,B9/B$2)</f>
        <v>0.26229508196721313</v>
      </c>
      <c r="E9" s="65" t="s">
        <v>73</v>
      </c>
      <c r="F9" s="62" t="s">
        <v>26</v>
      </c>
      <c r="G9" s="49">
        <v>6</v>
      </c>
      <c r="H9" s="138">
        <f>IF(B$27=0,0,G9/B$27)</f>
        <v>9.0909090909090912E-2</v>
      </c>
      <c r="I9" s="100">
        <v>11</v>
      </c>
      <c r="K9" s="40">
        <v>7</v>
      </c>
      <c r="L9" s="105">
        <v>-47.6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7</v>
      </c>
      <c r="C10" s="42">
        <f>IF(B$2=0,0,B10/B$2)</f>
        <v>0.11475409836065574</v>
      </c>
      <c r="E10" s="65" t="s">
        <v>94</v>
      </c>
      <c r="F10" s="62" t="s">
        <v>47</v>
      </c>
      <c r="G10" s="49">
        <v>6</v>
      </c>
      <c r="H10" s="138">
        <f>IF(B$27=0,0,G10/B$27)</f>
        <v>9.0909090909090912E-2</v>
      </c>
      <c r="I10" s="100">
        <v>11</v>
      </c>
      <c r="K10" s="40">
        <v>8</v>
      </c>
      <c r="L10" s="105">
        <v>-59.1</v>
      </c>
      <c r="N10" s="120" t="s">
        <v>253</v>
      </c>
      <c r="O10" s="130">
        <f>IF(P10=0,0,Q10/P10)</f>
        <v>3.1666666666666665</v>
      </c>
      <c r="P10" s="124">
        <v>18</v>
      </c>
      <c r="Q10" s="112">
        <v>57</v>
      </c>
    </row>
    <row r="11" spans="1:17" x14ac:dyDescent="0.4">
      <c r="A11" s="58" t="s">
        <v>155</v>
      </c>
      <c r="B11" s="50">
        <v>11</v>
      </c>
      <c r="C11" s="42">
        <f>IF(B$2=0,0,B11/B$2)</f>
        <v>0.18032786885245902</v>
      </c>
      <c r="E11" s="65" t="s">
        <v>68</v>
      </c>
      <c r="F11" s="62" t="s">
        <v>22</v>
      </c>
      <c r="G11" s="49">
        <v>5</v>
      </c>
      <c r="H11" s="138">
        <f>IF(B$27=0,0,G11/B$27)</f>
        <v>7.575757575757576E-2</v>
      </c>
      <c r="I11" s="100">
        <v>11</v>
      </c>
      <c r="K11" s="40">
        <v>9</v>
      </c>
      <c r="L11" s="105">
        <v>-77.900000000000006</v>
      </c>
      <c r="N11" s="121" t="s">
        <v>254</v>
      </c>
      <c r="O11" s="131">
        <f>IF(P11=0,0,Q11/P11)</f>
        <v>5.854838709677419</v>
      </c>
      <c r="P11" s="125">
        <v>31</v>
      </c>
      <c r="Q11" s="113">
        <v>181.5</v>
      </c>
    </row>
    <row r="12" spans="1:17" x14ac:dyDescent="0.4">
      <c r="A12" s="59" t="s">
        <v>239</v>
      </c>
      <c r="B12" s="51">
        <v>3</v>
      </c>
      <c r="C12" s="44">
        <f>IF(B$2=0,0,B12/B$2)</f>
        <v>4.9180327868852458E-2</v>
      </c>
      <c r="E12" s="65" t="s">
        <v>74</v>
      </c>
      <c r="F12" s="62" t="s">
        <v>27</v>
      </c>
      <c r="G12" s="49">
        <v>4</v>
      </c>
      <c r="H12" s="138">
        <f>IF(B$27=0,0,G12/B$27)</f>
        <v>6.0606060606060608E-2</v>
      </c>
      <c r="I12" s="100">
        <v>11</v>
      </c>
      <c r="K12" s="40">
        <v>10</v>
      </c>
      <c r="L12" s="105">
        <v>-78.900000000000006</v>
      </c>
      <c r="N12" s="122" t="s">
        <v>255</v>
      </c>
      <c r="O12" s="132">
        <f>IF(P12=0,0,Q12/P12)</f>
        <v>1.4749999999999996</v>
      </c>
      <c r="P12" s="126">
        <v>12</v>
      </c>
      <c r="Q12" s="114">
        <v>17.699999999999996</v>
      </c>
    </row>
    <row r="13" spans="1:17" x14ac:dyDescent="0.4">
      <c r="A13" s="60" t="s">
        <v>128</v>
      </c>
      <c r="B13" s="52">
        <v>48</v>
      </c>
      <c r="C13" s="46">
        <f>IF(B$26=0,0,B13/B$26)</f>
        <v>0.23645320197044334</v>
      </c>
      <c r="E13" s="65" t="s">
        <v>86</v>
      </c>
      <c r="F13" s="62" t="s">
        <v>39</v>
      </c>
      <c r="G13" s="49">
        <v>4</v>
      </c>
      <c r="H13" s="138">
        <f>IF(B$27=0,0,G13/B$27)</f>
        <v>6.0606060606060608E-2</v>
      </c>
      <c r="I13" s="100">
        <v>2</v>
      </c>
      <c r="K13" s="40">
        <v>11</v>
      </c>
      <c r="L13" s="105">
        <v>-88.9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64</v>
      </c>
      <c r="C14" s="41">
        <f>IF(B$26=0,0,B14/B$26)</f>
        <v>0.31527093596059114</v>
      </c>
      <c r="E14" s="65" t="s">
        <v>91</v>
      </c>
      <c r="F14" s="62" t="s">
        <v>44</v>
      </c>
      <c r="G14" s="49">
        <v>3</v>
      </c>
      <c r="H14" s="138">
        <f>IF(B$27=0,0,G14/B$27)</f>
        <v>4.5454545454545456E-2</v>
      </c>
      <c r="I14" s="100">
        <v>10</v>
      </c>
      <c r="K14" s="40">
        <v>12</v>
      </c>
      <c r="L14" s="105">
        <v>-23.5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28</v>
      </c>
      <c r="C15" s="39">
        <f>IF(B$13=0,0,B15/B$13)</f>
        <v>0.58333333333333337</v>
      </c>
      <c r="E15" s="65" t="s">
        <v>75</v>
      </c>
      <c r="F15" s="62" t="s">
        <v>28</v>
      </c>
      <c r="G15" s="49">
        <v>1</v>
      </c>
      <c r="H15" s="138">
        <f>IF(B$27=0,0,G15/B$27)</f>
        <v>1.5151515151515152E-2</v>
      </c>
      <c r="I15" s="100">
        <v>11</v>
      </c>
      <c r="K15" s="40">
        <v>13</v>
      </c>
      <c r="L15" s="105">
        <v>-12.4</v>
      </c>
      <c r="N15" s="120" t="s">
        <v>138</v>
      </c>
      <c r="O15" s="130">
        <f>IF(P15=0,0,Q15/P15)</f>
        <v>34</v>
      </c>
      <c r="P15" s="124">
        <v>1</v>
      </c>
      <c r="Q15" s="112">
        <v>34</v>
      </c>
    </row>
    <row r="16" spans="1:17" x14ac:dyDescent="0.4">
      <c r="A16" s="56" t="s">
        <v>131</v>
      </c>
      <c r="B16" s="48">
        <v>26</v>
      </c>
      <c r="C16" s="39">
        <f>IF(B$14=0,0,B16/B$14)</f>
        <v>0.40625</v>
      </c>
      <c r="E16" s="65" t="s">
        <v>82</v>
      </c>
      <c r="F16" s="62" t="s">
        <v>35</v>
      </c>
      <c r="G16" s="49">
        <v>1</v>
      </c>
      <c r="H16" s="138">
        <f>IF(B$27=0,0,G16/B$27)</f>
        <v>1.5151515151515152E-2</v>
      </c>
      <c r="I16" s="100">
        <v>8</v>
      </c>
      <c r="K16" s="40">
        <v>14</v>
      </c>
      <c r="L16" s="105">
        <v>38.6</v>
      </c>
      <c r="N16" s="121" t="s">
        <v>166</v>
      </c>
      <c r="O16" s="131">
        <f>IF(P16=0,0,Q16/P16)</f>
        <v>26.766666666666666</v>
      </c>
      <c r="P16" s="125">
        <v>3</v>
      </c>
      <c r="Q16" s="113">
        <v>80.3</v>
      </c>
    </row>
    <row r="17" spans="1:17" x14ac:dyDescent="0.4">
      <c r="A17" s="56" t="s">
        <v>10</v>
      </c>
      <c r="B17" s="48">
        <f>B19+B18</f>
        <v>153</v>
      </c>
      <c r="C17" s="39">
        <f>IF(B$3=0,0,B17/B$3)</f>
        <v>0.34693877551020408</v>
      </c>
      <c r="E17" s="65" t="s">
        <v>96</v>
      </c>
      <c r="F17" s="62" t="s">
        <v>49</v>
      </c>
      <c r="G17" s="49">
        <v>1</v>
      </c>
      <c r="H17" s="138">
        <f>IF(B$27=0,0,G17/B$27)</f>
        <v>1.5151515151515152E-2</v>
      </c>
      <c r="I17" s="100">
        <v>9</v>
      </c>
      <c r="K17" s="40">
        <v>15</v>
      </c>
      <c r="L17" s="105">
        <v>55.8</v>
      </c>
      <c r="N17" s="121" t="s">
        <v>157</v>
      </c>
      <c r="O17" s="131">
        <f>IF(P17=0,0,Q17/P17)</f>
        <v>24.85</v>
      </c>
      <c r="P17" s="125">
        <v>2</v>
      </c>
      <c r="Q17" s="113">
        <v>49.7</v>
      </c>
    </row>
    <row r="18" spans="1:17" x14ac:dyDescent="0.4">
      <c r="A18" s="57" t="s">
        <v>12</v>
      </c>
      <c r="B18" s="49">
        <v>68</v>
      </c>
      <c r="C18" s="41">
        <f>IF(B$17=0,0,B18/B$17)</f>
        <v>0.44444444444444442</v>
      </c>
      <c r="E18" s="65" t="s">
        <v>98</v>
      </c>
      <c r="F18" s="62" t="s">
        <v>51</v>
      </c>
      <c r="G18" s="49">
        <v>1</v>
      </c>
      <c r="H18" s="138">
        <f>IF(B$27=0,0,G18/B$27)</f>
        <v>1.5151515151515152E-2</v>
      </c>
      <c r="I18" s="100">
        <v>1</v>
      </c>
      <c r="K18" s="40">
        <v>16</v>
      </c>
      <c r="L18" s="105">
        <v>40.299999999999997</v>
      </c>
      <c r="N18" s="121" t="s">
        <v>171</v>
      </c>
      <c r="O18" s="131">
        <f>IF(P18=0,0,Q18/P18)</f>
        <v>21.200000000000003</v>
      </c>
      <c r="P18" s="125">
        <v>3</v>
      </c>
      <c r="Q18" s="113">
        <v>63.600000000000009</v>
      </c>
    </row>
    <row r="19" spans="1:17" x14ac:dyDescent="0.4">
      <c r="A19" s="57" t="s">
        <v>11</v>
      </c>
      <c r="B19" s="49">
        <v>85</v>
      </c>
      <c r="C19" s="41">
        <f>IF(B$17=0,0,B19/B$17)</f>
        <v>0.55555555555555558</v>
      </c>
      <c r="E19" s="65" t="s">
        <v>77</v>
      </c>
      <c r="F19" s="62" t="s">
        <v>30</v>
      </c>
      <c r="G19" s="49">
        <v>0</v>
      </c>
      <c r="H19" s="138">
        <f>IF(B$27=0,0,G19/B$27)</f>
        <v>0</v>
      </c>
      <c r="I19" s="100">
        <v>7</v>
      </c>
      <c r="K19" s="40">
        <v>17</v>
      </c>
      <c r="L19" s="105">
        <v>15.799999999999997</v>
      </c>
      <c r="N19" s="121" t="s">
        <v>134</v>
      </c>
      <c r="O19" s="131">
        <f>IF(P19=0,0,Q19/P19)</f>
        <v>15.51666666666666</v>
      </c>
      <c r="P19" s="125">
        <v>36</v>
      </c>
      <c r="Q19" s="113">
        <v>558.5999999999998</v>
      </c>
    </row>
    <row r="20" spans="1:17" x14ac:dyDescent="0.4">
      <c r="A20" s="57" t="s">
        <v>13</v>
      </c>
      <c r="B20" s="49">
        <v>69</v>
      </c>
      <c r="C20" s="41">
        <f>IF(B$3=0,0,B20/B$3)</f>
        <v>0.15646258503401361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-25.700000000000003</v>
      </c>
      <c r="N20" s="121" t="s">
        <v>137</v>
      </c>
      <c r="O20" s="131">
        <f>IF(P20=0,0,Q20/P20)</f>
        <v>14.371428571428575</v>
      </c>
      <c r="P20" s="125">
        <v>7</v>
      </c>
      <c r="Q20" s="113">
        <v>100.60000000000002</v>
      </c>
    </row>
    <row r="21" spans="1:17" x14ac:dyDescent="0.4">
      <c r="A21" s="57" t="s">
        <v>5</v>
      </c>
      <c r="B21" s="53">
        <f>IF(B$17=0,0,C21/B$17)</f>
        <v>9726.1437908496737</v>
      </c>
      <c r="C21" s="43">
        <v>1488100</v>
      </c>
      <c r="E21" s="65" t="s">
        <v>79</v>
      </c>
      <c r="F21" s="62" t="s">
        <v>32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-17.700000000000003</v>
      </c>
      <c r="N21" s="121" t="s">
        <v>136</v>
      </c>
      <c r="O21" s="131">
        <f>IF(P21=0,0,Q21/P21)</f>
        <v>13.249999999999998</v>
      </c>
      <c r="P21" s="125">
        <v>2</v>
      </c>
      <c r="Q21" s="113">
        <v>26.499999999999996</v>
      </c>
    </row>
    <row r="22" spans="1:17" x14ac:dyDescent="0.4">
      <c r="A22" s="59" t="s">
        <v>14</v>
      </c>
      <c r="B22" s="54">
        <f>IF(B$20=0,0,C22/B$20)</f>
        <v>-8992.753623188406</v>
      </c>
      <c r="C22" s="47">
        <v>-620500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7.4999999999999964</v>
      </c>
      <c r="N22" s="121" t="s">
        <v>250</v>
      </c>
      <c r="O22" s="131">
        <f>IF(P22=0,0,Q22/P22)</f>
        <v>9.65</v>
      </c>
      <c r="P22" s="125">
        <v>2</v>
      </c>
      <c r="Q22" s="113">
        <v>19.3</v>
      </c>
    </row>
    <row r="23" spans="1:17" x14ac:dyDescent="0.4">
      <c r="A23" s="96" t="s">
        <v>158</v>
      </c>
      <c r="B23" s="154">
        <v>7</v>
      </c>
      <c r="C23" s="155"/>
      <c r="E23" s="65" t="s">
        <v>81</v>
      </c>
      <c r="F23" s="62" t="s">
        <v>34</v>
      </c>
      <c r="G23" s="49">
        <v>0</v>
      </c>
      <c r="H23" s="138">
        <f>IF(B$27=0,0,G23/B$27)</f>
        <v>0</v>
      </c>
      <c r="I23" s="100">
        <v>7</v>
      </c>
      <c r="K23" s="40">
        <v>21</v>
      </c>
      <c r="L23" s="105">
        <v>69.8</v>
      </c>
      <c r="N23" s="121" t="s">
        <v>133</v>
      </c>
      <c r="O23" s="131">
        <f>IF(P23=0,0,Q23/P23)</f>
        <v>-0.85769230769230742</v>
      </c>
      <c r="P23" s="125">
        <v>52</v>
      </c>
      <c r="Q23" s="113">
        <v>-44.599999999999987</v>
      </c>
    </row>
    <row r="24" spans="1:17" x14ac:dyDescent="0.4">
      <c r="A24" s="60" t="s">
        <v>199</v>
      </c>
      <c r="B24" s="152">
        <v>118000</v>
      </c>
      <c r="C24" s="153"/>
      <c r="E24" s="65" t="s">
        <v>83</v>
      </c>
      <c r="F24" s="62" t="s">
        <v>36</v>
      </c>
      <c r="G24" s="49">
        <v>0</v>
      </c>
      <c r="H24" s="138">
        <f>IF(B$27=0,0,G24/B$27)</f>
        <v>0</v>
      </c>
      <c r="I24" s="100">
        <v>11</v>
      </c>
      <c r="K24" s="40">
        <v>22</v>
      </c>
      <c r="L24" s="105">
        <v>78.399999999999991</v>
      </c>
      <c r="N24" s="121" t="s">
        <v>194</v>
      </c>
      <c r="O24" s="131">
        <f>IF(P24=0,0,Q24/P24)</f>
        <v>-4.9000000000000004</v>
      </c>
      <c r="P24" s="125">
        <v>2</v>
      </c>
      <c r="Q24" s="113">
        <v>-9.8000000000000007</v>
      </c>
    </row>
    <row r="25" spans="1:17" x14ac:dyDescent="0.4">
      <c r="A25" s="59" t="s">
        <v>159</v>
      </c>
      <c r="B25" s="67">
        <v>1</v>
      </c>
      <c r="C25" s="44">
        <f>IF(B$3=0,0,B25/B$3)</f>
        <v>2.2675736961451248E-3</v>
      </c>
      <c r="E25" s="65" t="s">
        <v>84</v>
      </c>
      <c r="F25" s="62" t="s">
        <v>37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93.199999999999989</v>
      </c>
      <c r="N25" s="121" t="s">
        <v>139</v>
      </c>
      <c r="O25" s="131">
        <f>IF(P25=0,0,Q25/P25)</f>
        <v>-8.8833333333333329</v>
      </c>
      <c r="P25" s="125">
        <v>12</v>
      </c>
      <c r="Q25" s="113">
        <v>-106.6</v>
      </c>
    </row>
    <row r="26" spans="1:17" x14ac:dyDescent="0.4">
      <c r="A26" s="56" t="s">
        <v>126</v>
      </c>
      <c r="B26" s="144">
        <v>203</v>
      </c>
      <c r="C26" s="145"/>
      <c r="E26" s="65" t="s">
        <v>85</v>
      </c>
      <c r="F26" s="62" t="s">
        <v>38</v>
      </c>
      <c r="G26" s="49">
        <v>0</v>
      </c>
      <c r="H26" s="138">
        <f>IF(B$27=0,0,G26/B$27)</f>
        <v>0</v>
      </c>
      <c r="I26" s="100">
        <v>3</v>
      </c>
      <c r="K26" s="40">
        <v>24</v>
      </c>
      <c r="L26" s="105">
        <v>49.29999999999999</v>
      </c>
    </row>
    <row r="27" spans="1:17" x14ac:dyDescent="0.4">
      <c r="A27" s="59" t="s">
        <v>127</v>
      </c>
      <c r="B27" s="158">
        <v>66</v>
      </c>
      <c r="C27" s="159"/>
      <c r="E27" s="65" t="s">
        <v>87</v>
      </c>
      <c r="F27" s="62" t="s">
        <v>40</v>
      </c>
      <c r="G27" s="49">
        <v>0</v>
      </c>
      <c r="H27" s="138">
        <f>IF(B$27=0,0,G27/B$27)</f>
        <v>0</v>
      </c>
      <c r="I27" s="100">
        <v>1</v>
      </c>
      <c r="K27" s="40">
        <v>25</v>
      </c>
      <c r="L27" s="105">
        <v>58.79999999999999</v>
      </c>
    </row>
    <row r="28" spans="1:17" x14ac:dyDescent="0.4">
      <c r="E28" s="65" t="s">
        <v>89</v>
      </c>
      <c r="F28" s="62" t="s">
        <v>42</v>
      </c>
      <c r="G28" s="49">
        <v>0</v>
      </c>
      <c r="H28" s="138">
        <f>IF(B$27=0,0,G28/B$27)</f>
        <v>0</v>
      </c>
      <c r="I28" s="100">
        <v>5</v>
      </c>
      <c r="K28" s="40">
        <v>26</v>
      </c>
      <c r="L28" s="105">
        <v>141.79999999999998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162.79999999999998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174.7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205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198.5</v>
      </c>
    </row>
    <row r="33" spans="5:12" x14ac:dyDescent="0.4">
      <c r="E33" s="65" t="s">
        <v>97</v>
      </c>
      <c r="F33" s="62" t="s">
        <v>50</v>
      </c>
      <c r="G33" s="49">
        <v>0</v>
      </c>
      <c r="H33" s="138">
        <f>IF(B$27=0,0,G33/B$27)</f>
        <v>0</v>
      </c>
      <c r="I33" s="100">
        <v>7</v>
      </c>
      <c r="K33" s="40">
        <v>31</v>
      </c>
      <c r="L33" s="105">
        <v>186.9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204.4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245.4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234.9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188.9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236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250.8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232.60000000000002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233.00000000000003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236.10000000000002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234.10000000000002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255.3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288.10000000000002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279.3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248.10000000000002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212.60000000000002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191.90000000000003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213.70000000000005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210.90000000000003</v>
      </c>
    </row>
    <row r="52" spans="5:12" x14ac:dyDescent="0.4">
      <c r="K52" s="40">
        <v>50</v>
      </c>
      <c r="L52" s="105">
        <v>210.90000000000003</v>
      </c>
    </row>
    <row r="53" spans="5:12" x14ac:dyDescent="0.4">
      <c r="K53" s="40">
        <v>51</v>
      </c>
      <c r="L53" s="105">
        <v>289.60000000000002</v>
      </c>
    </row>
    <row r="54" spans="5:12" x14ac:dyDescent="0.4">
      <c r="K54" s="40">
        <v>52</v>
      </c>
      <c r="L54" s="105">
        <v>316.10000000000002</v>
      </c>
    </row>
    <row r="55" spans="5:12" x14ac:dyDescent="0.4">
      <c r="K55" s="40">
        <v>53</v>
      </c>
      <c r="L55" s="105">
        <v>265.60000000000002</v>
      </c>
    </row>
    <row r="56" spans="5:12" x14ac:dyDescent="0.4">
      <c r="K56" s="40">
        <v>54</v>
      </c>
      <c r="L56" s="105">
        <v>250.50000000000003</v>
      </c>
    </row>
    <row r="57" spans="5:12" x14ac:dyDescent="0.4">
      <c r="K57" s="40">
        <v>55</v>
      </c>
      <c r="L57" s="105">
        <v>266.40000000000003</v>
      </c>
    </row>
    <row r="58" spans="5:12" x14ac:dyDescent="0.4">
      <c r="K58" s="40">
        <v>56</v>
      </c>
      <c r="L58" s="105">
        <v>270.8</v>
      </c>
    </row>
    <row r="59" spans="5:12" x14ac:dyDescent="0.4">
      <c r="K59" s="40">
        <v>57</v>
      </c>
      <c r="L59" s="105">
        <v>257.3</v>
      </c>
    </row>
    <row r="60" spans="5:12" x14ac:dyDescent="0.4">
      <c r="K60" s="40">
        <v>58</v>
      </c>
      <c r="L60" s="105">
        <v>290.3</v>
      </c>
    </row>
    <row r="61" spans="5:12" x14ac:dyDescent="0.4">
      <c r="K61" s="40">
        <v>59</v>
      </c>
      <c r="L61" s="105">
        <v>280.3</v>
      </c>
    </row>
    <row r="62" spans="5:12" x14ac:dyDescent="0.4">
      <c r="K62" s="40">
        <v>60</v>
      </c>
      <c r="L62" s="105">
        <v>269.60000000000002</v>
      </c>
    </row>
    <row r="63" spans="5:12" x14ac:dyDescent="0.4">
      <c r="K63" s="40">
        <v>61</v>
      </c>
      <c r="L63" s="105">
        <v>256.20000000000005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9956B-318B-4D6A-B96A-47BE777A18D8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171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5</v>
      </c>
      <c r="C2" s="145"/>
      <c r="E2" s="64" t="s">
        <v>67</v>
      </c>
      <c r="F2" s="61" t="s">
        <v>21</v>
      </c>
      <c r="G2" s="48">
        <v>6</v>
      </c>
      <c r="H2" s="137">
        <f>IF(B$27=0,0,G2/B$27)</f>
        <v>0.66666666666666663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-2740</v>
      </c>
      <c r="P2" s="124">
        <v>5</v>
      </c>
      <c r="Q2" s="108">
        <v>-13700</v>
      </c>
    </row>
    <row r="3" spans="1:17" x14ac:dyDescent="0.4">
      <c r="A3" s="57" t="s">
        <v>8</v>
      </c>
      <c r="B3" s="146">
        <v>37</v>
      </c>
      <c r="C3" s="147"/>
      <c r="E3" s="65" t="s">
        <v>71</v>
      </c>
      <c r="F3" s="62" t="s">
        <v>25</v>
      </c>
      <c r="G3" s="49">
        <v>6</v>
      </c>
      <c r="H3" s="138">
        <f>IF(B$27=0,0,G3/B$27)</f>
        <v>0.66666666666666663</v>
      </c>
      <c r="I3" s="100">
        <v>11</v>
      </c>
      <c r="K3" s="40">
        <v>1</v>
      </c>
      <c r="L3" s="105">
        <v>-40.700000000000003</v>
      </c>
      <c r="N3" s="121" t="s">
        <v>148</v>
      </c>
      <c r="O3" s="128">
        <f t="shared" si="0"/>
        <v>1500</v>
      </c>
      <c r="P3" s="125">
        <v>5</v>
      </c>
      <c r="Q3" s="109">
        <v>7500</v>
      </c>
    </row>
    <row r="4" spans="1:17" x14ac:dyDescent="0.4">
      <c r="A4" s="57" t="s">
        <v>6</v>
      </c>
      <c r="B4" s="148">
        <v>-86.4</v>
      </c>
      <c r="C4" s="149"/>
      <c r="E4" s="65" t="s">
        <v>68</v>
      </c>
      <c r="F4" s="62" t="s">
        <v>22</v>
      </c>
      <c r="G4" s="49">
        <v>4</v>
      </c>
      <c r="H4" s="138">
        <f>IF(B$27=0,0,G4/B$27)</f>
        <v>0.44444444444444442</v>
      </c>
      <c r="I4" s="100">
        <v>1</v>
      </c>
      <c r="K4" s="40">
        <v>2</v>
      </c>
      <c r="L4" s="105">
        <v>-81.7</v>
      </c>
      <c r="N4" s="121" t="s">
        <v>149</v>
      </c>
      <c r="O4" s="128">
        <f t="shared" si="0"/>
        <v>-11250</v>
      </c>
      <c r="P4" s="125">
        <v>4</v>
      </c>
      <c r="Q4" s="109">
        <v>-45000</v>
      </c>
    </row>
    <row r="5" spans="1:17" x14ac:dyDescent="0.4">
      <c r="A5" s="57" t="s">
        <v>7</v>
      </c>
      <c r="B5" s="150">
        <f>IF(B$2=0,0,B$4/B$2)</f>
        <v>-17.28</v>
      </c>
      <c r="C5" s="151"/>
      <c r="E5" s="65" t="s">
        <v>76</v>
      </c>
      <c r="F5" s="62" t="s">
        <v>29</v>
      </c>
      <c r="G5" s="49">
        <v>4</v>
      </c>
      <c r="H5" s="138">
        <f>IF(B$27=0,0,G5/B$27)</f>
        <v>0.44444444444444442</v>
      </c>
      <c r="I5" s="100">
        <v>12</v>
      </c>
      <c r="K5" s="40">
        <v>3</v>
      </c>
      <c r="L5" s="105">
        <v>-88.9</v>
      </c>
      <c r="N5" s="121" t="s">
        <v>150</v>
      </c>
      <c r="O5" s="128">
        <f t="shared" si="0"/>
        <v>-12000</v>
      </c>
      <c r="P5" s="125">
        <v>3</v>
      </c>
      <c r="Q5" s="109">
        <v>-36000</v>
      </c>
    </row>
    <row r="6" spans="1:17" x14ac:dyDescent="0.4">
      <c r="A6" s="57" t="s">
        <v>1</v>
      </c>
      <c r="B6" s="156">
        <f>IF(B$2=0,0,(B$7*1+B$8*2+B$9*3)/B$2)</f>
        <v>2.2000000000000002</v>
      </c>
      <c r="C6" s="157"/>
      <c r="E6" s="65" t="s">
        <v>72</v>
      </c>
      <c r="F6" s="62" t="s">
        <v>12</v>
      </c>
      <c r="G6" s="49">
        <v>3</v>
      </c>
      <c r="H6" s="138">
        <f>IF(B$27=0,0,G6/B$27)</f>
        <v>0.33333333333333331</v>
      </c>
      <c r="I6" s="100">
        <v>3</v>
      </c>
      <c r="K6" s="40">
        <v>4</v>
      </c>
      <c r="L6" s="105">
        <v>-109.2</v>
      </c>
      <c r="N6" s="121" t="s">
        <v>151</v>
      </c>
      <c r="O6" s="128">
        <f t="shared" si="0"/>
        <v>5400</v>
      </c>
      <c r="P6" s="125">
        <v>2</v>
      </c>
      <c r="Q6" s="109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38">
        <f>IF(B$27=0,0,G7/B$27)</f>
        <v>0.22222222222222221</v>
      </c>
      <c r="I7" s="100">
        <v>10</v>
      </c>
      <c r="K7" s="40">
        <v>5</v>
      </c>
      <c r="L7" s="105">
        <v>-86.4</v>
      </c>
      <c r="N7" s="122" t="s">
        <v>152</v>
      </c>
      <c r="O7" s="129">
        <f t="shared" si="0"/>
        <v>-5000</v>
      </c>
      <c r="P7" s="126">
        <v>2</v>
      </c>
      <c r="Q7" s="110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38">
        <f>IF(B$27=0,0,G8/B$27)</f>
        <v>0.22222222222222221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0.4</v>
      </c>
      <c r="E9" s="65" t="s">
        <v>69</v>
      </c>
      <c r="F9" s="62" t="s">
        <v>23</v>
      </c>
      <c r="G9" s="49">
        <v>1</v>
      </c>
      <c r="H9" s="138">
        <f>IF(B$27=0,0,G9/B$27)</f>
        <v>0.1111111111111111</v>
      </c>
      <c r="I9" s="100">
        <v>13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38">
        <f>IF(B$27=0,0,G10/B$27)</f>
        <v>0.1111111111111111</v>
      </c>
      <c r="I10" s="100">
        <v>10</v>
      </c>
      <c r="N10" s="120" t="s">
        <v>253</v>
      </c>
      <c r="O10" s="130">
        <f>IF(P10=0,0,Q10/P10)</f>
        <v>-24.1</v>
      </c>
      <c r="P10" s="124">
        <v>2</v>
      </c>
      <c r="Q10" s="112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38">
        <f>IF(B$27=0,0,G11/B$27)</f>
        <v>0.1111111111111111</v>
      </c>
      <c r="I11" s="100">
        <v>3</v>
      </c>
      <c r="N11" s="121" t="s">
        <v>254</v>
      </c>
      <c r="O11" s="131">
        <f>IF(P11=0,0,Q11/P11)</f>
        <v>-12.733333333333334</v>
      </c>
      <c r="P11" s="125">
        <v>3</v>
      </c>
      <c r="Q11" s="113">
        <v>-38.200000000000003</v>
      </c>
    </row>
    <row r="12" spans="1:17" x14ac:dyDescent="0.4">
      <c r="A12" s="59" t="s">
        <v>239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38">
        <f>IF(B$27=0,0,G12/B$27)</f>
        <v>0</v>
      </c>
      <c r="I12" s="100">
        <v>12</v>
      </c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8</v>
      </c>
      <c r="C13" s="46">
        <f>IF(B$26=0,0,B13/B$26)</f>
        <v>0.25806451612903225</v>
      </c>
      <c r="E13" s="65" t="s">
        <v>75</v>
      </c>
      <c r="F13" s="62" t="s">
        <v>28</v>
      </c>
      <c r="G13" s="49">
        <v>0</v>
      </c>
      <c r="H13" s="138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5</v>
      </c>
      <c r="C14" s="41">
        <f>IF(B$26=0,0,B14/B$26)</f>
        <v>0.16129032258064516</v>
      </c>
      <c r="E14" s="65" t="s">
        <v>77</v>
      </c>
      <c r="F14" s="62" t="s">
        <v>30</v>
      </c>
      <c r="G14" s="49">
        <v>0</v>
      </c>
      <c r="H14" s="138">
        <f>IF(B$27=0,0,G14/B$27)</f>
        <v>0</v>
      </c>
      <c r="I14" s="100">
        <v>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38">
        <f>IF(B$27=0,0,G15/B$27)</f>
        <v>0</v>
      </c>
      <c r="I15" s="100">
        <v>6</v>
      </c>
      <c r="N15" s="120" t="s">
        <v>139</v>
      </c>
      <c r="O15" s="130">
        <f>IF(P15=0,0,Q15/P15)</f>
        <v>17.200000000000003</v>
      </c>
      <c r="P15" s="124">
        <v>2</v>
      </c>
      <c r="Q15" s="112">
        <v>34.400000000000006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38">
        <f>IF(B$27=0,0,G16/B$27)</f>
        <v>0</v>
      </c>
      <c r="I16" s="100">
        <v>6</v>
      </c>
      <c r="N16" s="121" t="s">
        <v>157</v>
      </c>
      <c r="O16" s="131">
        <f>IF(P16=0,0,Q16/P16)</f>
        <v>-13.45</v>
      </c>
      <c r="P16" s="125">
        <v>2</v>
      </c>
      <c r="Q16" s="113">
        <v>-26.9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38">
        <f>IF(B$27=0,0,G17/B$27)</f>
        <v>0</v>
      </c>
      <c r="I17" s="100">
        <v>1</v>
      </c>
      <c r="N17" s="121" t="s">
        <v>135</v>
      </c>
      <c r="O17" s="131">
        <f>IF(P17=0,0,Q17/P17)</f>
        <v>-21.200000000000003</v>
      </c>
      <c r="P17" s="125">
        <v>3</v>
      </c>
      <c r="Q17" s="113">
        <v>-63.600000000000009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38">
        <f>IF(B$27=0,0,G18/B$27)</f>
        <v>0</v>
      </c>
      <c r="I18" s="100">
        <v>7</v>
      </c>
      <c r="N18" s="121" t="s">
        <v>194</v>
      </c>
      <c r="O18" s="131">
        <f>IF(P18=0,0,Q18/P18)</f>
        <v>-38.6</v>
      </c>
      <c r="P18" s="125">
        <v>2</v>
      </c>
      <c r="Q18" s="113">
        <v>-77.2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38">
        <f>IF(B$27=0,0,G19/B$27)</f>
        <v>0</v>
      </c>
      <c r="I19" s="100">
        <v>10</v>
      </c>
      <c r="N19" s="121" t="s">
        <v>133</v>
      </c>
      <c r="O19" s="131">
        <f>IF(P19=0,0,Q19/P19)</f>
        <v>-125.9</v>
      </c>
      <c r="P19" s="125">
        <v>1</v>
      </c>
      <c r="Q19" s="113">
        <v>-125.9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38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7100</v>
      </c>
      <c r="C21" s="43">
        <v>71000</v>
      </c>
      <c r="E21" s="65" t="s">
        <v>85</v>
      </c>
      <c r="F21" s="62" t="s">
        <v>38</v>
      </c>
      <c r="G21" s="49">
        <v>0</v>
      </c>
      <c r="H21" s="138">
        <f>IF(B$27=0,0,G21/B$27)</f>
        <v>0</v>
      </c>
      <c r="I21" s="100">
        <v>3</v>
      </c>
    </row>
    <row r="22" spans="1:17" x14ac:dyDescent="0.4">
      <c r="A22" s="59" t="s">
        <v>14</v>
      </c>
      <c r="B22" s="54">
        <f>IF(B$20=0,0,C22/B$20)</f>
        <v>-12487.5</v>
      </c>
      <c r="C22" s="47">
        <v>-99900</v>
      </c>
      <c r="E22" s="65" t="s">
        <v>86</v>
      </c>
      <c r="F22" s="62" t="s">
        <v>39</v>
      </c>
      <c r="G22" s="49">
        <v>0</v>
      </c>
      <c r="H22" s="138">
        <f>IF(B$27=0,0,G22/B$27)</f>
        <v>0</v>
      </c>
      <c r="I22" s="100">
        <v>10</v>
      </c>
    </row>
    <row r="23" spans="1:17" x14ac:dyDescent="0.4">
      <c r="A23" s="96" t="s">
        <v>158</v>
      </c>
      <c r="B23" s="154">
        <v>3</v>
      </c>
      <c r="C23" s="155"/>
      <c r="E23" s="65" t="s">
        <v>87</v>
      </c>
      <c r="F23" s="62" t="s">
        <v>40</v>
      </c>
      <c r="G23" s="49">
        <v>0</v>
      </c>
      <c r="H23" s="138">
        <f>IF(B$27=0,0,G23/B$27)</f>
        <v>0</v>
      </c>
      <c r="I23" s="100">
        <v>1</v>
      </c>
    </row>
    <row r="24" spans="1:17" x14ac:dyDescent="0.4">
      <c r="A24" s="60" t="s">
        <v>199</v>
      </c>
      <c r="B24" s="152">
        <v>57800</v>
      </c>
      <c r="C24" s="153"/>
      <c r="E24" s="65" t="s">
        <v>88</v>
      </c>
      <c r="F24" s="62" t="s">
        <v>41</v>
      </c>
      <c r="G24" s="49">
        <v>0</v>
      </c>
      <c r="H24" s="138">
        <f>IF(B$27=0,0,G24/B$27)</f>
        <v>0</v>
      </c>
      <c r="I24" s="100">
        <v>12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8">
        <f>IF(B$27=0,0,G25/B$27)</f>
        <v>0</v>
      </c>
      <c r="I25" s="100">
        <v>5</v>
      </c>
    </row>
    <row r="26" spans="1:17" x14ac:dyDescent="0.4">
      <c r="A26" s="56" t="s">
        <v>126</v>
      </c>
      <c r="B26" s="144">
        <v>31</v>
      </c>
      <c r="C26" s="145"/>
      <c r="E26" s="65" t="s">
        <v>90</v>
      </c>
      <c r="F26" s="62" t="s">
        <v>43</v>
      </c>
      <c r="G26" s="49">
        <v>0</v>
      </c>
      <c r="H26" s="138">
        <f>IF(B$27=0,0,G26/B$27)</f>
        <v>0</v>
      </c>
      <c r="I26" s="100">
        <v>6</v>
      </c>
    </row>
    <row r="27" spans="1:17" x14ac:dyDescent="0.4">
      <c r="A27" s="59" t="s">
        <v>127</v>
      </c>
      <c r="B27" s="158">
        <v>9</v>
      </c>
      <c r="C27" s="159"/>
      <c r="E27" s="65" t="s">
        <v>92</v>
      </c>
      <c r="F27" s="62" t="s">
        <v>45</v>
      </c>
      <c r="G27" s="49">
        <v>0</v>
      </c>
      <c r="H27" s="138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8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8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0A56-B950-4520-8F4C-C8F01B2E7B40}">
  <sheetPr codeName="Sheet19"/>
  <dimension ref="A1:Q7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136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71</v>
      </c>
      <c r="C2" s="145"/>
      <c r="E2" s="64" t="s">
        <v>71</v>
      </c>
      <c r="F2" s="61" t="s">
        <v>25</v>
      </c>
      <c r="G2" s="48">
        <v>86</v>
      </c>
      <c r="H2" s="137">
        <f>IF(B$27=0,0,G2/B$27)</f>
        <v>0.89583333333333337</v>
      </c>
      <c r="I2" s="99">
        <v>7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-1422.5352112676057</v>
      </c>
      <c r="P2" s="124">
        <v>71</v>
      </c>
      <c r="Q2" s="108">
        <v>-101000</v>
      </c>
    </row>
    <row r="3" spans="1:17" x14ac:dyDescent="0.4">
      <c r="A3" s="57" t="s">
        <v>8</v>
      </c>
      <c r="B3" s="146">
        <v>550</v>
      </c>
      <c r="C3" s="147"/>
      <c r="E3" s="65" t="s">
        <v>69</v>
      </c>
      <c r="F3" s="62" t="s">
        <v>23</v>
      </c>
      <c r="G3" s="49">
        <v>63</v>
      </c>
      <c r="H3" s="138">
        <f>IF(B$27=0,0,G3/B$27)</f>
        <v>0.65625</v>
      </c>
      <c r="I3" s="100">
        <v>10</v>
      </c>
      <c r="K3" s="40">
        <v>1</v>
      </c>
      <c r="L3" s="105">
        <v>68.2</v>
      </c>
      <c r="N3" s="121" t="s">
        <v>148</v>
      </c>
      <c r="O3" s="128">
        <f t="shared" si="0"/>
        <v>-3371.6417910447763</v>
      </c>
      <c r="P3" s="125">
        <v>67</v>
      </c>
      <c r="Q3" s="109">
        <v>-225900</v>
      </c>
    </row>
    <row r="4" spans="1:17" x14ac:dyDescent="0.4">
      <c r="A4" s="57" t="s">
        <v>6</v>
      </c>
      <c r="B4" s="148">
        <v>-446.7</v>
      </c>
      <c r="C4" s="149"/>
      <c r="E4" s="65" t="s">
        <v>76</v>
      </c>
      <c r="F4" s="62" t="s">
        <v>29</v>
      </c>
      <c r="G4" s="49">
        <v>60</v>
      </c>
      <c r="H4" s="138">
        <f>IF(B$27=0,0,G4/B$27)</f>
        <v>0.625</v>
      </c>
      <c r="I4" s="100">
        <v>5</v>
      </c>
      <c r="K4" s="40">
        <v>2</v>
      </c>
      <c r="L4" s="105">
        <v>58.5</v>
      </c>
      <c r="N4" s="121" t="s">
        <v>149</v>
      </c>
      <c r="O4" s="128">
        <f t="shared" si="0"/>
        <v>-1023.728813559322</v>
      </c>
      <c r="P4" s="125">
        <v>59</v>
      </c>
      <c r="Q4" s="109">
        <v>-60400</v>
      </c>
    </row>
    <row r="5" spans="1:17" x14ac:dyDescent="0.4">
      <c r="A5" s="57" t="s">
        <v>7</v>
      </c>
      <c r="B5" s="150">
        <f>IF(B$2=0,0,B$4/B$2)</f>
        <v>-6.2915492957746482</v>
      </c>
      <c r="C5" s="151"/>
      <c r="E5" s="65" t="s">
        <v>67</v>
      </c>
      <c r="F5" s="62" t="s">
        <v>21</v>
      </c>
      <c r="G5" s="49">
        <v>46</v>
      </c>
      <c r="H5" s="138">
        <f>IF(B$27=0,0,G5/B$27)</f>
        <v>0.47916666666666669</v>
      </c>
      <c r="I5" s="100">
        <v>10</v>
      </c>
      <c r="K5" s="40">
        <v>3</v>
      </c>
      <c r="L5" s="105">
        <v>82.1</v>
      </c>
      <c r="N5" s="121" t="s">
        <v>150</v>
      </c>
      <c r="O5" s="128">
        <f t="shared" si="0"/>
        <v>1263.1578947368421</v>
      </c>
      <c r="P5" s="125">
        <v>57</v>
      </c>
      <c r="Q5" s="109">
        <v>72000</v>
      </c>
    </row>
    <row r="6" spans="1:17" x14ac:dyDescent="0.4">
      <c r="A6" s="57" t="s">
        <v>1</v>
      </c>
      <c r="B6" s="156">
        <f>IF(B$2=0,0,(B$7*1+B$8*2+B$9*3)/B$2)</f>
        <v>2.1971830985915495</v>
      </c>
      <c r="C6" s="157"/>
      <c r="E6" s="65" t="s">
        <v>72</v>
      </c>
      <c r="F6" s="62" t="s">
        <v>12</v>
      </c>
      <c r="G6" s="49">
        <v>30</v>
      </c>
      <c r="H6" s="138">
        <f>IF(B$27=0,0,G6/B$27)</f>
        <v>0.3125</v>
      </c>
      <c r="I6" s="100">
        <v>6</v>
      </c>
      <c r="K6" s="40">
        <v>4</v>
      </c>
      <c r="L6" s="105">
        <v>57.699999999999996</v>
      </c>
      <c r="N6" s="121" t="s">
        <v>151</v>
      </c>
      <c r="O6" s="128">
        <f t="shared" si="0"/>
        <v>-2336.1702127659573</v>
      </c>
      <c r="P6" s="125">
        <v>47</v>
      </c>
      <c r="Q6" s="109">
        <v>-109800</v>
      </c>
    </row>
    <row r="7" spans="1:17" x14ac:dyDescent="0.4">
      <c r="A7" s="57" t="s">
        <v>2</v>
      </c>
      <c r="B7" s="49">
        <v>15</v>
      </c>
      <c r="C7" s="41">
        <f>IF(B$2=0,0,B7/B$2)</f>
        <v>0.21126760563380281</v>
      </c>
      <c r="E7" s="65" t="s">
        <v>68</v>
      </c>
      <c r="F7" s="62" t="s">
        <v>22</v>
      </c>
      <c r="G7" s="49">
        <v>14</v>
      </c>
      <c r="H7" s="138">
        <f>IF(B$27=0,0,G7/B$27)</f>
        <v>0.14583333333333334</v>
      </c>
      <c r="I7" s="100">
        <v>4</v>
      </c>
      <c r="K7" s="40">
        <v>5</v>
      </c>
      <c r="L7" s="105">
        <v>123.69999999999999</v>
      </c>
      <c r="N7" s="122" t="s">
        <v>152</v>
      </c>
      <c r="O7" s="129">
        <f t="shared" si="0"/>
        <v>-583.78378378378375</v>
      </c>
      <c r="P7" s="126">
        <v>37</v>
      </c>
      <c r="Q7" s="110">
        <v>-21600</v>
      </c>
    </row>
    <row r="8" spans="1:17" x14ac:dyDescent="0.4">
      <c r="A8" s="57" t="s">
        <v>3</v>
      </c>
      <c r="B8" s="49">
        <v>27</v>
      </c>
      <c r="C8" s="41">
        <f>IF(B$2=0,0,B8/B$2)</f>
        <v>0.38028169014084506</v>
      </c>
      <c r="E8" s="65" t="s">
        <v>73</v>
      </c>
      <c r="F8" s="62" t="s">
        <v>26</v>
      </c>
      <c r="G8" s="49">
        <v>12</v>
      </c>
      <c r="H8" s="138">
        <f>IF(B$27=0,0,G8/B$27)</f>
        <v>0.125</v>
      </c>
      <c r="I8" s="100">
        <v>8</v>
      </c>
      <c r="K8" s="40">
        <v>6</v>
      </c>
      <c r="L8" s="105">
        <v>125.19999999999999</v>
      </c>
      <c r="N8" s="45"/>
      <c r="O8" s="133"/>
      <c r="P8" s="117"/>
      <c r="Q8" s="115"/>
    </row>
    <row r="9" spans="1:17" x14ac:dyDescent="0.4">
      <c r="A9" s="58" t="s">
        <v>4</v>
      </c>
      <c r="B9" s="50">
        <v>29</v>
      </c>
      <c r="C9" s="42">
        <f t="shared" ref="C9" si="1">IF(B$2=0,0,B9/B$2)</f>
        <v>0.40845070422535212</v>
      </c>
      <c r="E9" s="65" t="s">
        <v>70</v>
      </c>
      <c r="F9" s="62" t="s">
        <v>24</v>
      </c>
      <c r="G9" s="49">
        <v>11</v>
      </c>
      <c r="H9" s="138">
        <f>IF(B$27=0,0,G9/B$27)</f>
        <v>0.11458333333333333</v>
      </c>
      <c r="I9" s="100">
        <v>13</v>
      </c>
      <c r="K9" s="40">
        <v>7</v>
      </c>
      <c r="L9" s="105">
        <v>129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</v>
      </c>
      <c r="C10" s="42">
        <f>IF(B$2=0,0,B10/B$2)</f>
        <v>0.18309859154929578</v>
      </c>
      <c r="E10" s="65" t="s">
        <v>74</v>
      </c>
      <c r="F10" s="62" t="s">
        <v>27</v>
      </c>
      <c r="G10" s="49">
        <v>7</v>
      </c>
      <c r="H10" s="138">
        <f>IF(B$27=0,0,G10/B$27)</f>
        <v>7.2916666666666671E-2</v>
      </c>
      <c r="I10" s="100">
        <v>10</v>
      </c>
      <c r="K10" s="40">
        <v>8</v>
      </c>
      <c r="L10" s="105">
        <v>96.5</v>
      </c>
      <c r="N10" s="120" t="s">
        <v>253</v>
      </c>
      <c r="O10" s="130">
        <f>IF(P10=0,0,Q10/P10)</f>
        <v>-7.7875000000000023</v>
      </c>
      <c r="P10" s="124">
        <v>32</v>
      </c>
      <c r="Q10" s="112">
        <v>-249.20000000000007</v>
      </c>
    </row>
    <row r="11" spans="1:17" x14ac:dyDescent="0.4">
      <c r="A11" s="58" t="s">
        <v>155</v>
      </c>
      <c r="B11" s="50">
        <v>9</v>
      </c>
      <c r="C11" s="42">
        <f>IF(B$2=0,0,B11/B$2)</f>
        <v>0.12676056338028169</v>
      </c>
      <c r="E11" s="65" t="s">
        <v>94</v>
      </c>
      <c r="F11" s="62" t="s">
        <v>47</v>
      </c>
      <c r="G11" s="49">
        <v>6</v>
      </c>
      <c r="H11" s="138">
        <f>IF(B$27=0,0,G11/B$27)</f>
        <v>6.25E-2</v>
      </c>
      <c r="I11" s="100">
        <v>12</v>
      </c>
      <c r="K11" s="40">
        <v>9</v>
      </c>
      <c r="L11" s="105">
        <v>82.8</v>
      </c>
      <c r="N11" s="121" t="s">
        <v>254</v>
      </c>
      <c r="O11" s="131">
        <f>IF(P11=0,0,Q11/P11)</f>
        <v>-6.3299999999999983</v>
      </c>
      <c r="P11" s="125">
        <v>20</v>
      </c>
      <c r="Q11" s="113">
        <v>-126.59999999999997</v>
      </c>
    </row>
    <row r="12" spans="1:17" x14ac:dyDescent="0.4">
      <c r="A12" s="59" t="s">
        <v>239</v>
      </c>
      <c r="B12" s="51">
        <v>4</v>
      </c>
      <c r="C12" s="44">
        <f>IF(B$2=0,0,B12/B$2)</f>
        <v>5.6338028169014086E-2</v>
      </c>
      <c r="E12" s="65" t="s">
        <v>75</v>
      </c>
      <c r="F12" s="62" t="s">
        <v>28</v>
      </c>
      <c r="G12" s="49">
        <v>4</v>
      </c>
      <c r="H12" s="138">
        <f>IF(B$27=0,0,G12/B$27)</f>
        <v>4.1666666666666664E-2</v>
      </c>
      <c r="I12" s="100">
        <v>7</v>
      </c>
      <c r="K12" s="40">
        <v>10</v>
      </c>
      <c r="L12" s="105">
        <v>110.5</v>
      </c>
      <c r="N12" s="122" t="s">
        <v>255</v>
      </c>
      <c r="O12" s="132">
        <f>IF(P12=0,0,Q12/P12)</f>
        <v>-3.7315789473684213</v>
      </c>
      <c r="P12" s="126">
        <v>19</v>
      </c>
      <c r="Q12" s="114">
        <v>-70.900000000000006</v>
      </c>
    </row>
    <row r="13" spans="1:17" x14ac:dyDescent="0.4">
      <c r="A13" s="60" t="s">
        <v>128</v>
      </c>
      <c r="B13" s="52">
        <v>100</v>
      </c>
      <c r="C13" s="46">
        <f>IF(B$26=0,0,B13/B$26)</f>
        <v>0.27027027027027029</v>
      </c>
      <c r="E13" s="65" t="s">
        <v>82</v>
      </c>
      <c r="F13" s="62" t="s">
        <v>35</v>
      </c>
      <c r="G13" s="49">
        <v>4</v>
      </c>
      <c r="H13" s="138">
        <f>IF(B$27=0,0,G13/B$27)</f>
        <v>4.1666666666666664E-2</v>
      </c>
      <c r="I13" s="100">
        <v>4</v>
      </c>
      <c r="K13" s="40">
        <v>11</v>
      </c>
      <c r="L13" s="105">
        <v>71.599999999999994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102</v>
      </c>
      <c r="C14" s="41">
        <f>IF(B$26=0,0,B14/B$26)</f>
        <v>0.27567567567567569</v>
      </c>
      <c r="E14" s="65" t="s">
        <v>91</v>
      </c>
      <c r="F14" s="62" t="s">
        <v>44</v>
      </c>
      <c r="G14" s="49">
        <v>4</v>
      </c>
      <c r="H14" s="138">
        <f>IF(B$27=0,0,G14/B$27)</f>
        <v>4.1666666666666664E-2</v>
      </c>
      <c r="I14" s="100">
        <v>11</v>
      </c>
      <c r="K14" s="40">
        <v>12</v>
      </c>
      <c r="L14" s="105">
        <v>33.599999999999994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49</v>
      </c>
      <c r="C15" s="39">
        <f>IF(B$13=0,0,B15/B$13)</f>
        <v>0.49</v>
      </c>
      <c r="E15" s="65" t="s">
        <v>83</v>
      </c>
      <c r="F15" s="62" t="s">
        <v>36</v>
      </c>
      <c r="G15" s="49">
        <v>3</v>
      </c>
      <c r="H15" s="138">
        <f>IF(B$27=0,0,G15/B$27)</f>
        <v>3.125E-2</v>
      </c>
      <c r="I15" s="100">
        <v>4</v>
      </c>
      <c r="K15" s="40">
        <v>13</v>
      </c>
      <c r="L15" s="105">
        <v>13.299999999999994</v>
      </c>
      <c r="N15" s="120" t="s">
        <v>157</v>
      </c>
      <c r="O15" s="130">
        <f>IF(P15=0,0,Q15/P15)</f>
        <v>16.125</v>
      </c>
      <c r="P15" s="124">
        <v>4</v>
      </c>
      <c r="Q15" s="112">
        <v>64.5</v>
      </c>
    </row>
    <row r="16" spans="1:17" x14ac:dyDescent="0.4">
      <c r="A16" s="56" t="s">
        <v>131</v>
      </c>
      <c r="B16" s="48">
        <v>37</v>
      </c>
      <c r="C16" s="39">
        <f>IF(B$14=0,0,B16/B$14)</f>
        <v>0.36274509803921567</v>
      </c>
      <c r="E16" s="65" t="s">
        <v>88</v>
      </c>
      <c r="F16" s="62" t="s">
        <v>41</v>
      </c>
      <c r="G16" s="49">
        <v>2</v>
      </c>
      <c r="H16" s="138">
        <f>IF(B$27=0,0,G16/B$27)</f>
        <v>2.0833333333333332E-2</v>
      </c>
      <c r="I16" s="100">
        <v>11</v>
      </c>
      <c r="K16" s="40">
        <v>14</v>
      </c>
      <c r="L16" s="105">
        <v>4.7999999999999936</v>
      </c>
      <c r="N16" s="121" t="s">
        <v>139</v>
      </c>
      <c r="O16" s="131">
        <f>IF(P16=0,0,Q16/P16)</f>
        <v>11.846666666666668</v>
      </c>
      <c r="P16" s="125">
        <v>15</v>
      </c>
      <c r="Q16" s="113">
        <v>177.70000000000002</v>
      </c>
    </row>
    <row r="17" spans="1:17" x14ac:dyDescent="0.4">
      <c r="A17" s="56" t="s">
        <v>10</v>
      </c>
      <c r="B17" s="48">
        <f>B19+B18</f>
        <v>147</v>
      </c>
      <c r="C17" s="39">
        <f>IF(B$3=0,0,B17/B$3)</f>
        <v>0.26727272727272727</v>
      </c>
      <c r="E17" s="65" t="s">
        <v>79</v>
      </c>
      <c r="F17" s="62" t="s">
        <v>32</v>
      </c>
      <c r="G17" s="49">
        <v>1</v>
      </c>
      <c r="H17" s="138">
        <f>IF(B$27=0,0,G17/B$27)</f>
        <v>1.0416666666666666E-2</v>
      </c>
      <c r="I17" s="100">
        <v>2</v>
      </c>
      <c r="K17" s="40">
        <v>15</v>
      </c>
      <c r="L17" s="105">
        <v>-33.700000000000003</v>
      </c>
      <c r="N17" s="121" t="s">
        <v>137</v>
      </c>
      <c r="O17" s="131">
        <f>IF(P17=0,0,Q17/P17)</f>
        <v>3.3548387096774182</v>
      </c>
      <c r="P17" s="125">
        <v>31</v>
      </c>
      <c r="Q17" s="113">
        <v>103.99999999999996</v>
      </c>
    </row>
    <row r="18" spans="1:17" x14ac:dyDescent="0.4">
      <c r="A18" s="57" t="s">
        <v>12</v>
      </c>
      <c r="B18" s="49">
        <v>69</v>
      </c>
      <c r="C18" s="41">
        <f>IF(B$17=0,0,B18/B$17)</f>
        <v>0.46938775510204084</v>
      </c>
      <c r="E18" s="65" t="s">
        <v>81</v>
      </c>
      <c r="F18" s="62" t="s">
        <v>34</v>
      </c>
      <c r="G18" s="49">
        <v>1</v>
      </c>
      <c r="H18" s="138">
        <f>IF(B$27=0,0,G18/B$27)</f>
        <v>1.0416666666666666E-2</v>
      </c>
      <c r="I18" s="100">
        <v>2</v>
      </c>
      <c r="K18" s="40">
        <v>16</v>
      </c>
      <c r="L18" s="105">
        <v>-45.300000000000004</v>
      </c>
      <c r="N18" s="121" t="s">
        <v>135</v>
      </c>
      <c r="O18" s="131">
        <f>IF(P18=0,0,Q18/P18)</f>
        <v>-13.249999999999998</v>
      </c>
      <c r="P18" s="125">
        <v>2</v>
      </c>
      <c r="Q18" s="113">
        <v>-26.499999999999996</v>
      </c>
    </row>
    <row r="19" spans="1:17" x14ac:dyDescent="0.4">
      <c r="A19" s="57" t="s">
        <v>11</v>
      </c>
      <c r="B19" s="49">
        <v>78</v>
      </c>
      <c r="C19" s="41">
        <f>IF(B$17=0,0,B19/B$17)</f>
        <v>0.53061224489795922</v>
      </c>
      <c r="E19" s="65" t="s">
        <v>86</v>
      </c>
      <c r="F19" s="62" t="s">
        <v>39</v>
      </c>
      <c r="G19" s="49">
        <v>1</v>
      </c>
      <c r="H19" s="138">
        <f>IF(B$27=0,0,G19/B$27)</f>
        <v>1.0416666666666666E-2</v>
      </c>
      <c r="I19" s="100">
        <v>9</v>
      </c>
      <c r="K19" s="40">
        <v>17</v>
      </c>
      <c r="L19" s="105">
        <v>-45.000000000000007</v>
      </c>
      <c r="N19" s="121" t="s">
        <v>133</v>
      </c>
      <c r="O19" s="131">
        <f>IF(P19=0,0,Q19/P19)</f>
        <v>-14.024561403508777</v>
      </c>
      <c r="P19" s="125">
        <v>57</v>
      </c>
      <c r="Q19" s="113">
        <v>-799.40000000000032</v>
      </c>
    </row>
    <row r="20" spans="1:17" x14ac:dyDescent="0.4">
      <c r="A20" s="57" t="s">
        <v>13</v>
      </c>
      <c r="B20" s="49">
        <v>100</v>
      </c>
      <c r="C20" s="41">
        <f>IF(B$3=0,0,B20/B$3)</f>
        <v>0.18181818181818182</v>
      </c>
      <c r="E20" s="65" t="s">
        <v>77</v>
      </c>
      <c r="F20" s="62" t="s">
        <v>30</v>
      </c>
      <c r="G20" s="49">
        <v>0</v>
      </c>
      <c r="H20" s="138">
        <f>IF(B$27=0,0,G20/B$27)</f>
        <v>0</v>
      </c>
      <c r="I20" s="100">
        <v>7</v>
      </c>
      <c r="K20" s="40">
        <v>18</v>
      </c>
      <c r="L20" s="105">
        <v>-30.300000000000008</v>
      </c>
      <c r="N20" s="121" t="s">
        <v>138</v>
      </c>
      <c r="O20" s="131">
        <f>IF(P20=0,0,Q20/P20)</f>
        <v>-24.993333333333332</v>
      </c>
      <c r="P20" s="125">
        <v>15</v>
      </c>
      <c r="Q20" s="113">
        <v>-374.9</v>
      </c>
    </row>
    <row r="21" spans="1:17" x14ac:dyDescent="0.4">
      <c r="A21" s="57" t="s">
        <v>5</v>
      </c>
      <c r="B21" s="53">
        <f>IF(B$17=0,0,C21/B$17)</f>
        <v>9092.5170068027219</v>
      </c>
      <c r="C21" s="43">
        <v>1336600</v>
      </c>
      <c r="E21" s="65" t="s">
        <v>78</v>
      </c>
      <c r="F21" s="62" t="s">
        <v>31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17.699999999999992</v>
      </c>
      <c r="N21" s="121" t="s">
        <v>134</v>
      </c>
      <c r="O21" s="131">
        <f>IF(P21=0,0,Q21/P21)</f>
        <v>-26.972222222222218</v>
      </c>
      <c r="P21" s="125">
        <v>18</v>
      </c>
      <c r="Q21" s="113">
        <v>-485.49999999999994</v>
      </c>
    </row>
    <row r="22" spans="1:17" x14ac:dyDescent="0.4">
      <c r="A22" s="59" t="s">
        <v>14</v>
      </c>
      <c r="B22" s="54">
        <f>IF(B$20=0,0,C22/B$20)</f>
        <v>-9718</v>
      </c>
      <c r="C22" s="47">
        <v>-971800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-24.100000000000005</v>
      </c>
    </row>
    <row r="23" spans="1:17" x14ac:dyDescent="0.4">
      <c r="A23" s="96" t="s">
        <v>158</v>
      </c>
      <c r="B23" s="154">
        <v>6</v>
      </c>
      <c r="C23" s="155"/>
      <c r="E23" s="65" t="s">
        <v>84</v>
      </c>
      <c r="F23" s="62" t="s">
        <v>37</v>
      </c>
      <c r="G23" s="49">
        <v>0</v>
      </c>
      <c r="H23" s="138">
        <f>IF(B$27=0,0,G23/B$27)</f>
        <v>0</v>
      </c>
      <c r="I23" s="100">
        <v>1</v>
      </c>
      <c r="K23" s="40">
        <v>21</v>
      </c>
      <c r="L23" s="105">
        <v>-29.600000000000005</v>
      </c>
    </row>
    <row r="24" spans="1:17" x14ac:dyDescent="0.4">
      <c r="A24" s="60" t="s">
        <v>199</v>
      </c>
      <c r="B24" s="152">
        <v>103200</v>
      </c>
      <c r="C24" s="153"/>
      <c r="E24" s="65" t="s">
        <v>85</v>
      </c>
      <c r="F24" s="62" t="s">
        <v>38</v>
      </c>
      <c r="G24" s="49">
        <v>0</v>
      </c>
      <c r="H24" s="138">
        <f>IF(B$27=0,0,G24/B$27)</f>
        <v>0</v>
      </c>
      <c r="I24" s="100">
        <v>3</v>
      </c>
      <c r="K24" s="40">
        <v>22</v>
      </c>
      <c r="L24" s="105">
        <v>-4.7000000000000064</v>
      </c>
    </row>
    <row r="25" spans="1:17" x14ac:dyDescent="0.4">
      <c r="A25" s="59" t="s">
        <v>159</v>
      </c>
      <c r="B25" s="67">
        <v>2</v>
      </c>
      <c r="C25" s="44">
        <f>IF(B$3=0,0,B25/B$3)</f>
        <v>3.6363636363636364E-3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-18.600000000000009</v>
      </c>
    </row>
    <row r="26" spans="1:17" x14ac:dyDescent="0.4">
      <c r="A26" s="56" t="s">
        <v>126</v>
      </c>
      <c r="B26" s="144">
        <v>370</v>
      </c>
      <c r="C26" s="145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  <c r="K26" s="40">
        <v>24</v>
      </c>
      <c r="L26" s="105">
        <v>-26.900000000000009</v>
      </c>
    </row>
    <row r="27" spans="1:17" x14ac:dyDescent="0.4">
      <c r="A27" s="59" t="s">
        <v>127</v>
      </c>
      <c r="B27" s="158">
        <v>96</v>
      </c>
      <c r="C27" s="159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  <c r="K27" s="40">
        <v>25</v>
      </c>
      <c r="L27" s="105">
        <v>-37.900000000000006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  <c r="K28" s="40">
        <v>26</v>
      </c>
      <c r="L28" s="105">
        <v>-59.800000000000004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  <c r="K29" s="40">
        <v>27</v>
      </c>
      <c r="L29" s="105">
        <v>-53.7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-53.1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  <c r="K31" s="40">
        <v>29</v>
      </c>
      <c r="L31" s="105">
        <v>-12.899999999999999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  <c r="K32" s="40">
        <v>30</v>
      </c>
      <c r="L32" s="105">
        <v>-48.6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-64.599999999999994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-70.399999999999991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-122.29999999999998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-134.29999999999998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-100.89999999999998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-106.49999999999997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-133.49999999999997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-128.29999999999998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-135.99999999999997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-150.99999999999997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-201.59999999999997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-196.79999999999995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-242.29999999999995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-243.39999999999995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-280.59999999999997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-321.89999999999998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-326.09999999999997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-386.4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-402.29999999999995</v>
      </c>
    </row>
    <row r="52" spans="5:12" x14ac:dyDescent="0.4">
      <c r="K52" s="40">
        <v>50</v>
      </c>
      <c r="L52" s="105">
        <v>-396.29999999999995</v>
      </c>
    </row>
    <row r="53" spans="5:12" x14ac:dyDescent="0.4">
      <c r="K53" s="40">
        <v>51</v>
      </c>
      <c r="L53" s="105">
        <v>-417.29999999999995</v>
      </c>
    </row>
    <row r="54" spans="5:12" x14ac:dyDescent="0.4">
      <c r="K54" s="40">
        <v>52</v>
      </c>
      <c r="L54" s="105">
        <v>-421.29999999999995</v>
      </c>
    </row>
    <row r="55" spans="5:12" x14ac:dyDescent="0.4">
      <c r="K55" s="40">
        <v>53</v>
      </c>
      <c r="L55" s="105">
        <v>-451.69999999999993</v>
      </c>
    </row>
    <row r="56" spans="5:12" x14ac:dyDescent="0.4">
      <c r="K56" s="40">
        <v>54</v>
      </c>
      <c r="L56" s="105">
        <v>-445.09999999999991</v>
      </c>
    </row>
    <row r="57" spans="5:12" x14ac:dyDescent="0.4">
      <c r="K57" s="40">
        <v>55</v>
      </c>
      <c r="L57" s="105">
        <v>-465.59999999999991</v>
      </c>
    </row>
    <row r="58" spans="5:12" x14ac:dyDescent="0.4">
      <c r="K58" s="40">
        <v>56</v>
      </c>
      <c r="L58" s="105">
        <v>-502.59999999999991</v>
      </c>
    </row>
    <row r="59" spans="5:12" x14ac:dyDescent="0.4">
      <c r="K59" s="40">
        <v>57</v>
      </c>
      <c r="L59" s="105">
        <v>-533.29999999999995</v>
      </c>
    </row>
    <row r="60" spans="5:12" x14ac:dyDescent="0.4">
      <c r="K60" s="40">
        <v>58</v>
      </c>
      <c r="L60" s="105">
        <v>-573.29999999999995</v>
      </c>
    </row>
    <row r="61" spans="5:12" x14ac:dyDescent="0.4">
      <c r="K61" s="40">
        <v>59</v>
      </c>
      <c r="L61" s="105">
        <v>-550.79999999999995</v>
      </c>
    </row>
    <row r="62" spans="5:12" x14ac:dyDescent="0.4">
      <c r="K62" s="40">
        <v>60</v>
      </c>
      <c r="L62" s="105">
        <v>-535.29999999999995</v>
      </c>
    </row>
    <row r="63" spans="5:12" x14ac:dyDescent="0.4">
      <c r="K63" s="40">
        <v>61</v>
      </c>
      <c r="L63" s="105">
        <v>-492.29999999999995</v>
      </c>
    </row>
    <row r="64" spans="5:12" x14ac:dyDescent="0.4">
      <c r="K64" s="40">
        <v>62</v>
      </c>
      <c r="L64" s="105">
        <v>-511.9</v>
      </c>
    </row>
    <row r="65" spans="11:12" x14ac:dyDescent="0.4">
      <c r="K65" s="40">
        <v>63</v>
      </c>
      <c r="L65" s="105">
        <v>-524.1</v>
      </c>
    </row>
    <row r="66" spans="11:12" x14ac:dyDescent="0.4">
      <c r="K66" s="40">
        <v>64</v>
      </c>
      <c r="L66" s="105">
        <v>-535.9</v>
      </c>
    </row>
    <row r="67" spans="11:12" x14ac:dyDescent="0.4">
      <c r="K67" s="40">
        <v>65</v>
      </c>
      <c r="L67" s="105">
        <v>-494.59999999999997</v>
      </c>
    </row>
    <row r="68" spans="11:12" x14ac:dyDescent="0.4">
      <c r="K68" s="40">
        <v>66</v>
      </c>
      <c r="L68" s="105">
        <v>-483.2</v>
      </c>
    </row>
    <row r="69" spans="11:12" x14ac:dyDescent="0.4">
      <c r="K69" s="40">
        <v>67</v>
      </c>
      <c r="L69" s="105">
        <v>-466.7</v>
      </c>
    </row>
    <row r="70" spans="11:12" x14ac:dyDescent="0.4">
      <c r="K70" s="40">
        <v>68</v>
      </c>
      <c r="L70" s="105">
        <v>-462</v>
      </c>
    </row>
    <row r="71" spans="11:12" x14ac:dyDescent="0.4">
      <c r="K71" s="40">
        <v>69</v>
      </c>
      <c r="L71" s="105">
        <v>-472.6</v>
      </c>
    </row>
    <row r="72" spans="11:12" x14ac:dyDescent="0.4">
      <c r="K72" s="40">
        <v>70</v>
      </c>
      <c r="L72" s="105">
        <v>-466.8</v>
      </c>
    </row>
    <row r="73" spans="11:12" x14ac:dyDescent="0.4">
      <c r="K73" s="40">
        <v>71</v>
      </c>
      <c r="L73" s="105">
        <v>-446.7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4BC47-3766-4D03-A3C9-35608600F7E7}">
  <sheetPr codeName="Sheet21"/>
  <dimension ref="A1:Q114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137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112</v>
      </c>
      <c r="C2" s="145"/>
      <c r="E2" s="64" t="s">
        <v>71</v>
      </c>
      <c r="F2" s="61" t="s">
        <v>25</v>
      </c>
      <c r="G2" s="48">
        <v>196</v>
      </c>
      <c r="H2" s="137">
        <f>IF(B$27=0,0,G2/B$27)</f>
        <v>0.8990825688073395</v>
      </c>
      <c r="I2" s="99">
        <v>6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1675.4545454545455</v>
      </c>
      <c r="P2" s="124">
        <v>110</v>
      </c>
      <c r="Q2" s="108">
        <v>184300</v>
      </c>
    </row>
    <row r="3" spans="1:17" x14ac:dyDescent="0.4">
      <c r="A3" s="57" t="s">
        <v>8</v>
      </c>
      <c r="B3" s="146">
        <v>847</v>
      </c>
      <c r="C3" s="147"/>
      <c r="E3" s="65" t="s">
        <v>69</v>
      </c>
      <c r="F3" s="62" t="s">
        <v>23</v>
      </c>
      <c r="G3" s="49">
        <v>168</v>
      </c>
      <c r="H3" s="138">
        <f>IF(B$27=0,0,G3/B$27)</f>
        <v>0.77064220183486243</v>
      </c>
      <c r="I3" s="100">
        <v>4</v>
      </c>
      <c r="K3" s="40">
        <v>1</v>
      </c>
      <c r="L3" s="105">
        <v>-36.700000000000003</v>
      </c>
      <c r="N3" s="121" t="s">
        <v>148</v>
      </c>
      <c r="O3" s="128">
        <f t="shared" si="0"/>
        <v>577.88461538461536</v>
      </c>
      <c r="P3" s="125">
        <v>104</v>
      </c>
      <c r="Q3" s="109">
        <v>60100</v>
      </c>
    </row>
    <row r="4" spans="1:17" x14ac:dyDescent="0.4">
      <c r="A4" s="57" t="s">
        <v>6</v>
      </c>
      <c r="B4" s="148">
        <v>225.49999999999983</v>
      </c>
      <c r="C4" s="149"/>
      <c r="E4" s="65" t="s">
        <v>67</v>
      </c>
      <c r="F4" s="62" t="s">
        <v>21</v>
      </c>
      <c r="G4" s="49">
        <v>122</v>
      </c>
      <c r="H4" s="138">
        <f>IF(B$27=0,0,G4/B$27)</f>
        <v>0.55963302752293576</v>
      </c>
      <c r="I4" s="100">
        <v>6</v>
      </c>
      <c r="K4" s="40">
        <v>2</v>
      </c>
      <c r="L4" s="105">
        <v>-45.300000000000004</v>
      </c>
      <c r="N4" s="121" t="s">
        <v>149</v>
      </c>
      <c r="O4" s="128">
        <f t="shared" si="0"/>
        <v>-29.166666666666668</v>
      </c>
      <c r="P4" s="125">
        <v>96</v>
      </c>
      <c r="Q4" s="109">
        <v>-2800</v>
      </c>
    </row>
    <row r="5" spans="1:17" x14ac:dyDescent="0.4">
      <c r="A5" s="57" t="s">
        <v>7</v>
      </c>
      <c r="B5" s="150">
        <f>IF(B$2=0,0,B$4/B$2)</f>
        <v>2.0133928571428554</v>
      </c>
      <c r="C5" s="151"/>
      <c r="E5" s="65" t="s">
        <v>76</v>
      </c>
      <c r="F5" s="62" t="s">
        <v>29</v>
      </c>
      <c r="G5" s="49">
        <v>121</v>
      </c>
      <c r="H5" s="138">
        <f>IF(B$27=0,0,G5/B$27)</f>
        <v>0.55504587155963303</v>
      </c>
      <c r="I5" s="100">
        <v>8</v>
      </c>
      <c r="K5" s="40">
        <v>3</v>
      </c>
      <c r="L5" s="105">
        <v>-81.7</v>
      </c>
      <c r="N5" s="121" t="s">
        <v>150</v>
      </c>
      <c r="O5" s="128">
        <f t="shared" si="0"/>
        <v>-1273.3333333333333</v>
      </c>
      <c r="P5" s="125">
        <v>90</v>
      </c>
      <c r="Q5" s="109">
        <v>-114600</v>
      </c>
    </row>
    <row r="6" spans="1:17" x14ac:dyDescent="0.4">
      <c r="A6" s="57" t="s">
        <v>1</v>
      </c>
      <c r="B6" s="156">
        <f>IF(B$2=0,0,(B$7*1+B$8*2+B$9*3)/B$2)</f>
        <v>1.9285714285714286</v>
      </c>
      <c r="C6" s="157"/>
      <c r="E6" s="65" t="s">
        <v>70</v>
      </c>
      <c r="F6" s="62" t="s">
        <v>24</v>
      </c>
      <c r="G6" s="49">
        <v>80</v>
      </c>
      <c r="H6" s="138">
        <f>IF(B$27=0,0,G6/B$27)</f>
        <v>0.3669724770642202</v>
      </c>
      <c r="I6" s="100">
        <v>4</v>
      </c>
      <c r="K6" s="40">
        <v>4</v>
      </c>
      <c r="L6" s="105">
        <v>-114.30000000000001</v>
      </c>
      <c r="N6" s="121" t="s">
        <v>151</v>
      </c>
      <c r="O6" s="128">
        <f t="shared" si="0"/>
        <v>997.43589743589746</v>
      </c>
      <c r="P6" s="125">
        <v>78</v>
      </c>
      <c r="Q6" s="109">
        <v>77800</v>
      </c>
    </row>
    <row r="7" spans="1:17" x14ac:dyDescent="0.4">
      <c r="A7" s="57" t="s">
        <v>2</v>
      </c>
      <c r="B7" s="49">
        <v>42</v>
      </c>
      <c r="C7" s="41">
        <f>IF(B$2=0,0,B7/B$2)</f>
        <v>0.375</v>
      </c>
      <c r="E7" s="65" t="s">
        <v>72</v>
      </c>
      <c r="F7" s="62" t="s">
        <v>12</v>
      </c>
      <c r="G7" s="49">
        <v>70</v>
      </c>
      <c r="H7" s="138">
        <f>IF(B$27=0,0,G7/B$27)</f>
        <v>0.32110091743119268</v>
      </c>
      <c r="I7" s="100">
        <v>4</v>
      </c>
      <c r="K7" s="40">
        <v>5</v>
      </c>
      <c r="L7" s="105">
        <v>-136.30000000000001</v>
      </c>
      <c r="N7" s="122" t="s">
        <v>152</v>
      </c>
      <c r="O7" s="129">
        <f t="shared" si="0"/>
        <v>-303.030303030303</v>
      </c>
      <c r="P7" s="126">
        <v>66</v>
      </c>
      <c r="Q7" s="110">
        <v>-20000</v>
      </c>
    </row>
    <row r="8" spans="1:17" x14ac:dyDescent="0.4">
      <c r="A8" s="57" t="s">
        <v>3</v>
      </c>
      <c r="B8" s="49">
        <v>36</v>
      </c>
      <c r="C8" s="41">
        <f>IF(B$2=0,0,B8/B$2)</f>
        <v>0.32142857142857145</v>
      </c>
      <c r="E8" s="65" t="s">
        <v>73</v>
      </c>
      <c r="F8" s="62" t="s">
        <v>26</v>
      </c>
      <c r="G8" s="49">
        <v>40</v>
      </c>
      <c r="H8" s="138">
        <f>IF(B$27=0,0,G8/B$27)</f>
        <v>0.1834862385321101</v>
      </c>
      <c r="I8" s="100">
        <v>2</v>
      </c>
      <c r="K8" s="40">
        <v>6</v>
      </c>
      <c r="L8" s="105">
        <v>-100.80000000000001</v>
      </c>
      <c r="N8" s="45"/>
      <c r="O8" s="133"/>
      <c r="P8" s="117"/>
      <c r="Q8" s="115"/>
    </row>
    <row r="9" spans="1:17" x14ac:dyDescent="0.4">
      <c r="A9" s="58" t="s">
        <v>4</v>
      </c>
      <c r="B9" s="50">
        <v>34</v>
      </c>
      <c r="C9" s="42">
        <f t="shared" ref="C9" si="1">IF(B$2=0,0,B9/B$2)</f>
        <v>0.30357142857142855</v>
      </c>
      <c r="E9" s="65" t="s">
        <v>94</v>
      </c>
      <c r="F9" s="62" t="s">
        <v>47</v>
      </c>
      <c r="G9" s="49">
        <v>33</v>
      </c>
      <c r="H9" s="138">
        <f>IF(B$27=0,0,G9/B$27)</f>
        <v>0.15137614678899083</v>
      </c>
      <c r="I9" s="100">
        <v>7</v>
      </c>
      <c r="K9" s="40">
        <v>7</v>
      </c>
      <c r="L9" s="105">
        <v>-106.20000000000002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</v>
      </c>
      <c r="C10" s="42">
        <f>IF(B$2=0,0,B10/B$2)</f>
        <v>0.11607142857142858</v>
      </c>
      <c r="E10" s="65" t="s">
        <v>68</v>
      </c>
      <c r="F10" s="62" t="s">
        <v>22</v>
      </c>
      <c r="G10" s="49">
        <v>25</v>
      </c>
      <c r="H10" s="138">
        <f>IF(B$27=0,0,G10/B$27)</f>
        <v>0.11467889908256881</v>
      </c>
      <c r="I10" s="100">
        <v>7</v>
      </c>
      <c r="K10" s="40">
        <v>8</v>
      </c>
      <c r="L10" s="105">
        <v>-52.300000000000018</v>
      </c>
      <c r="N10" s="120" t="s">
        <v>253</v>
      </c>
      <c r="O10" s="130">
        <f>IF(P10=0,0,Q10/P10)</f>
        <v>4.7078431372549003</v>
      </c>
      <c r="P10" s="124">
        <v>51</v>
      </c>
      <c r="Q10" s="112">
        <v>240.09999999999991</v>
      </c>
    </row>
    <row r="11" spans="1:17" x14ac:dyDescent="0.4">
      <c r="A11" s="58" t="s">
        <v>155</v>
      </c>
      <c r="B11" s="50">
        <v>19</v>
      </c>
      <c r="C11" s="42">
        <f>IF(B$2=0,0,B11/B$2)</f>
        <v>0.16964285714285715</v>
      </c>
      <c r="E11" s="65" t="s">
        <v>74</v>
      </c>
      <c r="F11" s="62" t="s">
        <v>27</v>
      </c>
      <c r="G11" s="49">
        <v>19</v>
      </c>
      <c r="H11" s="138">
        <f>IF(B$27=0,0,G11/B$27)</f>
        <v>8.7155963302752298E-2</v>
      </c>
      <c r="I11" s="100">
        <v>8</v>
      </c>
      <c r="K11" s="40">
        <v>9</v>
      </c>
      <c r="L11" s="105">
        <v>-53.500000000000021</v>
      </c>
      <c r="N11" s="121" t="s">
        <v>254</v>
      </c>
      <c r="O11" s="131">
        <f>IF(P11=0,0,Q11/P11)</f>
        <v>-5.6709677419354838</v>
      </c>
      <c r="P11" s="125">
        <v>31</v>
      </c>
      <c r="Q11" s="113">
        <v>-175.8</v>
      </c>
    </row>
    <row r="12" spans="1:17" x14ac:dyDescent="0.4">
      <c r="A12" s="59" t="s">
        <v>239</v>
      </c>
      <c r="B12" s="51">
        <v>11</v>
      </c>
      <c r="C12" s="44">
        <f>IF(B$2=0,0,B12/B$2)</f>
        <v>9.8214285714285712E-2</v>
      </c>
      <c r="E12" s="65" t="s">
        <v>75</v>
      </c>
      <c r="F12" s="62" t="s">
        <v>28</v>
      </c>
      <c r="G12" s="49">
        <v>14</v>
      </c>
      <c r="H12" s="138">
        <f>IF(B$27=0,0,G12/B$27)</f>
        <v>6.4220183486238536E-2</v>
      </c>
      <c r="I12" s="100">
        <v>3</v>
      </c>
      <c r="K12" s="40">
        <v>10</v>
      </c>
      <c r="L12" s="105">
        <v>-72.800000000000026</v>
      </c>
      <c r="N12" s="122" t="s">
        <v>255</v>
      </c>
      <c r="O12" s="132">
        <f>IF(P12=0,0,Q12/P12)</f>
        <v>4.5178571428571432</v>
      </c>
      <c r="P12" s="126">
        <v>28</v>
      </c>
      <c r="Q12" s="114">
        <v>126.5</v>
      </c>
    </row>
    <row r="13" spans="1:17" x14ac:dyDescent="0.4">
      <c r="A13" s="60" t="s">
        <v>128</v>
      </c>
      <c r="B13" s="52">
        <v>221</v>
      </c>
      <c r="C13" s="46">
        <f>IF(B$26=0,0,B13/B$26)</f>
        <v>0.30651872399445212</v>
      </c>
      <c r="E13" s="65" t="s">
        <v>82</v>
      </c>
      <c r="F13" s="62" t="s">
        <v>35</v>
      </c>
      <c r="G13" s="49">
        <v>14</v>
      </c>
      <c r="H13" s="138">
        <f>IF(B$27=0,0,G13/B$27)</f>
        <v>6.4220183486238536E-2</v>
      </c>
      <c r="I13" s="100">
        <v>1</v>
      </c>
      <c r="K13" s="40">
        <v>11</v>
      </c>
      <c r="L13" s="105">
        <v>-69.800000000000026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154</v>
      </c>
      <c r="C14" s="41">
        <f>IF(B$26=0,0,B14/B$26)</f>
        <v>0.21359223300970873</v>
      </c>
      <c r="E14" s="65" t="s">
        <v>91</v>
      </c>
      <c r="F14" s="62" t="s">
        <v>44</v>
      </c>
      <c r="G14" s="49">
        <v>9</v>
      </c>
      <c r="H14" s="138">
        <f>IF(B$27=0,0,G14/B$27)</f>
        <v>4.1284403669724773E-2</v>
      </c>
      <c r="I14" s="100">
        <v>12</v>
      </c>
      <c r="K14" s="40">
        <v>12</v>
      </c>
      <c r="L14" s="105">
        <v>-54.300000000000026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124</v>
      </c>
      <c r="C15" s="39">
        <f>IF(B$13=0,0,B15/B$13)</f>
        <v>0.56108597285067874</v>
      </c>
      <c r="E15" s="65" t="s">
        <v>86</v>
      </c>
      <c r="F15" s="62" t="s">
        <v>39</v>
      </c>
      <c r="G15" s="49">
        <v>8</v>
      </c>
      <c r="H15" s="138">
        <f>IF(B$27=0,0,G15/B$27)</f>
        <v>3.669724770642202E-2</v>
      </c>
      <c r="I15" s="100">
        <v>5</v>
      </c>
      <c r="K15" s="40">
        <v>13</v>
      </c>
      <c r="L15" s="105">
        <v>-43.200000000000024</v>
      </c>
      <c r="N15" s="120" t="s">
        <v>134</v>
      </c>
      <c r="O15" s="130">
        <f>IF(P15=0,0,Q15/P15)</f>
        <v>15.705714285714285</v>
      </c>
      <c r="P15" s="124">
        <v>35</v>
      </c>
      <c r="Q15" s="112">
        <v>549.69999999999993</v>
      </c>
    </row>
    <row r="16" spans="1:17" x14ac:dyDescent="0.4">
      <c r="A16" s="56" t="s">
        <v>131</v>
      </c>
      <c r="B16" s="48">
        <v>59</v>
      </c>
      <c r="C16" s="39">
        <f>IF(B$14=0,0,B16/B$14)</f>
        <v>0.38311688311688313</v>
      </c>
      <c r="E16" s="65" t="s">
        <v>88</v>
      </c>
      <c r="F16" s="62" t="s">
        <v>41</v>
      </c>
      <c r="G16" s="49">
        <v>7</v>
      </c>
      <c r="H16" s="138">
        <f>IF(B$27=0,0,G16/B$27)</f>
        <v>3.2110091743119268E-2</v>
      </c>
      <c r="I16" s="100">
        <v>7</v>
      </c>
      <c r="K16" s="40">
        <v>14</v>
      </c>
      <c r="L16" s="105">
        <v>-50.400000000000027</v>
      </c>
      <c r="N16" s="121" t="s">
        <v>157</v>
      </c>
      <c r="O16" s="131">
        <f>IF(P16=0,0,Q16/P16)</f>
        <v>15.14</v>
      </c>
      <c r="P16" s="125">
        <v>10</v>
      </c>
      <c r="Q16" s="113">
        <v>151.4</v>
      </c>
    </row>
    <row r="17" spans="1:17" x14ac:dyDescent="0.4">
      <c r="A17" s="56" t="s">
        <v>10</v>
      </c>
      <c r="B17" s="48">
        <f>B19+B18</f>
        <v>255</v>
      </c>
      <c r="C17" s="39">
        <f>IF(B$3=0,0,B17/B$3)</f>
        <v>0.30106257378984652</v>
      </c>
      <c r="E17" s="65" t="s">
        <v>77</v>
      </c>
      <c r="F17" s="62" t="s">
        <v>30</v>
      </c>
      <c r="G17" s="49">
        <v>4</v>
      </c>
      <c r="H17" s="138">
        <f>IF(B$27=0,0,G17/B$27)</f>
        <v>1.834862385321101E-2</v>
      </c>
      <c r="I17" s="100">
        <v>2</v>
      </c>
      <c r="K17" s="40">
        <v>15</v>
      </c>
      <c r="L17" s="105">
        <v>23.89999999999997</v>
      </c>
      <c r="N17" s="121" t="s">
        <v>139</v>
      </c>
      <c r="O17" s="131">
        <f>IF(P17=0,0,Q17/P17)</f>
        <v>14.182499999999996</v>
      </c>
      <c r="P17" s="125">
        <v>40</v>
      </c>
      <c r="Q17" s="113">
        <v>567.29999999999984</v>
      </c>
    </row>
    <row r="18" spans="1:17" x14ac:dyDescent="0.4">
      <c r="A18" s="57" t="s">
        <v>12</v>
      </c>
      <c r="B18" s="49">
        <v>113</v>
      </c>
      <c r="C18" s="41">
        <f>IF(B$17=0,0,B18/B$17)</f>
        <v>0.44313725490196076</v>
      </c>
      <c r="E18" s="65" t="s">
        <v>96</v>
      </c>
      <c r="F18" s="62" t="s">
        <v>49</v>
      </c>
      <c r="G18" s="49">
        <v>4</v>
      </c>
      <c r="H18" s="138">
        <f>IF(B$27=0,0,G18/B$27)</f>
        <v>1.834862385321101E-2</v>
      </c>
      <c r="I18" s="100">
        <v>6</v>
      </c>
      <c r="K18" s="40">
        <v>16</v>
      </c>
      <c r="L18" s="105">
        <v>58.89999999999997</v>
      </c>
      <c r="N18" s="121" t="s">
        <v>136</v>
      </c>
      <c r="O18" s="131">
        <f>IF(P18=0,0,Q18/P18)</f>
        <v>-3.3548387096774213</v>
      </c>
      <c r="P18" s="125">
        <v>31</v>
      </c>
      <c r="Q18" s="113">
        <v>-104.00000000000006</v>
      </c>
    </row>
    <row r="19" spans="1:17" x14ac:dyDescent="0.4">
      <c r="A19" s="57" t="s">
        <v>11</v>
      </c>
      <c r="B19" s="49">
        <v>142</v>
      </c>
      <c r="C19" s="41">
        <f>IF(B$17=0,0,B19/B$17)</f>
        <v>0.55686274509803924</v>
      </c>
      <c r="E19" s="65" t="s">
        <v>81</v>
      </c>
      <c r="F19" s="62" t="s">
        <v>34</v>
      </c>
      <c r="G19" s="49">
        <v>2</v>
      </c>
      <c r="H19" s="138">
        <f>IF(B$27=0,0,G19/B$27)</f>
        <v>9.1743119266055051E-3</v>
      </c>
      <c r="I19" s="100">
        <v>3</v>
      </c>
      <c r="K19" s="40">
        <v>17</v>
      </c>
      <c r="L19" s="105">
        <v>58.599999999999973</v>
      </c>
      <c r="N19" s="121" t="s">
        <v>138</v>
      </c>
      <c r="O19" s="131">
        <f>IF(P19=0,0,Q19/P19)</f>
        <v>-3.38</v>
      </c>
      <c r="P19" s="125">
        <v>5</v>
      </c>
      <c r="Q19" s="113">
        <v>-16.899999999999999</v>
      </c>
    </row>
    <row r="20" spans="1:17" x14ac:dyDescent="0.4">
      <c r="A20" s="57" t="s">
        <v>13</v>
      </c>
      <c r="B20" s="49">
        <v>138</v>
      </c>
      <c r="C20" s="41">
        <f>IF(B$3=0,0,B20/B$3)</f>
        <v>0.16292798110979928</v>
      </c>
      <c r="E20" s="65" t="s">
        <v>83</v>
      </c>
      <c r="F20" s="62" t="s">
        <v>36</v>
      </c>
      <c r="G20" s="49">
        <v>2</v>
      </c>
      <c r="H20" s="138">
        <f>IF(B$27=0,0,G20/B$27)</f>
        <v>9.1743119266055051E-3</v>
      </c>
      <c r="I20" s="100">
        <v>10</v>
      </c>
      <c r="K20" s="40">
        <v>18</v>
      </c>
      <c r="L20" s="105">
        <v>122.59999999999997</v>
      </c>
      <c r="N20" s="121" t="s">
        <v>133</v>
      </c>
      <c r="O20" s="131">
        <f>IF(P20=0,0,Q20/P20)</f>
        <v>-3.7720430107526877</v>
      </c>
      <c r="P20" s="125">
        <v>93</v>
      </c>
      <c r="Q20" s="113">
        <v>-350.79999999999995</v>
      </c>
    </row>
    <row r="21" spans="1:17" x14ac:dyDescent="0.4">
      <c r="A21" s="57" t="s">
        <v>5</v>
      </c>
      <c r="B21" s="53">
        <f>IF(B$17=0,0,C21/B$17)</f>
        <v>10497.64705882353</v>
      </c>
      <c r="C21" s="43">
        <v>2676900</v>
      </c>
      <c r="E21" s="65" t="s">
        <v>98</v>
      </c>
      <c r="F21" s="62" t="s">
        <v>51</v>
      </c>
      <c r="G21" s="49">
        <v>2</v>
      </c>
      <c r="H21" s="138">
        <f>IF(B$27=0,0,G21/B$27)</f>
        <v>9.1743119266055051E-3</v>
      </c>
      <c r="I21" s="100">
        <v>2</v>
      </c>
      <c r="K21" s="40">
        <v>19</v>
      </c>
      <c r="L21" s="105">
        <v>125.69999999999996</v>
      </c>
      <c r="N21" s="121" t="s">
        <v>194</v>
      </c>
      <c r="O21" s="131">
        <f>IF(P21=0,0,Q21/P21)</f>
        <v>-5.8666666666666671</v>
      </c>
      <c r="P21" s="125">
        <v>3</v>
      </c>
      <c r="Q21" s="113">
        <v>-17.600000000000001</v>
      </c>
    </row>
    <row r="22" spans="1:17" x14ac:dyDescent="0.4">
      <c r="A22" s="59" t="s">
        <v>14</v>
      </c>
      <c r="B22" s="54">
        <f>IF(B$20=0,0,C22/B$20)</f>
        <v>-9266.6666666666661</v>
      </c>
      <c r="C22" s="47">
        <v>-1278800</v>
      </c>
      <c r="E22" s="65" t="s">
        <v>78</v>
      </c>
      <c r="F22" s="62" t="s">
        <v>31</v>
      </c>
      <c r="G22" s="49">
        <v>1</v>
      </c>
      <c r="H22" s="138">
        <f>IF(B$27=0,0,G22/B$27)</f>
        <v>4.5871559633027525E-3</v>
      </c>
      <c r="I22" s="100">
        <v>2</v>
      </c>
      <c r="K22" s="40">
        <v>20</v>
      </c>
      <c r="L22" s="105">
        <v>126.89999999999996</v>
      </c>
      <c r="N22" s="121" t="s">
        <v>135</v>
      </c>
      <c r="O22" s="131">
        <f>IF(P22=0,0,Q22/P22)</f>
        <v>-14.371428571428575</v>
      </c>
      <c r="P22" s="125">
        <v>7</v>
      </c>
      <c r="Q22" s="113">
        <v>-100.60000000000002</v>
      </c>
    </row>
    <row r="23" spans="1:17" x14ac:dyDescent="0.4">
      <c r="A23" s="96" t="s">
        <v>158</v>
      </c>
      <c r="B23" s="154">
        <v>9</v>
      </c>
      <c r="C23" s="155"/>
      <c r="E23" s="65" t="s">
        <v>79</v>
      </c>
      <c r="F23" s="62" t="s">
        <v>32</v>
      </c>
      <c r="G23" s="49">
        <v>1</v>
      </c>
      <c r="H23" s="138">
        <f>IF(B$27=0,0,G23/B$27)</f>
        <v>4.5871559633027525E-3</v>
      </c>
      <c r="I23" s="100">
        <v>5</v>
      </c>
      <c r="K23" s="40">
        <v>21</v>
      </c>
      <c r="L23" s="105">
        <v>129.69999999999996</v>
      </c>
    </row>
    <row r="24" spans="1:17" x14ac:dyDescent="0.4">
      <c r="A24" s="60" t="s">
        <v>199</v>
      </c>
      <c r="B24" s="152">
        <v>109300</v>
      </c>
      <c r="C24" s="153"/>
      <c r="E24" s="65" t="s">
        <v>89</v>
      </c>
      <c r="F24" s="62" t="s">
        <v>42</v>
      </c>
      <c r="G24" s="49">
        <v>1</v>
      </c>
      <c r="H24" s="138">
        <f>IF(B$27=0,0,G24/B$27)</f>
        <v>4.5871559633027525E-3</v>
      </c>
      <c r="I24" s="100">
        <v>2</v>
      </c>
      <c r="K24" s="40">
        <v>22</v>
      </c>
      <c r="L24" s="105">
        <v>174.29999999999995</v>
      </c>
    </row>
    <row r="25" spans="1:17" x14ac:dyDescent="0.4">
      <c r="A25" s="59" t="s">
        <v>159</v>
      </c>
      <c r="B25" s="67">
        <v>3</v>
      </c>
      <c r="C25" s="44">
        <f>IF(B$3=0,0,B25/B$3)</f>
        <v>3.5419126328217238E-3</v>
      </c>
      <c r="E25" s="65" t="s">
        <v>80</v>
      </c>
      <c r="F25" s="62" t="s">
        <v>33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172.89999999999995</v>
      </c>
    </row>
    <row r="26" spans="1:17" x14ac:dyDescent="0.4">
      <c r="A26" s="56" t="s">
        <v>126</v>
      </c>
      <c r="B26" s="144">
        <v>721</v>
      </c>
      <c r="C26" s="145"/>
      <c r="E26" s="65" t="s">
        <v>84</v>
      </c>
      <c r="F26" s="62" t="s">
        <v>37</v>
      </c>
      <c r="G26" s="49">
        <v>0</v>
      </c>
      <c r="H26" s="138">
        <f>IF(B$27=0,0,G26/B$27)</f>
        <v>0</v>
      </c>
      <c r="I26" s="100">
        <v>1</v>
      </c>
      <c r="K26" s="40">
        <v>24</v>
      </c>
      <c r="L26" s="105">
        <v>133.19999999999993</v>
      </c>
    </row>
    <row r="27" spans="1:17" x14ac:dyDescent="0.4">
      <c r="A27" s="59" t="s">
        <v>127</v>
      </c>
      <c r="B27" s="158">
        <v>218</v>
      </c>
      <c r="C27" s="159"/>
      <c r="E27" s="65" t="s">
        <v>85</v>
      </c>
      <c r="F27" s="62" t="s">
        <v>38</v>
      </c>
      <c r="G27" s="49">
        <v>0</v>
      </c>
      <c r="H27" s="138">
        <f>IF(B$27=0,0,G27/B$27)</f>
        <v>0</v>
      </c>
      <c r="I27" s="100">
        <v>3</v>
      </c>
      <c r="K27" s="40">
        <v>25</v>
      </c>
      <c r="L27" s="105">
        <v>117.39999999999993</v>
      </c>
    </row>
    <row r="28" spans="1:17" x14ac:dyDescent="0.4">
      <c r="E28" s="65" t="s">
        <v>87</v>
      </c>
      <c r="F28" s="62" t="s">
        <v>40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128.69999999999993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84.699999999999932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43.699999999999932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32.899999999999935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48.499999999999936</v>
      </c>
    </row>
    <row r="33" spans="5:12" x14ac:dyDescent="0.4">
      <c r="E33" s="65" t="s">
        <v>97</v>
      </c>
      <c r="F33" s="62" t="s">
        <v>50</v>
      </c>
      <c r="G33" s="49">
        <v>0</v>
      </c>
      <c r="H33" s="138">
        <f>IF(B$27=0,0,G33/B$27)</f>
        <v>0</v>
      </c>
      <c r="I33" s="100">
        <v>7</v>
      </c>
      <c r="K33" s="40">
        <v>31</v>
      </c>
      <c r="L33" s="105">
        <v>5.0999999999999375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5.7999999999999376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17.999999999999936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-19.300000000000061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29.699999999999939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15.899999999999938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56.899999999999935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53.499999999999936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125.09999999999994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156.59999999999994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191.99999999999994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203.49999999999994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212.59999999999994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164.19999999999993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209.09999999999994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218.99999999999994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198.99999999999994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194.09999999999994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211.89999999999995</v>
      </c>
    </row>
    <row r="52" spans="5:12" x14ac:dyDescent="0.4">
      <c r="K52" s="40">
        <v>50</v>
      </c>
      <c r="L52" s="105">
        <v>185.49999999999994</v>
      </c>
    </row>
    <row r="53" spans="5:12" x14ac:dyDescent="0.4">
      <c r="K53" s="40">
        <v>51</v>
      </c>
      <c r="L53" s="105">
        <v>195.99999999999994</v>
      </c>
    </row>
    <row r="54" spans="5:12" x14ac:dyDescent="0.4">
      <c r="K54" s="40">
        <v>52</v>
      </c>
      <c r="L54" s="105">
        <v>195.59999999999994</v>
      </c>
    </row>
    <row r="55" spans="5:12" x14ac:dyDescent="0.4">
      <c r="K55" s="40">
        <v>53</v>
      </c>
      <c r="L55" s="105">
        <v>213.69999999999993</v>
      </c>
    </row>
    <row r="56" spans="5:12" x14ac:dyDescent="0.4">
      <c r="K56" s="40">
        <v>54</v>
      </c>
      <c r="L56" s="105">
        <v>236.49999999999994</v>
      </c>
    </row>
    <row r="57" spans="5:12" x14ac:dyDescent="0.4">
      <c r="K57" s="40">
        <v>55</v>
      </c>
      <c r="L57" s="105">
        <v>223.69999999999993</v>
      </c>
    </row>
    <row r="58" spans="5:12" x14ac:dyDescent="0.4">
      <c r="K58" s="40">
        <v>56</v>
      </c>
      <c r="L58" s="105">
        <v>259.69999999999993</v>
      </c>
    </row>
    <row r="59" spans="5:12" x14ac:dyDescent="0.4">
      <c r="K59" s="40">
        <v>57</v>
      </c>
      <c r="L59" s="105">
        <v>210.59999999999994</v>
      </c>
    </row>
    <row r="60" spans="5:12" x14ac:dyDescent="0.4">
      <c r="K60" s="40">
        <v>58</v>
      </c>
      <c r="L60" s="105">
        <v>207.99999999999994</v>
      </c>
    </row>
    <row r="61" spans="5:12" x14ac:dyDescent="0.4">
      <c r="K61" s="40">
        <v>59</v>
      </c>
      <c r="L61" s="105">
        <v>220.49999999999994</v>
      </c>
    </row>
    <row r="62" spans="5:12" x14ac:dyDescent="0.4">
      <c r="K62" s="40">
        <v>60</v>
      </c>
      <c r="L62" s="105">
        <v>232.79999999999995</v>
      </c>
    </row>
    <row r="63" spans="5:12" x14ac:dyDescent="0.4">
      <c r="K63" s="40">
        <v>61</v>
      </c>
      <c r="L63" s="105">
        <v>233.69999999999996</v>
      </c>
    </row>
    <row r="64" spans="5:12" x14ac:dyDescent="0.4">
      <c r="K64" s="40">
        <v>62</v>
      </c>
      <c r="L64" s="105">
        <v>229.89999999999995</v>
      </c>
    </row>
    <row r="65" spans="11:12" x14ac:dyDescent="0.4">
      <c r="K65" s="40">
        <v>63</v>
      </c>
      <c r="L65" s="105">
        <v>217.99999999999994</v>
      </c>
    </row>
    <row r="66" spans="11:12" x14ac:dyDescent="0.4">
      <c r="K66" s="40">
        <v>64</v>
      </c>
      <c r="L66" s="105">
        <v>200.49999999999994</v>
      </c>
    </row>
    <row r="67" spans="11:12" x14ac:dyDescent="0.4">
      <c r="K67" s="40">
        <v>65</v>
      </c>
      <c r="L67" s="105">
        <v>207.79999999999995</v>
      </c>
    </row>
    <row r="68" spans="11:12" x14ac:dyDescent="0.4">
      <c r="K68" s="40">
        <v>66</v>
      </c>
      <c r="L68" s="105">
        <v>203.19999999999996</v>
      </c>
    </row>
    <row r="69" spans="11:12" x14ac:dyDescent="0.4">
      <c r="K69" s="40">
        <v>67</v>
      </c>
      <c r="L69" s="105">
        <v>217.29999999999995</v>
      </c>
    </row>
    <row r="70" spans="11:12" x14ac:dyDescent="0.4">
      <c r="K70" s="40">
        <v>68</v>
      </c>
      <c r="L70" s="105">
        <v>178.79999999999995</v>
      </c>
    </row>
    <row r="71" spans="11:12" x14ac:dyDescent="0.4">
      <c r="K71" s="40">
        <v>69</v>
      </c>
      <c r="L71" s="105">
        <v>187.69999999999996</v>
      </c>
    </row>
    <row r="72" spans="11:12" x14ac:dyDescent="0.4">
      <c r="K72" s="40">
        <v>70</v>
      </c>
      <c r="L72" s="105">
        <v>217.39999999999995</v>
      </c>
    </row>
    <row r="73" spans="11:12" x14ac:dyDescent="0.4">
      <c r="K73" s="40">
        <v>71</v>
      </c>
      <c r="L73" s="105">
        <v>196.69999999999996</v>
      </c>
    </row>
    <row r="74" spans="11:12" x14ac:dyDescent="0.4">
      <c r="K74" s="40">
        <v>72</v>
      </c>
      <c r="L74" s="105">
        <v>158.69999999999996</v>
      </c>
    </row>
    <row r="75" spans="11:12" x14ac:dyDescent="0.4">
      <c r="K75" s="40">
        <v>73</v>
      </c>
      <c r="L75" s="105">
        <v>194.69999999999996</v>
      </c>
    </row>
    <row r="76" spans="11:12" x14ac:dyDescent="0.4">
      <c r="K76" s="40">
        <v>74</v>
      </c>
      <c r="L76" s="105">
        <v>224.59999999999997</v>
      </c>
    </row>
    <row r="77" spans="11:12" x14ac:dyDescent="0.4">
      <c r="K77" s="40">
        <v>75</v>
      </c>
      <c r="L77" s="105">
        <v>248.09999999999997</v>
      </c>
    </row>
    <row r="78" spans="11:12" x14ac:dyDescent="0.4">
      <c r="K78" s="40">
        <v>76</v>
      </c>
      <c r="L78" s="105">
        <v>242.29999999999995</v>
      </c>
    </row>
    <row r="79" spans="11:12" x14ac:dyDescent="0.4">
      <c r="K79" s="40">
        <v>77</v>
      </c>
      <c r="L79" s="105">
        <v>239.29999999999995</v>
      </c>
    </row>
    <row r="80" spans="11:12" x14ac:dyDescent="0.4">
      <c r="K80" s="40">
        <v>78</v>
      </c>
      <c r="L80" s="105">
        <v>232.59999999999997</v>
      </c>
    </row>
    <row r="81" spans="11:12" x14ac:dyDescent="0.4">
      <c r="K81" s="40">
        <v>79</v>
      </c>
      <c r="L81" s="105">
        <v>212.29999999999995</v>
      </c>
    </row>
    <row r="82" spans="11:12" x14ac:dyDescent="0.4">
      <c r="K82" s="40">
        <v>80</v>
      </c>
      <c r="L82" s="105">
        <v>239.79999999999995</v>
      </c>
    </row>
    <row r="83" spans="11:12" x14ac:dyDescent="0.4">
      <c r="K83" s="40">
        <v>81</v>
      </c>
      <c r="L83" s="105">
        <v>245.49999999999994</v>
      </c>
    </row>
    <row r="84" spans="11:12" x14ac:dyDescent="0.4">
      <c r="K84" s="40">
        <v>82</v>
      </c>
      <c r="L84" s="105">
        <v>258.69999999999993</v>
      </c>
    </row>
    <row r="85" spans="11:12" x14ac:dyDescent="0.4">
      <c r="K85" s="40">
        <v>83</v>
      </c>
      <c r="L85" s="105">
        <v>251.69999999999993</v>
      </c>
    </row>
    <row r="86" spans="11:12" x14ac:dyDescent="0.4">
      <c r="K86" s="40">
        <v>84</v>
      </c>
      <c r="L86" s="105">
        <v>271.99999999999994</v>
      </c>
    </row>
    <row r="87" spans="11:12" x14ac:dyDescent="0.4">
      <c r="K87" s="40">
        <v>85</v>
      </c>
      <c r="L87" s="105">
        <v>265.99999999999994</v>
      </c>
    </row>
    <row r="88" spans="11:12" x14ac:dyDescent="0.4">
      <c r="K88" s="40">
        <v>86</v>
      </c>
      <c r="L88" s="105">
        <v>239.79999999999995</v>
      </c>
    </row>
    <row r="89" spans="11:12" x14ac:dyDescent="0.4">
      <c r="K89" s="40">
        <v>87</v>
      </c>
      <c r="L89" s="105">
        <v>275.79999999999995</v>
      </c>
    </row>
    <row r="90" spans="11:12" x14ac:dyDescent="0.4">
      <c r="K90" s="40">
        <v>88</v>
      </c>
      <c r="L90" s="105">
        <v>276.09999999999997</v>
      </c>
    </row>
    <row r="91" spans="11:12" x14ac:dyDescent="0.4">
      <c r="K91" s="40">
        <v>89</v>
      </c>
      <c r="L91" s="105">
        <v>259.49999999999994</v>
      </c>
    </row>
    <row r="92" spans="11:12" x14ac:dyDescent="0.4">
      <c r="K92" s="40">
        <v>90</v>
      </c>
      <c r="L92" s="105">
        <v>286.89999999999992</v>
      </c>
    </row>
    <row r="93" spans="11:12" x14ac:dyDescent="0.4">
      <c r="K93" s="40">
        <v>91</v>
      </c>
      <c r="L93" s="105">
        <v>252.39999999999992</v>
      </c>
    </row>
    <row r="94" spans="11:12" x14ac:dyDescent="0.4">
      <c r="K94" s="40">
        <v>92</v>
      </c>
      <c r="L94" s="105">
        <v>278.59999999999991</v>
      </c>
    </row>
    <row r="95" spans="11:12" x14ac:dyDescent="0.4">
      <c r="K95" s="40">
        <v>93</v>
      </c>
      <c r="L95" s="105">
        <v>264.7999999999999</v>
      </c>
    </row>
    <row r="96" spans="11:12" x14ac:dyDescent="0.4">
      <c r="K96" s="40">
        <v>94</v>
      </c>
      <c r="L96" s="105">
        <v>247.89999999999989</v>
      </c>
    </row>
    <row r="97" spans="11:12" x14ac:dyDescent="0.4">
      <c r="K97" s="40">
        <v>95</v>
      </c>
      <c r="L97" s="105">
        <v>222.49999999999989</v>
      </c>
    </row>
    <row r="98" spans="11:12" x14ac:dyDescent="0.4">
      <c r="K98" s="40">
        <v>96</v>
      </c>
      <c r="L98" s="105">
        <v>234.99999999999989</v>
      </c>
    </row>
    <row r="99" spans="11:12" x14ac:dyDescent="0.4">
      <c r="K99" s="40">
        <v>97</v>
      </c>
      <c r="L99" s="105">
        <v>252.19999999999987</v>
      </c>
    </row>
    <row r="100" spans="11:12" x14ac:dyDescent="0.4">
      <c r="K100" s="40">
        <v>98</v>
      </c>
      <c r="L100" s="105">
        <v>221.59999999999988</v>
      </c>
    </row>
    <row r="101" spans="11:12" x14ac:dyDescent="0.4">
      <c r="K101" s="40">
        <v>99</v>
      </c>
      <c r="L101" s="105">
        <v>245.39999999999989</v>
      </c>
    </row>
    <row r="102" spans="11:12" x14ac:dyDescent="0.4">
      <c r="K102" s="40">
        <v>100</v>
      </c>
      <c r="L102" s="105">
        <v>252.89999999999989</v>
      </c>
    </row>
    <row r="103" spans="11:12" x14ac:dyDescent="0.4">
      <c r="K103" s="40">
        <v>101</v>
      </c>
      <c r="L103" s="105">
        <v>270.69999999999987</v>
      </c>
    </row>
    <row r="104" spans="11:12" x14ac:dyDescent="0.4">
      <c r="K104" s="40">
        <v>102</v>
      </c>
      <c r="L104" s="105">
        <v>248.89999999999986</v>
      </c>
    </row>
    <row r="105" spans="11:12" x14ac:dyDescent="0.4">
      <c r="K105" s="40">
        <v>103</v>
      </c>
      <c r="L105" s="105">
        <v>250.99999999999986</v>
      </c>
    </row>
    <row r="106" spans="11:12" x14ac:dyDescent="0.4">
      <c r="K106" s="40">
        <v>104</v>
      </c>
      <c r="L106" s="105">
        <v>256.59999999999985</v>
      </c>
    </row>
    <row r="107" spans="11:12" x14ac:dyDescent="0.4">
      <c r="K107" s="40">
        <v>105</v>
      </c>
      <c r="L107" s="105">
        <v>207.59999999999985</v>
      </c>
    </row>
    <row r="108" spans="11:12" x14ac:dyDescent="0.4">
      <c r="K108" s="40">
        <v>106</v>
      </c>
      <c r="L108" s="105">
        <v>192.19999999999985</v>
      </c>
    </row>
    <row r="109" spans="11:12" x14ac:dyDescent="0.4">
      <c r="K109" s="40">
        <v>107</v>
      </c>
      <c r="L109" s="105">
        <v>234.69999999999985</v>
      </c>
    </row>
    <row r="110" spans="11:12" x14ac:dyDescent="0.4">
      <c r="K110" s="40">
        <v>108</v>
      </c>
      <c r="L110" s="105">
        <v>243.69999999999985</v>
      </c>
    </row>
    <row r="111" spans="11:12" x14ac:dyDescent="0.4">
      <c r="K111" s="40">
        <v>109</v>
      </c>
      <c r="L111" s="105">
        <v>184.79999999999984</v>
      </c>
    </row>
    <row r="112" spans="11:12" x14ac:dyDescent="0.4">
      <c r="K112" s="40">
        <v>110</v>
      </c>
      <c r="L112" s="105">
        <v>225.49999999999983</v>
      </c>
    </row>
    <row r="113" spans="11:12" x14ac:dyDescent="0.4">
      <c r="K113" s="40">
        <v>111</v>
      </c>
      <c r="L113" s="105">
        <v>216.99999999999983</v>
      </c>
    </row>
    <row r="114" spans="11:12" x14ac:dyDescent="0.4">
      <c r="K114" s="40">
        <v>112</v>
      </c>
      <c r="L114" s="105">
        <v>225.49999999999983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91D7-9C18-4418-9DFA-5B22FF25AFF4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138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32</v>
      </c>
      <c r="C2" s="145"/>
      <c r="E2" s="64" t="s">
        <v>71</v>
      </c>
      <c r="F2" s="61" t="s">
        <v>25</v>
      </c>
      <c r="G2" s="48">
        <v>43</v>
      </c>
      <c r="H2" s="137">
        <f>IF(B$27=0,0,G2/B$27)</f>
        <v>0.97727272727272729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543.75</v>
      </c>
      <c r="P2" s="124">
        <v>32</v>
      </c>
      <c r="Q2" s="108">
        <v>17400</v>
      </c>
    </row>
    <row r="3" spans="1:17" x14ac:dyDescent="0.4">
      <c r="A3" s="57" t="s">
        <v>8</v>
      </c>
      <c r="B3" s="146">
        <v>262</v>
      </c>
      <c r="C3" s="147"/>
      <c r="E3" s="65" t="s">
        <v>67</v>
      </c>
      <c r="F3" s="62" t="s">
        <v>21</v>
      </c>
      <c r="G3" s="49">
        <v>30</v>
      </c>
      <c r="H3" s="138">
        <f>IF(B$27=0,0,G3/B$27)</f>
        <v>0.68181818181818177</v>
      </c>
      <c r="I3" s="100">
        <v>1</v>
      </c>
      <c r="K3" s="40">
        <v>1</v>
      </c>
      <c r="L3" s="105">
        <v>-14.4</v>
      </c>
      <c r="N3" s="121" t="s">
        <v>148</v>
      </c>
      <c r="O3" s="128">
        <f t="shared" si="0"/>
        <v>2250</v>
      </c>
      <c r="P3" s="125">
        <v>30</v>
      </c>
      <c r="Q3" s="109">
        <v>67500</v>
      </c>
    </row>
    <row r="4" spans="1:17" x14ac:dyDescent="0.4">
      <c r="A4" s="57" t="s">
        <v>6</v>
      </c>
      <c r="B4" s="148">
        <v>8.2000000000000242</v>
      </c>
      <c r="C4" s="149"/>
      <c r="E4" s="65" t="s">
        <v>70</v>
      </c>
      <c r="F4" s="62" t="s">
        <v>24</v>
      </c>
      <c r="G4" s="49">
        <v>24</v>
      </c>
      <c r="H4" s="138">
        <f>IF(B$27=0,0,G4/B$27)</f>
        <v>0.54545454545454541</v>
      </c>
      <c r="I4" s="100">
        <v>1</v>
      </c>
      <c r="K4" s="40">
        <v>2</v>
      </c>
      <c r="L4" s="105">
        <v>37.6</v>
      </c>
      <c r="N4" s="121" t="s">
        <v>149</v>
      </c>
      <c r="O4" s="128">
        <f t="shared" si="0"/>
        <v>-900</v>
      </c>
      <c r="P4" s="125">
        <v>27</v>
      </c>
      <c r="Q4" s="109">
        <v>-24300</v>
      </c>
    </row>
    <row r="5" spans="1:17" x14ac:dyDescent="0.4">
      <c r="A5" s="57" t="s">
        <v>7</v>
      </c>
      <c r="B5" s="150">
        <f>IF(B$2=0,0,B$4/B$2)</f>
        <v>0.25625000000000075</v>
      </c>
      <c r="C5" s="151"/>
      <c r="E5" s="65" t="s">
        <v>69</v>
      </c>
      <c r="F5" s="62" t="s">
        <v>23</v>
      </c>
      <c r="G5" s="49">
        <v>23</v>
      </c>
      <c r="H5" s="138">
        <f>IF(B$27=0,0,G5/B$27)</f>
        <v>0.52272727272727271</v>
      </c>
      <c r="I5" s="100">
        <v>12</v>
      </c>
      <c r="K5" s="40">
        <v>3</v>
      </c>
      <c r="L5" s="105">
        <v>-2.7999999999999972</v>
      </c>
      <c r="N5" s="121" t="s">
        <v>150</v>
      </c>
      <c r="O5" s="128">
        <f t="shared" si="0"/>
        <v>608</v>
      </c>
      <c r="P5" s="125">
        <v>25</v>
      </c>
      <c r="Q5" s="109">
        <v>15200</v>
      </c>
    </row>
    <row r="6" spans="1:17" x14ac:dyDescent="0.4">
      <c r="A6" s="57" t="s">
        <v>1</v>
      </c>
      <c r="B6" s="156">
        <f>IF(B$2=0,0,(B$7*1+B$8*2+B$9*3)/B$2)</f>
        <v>2.03125</v>
      </c>
      <c r="C6" s="157"/>
      <c r="E6" s="65" t="s">
        <v>76</v>
      </c>
      <c r="F6" s="62" t="s">
        <v>29</v>
      </c>
      <c r="G6" s="49">
        <v>19</v>
      </c>
      <c r="H6" s="138">
        <f>IF(B$27=0,0,G6/B$27)</f>
        <v>0.43181818181818182</v>
      </c>
      <c r="I6" s="100">
        <v>13</v>
      </c>
      <c r="K6" s="40">
        <v>4</v>
      </c>
      <c r="L6" s="105">
        <v>-44.3</v>
      </c>
      <c r="N6" s="121" t="s">
        <v>151</v>
      </c>
      <c r="O6" s="128">
        <f t="shared" si="0"/>
        <v>-1685.7142857142858</v>
      </c>
      <c r="P6" s="125">
        <v>21</v>
      </c>
      <c r="Q6" s="109">
        <v>-35400</v>
      </c>
    </row>
    <row r="7" spans="1:17" x14ac:dyDescent="0.4">
      <c r="A7" s="57" t="s">
        <v>2</v>
      </c>
      <c r="B7" s="49">
        <v>11</v>
      </c>
      <c r="C7" s="41">
        <f>IF(B$2=0,0,B7/B$2)</f>
        <v>0.34375</v>
      </c>
      <c r="E7" s="65" t="s">
        <v>72</v>
      </c>
      <c r="F7" s="62" t="s">
        <v>12</v>
      </c>
      <c r="G7" s="49">
        <v>17</v>
      </c>
      <c r="H7" s="138">
        <f>IF(B$27=0,0,G7/B$27)</f>
        <v>0.38636363636363635</v>
      </c>
      <c r="I7" s="100">
        <v>1</v>
      </c>
      <c r="K7" s="40">
        <v>5</v>
      </c>
      <c r="L7" s="105">
        <v>8.2000000000000028</v>
      </c>
      <c r="N7" s="122" t="s">
        <v>152</v>
      </c>
      <c r="O7" s="129">
        <f t="shared" si="0"/>
        <v>-1788.8888888888889</v>
      </c>
      <c r="P7" s="126">
        <v>18</v>
      </c>
      <c r="Q7" s="110">
        <v>-32200</v>
      </c>
    </row>
    <row r="8" spans="1:17" x14ac:dyDescent="0.4">
      <c r="A8" s="57" t="s">
        <v>3</v>
      </c>
      <c r="B8" s="49">
        <v>9</v>
      </c>
      <c r="C8" s="41">
        <f>IF(B$2=0,0,B8/B$2)</f>
        <v>0.28125</v>
      </c>
      <c r="E8" s="65" t="s">
        <v>68</v>
      </c>
      <c r="F8" s="62" t="s">
        <v>22</v>
      </c>
      <c r="G8" s="49">
        <v>7</v>
      </c>
      <c r="H8" s="138">
        <f>IF(B$27=0,0,G8/B$27)</f>
        <v>0.15909090909090909</v>
      </c>
      <c r="I8" s="100">
        <v>2</v>
      </c>
      <c r="K8" s="40">
        <v>6</v>
      </c>
      <c r="L8" s="105">
        <v>23.200000000000003</v>
      </c>
      <c r="N8" s="45"/>
      <c r="O8" s="133"/>
      <c r="P8" s="117"/>
      <c r="Q8" s="115"/>
    </row>
    <row r="9" spans="1:17" x14ac:dyDescent="0.4">
      <c r="A9" s="58" t="s">
        <v>4</v>
      </c>
      <c r="B9" s="50">
        <v>12</v>
      </c>
      <c r="C9" s="42">
        <f t="shared" ref="C9" si="1">IF(B$2=0,0,B9/B$2)</f>
        <v>0.375</v>
      </c>
      <c r="E9" s="65" t="s">
        <v>94</v>
      </c>
      <c r="F9" s="62" t="s">
        <v>47</v>
      </c>
      <c r="G9" s="49">
        <v>6</v>
      </c>
      <c r="H9" s="138">
        <f>IF(B$27=0,0,G9/B$27)</f>
        <v>0.13636363636363635</v>
      </c>
      <c r="I9" s="100">
        <v>9</v>
      </c>
      <c r="K9" s="40">
        <v>7</v>
      </c>
      <c r="L9" s="105">
        <v>40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6</v>
      </c>
      <c r="C10" s="42">
        <f>IF(B$2=0,0,B10/B$2)</f>
        <v>0.1875</v>
      </c>
      <c r="E10" s="65" t="s">
        <v>73</v>
      </c>
      <c r="F10" s="62" t="s">
        <v>26</v>
      </c>
      <c r="G10" s="49">
        <v>5</v>
      </c>
      <c r="H10" s="138">
        <f>IF(B$27=0,0,G10/B$27)</f>
        <v>0.11363636363636363</v>
      </c>
      <c r="I10" s="100">
        <v>9</v>
      </c>
      <c r="K10" s="40">
        <v>8</v>
      </c>
      <c r="L10" s="105">
        <v>4.2000000000000028</v>
      </c>
      <c r="N10" s="120" t="s">
        <v>253</v>
      </c>
      <c r="O10" s="130">
        <f>IF(P10=0,0,Q10/P10)</f>
        <v>5.815384615384616</v>
      </c>
      <c r="P10" s="124">
        <v>13</v>
      </c>
      <c r="Q10" s="112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0.15625</v>
      </c>
      <c r="E11" s="65" t="s">
        <v>74</v>
      </c>
      <c r="F11" s="62" t="s">
        <v>27</v>
      </c>
      <c r="G11" s="49">
        <v>4</v>
      </c>
      <c r="H11" s="138">
        <f>IF(B$27=0,0,G11/B$27)</f>
        <v>9.0909090909090912E-2</v>
      </c>
      <c r="I11" s="100">
        <v>7</v>
      </c>
      <c r="K11" s="40">
        <v>9</v>
      </c>
      <c r="L11" s="105">
        <v>6.8000000000000025</v>
      </c>
      <c r="N11" s="121" t="s">
        <v>254</v>
      </c>
      <c r="O11" s="131">
        <f>IF(P11=0,0,Q11/P11)</f>
        <v>9.259999999999998</v>
      </c>
      <c r="P11" s="125">
        <v>10</v>
      </c>
      <c r="Q11" s="113">
        <v>92.59999999999998</v>
      </c>
    </row>
    <row r="12" spans="1:17" x14ac:dyDescent="0.4">
      <c r="A12" s="59" t="s">
        <v>239</v>
      </c>
      <c r="B12" s="51">
        <v>3</v>
      </c>
      <c r="C12" s="44">
        <f>IF(B$2=0,0,B12/B$2)</f>
        <v>9.375E-2</v>
      </c>
      <c r="E12" s="65" t="s">
        <v>75</v>
      </c>
      <c r="F12" s="62" t="s">
        <v>28</v>
      </c>
      <c r="G12" s="49">
        <v>2</v>
      </c>
      <c r="H12" s="138">
        <f>IF(B$27=0,0,G12/B$27)</f>
        <v>4.5454545454545456E-2</v>
      </c>
      <c r="I12" s="100">
        <v>6</v>
      </c>
      <c r="K12" s="40">
        <v>10</v>
      </c>
      <c r="L12" s="105">
        <v>56.800000000000004</v>
      </c>
      <c r="N12" s="122" t="s">
        <v>255</v>
      </c>
      <c r="O12" s="132">
        <f>IF(P12=0,0,Q12/P12)</f>
        <v>-17.777777777777779</v>
      </c>
      <c r="P12" s="126">
        <v>9</v>
      </c>
      <c r="Q12" s="114">
        <v>-160</v>
      </c>
    </row>
    <row r="13" spans="1:17" x14ac:dyDescent="0.4">
      <c r="A13" s="60" t="s">
        <v>128</v>
      </c>
      <c r="B13" s="52">
        <v>56</v>
      </c>
      <c r="C13" s="46">
        <f>IF(B$26=0,0,B13/B$26)</f>
        <v>0.31111111111111112</v>
      </c>
      <c r="E13" s="65" t="s">
        <v>82</v>
      </c>
      <c r="F13" s="62" t="s">
        <v>35</v>
      </c>
      <c r="G13" s="49">
        <v>2</v>
      </c>
      <c r="H13" s="138">
        <f>IF(B$27=0,0,G13/B$27)</f>
        <v>4.5454545454545456E-2</v>
      </c>
      <c r="I13" s="100">
        <v>3</v>
      </c>
      <c r="K13" s="40">
        <v>11</v>
      </c>
      <c r="L13" s="105">
        <v>69.300000000000011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37</v>
      </c>
      <c r="C14" s="41">
        <f>IF(B$26=0,0,B14/B$26)</f>
        <v>0.20555555555555555</v>
      </c>
      <c r="E14" s="65" t="s">
        <v>77</v>
      </c>
      <c r="F14" s="62" t="s">
        <v>30</v>
      </c>
      <c r="G14" s="49">
        <v>1</v>
      </c>
      <c r="H14" s="138">
        <f>IF(B$27=0,0,G14/B$27)</f>
        <v>2.2727272727272728E-2</v>
      </c>
      <c r="I14" s="100">
        <v>1</v>
      </c>
      <c r="K14" s="40">
        <v>12</v>
      </c>
      <c r="L14" s="105">
        <v>80.800000000000011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29</v>
      </c>
      <c r="C15" s="39">
        <f>IF(B$13=0,0,B15/B$13)</f>
        <v>0.5178571428571429</v>
      </c>
      <c r="E15" s="65" t="s">
        <v>83</v>
      </c>
      <c r="F15" s="62" t="s">
        <v>36</v>
      </c>
      <c r="G15" s="49">
        <v>1</v>
      </c>
      <c r="H15" s="138">
        <f>IF(B$27=0,0,G15/B$27)</f>
        <v>2.2727272727272728E-2</v>
      </c>
      <c r="I15" s="100">
        <v>5</v>
      </c>
      <c r="K15" s="40">
        <v>13</v>
      </c>
      <c r="L15" s="105">
        <v>155.10000000000002</v>
      </c>
      <c r="N15" s="120" t="s">
        <v>136</v>
      </c>
      <c r="O15" s="130">
        <f>IF(P15=0,0,Q15/P15)</f>
        <v>24.993333333333332</v>
      </c>
      <c r="P15" s="124">
        <v>15</v>
      </c>
      <c r="Q15" s="112">
        <v>374.9</v>
      </c>
    </row>
    <row r="16" spans="1:17" x14ac:dyDescent="0.4">
      <c r="A16" s="56" t="s">
        <v>131</v>
      </c>
      <c r="B16" s="48">
        <v>8</v>
      </c>
      <c r="C16" s="39">
        <f>IF(B$14=0,0,B16/B$14)</f>
        <v>0.21621621621621623</v>
      </c>
      <c r="E16" s="65" t="s">
        <v>88</v>
      </c>
      <c r="F16" s="62" t="s">
        <v>41</v>
      </c>
      <c r="G16" s="49">
        <v>1</v>
      </c>
      <c r="H16" s="138">
        <f>IF(B$27=0,0,G16/B$27)</f>
        <v>2.2727272727272728E-2</v>
      </c>
      <c r="I16" s="100">
        <v>10</v>
      </c>
      <c r="K16" s="40">
        <v>14</v>
      </c>
      <c r="L16" s="105">
        <v>147.10000000000002</v>
      </c>
      <c r="N16" s="121" t="s">
        <v>137</v>
      </c>
      <c r="O16" s="131">
        <f>IF(P16=0,0,Q16/P16)</f>
        <v>3.38</v>
      </c>
      <c r="P16" s="125">
        <v>5</v>
      </c>
      <c r="Q16" s="113">
        <v>16.899999999999999</v>
      </c>
    </row>
    <row r="17" spans="1:17" x14ac:dyDescent="0.4">
      <c r="A17" s="56" t="s">
        <v>10</v>
      </c>
      <c r="B17" s="48">
        <f>B19+B18</f>
        <v>72</v>
      </c>
      <c r="C17" s="39">
        <f>IF(B$3=0,0,B17/B$3)</f>
        <v>0.27480916030534353</v>
      </c>
      <c r="E17" s="65" t="s">
        <v>91</v>
      </c>
      <c r="F17" s="62" t="s">
        <v>44</v>
      </c>
      <c r="G17" s="49">
        <v>1</v>
      </c>
      <c r="H17" s="138">
        <f>IF(B$27=0,0,G17/B$27)</f>
        <v>2.2727272727272728E-2</v>
      </c>
      <c r="I17" s="100">
        <v>13</v>
      </c>
      <c r="K17" s="40">
        <v>15</v>
      </c>
      <c r="L17" s="105">
        <v>148.80000000000001</v>
      </c>
      <c r="N17" s="121" t="s">
        <v>134</v>
      </c>
      <c r="O17" s="131">
        <f>IF(P17=0,0,Q17/P17)</f>
        <v>0.14444444444444493</v>
      </c>
      <c r="P17" s="125">
        <v>9</v>
      </c>
      <c r="Q17" s="113">
        <v>1.3000000000000043</v>
      </c>
    </row>
    <row r="18" spans="1:17" x14ac:dyDescent="0.4">
      <c r="A18" s="57" t="s">
        <v>12</v>
      </c>
      <c r="B18" s="49">
        <v>33</v>
      </c>
      <c r="C18" s="41">
        <f>IF(B$17=0,0,B18/B$17)</f>
        <v>0.45833333333333331</v>
      </c>
      <c r="E18" s="65" t="s">
        <v>96</v>
      </c>
      <c r="F18" s="62" t="s">
        <v>49</v>
      </c>
      <c r="G18" s="49">
        <v>1</v>
      </c>
      <c r="H18" s="138">
        <f>IF(B$27=0,0,G18/B$27)</f>
        <v>2.2727272727272728E-2</v>
      </c>
      <c r="I18" s="100">
        <v>3</v>
      </c>
      <c r="K18" s="40">
        <v>16</v>
      </c>
      <c r="L18" s="105">
        <v>152.30000000000001</v>
      </c>
      <c r="N18" s="121" t="s">
        <v>250</v>
      </c>
      <c r="O18" s="131">
        <f>IF(P18=0,0,Q18/P18)</f>
        <v>-4.3000000000000007</v>
      </c>
      <c r="P18" s="125">
        <v>4</v>
      </c>
      <c r="Q18" s="113">
        <v>-17.200000000000003</v>
      </c>
    </row>
    <row r="19" spans="1:17" x14ac:dyDescent="0.4">
      <c r="A19" s="57" t="s">
        <v>11</v>
      </c>
      <c r="B19" s="49">
        <v>39</v>
      </c>
      <c r="C19" s="41">
        <f>IF(B$17=0,0,B19/B$17)</f>
        <v>0.54166666666666663</v>
      </c>
      <c r="E19" s="65" t="s">
        <v>97</v>
      </c>
      <c r="F19" s="62" t="s">
        <v>50</v>
      </c>
      <c r="G19" s="49">
        <v>1</v>
      </c>
      <c r="H19" s="138">
        <f>IF(B$27=0,0,G19/B$27)</f>
        <v>2.2727272727272728E-2</v>
      </c>
      <c r="I19" s="100">
        <v>1</v>
      </c>
      <c r="K19" s="40">
        <v>17</v>
      </c>
      <c r="L19" s="105">
        <v>178.10000000000002</v>
      </c>
      <c r="N19" s="121" t="s">
        <v>133</v>
      </c>
      <c r="O19" s="131">
        <f>IF(P19=0,0,Q19/P19)</f>
        <v>-9.155555555555555</v>
      </c>
      <c r="P19" s="125">
        <v>27</v>
      </c>
      <c r="Q19" s="113">
        <v>-247.2</v>
      </c>
    </row>
    <row r="20" spans="1:17" x14ac:dyDescent="0.4">
      <c r="A20" s="57" t="s">
        <v>13</v>
      </c>
      <c r="B20" s="49">
        <v>45</v>
      </c>
      <c r="C20" s="41">
        <f>IF(B$3=0,0,B20/B$3)</f>
        <v>0.1717557251908397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155.00000000000003</v>
      </c>
      <c r="N20" s="121" t="s">
        <v>139</v>
      </c>
      <c r="O20" s="131">
        <f>IF(P20=0,0,Q20/P20)</f>
        <v>-23.366666666666671</v>
      </c>
      <c r="P20" s="125">
        <v>3</v>
      </c>
      <c r="Q20" s="113">
        <v>-70.100000000000009</v>
      </c>
    </row>
    <row r="21" spans="1:17" x14ac:dyDescent="0.4">
      <c r="A21" s="57" t="s">
        <v>5</v>
      </c>
      <c r="B21" s="53">
        <f>IF(B$17=0,0,C21/B$17)</f>
        <v>11041.666666666666</v>
      </c>
      <c r="C21" s="43">
        <v>795000</v>
      </c>
      <c r="E21" s="65" t="s">
        <v>79</v>
      </c>
      <c r="F21" s="62" t="s">
        <v>32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143.60000000000002</v>
      </c>
      <c r="N21" s="121" t="s">
        <v>135</v>
      </c>
      <c r="O21" s="131">
        <f>IF(P21=0,0,Q21/P21)</f>
        <v>-34</v>
      </c>
      <c r="P21" s="125">
        <v>1</v>
      </c>
      <c r="Q21" s="113">
        <v>-34</v>
      </c>
    </row>
    <row r="22" spans="1:17" x14ac:dyDescent="0.4">
      <c r="A22" s="59" t="s">
        <v>14</v>
      </c>
      <c r="B22" s="54">
        <f>IF(B$20=0,0,C22/B$20)</f>
        <v>-8928.8888888888887</v>
      </c>
      <c r="C22" s="47">
        <v>-401800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152.50000000000003</v>
      </c>
    </row>
    <row r="23" spans="1:17" x14ac:dyDescent="0.4">
      <c r="A23" s="96" t="s">
        <v>158</v>
      </c>
      <c r="B23" s="154">
        <v>7</v>
      </c>
      <c r="C23" s="155"/>
      <c r="E23" s="65" t="s">
        <v>81</v>
      </c>
      <c r="F23" s="62" t="s">
        <v>34</v>
      </c>
      <c r="G23" s="49">
        <v>0</v>
      </c>
      <c r="H23" s="138">
        <f>IF(B$27=0,0,G23/B$27)</f>
        <v>0</v>
      </c>
      <c r="I23" s="100">
        <v>7</v>
      </c>
      <c r="K23" s="40">
        <v>21</v>
      </c>
      <c r="L23" s="105">
        <v>138.00000000000003</v>
      </c>
    </row>
    <row r="24" spans="1:17" x14ac:dyDescent="0.4">
      <c r="A24" s="60" t="s">
        <v>199</v>
      </c>
      <c r="B24" s="152">
        <v>109300</v>
      </c>
      <c r="C24" s="153"/>
      <c r="E24" s="65" t="s">
        <v>84</v>
      </c>
      <c r="F24" s="62" t="s">
        <v>37</v>
      </c>
      <c r="G24" s="49">
        <v>0</v>
      </c>
      <c r="H24" s="138">
        <f>IF(B$27=0,0,G24/B$27)</f>
        <v>0</v>
      </c>
      <c r="I24" s="100">
        <v>1</v>
      </c>
      <c r="K24" s="40">
        <v>22</v>
      </c>
      <c r="L24" s="105">
        <v>101.30000000000003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85</v>
      </c>
      <c r="F25" s="62" t="s">
        <v>38</v>
      </c>
      <c r="G25" s="49">
        <v>0</v>
      </c>
      <c r="H25" s="138">
        <f>IF(B$27=0,0,G25/B$27)</f>
        <v>0</v>
      </c>
      <c r="I25" s="100">
        <v>3</v>
      </c>
      <c r="K25" s="40">
        <v>23</v>
      </c>
      <c r="L25" s="105">
        <v>53.800000000000026</v>
      </c>
    </row>
    <row r="26" spans="1:17" x14ac:dyDescent="0.4">
      <c r="A26" s="56" t="s">
        <v>126</v>
      </c>
      <c r="B26" s="144">
        <v>180</v>
      </c>
      <c r="C26" s="145"/>
      <c r="E26" s="65" t="s">
        <v>86</v>
      </c>
      <c r="F26" s="62" t="s">
        <v>39</v>
      </c>
      <c r="G26" s="49">
        <v>0</v>
      </c>
      <c r="H26" s="138">
        <f>IF(B$27=0,0,G26/B$27)</f>
        <v>0</v>
      </c>
      <c r="I26" s="100">
        <v>10</v>
      </c>
      <c r="K26" s="40">
        <v>24</v>
      </c>
      <c r="L26" s="105">
        <v>81.500000000000028</v>
      </c>
    </row>
    <row r="27" spans="1:17" x14ac:dyDescent="0.4">
      <c r="A27" s="59" t="s">
        <v>127</v>
      </c>
      <c r="B27" s="158">
        <v>44</v>
      </c>
      <c r="C27" s="159"/>
      <c r="E27" s="65" t="s">
        <v>87</v>
      </c>
      <c r="F27" s="62" t="s">
        <v>40</v>
      </c>
      <c r="G27" s="49">
        <v>0</v>
      </c>
      <c r="H27" s="138">
        <f>IF(B$27=0,0,G27/B$27)</f>
        <v>0</v>
      </c>
      <c r="I27" s="100">
        <v>1</v>
      </c>
      <c r="K27" s="40">
        <v>25</v>
      </c>
      <c r="L27" s="105">
        <v>79.500000000000028</v>
      </c>
    </row>
    <row r="28" spans="1:17" x14ac:dyDescent="0.4">
      <c r="E28" s="65" t="s">
        <v>89</v>
      </c>
      <c r="F28" s="62" t="s">
        <v>42</v>
      </c>
      <c r="G28" s="49">
        <v>0</v>
      </c>
      <c r="H28" s="138">
        <f>IF(B$27=0,0,G28/B$27)</f>
        <v>0</v>
      </c>
      <c r="I28" s="100">
        <v>5</v>
      </c>
      <c r="K28" s="40">
        <v>26</v>
      </c>
      <c r="L28" s="105">
        <v>51.10000000000003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64.700000000000031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49.60000000000003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15.400000000000027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-30.799999999999976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-26.799999999999976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8.2000000000000242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88D5C-8921-45E0-87B7-374D4073E537}">
  <sheetPr codeName="Sheet25"/>
  <dimension ref="A1:Q12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139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121</v>
      </c>
      <c r="C2" s="145"/>
      <c r="E2" s="64" t="s">
        <v>71</v>
      </c>
      <c r="F2" s="61" t="s">
        <v>25</v>
      </c>
      <c r="G2" s="48">
        <v>233</v>
      </c>
      <c r="H2" s="137">
        <f>IF(B$27=0,0,G2/B$27)</f>
        <v>0.9066147859922179</v>
      </c>
      <c r="I2" s="99">
        <v>5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-1787.1794871794871</v>
      </c>
      <c r="P2" s="124">
        <v>117</v>
      </c>
      <c r="Q2" s="108">
        <v>-209100</v>
      </c>
    </row>
    <row r="3" spans="1:17" x14ac:dyDescent="0.4">
      <c r="A3" s="57" t="s">
        <v>8</v>
      </c>
      <c r="B3" s="146">
        <v>939</v>
      </c>
      <c r="C3" s="147"/>
      <c r="E3" s="65" t="s">
        <v>69</v>
      </c>
      <c r="F3" s="62" t="s">
        <v>23</v>
      </c>
      <c r="G3" s="49">
        <v>199</v>
      </c>
      <c r="H3" s="138">
        <f>IF(B$27=0,0,G3/B$27)</f>
        <v>0.77431906614785995</v>
      </c>
      <c r="I3" s="100">
        <v>3</v>
      </c>
      <c r="K3" s="40">
        <v>1</v>
      </c>
      <c r="L3" s="105">
        <v>3.9</v>
      </c>
      <c r="N3" s="121" t="s">
        <v>148</v>
      </c>
      <c r="O3" s="128">
        <f t="shared" si="0"/>
        <v>759.13043478260875</v>
      </c>
      <c r="P3" s="125">
        <v>115</v>
      </c>
      <c r="Q3" s="109">
        <v>87300</v>
      </c>
    </row>
    <row r="4" spans="1:17" x14ac:dyDescent="0.4">
      <c r="A4" s="57" t="s">
        <v>6</v>
      </c>
      <c r="B4" s="148">
        <v>-509.69999999999987</v>
      </c>
      <c r="C4" s="149"/>
      <c r="E4" s="65" t="s">
        <v>67</v>
      </c>
      <c r="F4" s="62" t="s">
        <v>21</v>
      </c>
      <c r="G4" s="49">
        <v>155</v>
      </c>
      <c r="H4" s="138">
        <f>IF(B$27=0,0,G4/B$27)</f>
        <v>0.60311284046692604</v>
      </c>
      <c r="I4" s="100">
        <v>5</v>
      </c>
      <c r="K4" s="40">
        <v>2</v>
      </c>
      <c r="L4" s="105">
        <v>-33.9</v>
      </c>
      <c r="N4" s="121" t="s">
        <v>149</v>
      </c>
      <c r="O4" s="128">
        <f t="shared" si="0"/>
        <v>-199.08256880733944</v>
      </c>
      <c r="P4" s="125">
        <v>109</v>
      </c>
      <c r="Q4" s="109">
        <v>-21700</v>
      </c>
    </row>
    <row r="5" spans="1:17" x14ac:dyDescent="0.4">
      <c r="A5" s="57" t="s">
        <v>7</v>
      </c>
      <c r="B5" s="150">
        <f>IF(B$2=0,0,B$4/B$2)</f>
        <v>-4.2123966942148749</v>
      </c>
      <c r="C5" s="151"/>
      <c r="E5" s="65" t="s">
        <v>76</v>
      </c>
      <c r="F5" s="62" t="s">
        <v>29</v>
      </c>
      <c r="G5" s="49">
        <v>153</v>
      </c>
      <c r="H5" s="138">
        <f>IF(B$27=0,0,G5/B$27)</f>
        <v>0.59533073929961089</v>
      </c>
      <c r="I5" s="100">
        <v>6</v>
      </c>
      <c r="K5" s="40">
        <v>3</v>
      </c>
      <c r="L5" s="105">
        <v>-70.099999999999994</v>
      </c>
      <c r="N5" s="121" t="s">
        <v>150</v>
      </c>
      <c r="O5" s="128">
        <f t="shared" si="0"/>
        <v>-578.78787878787875</v>
      </c>
      <c r="P5" s="125">
        <v>99</v>
      </c>
      <c r="Q5" s="109">
        <v>-57300</v>
      </c>
    </row>
    <row r="6" spans="1:17" x14ac:dyDescent="0.4">
      <c r="A6" s="57" t="s">
        <v>1</v>
      </c>
      <c r="B6" s="156">
        <f>IF(B$2=0,0,(B$7*1+B$8*2+B$9*3)/B$2)</f>
        <v>2.1818181818181817</v>
      </c>
      <c r="C6" s="157"/>
      <c r="E6" s="65" t="s">
        <v>70</v>
      </c>
      <c r="F6" s="62" t="s">
        <v>24</v>
      </c>
      <c r="G6" s="49">
        <v>91</v>
      </c>
      <c r="H6" s="138">
        <f>IF(B$27=0,0,G6/B$27)</f>
        <v>0.35408560311284049</v>
      </c>
      <c r="I6" s="100">
        <v>5</v>
      </c>
      <c r="K6" s="40">
        <v>4</v>
      </c>
      <c r="L6" s="105">
        <v>-35.099999999999994</v>
      </c>
      <c r="N6" s="121" t="s">
        <v>151</v>
      </c>
      <c r="O6" s="128">
        <f t="shared" si="0"/>
        <v>-2642.391304347826</v>
      </c>
      <c r="P6" s="125">
        <v>92</v>
      </c>
      <c r="Q6" s="109">
        <v>-243100</v>
      </c>
    </row>
    <row r="7" spans="1:17" x14ac:dyDescent="0.4">
      <c r="A7" s="57" t="s">
        <v>2</v>
      </c>
      <c r="B7" s="49">
        <v>29</v>
      </c>
      <c r="C7" s="41">
        <f>IF(B$2=0,0,B7/B$2)</f>
        <v>0.23966942148760331</v>
      </c>
      <c r="E7" s="65" t="s">
        <v>72</v>
      </c>
      <c r="F7" s="62" t="s">
        <v>12</v>
      </c>
      <c r="G7" s="49">
        <v>82</v>
      </c>
      <c r="H7" s="138">
        <f>IF(B$27=0,0,G7/B$27)</f>
        <v>0.31906614785992216</v>
      </c>
      <c r="I7" s="100">
        <v>5</v>
      </c>
      <c r="K7" s="40">
        <v>5</v>
      </c>
      <c r="L7" s="105">
        <v>-80.099999999999994</v>
      </c>
      <c r="N7" s="122" t="s">
        <v>152</v>
      </c>
      <c r="O7" s="129">
        <f t="shared" si="0"/>
        <v>628.37837837837833</v>
      </c>
      <c r="P7" s="126">
        <v>74</v>
      </c>
      <c r="Q7" s="110">
        <v>46500</v>
      </c>
    </row>
    <row r="8" spans="1:17" x14ac:dyDescent="0.4">
      <c r="A8" s="57" t="s">
        <v>3</v>
      </c>
      <c r="B8" s="49">
        <v>41</v>
      </c>
      <c r="C8" s="41">
        <f>IF(B$2=0,0,B8/B$2)</f>
        <v>0.33884297520661155</v>
      </c>
      <c r="E8" s="65" t="s">
        <v>73</v>
      </c>
      <c r="F8" s="62" t="s">
        <v>26</v>
      </c>
      <c r="G8" s="49">
        <v>40</v>
      </c>
      <c r="H8" s="138">
        <f>IF(B$27=0,0,G8/B$27)</f>
        <v>0.1556420233463035</v>
      </c>
      <c r="I8" s="100">
        <v>5</v>
      </c>
      <c r="K8" s="40">
        <v>6</v>
      </c>
      <c r="L8" s="105">
        <v>-116.1</v>
      </c>
      <c r="N8" s="45"/>
      <c r="O8" s="133"/>
      <c r="P8" s="117"/>
      <c r="Q8" s="115"/>
    </row>
    <row r="9" spans="1:17" x14ac:dyDescent="0.4">
      <c r="A9" s="58" t="s">
        <v>4</v>
      </c>
      <c r="B9" s="50">
        <v>51</v>
      </c>
      <c r="C9" s="42">
        <f t="shared" ref="C9" si="1">IF(B$2=0,0,B9/B$2)</f>
        <v>0.42148760330578511</v>
      </c>
      <c r="E9" s="65" t="s">
        <v>94</v>
      </c>
      <c r="F9" s="62" t="s">
        <v>47</v>
      </c>
      <c r="G9" s="49">
        <v>33</v>
      </c>
      <c r="H9" s="138">
        <f>IF(B$27=0,0,G9/B$27)</f>
        <v>0.12840466926070038</v>
      </c>
      <c r="I9" s="100">
        <v>10</v>
      </c>
      <c r="K9" s="40">
        <v>7</v>
      </c>
      <c r="L9" s="105">
        <v>-147.4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0.19008264462809918</v>
      </c>
      <c r="E10" s="65" t="s">
        <v>74</v>
      </c>
      <c r="F10" s="62" t="s">
        <v>27</v>
      </c>
      <c r="G10" s="49">
        <v>30</v>
      </c>
      <c r="H10" s="138">
        <f>IF(B$27=0,0,G10/B$27)</f>
        <v>0.11673151750972763</v>
      </c>
      <c r="I10" s="100">
        <v>5</v>
      </c>
      <c r="K10" s="40">
        <v>8</v>
      </c>
      <c r="L10" s="105">
        <v>-146</v>
      </c>
      <c r="N10" s="120" t="s">
        <v>253</v>
      </c>
      <c r="O10" s="130">
        <f>IF(P10=0,0,Q10/P10)</f>
        <v>-11.826829268292686</v>
      </c>
      <c r="P10" s="124">
        <v>41</v>
      </c>
      <c r="Q10" s="112">
        <v>-484.90000000000009</v>
      </c>
    </row>
    <row r="11" spans="1:17" x14ac:dyDescent="0.4">
      <c r="A11" s="58" t="s">
        <v>155</v>
      </c>
      <c r="B11" s="50">
        <v>17</v>
      </c>
      <c r="C11" s="42">
        <f>IF(B$2=0,0,B11/B$2)</f>
        <v>0.14049586776859505</v>
      </c>
      <c r="E11" s="65" t="s">
        <v>68</v>
      </c>
      <c r="F11" s="62" t="s">
        <v>22</v>
      </c>
      <c r="G11" s="49">
        <v>27</v>
      </c>
      <c r="H11" s="138">
        <f>IF(B$27=0,0,G11/B$27)</f>
        <v>0.10505836575875487</v>
      </c>
      <c r="I11" s="100">
        <v>9</v>
      </c>
      <c r="K11" s="40">
        <v>9</v>
      </c>
      <c r="L11" s="105">
        <v>-173</v>
      </c>
      <c r="N11" s="121" t="s">
        <v>254</v>
      </c>
      <c r="O11" s="131">
        <f>IF(P11=0,0,Q11/P11)</f>
        <v>1.3666666666666667</v>
      </c>
      <c r="P11" s="125">
        <v>45</v>
      </c>
      <c r="Q11" s="113">
        <v>61.5</v>
      </c>
    </row>
    <row r="12" spans="1:17" x14ac:dyDescent="0.4">
      <c r="A12" s="59" t="s">
        <v>239</v>
      </c>
      <c r="B12" s="51">
        <v>12</v>
      </c>
      <c r="C12" s="44">
        <f>IF(B$2=0,0,B12/B$2)</f>
        <v>9.9173553719008267E-2</v>
      </c>
      <c r="E12" s="65" t="s">
        <v>91</v>
      </c>
      <c r="F12" s="62" t="s">
        <v>44</v>
      </c>
      <c r="G12" s="49">
        <v>23</v>
      </c>
      <c r="H12" s="138">
        <f>IF(B$27=0,0,G12/B$27)</f>
        <v>8.9494163424124515E-2</v>
      </c>
      <c r="I12" s="100">
        <v>5</v>
      </c>
      <c r="K12" s="40">
        <v>10</v>
      </c>
      <c r="L12" s="105">
        <v>-206.1</v>
      </c>
      <c r="N12" s="122" t="s">
        <v>255</v>
      </c>
      <c r="O12" s="132">
        <f>IF(P12=0,0,Q12/P12)</f>
        <v>0.8125</v>
      </c>
      <c r="P12" s="126">
        <v>32</v>
      </c>
      <c r="Q12" s="114">
        <v>26</v>
      </c>
    </row>
    <row r="13" spans="1:17" x14ac:dyDescent="0.4">
      <c r="A13" s="60" t="s">
        <v>128</v>
      </c>
      <c r="B13" s="52">
        <v>269</v>
      </c>
      <c r="C13" s="46">
        <f>IF(B$26=0,0,B13/B$26)</f>
        <v>0.29822616407982261</v>
      </c>
      <c r="E13" s="65" t="s">
        <v>82</v>
      </c>
      <c r="F13" s="62" t="s">
        <v>35</v>
      </c>
      <c r="G13" s="49">
        <v>10</v>
      </c>
      <c r="H13" s="138">
        <f>IF(B$27=0,0,G13/B$27)</f>
        <v>3.8910505836575876E-2</v>
      </c>
      <c r="I13" s="100">
        <v>5</v>
      </c>
      <c r="K13" s="40">
        <v>11</v>
      </c>
      <c r="L13" s="105">
        <v>-174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175</v>
      </c>
      <c r="C14" s="41">
        <f>IF(B$26=0,0,B14/B$26)</f>
        <v>0.19401330376940132</v>
      </c>
      <c r="E14" s="65" t="s">
        <v>88</v>
      </c>
      <c r="F14" s="62" t="s">
        <v>41</v>
      </c>
      <c r="G14" s="49">
        <v>8</v>
      </c>
      <c r="H14" s="138">
        <f>IF(B$27=0,0,G14/B$27)</f>
        <v>3.1128404669260701E-2</v>
      </c>
      <c r="I14" s="100">
        <v>8</v>
      </c>
      <c r="K14" s="40">
        <v>12</v>
      </c>
      <c r="L14" s="105">
        <v>-197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158</v>
      </c>
      <c r="C15" s="39">
        <f>IF(B$13=0,0,B15/B$13)</f>
        <v>0.58736059479553904</v>
      </c>
      <c r="E15" s="65" t="s">
        <v>75</v>
      </c>
      <c r="F15" s="62" t="s">
        <v>28</v>
      </c>
      <c r="G15" s="49">
        <v>7</v>
      </c>
      <c r="H15" s="138">
        <f>IF(B$27=0,0,G15/B$27)</f>
        <v>2.7237354085603113E-2</v>
      </c>
      <c r="I15" s="100">
        <v>10</v>
      </c>
      <c r="K15" s="40">
        <v>13</v>
      </c>
      <c r="L15" s="105">
        <v>-235</v>
      </c>
      <c r="N15" s="120" t="s">
        <v>250</v>
      </c>
      <c r="O15" s="130">
        <f>IF(P15=0,0,Q15/P15)</f>
        <v>28.18</v>
      </c>
      <c r="P15" s="124">
        <v>5</v>
      </c>
      <c r="Q15" s="112">
        <v>140.9</v>
      </c>
    </row>
    <row r="16" spans="1:17" x14ac:dyDescent="0.4">
      <c r="A16" s="56" t="s">
        <v>131</v>
      </c>
      <c r="B16" s="48">
        <v>68</v>
      </c>
      <c r="C16" s="39">
        <f>IF(B$14=0,0,B16/B$14)</f>
        <v>0.38857142857142857</v>
      </c>
      <c r="E16" s="65" t="s">
        <v>86</v>
      </c>
      <c r="F16" s="62" t="s">
        <v>39</v>
      </c>
      <c r="G16" s="49">
        <v>6</v>
      </c>
      <c r="H16" s="138">
        <f>IF(B$27=0,0,G16/B$27)</f>
        <v>2.3346303501945526E-2</v>
      </c>
      <c r="I16" s="100">
        <v>7</v>
      </c>
      <c r="K16" s="40">
        <v>14</v>
      </c>
      <c r="L16" s="105">
        <v>-231</v>
      </c>
      <c r="N16" s="121" t="s">
        <v>194</v>
      </c>
      <c r="O16" s="131">
        <f>IF(P16=0,0,Q16/P16)</f>
        <v>25.3</v>
      </c>
      <c r="P16" s="125">
        <v>2</v>
      </c>
      <c r="Q16" s="113">
        <v>50.6</v>
      </c>
    </row>
    <row r="17" spans="1:17" x14ac:dyDescent="0.4">
      <c r="A17" s="56" t="s">
        <v>10</v>
      </c>
      <c r="B17" s="48">
        <f>B19+B18</f>
        <v>267</v>
      </c>
      <c r="C17" s="39">
        <f>IF(B$3=0,0,B17/B$3)</f>
        <v>0.28434504792332266</v>
      </c>
      <c r="E17" s="65" t="s">
        <v>77</v>
      </c>
      <c r="F17" s="62" t="s">
        <v>30</v>
      </c>
      <c r="G17" s="49">
        <v>4</v>
      </c>
      <c r="H17" s="138">
        <f>IF(B$27=0,0,G17/B$27)</f>
        <v>1.556420233463035E-2</v>
      </c>
      <c r="I17" s="100">
        <v>3</v>
      </c>
      <c r="K17" s="40">
        <v>15</v>
      </c>
      <c r="L17" s="105">
        <v>-212.5</v>
      </c>
      <c r="N17" s="121" t="s">
        <v>138</v>
      </c>
      <c r="O17" s="131">
        <f>IF(P17=0,0,Q17/P17)</f>
        <v>23.366666666666664</v>
      </c>
      <c r="P17" s="125">
        <v>3</v>
      </c>
      <c r="Q17" s="113">
        <v>70.099999999999994</v>
      </c>
    </row>
    <row r="18" spans="1:17" x14ac:dyDescent="0.4">
      <c r="A18" s="57" t="s">
        <v>12</v>
      </c>
      <c r="B18" s="49">
        <v>117</v>
      </c>
      <c r="C18" s="41">
        <f>IF(B$17=0,0,B18/B$17)</f>
        <v>0.43820224719101125</v>
      </c>
      <c r="E18" s="65" t="s">
        <v>96</v>
      </c>
      <c r="F18" s="62" t="s">
        <v>49</v>
      </c>
      <c r="G18" s="49">
        <v>4</v>
      </c>
      <c r="H18" s="138">
        <f>IF(B$27=0,0,G18/B$27)</f>
        <v>1.556420233463035E-2</v>
      </c>
      <c r="I18" s="100">
        <v>8</v>
      </c>
      <c r="K18" s="40">
        <v>16</v>
      </c>
      <c r="L18" s="105">
        <v>-233.2</v>
      </c>
      <c r="N18" s="121" t="s">
        <v>157</v>
      </c>
      <c r="O18" s="131">
        <f>IF(P18=0,0,Q18/P18)</f>
        <v>10.761111111111113</v>
      </c>
      <c r="P18" s="125">
        <v>18</v>
      </c>
      <c r="Q18" s="113">
        <v>193.70000000000002</v>
      </c>
    </row>
    <row r="19" spans="1:17" x14ac:dyDescent="0.4">
      <c r="A19" s="57" t="s">
        <v>11</v>
      </c>
      <c r="B19" s="49">
        <v>150</v>
      </c>
      <c r="C19" s="41">
        <f>IF(B$17=0,0,B19/B$17)</f>
        <v>0.5617977528089888</v>
      </c>
      <c r="E19" s="65" t="s">
        <v>79</v>
      </c>
      <c r="F19" s="62" t="s">
        <v>32</v>
      </c>
      <c r="G19" s="49">
        <v>3</v>
      </c>
      <c r="H19" s="138">
        <f>IF(B$27=0,0,G19/B$27)</f>
        <v>1.1673151750972763E-2</v>
      </c>
      <c r="I19" s="100">
        <v>1</v>
      </c>
      <c r="K19" s="40">
        <v>17</v>
      </c>
      <c r="L19" s="105">
        <v>-268.7</v>
      </c>
      <c r="N19" s="121" t="s">
        <v>135</v>
      </c>
      <c r="O19" s="131">
        <f>IF(P19=0,0,Q19/P19)</f>
        <v>8.8833333333333329</v>
      </c>
      <c r="P19" s="125">
        <v>12</v>
      </c>
      <c r="Q19" s="113">
        <v>106.6</v>
      </c>
    </row>
    <row r="20" spans="1:17" x14ac:dyDescent="0.4">
      <c r="A20" s="57" t="s">
        <v>13</v>
      </c>
      <c r="B20" s="49">
        <v>189</v>
      </c>
      <c r="C20" s="41">
        <f>IF(B$3=0,0,B20/B$3)</f>
        <v>0.2012779552715655</v>
      </c>
      <c r="E20" s="65" t="s">
        <v>83</v>
      </c>
      <c r="F20" s="62" t="s">
        <v>36</v>
      </c>
      <c r="G20" s="49">
        <v>3</v>
      </c>
      <c r="H20" s="138">
        <f>IF(B$27=0,0,G20/B$27)</f>
        <v>1.1673151750972763E-2</v>
      </c>
      <c r="I20" s="100">
        <v>8</v>
      </c>
      <c r="K20" s="40">
        <v>18</v>
      </c>
      <c r="L20" s="105">
        <v>-295.8</v>
      </c>
      <c r="N20" s="121" t="s">
        <v>134</v>
      </c>
      <c r="O20" s="131">
        <f>IF(P20=0,0,Q20/P20)</f>
        <v>-3.4244444444444411</v>
      </c>
      <c r="P20" s="125">
        <v>45</v>
      </c>
      <c r="Q20" s="113">
        <v>-154.09999999999985</v>
      </c>
    </row>
    <row r="21" spans="1:17" x14ac:dyDescent="0.4">
      <c r="A21" s="57" t="s">
        <v>5</v>
      </c>
      <c r="B21" s="53">
        <f>IF(B$17=0,0,C21/B$17)</f>
        <v>10486.142322097377</v>
      </c>
      <c r="C21" s="43">
        <v>2799800</v>
      </c>
      <c r="E21" s="65" t="s">
        <v>98</v>
      </c>
      <c r="F21" s="62" t="s">
        <v>51</v>
      </c>
      <c r="G21" s="49">
        <v>2</v>
      </c>
      <c r="H21" s="138">
        <f>IF(B$27=0,0,G21/B$27)</f>
        <v>7.7821011673151752E-3</v>
      </c>
      <c r="I21" s="100">
        <v>3</v>
      </c>
      <c r="K21" s="40">
        <v>19</v>
      </c>
      <c r="L21" s="105">
        <v>-273.2</v>
      </c>
      <c r="N21" s="121" t="s">
        <v>167</v>
      </c>
      <c r="O21" s="131">
        <f>IF(P21=0,0,Q21/P21)</f>
        <v>-3.9666666666666663</v>
      </c>
      <c r="P21" s="125">
        <v>3</v>
      </c>
      <c r="Q21" s="113">
        <v>-11.899999999999999</v>
      </c>
    </row>
    <row r="22" spans="1:17" x14ac:dyDescent="0.4">
      <c r="A22" s="59" t="s">
        <v>14</v>
      </c>
      <c r="B22" s="54">
        <f>IF(B$20=0,0,C22/B$20)</f>
        <v>-9495.2380952380954</v>
      </c>
      <c r="C22" s="47">
        <v>-1794600</v>
      </c>
      <c r="E22" s="65" t="s">
        <v>78</v>
      </c>
      <c r="F22" s="62" t="s">
        <v>31</v>
      </c>
      <c r="G22" s="49">
        <v>1</v>
      </c>
      <c r="H22" s="138">
        <f>IF(B$27=0,0,G22/B$27)</f>
        <v>3.8910505836575876E-3</v>
      </c>
      <c r="I22" s="100">
        <v>4</v>
      </c>
      <c r="K22" s="40">
        <v>20</v>
      </c>
      <c r="L22" s="105">
        <v>-270</v>
      </c>
      <c r="N22" s="121" t="s">
        <v>133</v>
      </c>
      <c r="O22" s="131">
        <f>IF(P22=0,0,Q22/P22)</f>
        <v>-11.8</v>
      </c>
      <c r="P22" s="125">
        <v>97</v>
      </c>
      <c r="Q22" s="113">
        <v>-1144.6000000000001</v>
      </c>
    </row>
    <row r="23" spans="1:17" x14ac:dyDescent="0.4">
      <c r="A23" s="96" t="s">
        <v>158</v>
      </c>
      <c r="B23" s="154">
        <v>7</v>
      </c>
      <c r="C23" s="155"/>
      <c r="E23" s="65" t="s">
        <v>81</v>
      </c>
      <c r="F23" s="62" t="s">
        <v>34</v>
      </c>
      <c r="G23" s="49">
        <v>1</v>
      </c>
      <c r="H23" s="138">
        <f>IF(B$27=0,0,G23/B$27)</f>
        <v>3.8910505836575876E-3</v>
      </c>
      <c r="I23" s="100">
        <v>6</v>
      </c>
      <c r="K23" s="40">
        <v>21</v>
      </c>
      <c r="L23" s="105">
        <v>-242</v>
      </c>
      <c r="N23" s="121" t="s">
        <v>136</v>
      </c>
      <c r="O23" s="131">
        <f>IF(P23=0,0,Q23/P23)</f>
        <v>-11.846666666666668</v>
      </c>
      <c r="P23" s="125">
        <v>15</v>
      </c>
      <c r="Q23" s="113">
        <v>-177.70000000000002</v>
      </c>
    </row>
    <row r="24" spans="1:17" x14ac:dyDescent="0.4">
      <c r="A24" s="60" t="s">
        <v>199</v>
      </c>
      <c r="B24" s="152">
        <v>124700</v>
      </c>
      <c r="C24" s="153"/>
      <c r="E24" s="65" t="s">
        <v>89</v>
      </c>
      <c r="F24" s="62" t="s">
        <v>42</v>
      </c>
      <c r="G24" s="49">
        <v>1</v>
      </c>
      <c r="H24" s="138">
        <f>IF(B$27=0,0,G24/B$27)</f>
        <v>3.8910505836575876E-3</v>
      </c>
      <c r="I24" s="100">
        <v>3</v>
      </c>
      <c r="K24" s="40">
        <v>22</v>
      </c>
      <c r="L24" s="105">
        <v>-202.9</v>
      </c>
      <c r="N24" s="121" t="s">
        <v>137</v>
      </c>
      <c r="O24" s="131">
        <f>IF(P24=0,0,Q24/P24)</f>
        <v>-14.182499999999999</v>
      </c>
      <c r="P24" s="125">
        <v>40</v>
      </c>
      <c r="Q24" s="113">
        <v>-567.29999999999995</v>
      </c>
    </row>
    <row r="25" spans="1:17" x14ac:dyDescent="0.4">
      <c r="A25" s="59" t="s">
        <v>159</v>
      </c>
      <c r="B25" s="67">
        <v>7</v>
      </c>
      <c r="C25" s="44">
        <f>IF(B$3=0,0,B25/B$3)</f>
        <v>7.4547390841320556E-3</v>
      </c>
      <c r="E25" s="65" t="s">
        <v>90</v>
      </c>
      <c r="F25" s="62" t="s">
        <v>43</v>
      </c>
      <c r="G25" s="49">
        <v>1</v>
      </c>
      <c r="H25" s="138">
        <f>IF(B$27=0,0,G25/B$27)</f>
        <v>3.8910505836575876E-3</v>
      </c>
      <c r="I25" s="100">
        <v>3</v>
      </c>
      <c r="K25" s="40">
        <v>23</v>
      </c>
      <c r="L25" s="105">
        <v>-200.9</v>
      </c>
      <c r="N25" s="121" t="s">
        <v>171</v>
      </c>
      <c r="O25" s="131">
        <f>IF(P25=0,0,Q25/P25)</f>
        <v>-17.200000000000003</v>
      </c>
      <c r="P25" s="125">
        <v>2</v>
      </c>
      <c r="Q25" s="113">
        <v>-34.400000000000006</v>
      </c>
    </row>
    <row r="26" spans="1:17" x14ac:dyDescent="0.4">
      <c r="A26" s="56" t="s">
        <v>126</v>
      </c>
      <c r="B26" s="144">
        <v>902</v>
      </c>
      <c r="C26" s="145"/>
      <c r="E26" s="65" t="s">
        <v>95</v>
      </c>
      <c r="F26" s="62" t="s">
        <v>48</v>
      </c>
      <c r="G26" s="49">
        <v>1</v>
      </c>
      <c r="H26" s="138">
        <f>IF(B$27=0,0,G26/B$27)</f>
        <v>3.8910505836575876E-3</v>
      </c>
      <c r="I26" s="100">
        <v>1</v>
      </c>
      <c r="K26" s="40">
        <v>24</v>
      </c>
      <c r="L26" s="105">
        <v>-168.2</v>
      </c>
    </row>
    <row r="27" spans="1:17" x14ac:dyDescent="0.4">
      <c r="A27" s="59" t="s">
        <v>127</v>
      </c>
      <c r="B27" s="158">
        <v>257</v>
      </c>
      <c r="C27" s="159"/>
      <c r="E27" s="65" t="s">
        <v>97</v>
      </c>
      <c r="F27" s="62" t="s">
        <v>50</v>
      </c>
      <c r="G27" s="49">
        <v>1</v>
      </c>
      <c r="H27" s="138">
        <f>IF(B$27=0,0,G27/B$27)</f>
        <v>3.8910505836575876E-3</v>
      </c>
      <c r="I27" s="100">
        <v>6</v>
      </c>
      <c r="K27" s="40">
        <v>25</v>
      </c>
      <c r="L27" s="105">
        <v>-216.89999999999998</v>
      </c>
    </row>
    <row r="28" spans="1:17" x14ac:dyDescent="0.4">
      <c r="E28" s="65" t="s">
        <v>80</v>
      </c>
      <c r="F28" s="62" t="s">
        <v>33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-256.29999999999995</v>
      </c>
    </row>
    <row r="29" spans="1:17" x14ac:dyDescent="0.4">
      <c r="E29" s="65" t="s">
        <v>84</v>
      </c>
      <c r="F29" s="62" t="s">
        <v>37</v>
      </c>
      <c r="G29" s="49">
        <v>0</v>
      </c>
      <c r="H29" s="138">
        <f>IF(B$27=0,0,G29/B$27)</f>
        <v>0</v>
      </c>
      <c r="I29" s="100">
        <v>1</v>
      </c>
      <c r="K29" s="40">
        <v>27</v>
      </c>
      <c r="L29" s="105">
        <v>-296.29999999999995</v>
      </c>
    </row>
    <row r="30" spans="1:17" x14ac:dyDescent="0.4">
      <c r="E30" s="65" t="s">
        <v>85</v>
      </c>
      <c r="F30" s="62" t="s">
        <v>38</v>
      </c>
      <c r="G30" s="49">
        <v>0</v>
      </c>
      <c r="H30" s="138">
        <f>IF(B$27=0,0,G30/B$27)</f>
        <v>0</v>
      </c>
      <c r="I30" s="100">
        <v>3</v>
      </c>
      <c r="K30" s="40">
        <v>28</v>
      </c>
      <c r="L30" s="105">
        <v>-290.19999999999993</v>
      </c>
    </row>
    <row r="31" spans="1:17" x14ac:dyDescent="0.4">
      <c r="E31" s="65" t="s">
        <v>87</v>
      </c>
      <c r="F31" s="62" t="s">
        <v>40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-239.19999999999993</v>
      </c>
    </row>
    <row r="32" spans="1:17" x14ac:dyDescent="0.4">
      <c r="E32" s="65" t="s">
        <v>92</v>
      </c>
      <c r="F32" s="62" t="s">
        <v>45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-257.29999999999995</v>
      </c>
    </row>
    <row r="33" spans="5:12" x14ac:dyDescent="0.4">
      <c r="E33" s="65" t="s">
        <v>93</v>
      </c>
      <c r="F33" s="62" t="s">
        <v>46</v>
      </c>
      <c r="G33" s="49">
        <v>0</v>
      </c>
      <c r="H33" s="138">
        <f>IF(B$27=0,0,G33/B$27)</f>
        <v>0</v>
      </c>
      <c r="I33" s="100">
        <v>3</v>
      </c>
      <c r="K33" s="40">
        <v>31</v>
      </c>
      <c r="L33" s="105">
        <v>-265.39999999999998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-283.89999999999998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-291.29999999999995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-301.69999999999993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-339.69999999999993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-328.09999999999991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-371.59999999999991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-380.09999999999991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-360.49999999999989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-378.59999999999991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-366.59999999999991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-367.09999999999991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-325.09999999999991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-330.89999999999992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-329.19999999999993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-363.39999999999992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-351.39999999999992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-359.19999999999993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-364.49999999999994</v>
      </c>
    </row>
    <row r="52" spans="5:12" x14ac:dyDescent="0.4">
      <c r="K52" s="40">
        <v>50</v>
      </c>
      <c r="L52" s="105">
        <v>-399.99999999999994</v>
      </c>
    </row>
    <row r="53" spans="5:12" x14ac:dyDescent="0.4">
      <c r="K53" s="40">
        <v>51</v>
      </c>
      <c r="L53" s="105">
        <v>-409.99999999999994</v>
      </c>
    </row>
    <row r="54" spans="5:12" x14ac:dyDescent="0.4">
      <c r="K54" s="40">
        <v>52</v>
      </c>
      <c r="L54" s="105">
        <v>-426.39999999999992</v>
      </c>
    </row>
    <row r="55" spans="5:12" x14ac:dyDescent="0.4">
      <c r="K55" s="40">
        <v>53</v>
      </c>
      <c r="L55" s="105">
        <v>-399.89999999999992</v>
      </c>
    </row>
    <row r="56" spans="5:12" x14ac:dyDescent="0.4">
      <c r="K56" s="40">
        <v>54</v>
      </c>
      <c r="L56" s="105">
        <v>-411.19999999999993</v>
      </c>
    </row>
    <row r="57" spans="5:12" x14ac:dyDescent="0.4">
      <c r="K57" s="40">
        <v>55</v>
      </c>
      <c r="L57" s="105">
        <v>-420.49999999999994</v>
      </c>
    </row>
    <row r="58" spans="5:12" x14ac:dyDescent="0.4">
      <c r="K58" s="40">
        <v>56</v>
      </c>
      <c r="L58" s="105">
        <v>-395.39999999999992</v>
      </c>
    </row>
    <row r="59" spans="5:12" x14ac:dyDescent="0.4">
      <c r="K59" s="40">
        <v>57</v>
      </c>
      <c r="L59" s="105">
        <v>-428.89999999999992</v>
      </c>
    </row>
    <row r="60" spans="5:12" x14ac:dyDescent="0.4">
      <c r="K60" s="40">
        <v>58</v>
      </c>
      <c r="L60" s="105">
        <v>-466.39999999999992</v>
      </c>
    </row>
    <row r="61" spans="5:12" x14ac:dyDescent="0.4">
      <c r="K61" s="40">
        <v>59</v>
      </c>
      <c r="L61" s="105">
        <v>-475.7999999999999</v>
      </c>
    </row>
    <row r="62" spans="5:12" x14ac:dyDescent="0.4">
      <c r="K62" s="40">
        <v>60</v>
      </c>
      <c r="L62" s="105">
        <v>-475.2999999999999</v>
      </c>
    </row>
    <row r="63" spans="5:12" x14ac:dyDescent="0.4">
      <c r="K63" s="40">
        <v>61</v>
      </c>
      <c r="L63" s="105">
        <v>-487.39999999999992</v>
      </c>
    </row>
    <row r="64" spans="5:12" x14ac:dyDescent="0.4">
      <c r="K64" s="40">
        <v>62</v>
      </c>
      <c r="L64" s="105">
        <v>-492.59999999999991</v>
      </c>
    </row>
    <row r="65" spans="11:12" x14ac:dyDescent="0.4">
      <c r="K65" s="40">
        <v>63</v>
      </c>
      <c r="L65" s="105">
        <v>-416.09999999999991</v>
      </c>
    </row>
    <row r="66" spans="11:12" x14ac:dyDescent="0.4">
      <c r="K66" s="40">
        <v>64</v>
      </c>
      <c r="L66" s="105">
        <v>-451.89999999999992</v>
      </c>
    </row>
    <row r="67" spans="11:12" x14ac:dyDescent="0.4">
      <c r="K67" s="40">
        <v>65</v>
      </c>
      <c r="L67" s="105">
        <v>-454.09999999999991</v>
      </c>
    </row>
    <row r="68" spans="11:12" x14ac:dyDescent="0.4">
      <c r="K68" s="40">
        <v>66</v>
      </c>
      <c r="L68" s="105">
        <v>-470.99999999999989</v>
      </c>
    </row>
    <row r="69" spans="11:12" x14ac:dyDescent="0.4">
      <c r="K69" s="40">
        <v>67</v>
      </c>
      <c r="L69" s="105">
        <v>-508.39999999999986</v>
      </c>
    </row>
    <row r="70" spans="11:12" x14ac:dyDescent="0.4">
      <c r="K70" s="40">
        <v>68</v>
      </c>
      <c r="L70" s="105">
        <v>-418.69999999999987</v>
      </c>
    </row>
    <row r="71" spans="11:12" x14ac:dyDescent="0.4">
      <c r="K71" s="40">
        <v>69</v>
      </c>
      <c r="L71" s="105">
        <v>-387.49999999999989</v>
      </c>
    </row>
    <row r="72" spans="11:12" x14ac:dyDescent="0.4">
      <c r="K72" s="40">
        <v>70</v>
      </c>
      <c r="L72" s="105">
        <v>-347.2999999999999</v>
      </c>
    </row>
    <row r="73" spans="11:12" x14ac:dyDescent="0.4">
      <c r="K73" s="40">
        <v>71</v>
      </c>
      <c r="L73" s="105">
        <v>-368.2999999999999</v>
      </c>
    </row>
    <row r="74" spans="11:12" x14ac:dyDescent="0.4">
      <c r="K74" s="40">
        <v>72</v>
      </c>
      <c r="L74" s="105">
        <v>-404.2999999999999</v>
      </c>
    </row>
    <row r="75" spans="11:12" x14ac:dyDescent="0.4">
      <c r="K75" s="40">
        <v>73</v>
      </c>
      <c r="L75" s="105">
        <v>-413.69999999999987</v>
      </c>
    </row>
    <row r="76" spans="11:12" x14ac:dyDescent="0.4">
      <c r="K76" s="40">
        <v>74</v>
      </c>
      <c r="L76" s="105">
        <v>-399.19999999999987</v>
      </c>
    </row>
    <row r="77" spans="11:12" x14ac:dyDescent="0.4">
      <c r="K77" s="40">
        <v>75</v>
      </c>
      <c r="L77" s="105">
        <v>-438.59999999999985</v>
      </c>
    </row>
    <row r="78" spans="11:12" x14ac:dyDescent="0.4">
      <c r="K78" s="40">
        <v>76</v>
      </c>
      <c r="L78" s="105">
        <v>-437.19999999999987</v>
      </c>
    </row>
    <row r="79" spans="11:12" x14ac:dyDescent="0.4">
      <c r="K79" s="40">
        <v>77</v>
      </c>
      <c r="L79" s="105">
        <v>-439.99999999999989</v>
      </c>
    </row>
    <row r="80" spans="11:12" x14ac:dyDescent="0.4">
      <c r="K80" s="40">
        <v>78</v>
      </c>
      <c r="L80" s="105">
        <v>-428.19999999999987</v>
      </c>
    </row>
    <row r="81" spans="11:12" x14ac:dyDescent="0.4">
      <c r="K81" s="40">
        <v>79</v>
      </c>
      <c r="L81" s="105">
        <v>-443.2999999999999</v>
      </c>
    </row>
    <row r="82" spans="11:12" x14ac:dyDescent="0.4">
      <c r="K82" s="40">
        <v>80</v>
      </c>
      <c r="L82" s="105">
        <v>-454.99999999999989</v>
      </c>
    </row>
    <row r="83" spans="11:12" x14ac:dyDescent="0.4">
      <c r="K83" s="40">
        <v>81</v>
      </c>
      <c r="L83" s="105">
        <v>-398.59999999999991</v>
      </c>
    </row>
    <row r="84" spans="11:12" x14ac:dyDescent="0.4">
      <c r="K84" s="40">
        <v>82</v>
      </c>
      <c r="L84" s="105">
        <v>-353.59999999999991</v>
      </c>
    </row>
    <row r="85" spans="11:12" x14ac:dyDescent="0.4">
      <c r="K85" s="40">
        <v>83</v>
      </c>
      <c r="L85" s="105">
        <v>-354.2999999999999</v>
      </c>
    </row>
    <row r="86" spans="11:12" x14ac:dyDescent="0.4">
      <c r="K86" s="40">
        <v>84</v>
      </c>
      <c r="L86" s="105">
        <v>-344.19999999999987</v>
      </c>
    </row>
    <row r="87" spans="11:12" x14ac:dyDescent="0.4">
      <c r="K87" s="40">
        <v>85</v>
      </c>
      <c r="L87" s="105">
        <v>-379.99999999999989</v>
      </c>
    </row>
    <row r="88" spans="11:12" x14ac:dyDescent="0.4">
      <c r="K88" s="40">
        <v>86</v>
      </c>
      <c r="L88" s="105">
        <v>-383.7999999999999</v>
      </c>
    </row>
    <row r="89" spans="11:12" x14ac:dyDescent="0.4">
      <c r="K89" s="40">
        <v>87</v>
      </c>
      <c r="L89" s="105">
        <v>-397.49999999999989</v>
      </c>
    </row>
    <row r="90" spans="11:12" x14ac:dyDescent="0.4">
      <c r="K90" s="40">
        <v>88</v>
      </c>
      <c r="L90" s="105">
        <v>-438.49999999999989</v>
      </c>
    </row>
    <row r="91" spans="11:12" x14ac:dyDescent="0.4">
      <c r="K91" s="40">
        <v>89</v>
      </c>
      <c r="L91" s="105">
        <v>-481.59999999999991</v>
      </c>
    </row>
    <row r="92" spans="11:12" x14ac:dyDescent="0.4">
      <c r="K92" s="40">
        <v>90</v>
      </c>
      <c r="L92" s="105">
        <v>-481.59999999999991</v>
      </c>
    </row>
    <row r="93" spans="11:12" x14ac:dyDescent="0.4">
      <c r="K93" s="40">
        <v>91</v>
      </c>
      <c r="L93" s="105">
        <v>-485.2999999999999</v>
      </c>
    </row>
    <row r="94" spans="11:12" x14ac:dyDescent="0.4">
      <c r="K94" s="40">
        <v>92</v>
      </c>
      <c r="L94" s="105">
        <v>-521.79999999999995</v>
      </c>
    </row>
    <row r="95" spans="11:12" x14ac:dyDescent="0.4">
      <c r="K95" s="40">
        <v>93</v>
      </c>
      <c r="L95" s="105">
        <v>-563.19999999999993</v>
      </c>
    </row>
    <row r="96" spans="11:12" x14ac:dyDescent="0.4">
      <c r="K96" s="40">
        <v>94</v>
      </c>
      <c r="L96" s="105">
        <v>-560.99999999999989</v>
      </c>
    </row>
    <row r="97" spans="11:12" x14ac:dyDescent="0.4">
      <c r="K97" s="40">
        <v>95</v>
      </c>
      <c r="L97" s="105">
        <v>-544.39999999999986</v>
      </c>
    </row>
    <row r="98" spans="11:12" x14ac:dyDescent="0.4">
      <c r="K98" s="40">
        <v>96</v>
      </c>
      <c r="L98" s="105">
        <v>-513.59999999999991</v>
      </c>
    </row>
    <row r="99" spans="11:12" x14ac:dyDescent="0.4">
      <c r="K99" s="40">
        <v>97</v>
      </c>
      <c r="L99" s="105">
        <v>-449.89999999999992</v>
      </c>
    </row>
    <row r="100" spans="11:12" x14ac:dyDescent="0.4">
      <c r="K100" s="40">
        <v>98</v>
      </c>
      <c r="L100" s="105">
        <v>-478.69999999999993</v>
      </c>
    </row>
    <row r="101" spans="11:12" x14ac:dyDescent="0.4">
      <c r="K101" s="40">
        <v>99</v>
      </c>
      <c r="L101" s="105">
        <v>-455.19999999999993</v>
      </c>
    </row>
    <row r="102" spans="11:12" x14ac:dyDescent="0.4">
      <c r="K102" s="40">
        <v>100</v>
      </c>
      <c r="L102" s="105">
        <v>-505.69999999999993</v>
      </c>
    </row>
    <row r="103" spans="11:12" x14ac:dyDescent="0.4">
      <c r="K103" s="40">
        <v>101</v>
      </c>
      <c r="L103" s="105">
        <v>-503.89999999999992</v>
      </c>
    </row>
    <row r="104" spans="11:12" x14ac:dyDescent="0.4">
      <c r="K104" s="40">
        <v>102</v>
      </c>
      <c r="L104" s="105">
        <v>-452.59999999999991</v>
      </c>
    </row>
    <row r="105" spans="11:12" x14ac:dyDescent="0.4">
      <c r="K105" s="40">
        <v>103</v>
      </c>
      <c r="L105" s="105">
        <v>-477.69999999999993</v>
      </c>
    </row>
    <row r="106" spans="11:12" x14ac:dyDescent="0.4">
      <c r="K106" s="40">
        <v>104</v>
      </c>
      <c r="L106" s="105">
        <v>-477.19999999999993</v>
      </c>
    </row>
    <row r="107" spans="11:12" x14ac:dyDescent="0.4">
      <c r="K107" s="40">
        <v>105</v>
      </c>
      <c r="L107" s="105">
        <v>-478.09999999999991</v>
      </c>
    </row>
    <row r="108" spans="11:12" x14ac:dyDescent="0.4">
      <c r="K108" s="40">
        <v>106</v>
      </c>
      <c r="L108" s="105">
        <v>-419.89999999999992</v>
      </c>
    </row>
    <row r="109" spans="11:12" x14ac:dyDescent="0.4">
      <c r="K109" s="40">
        <v>107</v>
      </c>
      <c r="L109" s="105">
        <v>-436.69999999999993</v>
      </c>
    </row>
    <row r="110" spans="11:12" x14ac:dyDescent="0.4">
      <c r="K110" s="40">
        <v>108</v>
      </c>
      <c r="L110" s="105">
        <v>-453.29999999999995</v>
      </c>
    </row>
    <row r="111" spans="11:12" x14ac:dyDescent="0.4">
      <c r="K111" s="40">
        <v>109</v>
      </c>
      <c r="L111" s="105">
        <v>-448.79999999999995</v>
      </c>
    </row>
    <row r="112" spans="11:12" x14ac:dyDescent="0.4">
      <c r="K112" s="40">
        <v>110</v>
      </c>
      <c r="L112" s="105">
        <v>-447.99999999999994</v>
      </c>
    </row>
    <row r="113" spans="11:12" x14ac:dyDescent="0.4">
      <c r="K113" s="40">
        <v>111</v>
      </c>
      <c r="L113" s="105">
        <v>-470.39999999999992</v>
      </c>
    </row>
    <row r="114" spans="11:12" x14ac:dyDescent="0.4">
      <c r="K114" s="40">
        <v>112</v>
      </c>
      <c r="L114" s="105">
        <v>-471.19999999999993</v>
      </c>
    </row>
    <row r="115" spans="11:12" x14ac:dyDescent="0.4">
      <c r="K115" s="40">
        <v>113</v>
      </c>
      <c r="L115" s="105">
        <v>-469.39999999999992</v>
      </c>
    </row>
    <row r="116" spans="11:12" x14ac:dyDescent="0.4">
      <c r="K116" s="40">
        <v>114</v>
      </c>
      <c r="L116" s="105">
        <v>-475.09999999999991</v>
      </c>
    </row>
    <row r="117" spans="11:12" x14ac:dyDescent="0.4">
      <c r="K117" s="40">
        <v>115</v>
      </c>
      <c r="L117" s="105">
        <v>-443.39999999999992</v>
      </c>
    </row>
    <row r="118" spans="11:12" x14ac:dyDescent="0.4">
      <c r="K118" s="40">
        <v>116</v>
      </c>
      <c r="L118" s="105">
        <v>-440.39999999999992</v>
      </c>
    </row>
    <row r="119" spans="11:12" x14ac:dyDescent="0.4">
      <c r="K119" s="40">
        <v>117</v>
      </c>
      <c r="L119" s="105">
        <v>-453.39999999999992</v>
      </c>
    </row>
    <row r="120" spans="11:12" x14ac:dyDescent="0.4">
      <c r="K120" s="40">
        <v>118</v>
      </c>
      <c r="L120" s="105">
        <v>-470.2999999999999</v>
      </c>
    </row>
    <row r="121" spans="11:12" x14ac:dyDescent="0.4">
      <c r="K121" s="40">
        <v>119</v>
      </c>
      <c r="L121" s="105">
        <v>-469.19999999999987</v>
      </c>
    </row>
    <row r="122" spans="11:12" x14ac:dyDescent="0.4">
      <c r="K122" s="40">
        <v>120</v>
      </c>
      <c r="L122" s="105">
        <v>-502.19999999999987</v>
      </c>
    </row>
    <row r="123" spans="11:12" x14ac:dyDescent="0.4">
      <c r="K123" s="40">
        <v>121</v>
      </c>
      <c r="L123" s="105">
        <v>-509.69999999999987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C23B9-8514-4584-8049-32EDC4CDF0B8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194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6</v>
      </c>
      <c r="C2" s="145"/>
      <c r="E2" s="64" t="s">
        <v>67</v>
      </c>
      <c r="F2" s="61" t="s">
        <v>21</v>
      </c>
      <c r="G2" s="48">
        <v>12</v>
      </c>
      <c r="H2" s="137">
        <f>IF(B$27=0,0,G2/B$27)</f>
        <v>0.63157894736842102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7650</v>
      </c>
      <c r="P2" s="124">
        <v>6</v>
      </c>
      <c r="Q2" s="108">
        <v>45900</v>
      </c>
    </row>
    <row r="3" spans="1:17" x14ac:dyDescent="0.4">
      <c r="A3" s="57" t="s">
        <v>8</v>
      </c>
      <c r="B3" s="146">
        <v>50</v>
      </c>
      <c r="C3" s="147"/>
      <c r="E3" s="65" t="s">
        <v>69</v>
      </c>
      <c r="F3" s="62" t="s">
        <v>23</v>
      </c>
      <c r="G3" s="49">
        <v>12</v>
      </c>
      <c r="H3" s="138">
        <f>IF(B$27=0,0,G3/B$27)</f>
        <v>0.63157894736842102</v>
      </c>
      <c r="I3" s="100">
        <v>11</v>
      </c>
      <c r="K3" s="40">
        <v>1</v>
      </c>
      <c r="L3" s="105">
        <v>28.3</v>
      </c>
      <c r="N3" s="121" t="s">
        <v>148</v>
      </c>
      <c r="O3" s="128">
        <f t="shared" si="0"/>
        <v>-6450</v>
      </c>
      <c r="P3" s="125">
        <v>6</v>
      </c>
      <c r="Q3" s="109">
        <v>-38700</v>
      </c>
    </row>
    <row r="4" spans="1:17" x14ac:dyDescent="0.4">
      <c r="A4" s="57" t="s">
        <v>6</v>
      </c>
      <c r="B4" s="148">
        <v>47</v>
      </c>
      <c r="C4" s="149"/>
      <c r="E4" s="65" t="s">
        <v>71</v>
      </c>
      <c r="F4" s="62" t="s">
        <v>25</v>
      </c>
      <c r="G4" s="49">
        <v>12</v>
      </c>
      <c r="H4" s="138">
        <f>IF(B$27=0,0,G4/B$27)</f>
        <v>0.63157894736842102</v>
      </c>
      <c r="I4" s="100">
        <v>12</v>
      </c>
      <c r="K4" s="40">
        <v>2</v>
      </c>
      <c r="L4" s="105">
        <v>71.3</v>
      </c>
      <c r="N4" s="121" t="s">
        <v>149</v>
      </c>
      <c r="O4" s="128">
        <f t="shared" si="0"/>
        <v>-1500</v>
      </c>
      <c r="P4" s="125">
        <v>6</v>
      </c>
      <c r="Q4" s="109">
        <v>-9000</v>
      </c>
    </row>
    <row r="5" spans="1:17" x14ac:dyDescent="0.4">
      <c r="A5" s="57" t="s">
        <v>7</v>
      </c>
      <c r="B5" s="150">
        <f>IF(B$2=0,0,B$4/B$2)</f>
        <v>7.833333333333333</v>
      </c>
      <c r="C5" s="151"/>
      <c r="E5" s="65" t="s">
        <v>76</v>
      </c>
      <c r="F5" s="62" t="s">
        <v>29</v>
      </c>
      <c r="G5" s="49">
        <v>10</v>
      </c>
      <c r="H5" s="138">
        <f>IF(B$27=0,0,G5/B$27)</f>
        <v>0.52631578947368418</v>
      </c>
      <c r="I5" s="100">
        <v>10</v>
      </c>
      <c r="K5" s="40">
        <v>3</v>
      </c>
      <c r="L5" s="105">
        <v>57.3</v>
      </c>
      <c r="N5" s="121" t="s">
        <v>150</v>
      </c>
      <c r="O5" s="128">
        <f t="shared" si="0"/>
        <v>10700</v>
      </c>
      <c r="P5" s="125">
        <v>4</v>
      </c>
      <c r="Q5" s="109">
        <v>42800</v>
      </c>
    </row>
    <row r="6" spans="1:17" x14ac:dyDescent="0.4">
      <c r="A6" s="57" t="s">
        <v>1</v>
      </c>
      <c r="B6" s="156">
        <f>IF(B$2=0,0,(B$7*1+B$8*2+B$9*3)/B$2)</f>
        <v>1.8333333333333333</v>
      </c>
      <c r="C6" s="157"/>
      <c r="E6" s="65" t="s">
        <v>70</v>
      </c>
      <c r="F6" s="62" t="s">
        <v>24</v>
      </c>
      <c r="G6" s="49">
        <v>7</v>
      </c>
      <c r="H6" s="138">
        <f>IF(B$27=0,0,G6/B$27)</f>
        <v>0.36842105263157893</v>
      </c>
      <c r="I6" s="100">
        <v>3</v>
      </c>
      <c r="K6" s="40">
        <v>4</v>
      </c>
      <c r="L6" s="105">
        <v>64.5</v>
      </c>
      <c r="N6" s="121" t="s">
        <v>151</v>
      </c>
      <c r="O6" s="128">
        <f t="shared" si="0"/>
        <v>-1000</v>
      </c>
      <c r="P6" s="125">
        <v>4</v>
      </c>
      <c r="Q6" s="109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38">
        <f>IF(B$27=0,0,G7/B$27)</f>
        <v>0.21052631578947367</v>
      </c>
      <c r="I7" s="100">
        <v>11</v>
      </c>
      <c r="K7" s="40">
        <v>5</v>
      </c>
      <c r="L7" s="105">
        <v>89</v>
      </c>
      <c r="N7" s="122" t="s">
        <v>152</v>
      </c>
      <c r="O7" s="129">
        <f t="shared" si="0"/>
        <v>2500</v>
      </c>
      <c r="P7" s="126">
        <v>4</v>
      </c>
      <c r="Q7" s="110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38">
        <f>IF(B$27=0,0,G8/B$27)</f>
        <v>0.21052631578947367</v>
      </c>
      <c r="I8" s="100">
        <v>1</v>
      </c>
      <c r="K8" s="40">
        <v>6</v>
      </c>
      <c r="L8" s="105">
        <v>47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3</v>
      </c>
      <c r="H9" s="138">
        <f>IF(B$27=0,0,G9/B$27)</f>
        <v>0.15789473684210525</v>
      </c>
      <c r="I9" s="100">
        <v>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38">
        <f>IF(B$27=0,0,G10/B$27)</f>
        <v>0.15789473684210525</v>
      </c>
      <c r="I10" s="100">
        <v>3</v>
      </c>
      <c r="N10" s="120" t="s">
        <v>253</v>
      </c>
      <c r="O10" s="130">
        <f>IF(P10=0,0,Q10/P10)</f>
        <v>-6.85</v>
      </c>
      <c r="P10" s="124">
        <v>2</v>
      </c>
      <c r="Q10" s="112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38">
        <f>IF(B$27=0,0,G11/B$27)</f>
        <v>0.15789473684210525</v>
      </c>
      <c r="I11" s="100">
        <v>2</v>
      </c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38">
        <f>IF(B$27=0,0,G12/B$27)</f>
        <v>0.15789473684210525</v>
      </c>
      <c r="I12" s="100">
        <v>6</v>
      </c>
      <c r="N12" s="122" t="s">
        <v>255</v>
      </c>
      <c r="O12" s="132">
        <f>IF(P12=0,0,Q12/P12)</f>
        <v>15.175000000000001</v>
      </c>
      <c r="P12" s="126">
        <v>4</v>
      </c>
      <c r="Q12" s="114">
        <v>60.7</v>
      </c>
    </row>
    <row r="13" spans="1:17" x14ac:dyDescent="0.4">
      <c r="A13" s="60" t="s">
        <v>128</v>
      </c>
      <c r="B13" s="52">
        <v>21</v>
      </c>
      <c r="C13" s="46">
        <f>IF(B$26=0,0,B13/B$26)</f>
        <v>0.42</v>
      </c>
      <c r="E13" s="65" t="s">
        <v>75</v>
      </c>
      <c r="F13" s="62" t="s">
        <v>28</v>
      </c>
      <c r="G13" s="49">
        <v>1</v>
      </c>
      <c r="H13" s="138">
        <f>IF(B$27=0,0,G13/B$27)</f>
        <v>5.2631578947368418E-2</v>
      </c>
      <c r="I13" s="100">
        <v>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</v>
      </c>
      <c r="C14" s="41">
        <f>IF(B$26=0,0,B14/B$26)</f>
        <v>0.12</v>
      </c>
      <c r="E14" s="65" t="s">
        <v>96</v>
      </c>
      <c r="F14" s="62" t="s">
        <v>49</v>
      </c>
      <c r="G14" s="49">
        <v>1</v>
      </c>
      <c r="H14" s="138">
        <f>IF(B$27=0,0,G14/B$27)</f>
        <v>5.2631578947368418E-2</v>
      </c>
      <c r="I14" s="100">
        <v>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38">
        <f>IF(B$27=0,0,G15/B$27)</f>
        <v>0</v>
      </c>
      <c r="I15" s="100">
        <v>7</v>
      </c>
      <c r="N15" s="120" t="s">
        <v>171</v>
      </c>
      <c r="O15" s="130">
        <f>IF(P15=0,0,Q15/P15)</f>
        <v>38.6</v>
      </c>
      <c r="P15" s="124">
        <v>2</v>
      </c>
      <c r="Q15" s="112">
        <v>77.2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38">
        <f>IF(B$27=0,0,G16/B$27)</f>
        <v>0</v>
      </c>
      <c r="I16" s="100">
        <v>6</v>
      </c>
      <c r="N16" s="121" t="s">
        <v>134</v>
      </c>
      <c r="O16" s="131">
        <f>IF(P16=0,0,Q16/P16)</f>
        <v>29.333333333333332</v>
      </c>
      <c r="P16" s="125">
        <v>3</v>
      </c>
      <c r="Q16" s="113">
        <v>88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38">
        <f>IF(B$27=0,0,G17/B$27)</f>
        <v>0</v>
      </c>
      <c r="I17" s="100">
        <v>6</v>
      </c>
      <c r="N17" s="121" t="s">
        <v>137</v>
      </c>
      <c r="O17" s="131">
        <f>IF(P17=0,0,Q17/P17)</f>
        <v>5.8666666666666671</v>
      </c>
      <c r="P17" s="125">
        <v>3</v>
      </c>
      <c r="Q17" s="113">
        <v>17.600000000000001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38">
        <f>IF(B$27=0,0,G18/B$27)</f>
        <v>0</v>
      </c>
      <c r="I18" s="100">
        <v>1</v>
      </c>
      <c r="N18" s="121" t="s">
        <v>135</v>
      </c>
      <c r="O18" s="131">
        <f>IF(P18=0,0,Q18/P18)</f>
        <v>4.9000000000000004</v>
      </c>
      <c r="P18" s="125">
        <v>2</v>
      </c>
      <c r="Q18" s="113">
        <v>9.8000000000000007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38">
        <f>IF(B$27=0,0,G19/B$27)</f>
        <v>0</v>
      </c>
      <c r="I19" s="100">
        <v>7</v>
      </c>
      <c r="N19" s="121" t="s">
        <v>139</v>
      </c>
      <c r="O19" s="131">
        <f>IF(P19=0,0,Q19/P19)</f>
        <v>-25.3</v>
      </c>
      <c r="P19" s="125">
        <v>2</v>
      </c>
      <c r="Q19" s="113">
        <v>-50.6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38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9163.1578947368416</v>
      </c>
      <c r="C21" s="43">
        <v>174100</v>
      </c>
      <c r="E21" s="65" t="s">
        <v>83</v>
      </c>
      <c r="F21" s="62" t="s">
        <v>36</v>
      </c>
      <c r="G21" s="49">
        <v>0</v>
      </c>
      <c r="H21" s="138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-10025</v>
      </c>
      <c r="C22" s="47">
        <v>-40100</v>
      </c>
      <c r="E22" s="65" t="s">
        <v>84</v>
      </c>
      <c r="F22" s="62" t="s">
        <v>37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54">
        <v>5</v>
      </c>
      <c r="C23" s="155"/>
      <c r="E23" s="65" t="s">
        <v>85</v>
      </c>
      <c r="F23" s="62" t="s">
        <v>38</v>
      </c>
      <c r="G23" s="49">
        <v>0</v>
      </c>
      <c r="H23" s="138">
        <f>IF(B$27=0,0,G23/B$27)</f>
        <v>0</v>
      </c>
      <c r="I23" s="100">
        <v>3</v>
      </c>
    </row>
    <row r="24" spans="1:17" x14ac:dyDescent="0.4">
      <c r="A24" s="60" t="s">
        <v>199</v>
      </c>
      <c r="B24" s="152">
        <v>78000</v>
      </c>
      <c r="C24" s="153"/>
      <c r="E24" s="65" t="s">
        <v>86</v>
      </c>
      <c r="F24" s="62" t="s">
        <v>39</v>
      </c>
      <c r="G24" s="49">
        <v>0</v>
      </c>
      <c r="H24" s="138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4">
        <v>50</v>
      </c>
      <c r="C26" s="145"/>
      <c r="E26" s="65" t="s">
        <v>88</v>
      </c>
      <c r="F26" s="62" t="s">
        <v>41</v>
      </c>
      <c r="G26" s="49">
        <v>0</v>
      </c>
      <c r="H26" s="138">
        <f>IF(B$27=0,0,G26/B$27)</f>
        <v>0</v>
      </c>
      <c r="I26" s="100">
        <v>12</v>
      </c>
    </row>
    <row r="27" spans="1:17" x14ac:dyDescent="0.4">
      <c r="A27" s="59" t="s">
        <v>127</v>
      </c>
      <c r="B27" s="158">
        <v>19</v>
      </c>
      <c r="C27" s="159"/>
      <c r="E27" s="65" t="s">
        <v>89</v>
      </c>
      <c r="F27" s="62" t="s">
        <v>42</v>
      </c>
      <c r="G27" s="49">
        <v>0</v>
      </c>
      <c r="H27" s="138">
        <f>IF(B$27=0,0,G27/B$27)</f>
        <v>0</v>
      </c>
      <c r="I27" s="100">
        <v>5</v>
      </c>
    </row>
    <row r="28" spans="1:17" x14ac:dyDescent="0.4">
      <c r="E28" s="65" t="s">
        <v>90</v>
      </c>
      <c r="F28" s="62" t="s">
        <v>43</v>
      </c>
      <c r="G28" s="49">
        <v>0</v>
      </c>
      <c r="H28" s="138">
        <f>IF(B$27=0,0,G28/B$27)</f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38">
        <f>IF(B$27=0,0,G29/B$27)</f>
        <v>0</v>
      </c>
      <c r="I29" s="100">
        <v>4</v>
      </c>
    </row>
    <row r="30" spans="1:17" x14ac:dyDescent="0.4">
      <c r="E30" s="65" t="s">
        <v>93</v>
      </c>
      <c r="F30" s="62" t="s">
        <v>46</v>
      </c>
      <c r="G30" s="49">
        <v>0</v>
      </c>
      <c r="H30" s="138">
        <f>IF(B$27=0,0,G30/B$27)</f>
        <v>0</v>
      </c>
      <c r="I30" s="100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38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62E76-28E7-4A5F-A152-150F0E3D544C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157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31</v>
      </c>
      <c r="C2" s="145"/>
      <c r="E2" s="64" t="s">
        <v>71</v>
      </c>
      <c r="F2" s="61" t="s">
        <v>25</v>
      </c>
      <c r="G2" s="48">
        <v>51</v>
      </c>
      <c r="H2" s="137">
        <f>IF(B$27=0,0,G2/B$27)</f>
        <v>1.02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-2948.3870967741937</v>
      </c>
      <c r="P2" s="124">
        <v>31</v>
      </c>
      <c r="Q2" s="108">
        <v>-91400</v>
      </c>
    </row>
    <row r="3" spans="1:17" x14ac:dyDescent="0.4">
      <c r="A3" s="57" t="s">
        <v>8</v>
      </c>
      <c r="B3" s="146">
        <v>238</v>
      </c>
      <c r="C3" s="147"/>
      <c r="E3" s="65" t="s">
        <v>76</v>
      </c>
      <c r="F3" s="62" t="s">
        <v>29</v>
      </c>
      <c r="G3" s="49">
        <v>38</v>
      </c>
      <c r="H3" s="138">
        <f>IF(B$27=0,0,G3/B$27)</f>
        <v>0.76</v>
      </c>
      <c r="I3" s="100">
        <v>1</v>
      </c>
      <c r="K3" s="40">
        <v>1</v>
      </c>
      <c r="L3" s="105">
        <v>15</v>
      </c>
      <c r="N3" s="121" t="s">
        <v>148</v>
      </c>
      <c r="O3" s="128">
        <f t="shared" si="0"/>
        <v>1164.516129032258</v>
      </c>
      <c r="P3" s="125">
        <v>31</v>
      </c>
      <c r="Q3" s="109">
        <v>36100</v>
      </c>
    </row>
    <row r="4" spans="1:17" x14ac:dyDescent="0.4">
      <c r="A4" s="57" t="s">
        <v>6</v>
      </c>
      <c r="B4" s="148">
        <v>-334.9</v>
      </c>
      <c r="C4" s="149"/>
      <c r="E4" s="65" t="s">
        <v>69</v>
      </c>
      <c r="F4" s="62" t="s">
        <v>23</v>
      </c>
      <c r="G4" s="49">
        <v>34</v>
      </c>
      <c r="H4" s="138">
        <f>IF(B$27=0,0,G4/B$27)</f>
        <v>0.68</v>
      </c>
      <c r="I4" s="100">
        <v>9</v>
      </c>
      <c r="K4" s="40">
        <v>2</v>
      </c>
      <c r="L4" s="105">
        <v>-24.299999999999997</v>
      </c>
      <c r="N4" s="121" t="s">
        <v>149</v>
      </c>
      <c r="O4" s="128">
        <f t="shared" si="0"/>
        <v>-4366.666666666667</v>
      </c>
      <c r="P4" s="125">
        <v>27</v>
      </c>
      <c r="Q4" s="109">
        <v>-117900</v>
      </c>
    </row>
    <row r="5" spans="1:17" x14ac:dyDescent="0.4">
      <c r="A5" s="57" t="s">
        <v>7</v>
      </c>
      <c r="B5" s="150">
        <f>IF(B$2=0,0,B$4/B$2)</f>
        <v>-10.803225806451612</v>
      </c>
      <c r="C5" s="151"/>
      <c r="E5" s="65" t="s">
        <v>67</v>
      </c>
      <c r="F5" s="62" t="s">
        <v>21</v>
      </c>
      <c r="G5" s="49">
        <v>14</v>
      </c>
      <c r="H5" s="138">
        <f>IF(B$27=0,0,G5/B$27)</f>
        <v>0.28000000000000003</v>
      </c>
      <c r="I5" s="100">
        <v>13</v>
      </c>
      <c r="K5" s="40">
        <v>3</v>
      </c>
      <c r="L5" s="105">
        <v>-15.599999999999998</v>
      </c>
      <c r="N5" s="121" t="s">
        <v>150</v>
      </c>
      <c r="O5" s="128">
        <f t="shared" si="0"/>
        <v>-2141.6666666666665</v>
      </c>
      <c r="P5" s="125">
        <v>24</v>
      </c>
      <c r="Q5" s="109">
        <v>-51400</v>
      </c>
    </row>
    <row r="6" spans="1:17" x14ac:dyDescent="0.4">
      <c r="A6" s="57" t="s">
        <v>1</v>
      </c>
      <c r="B6" s="156">
        <f>IF(B$2=0,0,(B$7*1+B$8*2+B$9*3)/B$2)</f>
        <v>2.3225806451612905</v>
      </c>
      <c r="C6" s="157"/>
      <c r="E6" s="65" t="s">
        <v>72</v>
      </c>
      <c r="F6" s="62" t="s">
        <v>12</v>
      </c>
      <c r="G6" s="49">
        <v>9</v>
      </c>
      <c r="H6" s="138">
        <f>IF(B$27=0,0,G6/B$27)</f>
        <v>0.18</v>
      </c>
      <c r="I6" s="100">
        <v>13</v>
      </c>
      <c r="K6" s="40">
        <v>4</v>
      </c>
      <c r="L6" s="105">
        <v>5.1000000000000014</v>
      </c>
      <c r="N6" s="121" t="s">
        <v>151</v>
      </c>
      <c r="O6" s="128">
        <f t="shared" si="0"/>
        <v>-3491.304347826087</v>
      </c>
      <c r="P6" s="125">
        <v>23</v>
      </c>
      <c r="Q6" s="109">
        <v>-80300</v>
      </c>
    </row>
    <row r="7" spans="1:17" x14ac:dyDescent="0.4">
      <c r="A7" s="57" t="s">
        <v>2</v>
      </c>
      <c r="B7" s="49">
        <v>7</v>
      </c>
      <c r="C7" s="41">
        <f>IF(B$2=0,0,B7/B$2)</f>
        <v>0.22580645161290322</v>
      </c>
      <c r="E7" s="65" t="s">
        <v>88</v>
      </c>
      <c r="F7" s="62" t="s">
        <v>41</v>
      </c>
      <c r="G7" s="49">
        <v>9</v>
      </c>
      <c r="H7" s="138">
        <f>IF(B$27=0,0,G7/B$27)</f>
        <v>0.18</v>
      </c>
      <c r="I7" s="100">
        <v>2</v>
      </c>
      <c r="K7" s="40">
        <v>5</v>
      </c>
      <c r="L7" s="105">
        <v>9.6000000000000014</v>
      </c>
      <c r="N7" s="122" t="s">
        <v>152</v>
      </c>
      <c r="O7" s="129">
        <f t="shared" si="0"/>
        <v>-1764.7058823529412</v>
      </c>
      <c r="P7" s="126">
        <v>17</v>
      </c>
      <c r="Q7" s="110">
        <v>-30000</v>
      </c>
    </row>
    <row r="8" spans="1:17" x14ac:dyDescent="0.4">
      <c r="A8" s="57" t="s">
        <v>3</v>
      </c>
      <c r="B8" s="49">
        <v>7</v>
      </c>
      <c r="C8" s="41">
        <f>IF(B$2=0,0,B8/B$2)</f>
        <v>0.22580645161290322</v>
      </c>
      <c r="E8" s="65" t="s">
        <v>94</v>
      </c>
      <c r="F8" s="62" t="s">
        <v>47</v>
      </c>
      <c r="G8" s="49">
        <v>9</v>
      </c>
      <c r="H8" s="138">
        <f>IF(B$27=0,0,G8/B$27)</f>
        <v>0.18</v>
      </c>
      <c r="I8" s="100">
        <v>3</v>
      </c>
      <c r="K8" s="40">
        <v>6</v>
      </c>
      <c r="L8" s="105">
        <v>2.2000000000000011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17</v>
      </c>
      <c r="C9" s="42">
        <f t="shared" ref="C9" si="1">IF(B$2=0,0,B9/B$2)</f>
        <v>0.54838709677419351</v>
      </c>
      <c r="E9" s="65" t="s">
        <v>70</v>
      </c>
      <c r="F9" s="62" t="s">
        <v>24</v>
      </c>
      <c r="G9" s="49">
        <v>6</v>
      </c>
      <c r="H9" s="138">
        <f>IF(B$27=0,0,G9/B$27)</f>
        <v>0.12</v>
      </c>
      <c r="I9" s="100">
        <v>12</v>
      </c>
      <c r="K9" s="40">
        <v>7</v>
      </c>
      <c r="L9" s="105">
        <v>27.200000000000003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9</v>
      </c>
      <c r="C10" s="42">
        <f>IF(B$2=0,0,B10/B$2)</f>
        <v>0.29032258064516131</v>
      </c>
      <c r="E10" s="65" t="s">
        <v>74</v>
      </c>
      <c r="F10" s="62" t="s">
        <v>27</v>
      </c>
      <c r="G10" s="49">
        <v>6</v>
      </c>
      <c r="H10" s="138">
        <f>IF(B$27=0,0,G10/B$27)</f>
        <v>0.12</v>
      </c>
      <c r="I10" s="100">
        <v>4</v>
      </c>
      <c r="K10" s="40">
        <v>8</v>
      </c>
      <c r="L10" s="105">
        <v>-4.4999999999999964</v>
      </c>
      <c r="N10" s="120" t="s">
        <v>253</v>
      </c>
      <c r="O10" s="130">
        <f>IF(P10=0,0,Q10/P10)</f>
        <v>-12.290000000000001</v>
      </c>
      <c r="P10" s="124">
        <v>10</v>
      </c>
      <c r="Q10" s="112">
        <v>-122.9</v>
      </c>
    </row>
    <row r="11" spans="1:17" x14ac:dyDescent="0.4">
      <c r="A11" s="58" t="s">
        <v>155</v>
      </c>
      <c r="B11" s="50">
        <v>3</v>
      </c>
      <c r="C11" s="42">
        <f>IF(B$2=0,0,B11/B$2)</f>
        <v>9.6774193548387094E-2</v>
      </c>
      <c r="E11" s="65" t="s">
        <v>68</v>
      </c>
      <c r="F11" s="62" t="s">
        <v>22</v>
      </c>
      <c r="G11" s="49">
        <v>5</v>
      </c>
      <c r="H11" s="138">
        <f>IF(B$27=0,0,G11/B$27)</f>
        <v>0.1</v>
      </c>
      <c r="I11" s="100">
        <v>10</v>
      </c>
      <c r="K11" s="40">
        <v>9</v>
      </c>
      <c r="L11" s="105">
        <v>-9.3999999999999968</v>
      </c>
      <c r="N11" s="121" t="s">
        <v>254</v>
      </c>
      <c r="O11" s="131">
        <f>IF(P11=0,0,Q11/P11)</f>
        <v>-11.5625</v>
      </c>
      <c r="P11" s="125">
        <v>8</v>
      </c>
      <c r="Q11" s="113">
        <v>-92.5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4</v>
      </c>
      <c r="H12" s="138">
        <f>IF(B$27=0,0,G12/B$27)</f>
        <v>0.08</v>
      </c>
      <c r="I12" s="100">
        <v>6</v>
      </c>
      <c r="K12" s="40">
        <v>10</v>
      </c>
      <c r="L12" s="105">
        <v>-24.299999999999997</v>
      </c>
      <c r="N12" s="122" t="s">
        <v>255</v>
      </c>
      <c r="O12" s="132">
        <f>IF(P12=0,0,Q12/P12)</f>
        <v>-9.1923076923076916</v>
      </c>
      <c r="P12" s="126">
        <v>13</v>
      </c>
      <c r="Q12" s="114">
        <v>-119.5</v>
      </c>
    </row>
    <row r="13" spans="1:17" x14ac:dyDescent="0.4">
      <c r="A13" s="60" t="s">
        <v>128</v>
      </c>
      <c r="B13" s="52">
        <v>34</v>
      </c>
      <c r="C13" s="46">
        <f>IF(B$26=0,0,B13/B$26)</f>
        <v>0.14285714285714285</v>
      </c>
      <c r="E13" s="65" t="s">
        <v>82</v>
      </c>
      <c r="F13" s="62" t="s">
        <v>35</v>
      </c>
      <c r="G13" s="49">
        <v>3</v>
      </c>
      <c r="H13" s="138">
        <f>IF(B$27=0,0,G13/B$27)</f>
        <v>0.06</v>
      </c>
      <c r="I13" s="100">
        <v>2</v>
      </c>
      <c r="K13" s="40">
        <v>11</v>
      </c>
      <c r="L13" s="105">
        <v>-70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96</v>
      </c>
      <c r="C14" s="41">
        <f>IF(B$26=0,0,B14/B$26)</f>
        <v>0.40336134453781514</v>
      </c>
      <c r="E14" s="65" t="s">
        <v>73</v>
      </c>
      <c r="F14" s="62" t="s">
        <v>26</v>
      </c>
      <c r="G14" s="49">
        <v>2</v>
      </c>
      <c r="H14" s="138">
        <f>IF(B$27=0,0,G14/B$27)</f>
        <v>0.04</v>
      </c>
      <c r="I14" s="100">
        <v>12</v>
      </c>
      <c r="K14" s="40">
        <v>12</v>
      </c>
      <c r="L14" s="105">
        <v>-43.8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15</v>
      </c>
      <c r="C15" s="39">
        <f>IF(B$13=0,0,B15/B$13)</f>
        <v>0.44117647058823528</v>
      </c>
      <c r="E15" s="65" t="s">
        <v>75</v>
      </c>
      <c r="F15" s="62" t="s">
        <v>28</v>
      </c>
      <c r="G15" s="49">
        <v>2</v>
      </c>
      <c r="H15" s="138">
        <f>IF(B$27=0,0,G15/B$27)</f>
        <v>0.04</v>
      </c>
      <c r="I15" s="100">
        <v>8</v>
      </c>
      <c r="K15" s="40">
        <v>13</v>
      </c>
      <c r="L15" s="105">
        <v>-11.099999999999994</v>
      </c>
      <c r="N15" s="120" t="s">
        <v>171</v>
      </c>
      <c r="O15" s="130">
        <f>IF(P15=0,0,Q15/P15)</f>
        <v>13.450000000000001</v>
      </c>
      <c r="P15" s="124">
        <v>2</v>
      </c>
      <c r="Q15" s="112">
        <v>26.900000000000002</v>
      </c>
    </row>
    <row r="16" spans="1:17" x14ac:dyDescent="0.4">
      <c r="A16" s="56" t="s">
        <v>131</v>
      </c>
      <c r="B16" s="48">
        <v>28</v>
      </c>
      <c r="C16" s="39">
        <f>IF(B$14=0,0,B16/B$14)</f>
        <v>0.29166666666666669</v>
      </c>
      <c r="E16" s="65" t="s">
        <v>83</v>
      </c>
      <c r="F16" s="62" t="s">
        <v>36</v>
      </c>
      <c r="G16" s="49">
        <v>2</v>
      </c>
      <c r="H16" s="138">
        <f>IF(B$27=0,0,G16/B$27)</f>
        <v>0.04</v>
      </c>
      <c r="I16" s="100">
        <v>3</v>
      </c>
      <c r="K16" s="40">
        <v>14</v>
      </c>
      <c r="L16" s="105">
        <v>-5.7999999999999945</v>
      </c>
      <c r="N16" s="121" t="s">
        <v>134</v>
      </c>
      <c r="O16" s="131">
        <f>IF(P16=0,0,Q16/P16)</f>
        <v>10.366666666666665</v>
      </c>
      <c r="P16" s="125">
        <v>3</v>
      </c>
      <c r="Q16" s="113">
        <v>31.099999999999998</v>
      </c>
    </row>
    <row r="17" spans="1:17" x14ac:dyDescent="0.4">
      <c r="A17" s="56" t="s">
        <v>10</v>
      </c>
      <c r="B17" s="48">
        <f>B19+B18</f>
        <v>50</v>
      </c>
      <c r="C17" s="39">
        <f>IF(B$3=0,0,B17/B$3)</f>
        <v>0.21008403361344538</v>
      </c>
      <c r="E17" s="65" t="s">
        <v>86</v>
      </c>
      <c r="F17" s="62" t="s">
        <v>39</v>
      </c>
      <c r="G17" s="49">
        <v>2</v>
      </c>
      <c r="H17" s="138">
        <f>IF(B$27=0,0,G17/B$27)</f>
        <v>0.04</v>
      </c>
      <c r="I17" s="100">
        <v>4</v>
      </c>
      <c r="K17" s="40">
        <v>15</v>
      </c>
      <c r="L17" s="105">
        <v>-44.199999999999996</v>
      </c>
      <c r="N17" s="121" t="s">
        <v>139</v>
      </c>
      <c r="O17" s="131">
        <f>IF(P17=0,0,Q17/P17)</f>
        <v>-10.761111111111111</v>
      </c>
      <c r="P17" s="125">
        <v>18</v>
      </c>
      <c r="Q17" s="113">
        <v>-193.7</v>
      </c>
    </row>
    <row r="18" spans="1:17" x14ac:dyDescent="0.4">
      <c r="A18" s="57" t="s">
        <v>12</v>
      </c>
      <c r="B18" s="49">
        <v>16</v>
      </c>
      <c r="C18" s="41">
        <f>IF(B$17=0,0,B18/B$17)</f>
        <v>0.32</v>
      </c>
      <c r="E18" s="65" t="s">
        <v>81</v>
      </c>
      <c r="F18" s="62" t="s">
        <v>34</v>
      </c>
      <c r="G18" s="49">
        <v>1</v>
      </c>
      <c r="H18" s="138">
        <f>IF(B$27=0,0,G18/B$27)</f>
        <v>0.02</v>
      </c>
      <c r="I18" s="100">
        <v>1</v>
      </c>
      <c r="K18" s="40">
        <v>16</v>
      </c>
      <c r="L18" s="105">
        <v>-25.599999999999994</v>
      </c>
      <c r="N18" s="121" t="s">
        <v>137</v>
      </c>
      <c r="O18" s="131">
        <f>IF(P18=0,0,Q18/P18)</f>
        <v>-15.14</v>
      </c>
      <c r="P18" s="125">
        <v>10</v>
      </c>
      <c r="Q18" s="113">
        <v>-151.4</v>
      </c>
    </row>
    <row r="19" spans="1:17" x14ac:dyDescent="0.4">
      <c r="A19" s="57" t="s">
        <v>11</v>
      </c>
      <c r="B19" s="49">
        <v>34</v>
      </c>
      <c r="C19" s="41">
        <f>IF(B$17=0,0,B19/B$17)</f>
        <v>0.68</v>
      </c>
      <c r="E19" s="65" t="s">
        <v>90</v>
      </c>
      <c r="F19" s="62" t="s">
        <v>43</v>
      </c>
      <c r="G19" s="49">
        <v>1</v>
      </c>
      <c r="H19" s="138">
        <f>IF(B$27=0,0,G19/B$27)</f>
        <v>0.02</v>
      </c>
      <c r="I19" s="100">
        <v>1</v>
      </c>
      <c r="K19" s="40">
        <v>17</v>
      </c>
      <c r="L19" s="105">
        <v>-39.799999999999997</v>
      </c>
      <c r="N19" s="121" t="s">
        <v>250</v>
      </c>
      <c r="O19" s="131">
        <f>IF(P19=0,0,Q19/P19)</f>
        <v>-15.2</v>
      </c>
      <c r="P19" s="125">
        <v>2</v>
      </c>
      <c r="Q19" s="113">
        <v>-30.4</v>
      </c>
    </row>
    <row r="20" spans="1:17" x14ac:dyDescent="0.4">
      <c r="A20" s="57" t="s">
        <v>13</v>
      </c>
      <c r="B20" s="49">
        <v>46</v>
      </c>
      <c r="C20" s="41">
        <f>IF(B$3=0,0,B20/B$3)</f>
        <v>0.19327731092436976</v>
      </c>
      <c r="E20" s="65" t="s">
        <v>96</v>
      </c>
      <c r="F20" s="62" t="s">
        <v>49</v>
      </c>
      <c r="G20" s="49">
        <v>1</v>
      </c>
      <c r="H20" s="138">
        <f>IF(B$27=0,0,G20/B$27)</f>
        <v>0.02</v>
      </c>
      <c r="I20" s="100">
        <v>4</v>
      </c>
      <c r="K20" s="40">
        <v>18</v>
      </c>
      <c r="L20" s="105">
        <v>-60.4</v>
      </c>
      <c r="N20" s="121" t="s">
        <v>136</v>
      </c>
      <c r="O20" s="131">
        <f>IF(P20=0,0,Q20/P20)</f>
        <v>-16.125</v>
      </c>
      <c r="P20" s="125">
        <v>4</v>
      </c>
      <c r="Q20" s="113">
        <v>-64.5</v>
      </c>
    </row>
    <row r="21" spans="1:17" x14ac:dyDescent="0.4">
      <c r="A21" s="57" t="s">
        <v>5</v>
      </c>
      <c r="B21" s="53">
        <f>IF(B$17=0,0,C21/B$17)</f>
        <v>9544</v>
      </c>
      <c r="C21" s="43">
        <v>477200</v>
      </c>
      <c r="E21" s="65" t="s">
        <v>97</v>
      </c>
      <c r="F21" s="62" t="s">
        <v>50</v>
      </c>
      <c r="G21" s="49">
        <v>1</v>
      </c>
      <c r="H21" s="138">
        <f>IF(B$27=0,0,G21/B$27)</f>
        <v>0.02</v>
      </c>
      <c r="I21" s="100">
        <v>2</v>
      </c>
      <c r="K21" s="40">
        <v>19</v>
      </c>
      <c r="L21" s="105">
        <v>-60</v>
      </c>
      <c r="N21" s="121" t="s">
        <v>135</v>
      </c>
      <c r="O21" s="131">
        <f>IF(P21=0,0,Q21/P21)</f>
        <v>-24.85</v>
      </c>
      <c r="P21" s="125">
        <v>2</v>
      </c>
      <c r="Q21" s="113">
        <v>-49.7</v>
      </c>
    </row>
    <row r="22" spans="1:17" x14ac:dyDescent="0.4">
      <c r="A22" s="59" t="s">
        <v>14</v>
      </c>
      <c r="B22" s="54">
        <f>IF(B$20=0,0,C22/B$20)</f>
        <v>-8586.95652173913</v>
      </c>
      <c r="C22" s="47">
        <v>-395000</v>
      </c>
      <c r="E22" s="65" t="s">
        <v>77</v>
      </c>
      <c r="F22" s="62" t="s">
        <v>30</v>
      </c>
      <c r="G22" s="49">
        <v>0</v>
      </c>
      <c r="H22" s="138">
        <f>IF(B$27=0,0,G22/B$27)</f>
        <v>0</v>
      </c>
      <c r="I22" s="100">
        <v>7</v>
      </c>
      <c r="K22" s="40">
        <v>20</v>
      </c>
      <c r="L22" s="105">
        <v>-88.2</v>
      </c>
      <c r="N22" s="121" t="s">
        <v>133</v>
      </c>
      <c r="O22" s="131">
        <f>IF(P22=0,0,Q22/P22)</f>
        <v>-27.285714285714281</v>
      </c>
      <c r="P22" s="125">
        <v>21</v>
      </c>
      <c r="Q22" s="113">
        <v>-572.99999999999989</v>
      </c>
    </row>
    <row r="23" spans="1:17" x14ac:dyDescent="0.4">
      <c r="A23" s="96" t="s">
        <v>158</v>
      </c>
      <c r="B23" s="154">
        <v>5</v>
      </c>
      <c r="C23" s="155"/>
      <c r="E23" s="65" t="s">
        <v>78</v>
      </c>
      <c r="F23" s="62" t="s">
        <v>31</v>
      </c>
      <c r="G23" s="49">
        <v>0</v>
      </c>
      <c r="H23" s="138">
        <f>IF(B$27=0,0,G23/B$27)</f>
        <v>0</v>
      </c>
      <c r="I23" s="100">
        <v>6</v>
      </c>
      <c r="K23" s="40">
        <v>21</v>
      </c>
      <c r="L23" s="105">
        <v>-125.80000000000001</v>
      </c>
    </row>
    <row r="24" spans="1:17" x14ac:dyDescent="0.4">
      <c r="A24" s="60" t="s">
        <v>199</v>
      </c>
      <c r="B24" s="152">
        <v>67700</v>
      </c>
      <c r="C24" s="153"/>
      <c r="E24" s="65" t="s">
        <v>79</v>
      </c>
      <c r="F24" s="62" t="s">
        <v>32</v>
      </c>
      <c r="G24" s="49">
        <v>0</v>
      </c>
      <c r="H24" s="138">
        <f>IF(B$27=0,0,G24/B$27)</f>
        <v>0</v>
      </c>
      <c r="I24" s="100">
        <v>6</v>
      </c>
      <c r="K24" s="40">
        <v>22</v>
      </c>
      <c r="L24" s="105">
        <v>-149.30000000000001</v>
      </c>
    </row>
    <row r="25" spans="1:17" x14ac:dyDescent="0.4">
      <c r="A25" s="59" t="s">
        <v>159</v>
      </c>
      <c r="B25" s="67">
        <v>1</v>
      </c>
      <c r="C25" s="44">
        <f>IF(B$3=0,0,B25/B$3)</f>
        <v>4.2016806722689074E-3</v>
      </c>
      <c r="E25" s="65" t="s">
        <v>80</v>
      </c>
      <c r="F25" s="62" t="s">
        <v>33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-150.30000000000001</v>
      </c>
    </row>
    <row r="26" spans="1:17" x14ac:dyDescent="0.4">
      <c r="A26" s="56" t="s">
        <v>126</v>
      </c>
      <c r="B26" s="144">
        <v>238</v>
      </c>
      <c r="C26" s="145"/>
      <c r="E26" s="65" t="s">
        <v>84</v>
      </c>
      <c r="F26" s="62" t="s">
        <v>37</v>
      </c>
      <c r="G26" s="49">
        <v>0</v>
      </c>
      <c r="H26" s="138">
        <f>IF(B$27=0,0,G26/B$27)</f>
        <v>0</v>
      </c>
      <c r="I26" s="100">
        <v>1</v>
      </c>
      <c r="K26" s="40">
        <v>24</v>
      </c>
      <c r="L26" s="105">
        <v>-196.10000000000002</v>
      </c>
    </row>
    <row r="27" spans="1:17" x14ac:dyDescent="0.4">
      <c r="A27" s="59" t="s">
        <v>127</v>
      </c>
      <c r="B27" s="158">
        <v>50</v>
      </c>
      <c r="C27" s="159"/>
      <c r="E27" s="65" t="s">
        <v>85</v>
      </c>
      <c r="F27" s="62" t="s">
        <v>38</v>
      </c>
      <c r="G27" s="49">
        <v>0</v>
      </c>
      <c r="H27" s="138">
        <f>IF(B$27=0,0,G27/B$27)</f>
        <v>0</v>
      </c>
      <c r="I27" s="100">
        <v>3</v>
      </c>
      <c r="K27" s="40">
        <v>25</v>
      </c>
      <c r="L27" s="105">
        <v>-240.00000000000003</v>
      </c>
    </row>
    <row r="28" spans="1:17" x14ac:dyDescent="0.4">
      <c r="E28" s="65" t="s">
        <v>87</v>
      </c>
      <c r="F28" s="62" t="s">
        <v>40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-277</v>
      </c>
    </row>
    <row r="29" spans="1:17" x14ac:dyDescent="0.4">
      <c r="E29" s="65" t="s">
        <v>89</v>
      </c>
      <c r="F29" s="62" t="s">
        <v>42</v>
      </c>
      <c r="G29" s="49">
        <v>0</v>
      </c>
      <c r="H29" s="138">
        <f>IF(B$27=0,0,G29/B$27)</f>
        <v>0</v>
      </c>
      <c r="I29" s="100">
        <v>5</v>
      </c>
      <c r="K29" s="40">
        <v>27</v>
      </c>
      <c r="L29" s="105">
        <v>-266.7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-283.7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-251.2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-287.89999999999998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-334.9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F223-70F9-4EA4-B545-CF25C971F3AE}">
  <sheetPr codeName="Sheet3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250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11</v>
      </c>
      <c r="C2" s="145"/>
      <c r="E2" s="64" t="s">
        <v>71</v>
      </c>
      <c r="F2" s="61" t="s">
        <v>25</v>
      </c>
      <c r="G2" s="48">
        <v>16</v>
      </c>
      <c r="H2" s="137">
        <f>IF(B$27=0,0,G2/B$27)</f>
        <v>1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-381.81818181818181</v>
      </c>
      <c r="P2" s="124">
        <v>11</v>
      </c>
      <c r="Q2" s="108">
        <v>-4200</v>
      </c>
    </row>
    <row r="3" spans="1:17" x14ac:dyDescent="0.4">
      <c r="A3" s="57" t="s">
        <v>8</v>
      </c>
      <c r="B3" s="146">
        <v>82</v>
      </c>
      <c r="C3" s="147"/>
      <c r="E3" s="65" t="s">
        <v>76</v>
      </c>
      <c r="F3" s="62" t="s">
        <v>29</v>
      </c>
      <c r="G3" s="49">
        <v>12</v>
      </c>
      <c r="H3" s="138">
        <f>IF(B$27=0,0,G3/B$27)</f>
        <v>0.75</v>
      </c>
      <c r="I3" s="100">
        <v>2</v>
      </c>
      <c r="K3" s="40">
        <v>1</v>
      </c>
      <c r="L3" s="105">
        <v>4</v>
      </c>
      <c r="N3" s="121" t="s">
        <v>148</v>
      </c>
      <c r="O3" s="128">
        <f t="shared" si="0"/>
        <v>-3318.181818181818</v>
      </c>
      <c r="P3" s="125">
        <v>11</v>
      </c>
      <c r="Q3" s="109">
        <v>-36500</v>
      </c>
    </row>
    <row r="4" spans="1:17" x14ac:dyDescent="0.4">
      <c r="A4" s="57" t="s">
        <v>6</v>
      </c>
      <c r="B4" s="148">
        <v>-143.6</v>
      </c>
      <c r="C4" s="149"/>
      <c r="E4" s="65" t="s">
        <v>69</v>
      </c>
      <c r="F4" s="62" t="s">
        <v>23</v>
      </c>
      <c r="G4" s="49">
        <v>11</v>
      </c>
      <c r="H4" s="138">
        <f>IF(B$27=0,0,G4/B$27)</f>
        <v>0.6875</v>
      </c>
      <c r="I4" s="100">
        <v>8</v>
      </c>
      <c r="K4" s="40">
        <v>2</v>
      </c>
      <c r="L4" s="105">
        <v>3.7</v>
      </c>
      <c r="N4" s="121" t="s">
        <v>149</v>
      </c>
      <c r="O4" s="128">
        <f t="shared" si="0"/>
        <v>-8363.636363636364</v>
      </c>
      <c r="P4" s="125">
        <v>11</v>
      </c>
      <c r="Q4" s="109">
        <v>-92000</v>
      </c>
    </row>
    <row r="5" spans="1:17" x14ac:dyDescent="0.4">
      <c r="A5" s="57" t="s">
        <v>7</v>
      </c>
      <c r="B5" s="150">
        <f>IF(B$2=0,0,B$4/B$2)</f>
        <v>-13.054545454545455</v>
      </c>
      <c r="C5" s="151"/>
      <c r="E5" s="65" t="s">
        <v>67</v>
      </c>
      <c r="F5" s="62" t="s">
        <v>21</v>
      </c>
      <c r="G5" s="49">
        <v>5</v>
      </c>
      <c r="H5" s="138">
        <f>IF(B$27=0,0,G5/B$27)</f>
        <v>0.3125</v>
      </c>
      <c r="I5" s="100">
        <v>12</v>
      </c>
      <c r="K5" s="40">
        <v>3</v>
      </c>
      <c r="L5" s="105">
        <v>27.8</v>
      </c>
      <c r="N5" s="121" t="s">
        <v>150</v>
      </c>
      <c r="O5" s="128">
        <f t="shared" si="0"/>
        <v>662.5</v>
      </c>
      <c r="P5" s="125">
        <v>8</v>
      </c>
      <c r="Q5" s="109">
        <v>5300</v>
      </c>
    </row>
    <row r="6" spans="1:17" x14ac:dyDescent="0.4">
      <c r="A6" s="57" t="s">
        <v>1</v>
      </c>
      <c r="B6" s="156">
        <f>IF(B$2=0,0,(B$7*1+B$8*2+B$9*3)/B$2)</f>
        <v>2.3636363636363638</v>
      </c>
      <c r="C6" s="157"/>
      <c r="E6" s="65" t="s">
        <v>70</v>
      </c>
      <c r="F6" s="62" t="s">
        <v>24</v>
      </c>
      <c r="G6" s="49">
        <v>3</v>
      </c>
      <c r="H6" s="138">
        <f>IF(B$27=0,0,G6/B$27)</f>
        <v>0.1875</v>
      </c>
      <c r="I6" s="100">
        <v>11</v>
      </c>
      <c r="K6" s="40">
        <v>4</v>
      </c>
      <c r="L6" s="105">
        <v>52.3</v>
      </c>
      <c r="N6" s="121" t="s">
        <v>151</v>
      </c>
      <c r="O6" s="128">
        <f t="shared" si="0"/>
        <v>-1985.7142857142858</v>
      </c>
      <c r="P6" s="125">
        <v>7</v>
      </c>
      <c r="Q6" s="109">
        <v>-13900</v>
      </c>
    </row>
    <row r="7" spans="1:17" x14ac:dyDescent="0.4">
      <c r="A7" s="57" t="s">
        <v>2</v>
      </c>
      <c r="B7" s="49">
        <v>2</v>
      </c>
      <c r="C7" s="41">
        <f>IF(B$2=0,0,B7/B$2)</f>
        <v>0.18181818181818182</v>
      </c>
      <c r="E7" s="65" t="s">
        <v>72</v>
      </c>
      <c r="F7" s="62" t="s">
        <v>12</v>
      </c>
      <c r="G7" s="49">
        <v>3</v>
      </c>
      <c r="H7" s="138">
        <f>IF(B$27=0,0,G7/B$27)</f>
        <v>0.1875</v>
      </c>
      <c r="I7" s="100">
        <v>12</v>
      </c>
      <c r="K7" s="40">
        <v>5</v>
      </c>
      <c r="L7" s="105">
        <v>15</v>
      </c>
      <c r="N7" s="122" t="s">
        <v>152</v>
      </c>
      <c r="O7" s="129">
        <f t="shared" si="0"/>
        <v>-460</v>
      </c>
      <c r="P7" s="126">
        <v>5</v>
      </c>
      <c r="Q7" s="110">
        <v>-2300</v>
      </c>
    </row>
    <row r="8" spans="1:17" x14ac:dyDescent="0.4">
      <c r="A8" s="57" t="s">
        <v>3</v>
      </c>
      <c r="B8" s="49">
        <v>3</v>
      </c>
      <c r="C8" s="41">
        <f>IF(B$2=0,0,B8/B$2)</f>
        <v>0.27272727272727271</v>
      </c>
      <c r="E8" s="65" t="s">
        <v>74</v>
      </c>
      <c r="F8" s="62" t="s">
        <v>27</v>
      </c>
      <c r="G8" s="49">
        <v>3</v>
      </c>
      <c r="H8" s="138">
        <f>IF(B$27=0,0,G8/B$27)</f>
        <v>0.1875</v>
      </c>
      <c r="I8" s="100">
        <v>2</v>
      </c>
      <c r="K8" s="40">
        <v>6</v>
      </c>
      <c r="L8" s="105">
        <v>-20.5</v>
      </c>
      <c r="N8" s="45"/>
      <c r="O8" s="133"/>
      <c r="P8" s="117"/>
      <c r="Q8" s="115"/>
    </row>
    <row r="9" spans="1:17" x14ac:dyDescent="0.4">
      <c r="A9" s="58" t="s">
        <v>4</v>
      </c>
      <c r="B9" s="50">
        <v>6</v>
      </c>
      <c r="C9" s="42">
        <f t="shared" ref="C9" si="1">IF(B$2=0,0,B9/B$2)</f>
        <v>0.54545454545454541</v>
      </c>
      <c r="E9" s="65" t="s">
        <v>94</v>
      </c>
      <c r="F9" s="62" t="s">
        <v>47</v>
      </c>
      <c r="G9" s="49">
        <v>3</v>
      </c>
      <c r="H9" s="138">
        <f>IF(B$27=0,0,G9/B$27)</f>
        <v>0.1875</v>
      </c>
      <c r="I9" s="100">
        <v>2</v>
      </c>
      <c r="K9" s="40">
        <v>7</v>
      </c>
      <c r="L9" s="105">
        <v>-31.8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4</v>
      </c>
      <c r="C10" s="42">
        <f>IF(B$2=0,0,B10/B$2)</f>
        <v>0.36363636363636365</v>
      </c>
      <c r="E10" s="65" t="s">
        <v>88</v>
      </c>
      <c r="F10" s="62" t="s">
        <v>41</v>
      </c>
      <c r="G10" s="49">
        <v>2</v>
      </c>
      <c r="H10" s="138">
        <f>IF(B$27=0,0,G10/B$27)</f>
        <v>0.125</v>
      </c>
      <c r="I10" s="100">
        <v>3</v>
      </c>
      <c r="K10" s="40">
        <v>8</v>
      </c>
      <c r="L10" s="105">
        <v>-31.1</v>
      </c>
      <c r="N10" s="120" t="s">
        <v>253</v>
      </c>
      <c r="O10" s="130">
        <f>IF(P10=0,0,Q10/P10)</f>
        <v>-14.612499999999999</v>
      </c>
      <c r="P10" s="124">
        <v>8</v>
      </c>
      <c r="Q10" s="112">
        <v>-116.89999999999999</v>
      </c>
    </row>
    <row r="11" spans="1:17" x14ac:dyDescent="0.4">
      <c r="A11" s="58" t="s">
        <v>155</v>
      </c>
      <c r="B11" s="50">
        <v>1</v>
      </c>
      <c r="C11" s="42">
        <f>IF(B$2=0,0,B11/B$2)</f>
        <v>9.0909090909090912E-2</v>
      </c>
      <c r="E11" s="65" t="s">
        <v>83</v>
      </c>
      <c r="F11" s="62" t="s">
        <v>36</v>
      </c>
      <c r="G11" s="49">
        <v>1</v>
      </c>
      <c r="H11" s="138">
        <f>IF(B$27=0,0,G11/B$27)</f>
        <v>6.25E-2</v>
      </c>
      <c r="I11" s="100">
        <v>2</v>
      </c>
      <c r="K11" s="40">
        <v>9</v>
      </c>
      <c r="L11" s="105">
        <v>-70.599999999999994</v>
      </c>
      <c r="N11" s="121" t="s">
        <v>254</v>
      </c>
      <c r="O11" s="131">
        <f>IF(P11=0,0,Q11/P11)</f>
        <v>-7.6999999999999993</v>
      </c>
      <c r="P11" s="125">
        <v>2</v>
      </c>
      <c r="Q11" s="113">
        <v>-15.399999999999999</v>
      </c>
    </row>
    <row r="12" spans="1:17" x14ac:dyDescent="0.4">
      <c r="A12" s="59" t="s">
        <v>239</v>
      </c>
      <c r="B12" s="51">
        <v>1</v>
      </c>
      <c r="C12" s="44">
        <f>IF(B$2=0,0,B12/B$2)</f>
        <v>9.0909090909090912E-2</v>
      </c>
      <c r="E12" s="65" t="s">
        <v>86</v>
      </c>
      <c r="F12" s="62" t="s">
        <v>39</v>
      </c>
      <c r="G12" s="49">
        <v>1</v>
      </c>
      <c r="H12" s="138">
        <f>IF(B$27=0,0,G12/B$27)</f>
        <v>6.25E-2</v>
      </c>
      <c r="I12" s="100">
        <v>1</v>
      </c>
      <c r="K12" s="40">
        <v>10</v>
      </c>
      <c r="L12" s="105">
        <v>-115.89999999999999</v>
      </c>
      <c r="N12" s="122" t="s">
        <v>255</v>
      </c>
      <c r="O12" s="132">
        <f>IF(P12=0,0,Q12/P12)</f>
        <v>-11.3</v>
      </c>
      <c r="P12" s="126">
        <v>1</v>
      </c>
      <c r="Q12" s="114">
        <v>-11.3</v>
      </c>
    </row>
    <row r="13" spans="1:17" x14ac:dyDescent="0.4">
      <c r="A13" s="60" t="s">
        <v>128</v>
      </c>
      <c r="B13" s="52">
        <v>12</v>
      </c>
      <c r="C13" s="46">
        <f>IF(B$26=0,0,B13/B$26)</f>
        <v>0.14634146341463414</v>
      </c>
      <c r="E13" s="65" t="s">
        <v>91</v>
      </c>
      <c r="F13" s="62" t="s">
        <v>44</v>
      </c>
      <c r="G13" s="49">
        <v>1</v>
      </c>
      <c r="H13" s="138">
        <f>IF(B$27=0,0,G13/B$27)</f>
        <v>6.25E-2</v>
      </c>
      <c r="I13" s="100">
        <v>8</v>
      </c>
      <c r="K13" s="40">
        <v>11</v>
      </c>
      <c r="L13" s="105">
        <v>-143.6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23</v>
      </c>
      <c r="C14" s="41">
        <f>IF(B$26=0,0,B14/B$26)</f>
        <v>0.28048780487804881</v>
      </c>
      <c r="E14" s="65" t="s">
        <v>68</v>
      </c>
      <c r="F14" s="62" t="s">
        <v>22</v>
      </c>
      <c r="G14" s="49">
        <v>0</v>
      </c>
      <c r="H14" s="138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5</v>
      </c>
      <c r="C15" s="39">
        <f>IF(B$13=0,0,B15/B$13)</f>
        <v>0.41666666666666669</v>
      </c>
      <c r="E15" s="65" t="s">
        <v>73</v>
      </c>
      <c r="F15" s="62" t="s">
        <v>26</v>
      </c>
      <c r="G15" s="49">
        <v>0</v>
      </c>
      <c r="H15" s="138">
        <f>IF(B$27=0,0,G15/B$27)</f>
        <v>0</v>
      </c>
      <c r="I15" s="100">
        <v>13</v>
      </c>
      <c r="N15" s="120" t="s">
        <v>157</v>
      </c>
      <c r="O15" s="130">
        <f>IF(P15=0,0,Q15/P15)</f>
        <v>15.200000000000001</v>
      </c>
      <c r="P15" s="124">
        <v>2</v>
      </c>
      <c r="Q15" s="112">
        <v>30.400000000000002</v>
      </c>
    </row>
    <row r="16" spans="1:17" x14ac:dyDescent="0.4">
      <c r="A16" s="56" t="s">
        <v>131</v>
      </c>
      <c r="B16" s="48">
        <v>7</v>
      </c>
      <c r="C16" s="39">
        <f>IF(B$14=0,0,B16/B$14)</f>
        <v>0.30434782608695654</v>
      </c>
      <c r="E16" s="65" t="s">
        <v>75</v>
      </c>
      <c r="F16" s="62" t="s">
        <v>28</v>
      </c>
      <c r="G16" s="49">
        <v>0</v>
      </c>
      <c r="H16" s="138">
        <f>IF(B$27=0,0,G16/B$27)</f>
        <v>0</v>
      </c>
      <c r="I16" s="100">
        <v>12</v>
      </c>
      <c r="N16" s="121" t="s">
        <v>138</v>
      </c>
      <c r="O16" s="131">
        <f>IF(P16=0,0,Q16/P16)</f>
        <v>4.3000000000000007</v>
      </c>
      <c r="P16" s="125">
        <v>4</v>
      </c>
      <c r="Q16" s="113">
        <v>17.200000000000003</v>
      </c>
    </row>
    <row r="17" spans="1:17" x14ac:dyDescent="0.4">
      <c r="A17" s="56" t="s">
        <v>10</v>
      </c>
      <c r="B17" s="48">
        <f>B19+B18</f>
        <v>16</v>
      </c>
      <c r="C17" s="39">
        <f>IF(B$3=0,0,B17/B$3)</f>
        <v>0.1951219512195122</v>
      </c>
      <c r="E17" s="65" t="s">
        <v>77</v>
      </c>
      <c r="F17" s="62" t="s">
        <v>30</v>
      </c>
      <c r="G17" s="49">
        <v>0</v>
      </c>
      <c r="H17" s="138">
        <f>IF(B$27=0,0,G17/B$27)</f>
        <v>0</v>
      </c>
      <c r="I17" s="100">
        <v>7</v>
      </c>
      <c r="N17" s="121" t="s">
        <v>135</v>
      </c>
      <c r="O17" s="131">
        <f>IF(P17=0,0,Q17/P17)</f>
        <v>-9.65</v>
      </c>
      <c r="P17" s="125">
        <v>2</v>
      </c>
      <c r="Q17" s="113">
        <v>-19.3</v>
      </c>
    </row>
    <row r="18" spans="1:17" x14ac:dyDescent="0.4">
      <c r="A18" s="57" t="s">
        <v>12</v>
      </c>
      <c r="B18" s="49">
        <v>7</v>
      </c>
      <c r="C18" s="41">
        <f>IF(B$17=0,0,B18/B$17)</f>
        <v>0.4375</v>
      </c>
      <c r="E18" s="65" t="s">
        <v>78</v>
      </c>
      <c r="F18" s="62" t="s">
        <v>31</v>
      </c>
      <c r="G18" s="49">
        <v>0</v>
      </c>
      <c r="H18" s="138">
        <f>IF(B$27=0,0,G18/B$27)</f>
        <v>0</v>
      </c>
      <c r="I18" s="100">
        <v>6</v>
      </c>
      <c r="N18" s="121" t="s">
        <v>139</v>
      </c>
      <c r="O18" s="131">
        <f>IF(P18=0,0,Q18/P18)</f>
        <v>-28.18</v>
      </c>
      <c r="P18" s="125">
        <v>5</v>
      </c>
      <c r="Q18" s="113">
        <v>-140.9</v>
      </c>
    </row>
    <row r="19" spans="1:17" x14ac:dyDescent="0.4">
      <c r="A19" s="57" t="s">
        <v>11</v>
      </c>
      <c r="B19" s="49">
        <v>9</v>
      </c>
      <c r="C19" s="41">
        <f>IF(B$17=0,0,B19/B$17)</f>
        <v>0.5625</v>
      </c>
      <c r="E19" s="65" t="s">
        <v>79</v>
      </c>
      <c r="F19" s="62" t="s">
        <v>32</v>
      </c>
      <c r="G19" s="49">
        <v>0</v>
      </c>
      <c r="H19" s="138">
        <f>IF(B$27=0,0,G19/B$27)</f>
        <v>0</v>
      </c>
      <c r="I19" s="100">
        <v>6</v>
      </c>
      <c r="N19" s="121" t="s">
        <v>133</v>
      </c>
      <c r="O19" s="131">
        <f>IF(P19=0,0,Q19/P19)</f>
        <v>-30.228571428571424</v>
      </c>
      <c r="P19" s="125">
        <v>7</v>
      </c>
      <c r="Q19" s="113">
        <v>-211.59999999999997</v>
      </c>
    </row>
    <row r="20" spans="1:17" x14ac:dyDescent="0.4">
      <c r="A20" s="57" t="s">
        <v>13</v>
      </c>
      <c r="B20" s="49">
        <v>20</v>
      </c>
      <c r="C20" s="41">
        <f>IF(B$3=0,0,B20/B$3)</f>
        <v>0.24390243902439024</v>
      </c>
      <c r="E20" s="65" t="s">
        <v>80</v>
      </c>
      <c r="F20" s="62" t="s">
        <v>33</v>
      </c>
      <c r="G20" s="49">
        <v>0</v>
      </c>
      <c r="H20" s="138">
        <f>IF(B$27=0,0,G20/B$27)</f>
        <v>0</v>
      </c>
      <c r="I20" s="100">
        <v>1</v>
      </c>
      <c r="N20" s="121" t="s">
        <v>134</v>
      </c>
      <c r="O20" s="131">
        <f>IF(P20=0,0,Q20/P20)</f>
        <v>-53.3</v>
      </c>
      <c r="P20" s="125">
        <v>2</v>
      </c>
      <c r="Q20" s="113">
        <v>-106.6</v>
      </c>
    </row>
    <row r="21" spans="1:17" x14ac:dyDescent="0.4">
      <c r="A21" s="57" t="s">
        <v>5</v>
      </c>
      <c r="B21" s="53">
        <f>IF(B$17=0,0,C21/B$17)</f>
        <v>8712.5</v>
      </c>
      <c r="C21" s="43">
        <v>139400</v>
      </c>
      <c r="E21" s="65" t="s">
        <v>81</v>
      </c>
      <c r="F21" s="62" t="s">
        <v>34</v>
      </c>
      <c r="G21" s="49">
        <v>0</v>
      </c>
      <c r="H21" s="138">
        <f>IF(B$27=0,0,G21/B$27)</f>
        <v>0</v>
      </c>
      <c r="I21" s="100">
        <v>7</v>
      </c>
    </row>
    <row r="22" spans="1:17" x14ac:dyDescent="0.4">
      <c r="A22" s="59" t="s">
        <v>14</v>
      </c>
      <c r="B22" s="54">
        <f>IF(B$20=0,0,C22/B$20)</f>
        <v>-9550</v>
      </c>
      <c r="C22" s="47">
        <v>-191000</v>
      </c>
      <c r="E22" s="65" t="s">
        <v>82</v>
      </c>
      <c r="F22" s="62" t="s">
        <v>35</v>
      </c>
      <c r="G22" s="49">
        <v>0</v>
      </c>
      <c r="H22" s="138">
        <f>IF(B$27=0,0,G22/B$27)</f>
        <v>0</v>
      </c>
      <c r="I22" s="100">
        <v>10</v>
      </c>
    </row>
    <row r="23" spans="1:17" x14ac:dyDescent="0.4">
      <c r="A23" s="96" t="s">
        <v>158</v>
      </c>
      <c r="B23" s="154">
        <v>5</v>
      </c>
      <c r="C23" s="155"/>
      <c r="E23" s="65" t="s">
        <v>84</v>
      </c>
      <c r="F23" s="62" t="s">
        <v>37</v>
      </c>
      <c r="G23" s="49">
        <v>0</v>
      </c>
      <c r="H23" s="138">
        <f>IF(B$27=0,0,G23/B$27)</f>
        <v>0</v>
      </c>
      <c r="I23" s="100">
        <v>1</v>
      </c>
    </row>
    <row r="24" spans="1:17" x14ac:dyDescent="0.4">
      <c r="A24" s="60" t="s">
        <v>199</v>
      </c>
      <c r="B24" s="152">
        <v>59500</v>
      </c>
      <c r="C24" s="153"/>
      <c r="E24" s="65" t="s">
        <v>85</v>
      </c>
      <c r="F24" s="62" t="s">
        <v>38</v>
      </c>
      <c r="G24" s="49">
        <v>0</v>
      </c>
      <c r="H24" s="138">
        <f>IF(B$27=0,0,G24/B$27)</f>
        <v>0</v>
      </c>
      <c r="I24" s="100">
        <v>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4">
        <v>82</v>
      </c>
      <c r="C26" s="145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</row>
    <row r="27" spans="1:17" x14ac:dyDescent="0.4">
      <c r="A27" s="59" t="s">
        <v>127</v>
      </c>
      <c r="B27" s="158">
        <v>16</v>
      </c>
      <c r="C27" s="159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F81A1-7344-41D4-B0AE-B400125C7F25}">
  <sheetPr codeName="Sheet33"/>
  <dimension ref="A1:Q1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250</v>
      </c>
      <c r="B1" s="72" t="s">
        <v>250</v>
      </c>
      <c r="C1" s="72" t="s">
        <v>250</v>
      </c>
      <c r="D1" s="73" t="s">
        <v>250</v>
      </c>
      <c r="E1" s="72" t="s">
        <v>250</v>
      </c>
      <c r="F1" s="72" t="s">
        <v>250</v>
      </c>
      <c r="G1" s="72" t="s">
        <v>250</v>
      </c>
      <c r="H1" s="72" t="s">
        <v>250</v>
      </c>
      <c r="I1" s="72" t="s">
        <v>250</v>
      </c>
      <c r="J1" s="72" t="s">
        <v>250</v>
      </c>
      <c r="K1" s="72" t="s">
        <v>250</v>
      </c>
      <c r="L1" s="72" t="s">
        <v>250</v>
      </c>
      <c r="M1" s="72" t="s">
        <v>250</v>
      </c>
      <c r="N1" s="72" t="s">
        <v>250</v>
      </c>
      <c r="O1" s="72" t="s">
        <v>250</v>
      </c>
      <c r="P1" s="72" t="s">
        <v>250</v>
      </c>
      <c r="Q1" s="72" t="s">
        <v>250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</v>
      </c>
      <c r="M4" s="69">
        <v>0.1111111111111111</v>
      </c>
      <c r="N4" s="69">
        <v>0.22222222222222221</v>
      </c>
      <c r="O4" s="69">
        <v>0</v>
      </c>
      <c r="P4" s="69">
        <v>0.5</v>
      </c>
      <c r="Q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</v>
      </c>
      <c r="M5" s="69">
        <v>0.125</v>
      </c>
      <c r="N5" s="69">
        <v>0.1875</v>
      </c>
      <c r="O5" s="69">
        <v>0.5</v>
      </c>
      <c r="P5" s="69">
        <v>0.33333333333333331</v>
      </c>
      <c r="Q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</v>
      </c>
      <c r="M6" s="69">
        <v>0.125</v>
      </c>
      <c r="N6" s="69">
        <v>0.33333333333333331</v>
      </c>
      <c r="O6" s="69">
        <v>0.33333333333333331</v>
      </c>
      <c r="P6" s="69">
        <v>0.625</v>
      </c>
      <c r="Q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0.25</v>
      </c>
      <c r="M7" s="69">
        <v>0.15625</v>
      </c>
      <c r="N7" s="69">
        <v>0.28125</v>
      </c>
      <c r="O7" s="69">
        <v>0.6</v>
      </c>
      <c r="P7" s="69">
        <v>0.55555555555555558</v>
      </c>
      <c r="Q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0.2</v>
      </c>
      <c r="M8" s="69">
        <v>0.18604651162790697</v>
      </c>
      <c r="N8" s="69">
        <v>0.2558139534883721</v>
      </c>
      <c r="O8" s="69">
        <v>0.5</v>
      </c>
      <c r="P8" s="69">
        <v>0.45454545454545453</v>
      </c>
      <c r="Q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0.16666666666666666</v>
      </c>
      <c r="M9" s="69">
        <v>0.19148936170212766</v>
      </c>
      <c r="N9" s="69">
        <v>0.23404255319148937</v>
      </c>
      <c r="O9" s="69">
        <v>0.44444444444444442</v>
      </c>
      <c r="P9" s="69">
        <v>0.45454545454545453</v>
      </c>
      <c r="Q9" s="69">
        <v>0.33333333333333331</v>
      </c>
    </row>
    <row r="10" spans="1:17" x14ac:dyDescent="0.4">
      <c r="A10" s="71">
        <v>7</v>
      </c>
      <c r="B10" s="68">
        <v>-31.8</v>
      </c>
      <c r="C10" s="68">
        <v>-4.5428571428571427</v>
      </c>
      <c r="D10" s="73">
        <v>2.1428571428571428</v>
      </c>
      <c r="E10" s="69">
        <v>0.2857142857142857</v>
      </c>
      <c r="F10" s="69">
        <v>0.24561403508771928</v>
      </c>
      <c r="G10" s="69">
        <v>0.17543859649122806</v>
      </c>
      <c r="H10" s="70">
        <v>8400</v>
      </c>
      <c r="I10" s="70">
        <v>-8360</v>
      </c>
      <c r="J10" s="69">
        <v>0.2857142857142857</v>
      </c>
      <c r="K10" s="69">
        <v>0.14285714285714285</v>
      </c>
      <c r="L10" s="69">
        <v>0.14285714285714285</v>
      </c>
      <c r="M10" s="69">
        <v>0.17543859649122806</v>
      </c>
      <c r="N10" s="69">
        <v>0.22807017543859648</v>
      </c>
      <c r="O10" s="69">
        <v>0.5</v>
      </c>
      <c r="P10" s="69">
        <v>0.38461538461538464</v>
      </c>
      <c r="Q10" s="69">
        <v>0.42857142857142855</v>
      </c>
    </row>
    <row r="11" spans="1:17" x14ac:dyDescent="0.4">
      <c r="A11" s="71">
        <v>8</v>
      </c>
      <c r="B11" s="68">
        <v>-31.1</v>
      </c>
      <c r="C11" s="68">
        <v>-3.8875000000000002</v>
      </c>
      <c r="D11" s="73">
        <v>2.125</v>
      </c>
      <c r="E11" s="69">
        <v>0.25</v>
      </c>
      <c r="F11" s="69">
        <v>0.23076923076923078</v>
      </c>
      <c r="G11" s="69">
        <v>0.18461538461538463</v>
      </c>
      <c r="H11" s="70">
        <v>8906.6666666666661</v>
      </c>
      <c r="I11" s="70">
        <v>-7883.333333333333</v>
      </c>
      <c r="J11" s="69">
        <v>0.25</v>
      </c>
      <c r="K11" s="69">
        <v>0.125</v>
      </c>
      <c r="L11" s="69">
        <v>0.125</v>
      </c>
      <c r="M11" s="69">
        <v>0.15384615384615385</v>
      </c>
      <c r="N11" s="69">
        <v>0.24615384615384617</v>
      </c>
      <c r="O11" s="69">
        <v>0.5</v>
      </c>
      <c r="P11" s="69">
        <v>0.375</v>
      </c>
      <c r="Q11" s="69">
        <v>0.46666666666666667</v>
      </c>
    </row>
    <row r="12" spans="1:17" x14ac:dyDescent="0.4">
      <c r="A12" s="71">
        <v>9</v>
      </c>
      <c r="B12" s="68">
        <v>-70.599999999999994</v>
      </c>
      <c r="C12" s="68">
        <v>-7.8444444444444441</v>
      </c>
      <c r="D12" s="73">
        <v>2.2222222222222223</v>
      </c>
      <c r="E12" s="69">
        <v>0.22222222222222221</v>
      </c>
      <c r="F12" s="69">
        <v>0.21739130434782608</v>
      </c>
      <c r="G12" s="69">
        <v>0.21739130434782608</v>
      </c>
      <c r="H12" s="70">
        <v>8906.6666666666661</v>
      </c>
      <c r="I12" s="70">
        <v>-8613.3333333333339</v>
      </c>
      <c r="J12" s="69">
        <v>0.33333333333333331</v>
      </c>
      <c r="K12" s="69">
        <v>0.1111111111111111</v>
      </c>
      <c r="L12" s="69">
        <v>0.1111111111111111</v>
      </c>
      <c r="M12" s="69">
        <v>0.14492753623188406</v>
      </c>
      <c r="N12" s="69">
        <v>0.2608695652173913</v>
      </c>
      <c r="O12" s="69">
        <v>0.5</v>
      </c>
      <c r="P12" s="69">
        <v>0.33333333333333331</v>
      </c>
      <c r="Q12" s="69">
        <v>0.46666666666666667</v>
      </c>
    </row>
    <row r="13" spans="1:17" x14ac:dyDescent="0.4">
      <c r="A13" s="71">
        <v>10</v>
      </c>
      <c r="B13" s="68">
        <v>-115.89999999999999</v>
      </c>
      <c r="C13" s="68">
        <v>-11.59</v>
      </c>
      <c r="D13" s="73">
        <v>2.2999999999999998</v>
      </c>
      <c r="E13" s="69">
        <v>0.2</v>
      </c>
      <c r="F13" s="69">
        <v>0.20547945205479451</v>
      </c>
      <c r="G13" s="69">
        <v>0.24657534246575341</v>
      </c>
      <c r="H13" s="70">
        <v>8906.6666666666661</v>
      </c>
      <c r="I13" s="70">
        <v>-9500</v>
      </c>
      <c r="J13" s="69">
        <v>0.4</v>
      </c>
      <c r="K13" s="69">
        <v>0.1</v>
      </c>
      <c r="L13" s="69">
        <v>0.1</v>
      </c>
      <c r="M13" s="69">
        <v>0.13698630136986301</v>
      </c>
      <c r="N13" s="69">
        <v>0.26027397260273971</v>
      </c>
      <c r="O13" s="69">
        <v>0.5</v>
      </c>
      <c r="P13" s="69">
        <v>0.31578947368421051</v>
      </c>
      <c r="Q13" s="69">
        <v>0.46666666666666667</v>
      </c>
    </row>
    <row r="14" spans="1:17" x14ac:dyDescent="0.4">
      <c r="A14" s="71">
        <v>11</v>
      </c>
      <c r="B14" s="68">
        <v>-143.6</v>
      </c>
      <c r="C14" s="68">
        <v>-13.054545454545455</v>
      </c>
      <c r="D14" s="73">
        <v>2.3636363636363638</v>
      </c>
      <c r="E14" s="69">
        <v>0.18181818181818182</v>
      </c>
      <c r="F14" s="69">
        <v>0.1951219512195122</v>
      </c>
      <c r="G14" s="69">
        <v>0.24390243902439024</v>
      </c>
      <c r="H14" s="70">
        <v>8712.5</v>
      </c>
      <c r="I14" s="70">
        <v>-9550</v>
      </c>
      <c r="J14" s="69">
        <v>0.36363636363636365</v>
      </c>
      <c r="K14" s="69">
        <v>9.0909090909090912E-2</v>
      </c>
      <c r="L14" s="69">
        <v>9.0909090909090912E-2</v>
      </c>
      <c r="M14" s="69">
        <v>0.14634146341463414</v>
      </c>
      <c r="N14" s="69">
        <v>0.28048780487804881</v>
      </c>
      <c r="O14" s="69">
        <v>0.41666666666666669</v>
      </c>
      <c r="P14" s="69">
        <v>0.30434782608695654</v>
      </c>
      <c r="Q14" s="69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FA146-D476-4165-AB0E-68964781F572}">
  <sheetPr codeName="Sheet30"/>
  <dimension ref="A1:Q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</v>
      </c>
      <c r="N4" s="69">
        <v>0.8571428571428571</v>
      </c>
      <c r="O4" s="69">
        <v>0</v>
      </c>
      <c r="P4" s="69">
        <v>0.33333333333333331</v>
      </c>
      <c r="Q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</v>
      </c>
      <c r="N5" s="69">
        <v>0.5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0</v>
      </c>
      <c r="M6" s="69">
        <v>4.1666666666666664E-2</v>
      </c>
      <c r="N6" s="69">
        <v>0.54166666666666663</v>
      </c>
      <c r="O6" s="69">
        <v>0</v>
      </c>
      <c r="P6" s="69">
        <v>0.46153846153846156</v>
      </c>
      <c r="Q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0</v>
      </c>
      <c r="M7" s="69">
        <v>6.8965517241379309E-2</v>
      </c>
      <c r="N7" s="69">
        <v>0.51724137931034486</v>
      </c>
      <c r="O7" s="69">
        <v>0.5</v>
      </c>
      <c r="P7" s="69">
        <v>0.46666666666666667</v>
      </c>
      <c r="Q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0</v>
      </c>
      <c r="M8" s="69">
        <v>6.0606060606060608E-2</v>
      </c>
      <c r="N8" s="69">
        <v>0.48484848484848486</v>
      </c>
      <c r="O8" s="69">
        <v>0.5</v>
      </c>
      <c r="P8" s="69">
        <v>0.5</v>
      </c>
      <c r="Q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0</v>
      </c>
      <c r="M9" s="69">
        <v>6.9767441860465115E-2</v>
      </c>
      <c r="N9" s="69">
        <v>0.48837209302325579</v>
      </c>
      <c r="O9" s="69">
        <v>0.33333333333333331</v>
      </c>
      <c r="P9" s="69">
        <v>0.38095238095238093</v>
      </c>
      <c r="Q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0</v>
      </c>
      <c r="M10" s="69">
        <v>6.25E-2</v>
      </c>
      <c r="N10" s="69">
        <v>0.47916666666666669</v>
      </c>
      <c r="O10" s="69">
        <v>0.33333333333333331</v>
      </c>
      <c r="P10" s="69">
        <v>0.43478260869565216</v>
      </c>
      <c r="Q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0</v>
      </c>
      <c r="M11" s="69">
        <v>7.0175438596491224E-2</v>
      </c>
      <c r="N11" s="69">
        <v>0.43859649122807015</v>
      </c>
      <c r="O11" s="69">
        <v>0.25</v>
      </c>
      <c r="P11" s="69">
        <v>0.4</v>
      </c>
      <c r="Q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0</v>
      </c>
      <c r="M12" s="69">
        <v>7.575757575757576E-2</v>
      </c>
      <c r="N12" s="69">
        <v>0.46969696969696972</v>
      </c>
      <c r="O12" s="69">
        <v>0.4</v>
      </c>
      <c r="P12" s="69">
        <v>0.38709677419354838</v>
      </c>
      <c r="Q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</v>
      </c>
      <c r="M13" s="69">
        <v>0.10256410256410256</v>
      </c>
      <c r="N13" s="69">
        <v>0.47435897435897434</v>
      </c>
      <c r="O13" s="69">
        <v>0.5</v>
      </c>
      <c r="P13" s="69">
        <v>0.32432432432432434</v>
      </c>
      <c r="Q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0</v>
      </c>
      <c r="M14" s="69">
        <v>9.4117647058823528E-2</v>
      </c>
      <c r="N14" s="69">
        <v>0.47058823529411764</v>
      </c>
      <c r="O14" s="69">
        <v>0.5</v>
      </c>
      <c r="P14" s="69">
        <v>0.3</v>
      </c>
      <c r="Q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</v>
      </c>
      <c r="M15" s="69">
        <v>0.11702127659574468</v>
      </c>
      <c r="N15" s="69">
        <v>0.43617021276595747</v>
      </c>
      <c r="O15" s="69">
        <v>0.54545454545454541</v>
      </c>
      <c r="P15" s="69">
        <v>0.31707317073170732</v>
      </c>
      <c r="Q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</v>
      </c>
      <c r="M16" s="69">
        <v>0.16190476190476191</v>
      </c>
      <c r="N16" s="69">
        <v>0.40952380952380951</v>
      </c>
      <c r="O16" s="69">
        <v>0.58823529411764708</v>
      </c>
      <c r="P16" s="69">
        <v>0.32558139534883723</v>
      </c>
      <c r="Q16" s="69">
        <v>0.22222222222222221</v>
      </c>
    </row>
    <row r="17" spans="1:17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</v>
      </c>
      <c r="M17" s="69">
        <v>0.17543859649122806</v>
      </c>
      <c r="N17" s="69">
        <v>0.41228070175438597</v>
      </c>
      <c r="O17" s="69">
        <v>0.6</v>
      </c>
      <c r="P17" s="69">
        <v>0.2978723404255319</v>
      </c>
      <c r="Q17" s="69">
        <v>0.2413793103448276</v>
      </c>
    </row>
    <row r="18" spans="1:17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</v>
      </c>
      <c r="M18" s="69">
        <v>0.1864406779661017</v>
      </c>
      <c r="N18" s="69">
        <v>0.39830508474576271</v>
      </c>
      <c r="O18" s="69">
        <v>0.54545454545454541</v>
      </c>
      <c r="P18" s="69">
        <v>0.2978723404255319</v>
      </c>
      <c r="Q18" s="69">
        <v>0.2413793103448276</v>
      </c>
    </row>
    <row r="19" spans="1:17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</v>
      </c>
      <c r="M19" s="69">
        <v>0.2</v>
      </c>
      <c r="N19" s="69">
        <v>0.39200000000000002</v>
      </c>
      <c r="O19" s="69">
        <v>0.56000000000000005</v>
      </c>
      <c r="P19" s="69">
        <v>0.30612244897959184</v>
      </c>
      <c r="Q19" s="69">
        <v>0.24242424242424243</v>
      </c>
    </row>
    <row r="20" spans="1:17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</v>
      </c>
      <c r="M20" s="69">
        <v>0.19402985074626866</v>
      </c>
      <c r="N20" s="69">
        <v>0.38059701492537312</v>
      </c>
      <c r="O20" s="69">
        <v>0.53846153846153844</v>
      </c>
      <c r="P20" s="69">
        <v>0.33333333333333331</v>
      </c>
      <c r="Q20" s="69">
        <v>0.25714285714285712</v>
      </c>
    </row>
    <row r="21" spans="1:17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</v>
      </c>
      <c r="M21" s="69">
        <v>0.18181818181818182</v>
      </c>
      <c r="N21" s="69">
        <v>0.3776223776223776</v>
      </c>
      <c r="O21" s="69">
        <v>0.53846153846153844</v>
      </c>
      <c r="P21" s="69">
        <v>0.33333333333333331</v>
      </c>
      <c r="Q21" s="69">
        <v>0.29729729729729731</v>
      </c>
    </row>
    <row r="22" spans="1:17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</v>
      </c>
      <c r="M22" s="69">
        <v>0.17880794701986755</v>
      </c>
      <c r="N22" s="69">
        <v>0.38410596026490068</v>
      </c>
      <c r="O22" s="69">
        <v>0.51851851851851849</v>
      </c>
      <c r="P22" s="69">
        <v>0.36206896551724138</v>
      </c>
      <c r="Q22" s="69">
        <v>0.27500000000000002</v>
      </c>
    </row>
    <row r="23" spans="1:17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</v>
      </c>
      <c r="M23" s="69">
        <v>0.16666666666666666</v>
      </c>
      <c r="N23" s="69">
        <v>0.3888888888888889</v>
      </c>
      <c r="O23" s="69">
        <v>0.51851851851851849</v>
      </c>
      <c r="P23" s="69">
        <v>0.33333333333333331</v>
      </c>
      <c r="Q23" s="69">
        <v>0.29268292682926828</v>
      </c>
    </row>
    <row r="24" spans="1:17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</v>
      </c>
      <c r="M24" s="69">
        <v>0.15976331360946747</v>
      </c>
      <c r="N24" s="69">
        <v>0.38461538461538464</v>
      </c>
      <c r="O24" s="69">
        <v>0.51851851851851849</v>
      </c>
      <c r="P24" s="69">
        <v>0.32307692307692309</v>
      </c>
      <c r="Q24" s="69">
        <v>0.29268292682926828</v>
      </c>
    </row>
    <row r="25" spans="1:17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</v>
      </c>
      <c r="M25" s="69">
        <v>0.15819209039548024</v>
      </c>
      <c r="N25" s="69">
        <v>0.38983050847457629</v>
      </c>
      <c r="O25" s="69">
        <v>0.5</v>
      </c>
      <c r="P25" s="69">
        <v>0.3188405797101449</v>
      </c>
      <c r="Q25" s="69">
        <v>0.2857142857142857</v>
      </c>
    </row>
    <row r="26" spans="1:17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</v>
      </c>
      <c r="M26" s="69">
        <v>0.15135135135135136</v>
      </c>
      <c r="N26" s="69">
        <v>0.38918918918918921</v>
      </c>
      <c r="O26" s="69">
        <v>0.5</v>
      </c>
      <c r="P26" s="69">
        <v>0.31944444444444442</v>
      </c>
      <c r="Q26" s="69">
        <v>0.27906976744186046</v>
      </c>
    </row>
    <row r="27" spans="1:17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</v>
      </c>
      <c r="M27" s="69">
        <v>0.15183246073298429</v>
      </c>
      <c r="N27" s="69">
        <v>0.39267015706806285</v>
      </c>
      <c r="O27" s="69">
        <v>0.48275862068965519</v>
      </c>
      <c r="P27" s="69">
        <v>0.32</v>
      </c>
      <c r="Q27" s="69">
        <v>0.29545454545454547</v>
      </c>
    </row>
    <row r="28" spans="1:17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</v>
      </c>
      <c r="M28" s="69">
        <v>0.15306122448979592</v>
      </c>
      <c r="N28" s="69">
        <v>0.38775510204081631</v>
      </c>
      <c r="O28" s="69">
        <v>0.46666666666666667</v>
      </c>
      <c r="P28" s="69">
        <v>0.31578947368421051</v>
      </c>
      <c r="Q28" s="69">
        <v>0.29545454545454547</v>
      </c>
    </row>
    <row r="29" spans="1:17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</v>
      </c>
      <c r="M29" s="69">
        <v>0.15121951219512195</v>
      </c>
      <c r="N29" s="69">
        <v>0.38536585365853659</v>
      </c>
      <c r="O29" s="69">
        <v>0.45161290322580644</v>
      </c>
      <c r="P29" s="69">
        <v>0.30379746835443039</v>
      </c>
      <c r="Q29" s="69">
        <v>0.29545454545454547</v>
      </c>
    </row>
    <row r="30" spans="1:17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</v>
      </c>
      <c r="M30" s="69">
        <v>0.15094339622641509</v>
      </c>
      <c r="N30" s="69">
        <v>0.39150943396226418</v>
      </c>
      <c r="O30" s="69">
        <v>0.46875</v>
      </c>
      <c r="P30" s="69">
        <v>0.31325301204819278</v>
      </c>
      <c r="Q30" s="69">
        <v>0.2978723404255319</v>
      </c>
    </row>
    <row r="31" spans="1:17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</v>
      </c>
      <c r="M31" s="69">
        <v>0.15</v>
      </c>
      <c r="N31" s="69">
        <v>0.39545454545454545</v>
      </c>
      <c r="O31" s="69">
        <v>0.45454545454545453</v>
      </c>
      <c r="P31" s="69">
        <v>0.32183908045977011</v>
      </c>
      <c r="Q31" s="69">
        <v>0.32653061224489793</v>
      </c>
    </row>
    <row r="32" spans="1:17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</v>
      </c>
      <c r="M32" s="69">
        <v>0.14798206278026907</v>
      </c>
      <c r="N32" s="69">
        <v>0.39461883408071746</v>
      </c>
      <c r="O32" s="69">
        <v>0.45454545454545453</v>
      </c>
      <c r="P32" s="69">
        <v>0.31818181818181818</v>
      </c>
      <c r="Q32" s="69">
        <v>0.32</v>
      </c>
    </row>
    <row r="33" spans="1:17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</v>
      </c>
      <c r="M33" s="69">
        <v>0.14847161572052403</v>
      </c>
      <c r="N33" s="69">
        <v>0.3930131004366812</v>
      </c>
      <c r="O33" s="69">
        <v>0.44117647058823528</v>
      </c>
      <c r="P33" s="69">
        <v>0.31111111111111112</v>
      </c>
      <c r="Q33" s="69">
        <v>0.32</v>
      </c>
    </row>
    <row r="34" spans="1:17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</v>
      </c>
      <c r="M34" s="69">
        <v>0.14285714285714285</v>
      </c>
      <c r="N34" s="69">
        <v>0.40336134453781514</v>
      </c>
      <c r="O34" s="69">
        <v>0.44117647058823528</v>
      </c>
      <c r="P34" s="69">
        <v>0.29166666666666669</v>
      </c>
      <c r="Q34" s="69">
        <v>0.32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9222D-EB45-46B3-B16B-4D5FD4219CD5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</v>
      </c>
      <c r="M4" s="69">
        <v>0.45454545454545453</v>
      </c>
      <c r="N4" s="69">
        <v>0.18181818181818182</v>
      </c>
      <c r="O4" s="69">
        <v>0.8</v>
      </c>
      <c r="P4" s="69">
        <v>0.5</v>
      </c>
      <c r="Q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</v>
      </c>
      <c r="M5" s="69">
        <v>0.5714285714285714</v>
      </c>
      <c r="N5" s="69">
        <v>0.14285714285714285</v>
      </c>
      <c r="O5" s="69">
        <v>0.75</v>
      </c>
      <c r="P5" s="69">
        <v>0.5</v>
      </c>
      <c r="Q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</v>
      </c>
      <c r="M6" s="69">
        <v>0.48148148148148145</v>
      </c>
      <c r="N6" s="69">
        <v>0.14814814814814814</v>
      </c>
      <c r="O6" s="69">
        <v>0.69230769230769229</v>
      </c>
      <c r="P6" s="69">
        <v>0.25</v>
      </c>
      <c r="Q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</v>
      </c>
      <c r="M7" s="69">
        <v>0.43243243243243246</v>
      </c>
      <c r="N7" s="69">
        <v>0.13513513513513514</v>
      </c>
      <c r="O7" s="69">
        <v>0.6875</v>
      </c>
      <c r="P7" s="69">
        <v>0.4</v>
      </c>
      <c r="Q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</v>
      </c>
      <c r="M8" s="69">
        <v>0.43478260869565216</v>
      </c>
      <c r="N8" s="69">
        <v>0.13043478260869565</v>
      </c>
      <c r="O8" s="69">
        <v>0.6</v>
      </c>
      <c r="P8" s="69">
        <v>0.5</v>
      </c>
      <c r="Q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</v>
      </c>
      <c r="M9" s="69">
        <v>0.42</v>
      </c>
      <c r="N9" s="69">
        <v>0.12</v>
      </c>
      <c r="O9" s="69">
        <v>0.61904761904761907</v>
      </c>
      <c r="P9" s="69">
        <v>0.5</v>
      </c>
      <c r="Q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F34EA-5FE3-4AC9-8E82-4F4CA35D594D}">
  <sheetPr codeName="Sheet26"/>
  <dimension ref="A1:Q12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L4" s="69">
        <v>0</v>
      </c>
      <c r="Q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L6" s="69">
        <v>0</v>
      </c>
      <c r="Q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L7" s="69">
        <v>0</v>
      </c>
      <c r="Q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L8" s="69">
        <v>0</v>
      </c>
      <c r="Q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L9" s="69">
        <v>0</v>
      </c>
      <c r="Q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L10" s="69">
        <v>0</v>
      </c>
      <c r="Q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</v>
      </c>
      <c r="M11" s="69">
        <v>0.42857142857142855</v>
      </c>
      <c r="N11" s="69">
        <v>0.14285714285714285</v>
      </c>
      <c r="O11" s="69">
        <v>0.33333333333333331</v>
      </c>
      <c r="P11" s="69">
        <v>0</v>
      </c>
      <c r="Q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</v>
      </c>
      <c r="M12" s="69">
        <v>0.33333333333333331</v>
      </c>
      <c r="N12" s="69">
        <v>0.13333333333333333</v>
      </c>
      <c r="O12" s="69">
        <v>0.6</v>
      </c>
      <c r="P12" s="69">
        <v>0.5</v>
      </c>
      <c r="Q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</v>
      </c>
      <c r="M13" s="69">
        <v>0.2608695652173913</v>
      </c>
      <c r="N13" s="69">
        <v>0.21739130434782608</v>
      </c>
      <c r="O13" s="69">
        <v>0.5</v>
      </c>
      <c r="P13" s="69">
        <v>0.2</v>
      </c>
      <c r="Q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</v>
      </c>
      <c r="M14" s="69">
        <v>0.25806451612903225</v>
      </c>
      <c r="N14" s="69">
        <v>0.22580645161290322</v>
      </c>
      <c r="O14" s="69">
        <v>0.5</v>
      </c>
      <c r="P14" s="69">
        <v>0.14285714285714285</v>
      </c>
      <c r="Q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</v>
      </c>
      <c r="M15" s="69">
        <v>0.27906976744186046</v>
      </c>
      <c r="N15" s="69">
        <v>0.20930232558139536</v>
      </c>
      <c r="O15" s="69">
        <v>0.41666666666666669</v>
      </c>
      <c r="P15" s="69">
        <v>0.1111111111111111</v>
      </c>
      <c r="Q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</v>
      </c>
      <c r="M16" s="69">
        <v>0.2857142857142857</v>
      </c>
      <c r="N16" s="69">
        <v>0.19642857142857142</v>
      </c>
      <c r="O16" s="69">
        <v>0.375</v>
      </c>
      <c r="P16" s="69">
        <v>0.18181818181818182</v>
      </c>
      <c r="Q16" s="69">
        <v>0.5714285714285714</v>
      </c>
    </row>
    <row r="17" spans="1:17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</v>
      </c>
      <c r="M17" s="69">
        <v>0.27868852459016391</v>
      </c>
      <c r="N17" s="69">
        <v>0.21311475409836064</v>
      </c>
      <c r="O17" s="69">
        <v>0.41176470588235292</v>
      </c>
      <c r="P17" s="69">
        <v>0.15384615384615385</v>
      </c>
      <c r="Q17" s="69">
        <v>0.59090909090909094</v>
      </c>
    </row>
    <row r="18" spans="1:17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</v>
      </c>
      <c r="M18" s="69">
        <v>0.28985507246376813</v>
      </c>
      <c r="N18" s="69">
        <v>0.21739130434782608</v>
      </c>
      <c r="O18" s="69">
        <v>0.5</v>
      </c>
      <c r="P18" s="69">
        <v>0.13333333333333333</v>
      </c>
      <c r="Q18" s="69">
        <v>0.6</v>
      </c>
    </row>
    <row r="19" spans="1:17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</v>
      </c>
      <c r="M19" s="69">
        <v>0.27272727272727271</v>
      </c>
      <c r="N19" s="69">
        <v>0.20779220779220781</v>
      </c>
      <c r="O19" s="69">
        <v>0.52380952380952384</v>
      </c>
      <c r="P19" s="69">
        <v>0.125</v>
      </c>
      <c r="Q19" s="69">
        <v>0.57692307692307687</v>
      </c>
    </row>
    <row r="20" spans="1:17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</v>
      </c>
      <c r="M20" s="69">
        <v>0.25609756097560976</v>
      </c>
      <c r="N20" s="69">
        <v>0.21951219512195122</v>
      </c>
      <c r="O20" s="69">
        <v>0.52380952380952384</v>
      </c>
      <c r="P20" s="69">
        <v>0.1111111111111111</v>
      </c>
      <c r="Q20" s="69">
        <v>0.59259259259259256</v>
      </c>
    </row>
    <row r="21" spans="1:17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</v>
      </c>
      <c r="M21" s="69">
        <v>0.23958333333333334</v>
      </c>
      <c r="N21" s="69">
        <v>0.21875</v>
      </c>
      <c r="O21" s="69">
        <v>0.52173913043478259</v>
      </c>
      <c r="P21" s="69">
        <v>0.14285714285714285</v>
      </c>
      <c r="Q21" s="69">
        <v>0.58620689655172409</v>
      </c>
    </row>
    <row r="22" spans="1:17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</v>
      </c>
      <c r="M22" s="69">
        <v>0.24038461538461539</v>
      </c>
      <c r="N22" s="69">
        <v>0.22115384615384615</v>
      </c>
      <c r="O22" s="69">
        <v>0.56000000000000005</v>
      </c>
      <c r="P22" s="69">
        <v>0.21739130434782608</v>
      </c>
      <c r="Q22" s="69">
        <v>0.5757575757575758</v>
      </c>
    </row>
    <row r="23" spans="1:17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</v>
      </c>
      <c r="M23" s="69">
        <v>0.22413793103448276</v>
      </c>
      <c r="N23" s="69">
        <v>0.23275862068965517</v>
      </c>
      <c r="O23" s="69">
        <v>0.53846153846153844</v>
      </c>
      <c r="P23" s="69">
        <v>0.29629629629629628</v>
      </c>
      <c r="Q23" s="69">
        <v>0.56756756756756754</v>
      </c>
    </row>
    <row r="24" spans="1:17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</v>
      </c>
      <c r="M24" s="69">
        <v>0.22764227642276422</v>
      </c>
      <c r="N24" s="69">
        <v>0.22764227642276422</v>
      </c>
      <c r="O24" s="69">
        <v>0.5714285714285714</v>
      </c>
      <c r="P24" s="69">
        <v>0.32142857142857145</v>
      </c>
      <c r="Q24" s="69">
        <v>0.52500000000000002</v>
      </c>
    </row>
    <row r="25" spans="1:17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4.5454545454545456E-2</v>
      </c>
      <c r="M25" s="69">
        <v>0.22727272727272727</v>
      </c>
      <c r="N25" s="69">
        <v>0.23484848484848486</v>
      </c>
      <c r="O25" s="69">
        <v>0.6</v>
      </c>
      <c r="P25" s="69">
        <v>0.35483870967741937</v>
      </c>
      <c r="Q25" s="69">
        <v>0.53333333333333333</v>
      </c>
    </row>
    <row r="26" spans="1:17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4.3478260869565216E-2</v>
      </c>
      <c r="M26" s="69">
        <v>0.23571428571428571</v>
      </c>
      <c r="N26" s="69">
        <v>0.24285714285714285</v>
      </c>
      <c r="O26" s="69">
        <v>0.5757575757575758</v>
      </c>
      <c r="P26" s="69">
        <v>0.35294117647058826</v>
      </c>
      <c r="Q26" s="69">
        <v>0.53191489361702127</v>
      </c>
    </row>
    <row r="27" spans="1:17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8.3333333333333329E-2</v>
      </c>
      <c r="M27" s="69">
        <v>0.25827814569536423</v>
      </c>
      <c r="N27" s="69">
        <v>0.2251655629139073</v>
      </c>
      <c r="O27" s="69">
        <v>0.61538461538461542</v>
      </c>
      <c r="P27" s="69">
        <v>0.35294117647058826</v>
      </c>
      <c r="Q27" s="69">
        <v>0.51923076923076927</v>
      </c>
    </row>
    <row r="28" spans="1:17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0.08</v>
      </c>
      <c r="M28" s="69">
        <v>0.24223602484472051</v>
      </c>
      <c r="N28" s="69">
        <v>0.22981366459627328</v>
      </c>
      <c r="O28" s="69">
        <v>0.61538461538461542</v>
      </c>
      <c r="P28" s="69">
        <v>0.3783783783783784</v>
      </c>
      <c r="Q28" s="69">
        <v>0.5</v>
      </c>
    </row>
    <row r="29" spans="1:17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7.6923076923076927E-2</v>
      </c>
      <c r="M29" s="69">
        <v>0.23809523809523808</v>
      </c>
      <c r="N29" s="69">
        <v>0.23214285714285715</v>
      </c>
      <c r="O29" s="69">
        <v>0.625</v>
      </c>
      <c r="P29" s="69">
        <v>0.35897435897435898</v>
      </c>
      <c r="Q29" s="69">
        <v>0.49090909090909091</v>
      </c>
    </row>
    <row r="30" spans="1:17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7.407407407407407E-2</v>
      </c>
      <c r="M30" s="69">
        <v>0.23976608187134502</v>
      </c>
      <c r="N30" s="69">
        <v>0.22807017543859648</v>
      </c>
      <c r="O30" s="69">
        <v>0.6097560975609756</v>
      </c>
      <c r="P30" s="69">
        <v>0.35897435897435898</v>
      </c>
      <c r="Q30" s="69">
        <v>0.49090909090909091</v>
      </c>
    </row>
    <row r="31" spans="1:17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0.10714285714285714</v>
      </c>
      <c r="M31" s="69">
        <v>0.25139664804469275</v>
      </c>
      <c r="N31" s="69">
        <v>0.24022346368715083</v>
      </c>
      <c r="O31" s="69">
        <v>0.6</v>
      </c>
      <c r="P31" s="69">
        <v>0.34883720930232559</v>
      </c>
      <c r="Q31" s="69">
        <v>0.48275862068965519</v>
      </c>
    </row>
    <row r="32" spans="1:17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0.10344827586206896</v>
      </c>
      <c r="M32" s="69">
        <v>0.26486486486486488</v>
      </c>
      <c r="N32" s="69">
        <v>0.23243243243243245</v>
      </c>
      <c r="O32" s="69">
        <v>0.63265306122448983</v>
      </c>
      <c r="P32" s="69">
        <v>0.34883720930232559</v>
      </c>
      <c r="Q32" s="69">
        <v>0.5</v>
      </c>
    </row>
    <row r="33" spans="1:17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0.1</v>
      </c>
      <c r="M33" s="69">
        <v>0.26178010471204188</v>
      </c>
      <c r="N33" s="69">
        <v>0.22513089005235601</v>
      </c>
      <c r="O33" s="69">
        <v>0.62</v>
      </c>
      <c r="P33" s="69">
        <v>0.34883720930232559</v>
      </c>
      <c r="Q33" s="69">
        <v>0.5</v>
      </c>
    </row>
    <row r="34" spans="1:17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9.6774193548387094E-2</v>
      </c>
      <c r="M34" s="69">
        <v>0.25742574257425743</v>
      </c>
      <c r="N34" s="69">
        <v>0.21782178217821782</v>
      </c>
      <c r="O34" s="69">
        <v>0.63461538461538458</v>
      </c>
      <c r="P34" s="69">
        <v>0.36363636363636365</v>
      </c>
      <c r="Q34" s="69">
        <v>0.49230769230769234</v>
      </c>
    </row>
    <row r="35" spans="1:17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9.375E-2</v>
      </c>
      <c r="M35" s="69">
        <v>0.25490196078431371</v>
      </c>
      <c r="N35" s="69">
        <v>0.21568627450980393</v>
      </c>
      <c r="O35" s="69">
        <v>0.63461538461538458</v>
      </c>
      <c r="P35" s="69">
        <v>0.36363636363636365</v>
      </c>
      <c r="Q35" s="69">
        <v>0.49230769230769234</v>
      </c>
    </row>
    <row r="36" spans="1:17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9.0909090909090912E-2</v>
      </c>
      <c r="M36" s="69">
        <v>0.25592417061611372</v>
      </c>
      <c r="N36" s="69">
        <v>0.2132701421800948</v>
      </c>
      <c r="O36" s="69">
        <v>0.62962962962962965</v>
      </c>
      <c r="P36" s="69">
        <v>0.35555555555555557</v>
      </c>
      <c r="Q36" s="69">
        <v>0.5</v>
      </c>
    </row>
    <row r="37" spans="1:17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8.8235294117647065E-2</v>
      </c>
      <c r="M37" s="69">
        <v>0.26363636363636361</v>
      </c>
      <c r="N37" s="69">
        <v>0.20909090909090908</v>
      </c>
      <c r="O37" s="69">
        <v>0.60344827586206895</v>
      </c>
      <c r="P37" s="69">
        <v>0.34782608695652173</v>
      </c>
      <c r="Q37" s="69">
        <v>0.48529411764705882</v>
      </c>
    </row>
    <row r="38" spans="1:17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8.5714285714285715E-2</v>
      </c>
      <c r="M38" s="69">
        <v>0.26106194690265488</v>
      </c>
      <c r="N38" s="69">
        <v>0.21238938053097345</v>
      </c>
      <c r="O38" s="69">
        <v>0.61016949152542377</v>
      </c>
      <c r="P38" s="69">
        <v>0.33333333333333331</v>
      </c>
      <c r="Q38" s="69">
        <v>0.47826086956521741</v>
      </c>
    </row>
    <row r="39" spans="1:17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0.1111111111111111</v>
      </c>
      <c r="M39" s="69">
        <v>0.25847457627118642</v>
      </c>
      <c r="N39" s="69">
        <v>0.22033898305084745</v>
      </c>
      <c r="O39" s="69">
        <v>0.5901639344262295</v>
      </c>
      <c r="P39" s="69">
        <v>0.34615384615384615</v>
      </c>
      <c r="Q39" s="69">
        <v>0.47222222222222221</v>
      </c>
    </row>
    <row r="40" spans="1:17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0.10810810810810811</v>
      </c>
      <c r="M40" s="69">
        <v>0.26141078838174275</v>
      </c>
      <c r="N40" s="69">
        <v>0.21576763485477179</v>
      </c>
      <c r="O40" s="69">
        <v>0.5714285714285714</v>
      </c>
      <c r="P40" s="69">
        <v>0.34615384615384615</v>
      </c>
      <c r="Q40" s="69">
        <v>0.47222222222222221</v>
      </c>
    </row>
    <row r="41" spans="1:17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0.10526315789473684</v>
      </c>
      <c r="M41" s="69">
        <v>0.26400000000000001</v>
      </c>
      <c r="N41" s="69">
        <v>0.20799999999999999</v>
      </c>
      <c r="O41" s="69">
        <v>0.59090909090909094</v>
      </c>
      <c r="P41" s="69">
        <v>0.34615384615384615</v>
      </c>
      <c r="Q41" s="69">
        <v>0.48</v>
      </c>
    </row>
    <row r="42" spans="1:17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0.12820512820512819</v>
      </c>
      <c r="M42" s="69">
        <v>0.2734375</v>
      </c>
      <c r="N42" s="69">
        <v>0.20703125</v>
      </c>
      <c r="O42" s="69">
        <v>0.6</v>
      </c>
      <c r="P42" s="69">
        <v>0.33962264150943394</v>
      </c>
      <c r="Q42" s="69">
        <v>0.46153846153846156</v>
      </c>
    </row>
    <row r="43" spans="1:17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0.125</v>
      </c>
      <c r="M43" s="69">
        <v>0.27547169811320754</v>
      </c>
      <c r="N43" s="69">
        <v>0.21509433962264152</v>
      </c>
      <c r="O43" s="69">
        <v>0.60273972602739723</v>
      </c>
      <c r="P43" s="69">
        <v>0.33333333333333331</v>
      </c>
      <c r="Q43" s="69">
        <v>0.46913580246913578</v>
      </c>
    </row>
    <row r="44" spans="1:17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0.12195121951219512</v>
      </c>
      <c r="M44" s="69">
        <v>0.27407407407407408</v>
      </c>
      <c r="N44" s="69">
        <v>0.21481481481481482</v>
      </c>
      <c r="O44" s="69">
        <v>0.60810810810810811</v>
      </c>
      <c r="P44" s="69">
        <v>0.32758620689655171</v>
      </c>
      <c r="Q44" s="69">
        <v>0.46987951807228917</v>
      </c>
    </row>
    <row r="45" spans="1:17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0.11904761904761904</v>
      </c>
      <c r="M45" s="69">
        <v>0.27272727272727271</v>
      </c>
      <c r="N45" s="69">
        <v>0.21454545454545454</v>
      </c>
      <c r="O45" s="69">
        <v>0.61333333333333329</v>
      </c>
      <c r="P45" s="69">
        <v>0.32203389830508472</v>
      </c>
      <c r="Q45" s="69">
        <v>0.47619047619047616</v>
      </c>
    </row>
    <row r="46" spans="1:17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0.11627906976744186</v>
      </c>
      <c r="M46" s="69">
        <v>0.27598566308243727</v>
      </c>
      <c r="N46" s="69">
        <v>0.21863799283154123</v>
      </c>
      <c r="O46" s="69">
        <v>0.62337662337662336</v>
      </c>
      <c r="P46" s="69">
        <v>0.34426229508196721</v>
      </c>
      <c r="Q46" s="69">
        <v>0.47727272727272729</v>
      </c>
    </row>
    <row r="47" spans="1:17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0.11363636363636363</v>
      </c>
      <c r="M47" s="69">
        <v>0.28027681660899656</v>
      </c>
      <c r="N47" s="69">
        <v>0.22491349480968859</v>
      </c>
      <c r="O47" s="69">
        <v>0.62962962962962965</v>
      </c>
      <c r="P47" s="69">
        <v>0.36923076923076925</v>
      </c>
      <c r="Q47" s="69">
        <v>0.45744680851063829</v>
      </c>
    </row>
    <row r="48" spans="1:17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0.1111111111111111</v>
      </c>
      <c r="M48" s="69">
        <v>0.28000000000000003</v>
      </c>
      <c r="N48" s="69">
        <v>0.22666666666666666</v>
      </c>
      <c r="O48" s="69">
        <v>0.6428571428571429</v>
      </c>
      <c r="P48" s="69">
        <v>0.38235294117647056</v>
      </c>
      <c r="Q48" s="69">
        <v>0.45454545454545453</v>
      </c>
    </row>
    <row r="49" spans="1:17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0.10869565217391304</v>
      </c>
      <c r="M49" s="69">
        <v>0.28155339805825241</v>
      </c>
      <c r="N49" s="69">
        <v>0.22653721682847897</v>
      </c>
      <c r="O49" s="69">
        <v>0.62068965517241381</v>
      </c>
      <c r="P49" s="69">
        <v>0.38571428571428573</v>
      </c>
      <c r="Q49" s="69">
        <v>0.46</v>
      </c>
    </row>
    <row r="50" spans="1:17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0.10638297872340426</v>
      </c>
      <c r="M50" s="69">
        <v>0.29153605015673983</v>
      </c>
      <c r="N50" s="69">
        <v>0.21943573667711599</v>
      </c>
      <c r="O50" s="69">
        <v>0.60215053763440862</v>
      </c>
      <c r="P50" s="69">
        <v>0.38571428571428573</v>
      </c>
      <c r="Q50" s="69">
        <v>0.44660194174757284</v>
      </c>
    </row>
    <row r="51" spans="1:17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0.10416666666666667</v>
      </c>
      <c r="M51" s="69">
        <v>0.29357798165137616</v>
      </c>
      <c r="N51" s="69">
        <v>0.22018348623853212</v>
      </c>
      <c r="O51" s="69">
        <v>0.59375</v>
      </c>
      <c r="P51" s="69">
        <v>0.3888888888888889</v>
      </c>
      <c r="Q51" s="69">
        <v>0.44761904761904764</v>
      </c>
    </row>
    <row r="52" spans="1:17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0.10204081632653061</v>
      </c>
      <c r="M52" s="69">
        <v>0.29850746268656714</v>
      </c>
      <c r="N52" s="69">
        <v>0.22089552238805971</v>
      </c>
      <c r="O52" s="69">
        <v>0.57999999999999996</v>
      </c>
      <c r="P52" s="69">
        <v>0.39189189189189189</v>
      </c>
      <c r="Q52" s="69">
        <v>0.46296296296296297</v>
      </c>
    </row>
    <row r="53" spans="1:17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0.1</v>
      </c>
      <c r="M53" s="69">
        <v>0.29705882352941176</v>
      </c>
      <c r="N53" s="69">
        <v>0.22058823529411764</v>
      </c>
      <c r="O53" s="69">
        <v>0.57425742574257421</v>
      </c>
      <c r="P53" s="69">
        <v>0.38666666666666666</v>
      </c>
      <c r="Q53" s="69">
        <v>0.46296296296296297</v>
      </c>
    </row>
    <row r="54" spans="1:17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9.8039215686274508E-2</v>
      </c>
      <c r="M54" s="69">
        <v>0.29682997118155618</v>
      </c>
      <c r="N54" s="69">
        <v>0.21902017291066284</v>
      </c>
      <c r="O54" s="69">
        <v>0.58252427184466016</v>
      </c>
      <c r="P54" s="69">
        <v>0.39473684210526316</v>
      </c>
      <c r="Q54" s="69">
        <v>0.45945945945945948</v>
      </c>
    </row>
    <row r="55" spans="1:17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9.6153846153846159E-2</v>
      </c>
      <c r="M55" s="69">
        <v>0.29775280898876405</v>
      </c>
      <c r="N55" s="69">
        <v>0.21629213483146068</v>
      </c>
      <c r="O55" s="69">
        <v>0.58490566037735847</v>
      </c>
      <c r="P55" s="69">
        <v>0.38961038961038963</v>
      </c>
      <c r="Q55" s="69">
        <v>0.45132743362831856</v>
      </c>
    </row>
    <row r="56" spans="1:17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9.4339622641509441E-2</v>
      </c>
      <c r="M56" s="69">
        <v>0.29863013698630136</v>
      </c>
      <c r="N56" s="69">
        <v>0.21369863013698631</v>
      </c>
      <c r="O56" s="69">
        <v>0.59633027522935778</v>
      </c>
      <c r="P56" s="69">
        <v>0.39743589743589741</v>
      </c>
      <c r="Q56" s="69">
        <v>0.46153846153846156</v>
      </c>
    </row>
    <row r="57" spans="1:17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9.2592592592592587E-2</v>
      </c>
      <c r="M57" s="69">
        <v>0.30213903743315507</v>
      </c>
      <c r="N57" s="69">
        <v>0.21390374331550802</v>
      </c>
      <c r="O57" s="69">
        <v>0.59292035398230092</v>
      </c>
      <c r="P57" s="69">
        <v>0.38750000000000001</v>
      </c>
      <c r="Q57" s="69">
        <v>0.46218487394957986</v>
      </c>
    </row>
    <row r="58" spans="1:17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9.0909090909090912E-2</v>
      </c>
      <c r="M58" s="69">
        <v>0.29792746113989638</v>
      </c>
      <c r="N58" s="69">
        <v>0.21502590673575128</v>
      </c>
      <c r="O58" s="69">
        <v>0.59130434782608698</v>
      </c>
      <c r="P58" s="69">
        <v>0.38554216867469882</v>
      </c>
      <c r="Q58" s="69">
        <v>0.47107438016528924</v>
      </c>
    </row>
    <row r="59" spans="1:17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8.9285714285714288E-2</v>
      </c>
      <c r="M59" s="69">
        <v>0.2951653944020356</v>
      </c>
      <c r="N59" s="69">
        <v>0.21882951653944022</v>
      </c>
      <c r="O59" s="69">
        <v>0.59482758620689657</v>
      </c>
      <c r="P59" s="69">
        <v>0.39534883720930231</v>
      </c>
      <c r="Q59" s="69">
        <v>0.46774193548387094</v>
      </c>
    </row>
    <row r="60" spans="1:17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8.771929824561403E-2</v>
      </c>
      <c r="M60" s="69">
        <v>0.29104477611940299</v>
      </c>
      <c r="N60" s="69">
        <v>0.22139303482587064</v>
      </c>
      <c r="O60" s="69">
        <v>0.58974358974358976</v>
      </c>
      <c r="P60" s="69">
        <v>0.39325842696629215</v>
      </c>
      <c r="Q60" s="69">
        <v>0.47199999999999998</v>
      </c>
    </row>
    <row r="61" spans="1:17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8.6206896551724144E-2</v>
      </c>
      <c r="M61" s="69">
        <v>0.29055690072639223</v>
      </c>
      <c r="N61" s="69">
        <v>0.21791767554479419</v>
      </c>
      <c r="O61" s="69">
        <v>0.58333333333333337</v>
      </c>
      <c r="P61" s="69">
        <v>0.3888888888888889</v>
      </c>
      <c r="Q61" s="69">
        <v>0.46825396825396826</v>
      </c>
    </row>
    <row r="62" spans="1:17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8.4745762711864403E-2</v>
      </c>
      <c r="M62" s="69">
        <v>0.29146919431279622</v>
      </c>
      <c r="N62" s="69">
        <v>0.21800947867298578</v>
      </c>
      <c r="O62" s="69">
        <v>0.5934959349593496</v>
      </c>
      <c r="P62" s="69">
        <v>0.38043478260869568</v>
      </c>
      <c r="Q62" s="69">
        <v>0.47286821705426357</v>
      </c>
    </row>
    <row r="63" spans="1:17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8.3333333333333329E-2</v>
      </c>
      <c r="M63" s="69">
        <v>0.29534883720930233</v>
      </c>
      <c r="N63" s="69">
        <v>0.21860465116279071</v>
      </c>
      <c r="O63" s="69">
        <v>0.59055118110236215</v>
      </c>
      <c r="P63" s="69">
        <v>0.38297872340425532</v>
      </c>
      <c r="Q63" s="69">
        <v>0.4621212121212121</v>
      </c>
    </row>
    <row r="64" spans="1:17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8.1967213114754092E-2</v>
      </c>
      <c r="M64" s="69">
        <v>0.29680365296803651</v>
      </c>
      <c r="N64" s="69">
        <v>0.21917808219178081</v>
      </c>
      <c r="O64" s="69">
        <v>0.57692307692307687</v>
      </c>
      <c r="P64" s="69">
        <v>0.375</v>
      </c>
      <c r="Q64" s="69">
        <v>0.46616541353383456</v>
      </c>
    </row>
    <row r="65" spans="1:17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8.0645161290322578E-2</v>
      </c>
      <c r="M65" s="69">
        <v>0.29464285714285715</v>
      </c>
      <c r="N65" s="69">
        <v>0.21651785714285715</v>
      </c>
      <c r="O65" s="69">
        <v>0.58333333333333337</v>
      </c>
      <c r="P65" s="69">
        <v>0.38144329896907214</v>
      </c>
      <c r="Q65" s="69">
        <v>0.47058823529411764</v>
      </c>
    </row>
    <row r="66" spans="1:17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7.9365079365079361E-2</v>
      </c>
      <c r="M66" s="69">
        <v>0.30434782608695654</v>
      </c>
      <c r="N66" s="69">
        <v>0.21304347826086956</v>
      </c>
      <c r="O66" s="69">
        <v>0.6</v>
      </c>
      <c r="P66" s="69">
        <v>0.37755102040816324</v>
      </c>
      <c r="Q66" s="69">
        <v>0.46527777777777779</v>
      </c>
    </row>
    <row r="67" spans="1:17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7.8125E-2</v>
      </c>
      <c r="M67" s="69">
        <v>0.30472103004291845</v>
      </c>
      <c r="N67" s="69">
        <v>0.21030042918454936</v>
      </c>
      <c r="O67" s="69">
        <v>0.59859154929577463</v>
      </c>
      <c r="P67" s="69">
        <v>0.37755102040816324</v>
      </c>
      <c r="Q67" s="69">
        <v>0.46206896551724136</v>
      </c>
    </row>
    <row r="68" spans="1:17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7.6923076923076927E-2</v>
      </c>
      <c r="M68" s="69">
        <v>0.30360934182590232</v>
      </c>
      <c r="N68" s="69">
        <v>0.21019108280254778</v>
      </c>
      <c r="O68" s="69">
        <v>0.59440559440559437</v>
      </c>
      <c r="P68" s="69">
        <v>0.37373737373737376</v>
      </c>
      <c r="Q68" s="69">
        <v>0.46575342465753422</v>
      </c>
    </row>
    <row r="69" spans="1:17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7.575757575757576E-2</v>
      </c>
      <c r="M69" s="69">
        <v>0.30062630480167013</v>
      </c>
      <c r="N69" s="69">
        <v>0.21085594989561587</v>
      </c>
      <c r="O69" s="69">
        <v>0.59027777777777779</v>
      </c>
      <c r="P69" s="69">
        <v>0.36633663366336633</v>
      </c>
      <c r="Q69" s="69">
        <v>0.46575342465753422</v>
      </c>
    </row>
    <row r="70" spans="1:17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7.4626865671641784E-2</v>
      </c>
      <c r="M70" s="69">
        <v>0.29713114754098363</v>
      </c>
      <c r="N70" s="69">
        <v>0.21106557377049182</v>
      </c>
      <c r="O70" s="69">
        <v>0.59310344827586203</v>
      </c>
      <c r="P70" s="69">
        <v>0.35922330097087379</v>
      </c>
      <c r="Q70" s="69">
        <v>0.46938775510204084</v>
      </c>
    </row>
    <row r="71" spans="1:17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8.8235294117647065E-2</v>
      </c>
      <c r="M71" s="69">
        <v>0.29959514170040485</v>
      </c>
      <c r="N71" s="69">
        <v>0.20850202429149797</v>
      </c>
      <c r="O71" s="69">
        <v>0.60135135135135132</v>
      </c>
      <c r="P71" s="69">
        <v>0.35922330097087379</v>
      </c>
      <c r="Q71" s="69">
        <v>0.46052631578947367</v>
      </c>
    </row>
    <row r="72" spans="1:17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8.6956521739130432E-2</v>
      </c>
      <c r="M72" s="69">
        <v>0.30297029702970296</v>
      </c>
      <c r="N72" s="69">
        <v>0.20594059405940593</v>
      </c>
      <c r="O72" s="69">
        <v>0.6143790849673203</v>
      </c>
      <c r="P72" s="69">
        <v>0.36538461538461536</v>
      </c>
      <c r="Q72" s="69">
        <v>0.46202531645569622</v>
      </c>
    </row>
    <row r="73" spans="1:17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8.5714285714285715E-2</v>
      </c>
      <c r="M73" s="69">
        <v>0.3046875</v>
      </c>
      <c r="N73" s="69">
        <v>0.205078125</v>
      </c>
      <c r="O73" s="69">
        <v>0.62179487179487181</v>
      </c>
      <c r="P73" s="69">
        <v>0.37142857142857144</v>
      </c>
      <c r="Q73" s="69">
        <v>0.46012269938650308</v>
      </c>
    </row>
    <row r="74" spans="1:17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8.4507042253521125E-2</v>
      </c>
      <c r="M74" s="69">
        <v>0.30426356589147285</v>
      </c>
      <c r="N74" s="69">
        <v>0.20348837209302326</v>
      </c>
      <c r="O74" s="69">
        <v>0.61783439490445857</v>
      </c>
      <c r="P74" s="69">
        <v>0.37142857142857144</v>
      </c>
      <c r="Q74" s="69">
        <v>0.46012269938650308</v>
      </c>
    </row>
    <row r="75" spans="1:17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8.3333333333333329E-2</v>
      </c>
      <c r="M75" s="69">
        <v>0.30367504835589942</v>
      </c>
      <c r="N75" s="69">
        <v>0.20502901353965183</v>
      </c>
      <c r="O75" s="69">
        <v>0.61783439490445857</v>
      </c>
      <c r="P75" s="69">
        <v>0.36792452830188677</v>
      </c>
      <c r="Q75" s="69">
        <v>0.46012269938650308</v>
      </c>
    </row>
    <row r="76" spans="1:17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8.2191780821917804E-2</v>
      </c>
      <c r="M76" s="69">
        <v>0.30418250950570341</v>
      </c>
      <c r="N76" s="69">
        <v>0.20532319391634982</v>
      </c>
      <c r="O76" s="69">
        <v>0.625</v>
      </c>
      <c r="P76" s="69">
        <v>0.3611111111111111</v>
      </c>
      <c r="Q76" s="69">
        <v>0.46385542168674698</v>
      </c>
    </row>
    <row r="77" spans="1:17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9.45945945945946E-2</v>
      </c>
      <c r="M77" s="69">
        <v>0.30524344569288392</v>
      </c>
      <c r="N77" s="69">
        <v>0.20411985018726592</v>
      </c>
      <c r="O77" s="69">
        <v>0.62576687116564422</v>
      </c>
      <c r="P77" s="69">
        <v>0.3669724770642202</v>
      </c>
      <c r="Q77" s="69">
        <v>0.46153846153846156</v>
      </c>
    </row>
    <row r="78" spans="1:17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9.3333333333333338E-2</v>
      </c>
      <c r="M78" s="69">
        <v>0.30868761552680224</v>
      </c>
      <c r="N78" s="69">
        <v>0.20517560073937152</v>
      </c>
      <c r="O78" s="69">
        <v>0.61676646706586824</v>
      </c>
      <c r="P78" s="69">
        <v>0.36036036036036034</v>
      </c>
      <c r="Q78" s="69">
        <v>0.45882352941176469</v>
      </c>
    </row>
    <row r="79" spans="1:17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9.2105263157894732E-2</v>
      </c>
      <c r="M79" s="69">
        <v>0.31034482758620691</v>
      </c>
      <c r="N79" s="69">
        <v>0.20689655172413793</v>
      </c>
      <c r="O79" s="69">
        <v>0.6257309941520468</v>
      </c>
      <c r="P79" s="69">
        <v>0.35964912280701755</v>
      </c>
      <c r="Q79" s="69">
        <v>0.45714285714285713</v>
      </c>
    </row>
    <row r="80" spans="1:17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9.0909090909090912E-2</v>
      </c>
      <c r="M80" s="69">
        <v>0.30948121645796062</v>
      </c>
      <c r="N80" s="69">
        <v>0.2075134168157424</v>
      </c>
      <c r="O80" s="69">
        <v>0.62427745664739887</v>
      </c>
      <c r="P80" s="69">
        <v>0.35344827586206895</v>
      </c>
      <c r="Q80" s="69">
        <v>0.45454545454545453</v>
      </c>
    </row>
    <row r="81" spans="1:17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0.10256410256410256</v>
      </c>
      <c r="M81" s="69">
        <v>0.31040564373897706</v>
      </c>
      <c r="N81" s="69">
        <v>0.20987654320987653</v>
      </c>
      <c r="O81" s="69">
        <v>0.61931818181818177</v>
      </c>
      <c r="P81" s="69">
        <v>0.35294117647058826</v>
      </c>
      <c r="Q81" s="69">
        <v>0.4606741573033708</v>
      </c>
    </row>
    <row r="82" spans="1:17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0.10126582278481013</v>
      </c>
      <c r="M82" s="69">
        <v>0.30608695652173912</v>
      </c>
      <c r="N82" s="69">
        <v>0.20869565217391303</v>
      </c>
      <c r="O82" s="69">
        <v>0.61931818181818177</v>
      </c>
      <c r="P82" s="69">
        <v>0.35833333333333334</v>
      </c>
      <c r="Q82" s="69">
        <v>0.46666666666666667</v>
      </c>
    </row>
    <row r="83" spans="1:17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0.1</v>
      </c>
      <c r="M83" s="69">
        <v>0.30636833046471601</v>
      </c>
      <c r="N83" s="69">
        <v>0.20826161790017211</v>
      </c>
      <c r="O83" s="69">
        <v>0.61235955056179781</v>
      </c>
      <c r="P83" s="69">
        <v>0.35537190082644626</v>
      </c>
      <c r="Q83" s="69">
        <v>0.46961325966850831</v>
      </c>
    </row>
    <row r="84" spans="1:17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9.8765432098765427E-2</v>
      </c>
      <c r="M84" s="69">
        <v>0.30716723549488056</v>
      </c>
      <c r="N84" s="69">
        <v>0.20989761092150169</v>
      </c>
      <c r="O84" s="69">
        <v>0.6166666666666667</v>
      </c>
      <c r="P84" s="69">
        <v>0.36585365853658536</v>
      </c>
      <c r="Q84" s="69">
        <v>0.4702702702702703</v>
      </c>
    </row>
    <row r="85" spans="1:17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0.10975609756097561</v>
      </c>
      <c r="M85" s="69">
        <v>0.30847457627118646</v>
      </c>
      <c r="N85" s="69">
        <v>0.20847457627118643</v>
      </c>
      <c r="O85" s="69">
        <v>0.61538461538461542</v>
      </c>
      <c r="P85" s="69">
        <v>0.36585365853658536</v>
      </c>
      <c r="Q85" s="69">
        <v>0.4731182795698925</v>
      </c>
    </row>
    <row r="86" spans="1:17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0.10843373493975904</v>
      </c>
      <c r="M86" s="69">
        <v>0.30897009966777411</v>
      </c>
      <c r="N86" s="69">
        <v>0.20764119601328904</v>
      </c>
      <c r="O86" s="69">
        <v>0.60752688172043012</v>
      </c>
      <c r="P86" s="69">
        <v>0.376</v>
      </c>
      <c r="Q86" s="69">
        <v>0.46560846560846558</v>
      </c>
    </row>
    <row r="87" spans="1:17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0.10714285714285714</v>
      </c>
      <c r="M87" s="69">
        <v>0.31198686371100165</v>
      </c>
      <c r="N87" s="69">
        <v>0.20689655172413793</v>
      </c>
      <c r="O87" s="69">
        <v>0.60526315789473684</v>
      </c>
      <c r="P87" s="69">
        <v>0.38095238095238093</v>
      </c>
      <c r="Q87" s="69">
        <v>0.46354166666666669</v>
      </c>
    </row>
    <row r="88" spans="1:17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0.10588235294117647</v>
      </c>
      <c r="M88" s="69">
        <v>0.31168831168831168</v>
      </c>
      <c r="N88" s="69">
        <v>0.20779220779220781</v>
      </c>
      <c r="O88" s="69">
        <v>0.59895833333333337</v>
      </c>
      <c r="P88" s="69">
        <v>0.3828125</v>
      </c>
      <c r="Q88" s="69">
        <v>0.46113989637305697</v>
      </c>
    </row>
    <row r="89" spans="1:17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0.10465116279069768</v>
      </c>
      <c r="M89" s="69">
        <v>0.3108974358974359</v>
      </c>
      <c r="N89" s="69">
        <v>0.20673076923076922</v>
      </c>
      <c r="O89" s="69">
        <v>0.59793814432989689</v>
      </c>
      <c r="P89" s="69">
        <v>0.37984496124031009</v>
      </c>
      <c r="Q89" s="69">
        <v>0.45876288659793812</v>
      </c>
    </row>
    <row r="90" spans="1:17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0.10344827586206896</v>
      </c>
      <c r="M90" s="69">
        <v>0.310126582278481</v>
      </c>
      <c r="N90" s="69">
        <v>0.20886075949367089</v>
      </c>
      <c r="O90" s="69">
        <v>0.59693877551020413</v>
      </c>
      <c r="P90" s="69">
        <v>0.37121212121212122</v>
      </c>
      <c r="Q90" s="69">
        <v>0.46153846153846156</v>
      </c>
    </row>
    <row r="91" spans="1:17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0.10227272727272728</v>
      </c>
      <c r="M91" s="69">
        <v>0.30866141732283464</v>
      </c>
      <c r="N91" s="69">
        <v>0.20787401574803149</v>
      </c>
      <c r="O91" s="69">
        <v>0.59693877551020413</v>
      </c>
      <c r="P91" s="69">
        <v>0.37121212121212122</v>
      </c>
      <c r="Q91" s="69">
        <v>0.46153846153846156</v>
      </c>
    </row>
    <row r="92" spans="1:17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0.10112359550561797</v>
      </c>
      <c r="M92" s="69">
        <v>0.30697674418604654</v>
      </c>
      <c r="N92" s="69">
        <v>0.20775193798449612</v>
      </c>
      <c r="O92" s="69">
        <v>0.59090909090909094</v>
      </c>
      <c r="P92" s="69">
        <v>0.36567164179104478</v>
      </c>
      <c r="Q92" s="69">
        <v>0.46153846153846156</v>
      </c>
    </row>
    <row r="93" spans="1:17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0.1</v>
      </c>
      <c r="M93" s="69">
        <v>0.30934150076569678</v>
      </c>
      <c r="N93" s="69">
        <v>0.20826952526799389</v>
      </c>
      <c r="O93" s="69">
        <v>0.58910891089108908</v>
      </c>
      <c r="P93" s="69">
        <v>0.36764705882352944</v>
      </c>
      <c r="Q93" s="69">
        <v>0.457286432160804</v>
      </c>
    </row>
    <row r="94" spans="1:17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9.8901098901098897E-2</v>
      </c>
      <c r="M94" s="69">
        <v>0.30664652567975831</v>
      </c>
      <c r="N94" s="69">
        <v>0.20845921450151059</v>
      </c>
      <c r="O94" s="69">
        <v>0.58620689655172409</v>
      </c>
      <c r="P94" s="69">
        <v>0.37681159420289856</v>
      </c>
      <c r="Q94" s="69">
        <v>0.45049504950495051</v>
      </c>
    </row>
    <row r="95" spans="1:17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9.7826086956521743E-2</v>
      </c>
      <c r="M95" s="69">
        <v>0.30505952380952384</v>
      </c>
      <c r="N95" s="69">
        <v>0.20684523809523808</v>
      </c>
      <c r="O95" s="69">
        <v>0.58048780487804874</v>
      </c>
      <c r="P95" s="69">
        <v>0.37410071942446044</v>
      </c>
      <c r="Q95" s="69">
        <v>0.45049504950495051</v>
      </c>
    </row>
    <row r="96" spans="1:17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9.6774193548387094E-2</v>
      </c>
      <c r="M96" s="69">
        <v>0.30396475770925108</v>
      </c>
      <c r="N96" s="69">
        <v>0.20851688693098386</v>
      </c>
      <c r="O96" s="69">
        <v>0.5748792270531401</v>
      </c>
      <c r="P96" s="69">
        <v>0.36619718309859156</v>
      </c>
      <c r="Q96" s="69">
        <v>0.45049504950495051</v>
      </c>
    </row>
    <row r="97" spans="1:17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9.5744680851063829E-2</v>
      </c>
      <c r="M97" s="69">
        <v>0.30303030303030304</v>
      </c>
      <c r="N97" s="69">
        <v>0.20779220779220781</v>
      </c>
      <c r="O97" s="69">
        <v>0.57619047619047614</v>
      </c>
      <c r="P97" s="69">
        <v>0.375</v>
      </c>
      <c r="Q97" s="69">
        <v>0.4563106796116505</v>
      </c>
    </row>
    <row r="98" spans="1:17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9.4736842105263161E-2</v>
      </c>
      <c r="M98" s="69">
        <v>0.30199430199430199</v>
      </c>
      <c r="N98" s="69">
        <v>0.20797720797720798</v>
      </c>
      <c r="O98" s="69">
        <v>0.58018867924528306</v>
      </c>
      <c r="P98" s="69">
        <v>0.37671232876712329</v>
      </c>
      <c r="Q98" s="69">
        <v>0.45238095238095238</v>
      </c>
    </row>
    <row r="99" spans="1:17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9.375E-2</v>
      </c>
      <c r="M99" s="69">
        <v>0.30337078651685395</v>
      </c>
      <c r="N99" s="69">
        <v>0.20646067415730338</v>
      </c>
      <c r="O99" s="69">
        <v>0.58796296296296291</v>
      </c>
      <c r="P99" s="69">
        <v>0.37414965986394561</v>
      </c>
      <c r="Q99" s="69">
        <v>0.45794392523364486</v>
      </c>
    </row>
    <row r="100" spans="1:17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0.10309278350515463</v>
      </c>
      <c r="M100" s="69">
        <v>0.30362116991643456</v>
      </c>
      <c r="N100" s="69">
        <v>0.20473537604456823</v>
      </c>
      <c r="O100" s="69">
        <v>0.59174311926605505</v>
      </c>
      <c r="P100" s="69">
        <v>0.37414965986394561</v>
      </c>
      <c r="Q100" s="69">
        <v>0.46082949308755761</v>
      </c>
    </row>
    <row r="101" spans="1:17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0.10204081632653061</v>
      </c>
      <c r="M101" s="69">
        <v>0.30769230769230771</v>
      </c>
      <c r="N101" s="69">
        <v>0.2032967032967033</v>
      </c>
      <c r="O101" s="69">
        <v>0.5892857142857143</v>
      </c>
      <c r="P101" s="69">
        <v>0.3716216216216216</v>
      </c>
      <c r="Q101" s="69">
        <v>0.45909090909090911</v>
      </c>
    </row>
    <row r="102" spans="1:17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0.1111111111111111</v>
      </c>
      <c r="M102" s="69">
        <v>0.30884353741496601</v>
      </c>
      <c r="N102" s="69">
        <v>0.20272108843537415</v>
      </c>
      <c r="O102" s="69">
        <v>0.5903083700440529</v>
      </c>
      <c r="P102" s="69">
        <v>0.36912751677852351</v>
      </c>
      <c r="Q102" s="69">
        <v>0.45945945945945948</v>
      </c>
    </row>
    <row r="103" spans="1:17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0.11</v>
      </c>
      <c r="M103" s="69">
        <v>0.30758807588075882</v>
      </c>
      <c r="N103" s="69">
        <v>0.2032520325203252</v>
      </c>
      <c r="O103" s="69">
        <v>0.5903083700440529</v>
      </c>
      <c r="P103" s="69">
        <v>0.36666666666666664</v>
      </c>
      <c r="Q103" s="69">
        <v>0.45945945945945948</v>
      </c>
    </row>
    <row r="104" spans="1:17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0.10891089108910891</v>
      </c>
      <c r="M104" s="69">
        <v>0.30831099195710454</v>
      </c>
      <c r="N104" s="69">
        <v>0.20375335120643431</v>
      </c>
      <c r="O104" s="69">
        <v>0.59130434782608698</v>
      </c>
      <c r="P104" s="69">
        <v>0.36842105263157893</v>
      </c>
      <c r="Q104" s="69">
        <v>0.45777777777777778</v>
      </c>
    </row>
    <row r="105" spans="1:17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0.10784313725490197</v>
      </c>
      <c r="M105" s="69">
        <v>0.3082010582010582</v>
      </c>
      <c r="N105" s="69">
        <v>0.20634920634920634</v>
      </c>
      <c r="O105" s="69">
        <v>0.59656652360515017</v>
      </c>
      <c r="P105" s="69">
        <v>0.37820512820512819</v>
      </c>
      <c r="Q105" s="69">
        <v>0.45258620689655171</v>
      </c>
    </row>
    <row r="106" spans="1:17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0.10679611650485436</v>
      </c>
      <c r="M106" s="69">
        <v>0.30668414154652685</v>
      </c>
      <c r="N106" s="69">
        <v>0.20445609436435125</v>
      </c>
      <c r="O106" s="69">
        <v>0.59829059829059827</v>
      </c>
      <c r="P106" s="69">
        <v>0.37820512820512819</v>
      </c>
      <c r="Q106" s="69">
        <v>0.45299145299145299</v>
      </c>
    </row>
    <row r="107" spans="1:17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0.10576923076923077</v>
      </c>
      <c r="M107" s="69">
        <v>0.30998702983138782</v>
      </c>
      <c r="N107" s="69">
        <v>0.20233463035019456</v>
      </c>
      <c r="O107" s="69">
        <v>0.59832635983263593</v>
      </c>
      <c r="P107" s="69">
        <v>0.37820512820512819</v>
      </c>
      <c r="Q107" s="69">
        <v>0.45569620253164556</v>
      </c>
    </row>
    <row r="108" spans="1:17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0.10476190476190476</v>
      </c>
      <c r="M108" s="69">
        <v>0.30985915492957744</v>
      </c>
      <c r="N108" s="69">
        <v>0.20230473751600511</v>
      </c>
      <c r="O108" s="69">
        <v>0.5950413223140496</v>
      </c>
      <c r="P108" s="69">
        <v>0.379746835443038</v>
      </c>
      <c r="Q108" s="69">
        <v>0.45833333333333331</v>
      </c>
    </row>
    <row r="109" spans="1:17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0.10377358490566038</v>
      </c>
      <c r="M109" s="69">
        <v>0.31170483460559795</v>
      </c>
      <c r="N109" s="69">
        <v>0.20229007633587787</v>
      </c>
      <c r="O109" s="69">
        <v>0.6</v>
      </c>
      <c r="P109" s="69">
        <v>0.38364779874213839</v>
      </c>
      <c r="Q109" s="69">
        <v>0.45714285714285713</v>
      </c>
    </row>
    <row r="110" spans="1:17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0.10280373831775701</v>
      </c>
      <c r="M110" s="69">
        <v>0.31147540983606559</v>
      </c>
      <c r="N110" s="69">
        <v>0.20302648171500631</v>
      </c>
      <c r="O110" s="69">
        <v>0.59919028340080971</v>
      </c>
      <c r="P110" s="69">
        <v>0.37888198757763975</v>
      </c>
      <c r="Q110" s="69">
        <v>0.45528455284552843</v>
      </c>
    </row>
    <row r="111" spans="1:17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0.10185185185185185</v>
      </c>
      <c r="M111" s="69">
        <v>0.30836454431960048</v>
      </c>
      <c r="N111" s="69">
        <v>0.20224719101123595</v>
      </c>
      <c r="O111" s="69">
        <v>0.59919028340080971</v>
      </c>
      <c r="P111" s="69">
        <v>0.37654320987654322</v>
      </c>
      <c r="Q111" s="69">
        <v>0.45528455284552843</v>
      </c>
    </row>
    <row r="112" spans="1:17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0.10091743119266056</v>
      </c>
      <c r="M112" s="69">
        <v>0.30569306930693069</v>
      </c>
      <c r="N112" s="69">
        <v>0.20297029702970298</v>
      </c>
      <c r="O112" s="69">
        <v>0.59919028340080971</v>
      </c>
      <c r="P112" s="69">
        <v>0.37804878048780488</v>
      </c>
      <c r="Q112" s="69">
        <v>0.45161290322580644</v>
      </c>
    </row>
    <row r="113" spans="1:17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0.1</v>
      </c>
      <c r="M113" s="69">
        <v>0.30514705882352944</v>
      </c>
      <c r="N113" s="69">
        <v>0.20220588235294118</v>
      </c>
      <c r="O113" s="69">
        <v>0.59839357429718876</v>
      </c>
      <c r="P113" s="69">
        <v>0.38181818181818183</v>
      </c>
      <c r="Q113" s="69">
        <v>0.44800000000000001</v>
      </c>
    </row>
    <row r="114" spans="1:17" x14ac:dyDescent="0.4">
      <c r="A114" s="71">
        <v>111</v>
      </c>
      <c r="B114" s="68">
        <v>-470.39999999999992</v>
      </c>
      <c r="C114" s="68">
        <v>-4.2378378378378372</v>
      </c>
      <c r="D114" s="73">
        <v>2.1801801801801801</v>
      </c>
      <c r="E114" s="69">
        <v>0.25225225225225223</v>
      </c>
      <c r="F114" s="69">
        <v>0.29152148664343785</v>
      </c>
      <c r="G114" s="69">
        <v>0.20905923344947736</v>
      </c>
      <c r="H114" s="70">
        <v>10663.346613545817</v>
      </c>
      <c r="I114" s="70">
        <v>-9608.3333333333339</v>
      </c>
      <c r="J114" s="69">
        <v>0.2072072072072072</v>
      </c>
      <c r="K114" s="69">
        <v>0.14414414414414414</v>
      </c>
      <c r="L114" s="69">
        <v>9.90990990990991E-2</v>
      </c>
      <c r="M114" s="69">
        <v>0.30461165048543687</v>
      </c>
      <c r="N114" s="69">
        <v>0.20024271844660194</v>
      </c>
      <c r="O114" s="69">
        <v>0.59760956175298807</v>
      </c>
      <c r="P114" s="69">
        <v>0.38181818181818183</v>
      </c>
      <c r="Q114" s="69">
        <v>0.45019920318725098</v>
      </c>
    </row>
    <row r="115" spans="1:17" x14ac:dyDescent="0.4">
      <c r="A115" s="71">
        <v>112</v>
      </c>
      <c r="B115" s="68">
        <v>-471.19999999999993</v>
      </c>
      <c r="C115" s="68">
        <v>-4.2071428571428564</v>
      </c>
      <c r="D115" s="73">
        <v>2.1785714285714284</v>
      </c>
      <c r="E115" s="69">
        <v>0.25</v>
      </c>
      <c r="F115" s="69">
        <v>0.29065743944636679</v>
      </c>
      <c r="G115" s="69">
        <v>0.20761245674740483</v>
      </c>
      <c r="H115" s="70">
        <v>10652.777777777777</v>
      </c>
      <c r="I115" s="70">
        <v>-9608.3333333333339</v>
      </c>
      <c r="J115" s="69">
        <v>0.20535714285714285</v>
      </c>
      <c r="K115" s="69">
        <v>0.14285714285714285</v>
      </c>
      <c r="L115" s="69">
        <v>9.8214285714285712E-2</v>
      </c>
      <c r="M115" s="69">
        <v>0.30361445783132529</v>
      </c>
      <c r="N115" s="69">
        <v>0.19879518072289157</v>
      </c>
      <c r="O115" s="69">
        <v>0.59920634920634919</v>
      </c>
      <c r="P115" s="69">
        <v>0.38181818181818183</v>
      </c>
      <c r="Q115" s="69">
        <v>0.44841269841269843</v>
      </c>
    </row>
    <row r="116" spans="1:17" x14ac:dyDescent="0.4">
      <c r="A116" s="71">
        <v>113</v>
      </c>
      <c r="B116" s="68">
        <v>-469.39999999999992</v>
      </c>
      <c r="C116" s="68">
        <v>-4.1539823008849552</v>
      </c>
      <c r="D116" s="73">
        <v>2.1769911504424777</v>
      </c>
      <c r="E116" s="69">
        <v>0.24778761061946902</v>
      </c>
      <c r="F116" s="69">
        <v>0.28848346636259975</v>
      </c>
      <c r="G116" s="69">
        <v>0.20638540478905359</v>
      </c>
      <c r="H116" s="70">
        <v>10658.102766798418</v>
      </c>
      <c r="I116" s="70">
        <v>-9597.790055248619</v>
      </c>
      <c r="J116" s="69">
        <v>0.20353982300884957</v>
      </c>
      <c r="K116" s="69">
        <v>0.1415929203539823</v>
      </c>
      <c r="L116" s="69">
        <v>9.7345132743362831E-2</v>
      </c>
      <c r="M116" s="69">
        <v>0.30357142857142855</v>
      </c>
      <c r="N116" s="69">
        <v>0.19761904761904761</v>
      </c>
      <c r="O116" s="69">
        <v>0.59215686274509804</v>
      </c>
      <c r="P116" s="69">
        <v>0.38554216867469882</v>
      </c>
      <c r="Q116" s="69">
        <v>0.44664031620553357</v>
      </c>
    </row>
    <row r="117" spans="1:17" x14ac:dyDescent="0.4">
      <c r="A117" s="71">
        <v>114</v>
      </c>
      <c r="B117" s="68">
        <v>-475.09999999999991</v>
      </c>
      <c r="C117" s="68">
        <v>-4.1675438596491219</v>
      </c>
      <c r="D117" s="73">
        <v>2.1842105263157894</v>
      </c>
      <c r="E117" s="69">
        <v>0.24561403508771928</v>
      </c>
      <c r="F117" s="69">
        <v>0.28926553672316385</v>
      </c>
      <c r="G117" s="69">
        <v>0.20564971751412428</v>
      </c>
      <c r="H117" s="70">
        <v>10594.921875</v>
      </c>
      <c r="I117" s="70">
        <v>-9587.3626373626375</v>
      </c>
      <c r="J117" s="69">
        <v>0.20175438596491227</v>
      </c>
      <c r="K117" s="69">
        <v>0.14035087719298245</v>
      </c>
      <c r="L117" s="69">
        <v>9.6491228070175433E-2</v>
      </c>
      <c r="M117" s="69">
        <v>0.30424528301886794</v>
      </c>
      <c r="N117" s="69">
        <v>0.19811320754716982</v>
      </c>
      <c r="O117" s="69">
        <v>0.59302325581395354</v>
      </c>
      <c r="P117" s="69">
        <v>0.38095238095238093</v>
      </c>
      <c r="Q117" s="69">
        <v>0.44140625</v>
      </c>
    </row>
    <row r="118" spans="1:17" x14ac:dyDescent="0.4">
      <c r="A118" s="71">
        <v>115</v>
      </c>
      <c r="B118" s="68">
        <v>-443.39999999999992</v>
      </c>
      <c r="C118" s="68">
        <v>-3.8556521739130427</v>
      </c>
      <c r="D118" s="73">
        <v>2.1739130434782608</v>
      </c>
      <c r="E118" s="69">
        <v>0.25217391304347825</v>
      </c>
      <c r="F118" s="69">
        <v>0.29133858267716534</v>
      </c>
      <c r="G118" s="69">
        <v>0.20472440944881889</v>
      </c>
      <c r="H118" s="70">
        <v>10605.791505791505</v>
      </c>
      <c r="I118" s="70">
        <v>-9587.3626373626375</v>
      </c>
      <c r="J118" s="69">
        <v>0.2</v>
      </c>
      <c r="K118" s="69">
        <v>0.14782608695652175</v>
      </c>
      <c r="L118" s="69">
        <v>0.10434782608695652</v>
      </c>
      <c r="M118" s="69">
        <v>0.30516431924882631</v>
      </c>
      <c r="N118" s="69">
        <v>0.19835680751173709</v>
      </c>
      <c r="O118" s="69">
        <v>0.59615384615384615</v>
      </c>
      <c r="P118" s="69">
        <v>0.38461538461538464</v>
      </c>
      <c r="Q118" s="69">
        <v>0.43629343629343631</v>
      </c>
    </row>
    <row r="119" spans="1:17" x14ac:dyDescent="0.4">
      <c r="A119" s="71">
        <v>116</v>
      </c>
      <c r="B119" s="68">
        <v>-440.39999999999992</v>
      </c>
      <c r="C119" s="68">
        <v>-3.7965517241379305</v>
      </c>
      <c r="D119" s="73">
        <v>2.1724137931034484</v>
      </c>
      <c r="E119" s="69">
        <v>0.25</v>
      </c>
      <c r="F119" s="69">
        <v>0.29115341545352741</v>
      </c>
      <c r="G119" s="69">
        <v>0.20380739081746921</v>
      </c>
      <c r="H119" s="70">
        <v>10580.384615384615</v>
      </c>
      <c r="I119" s="70">
        <v>-9587.3626373626375</v>
      </c>
      <c r="J119" s="69">
        <v>0.19827586206896552</v>
      </c>
      <c r="K119" s="69">
        <v>0.14655172413793102</v>
      </c>
      <c r="L119" s="69">
        <v>0.10344827586206896</v>
      </c>
      <c r="M119" s="69">
        <v>0.30490654205607476</v>
      </c>
      <c r="N119" s="69">
        <v>0.19859813084112149</v>
      </c>
      <c r="O119" s="69">
        <v>0.5938697318007663</v>
      </c>
      <c r="P119" s="69">
        <v>0.38235294117647056</v>
      </c>
      <c r="Q119" s="69">
        <v>0.43846153846153846</v>
      </c>
    </row>
    <row r="120" spans="1:17" x14ac:dyDescent="0.4">
      <c r="A120" s="71">
        <v>117</v>
      </c>
      <c r="B120" s="68">
        <v>-453.39999999999992</v>
      </c>
      <c r="C120" s="68">
        <v>-3.8752136752136743</v>
      </c>
      <c r="D120" s="73">
        <v>2.1709401709401708</v>
      </c>
      <c r="E120" s="69">
        <v>0.24786324786324787</v>
      </c>
      <c r="F120" s="69">
        <v>0.29046563192904656</v>
      </c>
      <c r="G120" s="69">
        <v>0.2039911308203991</v>
      </c>
      <c r="H120" s="70">
        <v>10541.221374045801</v>
      </c>
      <c r="I120" s="70">
        <v>-9569.565217391304</v>
      </c>
      <c r="J120" s="69">
        <v>0.19658119658119658</v>
      </c>
      <c r="K120" s="69">
        <v>0.14529914529914531</v>
      </c>
      <c r="L120" s="69">
        <v>0.10256410256410256</v>
      </c>
      <c r="M120" s="69">
        <v>0.30289017341040464</v>
      </c>
      <c r="N120" s="69">
        <v>0.19768786127167631</v>
      </c>
      <c r="O120" s="69">
        <v>0.59160305343511455</v>
      </c>
      <c r="P120" s="69">
        <v>0.38596491228070173</v>
      </c>
      <c r="Q120" s="69">
        <v>0.43893129770992367</v>
      </c>
    </row>
    <row r="121" spans="1:17" x14ac:dyDescent="0.4">
      <c r="A121" s="71">
        <v>118</v>
      </c>
      <c r="B121" s="68">
        <v>-470.2999999999999</v>
      </c>
      <c r="C121" s="68">
        <v>-3.9855932203389823</v>
      </c>
      <c r="D121" s="73">
        <v>2.1779661016949152</v>
      </c>
      <c r="E121" s="69">
        <v>0.24576271186440679</v>
      </c>
      <c r="F121" s="69">
        <v>0.28806133625410735</v>
      </c>
      <c r="G121" s="69">
        <v>0.20481927710843373</v>
      </c>
      <c r="H121" s="70">
        <v>10569.58174904943</v>
      </c>
      <c r="I121" s="70">
        <v>-9504.8128342245982</v>
      </c>
      <c r="J121" s="69">
        <v>0.19491525423728814</v>
      </c>
      <c r="K121" s="69">
        <v>0.1440677966101695</v>
      </c>
      <c r="L121" s="69">
        <v>0.10169491525423729</v>
      </c>
      <c r="M121" s="69">
        <v>0.30136986301369861</v>
      </c>
      <c r="N121" s="69">
        <v>0.19634703196347031</v>
      </c>
      <c r="O121" s="69">
        <v>0.59090909090909094</v>
      </c>
      <c r="P121" s="69">
        <v>0.38372093023255816</v>
      </c>
      <c r="Q121" s="69">
        <v>0.44106463878326996</v>
      </c>
    </row>
    <row r="122" spans="1:17" x14ac:dyDescent="0.4">
      <c r="A122" s="71">
        <v>119</v>
      </c>
      <c r="B122" s="68">
        <v>-469.19999999999987</v>
      </c>
      <c r="C122" s="68">
        <v>-3.9428571428571417</v>
      </c>
      <c r="D122" s="73">
        <v>2.1764705882352939</v>
      </c>
      <c r="E122" s="69">
        <v>0.24369747899159663</v>
      </c>
      <c r="F122" s="69">
        <v>0.28773072747014117</v>
      </c>
      <c r="G122" s="69">
        <v>0.20304017372421282</v>
      </c>
      <c r="H122" s="70">
        <v>10527.547169811322</v>
      </c>
      <c r="I122" s="70">
        <v>-9504.8128342245982</v>
      </c>
      <c r="J122" s="69">
        <v>0.19327731092436976</v>
      </c>
      <c r="K122" s="69">
        <v>0.14285714285714285</v>
      </c>
      <c r="L122" s="69">
        <v>0.10084033613445378</v>
      </c>
      <c r="M122" s="69">
        <v>0.30203619909502261</v>
      </c>
      <c r="N122" s="69">
        <v>0.19570135746606335</v>
      </c>
      <c r="O122" s="69">
        <v>0.58801498127340823</v>
      </c>
      <c r="P122" s="69">
        <v>0.38728323699421963</v>
      </c>
      <c r="Q122" s="69">
        <v>0.44150943396226416</v>
      </c>
    </row>
    <row r="123" spans="1:17" x14ac:dyDescent="0.4">
      <c r="A123" s="71">
        <v>120</v>
      </c>
      <c r="B123" s="68">
        <v>-502.19999999999987</v>
      </c>
      <c r="C123" s="68">
        <v>-4.1849999999999987</v>
      </c>
      <c r="D123" s="73">
        <v>2.1833333333333331</v>
      </c>
      <c r="E123" s="69">
        <v>0.24166666666666667</v>
      </c>
      <c r="F123" s="69">
        <v>0.28540772532188841</v>
      </c>
      <c r="G123" s="69">
        <v>0.20171673819742489</v>
      </c>
      <c r="H123" s="70">
        <v>10495.488721804511</v>
      </c>
      <c r="I123" s="70">
        <v>-9518.0851063829796</v>
      </c>
      <c r="J123" s="69">
        <v>0.19166666666666668</v>
      </c>
      <c r="K123" s="69">
        <v>0.14166666666666666</v>
      </c>
      <c r="L123" s="69">
        <v>0.1</v>
      </c>
      <c r="M123" s="69">
        <v>0.29944134078212292</v>
      </c>
      <c r="N123" s="69">
        <v>0.19441340782122904</v>
      </c>
      <c r="O123" s="69">
        <v>0.58582089552238803</v>
      </c>
      <c r="P123" s="69">
        <v>0.39080459770114945</v>
      </c>
      <c r="Q123" s="69">
        <v>0.43984962406015038</v>
      </c>
    </row>
    <row r="124" spans="1:17" x14ac:dyDescent="0.4">
      <c r="A124" s="71">
        <v>121</v>
      </c>
      <c r="B124" s="68">
        <v>-509.69999999999987</v>
      </c>
      <c r="C124" s="68">
        <v>-4.2123966942148749</v>
      </c>
      <c r="D124" s="73">
        <v>2.1818181818181817</v>
      </c>
      <c r="E124" s="69">
        <v>0.23966942148760331</v>
      </c>
      <c r="F124" s="69">
        <v>0.28434504792332266</v>
      </c>
      <c r="G124" s="69">
        <v>0.2012779552715655</v>
      </c>
      <c r="H124" s="70">
        <v>10486.142322097377</v>
      </c>
      <c r="I124" s="70">
        <v>-9495.2380952380954</v>
      </c>
      <c r="J124" s="69">
        <v>0.19008264462809918</v>
      </c>
      <c r="K124" s="69">
        <v>0.14049586776859505</v>
      </c>
      <c r="L124" s="69">
        <v>9.9173553719008267E-2</v>
      </c>
      <c r="M124" s="69">
        <v>0.29822616407982261</v>
      </c>
      <c r="N124" s="69">
        <v>0.19401330376940132</v>
      </c>
      <c r="O124" s="69">
        <v>0.58736059479553904</v>
      </c>
      <c r="P124" s="69">
        <v>0.38857142857142857</v>
      </c>
      <c r="Q124" s="69">
        <v>0.43820224719101125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C8624-35EC-49D1-AB85-4621FF6A3533}">
  <sheetPr codeName="Sheet24"/>
  <dimension ref="A1:Q3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L4" s="69">
        <v>0</v>
      </c>
      <c r="Q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L5" s="69">
        <v>0</v>
      </c>
      <c r="Q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L6" s="69">
        <v>0</v>
      </c>
      <c r="Q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L7" s="69">
        <v>0</v>
      </c>
      <c r="Q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L8" s="69">
        <v>0</v>
      </c>
      <c r="Q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L9" s="69">
        <v>0</v>
      </c>
      <c r="Q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L10" s="69">
        <v>0</v>
      </c>
      <c r="Q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L11" s="69">
        <v>0</v>
      </c>
      <c r="Q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L12" s="69">
        <v>0</v>
      </c>
      <c r="Q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L13" s="69">
        <v>0.1</v>
      </c>
      <c r="Q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L14" s="69">
        <v>9.0909090909090912E-2</v>
      </c>
      <c r="Q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L15" s="69">
        <v>8.3333333333333329E-2</v>
      </c>
      <c r="Q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0.15384615384615385</v>
      </c>
      <c r="M16" s="69">
        <v>0.33333333333333331</v>
      </c>
      <c r="N16" s="69">
        <v>0.16666666666666666</v>
      </c>
      <c r="O16" s="69">
        <v>1</v>
      </c>
      <c r="P16" s="69">
        <v>1</v>
      </c>
      <c r="Q16" s="69">
        <v>0.46875</v>
      </c>
    </row>
    <row r="17" spans="1:17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0.14285714285714285</v>
      </c>
      <c r="M17" s="69">
        <v>0.25</v>
      </c>
      <c r="N17" s="69">
        <v>0.375</v>
      </c>
      <c r="O17" s="69">
        <v>0.5</v>
      </c>
      <c r="P17" s="69">
        <v>0.33333333333333331</v>
      </c>
      <c r="Q17" s="69">
        <v>0.47058823529411764</v>
      </c>
    </row>
    <row r="18" spans="1:17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0.13333333333333333</v>
      </c>
      <c r="M18" s="69">
        <v>0.2608695652173913</v>
      </c>
      <c r="N18" s="69">
        <v>0.30434782608695654</v>
      </c>
      <c r="O18" s="69">
        <v>0.5</v>
      </c>
      <c r="P18" s="69">
        <v>0.2857142857142857</v>
      </c>
      <c r="Q18" s="69">
        <v>0.45714285714285713</v>
      </c>
    </row>
    <row r="19" spans="1:17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0.125</v>
      </c>
      <c r="M19" s="69">
        <v>0.30303030303030304</v>
      </c>
      <c r="N19" s="69">
        <v>0.24242424242424243</v>
      </c>
      <c r="O19" s="69">
        <v>0.7</v>
      </c>
      <c r="P19" s="69">
        <v>0.25</v>
      </c>
      <c r="Q19" s="69">
        <v>0.48717948717948717</v>
      </c>
    </row>
    <row r="20" spans="1:17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0.11764705882352941</v>
      </c>
      <c r="M20" s="69">
        <v>0.30232558139534882</v>
      </c>
      <c r="N20" s="69">
        <v>0.27906976744186046</v>
      </c>
      <c r="O20" s="69">
        <v>0.76923076923076927</v>
      </c>
      <c r="P20" s="69">
        <v>0.25</v>
      </c>
      <c r="Q20" s="69">
        <v>0.46511627906976744</v>
      </c>
    </row>
    <row r="21" spans="1:17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0.1111111111111111</v>
      </c>
      <c r="M21" s="69">
        <v>0.33333333333333331</v>
      </c>
      <c r="N21" s="69">
        <v>0.27777777777777779</v>
      </c>
      <c r="O21" s="69">
        <v>0.61111111111111116</v>
      </c>
      <c r="P21" s="69">
        <v>0.2</v>
      </c>
      <c r="Q21" s="69">
        <v>0.44444444444444442</v>
      </c>
    </row>
    <row r="22" spans="1:17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0.10526315789473684</v>
      </c>
      <c r="M22" s="69">
        <v>0.38805970149253732</v>
      </c>
      <c r="N22" s="69">
        <v>0.22388059701492538</v>
      </c>
      <c r="O22" s="69">
        <v>0.53846153846153844</v>
      </c>
      <c r="P22" s="69">
        <v>0.2</v>
      </c>
      <c r="Q22" s="69">
        <v>0.4375</v>
      </c>
    </row>
    <row r="23" spans="1:17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0.1</v>
      </c>
      <c r="M23" s="69">
        <v>0.36</v>
      </c>
      <c r="N23" s="69">
        <v>0.22666666666666666</v>
      </c>
      <c r="O23" s="69">
        <v>0.55555555555555558</v>
      </c>
      <c r="P23" s="69">
        <v>0.17647058823529413</v>
      </c>
      <c r="Q23" s="69">
        <v>0.44</v>
      </c>
    </row>
    <row r="24" spans="1:17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9.5238095238095233E-2</v>
      </c>
      <c r="M24" s="69">
        <v>0.37647058823529411</v>
      </c>
      <c r="N24" s="69">
        <v>0.22352941176470589</v>
      </c>
      <c r="O24" s="69">
        <v>0.5</v>
      </c>
      <c r="P24" s="69">
        <v>0.15789473684210525</v>
      </c>
      <c r="Q24" s="69">
        <v>0.45098039215686275</v>
      </c>
    </row>
    <row r="25" spans="1:17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9.0909090909090912E-2</v>
      </c>
      <c r="M25" s="69">
        <v>0.34408602150537637</v>
      </c>
      <c r="N25" s="69">
        <v>0.22580645161290322</v>
      </c>
      <c r="O25" s="69">
        <v>0.5</v>
      </c>
      <c r="P25" s="69">
        <v>0.14285714285714285</v>
      </c>
      <c r="Q25" s="69">
        <v>0.45098039215686275</v>
      </c>
    </row>
    <row r="26" spans="1:17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8.6956521739130432E-2</v>
      </c>
      <c r="M26" s="69">
        <v>0.33663366336633666</v>
      </c>
      <c r="N26" s="69">
        <v>0.22772277227722773</v>
      </c>
      <c r="O26" s="69">
        <v>0.47058823529411764</v>
      </c>
      <c r="P26" s="69">
        <v>0.13043478260869565</v>
      </c>
      <c r="Q26" s="69">
        <v>0.45098039215686275</v>
      </c>
    </row>
    <row r="27" spans="1:17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8.3333333333333329E-2</v>
      </c>
      <c r="M27" s="69">
        <v>0.32727272727272727</v>
      </c>
      <c r="N27" s="69">
        <v>0.25454545454545452</v>
      </c>
      <c r="O27" s="69">
        <v>0.5</v>
      </c>
      <c r="P27" s="69">
        <v>0.17857142857142858</v>
      </c>
      <c r="Q27" s="69">
        <v>0.44642857142857145</v>
      </c>
    </row>
    <row r="28" spans="1:17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0.08</v>
      </c>
      <c r="M28" s="69">
        <v>0.32231404958677684</v>
      </c>
      <c r="N28" s="69">
        <v>0.24793388429752067</v>
      </c>
      <c r="O28" s="69">
        <v>0.48717948717948717</v>
      </c>
      <c r="P28" s="69">
        <v>0.16666666666666666</v>
      </c>
      <c r="Q28" s="69">
        <v>0.44067796610169491</v>
      </c>
    </row>
    <row r="29" spans="1:17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7.6923076923076927E-2</v>
      </c>
      <c r="M29" s="69">
        <v>0.30827067669172931</v>
      </c>
      <c r="N29" s="69">
        <v>0.24060150375939848</v>
      </c>
      <c r="O29" s="69">
        <v>0.48780487804878048</v>
      </c>
      <c r="P29" s="69">
        <v>0.15625</v>
      </c>
      <c r="Q29" s="69">
        <v>0.45</v>
      </c>
    </row>
    <row r="30" spans="1:17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0.1111111111111111</v>
      </c>
      <c r="M30" s="69">
        <v>0.32142857142857145</v>
      </c>
      <c r="N30" s="69">
        <v>0.23571428571428571</v>
      </c>
      <c r="O30" s="69">
        <v>0.51111111111111107</v>
      </c>
      <c r="P30" s="69">
        <v>0.18181818181818182</v>
      </c>
      <c r="Q30" s="69">
        <v>0.453125</v>
      </c>
    </row>
    <row r="31" spans="1:17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0.10714285714285714</v>
      </c>
      <c r="M31" s="69">
        <v>0.31543624161073824</v>
      </c>
      <c r="N31" s="69">
        <v>0.22818791946308725</v>
      </c>
      <c r="O31" s="69">
        <v>0.51063829787234039</v>
      </c>
      <c r="P31" s="69">
        <v>0.17647058823529413</v>
      </c>
      <c r="Q31" s="69">
        <v>0.44615384615384618</v>
      </c>
    </row>
    <row r="32" spans="1:17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0.10344827586206896</v>
      </c>
      <c r="M32" s="69">
        <v>0.30573248407643311</v>
      </c>
      <c r="N32" s="69">
        <v>0.22292993630573249</v>
      </c>
      <c r="O32" s="69">
        <v>0.5</v>
      </c>
      <c r="P32" s="69">
        <v>0.17142857142857143</v>
      </c>
      <c r="Q32" s="69">
        <v>0.44615384615384618</v>
      </c>
    </row>
    <row r="33" spans="1:17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0.1</v>
      </c>
      <c r="M33" s="69">
        <v>0.30303030303030304</v>
      </c>
      <c r="N33" s="69">
        <v>0.21818181818181817</v>
      </c>
      <c r="O33" s="69">
        <v>0.48</v>
      </c>
      <c r="P33" s="69">
        <v>0.19444444444444445</v>
      </c>
      <c r="Q33" s="69">
        <v>0.43939393939393939</v>
      </c>
    </row>
    <row r="34" spans="1:17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9.6774193548387094E-2</v>
      </c>
      <c r="M34" s="69">
        <v>0.30113636363636365</v>
      </c>
      <c r="N34" s="69">
        <v>0.21022727272727273</v>
      </c>
      <c r="O34" s="69">
        <v>0.49056603773584906</v>
      </c>
      <c r="P34" s="69">
        <v>0.21621621621621623</v>
      </c>
      <c r="Q34" s="69">
        <v>0.44927536231884058</v>
      </c>
    </row>
    <row r="35" spans="1:17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9.375E-2</v>
      </c>
      <c r="M35" s="69">
        <v>0.31111111111111112</v>
      </c>
      <c r="N35" s="69">
        <v>0.20555555555555555</v>
      </c>
      <c r="O35" s="69">
        <v>0.5178571428571429</v>
      </c>
      <c r="P35" s="69">
        <v>0.21621621621621623</v>
      </c>
      <c r="Q35" s="69">
        <v>0.45833333333333331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CD46B-99B1-41EB-9216-6B8239775B8A}">
  <sheetPr codeName="Sheet22"/>
  <dimension ref="A1:Q11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L6" s="69">
        <v>0</v>
      </c>
      <c r="Q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L7" s="69">
        <v>0</v>
      </c>
      <c r="Q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L8" s="69">
        <v>0</v>
      </c>
      <c r="Q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L9" s="69">
        <v>0</v>
      </c>
      <c r="Q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L10" s="69">
        <v>0</v>
      </c>
      <c r="Q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L11" s="69">
        <v>0</v>
      </c>
      <c r="Q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L12" s="69">
        <v>0</v>
      </c>
      <c r="Q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L13" s="69">
        <v>0</v>
      </c>
      <c r="Q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L14" s="69">
        <v>0</v>
      </c>
      <c r="Q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L15" s="69">
        <v>8.3333333333333329E-2</v>
      </c>
      <c r="Q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L16" s="69">
        <v>7.6923076923076927E-2</v>
      </c>
      <c r="Q16" s="69">
        <v>0.38709677419354838</v>
      </c>
    </row>
    <row r="17" spans="1:17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L17" s="69">
        <v>7.1428571428571425E-2</v>
      </c>
      <c r="Q17" s="69">
        <v>0.36363636363636365</v>
      </c>
    </row>
    <row r="18" spans="1:17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L18" s="69">
        <v>6.6666666666666666E-2</v>
      </c>
      <c r="Q18" s="69">
        <v>0.3783783783783784</v>
      </c>
    </row>
    <row r="19" spans="1:17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L19" s="69">
        <v>6.25E-2</v>
      </c>
      <c r="Q19" s="69">
        <v>0.3783783783783784</v>
      </c>
    </row>
    <row r="20" spans="1:17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L20" s="69">
        <v>5.8823529411764705E-2</v>
      </c>
      <c r="Q20" s="69">
        <v>0.3783783783783784</v>
      </c>
    </row>
    <row r="21" spans="1:17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5.5555555555555552E-2</v>
      </c>
      <c r="M21" s="69">
        <v>1</v>
      </c>
      <c r="N21" s="69">
        <v>0</v>
      </c>
      <c r="O21" s="69">
        <v>1</v>
      </c>
      <c r="P21" s="69">
        <v>0</v>
      </c>
      <c r="Q21" s="69">
        <v>0.4</v>
      </c>
    </row>
    <row r="22" spans="1:17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5.2631578947368418E-2</v>
      </c>
      <c r="M22" s="69">
        <v>0.45454545454545453</v>
      </c>
      <c r="N22" s="69">
        <v>9.0909090909090912E-2</v>
      </c>
      <c r="O22" s="69">
        <v>1</v>
      </c>
      <c r="P22" s="69">
        <v>0</v>
      </c>
      <c r="Q22" s="69">
        <v>0.36363636363636365</v>
      </c>
    </row>
    <row r="23" spans="1:17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0.1</v>
      </c>
      <c r="M23" s="69">
        <v>0.47368421052631576</v>
      </c>
      <c r="N23" s="69">
        <v>0.10526315789473684</v>
      </c>
      <c r="O23" s="69">
        <v>0.88888888888888884</v>
      </c>
      <c r="P23" s="69">
        <v>0</v>
      </c>
      <c r="Q23" s="69">
        <v>0.38297872340425532</v>
      </c>
    </row>
    <row r="24" spans="1:17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9.5238095238095233E-2</v>
      </c>
      <c r="M24" s="69">
        <v>0.48</v>
      </c>
      <c r="N24" s="69">
        <v>0.12</v>
      </c>
      <c r="O24" s="69">
        <v>0.75</v>
      </c>
      <c r="P24" s="69">
        <v>0.33333333333333331</v>
      </c>
      <c r="Q24" s="69">
        <v>0.36734693877551022</v>
      </c>
    </row>
    <row r="25" spans="1:17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9.0909090909090912E-2</v>
      </c>
      <c r="M25" s="69">
        <v>0.46875</v>
      </c>
      <c r="N25" s="69">
        <v>0.21875</v>
      </c>
      <c r="O25" s="69">
        <v>0.8</v>
      </c>
      <c r="P25" s="69">
        <v>0.2857142857142857</v>
      </c>
      <c r="Q25" s="69">
        <v>0.35849056603773582</v>
      </c>
    </row>
    <row r="26" spans="1:17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8.6956521739130432E-2</v>
      </c>
      <c r="M26" s="69">
        <v>0.42499999999999999</v>
      </c>
      <c r="N26" s="69">
        <v>0.22500000000000001</v>
      </c>
      <c r="O26" s="69">
        <v>0.70588235294117652</v>
      </c>
      <c r="P26" s="69">
        <v>0.22222222222222221</v>
      </c>
      <c r="Q26" s="69">
        <v>0.37037037037037035</v>
      </c>
    </row>
    <row r="27" spans="1:17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8.3333333333333329E-2</v>
      </c>
      <c r="M27" s="69">
        <v>0.43478260869565216</v>
      </c>
      <c r="N27" s="69">
        <v>0.21739130434782608</v>
      </c>
      <c r="O27" s="69">
        <v>0.6</v>
      </c>
      <c r="P27" s="69">
        <v>0.2</v>
      </c>
      <c r="Q27" s="69">
        <v>0.37037037037037035</v>
      </c>
    </row>
    <row r="28" spans="1:17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0.08</v>
      </c>
      <c r="M28" s="69">
        <v>0.42307692307692307</v>
      </c>
      <c r="N28" s="69">
        <v>0.19230769230769232</v>
      </c>
      <c r="O28" s="69">
        <v>0.59090909090909094</v>
      </c>
      <c r="P28" s="69">
        <v>0.2</v>
      </c>
      <c r="Q28" s="69">
        <v>0.36363636363636365</v>
      </c>
    </row>
    <row r="29" spans="1:17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0.11538461538461539</v>
      </c>
      <c r="M29" s="69">
        <v>0.40677966101694918</v>
      </c>
      <c r="N29" s="69">
        <v>0.1864406779661017</v>
      </c>
      <c r="O29" s="69">
        <v>0.625</v>
      </c>
      <c r="P29" s="69">
        <v>0.27272727272727271</v>
      </c>
      <c r="Q29" s="69">
        <v>0.36206896551724138</v>
      </c>
    </row>
    <row r="30" spans="1:17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0.1111111111111111</v>
      </c>
      <c r="M30" s="69">
        <v>0.390625</v>
      </c>
      <c r="N30" s="69">
        <v>0.1875</v>
      </c>
      <c r="O30" s="69">
        <v>0.6</v>
      </c>
      <c r="P30" s="69">
        <v>0.25</v>
      </c>
      <c r="Q30" s="69">
        <v>0.36206896551724138</v>
      </c>
    </row>
    <row r="31" spans="1:17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0.10714285714285714</v>
      </c>
      <c r="M31" s="69">
        <v>0.3888888888888889</v>
      </c>
      <c r="N31" s="69">
        <v>0.20833333333333334</v>
      </c>
      <c r="O31" s="69">
        <v>0.5357142857142857</v>
      </c>
      <c r="P31" s="69">
        <v>0.2</v>
      </c>
      <c r="Q31" s="69">
        <v>0.36206896551724138</v>
      </c>
    </row>
    <row r="32" spans="1:17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0.10344827586206896</v>
      </c>
      <c r="M32" s="69">
        <v>0.375</v>
      </c>
      <c r="N32" s="69">
        <v>0.21249999999999999</v>
      </c>
      <c r="O32" s="69">
        <v>0.56666666666666665</v>
      </c>
      <c r="P32" s="69">
        <v>0.17647058823529413</v>
      </c>
      <c r="Q32" s="69">
        <v>0.35</v>
      </c>
    </row>
    <row r="33" spans="1:17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0.13333333333333333</v>
      </c>
      <c r="M33" s="69">
        <v>0.38636363636363635</v>
      </c>
      <c r="N33" s="69">
        <v>0.20454545454545456</v>
      </c>
      <c r="O33" s="69">
        <v>0.61764705882352944</v>
      </c>
      <c r="P33" s="69">
        <v>0.16666666666666666</v>
      </c>
      <c r="Q33" s="69">
        <v>0.359375</v>
      </c>
    </row>
    <row r="34" spans="1:17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0.12903225806451613</v>
      </c>
      <c r="M34" s="69">
        <v>0.36</v>
      </c>
      <c r="N34" s="69">
        <v>0.21</v>
      </c>
      <c r="O34" s="69">
        <v>0.61111111111111116</v>
      </c>
      <c r="P34" s="69">
        <v>0.23809523809523808</v>
      </c>
      <c r="Q34" s="69">
        <v>0.35820895522388058</v>
      </c>
    </row>
    <row r="35" spans="1:17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0.125</v>
      </c>
      <c r="M35" s="69">
        <v>0.35454545454545455</v>
      </c>
      <c r="N35" s="69">
        <v>0.21818181818181817</v>
      </c>
      <c r="O35" s="69">
        <v>0.61538461538461542</v>
      </c>
      <c r="P35" s="69">
        <v>0.25</v>
      </c>
      <c r="Q35" s="69">
        <v>0.34285714285714286</v>
      </c>
    </row>
    <row r="36" spans="1:17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0.15151515151515152</v>
      </c>
      <c r="M36" s="69">
        <v>0.33613445378151263</v>
      </c>
      <c r="N36" s="69">
        <v>0.25210084033613445</v>
      </c>
      <c r="O36" s="69">
        <v>0.625</v>
      </c>
      <c r="P36" s="69">
        <v>0.3</v>
      </c>
      <c r="Q36" s="69">
        <v>0.35135135135135137</v>
      </c>
    </row>
    <row r="37" spans="1:17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0.14705882352941177</v>
      </c>
      <c r="M37" s="69">
        <v>0.33333333333333331</v>
      </c>
      <c r="N37" s="69">
        <v>0.26190476190476192</v>
      </c>
      <c r="O37" s="69">
        <v>0.59523809523809523</v>
      </c>
      <c r="P37" s="69">
        <v>0.30303030303030304</v>
      </c>
      <c r="Q37" s="69">
        <v>0.36</v>
      </c>
    </row>
    <row r="38" spans="1:17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0.14285714285714285</v>
      </c>
      <c r="M38" s="69">
        <v>0.34108527131782945</v>
      </c>
      <c r="N38" s="69">
        <v>0.2558139534883721</v>
      </c>
      <c r="O38" s="69">
        <v>0.61363636363636365</v>
      </c>
      <c r="P38" s="69">
        <v>0.30303030303030304</v>
      </c>
      <c r="Q38" s="69">
        <v>0.37662337662337664</v>
      </c>
    </row>
    <row r="39" spans="1:17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0.1388888888888889</v>
      </c>
      <c r="M39" s="69">
        <v>0.33823529411764708</v>
      </c>
      <c r="N39" s="69">
        <v>0.25735294117647056</v>
      </c>
      <c r="O39" s="69">
        <v>0.58695652173913049</v>
      </c>
      <c r="P39" s="69">
        <v>0.31428571428571428</v>
      </c>
      <c r="Q39" s="69">
        <v>0.38461538461538464</v>
      </c>
    </row>
    <row r="40" spans="1:17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0.13513513513513514</v>
      </c>
      <c r="M40" s="69">
        <v>0.34722222222222221</v>
      </c>
      <c r="N40" s="69">
        <v>0.2638888888888889</v>
      </c>
      <c r="O40" s="69">
        <v>0.6</v>
      </c>
      <c r="P40" s="69">
        <v>0.34210526315789475</v>
      </c>
      <c r="Q40" s="69">
        <v>0.42168674698795183</v>
      </c>
    </row>
    <row r="41" spans="1:17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0.13157894736842105</v>
      </c>
      <c r="M41" s="69">
        <v>0.33766233766233766</v>
      </c>
      <c r="N41" s="69">
        <v>0.26623376623376621</v>
      </c>
      <c r="O41" s="69">
        <v>0.59615384615384615</v>
      </c>
      <c r="P41" s="69">
        <v>0.36585365853658536</v>
      </c>
      <c r="Q41" s="69">
        <v>0.41860465116279072</v>
      </c>
    </row>
    <row r="42" spans="1:17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0.12820512820512819</v>
      </c>
      <c r="M42" s="69">
        <v>0.33750000000000002</v>
      </c>
      <c r="N42" s="69">
        <v>0.26250000000000001</v>
      </c>
      <c r="O42" s="69">
        <v>0.61111111111111116</v>
      </c>
      <c r="P42" s="69">
        <v>0.38095238095238093</v>
      </c>
      <c r="Q42" s="69">
        <v>0.43333333333333335</v>
      </c>
    </row>
    <row r="43" spans="1:17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0.125</v>
      </c>
      <c r="M43" s="69">
        <v>0.34545454545454546</v>
      </c>
      <c r="N43" s="69">
        <v>0.25454545454545452</v>
      </c>
      <c r="O43" s="69">
        <v>0.61403508771929827</v>
      </c>
      <c r="P43" s="69">
        <v>0.38095238095238093</v>
      </c>
      <c r="Q43" s="69">
        <v>0.43478260869565216</v>
      </c>
    </row>
    <row r="44" spans="1:17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0.12195121951219512</v>
      </c>
      <c r="M44" s="69">
        <v>0.33707865168539325</v>
      </c>
      <c r="N44" s="69">
        <v>0.25842696629213485</v>
      </c>
      <c r="O44" s="69">
        <v>0.6</v>
      </c>
      <c r="P44" s="69">
        <v>0.39130434782608697</v>
      </c>
      <c r="Q44" s="69">
        <v>0.42708333333333331</v>
      </c>
    </row>
    <row r="45" spans="1:17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0.14285714285714285</v>
      </c>
      <c r="M45" s="69">
        <v>0.33689839572192515</v>
      </c>
      <c r="N45" s="69">
        <v>0.24598930481283424</v>
      </c>
      <c r="O45" s="69">
        <v>0.61904761904761907</v>
      </c>
      <c r="P45" s="69">
        <v>0.39130434782608697</v>
      </c>
      <c r="Q45" s="69">
        <v>0.42424242424242425</v>
      </c>
    </row>
    <row r="46" spans="1:17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0.13953488372093023</v>
      </c>
      <c r="M46" s="69">
        <v>0.3383838383838384</v>
      </c>
      <c r="N46" s="69">
        <v>0.25252525252525254</v>
      </c>
      <c r="O46" s="69">
        <v>0.61194029850746268</v>
      </c>
      <c r="P46" s="69">
        <v>0.38</v>
      </c>
      <c r="Q46" s="69">
        <v>0.40776699029126212</v>
      </c>
    </row>
    <row r="47" spans="1:17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0.13636363636363635</v>
      </c>
      <c r="M47" s="69">
        <v>0.33658536585365856</v>
      </c>
      <c r="N47" s="69">
        <v>0.24390243902439024</v>
      </c>
      <c r="O47" s="69">
        <v>0.59420289855072461</v>
      </c>
      <c r="P47" s="69">
        <v>0.38</v>
      </c>
      <c r="Q47" s="69">
        <v>0.41346153846153844</v>
      </c>
    </row>
    <row r="48" spans="1:17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0.13333333333333333</v>
      </c>
      <c r="M48" s="69">
        <v>0.34433962264150941</v>
      </c>
      <c r="N48" s="69">
        <v>0.24056603773584906</v>
      </c>
      <c r="O48" s="69">
        <v>0.61643835616438358</v>
      </c>
      <c r="P48" s="69">
        <v>0.39215686274509803</v>
      </c>
      <c r="Q48" s="69">
        <v>0.41284403669724773</v>
      </c>
    </row>
    <row r="49" spans="1:17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0.13043478260869565</v>
      </c>
      <c r="M49" s="69">
        <v>0.35</v>
      </c>
      <c r="N49" s="69">
        <v>0.23181818181818181</v>
      </c>
      <c r="O49" s="69">
        <v>0.62337662337662336</v>
      </c>
      <c r="P49" s="69">
        <v>0.39215686274509803</v>
      </c>
      <c r="Q49" s="69">
        <v>0.41964285714285715</v>
      </c>
    </row>
    <row r="50" spans="1:17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0.1276595744680851</v>
      </c>
      <c r="M50" s="69">
        <v>0.34782608695652173</v>
      </c>
      <c r="N50" s="69">
        <v>0.23043478260869565</v>
      </c>
      <c r="O50" s="69">
        <v>0.625</v>
      </c>
      <c r="P50" s="69">
        <v>0.39622641509433965</v>
      </c>
      <c r="Q50" s="69">
        <v>0.41739130434782606</v>
      </c>
    </row>
    <row r="51" spans="1:17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0.125</v>
      </c>
      <c r="M51" s="69">
        <v>0.34728033472803349</v>
      </c>
      <c r="N51" s="69">
        <v>0.2384937238493724</v>
      </c>
      <c r="O51" s="69">
        <v>0.61445783132530118</v>
      </c>
      <c r="P51" s="69">
        <v>0.40350877192982454</v>
      </c>
      <c r="Q51" s="69">
        <v>0.40677966101694918</v>
      </c>
    </row>
    <row r="52" spans="1:17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0.12244897959183673</v>
      </c>
      <c r="M52" s="69">
        <v>0.34399999999999997</v>
      </c>
      <c r="N52" s="69">
        <v>0.23599999999999999</v>
      </c>
      <c r="O52" s="69">
        <v>0.61627906976744184</v>
      </c>
      <c r="P52" s="69">
        <v>0.38983050847457629</v>
      </c>
      <c r="Q52" s="69">
        <v>0.4049586776859504</v>
      </c>
    </row>
    <row r="53" spans="1:17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0.12</v>
      </c>
      <c r="M53" s="69">
        <v>0.33852140077821014</v>
      </c>
      <c r="N53" s="69">
        <v>0.23346303501945526</v>
      </c>
      <c r="O53" s="69">
        <v>0.60919540229885061</v>
      </c>
      <c r="P53" s="69">
        <v>0.38333333333333336</v>
      </c>
      <c r="Q53" s="69">
        <v>0.4049586776859504</v>
      </c>
    </row>
    <row r="54" spans="1:17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0.11764705882352941</v>
      </c>
      <c r="M54" s="69">
        <v>0.33962264150943394</v>
      </c>
      <c r="N54" s="69">
        <v>0.23018867924528302</v>
      </c>
      <c r="O54" s="69">
        <v>0.61111111111111116</v>
      </c>
      <c r="P54" s="69">
        <v>0.37704918032786883</v>
      </c>
      <c r="Q54" s="69">
        <v>0.41463414634146339</v>
      </c>
    </row>
    <row r="55" spans="1:17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0.11538461538461539</v>
      </c>
      <c r="M55" s="69">
        <v>0.33699633699633702</v>
      </c>
      <c r="N55" s="69">
        <v>0.23809523809523808</v>
      </c>
      <c r="O55" s="69">
        <v>0.61956521739130432</v>
      </c>
      <c r="P55" s="69">
        <v>0.38461538461538464</v>
      </c>
      <c r="Q55" s="69">
        <v>0.4140625</v>
      </c>
    </row>
    <row r="56" spans="1:17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0.11320754716981132</v>
      </c>
      <c r="M56" s="69">
        <v>0.33922261484098942</v>
      </c>
      <c r="N56" s="69">
        <v>0.22968197879858657</v>
      </c>
      <c r="O56" s="69">
        <v>0.63541666666666663</v>
      </c>
      <c r="P56" s="69">
        <v>0.38461538461538464</v>
      </c>
      <c r="Q56" s="69">
        <v>0.40909090909090912</v>
      </c>
    </row>
    <row r="57" spans="1:17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0.1111111111111111</v>
      </c>
      <c r="M57" s="69">
        <v>0.34146341463414637</v>
      </c>
      <c r="N57" s="69">
        <v>0.2264808362369338</v>
      </c>
      <c r="O57" s="69">
        <v>0.6428571428571429</v>
      </c>
      <c r="P57" s="69">
        <v>0.38461538461538464</v>
      </c>
      <c r="Q57" s="69">
        <v>0.40740740740740738</v>
      </c>
    </row>
    <row r="58" spans="1:17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0.10909090909090909</v>
      </c>
      <c r="M58" s="69">
        <v>0.33333333333333331</v>
      </c>
      <c r="N58" s="69">
        <v>0.22448979591836735</v>
      </c>
      <c r="O58" s="69">
        <v>0.6428571428571429</v>
      </c>
      <c r="P58" s="69">
        <v>0.39393939393939392</v>
      </c>
      <c r="Q58" s="69">
        <v>0.40441176470588236</v>
      </c>
    </row>
    <row r="59" spans="1:17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0.10714285714285714</v>
      </c>
      <c r="M59" s="69">
        <v>0.33559322033898303</v>
      </c>
      <c r="N59" s="69">
        <v>0.22372881355932203</v>
      </c>
      <c r="O59" s="69">
        <v>0.64646464646464652</v>
      </c>
      <c r="P59" s="69">
        <v>0.39393939393939392</v>
      </c>
      <c r="Q59" s="69">
        <v>0.40145985401459855</v>
      </c>
    </row>
    <row r="60" spans="1:17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0.10526315789473684</v>
      </c>
      <c r="M60" s="69">
        <v>0.33223684210526316</v>
      </c>
      <c r="N60" s="69">
        <v>0.22368421052631579</v>
      </c>
      <c r="O60" s="69">
        <v>0.63366336633663367</v>
      </c>
      <c r="P60" s="69">
        <v>0.39705882352941174</v>
      </c>
      <c r="Q60" s="69">
        <v>0.39855072463768115</v>
      </c>
    </row>
    <row r="61" spans="1:17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0.10344827586206896</v>
      </c>
      <c r="M61" s="69">
        <v>0.33546325878594252</v>
      </c>
      <c r="N61" s="69">
        <v>0.22044728434504793</v>
      </c>
      <c r="O61" s="69">
        <v>0.62857142857142856</v>
      </c>
      <c r="P61" s="69">
        <v>0.39130434782608697</v>
      </c>
      <c r="Q61" s="69">
        <v>0.3971631205673759</v>
      </c>
    </row>
    <row r="62" spans="1:17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0.11864406779661017</v>
      </c>
      <c r="M62" s="69">
        <v>0.32919254658385094</v>
      </c>
      <c r="N62" s="69">
        <v>0.2267080745341615</v>
      </c>
      <c r="O62" s="69">
        <v>0.63207547169811318</v>
      </c>
      <c r="P62" s="69">
        <v>0.38356164383561642</v>
      </c>
      <c r="Q62" s="69">
        <v>0.40689655172413791</v>
      </c>
    </row>
    <row r="63" spans="1:17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0.11666666666666667</v>
      </c>
      <c r="M63" s="69">
        <v>0.32826747720364741</v>
      </c>
      <c r="N63" s="69">
        <v>0.22492401215805471</v>
      </c>
      <c r="O63" s="69">
        <v>0.62962962962962965</v>
      </c>
      <c r="P63" s="69">
        <v>0.39189189189189189</v>
      </c>
      <c r="Q63" s="69">
        <v>0.40816326530612246</v>
      </c>
    </row>
    <row r="64" spans="1:17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0.11475409836065574</v>
      </c>
      <c r="M64" s="69">
        <v>0.3303834808259587</v>
      </c>
      <c r="N64" s="69">
        <v>0.22418879056047197</v>
      </c>
      <c r="O64" s="69">
        <v>0.6428571428571429</v>
      </c>
      <c r="P64" s="69">
        <v>0.38157894736842107</v>
      </c>
      <c r="Q64" s="69">
        <v>0.41059602649006621</v>
      </c>
    </row>
    <row r="65" spans="1:17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0.11290322580645161</v>
      </c>
      <c r="M65" s="69">
        <v>0.32853025936599423</v>
      </c>
      <c r="N65" s="69">
        <v>0.22478386167146974</v>
      </c>
      <c r="O65" s="69">
        <v>0.64035087719298245</v>
      </c>
      <c r="P65" s="69">
        <v>0.37179487179487181</v>
      </c>
      <c r="Q65" s="69">
        <v>0.42207792207792205</v>
      </c>
    </row>
    <row r="66" spans="1:17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0.1111111111111111</v>
      </c>
      <c r="M66" s="69">
        <v>0.3342696629213483</v>
      </c>
      <c r="N66" s="69">
        <v>0.2247191011235955</v>
      </c>
      <c r="O66" s="69">
        <v>0.63025210084033612</v>
      </c>
      <c r="P66" s="69">
        <v>0.375</v>
      </c>
      <c r="Q66" s="69">
        <v>0.43312101910828027</v>
      </c>
    </row>
    <row r="67" spans="1:17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0.109375</v>
      </c>
      <c r="M67" s="69">
        <v>0.3324175824175824</v>
      </c>
      <c r="N67" s="69">
        <v>0.23076923076923078</v>
      </c>
      <c r="O67" s="69">
        <v>0.6198347107438017</v>
      </c>
      <c r="P67" s="69">
        <v>0.36904761904761907</v>
      </c>
      <c r="Q67" s="69">
        <v>0.43037974683544306</v>
      </c>
    </row>
    <row r="68" spans="1:17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0.1076923076923077</v>
      </c>
      <c r="M68" s="69">
        <v>0.33243243243243242</v>
      </c>
      <c r="N68" s="69">
        <v>0.23243243243243245</v>
      </c>
      <c r="O68" s="69">
        <v>0.62601626016260159</v>
      </c>
      <c r="P68" s="69">
        <v>0.38372093023255816</v>
      </c>
      <c r="Q68" s="69">
        <v>0.41975308641975306</v>
      </c>
    </row>
    <row r="69" spans="1:17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0.10606060606060606</v>
      </c>
      <c r="M69" s="69">
        <v>0.33333333333333331</v>
      </c>
      <c r="N69" s="69">
        <v>0.23280423280423279</v>
      </c>
      <c r="O69" s="69">
        <v>0.62698412698412698</v>
      </c>
      <c r="P69" s="69">
        <v>0.38636363636363635</v>
      </c>
      <c r="Q69" s="69">
        <v>0.42424242424242425</v>
      </c>
    </row>
    <row r="70" spans="1:17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0.1044776119402985</v>
      </c>
      <c r="M70" s="69">
        <v>0.328125</v>
      </c>
      <c r="N70" s="69">
        <v>0.234375</v>
      </c>
      <c r="O70" s="69">
        <v>0.62698412698412698</v>
      </c>
      <c r="P70" s="69">
        <v>0.4</v>
      </c>
      <c r="Q70" s="69">
        <v>0.43113772455089822</v>
      </c>
    </row>
    <row r="71" spans="1:17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0.10294117647058823</v>
      </c>
      <c r="M71" s="69">
        <v>0.32647814910025708</v>
      </c>
      <c r="N71" s="69">
        <v>0.23393316195372751</v>
      </c>
      <c r="O71" s="69">
        <v>0.62204724409448819</v>
      </c>
      <c r="P71" s="69">
        <v>0.39560439560439559</v>
      </c>
      <c r="Q71" s="69">
        <v>0.43113772455089822</v>
      </c>
    </row>
    <row r="72" spans="1:17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0.11594202898550725</v>
      </c>
      <c r="M72" s="69">
        <v>0.32241813602015112</v>
      </c>
      <c r="N72" s="69">
        <v>0.23425692695214106</v>
      </c>
      <c r="O72" s="69">
        <v>0.625</v>
      </c>
      <c r="P72" s="69">
        <v>0.39784946236559138</v>
      </c>
      <c r="Q72" s="69">
        <v>0.42603550295857989</v>
      </c>
    </row>
    <row r="73" spans="1:17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0.11428571428571428</v>
      </c>
      <c r="M73" s="69">
        <v>0.32758620689655171</v>
      </c>
      <c r="N73" s="69">
        <v>0.23399014778325122</v>
      </c>
      <c r="O73" s="69">
        <v>0.62406015037593987</v>
      </c>
      <c r="P73" s="69">
        <v>0.38947368421052631</v>
      </c>
      <c r="Q73" s="69">
        <v>0.43352601156069365</v>
      </c>
    </row>
    <row r="74" spans="1:17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0.11267605633802817</v>
      </c>
      <c r="M74" s="69">
        <v>0.32524271844660196</v>
      </c>
      <c r="N74" s="69">
        <v>0.2354368932038835</v>
      </c>
      <c r="O74" s="69">
        <v>0.61940298507462688</v>
      </c>
      <c r="P74" s="69">
        <v>0.38144329896907214</v>
      </c>
      <c r="Q74" s="69">
        <v>0.43352601156069365</v>
      </c>
    </row>
    <row r="75" spans="1:17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0.1111111111111111</v>
      </c>
      <c r="M75" s="69">
        <v>0.32451923076923078</v>
      </c>
      <c r="N75" s="69">
        <v>0.23557692307692307</v>
      </c>
      <c r="O75" s="69">
        <v>0.61481481481481481</v>
      </c>
      <c r="P75" s="69">
        <v>0.37755102040816324</v>
      </c>
      <c r="Q75" s="69">
        <v>0.43352601156069365</v>
      </c>
    </row>
    <row r="76" spans="1:17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0.1095890410958904</v>
      </c>
      <c r="M76" s="69">
        <v>0.32613908872901681</v>
      </c>
      <c r="N76" s="69">
        <v>0.23501199040767387</v>
      </c>
      <c r="O76" s="69">
        <v>0.61764705882352944</v>
      </c>
      <c r="P76" s="69">
        <v>0.37755102040816324</v>
      </c>
      <c r="Q76" s="69">
        <v>0.43103448275862066</v>
      </c>
    </row>
    <row r="77" spans="1:17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0.10810810810810811</v>
      </c>
      <c r="M77" s="69">
        <v>0.32629107981220656</v>
      </c>
      <c r="N77" s="69">
        <v>0.23708920187793428</v>
      </c>
      <c r="O77" s="69">
        <v>0.62589928057553956</v>
      </c>
      <c r="P77" s="69">
        <v>0.38613861386138615</v>
      </c>
      <c r="Q77" s="69">
        <v>0.44134078212290501</v>
      </c>
    </row>
    <row r="78" spans="1:17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0.12</v>
      </c>
      <c r="M78" s="69">
        <v>0.32563510392609701</v>
      </c>
      <c r="N78" s="69">
        <v>0.24018475750577367</v>
      </c>
      <c r="O78" s="69">
        <v>0.62411347517730498</v>
      </c>
      <c r="P78" s="69">
        <v>0.375</v>
      </c>
      <c r="Q78" s="69">
        <v>0.44198895027624308</v>
      </c>
    </row>
    <row r="79" spans="1:17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0.11842105263157894</v>
      </c>
      <c r="M79" s="69">
        <v>0.31828442437923249</v>
      </c>
      <c r="N79" s="69">
        <v>0.24153498871331827</v>
      </c>
      <c r="O79" s="69">
        <v>0.62411347517730498</v>
      </c>
      <c r="P79" s="69">
        <v>0.38317757009345793</v>
      </c>
      <c r="Q79" s="69">
        <v>0.43478260869565216</v>
      </c>
    </row>
    <row r="80" spans="1:17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0.11688311688311688</v>
      </c>
      <c r="M80" s="69">
        <v>0.31767337807606266</v>
      </c>
      <c r="N80" s="69">
        <v>0.24161073825503357</v>
      </c>
      <c r="O80" s="69">
        <v>0.61971830985915488</v>
      </c>
      <c r="P80" s="69">
        <v>0.3888888888888889</v>
      </c>
      <c r="Q80" s="69">
        <v>0.43243243243243246</v>
      </c>
    </row>
    <row r="81" spans="1:17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0.11538461538461539</v>
      </c>
      <c r="M81" s="69">
        <v>0.31277533039647576</v>
      </c>
      <c r="N81" s="69">
        <v>0.24008810572687225</v>
      </c>
      <c r="O81" s="69">
        <v>0.61971830985915488</v>
      </c>
      <c r="P81" s="69">
        <v>0.38532110091743121</v>
      </c>
      <c r="Q81" s="69">
        <v>0.43548387096774194</v>
      </c>
    </row>
    <row r="82" spans="1:17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0.11392405063291139</v>
      </c>
      <c r="M82" s="69">
        <v>0.31019522776572667</v>
      </c>
      <c r="N82" s="69">
        <v>0.24078091106290672</v>
      </c>
      <c r="O82" s="69">
        <v>0.61538461538461542</v>
      </c>
      <c r="P82" s="69">
        <v>0.3783783783783784</v>
      </c>
      <c r="Q82" s="69">
        <v>0.43548387096774194</v>
      </c>
    </row>
    <row r="83" spans="1:17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0.1125</v>
      </c>
      <c r="M83" s="69">
        <v>0.31196581196581197</v>
      </c>
      <c r="N83" s="69">
        <v>0.23931623931623933</v>
      </c>
      <c r="O83" s="69">
        <v>0.62328767123287676</v>
      </c>
      <c r="P83" s="69">
        <v>0.375</v>
      </c>
      <c r="Q83" s="69">
        <v>0.43915343915343913</v>
      </c>
    </row>
    <row r="84" spans="1:17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0.12345679012345678</v>
      </c>
      <c r="M84" s="69">
        <v>0.31512605042016806</v>
      </c>
      <c r="N84" s="69">
        <v>0.23949579831932774</v>
      </c>
      <c r="O84" s="69">
        <v>0.62</v>
      </c>
      <c r="P84" s="69">
        <v>0.37719298245614036</v>
      </c>
      <c r="Q84" s="69">
        <v>0.4375</v>
      </c>
    </row>
    <row r="85" spans="1:17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0.12195121951219512</v>
      </c>
      <c r="M85" s="69">
        <v>0.31198347107438018</v>
      </c>
      <c r="N85" s="69">
        <v>0.23966942148760331</v>
      </c>
      <c r="O85" s="69">
        <v>0.62251655629139069</v>
      </c>
      <c r="P85" s="69">
        <v>0.37068965517241381</v>
      </c>
      <c r="Q85" s="69">
        <v>0.44102564102564101</v>
      </c>
    </row>
    <row r="86" spans="1:17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0.12048192771084337</v>
      </c>
      <c r="M86" s="69">
        <v>0.31211498973305957</v>
      </c>
      <c r="N86" s="69">
        <v>0.2402464065708419</v>
      </c>
      <c r="O86" s="69">
        <v>0.61842105263157898</v>
      </c>
      <c r="P86" s="69">
        <v>0.36752136752136755</v>
      </c>
      <c r="Q86" s="69">
        <v>0.44102564102564101</v>
      </c>
    </row>
    <row r="87" spans="1:17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0.11904761904761904</v>
      </c>
      <c r="M87" s="69">
        <v>0.31991951710261568</v>
      </c>
      <c r="N87" s="69">
        <v>0.23742454728370221</v>
      </c>
      <c r="O87" s="69">
        <v>0.60377358490566035</v>
      </c>
      <c r="P87" s="69">
        <v>0.3728813559322034</v>
      </c>
      <c r="Q87" s="69">
        <v>0.4494949494949495</v>
      </c>
    </row>
    <row r="88" spans="1:17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0.11764705882352941</v>
      </c>
      <c r="M88" s="69">
        <v>0.31683168316831684</v>
      </c>
      <c r="N88" s="69">
        <v>0.23564356435643563</v>
      </c>
      <c r="O88" s="69">
        <v>0.60624999999999996</v>
      </c>
      <c r="P88" s="69">
        <v>0.36974789915966388</v>
      </c>
      <c r="Q88" s="69">
        <v>0.45226130653266333</v>
      </c>
    </row>
    <row r="89" spans="1:17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0.11627906976744186</v>
      </c>
      <c r="M89" s="69">
        <v>0.32038834951456313</v>
      </c>
      <c r="N89" s="69">
        <v>0.23300970873786409</v>
      </c>
      <c r="O89" s="69">
        <v>0.59393939393939399</v>
      </c>
      <c r="P89" s="69">
        <v>0.375</v>
      </c>
      <c r="Q89" s="69">
        <v>0.45273631840796019</v>
      </c>
    </row>
    <row r="90" spans="1:17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0.11494252873563218</v>
      </c>
      <c r="M90" s="69">
        <v>0.32183908045977011</v>
      </c>
      <c r="N90" s="69">
        <v>0.22988505747126436</v>
      </c>
      <c r="O90" s="69">
        <v>0.59523809523809523</v>
      </c>
      <c r="P90" s="69">
        <v>0.375</v>
      </c>
      <c r="Q90" s="69">
        <v>0.45812807881773399</v>
      </c>
    </row>
    <row r="91" spans="1:17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0.11363636363636363</v>
      </c>
      <c r="M91" s="69">
        <v>0.3206831119544592</v>
      </c>
      <c r="N91" s="69">
        <v>0.23339658444022771</v>
      </c>
      <c r="O91" s="69">
        <v>0.59171597633136097</v>
      </c>
      <c r="P91" s="69">
        <v>0.38211382113821141</v>
      </c>
      <c r="Q91" s="69">
        <v>0.45853658536585368</v>
      </c>
    </row>
    <row r="92" spans="1:17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0.11235955056179775</v>
      </c>
      <c r="M92" s="69">
        <v>0.3252336448598131</v>
      </c>
      <c r="N92" s="69">
        <v>0.23177570093457944</v>
      </c>
      <c r="O92" s="69">
        <v>0.58620689655172409</v>
      </c>
      <c r="P92" s="69">
        <v>0.37903225806451613</v>
      </c>
      <c r="Q92" s="69">
        <v>0.45410628019323673</v>
      </c>
    </row>
    <row r="93" spans="1:17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0.12222222222222222</v>
      </c>
      <c r="M93" s="69">
        <v>0.32536764705882354</v>
      </c>
      <c r="N93" s="69">
        <v>0.23345588235294118</v>
      </c>
      <c r="O93" s="69">
        <v>0.58757062146892658</v>
      </c>
      <c r="P93" s="69">
        <v>0.38582677165354329</v>
      </c>
      <c r="Q93" s="69">
        <v>0.45023696682464454</v>
      </c>
    </row>
    <row r="94" spans="1:17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0.12087912087912088</v>
      </c>
      <c r="M94" s="69">
        <v>0.32549728752260398</v>
      </c>
      <c r="N94" s="69">
        <v>0.22965641952983726</v>
      </c>
      <c r="O94" s="69">
        <v>0.57777777777777772</v>
      </c>
      <c r="P94" s="69">
        <v>0.38582677165354329</v>
      </c>
      <c r="Q94" s="69">
        <v>0.45023696682464454</v>
      </c>
    </row>
    <row r="95" spans="1:17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0.11956521739130435</v>
      </c>
      <c r="M95" s="69">
        <v>0.32035398230088497</v>
      </c>
      <c r="N95" s="69">
        <v>0.23185840707964603</v>
      </c>
      <c r="O95" s="69">
        <v>0.58011049723756902</v>
      </c>
      <c r="P95" s="69">
        <v>0.39694656488549618</v>
      </c>
      <c r="Q95" s="69">
        <v>0.45833333333333331</v>
      </c>
    </row>
    <row r="96" spans="1:17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0.11827956989247312</v>
      </c>
      <c r="M96" s="69">
        <v>0.32291666666666669</v>
      </c>
      <c r="N96" s="69">
        <v>0.22916666666666666</v>
      </c>
      <c r="O96" s="69">
        <v>0.57526881720430112</v>
      </c>
      <c r="P96" s="69">
        <v>0.39393939393939392</v>
      </c>
      <c r="Q96" s="69">
        <v>0.45662100456621002</v>
      </c>
    </row>
    <row r="97" spans="1:17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0.11702127659574468</v>
      </c>
      <c r="M97" s="69">
        <v>0.31965811965811963</v>
      </c>
      <c r="N97" s="69">
        <v>0.22564102564102564</v>
      </c>
      <c r="O97" s="69">
        <v>0.57754010695187163</v>
      </c>
      <c r="P97" s="69">
        <v>0.39393939393939392</v>
      </c>
      <c r="Q97" s="69">
        <v>0.45248868778280543</v>
      </c>
    </row>
    <row r="98" spans="1:17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0.11578947368421053</v>
      </c>
      <c r="M98" s="69">
        <v>0.31764705882352939</v>
      </c>
      <c r="N98" s="69">
        <v>0.22184873949579831</v>
      </c>
      <c r="O98" s="69">
        <v>0.57671957671957674</v>
      </c>
      <c r="P98" s="69">
        <v>0.39393939393939392</v>
      </c>
      <c r="Q98" s="69">
        <v>0.45739910313901344</v>
      </c>
    </row>
    <row r="99" spans="1:17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0.11458333333333333</v>
      </c>
      <c r="M99" s="69">
        <v>0.31509121061359868</v>
      </c>
      <c r="N99" s="69">
        <v>0.22222222222222221</v>
      </c>
      <c r="O99" s="69">
        <v>0.5736842105263158</v>
      </c>
      <c r="P99" s="69">
        <v>0.38805970149253732</v>
      </c>
      <c r="Q99" s="69">
        <v>0.45535714285714285</v>
      </c>
    </row>
    <row r="100" spans="1:17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0.1134020618556701</v>
      </c>
      <c r="M100" s="69">
        <v>0.3125</v>
      </c>
      <c r="N100" s="69">
        <v>0.22368421052631579</v>
      </c>
      <c r="O100" s="69">
        <v>0.5736842105263158</v>
      </c>
      <c r="P100" s="69">
        <v>0.38235294117647056</v>
      </c>
      <c r="Q100" s="69">
        <v>0.45777777777777778</v>
      </c>
    </row>
    <row r="101" spans="1:17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0.11224489795918367</v>
      </c>
      <c r="M101" s="69">
        <v>0.31382113821138213</v>
      </c>
      <c r="N101" s="69">
        <v>0.22276422764227644</v>
      </c>
      <c r="O101" s="69">
        <v>0.56476683937823835</v>
      </c>
      <c r="P101" s="69">
        <v>0.37956204379562042</v>
      </c>
      <c r="Q101" s="69">
        <v>0.45777777777777778</v>
      </c>
    </row>
    <row r="102" spans="1:17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0.1111111111111111</v>
      </c>
      <c r="M102" s="69">
        <v>0.31519999999999998</v>
      </c>
      <c r="N102" s="69">
        <v>0.2208</v>
      </c>
      <c r="O102" s="69">
        <v>0.56345177664974622</v>
      </c>
      <c r="P102" s="69">
        <v>0.37681159420289856</v>
      </c>
      <c r="Q102" s="69">
        <v>0.46255506607929514</v>
      </c>
    </row>
    <row r="103" spans="1:17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0.11</v>
      </c>
      <c r="M103" s="69">
        <v>0.31528662420382164</v>
      </c>
      <c r="N103" s="69">
        <v>0.21974522292993631</v>
      </c>
      <c r="O103" s="69">
        <v>0.56565656565656564</v>
      </c>
      <c r="P103" s="69">
        <v>0.37681159420289856</v>
      </c>
      <c r="Q103" s="69">
        <v>0.46052631578947367</v>
      </c>
    </row>
    <row r="104" spans="1:17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0.10891089108910891</v>
      </c>
      <c r="M104" s="69">
        <v>0.31603773584905659</v>
      </c>
      <c r="N104" s="69">
        <v>0.22012578616352202</v>
      </c>
      <c r="O104" s="69">
        <v>0.56218905472636815</v>
      </c>
      <c r="P104" s="69">
        <v>0.38571428571428573</v>
      </c>
      <c r="Q104" s="69">
        <v>0.45689655172413796</v>
      </c>
    </row>
    <row r="105" spans="1:17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0.10784313725490197</v>
      </c>
      <c r="M105" s="69">
        <v>0.31259720062208396</v>
      </c>
      <c r="N105" s="69">
        <v>0.21928460342146189</v>
      </c>
      <c r="O105" s="69">
        <v>0.56218905472636815</v>
      </c>
      <c r="P105" s="69">
        <v>0.39007092198581561</v>
      </c>
      <c r="Q105" s="69">
        <v>0.45299145299145299</v>
      </c>
    </row>
    <row r="106" spans="1:17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0.10679611650485436</v>
      </c>
      <c r="M106" s="69">
        <v>0.31441717791411045</v>
      </c>
      <c r="N106" s="69">
        <v>0.21932515337423314</v>
      </c>
      <c r="O106" s="69">
        <v>0.55609756097560981</v>
      </c>
      <c r="P106" s="69">
        <v>0.38461538461538464</v>
      </c>
      <c r="Q106" s="69">
        <v>0.45338983050847459</v>
      </c>
    </row>
    <row r="107" spans="1:17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0.10576923076923077</v>
      </c>
      <c r="M107" s="69">
        <v>0.31515151515151513</v>
      </c>
      <c r="N107" s="69">
        <v>0.21666666666666667</v>
      </c>
      <c r="O107" s="69">
        <v>0.55769230769230771</v>
      </c>
      <c r="P107" s="69">
        <v>0.38461538461538464</v>
      </c>
      <c r="Q107" s="69">
        <v>0.45378151260504201</v>
      </c>
    </row>
    <row r="108" spans="1:17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0.10476190476190476</v>
      </c>
      <c r="M108" s="69">
        <v>0.31523378582202111</v>
      </c>
      <c r="N108" s="69">
        <v>0.21568627450980393</v>
      </c>
      <c r="O108" s="69">
        <v>0.55502392344497609</v>
      </c>
      <c r="P108" s="69">
        <v>0.38461538461538464</v>
      </c>
      <c r="Q108" s="69">
        <v>0.45378151260504201</v>
      </c>
    </row>
    <row r="109" spans="1:17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0.10377358490566038</v>
      </c>
      <c r="M109" s="69">
        <v>0.31390134529147984</v>
      </c>
      <c r="N109" s="69">
        <v>0.21674140508221226</v>
      </c>
      <c r="O109" s="69">
        <v>0.55238095238095242</v>
      </c>
      <c r="P109" s="69">
        <v>0.37931034482758619</v>
      </c>
      <c r="Q109" s="69">
        <v>0.45378151260504201</v>
      </c>
    </row>
    <row r="110" spans="1:17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0.10280373831775701</v>
      </c>
      <c r="M110" s="69">
        <v>0.3112094395280236</v>
      </c>
      <c r="N110" s="69">
        <v>0.21828908554572271</v>
      </c>
      <c r="O110" s="69">
        <v>0.5545023696682464</v>
      </c>
      <c r="P110" s="69">
        <v>0.38513513513513514</v>
      </c>
      <c r="Q110" s="69">
        <v>0.4462809917355372</v>
      </c>
    </row>
    <row r="111" spans="1:17" x14ac:dyDescent="0.4">
      <c r="A111" s="71">
        <v>108</v>
      </c>
      <c r="B111" s="68">
        <v>243.69999999999985</v>
      </c>
      <c r="C111" s="68">
        <v>2.25648148148148</v>
      </c>
      <c r="D111" s="73">
        <v>1.9351851851851851</v>
      </c>
      <c r="E111" s="69">
        <v>0.37037037037037035</v>
      </c>
      <c r="F111" s="69">
        <v>0.30172413793103448</v>
      </c>
      <c r="G111" s="69">
        <v>0.1625615763546798</v>
      </c>
      <c r="H111" s="70">
        <v>10495.510204081633</v>
      </c>
      <c r="I111" s="70">
        <v>-9171.9696969696961</v>
      </c>
      <c r="J111" s="69">
        <v>0.1111111111111111</v>
      </c>
      <c r="K111" s="69">
        <v>0.16666666666666666</v>
      </c>
      <c r="L111" s="69">
        <v>0.10185185185185185</v>
      </c>
      <c r="M111" s="69">
        <v>0.30903790087463556</v>
      </c>
      <c r="N111" s="69">
        <v>0.21865889212827988</v>
      </c>
      <c r="O111" s="69">
        <v>0.55660377358490565</v>
      </c>
      <c r="P111" s="69">
        <v>0.38</v>
      </c>
      <c r="Q111" s="69">
        <v>0.44897959183673469</v>
      </c>
    </row>
    <row r="112" spans="1:17" x14ac:dyDescent="0.4">
      <c r="A112" s="71">
        <v>109</v>
      </c>
      <c r="B112" s="68">
        <v>184.79999999999984</v>
      </c>
      <c r="C112" s="68">
        <v>1.6954128440366958</v>
      </c>
      <c r="D112" s="73">
        <v>1.9449541284403671</v>
      </c>
      <c r="E112" s="69">
        <v>0.3669724770642202</v>
      </c>
      <c r="F112" s="69">
        <v>0.30121951219512194</v>
      </c>
      <c r="G112" s="69">
        <v>0.16219512195121952</v>
      </c>
      <c r="H112" s="70">
        <v>10437.246963562753</v>
      </c>
      <c r="I112" s="70">
        <v>-9283.458646616542</v>
      </c>
      <c r="J112" s="69">
        <v>0.11926605504587157</v>
      </c>
      <c r="K112" s="69">
        <v>0.16513761467889909</v>
      </c>
      <c r="L112" s="69">
        <v>0.10091743119266056</v>
      </c>
      <c r="M112" s="69">
        <v>0.3069164265129683</v>
      </c>
      <c r="N112" s="69">
        <v>0.21757925072046108</v>
      </c>
      <c r="O112" s="69">
        <v>0.5539906103286385</v>
      </c>
      <c r="P112" s="69">
        <v>0.37748344370860926</v>
      </c>
      <c r="Q112" s="69">
        <v>0.44939271255060731</v>
      </c>
    </row>
    <row r="113" spans="1:17" x14ac:dyDescent="0.4">
      <c r="A113" s="71">
        <v>110</v>
      </c>
      <c r="B113" s="68">
        <v>225.49999999999983</v>
      </c>
      <c r="C113" s="68">
        <v>2.0499999999999985</v>
      </c>
      <c r="D113" s="73">
        <v>1.9363636363636363</v>
      </c>
      <c r="E113" s="69">
        <v>0.37272727272727274</v>
      </c>
      <c r="F113" s="69">
        <v>0.30240963855421688</v>
      </c>
      <c r="G113" s="69">
        <v>0.16144578313253011</v>
      </c>
      <c r="H113" s="70">
        <v>10457.768924302789</v>
      </c>
      <c r="I113" s="70">
        <v>-9252.9850746268658</v>
      </c>
      <c r="J113" s="69">
        <v>0.11818181818181818</v>
      </c>
      <c r="K113" s="69">
        <v>0.17272727272727273</v>
      </c>
      <c r="L113" s="69">
        <v>0.1</v>
      </c>
      <c r="M113" s="69">
        <v>0.30539772727272729</v>
      </c>
      <c r="N113" s="69">
        <v>0.21875</v>
      </c>
      <c r="O113" s="69">
        <v>0.55813953488372092</v>
      </c>
      <c r="P113" s="69">
        <v>0.38311688311688313</v>
      </c>
      <c r="Q113" s="69">
        <v>0.45019920318725098</v>
      </c>
    </row>
    <row r="114" spans="1:17" x14ac:dyDescent="0.4">
      <c r="A114" s="71">
        <v>111</v>
      </c>
      <c r="B114" s="68">
        <v>216.99999999999983</v>
      </c>
      <c r="C114" s="68">
        <v>1.9549549549549534</v>
      </c>
      <c r="D114" s="73">
        <v>1.9369369369369369</v>
      </c>
      <c r="E114" s="69">
        <v>0.36936936936936937</v>
      </c>
      <c r="F114" s="69">
        <v>0.30071599045346065</v>
      </c>
      <c r="G114" s="69">
        <v>0.16348448687350836</v>
      </c>
      <c r="H114" s="70">
        <v>10511.507936507936</v>
      </c>
      <c r="I114" s="70">
        <v>-9275.9124087591244</v>
      </c>
      <c r="J114" s="69">
        <v>0.11711711711711711</v>
      </c>
      <c r="K114" s="69">
        <v>0.17117117117117117</v>
      </c>
      <c r="L114" s="69">
        <v>9.90990990990991E-2</v>
      </c>
      <c r="M114" s="69">
        <v>0.3061797752808989</v>
      </c>
      <c r="N114" s="69">
        <v>0.21629213483146068</v>
      </c>
      <c r="O114" s="69">
        <v>0.55504587155963303</v>
      </c>
      <c r="P114" s="69">
        <v>0.38311688311688313</v>
      </c>
      <c r="Q114" s="69">
        <v>0.44841269841269843</v>
      </c>
    </row>
    <row r="115" spans="1:17" x14ac:dyDescent="0.4">
      <c r="A115" s="71">
        <v>112</v>
      </c>
      <c r="B115" s="68">
        <v>225.49999999999983</v>
      </c>
      <c r="C115" s="68">
        <v>2.0133928571428554</v>
      </c>
      <c r="D115" s="73">
        <v>1.9285714285714286</v>
      </c>
      <c r="E115" s="69">
        <v>0.375</v>
      </c>
      <c r="F115" s="69">
        <v>0.30106257378984652</v>
      </c>
      <c r="G115" s="69">
        <v>0.16292798110979928</v>
      </c>
      <c r="H115" s="70">
        <v>10497.64705882353</v>
      </c>
      <c r="I115" s="70">
        <v>-9266.6666666666661</v>
      </c>
      <c r="J115" s="69">
        <v>0.11607142857142858</v>
      </c>
      <c r="K115" s="69">
        <v>0.16964285714285715</v>
      </c>
      <c r="L115" s="69">
        <v>9.8214285714285712E-2</v>
      </c>
      <c r="M115" s="69">
        <v>0.30651872399445212</v>
      </c>
      <c r="N115" s="69">
        <v>0.21359223300970873</v>
      </c>
      <c r="O115" s="69">
        <v>0.56108597285067874</v>
      </c>
      <c r="P115" s="69">
        <v>0.38311688311688313</v>
      </c>
      <c r="Q115" s="69">
        <v>0.44313725490196076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E8A0B-8847-4DFE-B12B-50100695104A}">
  <sheetPr codeName="Sheet20"/>
  <dimension ref="A1:Q7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L4" s="69">
        <v>0</v>
      </c>
      <c r="Q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L6" s="69">
        <v>0.33333333333333331</v>
      </c>
      <c r="Q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L7" s="69">
        <v>0.25</v>
      </c>
      <c r="Q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L8" s="69">
        <v>0.2</v>
      </c>
      <c r="Q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L9" s="69">
        <v>0.16666666666666666</v>
      </c>
      <c r="Q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L10" s="69">
        <v>0.2857142857142857</v>
      </c>
      <c r="Q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L11" s="69">
        <v>0.25</v>
      </c>
      <c r="Q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L12" s="69">
        <v>0.22222222222222221</v>
      </c>
      <c r="Q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L13" s="69">
        <v>0.2</v>
      </c>
      <c r="Q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L14" s="69">
        <v>0.18181818181818182</v>
      </c>
      <c r="Q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L15" s="69">
        <v>0.16666666666666666</v>
      </c>
      <c r="Q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L16" s="69">
        <v>0.15384615384615385</v>
      </c>
      <c r="Q16" s="69">
        <v>0.48148148148148145</v>
      </c>
    </row>
    <row r="17" spans="1:17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L17" s="69">
        <v>0.14285714285714285</v>
      </c>
      <c r="Q17" s="69">
        <v>0.48148148148148145</v>
      </c>
    </row>
    <row r="18" spans="1:17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L18" s="69">
        <v>0.13333333333333333</v>
      </c>
      <c r="Q18" s="69">
        <v>0.4642857142857143</v>
      </c>
    </row>
    <row r="19" spans="1:17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L19" s="69">
        <v>0.125</v>
      </c>
      <c r="Q19" s="69">
        <v>0.5</v>
      </c>
    </row>
    <row r="20" spans="1:17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L20" s="69">
        <v>0.11764705882352941</v>
      </c>
      <c r="Q20" s="69">
        <v>0.46875</v>
      </c>
    </row>
    <row r="21" spans="1:17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L21" s="69">
        <v>0.1111111111111111</v>
      </c>
      <c r="Q21" s="69">
        <v>0.45945945945945948</v>
      </c>
    </row>
    <row r="22" spans="1:17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L22" s="69">
        <v>0.10526315789473684</v>
      </c>
      <c r="Q22" s="69">
        <v>0.44736842105263158</v>
      </c>
    </row>
    <row r="23" spans="1:17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L23" s="69">
        <v>0.1</v>
      </c>
      <c r="Q23" s="69">
        <v>0.44736842105263158</v>
      </c>
    </row>
    <row r="24" spans="1:17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L24" s="69">
        <v>9.5238095238095233E-2</v>
      </c>
      <c r="Q24" s="69">
        <v>0.45</v>
      </c>
    </row>
    <row r="25" spans="1:17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L25" s="69">
        <v>9.0909090909090912E-2</v>
      </c>
      <c r="Q25" s="69">
        <v>0.46666666666666667</v>
      </c>
    </row>
    <row r="26" spans="1:17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L26" s="69">
        <v>8.6956521739130432E-2</v>
      </c>
      <c r="Q26" s="69">
        <v>0.46938775510204084</v>
      </c>
    </row>
    <row r="27" spans="1:17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L27" s="69">
        <v>8.3333333333333329E-2</v>
      </c>
      <c r="Q27" s="69">
        <v>0.45098039215686275</v>
      </c>
    </row>
    <row r="28" spans="1:17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0.08</v>
      </c>
      <c r="M28" s="69">
        <v>0</v>
      </c>
      <c r="N28" s="69">
        <v>0.33333333333333331</v>
      </c>
      <c r="O28" s="69">
        <v>0</v>
      </c>
      <c r="P28" s="69">
        <v>0.5</v>
      </c>
      <c r="Q28" s="69">
        <v>0.44230769230769229</v>
      </c>
    </row>
    <row r="29" spans="1:17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7.6923076923076927E-2</v>
      </c>
      <c r="M29" s="69">
        <v>0.1111111111111111</v>
      </c>
      <c r="N29" s="69">
        <v>0.33333333333333331</v>
      </c>
      <c r="O29" s="69">
        <v>0.5</v>
      </c>
      <c r="P29" s="69">
        <v>0.5</v>
      </c>
      <c r="Q29" s="69">
        <v>0.45454545454545453</v>
      </c>
    </row>
    <row r="30" spans="1:17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7.407407407407407E-2</v>
      </c>
      <c r="M30" s="69">
        <v>0.16129032258064516</v>
      </c>
      <c r="N30" s="69">
        <v>0.35483870967741937</v>
      </c>
      <c r="O30" s="69">
        <v>0.4</v>
      </c>
      <c r="P30" s="69">
        <v>0.45454545454545453</v>
      </c>
      <c r="Q30" s="69">
        <v>0.4576271186440678</v>
      </c>
    </row>
    <row r="31" spans="1:17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7.1428571428571425E-2</v>
      </c>
      <c r="M31" s="69">
        <v>0.15384615384615385</v>
      </c>
      <c r="N31" s="69">
        <v>0.38461538461538464</v>
      </c>
      <c r="O31" s="69">
        <v>0.5</v>
      </c>
      <c r="P31" s="69">
        <v>0.46666666666666667</v>
      </c>
      <c r="Q31" s="69">
        <v>0.45161290322580644</v>
      </c>
    </row>
    <row r="32" spans="1:17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6.8965517241379309E-2</v>
      </c>
      <c r="M32" s="69">
        <v>0.17647058823529413</v>
      </c>
      <c r="N32" s="69">
        <v>0.37254901960784315</v>
      </c>
      <c r="O32" s="69">
        <v>0.44444444444444442</v>
      </c>
      <c r="P32" s="69">
        <v>0.47368421052631576</v>
      </c>
      <c r="Q32" s="69">
        <v>0.43283582089552236</v>
      </c>
    </row>
    <row r="33" spans="1:17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6.6666666666666666E-2</v>
      </c>
      <c r="M33" s="69">
        <v>0.21052631578947367</v>
      </c>
      <c r="N33" s="69">
        <v>0.35087719298245612</v>
      </c>
      <c r="O33" s="69">
        <v>0.33333333333333331</v>
      </c>
      <c r="P33" s="69">
        <v>0.45</v>
      </c>
      <c r="Q33" s="69">
        <v>0.44117647058823528</v>
      </c>
    </row>
    <row r="34" spans="1:17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6.4516129032258063E-2</v>
      </c>
      <c r="M34" s="69">
        <v>0.19696969696969696</v>
      </c>
      <c r="N34" s="69">
        <v>0.30303030303030304</v>
      </c>
      <c r="O34" s="69">
        <v>0.38461538461538464</v>
      </c>
      <c r="P34" s="69">
        <v>0.45</v>
      </c>
      <c r="Q34" s="69">
        <v>0.43478260869565216</v>
      </c>
    </row>
    <row r="35" spans="1:17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6.25E-2</v>
      </c>
      <c r="M35" s="69">
        <v>0.20547945205479451</v>
      </c>
      <c r="N35" s="69">
        <v>0.28767123287671231</v>
      </c>
      <c r="O35" s="69">
        <v>0.4</v>
      </c>
      <c r="P35" s="69">
        <v>0.42857142857142855</v>
      </c>
      <c r="Q35" s="69">
        <v>0.42253521126760563</v>
      </c>
    </row>
    <row r="36" spans="1:17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6.0606060606060608E-2</v>
      </c>
      <c r="M36" s="69">
        <v>0.19753086419753085</v>
      </c>
      <c r="N36" s="69">
        <v>0.27160493827160492</v>
      </c>
      <c r="O36" s="69">
        <v>0.375</v>
      </c>
      <c r="P36" s="69">
        <v>0.40909090909090912</v>
      </c>
      <c r="Q36" s="69">
        <v>0.41666666666666669</v>
      </c>
    </row>
    <row r="37" spans="1:17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5.8823529411764705E-2</v>
      </c>
      <c r="M37" s="69">
        <v>0.19540229885057472</v>
      </c>
      <c r="N37" s="69">
        <v>0.28735632183908044</v>
      </c>
      <c r="O37" s="69">
        <v>0.41176470588235292</v>
      </c>
      <c r="P37" s="69">
        <v>0.4</v>
      </c>
      <c r="Q37" s="69">
        <v>0.40540540540540543</v>
      </c>
    </row>
    <row r="38" spans="1:17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5.7142857142857141E-2</v>
      </c>
      <c r="M38" s="69">
        <v>0.22340425531914893</v>
      </c>
      <c r="N38" s="69">
        <v>0.2978723404255319</v>
      </c>
      <c r="O38" s="69">
        <v>0.42857142857142855</v>
      </c>
      <c r="P38" s="69">
        <v>0.42857142857142855</v>
      </c>
      <c r="Q38" s="69">
        <v>0.42307692307692307</v>
      </c>
    </row>
    <row r="39" spans="1:17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5.5555555555555552E-2</v>
      </c>
      <c r="M39" s="69">
        <v>0.22772277227722773</v>
      </c>
      <c r="N39" s="69">
        <v>0.30693069306930693</v>
      </c>
      <c r="O39" s="69">
        <v>0.39130434782608697</v>
      </c>
      <c r="P39" s="69">
        <v>0.4838709677419355</v>
      </c>
      <c r="Q39" s="69">
        <v>0.41975308641975306</v>
      </c>
    </row>
    <row r="40" spans="1:17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5.4054054054054057E-2</v>
      </c>
      <c r="M40" s="69">
        <v>0.21100917431192662</v>
      </c>
      <c r="N40" s="69">
        <v>0.31192660550458717</v>
      </c>
      <c r="O40" s="69">
        <v>0.39130434782608697</v>
      </c>
      <c r="P40" s="69">
        <v>0.44117647058823528</v>
      </c>
      <c r="Q40" s="69">
        <v>0.41975308641975306</v>
      </c>
    </row>
    <row r="41" spans="1:17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5.2631578947368418E-2</v>
      </c>
      <c r="M41" s="69">
        <v>0.21238938053097345</v>
      </c>
      <c r="N41" s="69">
        <v>0.30973451327433627</v>
      </c>
      <c r="O41" s="69">
        <v>0.41666666666666669</v>
      </c>
      <c r="P41" s="69">
        <v>0.42857142857142855</v>
      </c>
      <c r="Q41" s="69">
        <v>0.41463414634146339</v>
      </c>
    </row>
    <row r="42" spans="1:17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5.128205128205128E-2</v>
      </c>
      <c r="M42" s="69">
        <v>0.21666666666666667</v>
      </c>
      <c r="N42" s="69">
        <v>0.31666666666666665</v>
      </c>
      <c r="O42" s="69">
        <v>0.38461538461538464</v>
      </c>
      <c r="P42" s="69">
        <v>0.42105263157894735</v>
      </c>
      <c r="Q42" s="69">
        <v>0.40963855421686746</v>
      </c>
    </row>
    <row r="43" spans="1:17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0.05</v>
      </c>
      <c r="M43" s="69">
        <v>0.20472440944881889</v>
      </c>
      <c r="N43" s="69">
        <v>0.30708661417322836</v>
      </c>
      <c r="O43" s="69">
        <v>0.38461538461538464</v>
      </c>
      <c r="P43" s="69">
        <v>0.41025641025641024</v>
      </c>
      <c r="Q43" s="69">
        <v>0.40963855421686746</v>
      </c>
    </row>
    <row r="44" spans="1:17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4.878048780487805E-2</v>
      </c>
      <c r="M44" s="69">
        <v>0.21481481481481482</v>
      </c>
      <c r="N44" s="69">
        <v>0.3037037037037037</v>
      </c>
      <c r="O44" s="69">
        <v>0.34482758620689657</v>
      </c>
      <c r="P44" s="69">
        <v>0.3902439024390244</v>
      </c>
      <c r="Q44" s="69">
        <v>0.40963855421686746</v>
      </c>
    </row>
    <row r="45" spans="1:17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4.7619047619047616E-2</v>
      </c>
      <c r="M45" s="69">
        <v>0.21379310344827587</v>
      </c>
      <c r="N45" s="69">
        <v>0.30344827586206896</v>
      </c>
      <c r="O45" s="69">
        <v>0.35483870967741937</v>
      </c>
      <c r="P45" s="69">
        <v>0.38636363636363635</v>
      </c>
      <c r="Q45" s="69">
        <v>0.4</v>
      </c>
    </row>
    <row r="46" spans="1:17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4.6511627906976744E-2</v>
      </c>
      <c r="M46" s="69">
        <v>0.2251655629139073</v>
      </c>
      <c r="N46" s="69">
        <v>0.29139072847682118</v>
      </c>
      <c r="O46" s="69">
        <v>0.35294117647058826</v>
      </c>
      <c r="P46" s="69">
        <v>0.38636363636363635</v>
      </c>
      <c r="Q46" s="69">
        <v>0.40697674418604651</v>
      </c>
    </row>
    <row r="47" spans="1:17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4.5454545454545456E-2</v>
      </c>
      <c r="M47" s="69">
        <v>0.22839506172839505</v>
      </c>
      <c r="N47" s="69">
        <v>0.2839506172839506</v>
      </c>
      <c r="O47" s="69">
        <v>0.35135135135135137</v>
      </c>
      <c r="P47" s="69">
        <v>0.39130434782608697</v>
      </c>
      <c r="Q47" s="69">
        <v>0.42045454545454547</v>
      </c>
    </row>
    <row r="48" spans="1:17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4.4444444444444446E-2</v>
      </c>
      <c r="M48" s="69">
        <v>0.22754491017964071</v>
      </c>
      <c r="N48" s="69">
        <v>0.28143712574850299</v>
      </c>
      <c r="O48" s="69">
        <v>0.34210526315789475</v>
      </c>
      <c r="P48" s="69">
        <v>0.38297872340425532</v>
      </c>
      <c r="Q48" s="69">
        <v>0.42045454545454547</v>
      </c>
    </row>
    <row r="49" spans="1:17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4.3478260869565216E-2</v>
      </c>
      <c r="M49" s="69">
        <v>0.22285714285714286</v>
      </c>
      <c r="N49" s="69">
        <v>0.28000000000000003</v>
      </c>
      <c r="O49" s="69">
        <v>0.35897435897435898</v>
      </c>
      <c r="P49" s="69">
        <v>0.36734693877551022</v>
      </c>
      <c r="Q49" s="69">
        <v>0.42696629213483145</v>
      </c>
    </row>
    <row r="50" spans="1:17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4.2553191489361701E-2</v>
      </c>
      <c r="M50" s="69">
        <v>0.22826086956521738</v>
      </c>
      <c r="N50" s="69">
        <v>0.27717391304347827</v>
      </c>
      <c r="O50" s="69">
        <v>0.35714285714285715</v>
      </c>
      <c r="P50" s="69">
        <v>0.37254901960784315</v>
      </c>
      <c r="Q50" s="69">
        <v>0.42857142857142855</v>
      </c>
    </row>
    <row r="51" spans="1:17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4.1666666666666664E-2</v>
      </c>
      <c r="M51" s="69">
        <v>0.22631578947368422</v>
      </c>
      <c r="N51" s="69">
        <v>0.27368421052631581</v>
      </c>
      <c r="O51" s="69">
        <v>0.37209302325581395</v>
      </c>
      <c r="P51" s="69">
        <v>0.36538461538461536</v>
      </c>
      <c r="Q51" s="69">
        <v>0.42391304347826086</v>
      </c>
    </row>
    <row r="52" spans="1:17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4.0816326530612242E-2</v>
      </c>
      <c r="M52" s="69">
        <v>0.22222222222222221</v>
      </c>
      <c r="N52" s="69">
        <v>0.27777777777777779</v>
      </c>
      <c r="O52" s="69">
        <v>0.38636363636363635</v>
      </c>
      <c r="P52" s="69">
        <v>0.38181818181818183</v>
      </c>
      <c r="Q52" s="69">
        <v>0.43157894736842106</v>
      </c>
    </row>
    <row r="53" spans="1:17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0.06</v>
      </c>
      <c r="M53" s="69">
        <v>0.23076923076923078</v>
      </c>
      <c r="N53" s="69">
        <v>0.27403846153846156</v>
      </c>
      <c r="O53" s="69">
        <v>0.41666666666666669</v>
      </c>
      <c r="P53" s="69">
        <v>0.36842105263157893</v>
      </c>
      <c r="Q53" s="69">
        <v>0.43877551020408162</v>
      </c>
    </row>
    <row r="54" spans="1:17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5.8823529411764705E-2</v>
      </c>
      <c r="M54" s="69">
        <v>0.23853211009174313</v>
      </c>
      <c r="N54" s="69">
        <v>0.27064220183486237</v>
      </c>
      <c r="O54" s="69">
        <v>0.40384615384615385</v>
      </c>
      <c r="P54" s="69">
        <v>0.3728813559322034</v>
      </c>
      <c r="Q54" s="69">
        <v>0.44554455445544555</v>
      </c>
    </row>
    <row r="55" spans="1:17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5.7692307692307696E-2</v>
      </c>
      <c r="M55" s="69">
        <v>0.24</v>
      </c>
      <c r="N55" s="69">
        <v>0.27111111111111114</v>
      </c>
      <c r="O55" s="69">
        <v>0.3888888888888889</v>
      </c>
      <c r="P55" s="69">
        <v>0.37704918032786883</v>
      </c>
      <c r="Q55" s="69">
        <v>0.45098039215686275</v>
      </c>
    </row>
    <row r="56" spans="1:17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5.6603773584905662E-2</v>
      </c>
      <c r="M56" s="69">
        <v>0.24050632911392406</v>
      </c>
      <c r="N56" s="69">
        <v>0.27004219409282698</v>
      </c>
      <c r="O56" s="69">
        <v>0.40350877192982454</v>
      </c>
      <c r="P56" s="69">
        <v>0.375</v>
      </c>
      <c r="Q56" s="69">
        <v>0.45283018867924529</v>
      </c>
    </row>
    <row r="57" spans="1:17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5.5555555555555552E-2</v>
      </c>
      <c r="M57" s="69">
        <v>0.24897959183673468</v>
      </c>
      <c r="N57" s="69">
        <v>0.26938775510204083</v>
      </c>
      <c r="O57" s="69">
        <v>0.42622950819672129</v>
      </c>
      <c r="P57" s="69">
        <v>0.36363636363636365</v>
      </c>
      <c r="Q57" s="69">
        <v>0.45454545454545453</v>
      </c>
    </row>
    <row r="58" spans="1:17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5.4545454545454543E-2</v>
      </c>
      <c r="M58" s="69">
        <v>0.24603174603174602</v>
      </c>
      <c r="N58" s="69">
        <v>0.26587301587301587</v>
      </c>
      <c r="O58" s="69">
        <v>0.43548387096774194</v>
      </c>
      <c r="P58" s="69">
        <v>0.37313432835820898</v>
      </c>
      <c r="Q58" s="69">
        <v>0.45535714285714285</v>
      </c>
    </row>
    <row r="59" spans="1:17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5.3571428571428568E-2</v>
      </c>
      <c r="M59" s="69">
        <v>0.24124513618677043</v>
      </c>
      <c r="N59" s="69">
        <v>0.26459143968871596</v>
      </c>
      <c r="O59" s="69">
        <v>0.43548387096774194</v>
      </c>
      <c r="P59" s="69">
        <v>0.36764705882352944</v>
      </c>
      <c r="Q59" s="69">
        <v>0.45535714285714285</v>
      </c>
    </row>
    <row r="60" spans="1:17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5.2631578947368418E-2</v>
      </c>
      <c r="M60" s="69">
        <v>0.24150943396226415</v>
      </c>
      <c r="N60" s="69">
        <v>0.26792452830188679</v>
      </c>
      <c r="O60" s="69">
        <v>0.453125</v>
      </c>
      <c r="P60" s="69">
        <v>0.36619718309859156</v>
      </c>
      <c r="Q60" s="69">
        <v>0.46086956521739131</v>
      </c>
    </row>
    <row r="61" spans="1:17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5.1724137931034482E-2</v>
      </c>
      <c r="M61" s="69">
        <v>0.24814814814814815</v>
      </c>
      <c r="N61" s="69">
        <v>0.26666666666666666</v>
      </c>
      <c r="O61" s="69">
        <v>0.43283582089552236</v>
      </c>
      <c r="P61" s="69">
        <v>0.3611111111111111</v>
      </c>
      <c r="Q61" s="69">
        <v>0.46086956521739131</v>
      </c>
    </row>
    <row r="62" spans="1:17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5.0847457627118647E-2</v>
      </c>
      <c r="M62" s="69">
        <v>0.25992779783393499</v>
      </c>
      <c r="N62" s="69">
        <v>0.25992779783393499</v>
      </c>
      <c r="O62" s="69">
        <v>0.44444444444444442</v>
      </c>
      <c r="P62" s="69">
        <v>0.3611111111111111</v>
      </c>
      <c r="Q62" s="69">
        <v>0.4576271186440678</v>
      </c>
    </row>
    <row r="63" spans="1:17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0.05</v>
      </c>
      <c r="M63" s="69">
        <v>0.25352112676056338</v>
      </c>
      <c r="N63" s="69">
        <v>0.26760563380281688</v>
      </c>
      <c r="O63" s="69">
        <v>0.44444444444444442</v>
      </c>
      <c r="P63" s="69">
        <v>0.36842105263157893</v>
      </c>
      <c r="Q63" s="69">
        <v>0.45</v>
      </c>
    </row>
    <row r="64" spans="1:17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4.9180327868852458E-2</v>
      </c>
      <c r="M64" s="69">
        <v>0.25783972125435539</v>
      </c>
      <c r="N64" s="69">
        <v>0.26829268292682928</v>
      </c>
      <c r="O64" s="69">
        <v>0.45945945945945948</v>
      </c>
      <c r="P64" s="69">
        <v>0.37662337662337664</v>
      </c>
      <c r="Q64" s="69">
        <v>0.44715447154471544</v>
      </c>
    </row>
    <row r="65" spans="1:17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4.8387096774193547E-2</v>
      </c>
      <c r="M65" s="69">
        <v>0.26101694915254237</v>
      </c>
      <c r="N65" s="69">
        <v>0.26779661016949152</v>
      </c>
      <c r="O65" s="69">
        <v>0.45454545454545453</v>
      </c>
      <c r="P65" s="69">
        <v>0.379746835443038</v>
      </c>
      <c r="Q65" s="69">
        <v>0.45161290322580644</v>
      </c>
    </row>
    <row r="66" spans="1:17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4.7619047619047616E-2</v>
      </c>
      <c r="M66" s="69">
        <v>0.26229508196721313</v>
      </c>
      <c r="N66" s="69">
        <v>0.26885245901639343</v>
      </c>
      <c r="O66" s="69">
        <v>0.46250000000000002</v>
      </c>
      <c r="P66" s="69">
        <v>0.36585365853658536</v>
      </c>
      <c r="Q66" s="69">
        <v>0.45238095238095238</v>
      </c>
    </row>
    <row r="67" spans="1:17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4.6875E-2</v>
      </c>
      <c r="M67" s="69">
        <v>0.25641025641025639</v>
      </c>
      <c r="N67" s="69">
        <v>0.26923076923076922</v>
      </c>
      <c r="O67" s="69">
        <v>0.46250000000000002</v>
      </c>
      <c r="P67" s="69">
        <v>0.36904761904761907</v>
      </c>
      <c r="Q67" s="69">
        <v>0.44881889763779526</v>
      </c>
    </row>
    <row r="68" spans="1:17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6.1538461538461542E-2</v>
      </c>
      <c r="M68" s="69">
        <v>0.2639751552795031</v>
      </c>
      <c r="N68" s="69">
        <v>0.2639751552795031</v>
      </c>
      <c r="O68" s="69">
        <v>0.47058823529411764</v>
      </c>
      <c r="P68" s="69">
        <v>0.36470588235294116</v>
      </c>
      <c r="Q68" s="69">
        <v>0.46153846153846156</v>
      </c>
    </row>
    <row r="69" spans="1:17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6.0606060606060608E-2</v>
      </c>
      <c r="M69" s="69">
        <v>0.26060606060606062</v>
      </c>
      <c r="N69" s="69">
        <v>0.26969696969696971</v>
      </c>
      <c r="O69" s="69">
        <v>0.47674418604651164</v>
      </c>
      <c r="P69" s="69">
        <v>0.3707865168539326</v>
      </c>
      <c r="Q69" s="69">
        <v>0.45522388059701491</v>
      </c>
    </row>
    <row r="70" spans="1:17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5.9701492537313432E-2</v>
      </c>
      <c r="M70" s="69">
        <v>0.26126126126126126</v>
      </c>
      <c r="N70" s="69">
        <v>0.26726726726726729</v>
      </c>
      <c r="O70" s="69">
        <v>0.48275862068965519</v>
      </c>
      <c r="P70" s="69">
        <v>0.3707865168539326</v>
      </c>
      <c r="Q70" s="69">
        <v>0.45185185185185184</v>
      </c>
    </row>
    <row r="71" spans="1:17" x14ac:dyDescent="0.4">
      <c r="A71" s="71">
        <v>68</v>
      </c>
      <c r="B71" s="68">
        <v>-462</v>
      </c>
      <c r="C71" s="68">
        <v>-6.7941176470588234</v>
      </c>
      <c r="D71" s="73">
        <v>2.2058823529411766</v>
      </c>
      <c r="E71" s="69">
        <v>0.20588235294117646</v>
      </c>
      <c r="F71" s="69">
        <v>0.26717557251908397</v>
      </c>
      <c r="G71" s="69">
        <v>0.18129770992366412</v>
      </c>
      <c r="H71" s="70">
        <v>9169.2857142857138</v>
      </c>
      <c r="I71" s="70">
        <v>-9986.3157894736851</v>
      </c>
      <c r="J71" s="69">
        <v>0.19117647058823528</v>
      </c>
      <c r="K71" s="69">
        <v>0.13235294117647059</v>
      </c>
      <c r="L71" s="69">
        <v>5.8823529411764705E-2</v>
      </c>
      <c r="M71" s="69">
        <v>0.27034883720930231</v>
      </c>
      <c r="N71" s="69">
        <v>0.26744186046511625</v>
      </c>
      <c r="O71" s="69">
        <v>0.4838709677419355</v>
      </c>
      <c r="P71" s="69">
        <v>0.38043478260869568</v>
      </c>
      <c r="Q71" s="69">
        <v>0.45</v>
      </c>
    </row>
    <row r="72" spans="1:17" x14ac:dyDescent="0.4">
      <c r="A72" s="71">
        <v>69</v>
      </c>
      <c r="B72" s="68">
        <v>-472.6</v>
      </c>
      <c r="C72" s="68">
        <v>-6.8492753623188412</v>
      </c>
      <c r="D72" s="73">
        <v>2.2173913043478262</v>
      </c>
      <c r="E72" s="69">
        <v>0.20289855072463769</v>
      </c>
      <c r="F72" s="69">
        <v>0.26503759398496241</v>
      </c>
      <c r="G72" s="69">
        <v>0.18233082706766918</v>
      </c>
      <c r="H72" s="70">
        <v>9138.2978723404249</v>
      </c>
      <c r="I72" s="70">
        <v>-9841.2371134020614</v>
      </c>
      <c r="J72" s="69">
        <v>0.18840579710144928</v>
      </c>
      <c r="K72" s="69">
        <v>0.13043478260869565</v>
      </c>
      <c r="L72" s="69">
        <v>5.7971014492753624E-2</v>
      </c>
      <c r="M72" s="69">
        <v>0.26704545454545453</v>
      </c>
      <c r="N72" s="69">
        <v>0.26988636363636365</v>
      </c>
      <c r="O72" s="69">
        <v>0.47872340425531917</v>
      </c>
      <c r="P72" s="69">
        <v>0.36842105263157893</v>
      </c>
      <c r="Q72" s="69">
        <v>0.45390070921985815</v>
      </c>
    </row>
    <row r="73" spans="1:17" x14ac:dyDescent="0.4">
      <c r="A73" s="71">
        <v>70</v>
      </c>
      <c r="B73" s="68">
        <v>-466.8</v>
      </c>
      <c r="C73" s="68">
        <v>-6.668571428571429</v>
      </c>
      <c r="D73" s="73">
        <v>2.2142857142857144</v>
      </c>
      <c r="E73" s="69">
        <v>0.2</v>
      </c>
      <c r="F73" s="69">
        <v>0.26519337016574585</v>
      </c>
      <c r="G73" s="69">
        <v>0.18416206261510129</v>
      </c>
      <c r="H73" s="70">
        <v>9156.25</v>
      </c>
      <c r="I73" s="70">
        <v>-9718</v>
      </c>
      <c r="J73" s="69">
        <v>0.18571428571428572</v>
      </c>
      <c r="K73" s="69">
        <v>0.12857142857142856</v>
      </c>
      <c r="L73" s="69">
        <v>5.7142857142857141E-2</v>
      </c>
      <c r="M73" s="69">
        <v>0.26721763085399447</v>
      </c>
      <c r="N73" s="69">
        <v>0.27548209366391185</v>
      </c>
      <c r="O73" s="69">
        <v>0.4845360824742268</v>
      </c>
      <c r="P73" s="69">
        <v>0.36</v>
      </c>
      <c r="Q73" s="69">
        <v>0.45833333333333331</v>
      </c>
    </row>
    <row r="74" spans="1:17" x14ac:dyDescent="0.4">
      <c r="A74" s="71">
        <v>71</v>
      </c>
      <c r="B74" s="68">
        <v>-446.7</v>
      </c>
      <c r="C74" s="68">
        <v>-6.2915492957746482</v>
      </c>
      <c r="D74" s="73">
        <v>2.1971830985915495</v>
      </c>
      <c r="E74" s="69">
        <v>0.21126760563380281</v>
      </c>
      <c r="F74" s="69">
        <v>0.26727272727272727</v>
      </c>
      <c r="G74" s="69">
        <v>0.18181818181818182</v>
      </c>
      <c r="H74" s="70">
        <v>9092.5170068027219</v>
      </c>
      <c r="I74" s="70">
        <v>-9718</v>
      </c>
      <c r="J74" s="69">
        <v>0.18309859154929578</v>
      </c>
      <c r="K74" s="69">
        <v>0.12676056338028169</v>
      </c>
      <c r="L74" s="69">
        <v>5.6338028169014086E-2</v>
      </c>
      <c r="M74" s="69">
        <v>0.27027027027027029</v>
      </c>
      <c r="N74" s="69">
        <v>0.27567567567567569</v>
      </c>
      <c r="O74" s="69">
        <v>0.49</v>
      </c>
      <c r="P74" s="69">
        <v>0.36274509803921567</v>
      </c>
      <c r="Q74" s="69">
        <v>0.46938775510204084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8E46C-CDD5-4866-BAF9-42CB5F4BE764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</v>
      </c>
      <c r="N5" s="69">
        <v>0.33333333333333331</v>
      </c>
      <c r="O5" s="69">
        <v>0</v>
      </c>
      <c r="P5" s="69">
        <v>1</v>
      </c>
      <c r="Q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</v>
      </c>
      <c r="M6" s="69">
        <v>0.25</v>
      </c>
      <c r="N6" s="69">
        <v>0.25</v>
      </c>
      <c r="O6" s="69">
        <v>0.75</v>
      </c>
      <c r="P6" s="69">
        <v>0.25</v>
      </c>
      <c r="Q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</v>
      </c>
      <c r="M7" s="69">
        <v>0.23076923076923078</v>
      </c>
      <c r="N7" s="69">
        <v>0.19230769230769232</v>
      </c>
      <c r="O7" s="69">
        <v>0.83333333333333337</v>
      </c>
      <c r="P7" s="69">
        <v>0.2</v>
      </c>
      <c r="Q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</v>
      </c>
      <c r="M8" s="69">
        <v>0.25806451612903225</v>
      </c>
      <c r="N8" s="69">
        <v>0.16129032258064516</v>
      </c>
      <c r="O8" s="69">
        <v>0.75</v>
      </c>
      <c r="P8" s="69">
        <v>0.2</v>
      </c>
      <c r="Q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406CC-1200-4B96-A6F0-82F7DDA3591D}">
  <sheetPr codeName="Sheet16"/>
  <dimension ref="A1:Q6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L5" s="69">
        <v>0</v>
      </c>
      <c r="Q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L6" s="69">
        <v>0</v>
      </c>
      <c r="Q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L7" s="69">
        <v>0</v>
      </c>
      <c r="Q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L8" s="69">
        <v>0</v>
      </c>
      <c r="Q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L9" s="69">
        <v>0</v>
      </c>
      <c r="Q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L10" s="69">
        <v>0</v>
      </c>
      <c r="Q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L11" s="69">
        <v>0</v>
      </c>
      <c r="Q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L12" s="69">
        <v>0</v>
      </c>
      <c r="Q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L13" s="69">
        <v>0</v>
      </c>
      <c r="Q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L14" s="69">
        <v>0</v>
      </c>
      <c r="Q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L15" s="69">
        <v>0</v>
      </c>
      <c r="Q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L16" s="69">
        <v>0</v>
      </c>
      <c r="Q16" s="69">
        <v>0.26666666666666666</v>
      </c>
    </row>
    <row r="17" spans="1:17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L17" s="69">
        <v>0</v>
      </c>
      <c r="Q17" s="69">
        <v>0.27272727272727271</v>
      </c>
    </row>
    <row r="18" spans="1:17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L18" s="69">
        <v>6.6666666666666666E-2</v>
      </c>
      <c r="Q18" s="69">
        <v>0.34210526315789475</v>
      </c>
    </row>
    <row r="19" spans="1:17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L19" s="69">
        <v>6.25E-2</v>
      </c>
      <c r="Q19" s="69">
        <v>0.36585365853658536</v>
      </c>
    </row>
    <row r="20" spans="1:17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L20" s="69">
        <v>5.8823529411764705E-2</v>
      </c>
      <c r="Q20" s="69">
        <v>0.38095238095238093</v>
      </c>
    </row>
    <row r="21" spans="1:17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L21" s="69">
        <v>5.5555555555555552E-2</v>
      </c>
      <c r="Q21" s="69">
        <v>0.37209302325581395</v>
      </c>
    </row>
    <row r="22" spans="1:17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L22" s="69">
        <v>5.2631578947368418E-2</v>
      </c>
      <c r="Q22" s="69">
        <v>0.38636363636363635</v>
      </c>
    </row>
    <row r="23" spans="1:17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L23" s="69">
        <v>0.05</v>
      </c>
      <c r="Q23" s="69">
        <v>0.38</v>
      </c>
    </row>
    <row r="24" spans="1:17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L24" s="69">
        <v>4.7619047619047616E-2</v>
      </c>
      <c r="Q24" s="69">
        <v>0.41818181818181815</v>
      </c>
    </row>
    <row r="25" spans="1:17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L25" s="69">
        <v>4.5454545454545456E-2</v>
      </c>
      <c r="Q25" s="69">
        <v>0.43859649122807015</v>
      </c>
    </row>
    <row r="26" spans="1:17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L26" s="69">
        <v>4.3478260869565216E-2</v>
      </c>
      <c r="Q26" s="69">
        <v>0.42622950819672129</v>
      </c>
    </row>
    <row r="27" spans="1:17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L27" s="69">
        <v>4.1666666666666664E-2</v>
      </c>
      <c r="Q27" s="69">
        <v>0.41935483870967744</v>
      </c>
    </row>
    <row r="28" spans="1:17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L28" s="69">
        <v>0.04</v>
      </c>
      <c r="Q28" s="69">
        <v>0.4375</v>
      </c>
    </row>
    <row r="29" spans="1:17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L29" s="69">
        <v>3.8461538461538464E-2</v>
      </c>
      <c r="Q29" s="69">
        <v>0.44927536231884058</v>
      </c>
    </row>
    <row r="30" spans="1:17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L30" s="69">
        <v>7.407407407407407E-2</v>
      </c>
      <c r="Q30" s="69">
        <v>0.45070422535211269</v>
      </c>
    </row>
    <row r="31" spans="1:17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L31" s="69">
        <v>7.1428571428571425E-2</v>
      </c>
      <c r="Q31" s="69">
        <v>0.43835616438356162</v>
      </c>
    </row>
    <row r="32" spans="1:17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L32" s="69">
        <v>6.8965517241379309E-2</v>
      </c>
      <c r="Q32" s="69">
        <v>0.41558441558441561</v>
      </c>
    </row>
    <row r="33" spans="1:17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L33" s="69">
        <v>6.6666666666666666E-2</v>
      </c>
      <c r="Q33" s="69">
        <v>0.41558441558441561</v>
      </c>
    </row>
    <row r="34" spans="1:17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L34" s="69">
        <v>6.4516129032258063E-2</v>
      </c>
      <c r="Q34" s="69">
        <v>0.42307692307692307</v>
      </c>
    </row>
    <row r="35" spans="1:17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L35" s="69">
        <v>6.25E-2</v>
      </c>
      <c r="Q35" s="69">
        <v>0.41975308641975306</v>
      </c>
    </row>
    <row r="36" spans="1:17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L36" s="69">
        <v>9.0909090909090912E-2</v>
      </c>
      <c r="Q36" s="69">
        <v>0.43529411764705883</v>
      </c>
    </row>
    <row r="37" spans="1:17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L37" s="69">
        <v>8.8235294117647065E-2</v>
      </c>
      <c r="Q37" s="69">
        <v>0.43678160919540232</v>
      </c>
    </row>
    <row r="38" spans="1:17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8.5714285714285715E-2</v>
      </c>
      <c r="M38" s="69">
        <v>0.14285714285714285</v>
      </c>
      <c r="N38" s="69">
        <v>0.42857142857142855</v>
      </c>
      <c r="O38" s="69">
        <v>0</v>
      </c>
      <c r="P38" s="69">
        <v>0</v>
      </c>
      <c r="Q38" s="69">
        <v>0.43678160919540232</v>
      </c>
    </row>
    <row r="39" spans="1:17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8.3333333333333329E-2</v>
      </c>
      <c r="M39" s="69">
        <v>0.30769230769230771</v>
      </c>
      <c r="N39" s="69">
        <v>0.38461538461538464</v>
      </c>
      <c r="O39" s="69">
        <v>0.5</v>
      </c>
      <c r="P39" s="69">
        <v>0.2</v>
      </c>
      <c r="Q39" s="69">
        <v>0.43956043956043955</v>
      </c>
    </row>
    <row r="40" spans="1:17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8.1081081081081086E-2</v>
      </c>
      <c r="M40" s="69">
        <v>0.23809523809523808</v>
      </c>
      <c r="N40" s="69">
        <v>0.38095238095238093</v>
      </c>
      <c r="O40" s="69">
        <v>0.4</v>
      </c>
      <c r="P40" s="69">
        <v>0.375</v>
      </c>
      <c r="Q40" s="69">
        <v>0.45263157894736844</v>
      </c>
    </row>
    <row r="41" spans="1:17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7.8947368421052627E-2</v>
      </c>
      <c r="M41" s="69">
        <v>0.20689655172413793</v>
      </c>
      <c r="N41" s="69">
        <v>0.37931034482758619</v>
      </c>
      <c r="O41" s="69">
        <v>0.33333333333333331</v>
      </c>
      <c r="P41" s="69">
        <v>0.36363636363636365</v>
      </c>
      <c r="Q41" s="69">
        <v>0.45833333333333331</v>
      </c>
    </row>
    <row r="42" spans="1:17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7.6923076923076927E-2</v>
      </c>
      <c r="M42" s="69">
        <v>0.21212121212121213</v>
      </c>
      <c r="N42" s="69">
        <v>0.33333333333333331</v>
      </c>
      <c r="O42" s="69">
        <v>0.42857142857142855</v>
      </c>
      <c r="P42" s="69">
        <v>0.36363636363636365</v>
      </c>
      <c r="Q42" s="69">
        <v>0.45360824742268041</v>
      </c>
    </row>
    <row r="43" spans="1:17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7.4999999999999997E-2</v>
      </c>
      <c r="M43" s="69">
        <v>0.17391304347826086</v>
      </c>
      <c r="N43" s="69">
        <v>0.34782608695652173</v>
      </c>
      <c r="O43" s="69">
        <v>0.5</v>
      </c>
      <c r="P43" s="69">
        <v>0.375</v>
      </c>
      <c r="Q43" s="69">
        <v>0.47</v>
      </c>
    </row>
    <row r="44" spans="1:17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7.3170731707317069E-2</v>
      </c>
      <c r="M44" s="69">
        <v>0.16326530612244897</v>
      </c>
      <c r="N44" s="69">
        <v>0.34693877551020408</v>
      </c>
      <c r="O44" s="69">
        <v>0.5</v>
      </c>
      <c r="P44" s="69">
        <v>0.35294117647058826</v>
      </c>
      <c r="Q44" s="69">
        <v>0.47</v>
      </c>
    </row>
    <row r="45" spans="1:17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7.1428571428571425E-2</v>
      </c>
      <c r="M45" s="69">
        <v>0.20967741935483872</v>
      </c>
      <c r="N45" s="69">
        <v>0.32258064516129031</v>
      </c>
      <c r="O45" s="69">
        <v>0.53846153846153844</v>
      </c>
      <c r="P45" s="69">
        <v>0.35</v>
      </c>
      <c r="Q45" s="69">
        <v>0.47619047619047616</v>
      </c>
    </row>
    <row r="46" spans="1:17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6.9767441860465115E-2</v>
      </c>
      <c r="M46" s="69">
        <v>0.21212121212121213</v>
      </c>
      <c r="N46" s="69">
        <v>0.34848484848484851</v>
      </c>
      <c r="O46" s="69">
        <v>0.5714285714285714</v>
      </c>
      <c r="P46" s="69">
        <v>0.39130434782608697</v>
      </c>
      <c r="Q46" s="69">
        <v>0.46296296296296297</v>
      </c>
    </row>
    <row r="47" spans="1:17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6.8181818181818177E-2</v>
      </c>
      <c r="M47" s="69">
        <v>0.20547945205479451</v>
      </c>
      <c r="N47" s="69">
        <v>0.35616438356164382</v>
      </c>
      <c r="O47" s="69">
        <v>0.53333333333333333</v>
      </c>
      <c r="P47" s="69">
        <v>0.38461538461538464</v>
      </c>
      <c r="Q47" s="69">
        <v>0.45454545454545453</v>
      </c>
    </row>
    <row r="48" spans="1:17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6.6666666666666666E-2</v>
      </c>
      <c r="M48" s="69">
        <v>0.20253164556962025</v>
      </c>
      <c r="N48" s="69">
        <v>0.35443037974683544</v>
      </c>
      <c r="O48" s="69">
        <v>0.5625</v>
      </c>
      <c r="P48" s="69">
        <v>0.35714285714285715</v>
      </c>
      <c r="Q48" s="69">
        <v>0.45045045045045046</v>
      </c>
    </row>
    <row r="49" spans="1:17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6.5217391304347824E-2</v>
      </c>
      <c r="M49" s="69">
        <v>0.18390804597701149</v>
      </c>
      <c r="N49" s="69">
        <v>0.34482758620689657</v>
      </c>
      <c r="O49" s="69">
        <v>0.5625</v>
      </c>
      <c r="P49" s="69">
        <v>0.33333333333333331</v>
      </c>
      <c r="Q49" s="69">
        <v>0.45045045045045046</v>
      </c>
    </row>
    <row r="50" spans="1:17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6.3829787234042548E-2</v>
      </c>
      <c r="M50" s="69">
        <v>0.17894736842105263</v>
      </c>
      <c r="N50" s="69">
        <v>0.33684210526315789</v>
      </c>
      <c r="O50" s="69">
        <v>0.58823529411764708</v>
      </c>
      <c r="P50" s="69">
        <v>0.375</v>
      </c>
      <c r="Q50" s="69">
        <v>0.43859649122807015</v>
      </c>
    </row>
    <row r="51" spans="1:17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6.25E-2</v>
      </c>
      <c r="M51" s="69">
        <v>0.20952380952380953</v>
      </c>
      <c r="N51" s="69">
        <v>0.32380952380952382</v>
      </c>
      <c r="O51" s="69">
        <v>0.68181818181818177</v>
      </c>
      <c r="P51" s="69">
        <v>0.38235294117647056</v>
      </c>
      <c r="Q51" s="69">
        <v>0.42148760330578511</v>
      </c>
    </row>
    <row r="52" spans="1:17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6.1224489795918366E-2</v>
      </c>
      <c r="M52" s="69">
        <v>0.22321428571428573</v>
      </c>
      <c r="N52" s="69">
        <v>0.33035714285714285</v>
      </c>
      <c r="O52" s="69">
        <v>0.68</v>
      </c>
      <c r="P52" s="69">
        <v>0.35135135135135137</v>
      </c>
      <c r="Q52" s="69">
        <v>0.43089430894308944</v>
      </c>
    </row>
    <row r="53" spans="1:17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0.06</v>
      </c>
      <c r="M53" s="69">
        <v>0.22123893805309736</v>
      </c>
      <c r="N53" s="69">
        <v>0.32743362831858408</v>
      </c>
      <c r="O53" s="69">
        <v>0.68</v>
      </c>
      <c r="P53" s="69">
        <v>0.35135135135135137</v>
      </c>
      <c r="Q53" s="69">
        <v>0.43089430894308944</v>
      </c>
    </row>
    <row r="54" spans="1:17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5.8823529411764705E-2</v>
      </c>
      <c r="M54" s="69">
        <v>0.22131147540983606</v>
      </c>
      <c r="N54" s="69">
        <v>0.31147540983606559</v>
      </c>
      <c r="O54" s="69">
        <v>0.66666666666666663</v>
      </c>
      <c r="P54" s="69">
        <v>0.36842105263157893</v>
      </c>
      <c r="Q54" s="69">
        <v>0.4573643410852713</v>
      </c>
    </row>
    <row r="55" spans="1:17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5.7692307692307696E-2</v>
      </c>
      <c r="M55" s="69">
        <v>0.22900763358778625</v>
      </c>
      <c r="N55" s="69">
        <v>0.29770992366412213</v>
      </c>
      <c r="O55" s="69">
        <v>0.66666666666666663</v>
      </c>
      <c r="P55" s="69">
        <v>0.38461538461538464</v>
      </c>
      <c r="Q55" s="69">
        <v>0.46616541353383456</v>
      </c>
    </row>
    <row r="56" spans="1:17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5.6603773584905662E-2</v>
      </c>
      <c r="M56" s="69">
        <v>0.22058823529411764</v>
      </c>
      <c r="N56" s="69">
        <v>0.3014705882352941</v>
      </c>
      <c r="O56" s="69">
        <v>0.66666666666666663</v>
      </c>
      <c r="P56" s="69">
        <v>0.36585365853658536</v>
      </c>
      <c r="Q56" s="69">
        <v>0.46616541353383456</v>
      </c>
    </row>
    <row r="57" spans="1:17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5.5555555555555552E-2</v>
      </c>
      <c r="M57" s="69">
        <v>0.22448979591836735</v>
      </c>
      <c r="N57" s="69">
        <v>0.32653061224489793</v>
      </c>
      <c r="O57" s="69">
        <v>0.66666666666666663</v>
      </c>
      <c r="P57" s="69">
        <v>0.35416666666666669</v>
      </c>
      <c r="Q57" s="69">
        <v>0.45985401459854014</v>
      </c>
    </row>
    <row r="58" spans="1:17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5.4545454545454543E-2</v>
      </c>
      <c r="M58" s="69">
        <v>0.23376623376623376</v>
      </c>
      <c r="N58" s="69">
        <v>0.32467532467532467</v>
      </c>
      <c r="O58" s="69">
        <v>0.63888888888888884</v>
      </c>
      <c r="P58" s="69">
        <v>0.38</v>
      </c>
      <c r="Q58" s="69">
        <v>0.46099290780141844</v>
      </c>
    </row>
    <row r="59" spans="1:17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5.3571428571428568E-2</v>
      </c>
      <c r="M59" s="69">
        <v>0.23170731707317074</v>
      </c>
      <c r="N59" s="69">
        <v>0.31707317073170732</v>
      </c>
      <c r="O59" s="69">
        <v>0.63157894736842102</v>
      </c>
      <c r="P59" s="69">
        <v>0.38461538461538464</v>
      </c>
      <c r="Q59" s="69">
        <v>0.46853146853146854</v>
      </c>
    </row>
    <row r="60" spans="1:17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5.2631578947368418E-2</v>
      </c>
      <c r="M60" s="69">
        <v>0.22674418604651161</v>
      </c>
      <c r="N60" s="69">
        <v>0.31976744186046513</v>
      </c>
      <c r="O60" s="69">
        <v>0.61538461538461542</v>
      </c>
      <c r="P60" s="69">
        <v>0.38181818181818183</v>
      </c>
      <c r="Q60" s="69">
        <v>0.46527777777777779</v>
      </c>
    </row>
    <row r="61" spans="1:17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5.1724137931034482E-2</v>
      </c>
      <c r="M61" s="69">
        <v>0.22651933701657459</v>
      </c>
      <c r="N61" s="69">
        <v>0.32596685082872928</v>
      </c>
      <c r="O61" s="69">
        <v>0.63414634146341464</v>
      </c>
      <c r="P61" s="69">
        <v>0.38983050847457629</v>
      </c>
      <c r="Q61" s="69">
        <v>0.45945945945945948</v>
      </c>
    </row>
    <row r="62" spans="1:17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5.0847457627118647E-2</v>
      </c>
      <c r="M62" s="69">
        <v>0.22872340425531915</v>
      </c>
      <c r="N62" s="69">
        <v>0.31914893617021278</v>
      </c>
      <c r="O62" s="69">
        <v>0.62790697674418605</v>
      </c>
      <c r="P62" s="69">
        <v>0.38333333333333336</v>
      </c>
      <c r="Q62" s="69">
        <v>0.4563758389261745</v>
      </c>
    </row>
    <row r="63" spans="1:17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0.05</v>
      </c>
      <c r="M63" s="69">
        <v>0.23076923076923078</v>
      </c>
      <c r="N63" s="69">
        <v>0.31794871794871793</v>
      </c>
      <c r="O63" s="69">
        <v>0.62222222222222223</v>
      </c>
      <c r="P63" s="69">
        <v>0.38709677419354838</v>
      </c>
      <c r="Q63" s="69">
        <v>0.45033112582781459</v>
      </c>
    </row>
    <row r="64" spans="1:17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4.9180327868852458E-2</v>
      </c>
      <c r="M64" s="69">
        <v>0.23645320197044334</v>
      </c>
      <c r="N64" s="69">
        <v>0.31527093596059114</v>
      </c>
      <c r="O64" s="69">
        <v>0.58333333333333337</v>
      </c>
      <c r="P64" s="69">
        <v>0.40625</v>
      </c>
      <c r="Q64" s="69">
        <v>0.44444444444444442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15F3D-3D1D-4D9C-B105-4B08A98A3C07}">
  <sheetPr codeName="Sheet14"/>
  <dimension ref="A1:Q13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L4" s="69">
        <v>0</v>
      </c>
      <c r="Q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L6" s="69">
        <v>0</v>
      </c>
      <c r="Q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L7" s="69">
        <v>0.25</v>
      </c>
      <c r="Q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L8" s="69">
        <v>0.2</v>
      </c>
      <c r="Q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L9" s="69">
        <v>0.16666666666666666</v>
      </c>
      <c r="Q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L10" s="69">
        <v>0.14285714285714285</v>
      </c>
      <c r="Q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L11" s="69">
        <v>0.125</v>
      </c>
      <c r="Q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L12" s="69">
        <v>0.1111111111111111</v>
      </c>
      <c r="Q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L13" s="69">
        <v>0.1</v>
      </c>
      <c r="Q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L14" s="69">
        <v>9.0909090909090912E-2</v>
      </c>
      <c r="Q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L15" s="69">
        <v>8.3333333333333329E-2</v>
      </c>
      <c r="Q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L16" s="69">
        <v>7.6923076923076927E-2</v>
      </c>
      <c r="Q16" s="69">
        <v>0.25</v>
      </c>
    </row>
    <row r="17" spans="1:17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L17" s="69">
        <v>7.1428571428571425E-2</v>
      </c>
      <c r="Q17" s="69">
        <v>0.30434782608695654</v>
      </c>
    </row>
    <row r="18" spans="1:17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L18" s="69">
        <v>0.13333333333333333</v>
      </c>
      <c r="Q18" s="69">
        <v>0.32</v>
      </c>
    </row>
    <row r="19" spans="1:17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L19" s="69">
        <v>0.125</v>
      </c>
      <c r="Q19" s="69">
        <v>0.34615384615384615</v>
      </c>
    </row>
    <row r="20" spans="1:17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L20" s="69">
        <v>0.11764705882352941</v>
      </c>
      <c r="Q20" s="69">
        <v>0.37931034482758619</v>
      </c>
    </row>
    <row r="21" spans="1:17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L21" s="69">
        <v>0.1111111111111111</v>
      </c>
      <c r="Q21" s="69">
        <v>0.37931034482758619</v>
      </c>
    </row>
    <row r="22" spans="1:17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L22" s="69">
        <v>0.10526315789473684</v>
      </c>
      <c r="Q22" s="69">
        <v>0.375</v>
      </c>
    </row>
    <row r="23" spans="1:17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L23" s="69">
        <v>0.1</v>
      </c>
      <c r="Q23" s="69">
        <v>0.39393939393939392</v>
      </c>
    </row>
    <row r="24" spans="1:17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L24" s="69">
        <v>9.5238095238095233E-2</v>
      </c>
      <c r="Q24" s="69">
        <v>0.39393939393939392</v>
      </c>
    </row>
    <row r="25" spans="1:17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L25" s="69">
        <v>9.0909090909090912E-2</v>
      </c>
      <c r="Q25" s="69">
        <v>0.37142857142857144</v>
      </c>
    </row>
    <row r="26" spans="1:17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L26" s="69">
        <v>8.6956521739130432E-2</v>
      </c>
      <c r="Q26" s="69">
        <v>0.3783783783783784</v>
      </c>
    </row>
    <row r="27" spans="1:17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L27" s="69">
        <v>0.125</v>
      </c>
      <c r="Q27" s="69">
        <v>0.4</v>
      </c>
    </row>
    <row r="28" spans="1:17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L28" s="69">
        <v>0.12</v>
      </c>
      <c r="Q28" s="69">
        <v>0.38095238095238093</v>
      </c>
    </row>
    <row r="29" spans="1:17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L29" s="69">
        <v>0.11538461538461539</v>
      </c>
      <c r="Q29" s="69">
        <v>0.37209302325581395</v>
      </c>
    </row>
    <row r="30" spans="1:17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L30" s="69">
        <v>0.1111111111111111</v>
      </c>
      <c r="Q30" s="69">
        <v>0.38636363636363635</v>
      </c>
    </row>
    <row r="31" spans="1:17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L31" s="69">
        <v>0.10714285714285714</v>
      </c>
      <c r="Q31" s="69">
        <v>0.4</v>
      </c>
    </row>
    <row r="32" spans="1:17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L32" s="69">
        <v>0.10344827586206896</v>
      </c>
      <c r="Q32" s="69">
        <v>0.39583333333333331</v>
      </c>
    </row>
    <row r="33" spans="1:17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L33" s="69">
        <v>0.1</v>
      </c>
      <c r="Q33" s="69">
        <v>0.39583333333333331</v>
      </c>
    </row>
    <row r="34" spans="1:17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L34" s="69">
        <v>9.6774193548387094E-2</v>
      </c>
      <c r="Q34" s="69">
        <v>0.39583333333333331</v>
      </c>
    </row>
    <row r="35" spans="1:17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L35" s="69">
        <v>0.125</v>
      </c>
      <c r="Q35" s="69">
        <v>0.37735849056603776</v>
      </c>
    </row>
    <row r="36" spans="1:17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L36" s="69">
        <v>0.15151515151515152</v>
      </c>
      <c r="Q36" s="69">
        <v>0.35087719298245612</v>
      </c>
    </row>
    <row r="37" spans="1:17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L37" s="69">
        <v>0.14705882352941177</v>
      </c>
      <c r="Q37" s="69">
        <v>0.3559322033898305</v>
      </c>
    </row>
    <row r="38" spans="1:17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L38" s="69">
        <v>0.14285714285714285</v>
      </c>
      <c r="Q38" s="69">
        <v>0.37704918032786883</v>
      </c>
    </row>
    <row r="39" spans="1:17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L39" s="69">
        <v>0.1388888888888889</v>
      </c>
      <c r="Q39" s="69">
        <v>0.37704918032786883</v>
      </c>
    </row>
    <row r="40" spans="1:17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0.13513513513513514</v>
      </c>
      <c r="M40" s="69">
        <v>0.33333333333333331</v>
      </c>
      <c r="N40" s="69">
        <v>0.33333333333333331</v>
      </c>
      <c r="O40" s="69">
        <v>0</v>
      </c>
      <c r="P40" s="69">
        <v>0</v>
      </c>
      <c r="Q40" s="69">
        <v>0.37704918032786883</v>
      </c>
    </row>
    <row r="41" spans="1:17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0.13157894736842105</v>
      </c>
      <c r="M41" s="69">
        <v>0.45454545454545453</v>
      </c>
      <c r="N41" s="69">
        <v>0.18181818181818182</v>
      </c>
      <c r="O41" s="69">
        <v>0.4</v>
      </c>
      <c r="P41" s="69">
        <v>0</v>
      </c>
      <c r="Q41" s="69">
        <v>0.3968253968253968</v>
      </c>
    </row>
    <row r="42" spans="1:17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0.12820512820512819</v>
      </c>
      <c r="M42" s="69">
        <v>0.42105263157894735</v>
      </c>
      <c r="N42" s="69">
        <v>0.15789473684210525</v>
      </c>
      <c r="O42" s="69">
        <v>0.375</v>
      </c>
      <c r="P42" s="69">
        <v>0.33333333333333331</v>
      </c>
      <c r="Q42" s="69">
        <v>0.4</v>
      </c>
    </row>
    <row r="43" spans="1:17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0.125</v>
      </c>
      <c r="M43" s="69">
        <v>0.32</v>
      </c>
      <c r="N43" s="69">
        <v>0.16</v>
      </c>
      <c r="O43" s="69">
        <v>0.375</v>
      </c>
      <c r="P43" s="69">
        <v>0.25</v>
      </c>
      <c r="Q43" s="69">
        <v>0.4</v>
      </c>
    </row>
    <row r="44" spans="1:17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0.12195121951219512</v>
      </c>
      <c r="M44" s="69">
        <v>0.27586206896551724</v>
      </c>
      <c r="N44" s="69">
        <v>0.13793103448275862</v>
      </c>
      <c r="O44" s="69">
        <v>0.375</v>
      </c>
      <c r="P44" s="69">
        <v>0.25</v>
      </c>
      <c r="Q44" s="69">
        <v>0.4</v>
      </c>
    </row>
    <row r="45" spans="1:17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0.11904761904761904</v>
      </c>
      <c r="M45" s="69">
        <v>0.31428571428571428</v>
      </c>
      <c r="N45" s="69">
        <v>0.11428571428571428</v>
      </c>
      <c r="O45" s="69">
        <v>0.45454545454545453</v>
      </c>
      <c r="P45" s="69">
        <v>0.25</v>
      </c>
      <c r="Q45" s="69">
        <v>0.41791044776119401</v>
      </c>
    </row>
    <row r="46" spans="1:17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0.11627906976744186</v>
      </c>
      <c r="M46" s="69">
        <v>0.31707317073170732</v>
      </c>
      <c r="N46" s="69">
        <v>0.14634146341463414</v>
      </c>
      <c r="O46" s="69">
        <v>0.53846153846153844</v>
      </c>
      <c r="P46" s="69">
        <v>0.16666666666666666</v>
      </c>
      <c r="Q46" s="69">
        <v>0.44285714285714284</v>
      </c>
    </row>
    <row r="47" spans="1:17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0.11363636363636363</v>
      </c>
      <c r="M47" s="69">
        <v>0.28301886792452829</v>
      </c>
      <c r="N47" s="69">
        <v>0.16981132075471697</v>
      </c>
      <c r="O47" s="69">
        <v>0.6</v>
      </c>
      <c r="P47" s="69">
        <v>0.33333333333333331</v>
      </c>
      <c r="Q47" s="69">
        <v>0.44736842105263158</v>
      </c>
    </row>
    <row r="48" spans="1:17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0.1111111111111111</v>
      </c>
      <c r="M48" s="69">
        <v>0.3</v>
      </c>
      <c r="N48" s="69">
        <v>0.16666666666666666</v>
      </c>
      <c r="O48" s="69">
        <v>0.55555555555555558</v>
      </c>
      <c r="P48" s="69">
        <v>0.3</v>
      </c>
      <c r="Q48" s="69">
        <v>0.45454545454545453</v>
      </c>
    </row>
    <row r="49" spans="1:17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0.10869565217391304</v>
      </c>
      <c r="M49" s="69">
        <v>0.30769230769230771</v>
      </c>
      <c r="N49" s="69">
        <v>0.18461538461538463</v>
      </c>
      <c r="O49" s="69">
        <v>0.6</v>
      </c>
      <c r="P49" s="69">
        <v>0.25</v>
      </c>
      <c r="Q49" s="69">
        <v>0.45569620253164556</v>
      </c>
    </row>
    <row r="50" spans="1:17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0.1276595744680851</v>
      </c>
      <c r="M50" s="69">
        <v>0.30379746835443039</v>
      </c>
      <c r="N50" s="69">
        <v>0.21518987341772153</v>
      </c>
      <c r="O50" s="69">
        <v>0.58333333333333337</v>
      </c>
      <c r="P50" s="69">
        <v>0.29411764705882354</v>
      </c>
      <c r="Q50" s="69">
        <v>0.4642857142857143</v>
      </c>
    </row>
    <row r="51" spans="1:17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0.125</v>
      </c>
      <c r="M51" s="69">
        <v>0.31034482758620691</v>
      </c>
      <c r="N51" s="69">
        <v>0.22988505747126436</v>
      </c>
      <c r="O51" s="69">
        <v>0.55555555555555558</v>
      </c>
      <c r="P51" s="69">
        <v>0.25</v>
      </c>
      <c r="Q51" s="69">
        <v>0.47058823529411764</v>
      </c>
    </row>
    <row r="52" spans="1:17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0.12244897959183673</v>
      </c>
      <c r="M52" s="69">
        <v>0.28421052631578947</v>
      </c>
      <c r="N52" s="69">
        <v>0.23157894736842105</v>
      </c>
      <c r="O52" s="69">
        <v>0.55555555555555558</v>
      </c>
      <c r="P52" s="69">
        <v>0.31818181818181818</v>
      </c>
      <c r="Q52" s="69">
        <v>0.47126436781609193</v>
      </c>
    </row>
    <row r="53" spans="1:17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0.12</v>
      </c>
      <c r="M53" s="69">
        <v>0.27184466019417475</v>
      </c>
      <c r="N53" s="69">
        <v>0.22330097087378642</v>
      </c>
      <c r="O53" s="69">
        <v>0.5714285714285714</v>
      </c>
      <c r="P53" s="69">
        <v>0.34782608695652173</v>
      </c>
      <c r="Q53" s="69">
        <v>0.4606741573033708</v>
      </c>
    </row>
    <row r="54" spans="1:17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0.11764705882352941</v>
      </c>
      <c r="M54" s="69">
        <v>0.2818181818181818</v>
      </c>
      <c r="N54" s="69">
        <v>0.22727272727272727</v>
      </c>
      <c r="O54" s="69">
        <v>0.54838709677419351</v>
      </c>
      <c r="P54" s="69">
        <v>0.32</v>
      </c>
      <c r="Q54" s="69">
        <v>0.45555555555555555</v>
      </c>
    </row>
    <row r="55" spans="1:17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0.11538461538461539</v>
      </c>
      <c r="M55" s="69">
        <v>0.27731092436974791</v>
      </c>
      <c r="N55" s="69">
        <v>0.21848739495798319</v>
      </c>
      <c r="O55" s="69">
        <v>0.51515151515151514</v>
      </c>
      <c r="P55" s="69">
        <v>0.30769230769230771</v>
      </c>
      <c r="Q55" s="69">
        <v>0.45555555555555555</v>
      </c>
    </row>
    <row r="56" spans="1:17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0.11320754716981132</v>
      </c>
      <c r="M56" s="69">
        <v>0.27559055118110237</v>
      </c>
      <c r="N56" s="69">
        <v>0.22047244094488189</v>
      </c>
      <c r="O56" s="69">
        <v>0.54285714285714282</v>
      </c>
      <c r="P56" s="69">
        <v>0.32142857142857145</v>
      </c>
      <c r="Q56" s="69">
        <v>0.44086021505376344</v>
      </c>
    </row>
    <row r="57" spans="1:17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0.1111111111111111</v>
      </c>
      <c r="M57" s="69">
        <v>0.28985507246376813</v>
      </c>
      <c r="N57" s="69">
        <v>0.20289855072463769</v>
      </c>
      <c r="O57" s="69">
        <v>0.5</v>
      </c>
      <c r="P57" s="69">
        <v>0.32142857142857145</v>
      </c>
      <c r="Q57" s="69">
        <v>0.43617021276595747</v>
      </c>
    </row>
    <row r="58" spans="1:17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0.10909090909090909</v>
      </c>
      <c r="M58" s="69">
        <v>0.28472222222222221</v>
      </c>
      <c r="N58" s="69">
        <v>0.2013888888888889</v>
      </c>
      <c r="O58" s="69">
        <v>0.51219512195121952</v>
      </c>
      <c r="P58" s="69">
        <v>0.31034482758620691</v>
      </c>
      <c r="Q58" s="69">
        <v>0.44210526315789472</v>
      </c>
    </row>
    <row r="59" spans="1:17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0.10714285714285714</v>
      </c>
      <c r="M59" s="69">
        <v>0.27272727272727271</v>
      </c>
      <c r="N59" s="69">
        <v>0.18831168831168832</v>
      </c>
      <c r="O59" s="69">
        <v>0.52380952380952384</v>
      </c>
      <c r="P59" s="69">
        <v>0.31034482758620691</v>
      </c>
      <c r="Q59" s="69">
        <v>0.44329896907216493</v>
      </c>
    </row>
    <row r="60" spans="1:17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0.10526315789473684</v>
      </c>
      <c r="M60" s="69">
        <v>0.26993865030674846</v>
      </c>
      <c r="N60" s="69">
        <v>0.19018404907975461</v>
      </c>
      <c r="O60" s="69">
        <v>0.54545454545454541</v>
      </c>
      <c r="P60" s="69">
        <v>0.29032258064516131</v>
      </c>
      <c r="Q60" s="69">
        <v>0.44</v>
      </c>
    </row>
    <row r="61" spans="1:17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0.1206896551724138</v>
      </c>
      <c r="M61" s="69">
        <v>0.2807017543859649</v>
      </c>
      <c r="N61" s="69">
        <v>0.19298245614035087</v>
      </c>
      <c r="O61" s="69">
        <v>0.5625</v>
      </c>
      <c r="P61" s="69">
        <v>0.33333333333333331</v>
      </c>
      <c r="Q61" s="69">
        <v>0.43809523809523809</v>
      </c>
    </row>
    <row r="62" spans="1:17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0.11864406779661017</v>
      </c>
      <c r="M62" s="69">
        <v>0.2824858757062147</v>
      </c>
      <c r="N62" s="69">
        <v>0.19209039548022599</v>
      </c>
      <c r="O62" s="69">
        <v>0.56000000000000005</v>
      </c>
      <c r="P62" s="69">
        <v>0.35294117647058826</v>
      </c>
      <c r="Q62" s="69">
        <v>0.44444444444444442</v>
      </c>
    </row>
    <row r="63" spans="1:17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0.11666666666666667</v>
      </c>
      <c r="M63" s="69">
        <v>0.28333333333333333</v>
      </c>
      <c r="N63" s="69">
        <v>0.19444444444444445</v>
      </c>
      <c r="O63" s="69">
        <v>0.56862745098039214</v>
      </c>
      <c r="P63" s="69">
        <v>0.34285714285714286</v>
      </c>
      <c r="Q63" s="69">
        <v>0.44036697247706424</v>
      </c>
    </row>
    <row r="64" spans="1:17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0.11475409836065574</v>
      </c>
      <c r="M64" s="69">
        <v>0.27807486631016043</v>
      </c>
      <c r="N64" s="69">
        <v>0.18716577540106952</v>
      </c>
      <c r="O64" s="69">
        <v>0.57692307692307687</v>
      </c>
      <c r="P64" s="69">
        <v>0.34285714285714286</v>
      </c>
      <c r="Q64" s="69">
        <v>0.43636363636363634</v>
      </c>
    </row>
    <row r="65" spans="1:17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0.11290322580645161</v>
      </c>
      <c r="M65" s="69">
        <v>0.27692307692307694</v>
      </c>
      <c r="N65" s="69">
        <v>0.17948717948717949</v>
      </c>
      <c r="O65" s="69">
        <v>0.55555555555555558</v>
      </c>
      <c r="P65" s="69">
        <v>0.34285714285714286</v>
      </c>
      <c r="Q65" s="69">
        <v>0.43636363636363634</v>
      </c>
    </row>
    <row r="66" spans="1:17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0.1111111111111111</v>
      </c>
      <c r="M66" s="69">
        <v>0.2780487804878049</v>
      </c>
      <c r="N66" s="69">
        <v>0.17073170731707318</v>
      </c>
      <c r="O66" s="69">
        <v>0.54385964912280704</v>
      </c>
      <c r="P66" s="69">
        <v>0.34285714285714286</v>
      </c>
      <c r="Q66" s="69">
        <v>0.43243243243243246</v>
      </c>
    </row>
    <row r="67" spans="1:17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0.109375</v>
      </c>
      <c r="M67" s="69">
        <v>0.28436018957345971</v>
      </c>
      <c r="N67" s="69">
        <v>0.16587677725118483</v>
      </c>
      <c r="O67" s="69">
        <v>0.51666666666666672</v>
      </c>
      <c r="P67" s="69">
        <v>0.34285714285714286</v>
      </c>
      <c r="Q67" s="69">
        <v>0.43243243243243246</v>
      </c>
    </row>
    <row r="68" spans="1:17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0.1076923076923077</v>
      </c>
      <c r="M68" s="69">
        <v>0.28240740740740738</v>
      </c>
      <c r="N68" s="69">
        <v>0.16666666666666666</v>
      </c>
      <c r="O68" s="69">
        <v>0.50819672131147542</v>
      </c>
      <c r="P68" s="69">
        <v>0.33333333333333331</v>
      </c>
      <c r="Q68" s="69">
        <v>0.42857142857142855</v>
      </c>
    </row>
    <row r="69" spans="1:17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0.10606060606060606</v>
      </c>
      <c r="M69" s="69">
        <v>0.29257641921397382</v>
      </c>
      <c r="N69" s="69">
        <v>0.16593886462882096</v>
      </c>
      <c r="O69" s="69">
        <v>0.5074626865671642</v>
      </c>
      <c r="P69" s="69">
        <v>0.31578947368421051</v>
      </c>
      <c r="Q69" s="69">
        <v>0.42241379310344829</v>
      </c>
    </row>
    <row r="70" spans="1:17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0.1044776119402985</v>
      </c>
      <c r="M70" s="69">
        <v>0.28991596638655465</v>
      </c>
      <c r="N70" s="69">
        <v>0.1638655462184874</v>
      </c>
      <c r="O70" s="69">
        <v>0.52173913043478259</v>
      </c>
      <c r="P70" s="69">
        <v>0.33333333333333331</v>
      </c>
      <c r="Q70" s="69">
        <v>0.42857142857142855</v>
      </c>
    </row>
    <row r="71" spans="1:17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0.10294117647058823</v>
      </c>
      <c r="M71" s="69">
        <v>0.28514056224899598</v>
      </c>
      <c r="N71" s="69">
        <v>0.1606425702811245</v>
      </c>
      <c r="O71" s="69">
        <v>0.52112676056338025</v>
      </c>
      <c r="P71" s="69">
        <v>0.35</v>
      </c>
      <c r="Q71" s="69">
        <v>0.41803278688524592</v>
      </c>
    </row>
    <row r="72" spans="1:17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0.10144927536231885</v>
      </c>
      <c r="M72" s="69">
        <v>0.2890625</v>
      </c>
      <c r="N72" s="69">
        <v>0.16015625</v>
      </c>
      <c r="O72" s="69">
        <v>0.54054054054054057</v>
      </c>
      <c r="P72" s="69">
        <v>0.34146341463414637</v>
      </c>
      <c r="Q72" s="69">
        <v>0.41599999999999998</v>
      </c>
    </row>
    <row r="73" spans="1:17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0.1</v>
      </c>
      <c r="M73" s="69">
        <v>0.29343629343629346</v>
      </c>
      <c r="N73" s="69">
        <v>0.15830115830115829</v>
      </c>
      <c r="O73" s="69">
        <v>0.55263157894736847</v>
      </c>
      <c r="P73" s="69">
        <v>0.34146341463414637</v>
      </c>
      <c r="Q73" s="69">
        <v>0.41732283464566927</v>
      </c>
    </row>
    <row r="74" spans="1:17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9.8591549295774641E-2</v>
      </c>
      <c r="M74" s="69">
        <v>0.29588014981273408</v>
      </c>
      <c r="N74" s="69">
        <v>0.15355805243445692</v>
      </c>
      <c r="O74" s="69">
        <v>0.54430379746835444</v>
      </c>
      <c r="P74" s="69">
        <v>0.34146341463414637</v>
      </c>
      <c r="Q74" s="69">
        <v>0.41538461538461541</v>
      </c>
    </row>
    <row r="75" spans="1:17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9.7222222222222224E-2</v>
      </c>
      <c r="M75" s="69">
        <v>0.29304029304029305</v>
      </c>
      <c r="N75" s="69">
        <v>0.15018315018315018</v>
      </c>
      <c r="O75" s="69">
        <v>0.53749999999999998</v>
      </c>
      <c r="P75" s="69">
        <v>0.34146341463414637</v>
      </c>
      <c r="Q75" s="69">
        <v>0.41538461538461541</v>
      </c>
    </row>
    <row r="76" spans="1:17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9.5890410958904104E-2</v>
      </c>
      <c r="M76" s="69">
        <v>0.29020979020979021</v>
      </c>
      <c r="N76" s="69">
        <v>0.16783216783216784</v>
      </c>
      <c r="O76" s="69">
        <v>0.55421686746987953</v>
      </c>
      <c r="P76" s="69">
        <v>0.35416666666666669</v>
      </c>
      <c r="Q76" s="69">
        <v>0.40441176470588236</v>
      </c>
    </row>
    <row r="77" spans="1:17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9.45945945945946E-2</v>
      </c>
      <c r="M77" s="69">
        <v>0.2910958904109589</v>
      </c>
      <c r="N77" s="69">
        <v>0.16438356164383561</v>
      </c>
      <c r="O77" s="69">
        <v>0.55294117647058827</v>
      </c>
      <c r="P77" s="69">
        <v>0.35416666666666669</v>
      </c>
      <c r="Q77" s="69">
        <v>0.40579710144927539</v>
      </c>
    </row>
    <row r="78" spans="1:17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9.3333333333333338E-2</v>
      </c>
      <c r="M78" s="69">
        <v>0.28382838283828382</v>
      </c>
      <c r="N78" s="69">
        <v>0.16831683168316833</v>
      </c>
      <c r="O78" s="69">
        <v>0.54651162790697672</v>
      </c>
      <c r="P78" s="69">
        <v>0.37254901960784315</v>
      </c>
      <c r="Q78" s="69">
        <v>0.40714285714285714</v>
      </c>
    </row>
    <row r="79" spans="1:17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9.2105263157894732E-2</v>
      </c>
      <c r="M79" s="69">
        <v>0.28852459016393445</v>
      </c>
      <c r="N79" s="69">
        <v>0.16721311475409836</v>
      </c>
      <c r="O79" s="69">
        <v>0.55681818181818177</v>
      </c>
      <c r="P79" s="69">
        <v>0.37254901960784315</v>
      </c>
      <c r="Q79" s="69">
        <v>0.40845070422535212</v>
      </c>
    </row>
    <row r="80" spans="1:17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9.0909090909090912E-2</v>
      </c>
      <c r="M80" s="69">
        <v>0.28525641025641024</v>
      </c>
      <c r="N80" s="69">
        <v>0.16987179487179488</v>
      </c>
      <c r="O80" s="69">
        <v>0.5617977528089888</v>
      </c>
      <c r="P80" s="69">
        <v>0.37735849056603776</v>
      </c>
      <c r="Q80" s="69">
        <v>0.40972222222222221</v>
      </c>
    </row>
    <row r="81" spans="1:17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8.9743589743589744E-2</v>
      </c>
      <c r="M81" s="69">
        <v>0.28660436137071649</v>
      </c>
      <c r="N81" s="69">
        <v>0.17445482866043613</v>
      </c>
      <c r="O81" s="69">
        <v>0.55434782608695654</v>
      </c>
      <c r="P81" s="69">
        <v>0.39285714285714285</v>
      </c>
      <c r="Q81" s="69">
        <v>0.40540540540540543</v>
      </c>
    </row>
    <row r="82" spans="1:17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8.8607594936708861E-2</v>
      </c>
      <c r="M82" s="69">
        <v>0.29051987767584098</v>
      </c>
      <c r="N82" s="69">
        <v>0.1743119266055046</v>
      </c>
      <c r="O82" s="69">
        <v>0.5368421052631579</v>
      </c>
      <c r="P82" s="69">
        <v>0.40350877192982454</v>
      </c>
      <c r="Q82" s="69">
        <v>0.40666666666666668</v>
      </c>
    </row>
    <row r="83" spans="1:17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8.7499999999999994E-2</v>
      </c>
      <c r="M83" s="69">
        <v>0.28869047619047616</v>
      </c>
      <c r="N83" s="69">
        <v>0.17261904761904762</v>
      </c>
      <c r="O83" s="69">
        <v>0.54639175257731953</v>
      </c>
      <c r="P83" s="69">
        <v>0.39655172413793105</v>
      </c>
      <c r="Q83" s="69">
        <v>0.40131578947368424</v>
      </c>
    </row>
    <row r="84" spans="1:17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8.6419753086419748E-2</v>
      </c>
      <c r="M84" s="69">
        <v>0.28901734104046245</v>
      </c>
      <c r="N84" s="69">
        <v>0.17341040462427745</v>
      </c>
      <c r="O84" s="69">
        <v>0.55000000000000004</v>
      </c>
      <c r="P84" s="69">
        <v>0.4</v>
      </c>
      <c r="Q84" s="69">
        <v>0.4</v>
      </c>
    </row>
    <row r="85" spans="1:17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8.5365853658536592E-2</v>
      </c>
      <c r="M85" s="69">
        <v>0.28732394366197184</v>
      </c>
      <c r="N85" s="69">
        <v>0.17746478873239438</v>
      </c>
      <c r="O85" s="69">
        <v>0.5490196078431373</v>
      </c>
      <c r="P85" s="69">
        <v>0.38095238095238093</v>
      </c>
      <c r="Q85" s="69">
        <v>0.40384615384615385</v>
      </c>
    </row>
    <row r="86" spans="1:17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8.4337349397590355E-2</v>
      </c>
      <c r="M86" s="69">
        <v>0.28846153846153844</v>
      </c>
      <c r="N86" s="69">
        <v>0.18131868131868131</v>
      </c>
      <c r="O86" s="69">
        <v>0.55238095238095242</v>
      </c>
      <c r="P86" s="69">
        <v>0.37878787878787878</v>
      </c>
      <c r="Q86" s="69">
        <v>0.40251572327044027</v>
      </c>
    </row>
    <row r="87" spans="1:17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8.3333333333333329E-2</v>
      </c>
      <c r="M87" s="69">
        <v>0.2872628726287263</v>
      </c>
      <c r="N87" s="69">
        <v>0.18157181571815717</v>
      </c>
      <c r="O87" s="69">
        <v>0.55660377358490565</v>
      </c>
      <c r="P87" s="69">
        <v>0.38805970149253732</v>
      </c>
      <c r="Q87" s="69">
        <v>0.40372670807453415</v>
      </c>
    </row>
    <row r="88" spans="1:17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8.2352941176470587E-2</v>
      </c>
      <c r="M88" s="69">
        <v>0.28342245989304815</v>
      </c>
      <c r="N88" s="69">
        <v>0.17914438502673796</v>
      </c>
      <c r="O88" s="69">
        <v>0.55660377358490565</v>
      </c>
      <c r="P88" s="69">
        <v>0.38805970149253732</v>
      </c>
      <c r="Q88" s="69">
        <v>0.40372670807453415</v>
      </c>
    </row>
    <row r="89" spans="1:17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8.1395348837209308E-2</v>
      </c>
      <c r="M89" s="69">
        <v>0.2879581151832461</v>
      </c>
      <c r="N89" s="69">
        <v>0.17801047120418848</v>
      </c>
      <c r="O89" s="69">
        <v>0.55454545454545456</v>
      </c>
      <c r="P89" s="69">
        <v>0.38235294117647056</v>
      </c>
      <c r="Q89" s="69">
        <v>0.41104294478527609</v>
      </c>
    </row>
    <row r="90" spans="1:17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8.0459770114942528E-2</v>
      </c>
      <c r="M90" s="69">
        <v>0.28900255754475701</v>
      </c>
      <c r="N90" s="69">
        <v>0.17902813299232737</v>
      </c>
      <c r="O90" s="69">
        <v>0.5663716814159292</v>
      </c>
      <c r="P90" s="69">
        <v>0.38571428571428573</v>
      </c>
      <c r="Q90" s="69">
        <v>0.41916167664670656</v>
      </c>
    </row>
    <row r="91" spans="1:17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7.9545454545454544E-2</v>
      </c>
      <c r="M91" s="69">
        <v>0.28678304239401498</v>
      </c>
      <c r="N91" s="69">
        <v>0.18453865336658354</v>
      </c>
      <c r="O91" s="69">
        <v>0.57391304347826089</v>
      </c>
      <c r="P91" s="69">
        <v>0.3783783783783784</v>
      </c>
      <c r="Q91" s="69">
        <v>0.41764705882352943</v>
      </c>
    </row>
    <row r="92" spans="1:17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7.8651685393258425E-2</v>
      </c>
      <c r="M92" s="69">
        <v>0.28223844282238442</v>
      </c>
      <c r="N92" s="69">
        <v>0.18734793187347931</v>
      </c>
      <c r="O92" s="69">
        <v>0.56896551724137934</v>
      </c>
      <c r="P92" s="69">
        <v>0.36363636363636365</v>
      </c>
      <c r="Q92" s="69">
        <v>0.41764705882352943</v>
      </c>
    </row>
    <row r="93" spans="1:17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7.7777777777777779E-2</v>
      </c>
      <c r="M93" s="69">
        <v>0.28297362110311752</v>
      </c>
      <c r="N93" s="69">
        <v>0.18465227817745802</v>
      </c>
      <c r="O93" s="69">
        <v>0.56779661016949157</v>
      </c>
      <c r="P93" s="69">
        <v>0.36363636363636365</v>
      </c>
      <c r="Q93" s="69">
        <v>0.41520467836257308</v>
      </c>
    </row>
    <row r="94" spans="1:17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7.6923076923076927E-2</v>
      </c>
      <c r="M94" s="69">
        <v>0.28199052132701424</v>
      </c>
      <c r="N94" s="69">
        <v>0.19194312796208532</v>
      </c>
      <c r="O94" s="69">
        <v>0.56302521008403361</v>
      </c>
      <c r="P94" s="69">
        <v>0.37037037037037035</v>
      </c>
      <c r="Q94" s="69">
        <v>0.41618497109826591</v>
      </c>
    </row>
    <row r="95" spans="1:17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7.6086956521739135E-2</v>
      </c>
      <c r="M95" s="69">
        <v>0.28205128205128205</v>
      </c>
      <c r="N95" s="69">
        <v>0.1888111888111888</v>
      </c>
      <c r="O95" s="69">
        <v>0.57024793388429751</v>
      </c>
      <c r="P95" s="69">
        <v>0.37037037037037035</v>
      </c>
      <c r="Q95" s="69">
        <v>0.41142857142857142</v>
      </c>
    </row>
    <row r="96" spans="1:17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7.5268817204301078E-2</v>
      </c>
      <c r="M96" s="69">
        <v>0.27954545454545454</v>
      </c>
      <c r="N96" s="69">
        <v>0.18863636363636363</v>
      </c>
      <c r="O96" s="69">
        <v>0.56097560975609762</v>
      </c>
      <c r="P96" s="69">
        <v>0.36144578313253012</v>
      </c>
      <c r="Q96" s="69">
        <v>0.41142857142857142</v>
      </c>
    </row>
    <row r="97" spans="1:17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8.5106382978723402E-2</v>
      </c>
      <c r="M97" s="69">
        <v>0.27640449438202247</v>
      </c>
      <c r="N97" s="69">
        <v>0.19101123595505617</v>
      </c>
      <c r="O97" s="69">
        <v>0.56097560975609762</v>
      </c>
      <c r="P97" s="69">
        <v>0.36470588235294116</v>
      </c>
      <c r="Q97" s="69">
        <v>0.4101123595505618</v>
      </c>
    </row>
    <row r="98" spans="1:17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8.4210526315789472E-2</v>
      </c>
      <c r="M98" s="69">
        <v>0.27814569536423839</v>
      </c>
      <c r="N98" s="69">
        <v>0.18984547461368653</v>
      </c>
      <c r="O98" s="69">
        <v>0.55555555555555558</v>
      </c>
      <c r="P98" s="69">
        <v>0.36046511627906974</v>
      </c>
      <c r="Q98" s="69">
        <v>0.40782122905027934</v>
      </c>
    </row>
    <row r="99" spans="1:17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8.3333333333333329E-2</v>
      </c>
      <c r="M99" s="69">
        <v>0.2813852813852814</v>
      </c>
      <c r="N99" s="69">
        <v>0.18831168831168832</v>
      </c>
      <c r="O99" s="69">
        <v>0.56153846153846154</v>
      </c>
      <c r="P99" s="69">
        <v>0.36781609195402298</v>
      </c>
      <c r="Q99" s="69">
        <v>0.40760869565217389</v>
      </c>
    </row>
    <row r="100" spans="1:17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8.247422680412371E-2</v>
      </c>
      <c r="M100" s="69">
        <v>0.28025477707006369</v>
      </c>
      <c r="N100" s="69">
        <v>0.18683651804670912</v>
      </c>
      <c r="O100" s="69">
        <v>0.56818181818181823</v>
      </c>
      <c r="P100" s="69">
        <v>0.375</v>
      </c>
      <c r="Q100" s="69">
        <v>0.40641711229946526</v>
      </c>
    </row>
    <row r="101" spans="1:17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8.1632653061224483E-2</v>
      </c>
      <c r="M101" s="69">
        <v>0.28361344537815125</v>
      </c>
      <c r="N101" s="69">
        <v>0.18907563025210083</v>
      </c>
      <c r="O101" s="69">
        <v>0.57037037037037042</v>
      </c>
      <c r="P101" s="69">
        <v>0.37777777777777777</v>
      </c>
      <c r="Q101" s="69">
        <v>0.41052631578947368</v>
      </c>
    </row>
    <row r="102" spans="1:17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8.0808080808080815E-2</v>
      </c>
      <c r="M102" s="69">
        <v>0.28747433264887062</v>
      </c>
      <c r="N102" s="69">
        <v>0.18480492813141683</v>
      </c>
      <c r="O102" s="69">
        <v>0.55714285714285716</v>
      </c>
      <c r="P102" s="69">
        <v>0.37777777777777777</v>
      </c>
      <c r="Q102" s="69">
        <v>0.41361256544502617</v>
      </c>
    </row>
    <row r="103" spans="1:17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0.08</v>
      </c>
      <c r="M103" s="69">
        <v>0.2834008097165992</v>
      </c>
      <c r="N103" s="69">
        <v>0.19028340080971659</v>
      </c>
      <c r="O103" s="69">
        <v>0.55714285714285716</v>
      </c>
      <c r="P103" s="69">
        <v>0.38297872340425532</v>
      </c>
      <c r="Q103" s="69">
        <v>0.40932642487046633</v>
      </c>
    </row>
    <row r="104" spans="1:17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7.9207920792079209E-2</v>
      </c>
      <c r="M104" s="69">
        <v>0.28628230616302186</v>
      </c>
      <c r="N104" s="69">
        <v>0.18886679920477137</v>
      </c>
      <c r="O104" s="69">
        <v>0.5625</v>
      </c>
      <c r="P104" s="69">
        <v>0.37894736842105264</v>
      </c>
      <c r="Q104" s="69">
        <v>0.41836734693877553</v>
      </c>
    </row>
    <row r="105" spans="1:17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7.8431372549019607E-2</v>
      </c>
      <c r="M105" s="69">
        <v>0.28627450980392155</v>
      </c>
      <c r="N105" s="69">
        <v>0.18823529411764706</v>
      </c>
      <c r="O105" s="69">
        <v>0.56164383561643838</v>
      </c>
      <c r="P105" s="69">
        <v>0.375</v>
      </c>
      <c r="Q105" s="69">
        <v>0.41624365482233505</v>
      </c>
    </row>
    <row r="106" spans="1:17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7.7669902912621352E-2</v>
      </c>
      <c r="M106" s="69">
        <v>0.28820116054158607</v>
      </c>
      <c r="N106" s="69">
        <v>0.18762088974854932</v>
      </c>
      <c r="O106" s="69">
        <v>0.56375838926174493</v>
      </c>
      <c r="P106" s="69">
        <v>0.37113402061855671</v>
      </c>
      <c r="Q106" s="69">
        <v>0.41708542713567837</v>
      </c>
    </row>
    <row r="107" spans="1:17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7.6923076923076927E-2</v>
      </c>
      <c r="M107" s="69">
        <v>0.2884250474383302</v>
      </c>
      <c r="N107" s="69">
        <v>0.1859582542694497</v>
      </c>
      <c r="O107" s="69">
        <v>0.55921052631578949</v>
      </c>
      <c r="P107" s="69">
        <v>0.37755102040816324</v>
      </c>
      <c r="Q107" s="69">
        <v>0.41293532338308458</v>
      </c>
    </row>
    <row r="108" spans="1:17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7.6190476190476197E-2</v>
      </c>
      <c r="M108" s="69">
        <v>0.2899628252788104</v>
      </c>
      <c r="N108" s="69">
        <v>0.18401486988847585</v>
      </c>
      <c r="O108" s="69">
        <v>0.55769230769230771</v>
      </c>
      <c r="P108" s="69">
        <v>0.38383838383838381</v>
      </c>
      <c r="Q108" s="69">
        <v>0.40975609756097559</v>
      </c>
    </row>
    <row r="109" spans="1:17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7.5471698113207544E-2</v>
      </c>
      <c r="M109" s="69">
        <v>0.29401088929219599</v>
      </c>
      <c r="N109" s="69">
        <v>0.18148820326678766</v>
      </c>
      <c r="O109" s="69">
        <v>0.55555555555555558</v>
      </c>
      <c r="P109" s="69">
        <v>0.38</v>
      </c>
      <c r="Q109" s="69">
        <v>0.41626794258373206</v>
      </c>
    </row>
    <row r="110" spans="1:17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7.476635514018691E-2</v>
      </c>
      <c r="M110" s="69">
        <v>0.29443447037701975</v>
      </c>
      <c r="N110" s="69">
        <v>0.18312387791741472</v>
      </c>
      <c r="O110" s="69">
        <v>0.55487804878048785</v>
      </c>
      <c r="P110" s="69">
        <v>0.37254901960784315</v>
      </c>
      <c r="Q110" s="69">
        <v>0.41904761904761906</v>
      </c>
    </row>
    <row r="111" spans="1:17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7.407407407407407E-2</v>
      </c>
      <c r="M111" s="69">
        <v>0.2938053097345133</v>
      </c>
      <c r="N111" s="69">
        <v>0.18230088495575222</v>
      </c>
      <c r="O111" s="69">
        <v>0.56024096385542166</v>
      </c>
      <c r="P111" s="69">
        <v>0.37864077669902912</v>
      </c>
      <c r="Q111" s="69">
        <v>0.41784037558685444</v>
      </c>
    </row>
    <row r="112" spans="1:17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7.3394495412844041E-2</v>
      </c>
      <c r="M112" s="69">
        <v>0.29116117850953205</v>
      </c>
      <c r="N112" s="69">
        <v>0.17850953206239167</v>
      </c>
      <c r="O112" s="69">
        <v>0.56547619047619047</v>
      </c>
      <c r="P112" s="69">
        <v>0.37864077669902912</v>
      </c>
      <c r="Q112" s="69">
        <v>0.42325581395348838</v>
      </c>
    </row>
    <row r="113" spans="1:17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7.2727272727272724E-2</v>
      </c>
      <c r="M113" s="69">
        <v>0.29059829059829062</v>
      </c>
      <c r="N113" s="69">
        <v>0.17777777777777778</v>
      </c>
      <c r="O113" s="69">
        <v>0.56470588235294117</v>
      </c>
      <c r="P113" s="69">
        <v>0.38461538461538464</v>
      </c>
      <c r="Q113" s="69">
        <v>0.42396313364055299</v>
      </c>
    </row>
    <row r="114" spans="1:17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8.1081081081081086E-2</v>
      </c>
      <c r="M114" s="69">
        <v>0.29075630252100843</v>
      </c>
      <c r="N114" s="69">
        <v>0.17815126050420169</v>
      </c>
      <c r="O114" s="69">
        <v>0.56647398843930641</v>
      </c>
      <c r="P114" s="69">
        <v>0.3867924528301887</v>
      </c>
      <c r="Q114" s="69">
        <v>0.42272727272727273</v>
      </c>
    </row>
    <row r="115" spans="1:17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8.0357142857142863E-2</v>
      </c>
      <c r="M115" s="69">
        <v>0.29139072847682118</v>
      </c>
      <c r="N115" s="69">
        <v>0.17549668874172186</v>
      </c>
      <c r="O115" s="69">
        <v>0.56818181818181823</v>
      </c>
      <c r="P115" s="69">
        <v>0.3867924528301887</v>
      </c>
      <c r="Q115" s="69">
        <v>0.42152466367713004</v>
      </c>
    </row>
    <row r="116" spans="1:17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7.9646017699115043E-2</v>
      </c>
      <c r="M116" s="69">
        <v>0.29315960912052119</v>
      </c>
      <c r="N116" s="69">
        <v>0.17263843648208468</v>
      </c>
      <c r="O116" s="69">
        <v>0.57222222222222219</v>
      </c>
      <c r="P116" s="69">
        <v>0.3867924528301887</v>
      </c>
      <c r="Q116" s="69">
        <v>0.42290748898678415</v>
      </c>
    </row>
    <row r="117" spans="1:17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7.8947368421052627E-2</v>
      </c>
      <c r="M117" s="69">
        <v>0.29260450160771706</v>
      </c>
      <c r="N117" s="69">
        <v>0.17202572347266881</v>
      </c>
      <c r="O117" s="69">
        <v>0.57692307692307687</v>
      </c>
      <c r="P117" s="69">
        <v>0.3925233644859813</v>
      </c>
      <c r="Q117" s="69">
        <v>0.42173913043478262</v>
      </c>
    </row>
    <row r="118" spans="1:17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7.8260869565217397E-2</v>
      </c>
      <c r="M118" s="69">
        <v>0.29411764705882354</v>
      </c>
      <c r="N118" s="69">
        <v>0.17170111287758347</v>
      </c>
      <c r="O118" s="69">
        <v>0.572972972972973</v>
      </c>
      <c r="P118" s="69">
        <v>0.3888888888888889</v>
      </c>
      <c r="Q118" s="69">
        <v>0.41991341991341991</v>
      </c>
    </row>
    <row r="119" spans="1:17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7.7586206896551727E-2</v>
      </c>
      <c r="M119" s="69">
        <v>0.29513343799058084</v>
      </c>
      <c r="N119" s="69">
        <v>0.1695447409733124</v>
      </c>
      <c r="O119" s="69">
        <v>0.57978723404255317</v>
      </c>
      <c r="P119" s="69">
        <v>0.3888888888888889</v>
      </c>
      <c r="Q119" s="69">
        <v>0.42307692307692307</v>
      </c>
    </row>
    <row r="120" spans="1:17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7.6923076923076927E-2</v>
      </c>
      <c r="M120" s="69">
        <v>0.29475308641975306</v>
      </c>
      <c r="N120" s="69">
        <v>0.17129629629629631</v>
      </c>
      <c r="O120" s="69">
        <v>0.5759162303664922</v>
      </c>
      <c r="P120" s="69">
        <v>0.38738738738738737</v>
      </c>
      <c r="Q120" s="69">
        <v>0.42372881355932202</v>
      </c>
    </row>
    <row r="121" spans="1:17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7.6271186440677971E-2</v>
      </c>
      <c r="M121" s="69">
        <v>0.29590288315629742</v>
      </c>
      <c r="N121" s="69">
        <v>0.16995447647951442</v>
      </c>
      <c r="O121" s="69">
        <v>0.56923076923076921</v>
      </c>
      <c r="P121" s="69">
        <v>0.38392857142857145</v>
      </c>
      <c r="Q121" s="69">
        <v>0.42616033755274263</v>
      </c>
    </row>
    <row r="122" spans="1:17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7.5630252100840331E-2</v>
      </c>
      <c r="M122" s="69">
        <v>0.29624060150375942</v>
      </c>
      <c r="N122" s="69">
        <v>0.1699248120300752</v>
      </c>
      <c r="O122" s="69">
        <v>0.57360406091370564</v>
      </c>
      <c r="P122" s="69">
        <v>0.38053097345132741</v>
      </c>
      <c r="Q122" s="69">
        <v>0.42677824267782427</v>
      </c>
    </row>
    <row r="123" spans="1:17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7.4999999999999997E-2</v>
      </c>
      <c r="M123" s="69">
        <v>0.29333333333333333</v>
      </c>
      <c r="N123" s="69">
        <v>0.16740740740740739</v>
      </c>
      <c r="O123" s="69">
        <v>0.5757575757575758</v>
      </c>
      <c r="P123" s="69">
        <v>0.38053097345132741</v>
      </c>
      <c r="Q123" s="69">
        <v>0.42499999999999999</v>
      </c>
    </row>
    <row r="124" spans="1:17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7.43801652892562E-2</v>
      </c>
      <c r="M124" s="69">
        <v>0.2932551319648094</v>
      </c>
      <c r="N124" s="69">
        <v>0.16862170087976538</v>
      </c>
      <c r="O124" s="69">
        <v>0.57999999999999996</v>
      </c>
      <c r="P124" s="69">
        <v>0.39130434782608697</v>
      </c>
      <c r="Q124" s="69">
        <v>0.43032786885245899</v>
      </c>
    </row>
    <row r="125" spans="1:17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7.3770491803278687E-2</v>
      </c>
      <c r="M125" s="69">
        <v>0.29275362318840581</v>
      </c>
      <c r="N125" s="69">
        <v>0.16956521739130434</v>
      </c>
      <c r="O125" s="69">
        <v>0.57920792079207917</v>
      </c>
      <c r="P125" s="69">
        <v>0.39316239316239315</v>
      </c>
      <c r="Q125" s="69">
        <v>0.43089430894308944</v>
      </c>
    </row>
    <row r="126" spans="1:17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7.3170731707317069E-2</v>
      </c>
      <c r="M126" s="69">
        <v>0.2906474820143885</v>
      </c>
      <c r="N126" s="69">
        <v>0.16834532374100719</v>
      </c>
      <c r="O126" s="69">
        <v>0.57920792079207917</v>
      </c>
      <c r="P126" s="69">
        <v>0.39316239316239315</v>
      </c>
      <c r="Q126" s="69">
        <v>0.43089430894308944</v>
      </c>
    </row>
    <row r="127" spans="1:17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7.2580645161290328E-2</v>
      </c>
      <c r="M127" s="69">
        <v>0.29344729344729342</v>
      </c>
      <c r="N127" s="69">
        <v>0.16809116809116809</v>
      </c>
      <c r="O127" s="69">
        <v>0.57766990291262132</v>
      </c>
      <c r="P127" s="69">
        <v>0.39830508474576271</v>
      </c>
      <c r="Q127" s="69">
        <v>0.43373493975903615</v>
      </c>
    </row>
    <row r="128" spans="1:17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7.1999999999999995E-2</v>
      </c>
      <c r="M128" s="69">
        <v>0.29436619718309859</v>
      </c>
      <c r="N128" s="69">
        <v>0.1704225352112676</v>
      </c>
      <c r="O128" s="69">
        <v>0.57894736842105265</v>
      </c>
      <c r="P128" s="69">
        <v>0.4049586776859504</v>
      </c>
      <c r="Q128" s="69">
        <v>0.43873517786561267</v>
      </c>
    </row>
    <row r="129" spans="1:17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7.9365079365079361E-2</v>
      </c>
      <c r="M129" s="69">
        <v>0.29542302357836336</v>
      </c>
      <c r="N129" s="69">
        <v>0.17059639389736478</v>
      </c>
      <c r="O129" s="69">
        <v>0.5821596244131455</v>
      </c>
      <c r="P129" s="69">
        <v>0.41463414634146339</v>
      </c>
      <c r="Q129" s="69">
        <v>0.43798449612403101</v>
      </c>
    </row>
    <row r="130" spans="1:17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7.874015748031496E-2</v>
      </c>
      <c r="M130" s="69">
        <v>0.29655172413793102</v>
      </c>
      <c r="N130" s="69">
        <v>0.17103448275862068</v>
      </c>
      <c r="O130" s="69">
        <v>0.58139534883720934</v>
      </c>
      <c r="P130" s="69">
        <v>0.41129032258064518</v>
      </c>
      <c r="Q130" s="69">
        <v>0.43629343629343631</v>
      </c>
    </row>
    <row r="131" spans="1:17" x14ac:dyDescent="0.4">
      <c r="A131" s="71">
        <v>128</v>
      </c>
      <c r="B131" s="68">
        <v>-416.19999999999993</v>
      </c>
      <c r="C131" s="68">
        <v>-3.2515624999999995</v>
      </c>
      <c r="D131" s="73">
        <v>2.0859375</v>
      </c>
      <c r="E131" s="69">
        <v>0.3046875</v>
      </c>
      <c r="F131" s="69">
        <v>0.26209677419354838</v>
      </c>
      <c r="G131" s="69">
        <v>0.19254032258064516</v>
      </c>
      <c r="H131" s="70">
        <v>11080</v>
      </c>
      <c r="I131" s="70">
        <v>-9524.0837696335075</v>
      </c>
      <c r="J131" s="69">
        <v>0.1953125</v>
      </c>
      <c r="K131" s="69">
        <v>0.1328125</v>
      </c>
      <c r="L131" s="69">
        <v>7.8125E-2</v>
      </c>
      <c r="M131" s="69">
        <v>0.29958960328317374</v>
      </c>
      <c r="N131" s="69">
        <v>0.16963064295485636</v>
      </c>
      <c r="O131" s="69">
        <v>0.57534246575342463</v>
      </c>
      <c r="P131" s="69">
        <v>0.41129032258064518</v>
      </c>
      <c r="Q131" s="69">
        <v>0.43461538461538463</v>
      </c>
    </row>
    <row r="132" spans="1:17" x14ac:dyDescent="0.4">
      <c r="A132" s="71">
        <v>129</v>
      </c>
      <c r="B132" s="68">
        <v>-423.99999999999994</v>
      </c>
      <c r="C132" s="68">
        <v>-3.2868217054263562</v>
      </c>
      <c r="D132" s="73">
        <v>2.0852713178294575</v>
      </c>
      <c r="E132" s="69">
        <v>0.30232558139534882</v>
      </c>
      <c r="F132" s="69">
        <v>0.26200000000000001</v>
      </c>
      <c r="G132" s="69">
        <v>0.191</v>
      </c>
      <c r="H132" s="70">
        <v>11071.75572519084</v>
      </c>
      <c r="I132" s="70">
        <v>-9524.0837696335075</v>
      </c>
      <c r="J132" s="69">
        <v>0.19379844961240311</v>
      </c>
      <c r="K132" s="69">
        <v>0.13178294573643412</v>
      </c>
      <c r="L132" s="69">
        <v>7.7519379844961239E-2</v>
      </c>
      <c r="M132" s="69">
        <v>0.29905277401894453</v>
      </c>
      <c r="N132" s="69">
        <v>0.17050067658998647</v>
      </c>
      <c r="O132" s="69">
        <v>0.57466063348416285</v>
      </c>
      <c r="P132" s="69">
        <v>0.40476190476190477</v>
      </c>
      <c r="Q132" s="69">
        <v>0.43893129770992367</v>
      </c>
    </row>
    <row r="133" spans="1:17" x14ac:dyDescent="0.4">
      <c r="A133" s="71">
        <v>130</v>
      </c>
      <c r="B133" s="68">
        <v>-426.59999999999997</v>
      </c>
      <c r="C133" s="68">
        <v>-3.2815384615384611</v>
      </c>
      <c r="D133" s="73">
        <v>2.0846153846153848</v>
      </c>
      <c r="E133" s="69">
        <v>0.3</v>
      </c>
      <c r="F133" s="69">
        <v>0.2613861386138614</v>
      </c>
      <c r="G133" s="69">
        <v>0.19108910891089109</v>
      </c>
      <c r="H133" s="70">
        <v>11078.787878787878</v>
      </c>
      <c r="I133" s="70">
        <v>-9501.0362694300511</v>
      </c>
      <c r="J133" s="69">
        <v>0.19230769230769232</v>
      </c>
      <c r="K133" s="69">
        <v>0.13076923076923078</v>
      </c>
      <c r="L133" s="69">
        <v>7.6923076923076927E-2</v>
      </c>
      <c r="M133" s="69">
        <v>0.29773030707610149</v>
      </c>
      <c r="N133" s="69">
        <v>0.17489986648865152</v>
      </c>
      <c r="O133" s="69">
        <v>0.57399103139013452</v>
      </c>
      <c r="P133" s="69">
        <v>0.39694656488549618</v>
      </c>
      <c r="Q133" s="69">
        <v>0.43560606060606061</v>
      </c>
    </row>
    <row r="134" spans="1:17" x14ac:dyDescent="0.4">
      <c r="A134" s="71">
        <v>131</v>
      </c>
      <c r="B134" s="68">
        <v>-441.09999999999997</v>
      </c>
      <c r="C134" s="68">
        <v>-3.3671755725190837</v>
      </c>
      <c r="D134" s="73">
        <v>2.0916030534351147</v>
      </c>
      <c r="E134" s="69">
        <v>0.29770992366412213</v>
      </c>
      <c r="F134" s="69">
        <v>0.26129666011787817</v>
      </c>
      <c r="G134" s="69">
        <v>0.19056974459724951</v>
      </c>
      <c r="H134" s="70">
        <v>11045.112781954887</v>
      </c>
      <c r="I134" s="70">
        <v>-9575.7731958762888</v>
      </c>
      <c r="J134" s="69">
        <v>0.19083969465648856</v>
      </c>
      <c r="K134" s="69">
        <v>0.12977099236641221</v>
      </c>
      <c r="L134" s="69">
        <v>7.6335877862595422E-2</v>
      </c>
      <c r="M134" s="69">
        <v>0.29590488771466317</v>
      </c>
      <c r="N134" s="69">
        <v>0.17701453104359313</v>
      </c>
      <c r="O134" s="69">
        <v>0.5758928571428571</v>
      </c>
      <c r="P134" s="69">
        <v>0.38805970149253732</v>
      </c>
      <c r="Q134" s="69">
        <v>0.43609022556390975</v>
      </c>
    </row>
    <row r="135" spans="1:17" x14ac:dyDescent="0.4">
      <c r="A135" s="71">
        <v>132</v>
      </c>
      <c r="B135" s="68">
        <v>-449.7</v>
      </c>
      <c r="C135" s="68">
        <v>-3.4068181818181817</v>
      </c>
      <c r="D135" s="73">
        <v>2.0984848484848486</v>
      </c>
      <c r="E135" s="69">
        <v>0.29545454545454547</v>
      </c>
      <c r="F135" s="69">
        <v>0.26192794547224929</v>
      </c>
      <c r="G135" s="69">
        <v>0.19279454722492698</v>
      </c>
      <c r="H135" s="70">
        <v>11027.509293680298</v>
      </c>
      <c r="I135" s="70">
        <v>-9564.1414141414134</v>
      </c>
      <c r="J135" s="69">
        <v>0.18939393939393939</v>
      </c>
      <c r="K135" s="69">
        <v>0.12878787878787878</v>
      </c>
      <c r="L135" s="69">
        <v>7.575757575757576E-2</v>
      </c>
      <c r="M135" s="69">
        <v>0.29765013054830286</v>
      </c>
      <c r="N135" s="69">
        <v>0.17754569190600522</v>
      </c>
      <c r="O135" s="69">
        <v>0.57894736842105265</v>
      </c>
      <c r="P135" s="69">
        <v>0.38235294117647056</v>
      </c>
      <c r="Q135" s="69">
        <v>0.44237918215613381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F9E82-8CB3-415D-842F-0DB3D3587A68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</v>
      </c>
      <c r="M5" s="69">
        <v>0.5</v>
      </c>
      <c r="N5" s="69">
        <v>0</v>
      </c>
      <c r="O5" s="69">
        <v>0</v>
      </c>
      <c r="P5" s="69">
        <v>0</v>
      </c>
      <c r="Q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</v>
      </c>
      <c r="M6" s="69">
        <v>0.45454545454545453</v>
      </c>
      <c r="N6" s="69">
        <v>0</v>
      </c>
      <c r="O6" s="69">
        <v>0.2</v>
      </c>
      <c r="P6" s="69">
        <v>0</v>
      </c>
      <c r="Q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</v>
      </c>
      <c r="M7" s="69">
        <v>0.42105263157894735</v>
      </c>
      <c r="N7" s="69">
        <v>0.10526315789473684</v>
      </c>
      <c r="O7" s="69">
        <v>0.25</v>
      </c>
      <c r="P7" s="69">
        <v>1</v>
      </c>
      <c r="Q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7413F-FCA1-4FF3-BD32-E3BA9470FBB1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L5" s="69">
        <v>0</v>
      </c>
      <c r="Q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L6" s="69">
        <v>0</v>
      </c>
      <c r="Q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L7" s="69">
        <v>0</v>
      </c>
      <c r="Q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4FA5-3B0C-4B45-8125-E73D451311C2}">
  <sheetPr codeName="Sheet8"/>
  <dimension ref="A1:Q23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L4" s="69">
        <v>1</v>
      </c>
      <c r="Q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L5" s="69">
        <v>0.5</v>
      </c>
      <c r="Q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L6" s="69">
        <v>0.33333333333333331</v>
      </c>
      <c r="Q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L7" s="69">
        <v>0.25</v>
      </c>
      <c r="Q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L8" s="69">
        <v>0.2</v>
      </c>
      <c r="Q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L9" s="69">
        <v>0.16666666666666666</v>
      </c>
      <c r="Q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L10" s="69">
        <v>0.14285714285714285</v>
      </c>
      <c r="Q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L11" s="69">
        <v>0.125</v>
      </c>
      <c r="Q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L12" s="69">
        <v>0.1111111111111111</v>
      </c>
      <c r="Q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L13" s="69">
        <v>0.1</v>
      </c>
      <c r="Q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L14" s="69">
        <v>9.0909090909090912E-2</v>
      </c>
      <c r="Q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L15" s="69">
        <v>8.3333333333333329E-2</v>
      </c>
      <c r="Q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L16" s="69">
        <v>7.6923076923076927E-2</v>
      </c>
      <c r="Q16" s="69">
        <v>0.33333333333333331</v>
      </c>
    </row>
    <row r="17" spans="1:17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L17" s="69">
        <v>7.1428571428571425E-2</v>
      </c>
      <c r="Q17" s="69">
        <v>0.33333333333333331</v>
      </c>
    </row>
    <row r="18" spans="1:17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L18" s="69">
        <v>6.6666666666666666E-2</v>
      </c>
      <c r="Q18" s="69">
        <v>0.33333333333333331</v>
      </c>
    </row>
    <row r="19" spans="1:17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L19" s="69">
        <v>6.25E-2</v>
      </c>
      <c r="Q19" s="69">
        <v>0.34285714285714286</v>
      </c>
    </row>
    <row r="20" spans="1:17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L20" s="69">
        <v>5.8823529411764705E-2</v>
      </c>
      <c r="Q20" s="69">
        <v>0.34285714285714286</v>
      </c>
    </row>
    <row r="21" spans="1:17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L21" s="69">
        <v>5.5555555555555552E-2</v>
      </c>
      <c r="Q21" s="69">
        <v>0.31707317073170732</v>
      </c>
    </row>
    <row r="22" spans="1:17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L22" s="69">
        <v>5.2631578947368418E-2</v>
      </c>
      <c r="Q22" s="69">
        <v>0.32608695652173914</v>
      </c>
    </row>
    <row r="23" spans="1:17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L23" s="69">
        <v>0.05</v>
      </c>
      <c r="Q23" s="69">
        <v>0.32</v>
      </c>
    </row>
    <row r="24" spans="1:17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L24" s="69">
        <v>9.5238095238095233E-2</v>
      </c>
      <c r="Q24" s="69">
        <v>0.32692307692307693</v>
      </c>
    </row>
    <row r="25" spans="1:17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L25" s="69">
        <v>9.0909090909090912E-2</v>
      </c>
      <c r="Q25" s="69">
        <v>0.32692307692307693</v>
      </c>
    </row>
    <row r="26" spans="1:17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L26" s="69">
        <v>8.6956521739130432E-2</v>
      </c>
      <c r="Q26" s="69">
        <v>0.36363636363636365</v>
      </c>
    </row>
    <row r="27" spans="1:17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L27" s="69">
        <v>8.3333333333333329E-2</v>
      </c>
      <c r="Q27" s="69">
        <v>0.35714285714285715</v>
      </c>
    </row>
    <row r="28" spans="1:17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L28" s="69">
        <v>0.08</v>
      </c>
      <c r="Q28" s="69">
        <v>0.35087719298245612</v>
      </c>
    </row>
    <row r="29" spans="1:17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L29" s="69">
        <v>7.6923076923076927E-2</v>
      </c>
      <c r="Q29" s="69">
        <v>0.33333333333333331</v>
      </c>
    </row>
    <row r="30" spans="1:17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L30" s="69">
        <v>7.407407407407407E-2</v>
      </c>
      <c r="Q30" s="69">
        <v>0.33333333333333331</v>
      </c>
    </row>
    <row r="31" spans="1:17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L31" s="69">
        <v>7.1428571428571425E-2</v>
      </c>
      <c r="Q31" s="69">
        <v>0.34375</v>
      </c>
    </row>
    <row r="32" spans="1:17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L32" s="69">
        <v>6.8965517241379309E-2</v>
      </c>
      <c r="Q32" s="69">
        <v>0.35820895522388058</v>
      </c>
    </row>
    <row r="33" spans="1:17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L33" s="69">
        <v>6.6666666666666666E-2</v>
      </c>
      <c r="Q33" s="69">
        <v>0.34246575342465752</v>
      </c>
    </row>
    <row r="34" spans="1:17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L34" s="69">
        <v>6.4516129032258063E-2</v>
      </c>
      <c r="Q34" s="69">
        <v>0.33783783783783783</v>
      </c>
    </row>
    <row r="35" spans="1:17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L35" s="69">
        <v>6.25E-2</v>
      </c>
      <c r="Q35" s="69">
        <v>0.35443037974683544</v>
      </c>
    </row>
    <row r="36" spans="1:17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L36" s="69">
        <v>6.0606060606060608E-2</v>
      </c>
      <c r="Q36" s="69">
        <v>0.35365853658536583</v>
      </c>
    </row>
    <row r="37" spans="1:17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L37" s="69">
        <v>5.8823529411764705E-2</v>
      </c>
      <c r="Q37" s="69">
        <v>0.35714285714285715</v>
      </c>
    </row>
    <row r="38" spans="1:17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L38" s="69">
        <v>5.7142857142857141E-2</v>
      </c>
      <c r="Q38" s="69">
        <v>0.34883720930232559</v>
      </c>
    </row>
    <row r="39" spans="1:17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L39" s="69">
        <v>5.5555555555555552E-2</v>
      </c>
      <c r="Q39" s="69">
        <v>0.35227272727272729</v>
      </c>
    </row>
    <row r="40" spans="1:17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L40" s="69">
        <v>8.1081081081081086E-2</v>
      </c>
      <c r="Q40" s="69">
        <v>0.38043478260869568</v>
      </c>
    </row>
    <row r="41" spans="1:17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L41" s="69">
        <v>7.8947368421052627E-2</v>
      </c>
      <c r="Q41" s="69">
        <v>0.38043478260869568</v>
      </c>
    </row>
    <row r="42" spans="1:17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L42" s="69">
        <v>7.6923076923076927E-2</v>
      </c>
      <c r="Q42" s="69">
        <v>0.38709677419354838</v>
      </c>
    </row>
    <row r="43" spans="1:17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L43" s="69">
        <v>7.4999999999999997E-2</v>
      </c>
      <c r="Q43" s="69">
        <v>0.39361702127659576</v>
      </c>
    </row>
    <row r="44" spans="1:17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L44" s="69">
        <v>7.3170731707317069E-2</v>
      </c>
      <c r="Q44" s="69">
        <v>0.38947368421052631</v>
      </c>
    </row>
    <row r="45" spans="1:17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L45" s="69">
        <v>7.1428571428571425E-2</v>
      </c>
      <c r="Q45" s="69">
        <v>0.40816326530612246</v>
      </c>
    </row>
    <row r="46" spans="1:17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L46" s="69">
        <v>6.9767441860465115E-2</v>
      </c>
      <c r="Q46" s="69">
        <v>0.40196078431372551</v>
      </c>
    </row>
    <row r="47" spans="1:17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L47" s="69">
        <v>6.8181818181818177E-2</v>
      </c>
      <c r="Q47" s="69">
        <v>0.39047619047619048</v>
      </c>
    </row>
    <row r="48" spans="1:17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L48" s="69">
        <v>6.6666666666666666E-2</v>
      </c>
      <c r="Q48" s="69">
        <v>0.37614678899082571</v>
      </c>
    </row>
    <row r="49" spans="1:17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L49" s="69">
        <v>6.5217391304347824E-2</v>
      </c>
      <c r="Q49" s="69">
        <v>0.375</v>
      </c>
    </row>
    <row r="50" spans="1:17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L50" s="69">
        <v>6.3829787234042548E-2</v>
      </c>
      <c r="Q50" s="69">
        <v>0.37168141592920356</v>
      </c>
    </row>
    <row r="51" spans="1:17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L51" s="69">
        <v>6.25E-2</v>
      </c>
      <c r="Q51" s="69">
        <v>0.36752136752136755</v>
      </c>
    </row>
    <row r="52" spans="1:17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L52" s="69">
        <v>6.1224489795918366E-2</v>
      </c>
      <c r="Q52" s="69">
        <v>0.36974789915966388</v>
      </c>
    </row>
    <row r="53" spans="1:17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L53" s="69">
        <v>0.06</v>
      </c>
      <c r="Q53" s="69">
        <v>0.37096774193548387</v>
      </c>
    </row>
    <row r="54" spans="1:17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L54" s="69">
        <v>5.8823529411764705E-2</v>
      </c>
      <c r="Q54" s="69">
        <v>0.37007874015748032</v>
      </c>
    </row>
    <row r="55" spans="1:17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L55" s="69">
        <v>5.7692307692307696E-2</v>
      </c>
      <c r="Q55" s="69">
        <v>0.37209302325581395</v>
      </c>
    </row>
    <row r="56" spans="1:17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L56" s="69">
        <v>5.6603773584905662E-2</v>
      </c>
      <c r="Q56" s="69">
        <v>0.36923076923076925</v>
      </c>
    </row>
    <row r="57" spans="1:17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L57" s="69">
        <v>5.5555555555555552E-2</v>
      </c>
      <c r="Q57" s="69">
        <v>0.36842105263157893</v>
      </c>
    </row>
    <row r="58" spans="1:17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L58" s="69">
        <v>5.4545454545454543E-2</v>
      </c>
      <c r="Q58" s="69">
        <v>0.36842105263157893</v>
      </c>
    </row>
    <row r="59" spans="1:17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L59" s="69">
        <v>5.3571428571428568E-2</v>
      </c>
      <c r="Q59" s="69">
        <v>0.36956521739130432</v>
      </c>
    </row>
    <row r="60" spans="1:17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L60" s="69">
        <v>5.2631578947368418E-2</v>
      </c>
      <c r="Q60" s="69">
        <v>0.36428571428571427</v>
      </c>
    </row>
    <row r="61" spans="1:17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L61" s="69">
        <v>5.1724137931034482E-2</v>
      </c>
      <c r="Q61" s="69">
        <v>0.36363636363636365</v>
      </c>
    </row>
    <row r="62" spans="1:17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L62" s="69">
        <v>5.0847457627118647E-2</v>
      </c>
      <c r="Q62" s="69">
        <v>0.36054421768707484</v>
      </c>
    </row>
    <row r="63" spans="1:17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L63" s="69">
        <v>0.05</v>
      </c>
      <c r="Q63" s="69">
        <v>0.36054421768707484</v>
      </c>
    </row>
    <row r="64" spans="1:17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L64" s="69">
        <v>4.9180327868852458E-2</v>
      </c>
      <c r="Q64" s="69">
        <v>0.35526315789473684</v>
      </c>
    </row>
    <row r="65" spans="1:17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L65" s="69">
        <v>4.8387096774193547E-2</v>
      </c>
      <c r="Q65" s="69">
        <v>0.35256410256410259</v>
      </c>
    </row>
    <row r="66" spans="1:17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L66" s="69">
        <v>4.7619047619047616E-2</v>
      </c>
      <c r="Q66" s="69">
        <v>0.35256410256410259</v>
      </c>
    </row>
    <row r="67" spans="1:17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L67" s="69">
        <v>4.6875E-2</v>
      </c>
      <c r="Q67" s="69">
        <v>0.35256410256410259</v>
      </c>
    </row>
    <row r="68" spans="1:17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L68" s="69">
        <v>4.6153846153846156E-2</v>
      </c>
      <c r="Q68" s="69">
        <v>0.35256410256410259</v>
      </c>
    </row>
    <row r="69" spans="1:17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4.5454545454545456E-2</v>
      </c>
      <c r="M69" s="69">
        <v>0</v>
      </c>
      <c r="N69" s="69">
        <v>0</v>
      </c>
      <c r="O69" s="69">
        <v>0</v>
      </c>
      <c r="P69" s="69">
        <v>0</v>
      </c>
      <c r="Q69" s="69">
        <v>0.35256410256410259</v>
      </c>
    </row>
    <row r="70" spans="1:17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4.4776119402985072E-2</v>
      </c>
      <c r="M70" s="69">
        <v>0.18181818181818182</v>
      </c>
      <c r="N70" s="69">
        <v>0.27272727272727271</v>
      </c>
      <c r="O70" s="69">
        <v>0.5</v>
      </c>
      <c r="P70" s="69">
        <v>0.33333333333333331</v>
      </c>
      <c r="Q70" s="69">
        <v>0.34810126582278483</v>
      </c>
    </row>
    <row r="71" spans="1:17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4.4117647058823532E-2</v>
      </c>
      <c r="M71" s="69">
        <v>0.15789473684210525</v>
      </c>
      <c r="N71" s="69">
        <v>0.26315789473684209</v>
      </c>
      <c r="O71" s="69">
        <v>0.66666666666666663</v>
      </c>
      <c r="P71" s="69">
        <v>0.4</v>
      </c>
      <c r="Q71" s="69">
        <v>0.34782608695652173</v>
      </c>
    </row>
    <row r="72" spans="1:17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4.3478260869565216E-2</v>
      </c>
      <c r="M72" s="69">
        <v>0.2</v>
      </c>
      <c r="N72" s="69">
        <v>0.28000000000000003</v>
      </c>
      <c r="O72" s="69">
        <v>0.8</v>
      </c>
      <c r="P72" s="69">
        <v>0.42857142857142855</v>
      </c>
      <c r="Q72" s="69">
        <v>0.35365853658536583</v>
      </c>
    </row>
    <row r="73" spans="1:17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4.2857142857142858E-2</v>
      </c>
      <c r="M73" s="69">
        <v>0.21212121212121213</v>
      </c>
      <c r="N73" s="69">
        <v>0.33333333333333331</v>
      </c>
      <c r="O73" s="69">
        <v>0.8571428571428571</v>
      </c>
      <c r="P73" s="69">
        <v>0.36363636363636365</v>
      </c>
      <c r="Q73" s="69">
        <v>0.3592814371257485</v>
      </c>
    </row>
    <row r="74" spans="1:17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4.2253521126760563E-2</v>
      </c>
      <c r="M74" s="69">
        <v>0.20512820512820512</v>
      </c>
      <c r="N74" s="69">
        <v>0.30769230769230771</v>
      </c>
      <c r="O74" s="69">
        <v>0.875</v>
      </c>
      <c r="P74" s="69">
        <v>0.33333333333333331</v>
      </c>
      <c r="Q74" s="69">
        <v>0.35714285714285715</v>
      </c>
    </row>
    <row r="75" spans="1:17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5.5555555555555552E-2</v>
      </c>
      <c r="M75" s="69">
        <v>0.21276595744680851</v>
      </c>
      <c r="N75" s="69">
        <v>0.31914893617021278</v>
      </c>
      <c r="O75" s="69">
        <v>0.8</v>
      </c>
      <c r="P75" s="69">
        <v>0.4</v>
      </c>
      <c r="Q75" s="69">
        <v>0.35087719298245612</v>
      </c>
    </row>
    <row r="76" spans="1:17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5.4794520547945202E-2</v>
      </c>
      <c r="M76" s="69">
        <v>0.21818181818181817</v>
      </c>
      <c r="N76" s="69">
        <v>0.32727272727272727</v>
      </c>
      <c r="O76" s="69">
        <v>0.75</v>
      </c>
      <c r="P76" s="69">
        <v>0.5</v>
      </c>
      <c r="Q76" s="69">
        <v>0.35428571428571426</v>
      </c>
    </row>
    <row r="77" spans="1:17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5.4054054054054057E-2</v>
      </c>
      <c r="M77" s="69">
        <v>0.23728813559322035</v>
      </c>
      <c r="N77" s="69">
        <v>0.32203389830508472</v>
      </c>
      <c r="O77" s="69">
        <v>0.7857142857142857</v>
      </c>
      <c r="P77" s="69">
        <v>0.52631578947368418</v>
      </c>
      <c r="Q77" s="69">
        <v>0.3539325842696629</v>
      </c>
    </row>
    <row r="78" spans="1:17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5.3333333333333337E-2</v>
      </c>
      <c r="M78" s="69">
        <v>0.26153846153846155</v>
      </c>
      <c r="N78" s="69">
        <v>0.30769230769230771</v>
      </c>
      <c r="O78" s="69">
        <v>0.76470588235294112</v>
      </c>
      <c r="P78" s="69">
        <v>0.5</v>
      </c>
      <c r="Q78" s="69">
        <v>0.35911602209944754</v>
      </c>
    </row>
    <row r="79" spans="1:17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5.2631578947368418E-2</v>
      </c>
      <c r="M79" s="69">
        <v>0.25352112676056338</v>
      </c>
      <c r="N79" s="69">
        <v>0.29577464788732394</v>
      </c>
      <c r="O79" s="69">
        <v>0.77777777777777779</v>
      </c>
      <c r="P79" s="69">
        <v>0.47619047619047616</v>
      </c>
      <c r="Q79" s="69">
        <v>0.35714285714285715</v>
      </c>
    </row>
    <row r="80" spans="1:17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5.1948051948051951E-2</v>
      </c>
      <c r="M80" s="69">
        <v>0.28205128205128205</v>
      </c>
      <c r="N80" s="69">
        <v>0.29487179487179488</v>
      </c>
      <c r="O80" s="69">
        <v>0.77272727272727271</v>
      </c>
      <c r="P80" s="69">
        <v>0.43478260869565216</v>
      </c>
      <c r="Q80" s="69">
        <v>0.35675675675675678</v>
      </c>
    </row>
    <row r="81" spans="1:17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5.128205128205128E-2</v>
      </c>
      <c r="M81" s="69">
        <v>0.25274725274725274</v>
      </c>
      <c r="N81" s="69">
        <v>0.30769230769230771</v>
      </c>
      <c r="O81" s="69">
        <v>0.78260869565217395</v>
      </c>
      <c r="P81" s="69">
        <v>0.42857142857142855</v>
      </c>
      <c r="Q81" s="69">
        <v>0.3473684210526316</v>
      </c>
    </row>
    <row r="82" spans="1:17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5.0632911392405063E-2</v>
      </c>
      <c r="M82" s="69">
        <v>0.27083333333333331</v>
      </c>
      <c r="N82" s="69">
        <v>0.29166666666666669</v>
      </c>
      <c r="O82" s="69">
        <v>0.76923076923076927</v>
      </c>
      <c r="P82" s="69">
        <v>0.42857142857142855</v>
      </c>
      <c r="Q82" s="69">
        <v>0.34196891191709844</v>
      </c>
    </row>
    <row r="83" spans="1:17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0.05</v>
      </c>
      <c r="M83" s="69">
        <v>0.25961538461538464</v>
      </c>
      <c r="N83" s="69">
        <v>0.28846153846153844</v>
      </c>
      <c r="O83" s="69">
        <v>0.77777777777777779</v>
      </c>
      <c r="P83" s="69">
        <v>0.46666666666666667</v>
      </c>
      <c r="Q83" s="69">
        <v>0.34343434343434343</v>
      </c>
    </row>
    <row r="84" spans="1:17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4.9382716049382713E-2</v>
      </c>
      <c r="M84" s="69">
        <v>0.25892857142857145</v>
      </c>
      <c r="N84" s="69">
        <v>0.2767857142857143</v>
      </c>
      <c r="O84" s="69">
        <v>0.75862068965517238</v>
      </c>
      <c r="P84" s="69">
        <v>0.45161290322580644</v>
      </c>
      <c r="Q84" s="69">
        <v>0.35323383084577115</v>
      </c>
    </row>
    <row r="85" spans="1:17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6.097560975609756E-2</v>
      </c>
      <c r="M85" s="69">
        <v>0.26495726495726496</v>
      </c>
      <c r="N85" s="69">
        <v>0.26495726495726496</v>
      </c>
      <c r="O85" s="69">
        <v>0.74193548387096775</v>
      </c>
      <c r="P85" s="69">
        <v>0.45161290322580644</v>
      </c>
      <c r="Q85" s="69">
        <v>0.35960591133004927</v>
      </c>
    </row>
    <row r="86" spans="1:17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6.0240963855421686E-2</v>
      </c>
      <c r="M86" s="69">
        <v>0.27480916030534353</v>
      </c>
      <c r="N86" s="69">
        <v>0.25190839694656486</v>
      </c>
      <c r="O86" s="69">
        <v>0.75</v>
      </c>
      <c r="P86" s="69">
        <v>0.45454545454545453</v>
      </c>
      <c r="Q86" s="69">
        <v>0.35406698564593303</v>
      </c>
    </row>
    <row r="87" spans="1:17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5.9523809523809521E-2</v>
      </c>
      <c r="M87" s="69">
        <v>0.28776978417266186</v>
      </c>
      <c r="N87" s="69">
        <v>0.2446043165467626</v>
      </c>
      <c r="O87" s="69">
        <v>0.72499999999999998</v>
      </c>
      <c r="P87" s="69">
        <v>0.44117647058823528</v>
      </c>
      <c r="Q87" s="69">
        <v>0.35071090047393366</v>
      </c>
    </row>
    <row r="88" spans="1:17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5.8823529411764705E-2</v>
      </c>
      <c r="M88" s="69">
        <v>0.29251700680272108</v>
      </c>
      <c r="N88" s="69">
        <v>0.23129251700680273</v>
      </c>
      <c r="O88" s="69">
        <v>0.72093023255813948</v>
      </c>
      <c r="P88" s="69">
        <v>0.44117647058823528</v>
      </c>
      <c r="Q88" s="69">
        <v>0.352112676056338</v>
      </c>
    </row>
    <row r="89" spans="1:17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5.8139534883720929E-2</v>
      </c>
      <c r="M89" s="69">
        <v>0.29032258064516131</v>
      </c>
      <c r="N89" s="69">
        <v>0.23225806451612904</v>
      </c>
      <c r="O89" s="69">
        <v>0.71111111111111114</v>
      </c>
      <c r="P89" s="69">
        <v>0.47222222222222221</v>
      </c>
      <c r="Q89" s="69">
        <v>0.34722222222222221</v>
      </c>
    </row>
    <row r="90" spans="1:17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5.7471264367816091E-2</v>
      </c>
      <c r="M90" s="69">
        <v>0.29012345679012347</v>
      </c>
      <c r="N90" s="69">
        <v>0.23456790123456789</v>
      </c>
      <c r="O90" s="69">
        <v>0.7021276595744681</v>
      </c>
      <c r="P90" s="69">
        <v>0.47368421052631576</v>
      </c>
      <c r="Q90" s="69">
        <v>0.34862385321100919</v>
      </c>
    </row>
    <row r="91" spans="1:17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5.6818181818181816E-2</v>
      </c>
      <c r="M91" s="69">
        <v>0.29239766081871343</v>
      </c>
      <c r="N91" s="69">
        <v>0.23391812865497075</v>
      </c>
      <c r="O91" s="69">
        <v>0.72</v>
      </c>
      <c r="P91" s="69">
        <v>0.47499999999999998</v>
      </c>
      <c r="Q91" s="69">
        <v>0.34684684684684686</v>
      </c>
    </row>
    <row r="92" spans="1:17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5.6179775280898875E-2</v>
      </c>
      <c r="M92" s="69">
        <v>0.29050279329608941</v>
      </c>
      <c r="N92" s="69">
        <v>0.22346368715083798</v>
      </c>
      <c r="O92" s="69">
        <v>0.73076923076923073</v>
      </c>
      <c r="P92" s="69">
        <v>0.47499999999999998</v>
      </c>
      <c r="Q92" s="69">
        <v>0.35267857142857145</v>
      </c>
    </row>
    <row r="93" spans="1:17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5.5555555555555552E-2</v>
      </c>
      <c r="M93" s="69">
        <v>0.28421052631578947</v>
      </c>
      <c r="N93" s="69">
        <v>0.23157894736842105</v>
      </c>
      <c r="O93" s="69">
        <v>0.7407407407407407</v>
      </c>
      <c r="P93" s="69">
        <v>0.45454545454545453</v>
      </c>
      <c r="Q93" s="69">
        <v>0.35087719298245612</v>
      </c>
    </row>
    <row r="94" spans="1:17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5.4945054945054944E-2</v>
      </c>
      <c r="M94" s="69">
        <v>0.29081632653061223</v>
      </c>
      <c r="N94" s="69">
        <v>0.23469387755102042</v>
      </c>
      <c r="O94" s="69">
        <v>0.75438596491228072</v>
      </c>
      <c r="P94" s="69">
        <v>0.45652173913043476</v>
      </c>
      <c r="Q94" s="69">
        <v>0.34913793103448276</v>
      </c>
    </row>
    <row r="95" spans="1:17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5.434782608695652E-2</v>
      </c>
      <c r="M95" s="69">
        <v>0.29556650246305421</v>
      </c>
      <c r="N95" s="69">
        <v>0.23645320197044334</v>
      </c>
      <c r="O95" s="69">
        <v>0.75</v>
      </c>
      <c r="P95" s="69">
        <v>0.47916666666666669</v>
      </c>
      <c r="Q95" s="69">
        <v>0.35169491525423729</v>
      </c>
    </row>
    <row r="96" spans="1:17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5.3763440860215055E-2</v>
      </c>
      <c r="M96" s="69">
        <v>0.29383886255924169</v>
      </c>
      <c r="N96" s="69">
        <v>0.22748815165876776</v>
      </c>
      <c r="O96" s="69">
        <v>0.74193548387096775</v>
      </c>
      <c r="P96" s="69">
        <v>0.47916666666666669</v>
      </c>
      <c r="Q96" s="69">
        <v>0.35294117647058826</v>
      </c>
    </row>
    <row r="97" spans="1:17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5.3191489361702128E-2</v>
      </c>
      <c r="M97" s="69">
        <v>0.29032258064516131</v>
      </c>
      <c r="N97" s="69">
        <v>0.22580645161290322</v>
      </c>
      <c r="O97" s="69">
        <v>0.73015873015873012</v>
      </c>
      <c r="P97" s="69">
        <v>0.46938775510204084</v>
      </c>
      <c r="Q97" s="69">
        <v>0.35294117647058826</v>
      </c>
    </row>
    <row r="98" spans="1:17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5.2631578947368418E-2</v>
      </c>
      <c r="M98" s="69">
        <v>0.29090909090909089</v>
      </c>
      <c r="N98" s="69">
        <v>0.22272727272727272</v>
      </c>
      <c r="O98" s="69">
        <v>0.71875</v>
      </c>
      <c r="P98" s="69">
        <v>0.46938775510204084</v>
      </c>
      <c r="Q98" s="69">
        <v>0.35294117647058826</v>
      </c>
    </row>
    <row r="99" spans="1:17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5.2083333333333336E-2</v>
      </c>
      <c r="M99" s="69">
        <v>0.29515418502202645</v>
      </c>
      <c r="N99" s="69">
        <v>0.22466960352422907</v>
      </c>
      <c r="O99" s="69">
        <v>0.71641791044776115</v>
      </c>
      <c r="P99" s="69">
        <v>0.47058823529411764</v>
      </c>
      <c r="Q99" s="69">
        <v>0.35537190082644626</v>
      </c>
    </row>
    <row r="100" spans="1:17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5.1546391752577317E-2</v>
      </c>
      <c r="M100" s="69">
        <v>0.2978723404255319</v>
      </c>
      <c r="N100" s="69">
        <v>0.21702127659574469</v>
      </c>
      <c r="O100" s="69">
        <v>0.7142857142857143</v>
      </c>
      <c r="P100" s="69">
        <v>0.47058823529411764</v>
      </c>
      <c r="Q100" s="69">
        <v>0.36065573770491804</v>
      </c>
    </row>
    <row r="101" spans="1:17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5.1020408163265307E-2</v>
      </c>
      <c r="M101" s="69">
        <v>0.29795918367346941</v>
      </c>
      <c r="N101" s="69">
        <v>0.22448979591836735</v>
      </c>
      <c r="O101" s="69">
        <v>0.71232876712328763</v>
      </c>
      <c r="P101" s="69">
        <v>0.49090909090909091</v>
      </c>
      <c r="Q101" s="69">
        <v>0.35856573705179284</v>
      </c>
    </row>
    <row r="102" spans="1:17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5.0505050505050504E-2</v>
      </c>
      <c r="M102" s="69">
        <v>0.30278884462151395</v>
      </c>
      <c r="N102" s="69">
        <v>0.21912350597609562</v>
      </c>
      <c r="O102" s="69">
        <v>0.71052631578947367</v>
      </c>
      <c r="P102" s="69">
        <v>0.49090909090909091</v>
      </c>
      <c r="Q102" s="69">
        <v>0.35968379446640314</v>
      </c>
    </row>
    <row r="103" spans="1:17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0.05</v>
      </c>
      <c r="M103" s="69">
        <v>0.30078125</v>
      </c>
      <c r="N103" s="69">
        <v>0.21875</v>
      </c>
      <c r="O103" s="69">
        <v>0.7142857142857143</v>
      </c>
      <c r="P103" s="69">
        <v>0.48214285714285715</v>
      </c>
      <c r="Q103" s="69">
        <v>0.36220472440944884</v>
      </c>
    </row>
    <row r="104" spans="1:17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4.9504950495049507E-2</v>
      </c>
      <c r="M104" s="69">
        <v>0.29368029739776952</v>
      </c>
      <c r="N104" s="69">
        <v>0.21561338289962825</v>
      </c>
      <c r="O104" s="69">
        <v>0.70886075949367089</v>
      </c>
      <c r="P104" s="69">
        <v>0.46551724137931033</v>
      </c>
      <c r="Q104" s="69">
        <v>0.35797665369649806</v>
      </c>
    </row>
    <row r="105" spans="1:17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4.9019607843137254E-2</v>
      </c>
      <c r="M105" s="69">
        <v>0.29496402877697842</v>
      </c>
      <c r="N105" s="69">
        <v>0.21582733812949639</v>
      </c>
      <c r="O105" s="69">
        <v>0.70731707317073167</v>
      </c>
      <c r="P105" s="69">
        <v>0.45</v>
      </c>
      <c r="Q105" s="69">
        <v>0.36153846153846153</v>
      </c>
    </row>
    <row r="106" spans="1:17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5.8252427184466021E-2</v>
      </c>
      <c r="M106" s="69">
        <v>0.28719723183391005</v>
      </c>
      <c r="N106" s="69">
        <v>0.2179930795847751</v>
      </c>
      <c r="O106" s="69">
        <v>0.6987951807228916</v>
      </c>
      <c r="P106" s="69">
        <v>0.44444444444444442</v>
      </c>
      <c r="Q106" s="69">
        <v>0.36501901140684412</v>
      </c>
    </row>
    <row r="107" spans="1:17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5.7692307692307696E-2</v>
      </c>
      <c r="M107" s="69">
        <v>0.28716216216216217</v>
      </c>
      <c r="N107" s="69">
        <v>0.2195945945945946</v>
      </c>
      <c r="O107" s="69">
        <v>0.70588235294117652</v>
      </c>
      <c r="P107" s="69">
        <v>0.44615384615384618</v>
      </c>
      <c r="Q107" s="69">
        <v>0.36842105263157893</v>
      </c>
    </row>
    <row r="108" spans="1:17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5.7142857142857141E-2</v>
      </c>
      <c r="M108" s="69">
        <v>0.28428093645484948</v>
      </c>
      <c r="N108" s="69">
        <v>0.21739130434782608</v>
      </c>
      <c r="O108" s="69">
        <v>0.70588235294117652</v>
      </c>
      <c r="P108" s="69">
        <v>0.44615384615384618</v>
      </c>
      <c r="Q108" s="69">
        <v>0.36704119850187267</v>
      </c>
    </row>
    <row r="109" spans="1:17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5.6603773584905662E-2</v>
      </c>
      <c r="M109" s="69">
        <v>0.28338762214983715</v>
      </c>
      <c r="N109" s="69">
        <v>0.21824104234527689</v>
      </c>
      <c r="O109" s="69">
        <v>0.70114942528735635</v>
      </c>
      <c r="P109" s="69">
        <v>0.44776119402985076</v>
      </c>
      <c r="Q109" s="69">
        <v>0.36431226765799257</v>
      </c>
    </row>
    <row r="110" spans="1:17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5.6074766355140186E-2</v>
      </c>
      <c r="M110" s="69">
        <v>0.28115015974440893</v>
      </c>
      <c r="N110" s="69">
        <v>0.21725239616613418</v>
      </c>
      <c r="O110" s="69">
        <v>0.70454545454545459</v>
      </c>
      <c r="P110" s="69">
        <v>0.45588235294117646</v>
      </c>
      <c r="Q110" s="69">
        <v>0.36900369003690037</v>
      </c>
    </row>
    <row r="111" spans="1:17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5.5555555555555552E-2</v>
      </c>
      <c r="M111" s="69">
        <v>0.2822085889570552</v>
      </c>
      <c r="N111" s="69">
        <v>0.21779141104294478</v>
      </c>
      <c r="O111" s="69">
        <v>0.70652173913043481</v>
      </c>
      <c r="P111" s="69">
        <v>0.45070422535211269</v>
      </c>
      <c r="Q111" s="69">
        <v>0.37454545454545457</v>
      </c>
    </row>
    <row r="112" spans="1:17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5.5045871559633031E-2</v>
      </c>
      <c r="M112" s="69">
        <v>0.28313253012048195</v>
      </c>
      <c r="N112" s="69">
        <v>0.22289156626506024</v>
      </c>
      <c r="O112" s="69">
        <v>0.71276595744680848</v>
      </c>
      <c r="P112" s="69">
        <v>0.44594594594594594</v>
      </c>
      <c r="Q112" s="69">
        <v>0.37410071942446044</v>
      </c>
    </row>
    <row r="113" spans="1:17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5.4545454545454543E-2</v>
      </c>
      <c r="M113" s="69">
        <v>0.28613569321533922</v>
      </c>
      <c r="N113" s="69">
        <v>0.22123893805309736</v>
      </c>
      <c r="O113" s="69">
        <v>0.72164948453608246</v>
      </c>
      <c r="P113" s="69">
        <v>0.44</v>
      </c>
      <c r="Q113" s="69">
        <v>0.37722419928825623</v>
      </c>
    </row>
    <row r="114" spans="1:17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5.4054054054054057E-2</v>
      </c>
      <c r="M114" s="69">
        <v>0.28735632183908044</v>
      </c>
      <c r="N114" s="69">
        <v>0.21551724137931033</v>
      </c>
      <c r="O114" s="69">
        <v>0.72</v>
      </c>
      <c r="P114" s="69">
        <v>0.44</v>
      </c>
      <c r="Q114" s="69">
        <v>0.37809187279151946</v>
      </c>
    </row>
    <row r="115" spans="1:17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6.25E-2</v>
      </c>
      <c r="M115" s="69">
        <v>0.28813559322033899</v>
      </c>
      <c r="N115" s="69">
        <v>0.2175141242937853</v>
      </c>
      <c r="O115" s="69">
        <v>0.71568627450980393</v>
      </c>
      <c r="P115" s="69">
        <v>0.45454545454545453</v>
      </c>
      <c r="Q115" s="69">
        <v>0.37412587412587411</v>
      </c>
    </row>
    <row r="116" spans="1:17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7.0796460176991149E-2</v>
      </c>
      <c r="M116" s="69">
        <v>0.29005524861878451</v>
      </c>
      <c r="N116" s="69">
        <v>0.21546961325966851</v>
      </c>
      <c r="O116" s="69">
        <v>0.70476190476190481</v>
      </c>
      <c r="P116" s="69">
        <v>0.46153846153846156</v>
      </c>
      <c r="Q116" s="69">
        <v>0.37024221453287198</v>
      </c>
    </row>
    <row r="117" spans="1:17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7.0175438596491224E-2</v>
      </c>
      <c r="M117" s="69">
        <v>0.28688524590163933</v>
      </c>
      <c r="N117" s="69">
        <v>0.21311475409836064</v>
      </c>
      <c r="O117" s="69">
        <v>0.70476190476190481</v>
      </c>
      <c r="P117" s="69">
        <v>0.46153846153846156</v>
      </c>
      <c r="Q117" s="69">
        <v>0.37024221453287198</v>
      </c>
    </row>
    <row r="118" spans="1:17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6.9565217391304349E-2</v>
      </c>
      <c r="M118" s="69">
        <v>0.28418230563002683</v>
      </c>
      <c r="N118" s="69">
        <v>0.21179624664879357</v>
      </c>
      <c r="O118" s="69">
        <v>0.70754716981132071</v>
      </c>
      <c r="P118" s="69">
        <v>0.46835443037974683</v>
      </c>
      <c r="Q118" s="69">
        <v>0.3651877133105802</v>
      </c>
    </row>
    <row r="119" spans="1:17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6.8965517241379309E-2</v>
      </c>
      <c r="M119" s="69">
        <v>0.2879581151832461</v>
      </c>
      <c r="N119" s="69">
        <v>0.20942408376963351</v>
      </c>
      <c r="O119" s="69">
        <v>0.70909090909090911</v>
      </c>
      <c r="P119" s="69">
        <v>0.46250000000000002</v>
      </c>
      <c r="Q119" s="69">
        <v>0.36148648648648651</v>
      </c>
    </row>
    <row r="120" spans="1:17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6.8376068376068383E-2</v>
      </c>
      <c r="M120" s="69">
        <v>0.28865979381443296</v>
      </c>
      <c r="N120" s="69">
        <v>0.20876288659793815</v>
      </c>
      <c r="O120" s="69">
        <v>0.7142857142857143</v>
      </c>
      <c r="P120" s="69">
        <v>0.4567901234567901</v>
      </c>
      <c r="Q120" s="69">
        <v>0.36241610738255031</v>
      </c>
    </row>
    <row r="121" spans="1:17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6.7796610169491525E-2</v>
      </c>
      <c r="M121" s="69">
        <v>0.2871536523929471</v>
      </c>
      <c r="N121" s="69">
        <v>0.20906801007556675</v>
      </c>
      <c r="O121" s="69">
        <v>0.71052631578947367</v>
      </c>
      <c r="P121" s="69">
        <v>0.44578313253012047</v>
      </c>
      <c r="Q121" s="69">
        <v>0.36333333333333334</v>
      </c>
    </row>
    <row r="122" spans="1:17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6.7226890756302518E-2</v>
      </c>
      <c r="M122" s="69">
        <v>0.28358208955223879</v>
      </c>
      <c r="N122" s="69">
        <v>0.20895522388059701</v>
      </c>
      <c r="O122" s="69">
        <v>0.71052631578947367</v>
      </c>
      <c r="P122" s="69">
        <v>0.44047619047619047</v>
      </c>
      <c r="Q122" s="69">
        <v>0.36333333333333334</v>
      </c>
    </row>
    <row r="123" spans="1:17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6.6666666666666666E-2</v>
      </c>
      <c r="M123" s="69">
        <v>0.28501228501228504</v>
      </c>
      <c r="N123" s="69">
        <v>0.20638820638820637</v>
      </c>
      <c r="O123" s="69">
        <v>0.71551724137931039</v>
      </c>
      <c r="P123" s="69">
        <v>0.44047619047619047</v>
      </c>
      <c r="Q123" s="69">
        <v>0.36513157894736842</v>
      </c>
    </row>
    <row r="124" spans="1:17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6.6115702479338845E-2</v>
      </c>
      <c r="M124" s="69">
        <v>0.28467153284671531</v>
      </c>
      <c r="N124" s="69">
        <v>0.20681265206812652</v>
      </c>
      <c r="O124" s="69">
        <v>0.70940170940170943</v>
      </c>
      <c r="P124" s="69">
        <v>0.43529411764705883</v>
      </c>
      <c r="Q124" s="69">
        <v>0.36513157894736842</v>
      </c>
    </row>
    <row r="125" spans="1:17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6.5573770491803282E-2</v>
      </c>
      <c r="M125" s="69">
        <v>0.28503562945368172</v>
      </c>
      <c r="N125" s="69">
        <v>0.20902612826603326</v>
      </c>
      <c r="O125" s="69">
        <v>0.69166666666666665</v>
      </c>
      <c r="P125" s="69">
        <v>0.43181818181818182</v>
      </c>
      <c r="Q125" s="69">
        <v>0.36601307189542481</v>
      </c>
    </row>
    <row r="126" spans="1:17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6.5040650406504072E-2</v>
      </c>
      <c r="M126" s="69">
        <v>0.28472222222222221</v>
      </c>
      <c r="N126" s="69">
        <v>0.20833333333333334</v>
      </c>
      <c r="O126" s="69">
        <v>0.68292682926829273</v>
      </c>
      <c r="P126" s="69">
        <v>0.42222222222222222</v>
      </c>
      <c r="Q126" s="69">
        <v>0.36482084690553745</v>
      </c>
    </row>
    <row r="127" spans="1:17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6.4516129032258063E-2</v>
      </c>
      <c r="M127" s="69">
        <v>0.2847380410022779</v>
      </c>
      <c r="N127" s="69">
        <v>0.20956719817767655</v>
      </c>
      <c r="O127" s="69">
        <v>0.68</v>
      </c>
      <c r="P127" s="69">
        <v>0.43478260869565216</v>
      </c>
      <c r="Q127" s="69">
        <v>0.36334405144694532</v>
      </c>
    </row>
    <row r="128" spans="1:17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7.1999999999999995E-2</v>
      </c>
      <c r="M128" s="69">
        <v>0.28635346756152125</v>
      </c>
      <c r="N128" s="69">
        <v>0.21252796420581654</v>
      </c>
      <c r="O128" s="69">
        <v>0.6796875</v>
      </c>
      <c r="P128" s="69">
        <v>0.45263157894736844</v>
      </c>
      <c r="Q128" s="69">
        <v>0.36075949367088606</v>
      </c>
    </row>
    <row r="129" spans="1:17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7.1428571428571425E-2</v>
      </c>
      <c r="M129" s="69">
        <v>0.28289473684210525</v>
      </c>
      <c r="N129" s="69">
        <v>0.21710526315789475</v>
      </c>
      <c r="O129" s="69">
        <v>0.68217054263565891</v>
      </c>
      <c r="P129" s="69">
        <v>0.46464646464646464</v>
      </c>
      <c r="Q129" s="69">
        <v>0.36562499999999998</v>
      </c>
    </row>
    <row r="130" spans="1:17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7.0866141732283464E-2</v>
      </c>
      <c r="M130" s="69">
        <v>0.28232758620689657</v>
      </c>
      <c r="N130" s="69">
        <v>0.21982758620689655</v>
      </c>
      <c r="O130" s="69">
        <v>0.68702290076335881</v>
      </c>
      <c r="P130" s="69">
        <v>0.48039215686274511</v>
      </c>
      <c r="Q130" s="69">
        <v>0.36615384615384616</v>
      </c>
    </row>
    <row r="131" spans="1:17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7.03125E-2</v>
      </c>
      <c r="M131" s="69">
        <v>0.28177966101694918</v>
      </c>
      <c r="N131" s="69">
        <v>0.22033898305084745</v>
      </c>
      <c r="O131" s="69">
        <v>0.69172932330827064</v>
      </c>
      <c r="P131" s="69">
        <v>0.47115384615384615</v>
      </c>
      <c r="Q131" s="69">
        <v>0.37003058103975534</v>
      </c>
    </row>
    <row r="132" spans="1:17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6.9767441860465115E-2</v>
      </c>
      <c r="M132" s="69">
        <v>0.28215767634854771</v>
      </c>
      <c r="N132" s="69">
        <v>0.22199170124481327</v>
      </c>
      <c r="O132" s="69">
        <v>0.68382352941176472</v>
      </c>
      <c r="P132" s="69">
        <v>0.46728971962616822</v>
      </c>
      <c r="Q132" s="69">
        <v>0.37082066869300911</v>
      </c>
    </row>
    <row r="133" spans="1:17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6.9230769230769235E-2</v>
      </c>
      <c r="M133" s="69">
        <v>0.28688524590163933</v>
      </c>
      <c r="N133" s="69">
        <v>0.22131147540983606</v>
      </c>
      <c r="O133" s="69">
        <v>0.6785714285714286</v>
      </c>
      <c r="P133" s="69">
        <v>0.47222222222222221</v>
      </c>
      <c r="Q133" s="69">
        <v>0.37349397590361444</v>
      </c>
    </row>
    <row r="134" spans="1:17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6.8702290076335881E-2</v>
      </c>
      <c r="M134" s="69">
        <v>0.28282828282828282</v>
      </c>
      <c r="N134" s="69">
        <v>0.22222222222222221</v>
      </c>
      <c r="O134" s="69">
        <v>0.6785714285714286</v>
      </c>
      <c r="P134" s="69">
        <v>0.47272727272727272</v>
      </c>
      <c r="Q134" s="69">
        <v>0.37237237237237236</v>
      </c>
    </row>
    <row r="135" spans="1:17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7.575757575757576E-2</v>
      </c>
      <c r="M135" s="69">
        <v>0.28063241106719367</v>
      </c>
      <c r="N135" s="69">
        <v>0.22332015810276679</v>
      </c>
      <c r="O135" s="69">
        <v>0.676056338028169</v>
      </c>
      <c r="P135" s="69">
        <v>0.48672566371681414</v>
      </c>
      <c r="Q135" s="69">
        <v>0.36950146627565983</v>
      </c>
    </row>
    <row r="136" spans="1:17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7.5187969924812026E-2</v>
      </c>
      <c r="M136" s="69">
        <v>0.28375733855185908</v>
      </c>
      <c r="N136" s="69">
        <v>0.22309197651663404</v>
      </c>
      <c r="O136" s="69">
        <v>0.66896551724137931</v>
      </c>
      <c r="P136" s="69">
        <v>0.48245614035087719</v>
      </c>
      <c r="Q136" s="69">
        <v>0.36842105263157893</v>
      </c>
    </row>
    <row r="137" spans="1:17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7.4626865671641784E-2</v>
      </c>
      <c r="M137" s="69">
        <v>0.28709055876685935</v>
      </c>
      <c r="N137" s="69">
        <v>0.22157996146435452</v>
      </c>
      <c r="O137" s="69">
        <v>0.67785234899328861</v>
      </c>
      <c r="P137" s="69">
        <v>0.48695652173913045</v>
      </c>
      <c r="Q137" s="69">
        <v>0.37068965517241381</v>
      </c>
    </row>
    <row r="138" spans="1:17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7.407407407407407E-2</v>
      </c>
      <c r="M138" s="69">
        <v>0.28977272727272729</v>
      </c>
      <c r="N138" s="69">
        <v>0.2196969696969697</v>
      </c>
      <c r="O138" s="69">
        <v>0.6797385620915033</v>
      </c>
      <c r="P138" s="69">
        <v>0.48275862068965519</v>
      </c>
      <c r="Q138" s="69">
        <v>0.36931818181818182</v>
      </c>
    </row>
    <row r="139" spans="1:17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7.3529411764705885E-2</v>
      </c>
      <c r="M139" s="69">
        <v>0.29422718808193671</v>
      </c>
      <c r="N139" s="69">
        <v>0.21601489757914338</v>
      </c>
      <c r="O139" s="69">
        <v>0.67088607594936711</v>
      </c>
      <c r="P139" s="69">
        <v>0.48275862068965519</v>
      </c>
      <c r="Q139" s="69">
        <v>0.36901408450704226</v>
      </c>
    </row>
    <row r="140" spans="1:17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7.2992700729927001E-2</v>
      </c>
      <c r="M140" s="69">
        <v>0.29326047358834245</v>
      </c>
      <c r="N140" s="69">
        <v>0.21493624772313297</v>
      </c>
      <c r="O140" s="69">
        <v>0.67080745341614911</v>
      </c>
      <c r="P140" s="69">
        <v>0.48305084745762711</v>
      </c>
      <c r="Q140" s="69">
        <v>0.36768802228412256</v>
      </c>
    </row>
    <row r="141" spans="1:17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7.2463768115942032E-2</v>
      </c>
      <c r="M141" s="69">
        <v>0.29316546762589929</v>
      </c>
      <c r="N141" s="69">
        <v>0.21762589928057555</v>
      </c>
      <c r="O141" s="69">
        <v>0.66871165644171782</v>
      </c>
      <c r="P141" s="69">
        <v>0.48760330578512395</v>
      </c>
      <c r="Q141" s="69">
        <v>0.36464088397790057</v>
      </c>
    </row>
    <row r="142" spans="1:17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7.1942446043165464E-2</v>
      </c>
      <c r="M142" s="69">
        <v>0.29203539823008851</v>
      </c>
      <c r="N142" s="69">
        <v>0.21592920353982301</v>
      </c>
      <c r="O142" s="69">
        <v>0.67272727272727273</v>
      </c>
      <c r="P142" s="69">
        <v>0.48360655737704916</v>
      </c>
      <c r="Q142" s="69">
        <v>0.36538461538461536</v>
      </c>
    </row>
    <row r="143" spans="1:17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7.1428571428571425E-2</v>
      </c>
      <c r="M143" s="69">
        <v>0.296875</v>
      </c>
      <c r="N143" s="69">
        <v>0.2170138888888889</v>
      </c>
      <c r="O143" s="69">
        <v>0.67251461988304095</v>
      </c>
      <c r="P143" s="69">
        <v>0.47199999999999998</v>
      </c>
      <c r="Q143" s="69">
        <v>0.37127371273712739</v>
      </c>
    </row>
    <row r="144" spans="1:17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7.0921985815602842E-2</v>
      </c>
      <c r="M144" s="69">
        <v>0.29401709401709403</v>
      </c>
      <c r="N144" s="69">
        <v>0.22222222222222221</v>
      </c>
      <c r="O144" s="69">
        <v>0.66860465116279066</v>
      </c>
      <c r="P144" s="69">
        <v>0.46923076923076923</v>
      </c>
      <c r="Q144" s="69">
        <v>0.37096774193548387</v>
      </c>
    </row>
    <row r="145" spans="1:17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7.0422535211267609E-2</v>
      </c>
      <c r="M145" s="69">
        <v>0.29342327150084319</v>
      </c>
      <c r="N145" s="69">
        <v>0.22259696458684655</v>
      </c>
      <c r="O145" s="69">
        <v>0.66666666666666663</v>
      </c>
      <c r="P145" s="69">
        <v>0.46969696969696972</v>
      </c>
      <c r="Q145" s="69">
        <v>0.37165775401069517</v>
      </c>
    </row>
    <row r="146" spans="1:17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6.9930069930069935E-2</v>
      </c>
      <c r="M146" s="69">
        <v>0.28951747088186358</v>
      </c>
      <c r="N146" s="69">
        <v>0.22296173044925124</v>
      </c>
      <c r="O146" s="69">
        <v>0.66666666666666663</v>
      </c>
      <c r="P146" s="69">
        <v>0.47014925373134331</v>
      </c>
      <c r="Q146" s="69">
        <v>0.36968085106382981</v>
      </c>
    </row>
    <row r="147" spans="1:17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6.9444444444444448E-2</v>
      </c>
      <c r="M147" s="69">
        <v>0.28641571194762683</v>
      </c>
      <c r="N147" s="69">
        <v>0.22422258592471359</v>
      </c>
      <c r="O147" s="69">
        <v>0.66285714285714281</v>
      </c>
      <c r="P147" s="69">
        <v>0.46715328467153283</v>
      </c>
      <c r="Q147" s="69">
        <v>0.3687002652519894</v>
      </c>
    </row>
    <row r="148" spans="1:17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6.8965517241379309E-2</v>
      </c>
      <c r="M148" s="69">
        <v>0.28780487804878047</v>
      </c>
      <c r="N148" s="69">
        <v>0.22439024390243903</v>
      </c>
      <c r="O148" s="69">
        <v>0.66101694915254239</v>
      </c>
      <c r="P148" s="69">
        <v>0.47101449275362317</v>
      </c>
      <c r="Q148" s="69">
        <v>0.36675461741424803</v>
      </c>
    </row>
    <row r="149" spans="1:17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6.8493150684931503E-2</v>
      </c>
      <c r="M149" s="69">
        <v>0.2861736334405145</v>
      </c>
      <c r="N149" s="69">
        <v>0.22990353697749197</v>
      </c>
      <c r="O149" s="69">
        <v>0.6629213483146067</v>
      </c>
      <c r="P149" s="69">
        <v>0.47552447552447552</v>
      </c>
      <c r="Q149" s="69">
        <v>0.36292428198433418</v>
      </c>
    </row>
    <row r="150" spans="1:17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6.8027210884353748E-2</v>
      </c>
      <c r="M150" s="69">
        <v>0.2857142857142857</v>
      </c>
      <c r="N150" s="69">
        <v>0.22953451043338685</v>
      </c>
      <c r="O150" s="69">
        <v>0.6629213483146067</v>
      </c>
      <c r="P150" s="69">
        <v>0.47552447552447552</v>
      </c>
      <c r="Q150" s="69">
        <v>0.36292428198433418</v>
      </c>
    </row>
    <row r="151" spans="1:17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6.7567567567567571E-2</v>
      </c>
      <c r="M151" s="69">
        <v>0.2848101265822785</v>
      </c>
      <c r="N151" s="69">
        <v>0.23259493670886075</v>
      </c>
      <c r="O151" s="69">
        <v>0.66111111111111109</v>
      </c>
      <c r="P151" s="69">
        <v>0.46938775510204084</v>
      </c>
      <c r="Q151" s="69">
        <v>0.36623376623376624</v>
      </c>
    </row>
    <row r="152" spans="1:17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6.7114093959731544E-2</v>
      </c>
      <c r="M152" s="69">
        <v>0.28705148205928238</v>
      </c>
      <c r="N152" s="69">
        <v>0.23244929797191888</v>
      </c>
      <c r="O152" s="69">
        <v>0.65760869565217395</v>
      </c>
      <c r="P152" s="69">
        <v>0.47651006711409394</v>
      </c>
      <c r="Q152" s="69">
        <v>0.36503856041131105</v>
      </c>
    </row>
    <row r="153" spans="1:17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6.6666666666666666E-2</v>
      </c>
      <c r="M153" s="69">
        <v>0.2846153846153846</v>
      </c>
      <c r="N153" s="69">
        <v>0.23692307692307693</v>
      </c>
      <c r="O153" s="69">
        <v>0.6594594594594595</v>
      </c>
      <c r="P153" s="69">
        <v>0.46753246753246752</v>
      </c>
      <c r="Q153" s="69">
        <v>0.3631713554987212</v>
      </c>
    </row>
    <row r="154" spans="1:17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6.6225165562913912E-2</v>
      </c>
      <c r="M154" s="69">
        <v>0.28396946564885495</v>
      </c>
      <c r="N154" s="69">
        <v>0.23511450381679388</v>
      </c>
      <c r="O154" s="69">
        <v>0.66129032258064513</v>
      </c>
      <c r="P154" s="69">
        <v>0.46753246753246752</v>
      </c>
      <c r="Q154" s="69">
        <v>0.36479591836734693</v>
      </c>
    </row>
    <row r="155" spans="1:17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6.5789473684210523E-2</v>
      </c>
      <c r="M155" s="69">
        <v>0.28378378378378377</v>
      </c>
      <c r="N155" s="69">
        <v>0.23273273273273273</v>
      </c>
      <c r="O155" s="69">
        <v>0.65608465608465605</v>
      </c>
      <c r="P155" s="69">
        <v>0.47096774193548385</v>
      </c>
      <c r="Q155" s="69">
        <v>0.36775818639798491</v>
      </c>
    </row>
    <row r="156" spans="1:17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6.535947712418301E-2</v>
      </c>
      <c r="M156" s="69">
        <v>0.2838038632986627</v>
      </c>
      <c r="N156" s="69">
        <v>0.23179791976225855</v>
      </c>
      <c r="O156" s="69">
        <v>0.65445026178010468</v>
      </c>
      <c r="P156" s="69">
        <v>0.46794871794871795</v>
      </c>
      <c r="Q156" s="69">
        <v>0.36683417085427134</v>
      </c>
    </row>
    <row r="157" spans="1:17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7.1428571428571425E-2</v>
      </c>
      <c r="M157" s="69">
        <v>0.2838235294117647</v>
      </c>
      <c r="N157" s="69">
        <v>0.23088235294117648</v>
      </c>
      <c r="O157" s="69">
        <v>0.65803108808290156</v>
      </c>
      <c r="P157" s="69">
        <v>0.46496815286624205</v>
      </c>
      <c r="Q157" s="69">
        <v>0.36907730673316708</v>
      </c>
    </row>
    <row r="158" spans="1:17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7.0967741935483872E-2</v>
      </c>
      <c r="M158" s="69">
        <v>0.28425655976676384</v>
      </c>
      <c r="N158" s="69">
        <v>0.22886297376093295</v>
      </c>
      <c r="O158" s="69">
        <v>0.65641025641025641</v>
      </c>
      <c r="P158" s="69">
        <v>0.46496815286624205</v>
      </c>
      <c r="Q158" s="69">
        <v>0.36815920398009949</v>
      </c>
    </row>
    <row r="159" spans="1:17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7.0512820512820512E-2</v>
      </c>
      <c r="M159" s="69">
        <v>0.28591954022988508</v>
      </c>
      <c r="N159" s="69">
        <v>0.22557471264367815</v>
      </c>
      <c r="O159" s="69">
        <v>0.65326633165829151</v>
      </c>
      <c r="P159" s="69">
        <v>0.46496815286624205</v>
      </c>
      <c r="Q159" s="69">
        <v>0.36633663366336633</v>
      </c>
    </row>
    <row r="160" spans="1:17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7.6433121019108277E-2</v>
      </c>
      <c r="M160" s="69">
        <v>0.28267045454545453</v>
      </c>
      <c r="N160" s="69">
        <v>0.22443181818181818</v>
      </c>
      <c r="O160" s="69">
        <v>0.65326633165829151</v>
      </c>
      <c r="P160" s="69">
        <v>0.46835443037974683</v>
      </c>
      <c r="Q160" s="69">
        <v>0.36945812807881773</v>
      </c>
    </row>
    <row r="161" spans="1:17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7.5949367088607597E-2</v>
      </c>
      <c r="M161" s="69">
        <v>0.28270042194092826</v>
      </c>
      <c r="N161" s="69">
        <v>0.22222222222222221</v>
      </c>
      <c r="O161" s="69">
        <v>0.65671641791044777</v>
      </c>
      <c r="P161" s="69">
        <v>0.46835443037974683</v>
      </c>
      <c r="Q161" s="69">
        <v>0.36829268292682926</v>
      </c>
    </row>
    <row r="162" spans="1:17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7.5471698113207544E-2</v>
      </c>
      <c r="M162" s="69">
        <v>0.28710124826629679</v>
      </c>
      <c r="N162" s="69">
        <v>0.22052704576976423</v>
      </c>
      <c r="O162" s="69">
        <v>0.64734299516908211</v>
      </c>
      <c r="P162" s="69">
        <v>0.46540880503144655</v>
      </c>
      <c r="Q162" s="69">
        <v>0.36650485436893204</v>
      </c>
    </row>
    <row r="163" spans="1:17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7.4999999999999997E-2</v>
      </c>
      <c r="M163" s="69">
        <v>0.28767123287671231</v>
      </c>
      <c r="N163" s="69">
        <v>0.22054794520547946</v>
      </c>
      <c r="O163" s="69">
        <v>0.64761904761904765</v>
      </c>
      <c r="P163" s="69">
        <v>0.46583850931677018</v>
      </c>
      <c r="Q163" s="69">
        <v>0.36867469879518072</v>
      </c>
    </row>
    <row r="164" spans="1:17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7.4534161490683232E-2</v>
      </c>
      <c r="M164" s="69">
        <v>0.2872628726287263</v>
      </c>
      <c r="N164" s="69">
        <v>0.22086720867208673</v>
      </c>
      <c r="O164" s="69">
        <v>0.65094339622641506</v>
      </c>
      <c r="P164" s="69">
        <v>0.47239263803680981</v>
      </c>
      <c r="Q164" s="69">
        <v>0.37231503579952269</v>
      </c>
    </row>
    <row r="165" spans="1:17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8.0246913580246909E-2</v>
      </c>
      <c r="M165" s="69">
        <v>0.28838451268357812</v>
      </c>
      <c r="N165" s="69">
        <v>0.22162883845126835</v>
      </c>
      <c r="O165" s="69">
        <v>0.64351851851851849</v>
      </c>
      <c r="P165" s="69">
        <v>0.4759036144578313</v>
      </c>
      <c r="Q165" s="69">
        <v>0.37677725118483413</v>
      </c>
    </row>
    <row r="166" spans="1:17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7.9754601226993863E-2</v>
      </c>
      <c r="M166" s="69">
        <v>0.28477690288713908</v>
      </c>
      <c r="N166" s="69">
        <v>0.2230971128608924</v>
      </c>
      <c r="O166" s="69">
        <v>0.64055299539170507</v>
      </c>
      <c r="P166" s="69">
        <v>0.48823529411764705</v>
      </c>
      <c r="Q166" s="69">
        <v>0.3779342723004695</v>
      </c>
    </row>
    <row r="167" spans="1:17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7.926829268292683E-2</v>
      </c>
      <c r="M167" s="69">
        <v>0.28385416666666669</v>
      </c>
      <c r="N167" s="69">
        <v>0.22135416666666666</v>
      </c>
      <c r="O167" s="69">
        <v>0.63761467889908252</v>
      </c>
      <c r="P167" s="69">
        <v>0.48823529411764705</v>
      </c>
      <c r="Q167" s="69">
        <v>0.37939110070257609</v>
      </c>
    </row>
    <row r="168" spans="1:17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7.8787878787878782E-2</v>
      </c>
      <c r="M168" s="69">
        <v>0.28479381443298968</v>
      </c>
      <c r="N168" s="69">
        <v>0.22293814432989692</v>
      </c>
      <c r="O168" s="69">
        <v>0.63348416289592757</v>
      </c>
      <c r="P168" s="69">
        <v>0.48554913294797686</v>
      </c>
      <c r="Q168" s="69">
        <v>0.38228438228438227</v>
      </c>
    </row>
    <row r="169" spans="1:17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7.8313253012048195E-2</v>
      </c>
      <c r="M169" s="69">
        <v>0.28172588832487311</v>
      </c>
      <c r="N169" s="69">
        <v>0.22461928934010153</v>
      </c>
      <c r="O169" s="69">
        <v>0.63063063063063063</v>
      </c>
      <c r="P169" s="69">
        <v>0.47457627118644069</v>
      </c>
      <c r="Q169" s="69">
        <v>0.38139534883720932</v>
      </c>
    </row>
    <row r="170" spans="1:17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8.3832335329341312E-2</v>
      </c>
      <c r="M170" s="69">
        <v>0.28211586901763225</v>
      </c>
      <c r="N170" s="69">
        <v>0.22418136020151133</v>
      </c>
      <c r="O170" s="69">
        <v>0.6294642857142857</v>
      </c>
      <c r="P170" s="69">
        <v>0.47752808988764045</v>
      </c>
      <c r="Q170" s="69">
        <v>0.38106235565819863</v>
      </c>
    </row>
    <row r="171" spans="1:17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8.9285714285714288E-2</v>
      </c>
      <c r="M171" s="69">
        <v>0.28410513141426785</v>
      </c>
      <c r="N171" s="69">
        <v>0.2227784730913642</v>
      </c>
      <c r="O171" s="69">
        <v>0.63436123348017626</v>
      </c>
      <c r="P171" s="69">
        <v>0.47752808988764045</v>
      </c>
      <c r="Q171" s="69">
        <v>0.37986270022883295</v>
      </c>
    </row>
    <row r="172" spans="1:17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8.8757396449704137E-2</v>
      </c>
      <c r="M172" s="69">
        <v>0.28376703841387857</v>
      </c>
      <c r="N172" s="69">
        <v>0.22304832713754646</v>
      </c>
      <c r="O172" s="69">
        <v>0.63755458515283847</v>
      </c>
      <c r="P172" s="69">
        <v>0.48333333333333334</v>
      </c>
      <c r="Q172" s="69">
        <v>0.3832199546485261</v>
      </c>
    </row>
    <row r="173" spans="1:17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8.8235294117647065E-2</v>
      </c>
      <c r="M173" s="69">
        <v>0.28431372549019607</v>
      </c>
      <c r="N173" s="69">
        <v>0.22426470588235295</v>
      </c>
      <c r="O173" s="69">
        <v>0.64224137931034486</v>
      </c>
      <c r="P173" s="69">
        <v>0.47540983606557374</v>
      </c>
      <c r="Q173" s="69">
        <v>0.38288288288288286</v>
      </c>
    </row>
    <row r="174" spans="1:17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8.771929824561403E-2</v>
      </c>
      <c r="M174" s="69">
        <v>0.28223844282238442</v>
      </c>
      <c r="N174" s="69">
        <v>0.22384428223844283</v>
      </c>
      <c r="O174" s="69">
        <v>0.64224137931034486</v>
      </c>
      <c r="P174" s="69">
        <v>0.47826086956521741</v>
      </c>
      <c r="Q174" s="69">
        <v>0.38426966292134829</v>
      </c>
    </row>
    <row r="175" spans="1:17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8.7209302325581398E-2</v>
      </c>
      <c r="M175" s="69">
        <v>0.28331332533013204</v>
      </c>
      <c r="N175" s="69">
        <v>0.22448979591836735</v>
      </c>
      <c r="O175" s="69">
        <v>0.63983050847457623</v>
      </c>
      <c r="P175" s="69">
        <v>0.47593582887700536</v>
      </c>
      <c r="Q175" s="69">
        <v>0.38392857142857145</v>
      </c>
    </row>
    <row r="176" spans="1:17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8.6705202312138727E-2</v>
      </c>
      <c r="M176" s="69">
        <v>0.28333333333333333</v>
      </c>
      <c r="N176" s="69">
        <v>0.22261904761904761</v>
      </c>
      <c r="O176" s="69">
        <v>0.6386554621848739</v>
      </c>
      <c r="P176" s="69">
        <v>0.47593582887700536</v>
      </c>
      <c r="Q176" s="69">
        <v>0.38530066815144765</v>
      </c>
    </row>
    <row r="177" spans="1:17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8.6206896551724144E-2</v>
      </c>
      <c r="M177" s="69">
        <v>0.28436018957345971</v>
      </c>
      <c r="N177" s="69">
        <v>0.22393364928909953</v>
      </c>
      <c r="O177" s="69">
        <v>0.64166666666666672</v>
      </c>
      <c r="P177" s="69">
        <v>0.48148148148148145</v>
      </c>
      <c r="Q177" s="69">
        <v>0.38189845474613687</v>
      </c>
    </row>
    <row r="178" spans="1:17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8.5714285714285715E-2</v>
      </c>
      <c r="M178" s="69">
        <v>0.28402366863905326</v>
      </c>
      <c r="N178" s="69">
        <v>0.22366863905325443</v>
      </c>
      <c r="O178" s="69">
        <v>0.64166666666666672</v>
      </c>
      <c r="P178" s="69">
        <v>0.48148148148148145</v>
      </c>
      <c r="Q178" s="69">
        <v>0.38189845474613687</v>
      </c>
    </row>
    <row r="179" spans="1:17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8.5227272727272721E-2</v>
      </c>
      <c r="M179" s="69">
        <v>0.28337236533957844</v>
      </c>
      <c r="N179" s="69">
        <v>0.22131147540983606</v>
      </c>
      <c r="O179" s="69">
        <v>0.64049586776859502</v>
      </c>
      <c r="P179" s="69">
        <v>0.48148148148148145</v>
      </c>
      <c r="Q179" s="69">
        <v>0.38105726872246698</v>
      </c>
    </row>
    <row r="180" spans="1:17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8.4745762711864403E-2</v>
      </c>
      <c r="M180" s="69">
        <v>0.28703703703703703</v>
      </c>
      <c r="N180" s="69">
        <v>0.22106481481481483</v>
      </c>
      <c r="O180" s="69">
        <v>0.63709677419354838</v>
      </c>
      <c r="P180" s="69">
        <v>0.47643979057591623</v>
      </c>
      <c r="Q180" s="69">
        <v>0.38074398249452956</v>
      </c>
    </row>
    <row r="181" spans="1:17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8.4269662921348312E-2</v>
      </c>
      <c r="M181" s="69">
        <v>0.29128440366972475</v>
      </c>
      <c r="N181" s="69">
        <v>0.22018348623853212</v>
      </c>
      <c r="O181" s="69">
        <v>0.63779527559055116</v>
      </c>
      <c r="P181" s="69">
        <v>0.47916666666666669</v>
      </c>
      <c r="Q181" s="69">
        <v>0.38012958963282939</v>
      </c>
    </row>
    <row r="182" spans="1:17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8.9385474860335198E-2</v>
      </c>
      <c r="M182" s="69">
        <v>0.29090909090909089</v>
      </c>
      <c r="N182" s="69">
        <v>0.21818181818181817</v>
      </c>
      <c r="O182" s="69">
        <v>0.640625</v>
      </c>
      <c r="P182" s="69">
        <v>0.47916666666666669</v>
      </c>
      <c r="Q182" s="69">
        <v>0.38329764453961457</v>
      </c>
    </row>
    <row r="183" spans="1:17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8.8888888888888892E-2</v>
      </c>
      <c r="M183" s="69">
        <v>0.29166666666666669</v>
      </c>
      <c r="N183" s="69">
        <v>0.21734234234234234</v>
      </c>
      <c r="O183" s="69">
        <v>0.64478764478764483</v>
      </c>
      <c r="P183" s="69">
        <v>0.48186528497409326</v>
      </c>
      <c r="Q183" s="69">
        <v>0.38004246284501064</v>
      </c>
    </row>
    <row r="184" spans="1:17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9.3922651933701654E-2</v>
      </c>
      <c r="M184" s="69">
        <v>0.29464285714285715</v>
      </c>
      <c r="N184" s="69">
        <v>0.21651785714285715</v>
      </c>
      <c r="O184" s="69">
        <v>0.64772727272727271</v>
      </c>
      <c r="P184" s="69">
        <v>0.47938144329896909</v>
      </c>
      <c r="Q184" s="69">
        <v>0.38105263157894737</v>
      </c>
    </row>
    <row r="185" spans="1:17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9.3406593406593408E-2</v>
      </c>
      <c r="M185" s="69">
        <v>0.29490022172949004</v>
      </c>
      <c r="N185" s="69">
        <v>0.21507760532150777</v>
      </c>
      <c r="O185" s="69">
        <v>0.65037593984962405</v>
      </c>
      <c r="P185" s="69">
        <v>0.47938144329896909</v>
      </c>
      <c r="Q185" s="69">
        <v>0.38284518828451886</v>
      </c>
    </row>
    <row r="186" spans="1:17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9.2896174863387984E-2</v>
      </c>
      <c r="M186" s="69">
        <v>0.29547960308710031</v>
      </c>
      <c r="N186" s="69">
        <v>0.21499448732083792</v>
      </c>
      <c r="O186" s="69">
        <v>0.64552238805970152</v>
      </c>
      <c r="P186" s="69">
        <v>0.47692307692307695</v>
      </c>
      <c r="Q186" s="69">
        <v>0.38204592901878914</v>
      </c>
    </row>
    <row r="187" spans="1:17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9.2391304347826081E-2</v>
      </c>
      <c r="M187" s="69">
        <v>0.2964989059080963</v>
      </c>
      <c r="N187" s="69">
        <v>0.21444201312910285</v>
      </c>
      <c r="O187" s="69">
        <v>0.64944649446494462</v>
      </c>
      <c r="P187" s="69">
        <v>0.47959183673469385</v>
      </c>
      <c r="Q187" s="69">
        <v>0.38095238095238093</v>
      </c>
    </row>
    <row r="188" spans="1:17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9.1891891891891897E-2</v>
      </c>
      <c r="M188" s="69">
        <v>0.29697624190064797</v>
      </c>
      <c r="N188" s="69">
        <v>0.21274298056155508</v>
      </c>
      <c r="O188" s="69">
        <v>0.65090909090909088</v>
      </c>
      <c r="P188" s="69">
        <v>0.48223350253807107</v>
      </c>
      <c r="Q188" s="69">
        <v>0.38114754098360654</v>
      </c>
    </row>
    <row r="189" spans="1:17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9.1397849462365593E-2</v>
      </c>
      <c r="M189" s="69">
        <v>0.29796355841371919</v>
      </c>
      <c r="N189" s="69">
        <v>0.21221864951768488</v>
      </c>
      <c r="O189" s="69">
        <v>0.65107913669064743</v>
      </c>
      <c r="P189" s="69">
        <v>0.48484848484848486</v>
      </c>
      <c r="Q189" s="69">
        <v>0.38289205702647655</v>
      </c>
    </row>
    <row r="190" spans="1:17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9.0909090909090912E-2</v>
      </c>
      <c r="M190" s="69">
        <v>0.29680851063829788</v>
      </c>
      <c r="N190" s="69">
        <v>0.21063829787234042</v>
      </c>
      <c r="O190" s="69">
        <v>0.6523297491039427</v>
      </c>
      <c r="P190" s="69">
        <v>0.48484848484848486</v>
      </c>
      <c r="Q190" s="69">
        <v>0.38259109311740891</v>
      </c>
    </row>
    <row r="191" spans="1:17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9.0425531914893623E-2</v>
      </c>
      <c r="M191" s="69">
        <v>0.29852320675105487</v>
      </c>
      <c r="N191" s="69">
        <v>0.20991561181434598</v>
      </c>
      <c r="O191" s="69">
        <v>0.65017667844522964</v>
      </c>
      <c r="P191" s="69">
        <v>0.48241206030150752</v>
      </c>
      <c r="Q191" s="69">
        <v>0.38104838709677419</v>
      </c>
    </row>
    <row r="192" spans="1:17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8.9947089947089942E-2</v>
      </c>
      <c r="M192" s="69">
        <v>0.30020920502092052</v>
      </c>
      <c r="N192" s="69">
        <v>0.20815899581589958</v>
      </c>
      <c r="O192" s="69">
        <v>0.65156794425087106</v>
      </c>
      <c r="P192" s="69">
        <v>0.48241206030150752</v>
      </c>
      <c r="Q192" s="69">
        <v>0.38076152304609218</v>
      </c>
    </row>
    <row r="193" spans="1:17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8.9473684210526316E-2</v>
      </c>
      <c r="M193" s="69">
        <v>0.30239833159541191</v>
      </c>
      <c r="N193" s="69">
        <v>0.20750782064650677</v>
      </c>
      <c r="O193" s="69">
        <v>0.65517241379310343</v>
      </c>
      <c r="P193" s="69">
        <v>0.48241206030150752</v>
      </c>
      <c r="Q193" s="69">
        <v>0.38047808764940239</v>
      </c>
    </row>
    <row r="194" spans="1:17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9.4240837696335081E-2</v>
      </c>
      <c r="M194" s="69">
        <v>0.30237358101135192</v>
      </c>
      <c r="N194" s="69">
        <v>0.20536635706914344</v>
      </c>
      <c r="O194" s="69">
        <v>0.65529010238907848</v>
      </c>
      <c r="P194" s="69">
        <v>0.48241206030150752</v>
      </c>
      <c r="Q194" s="69">
        <v>0.37944664031620551</v>
      </c>
    </row>
    <row r="195" spans="1:17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9.8958333333333329E-2</v>
      </c>
      <c r="M195" s="69">
        <v>0.30399181166837258</v>
      </c>
      <c r="N195" s="69">
        <v>0.20368474923234392</v>
      </c>
      <c r="O195" s="69">
        <v>0.65656565656565657</v>
      </c>
      <c r="P195" s="69">
        <v>0.48241206030150752</v>
      </c>
      <c r="Q195" s="69">
        <v>0.37917485265225931</v>
      </c>
    </row>
    <row r="196" spans="1:17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9.8445595854922283E-2</v>
      </c>
      <c r="M196" s="69">
        <v>0.30223123732251522</v>
      </c>
      <c r="N196" s="69">
        <v>0.20689655172413793</v>
      </c>
      <c r="O196" s="69">
        <v>0.65436241610738255</v>
      </c>
      <c r="P196" s="69">
        <v>0.48039215686274511</v>
      </c>
      <c r="Q196" s="69">
        <v>0.37964774951076319</v>
      </c>
    </row>
    <row r="197" spans="1:17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9.7938144329896906E-2</v>
      </c>
      <c r="M197" s="69">
        <v>0.30181086519114686</v>
      </c>
      <c r="N197" s="69">
        <v>0.20623742454728369</v>
      </c>
      <c r="O197" s="69">
        <v>0.65333333333333332</v>
      </c>
      <c r="P197" s="69">
        <v>0.47804878048780486</v>
      </c>
      <c r="Q197" s="69">
        <v>0.380859375</v>
      </c>
    </row>
    <row r="198" spans="1:17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9.7435897435897437E-2</v>
      </c>
      <c r="M198" s="69">
        <v>0.3033033033033033</v>
      </c>
      <c r="N198" s="69">
        <v>0.20520520520520522</v>
      </c>
      <c r="O198" s="69">
        <v>0.65346534653465349</v>
      </c>
      <c r="P198" s="69">
        <v>0.47804878048780486</v>
      </c>
      <c r="Q198" s="69">
        <v>0.38058252427184464</v>
      </c>
    </row>
    <row r="199" spans="1:17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9.6938775510204078E-2</v>
      </c>
      <c r="M199" s="69">
        <v>0.30387288977159882</v>
      </c>
      <c r="N199" s="69">
        <v>0.20456802383316783</v>
      </c>
      <c r="O199" s="69">
        <v>0.65686274509803921</v>
      </c>
      <c r="P199" s="69">
        <v>0.47572815533980584</v>
      </c>
      <c r="Q199" s="69">
        <v>0.38030888030888033</v>
      </c>
    </row>
    <row r="200" spans="1:17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9.6446700507614211E-2</v>
      </c>
      <c r="M200" s="69">
        <v>0.30413385826771655</v>
      </c>
      <c r="N200" s="69">
        <v>0.20472440944881889</v>
      </c>
      <c r="O200" s="69">
        <v>0.65695792880258896</v>
      </c>
      <c r="P200" s="69">
        <v>0.47596153846153844</v>
      </c>
      <c r="Q200" s="69">
        <v>0.38195777351247601</v>
      </c>
    </row>
    <row r="201" spans="1:17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9.5959595959595953E-2</v>
      </c>
      <c r="M201" s="69">
        <v>0.30341463414634146</v>
      </c>
      <c r="N201" s="69">
        <v>0.20585365853658535</v>
      </c>
      <c r="O201" s="69">
        <v>0.65594855305466238</v>
      </c>
      <c r="P201" s="69">
        <v>0.47393364928909953</v>
      </c>
      <c r="Q201" s="69">
        <v>0.38049713193116635</v>
      </c>
    </row>
    <row r="202" spans="1:17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9.5477386934673364E-2</v>
      </c>
      <c r="M202" s="69">
        <v>0.30598455598455598</v>
      </c>
      <c r="N202" s="69">
        <v>0.2055984555984556</v>
      </c>
      <c r="O202" s="69">
        <v>0.65615141955835965</v>
      </c>
      <c r="P202" s="69">
        <v>0.47417840375586856</v>
      </c>
      <c r="Q202" s="69">
        <v>0.37878787878787878</v>
      </c>
    </row>
    <row r="203" spans="1:17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0.1</v>
      </c>
      <c r="M203" s="69">
        <v>0.30468003820439349</v>
      </c>
      <c r="N203" s="69">
        <v>0.2072588347659981</v>
      </c>
      <c r="O203" s="69">
        <v>0.65830721003134796</v>
      </c>
      <c r="P203" s="69">
        <v>0.47004608294930877</v>
      </c>
      <c r="Q203" s="69">
        <v>0.37969924812030076</v>
      </c>
    </row>
    <row r="204" spans="1:17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9.950248756218906E-2</v>
      </c>
      <c r="M204" s="69">
        <v>0.30492424242424243</v>
      </c>
      <c r="N204" s="69">
        <v>0.20738636363636365</v>
      </c>
      <c r="O204" s="69">
        <v>0.65527950310559002</v>
      </c>
      <c r="P204" s="69">
        <v>0.47031963470319632</v>
      </c>
      <c r="Q204" s="69">
        <v>0.37827715355805241</v>
      </c>
    </row>
    <row r="205" spans="1:17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9.9009900990099015E-2</v>
      </c>
      <c r="M205" s="69">
        <v>0.30393996247654786</v>
      </c>
      <c r="N205" s="69">
        <v>0.20637898686679174</v>
      </c>
      <c r="O205" s="69">
        <v>0.65740740740740744</v>
      </c>
      <c r="P205" s="69">
        <v>0.47272727272727272</v>
      </c>
      <c r="Q205" s="69">
        <v>0.37616387337057727</v>
      </c>
    </row>
    <row r="206" spans="1:17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9.8522167487684734E-2</v>
      </c>
      <c r="M206" s="69">
        <v>0.30410447761194032</v>
      </c>
      <c r="N206" s="69">
        <v>0.20522388059701493</v>
      </c>
      <c r="O206" s="69">
        <v>0.65644171779141103</v>
      </c>
      <c r="P206" s="69">
        <v>0.47272727272727272</v>
      </c>
      <c r="Q206" s="69">
        <v>0.37732342007434944</v>
      </c>
    </row>
    <row r="207" spans="1:17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9.8039215686274508E-2</v>
      </c>
      <c r="M207" s="69">
        <v>0.3037037037037037</v>
      </c>
      <c r="N207" s="69">
        <v>0.20462962962962963</v>
      </c>
      <c r="O207" s="69">
        <v>0.65853658536585369</v>
      </c>
      <c r="P207" s="69">
        <v>0.47511312217194568</v>
      </c>
      <c r="Q207" s="69">
        <v>0.37707948243992606</v>
      </c>
    </row>
    <row r="208" spans="1:17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0.1024390243902439</v>
      </c>
      <c r="M208" s="69">
        <v>0.30414746543778803</v>
      </c>
      <c r="N208" s="69">
        <v>0.20460829493087557</v>
      </c>
      <c r="O208" s="69">
        <v>0.66060606060606064</v>
      </c>
      <c r="P208" s="69">
        <v>0.47297297297297297</v>
      </c>
      <c r="Q208" s="69">
        <v>0.37683823529411764</v>
      </c>
    </row>
    <row r="209" spans="1:17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0.10194174757281553</v>
      </c>
      <c r="M209" s="69">
        <v>0.30586080586080588</v>
      </c>
      <c r="N209" s="69">
        <v>0.20512820512820512</v>
      </c>
      <c r="O209" s="69">
        <v>0.66167664670658688</v>
      </c>
      <c r="P209" s="69">
        <v>0.46875</v>
      </c>
      <c r="Q209" s="69">
        <v>0.37659963436928701</v>
      </c>
    </row>
    <row r="210" spans="1:17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0.10144927536231885</v>
      </c>
      <c r="M210" s="69">
        <v>0.30671506352087113</v>
      </c>
      <c r="N210" s="69">
        <v>0.20689655172413793</v>
      </c>
      <c r="O210" s="69">
        <v>0.65680473372781067</v>
      </c>
      <c r="P210" s="69">
        <v>0.4692982456140351</v>
      </c>
      <c r="Q210" s="69">
        <v>0.37818181818181817</v>
      </c>
    </row>
    <row r="211" spans="1:17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0.10096153846153846</v>
      </c>
      <c r="M211" s="69">
        <v>0.30658250676284943</v>
      </c>
      <c r="N211" s="69">
        <v>0.20829576194770064</v>
      </c>
      <c r="O211" s="69">
        <v>0.65294117647058825</v>
      </c>
      <c r="P211" s="69">
        <v>0.47186147186147187</v>
      </c>
      <c r="Q211" s="69">
        <v>0.37862318840579712</v>
      </c>
    </row>
    <row r="212" spans="1:17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0.10047846889952153</v>
      </c>
      <c r="M212" s="69">
        <v>0.30645161290322581</v>
      </c>
      <c r="N212" s="69">
        <v>0.2078853046594982</v>
      </c>
      <c r="O212" s="69">
        <v>0.64912280701754388</v>
      </c>
      <c r="P212" s="69">
        <v>0.47413793103448276</v>
      </c>
      <c r="Q212" s="69">
        <v>0.379746835443038</v>
      </c>
    </row>
    <row r="213" spans="1:17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0.1</v>
      </c>
      <c r="M213" s="69">
        <v>0.30488888888888888</v>
      </c>
      <c r="N213" s="69">
        <v>0.20799999999999999</v>
      </c>
      <c r="O213" s="69">
        <v>0.65014577259475215</v>
      </c>
      <c r="P213" s="69">
        <v>0.47435897435897434</v>
      </c>
      <c r="Q213" s="69">
        <v>0.37949640287769787</v>
      </c>
    </row>
    <row r="214" spans="1:17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9.9526066350710901E-2</v>
      </c>
      <c r="M214" s="69">
        <v>0.3053839364518976</v>
      </c>
      <c r="N214" s="69">
        <v>0.20741394527802295</v>
      </c>
      <c r="O214" s="69">
        <v>0.6502890173410405</v>
      </c>
      <c r="P214" s="69">
        <v>0.47234042553191491</v>
      </c>
      <c r="Q214" s="69">
        <v>0.38172043010752688</v>
      </c>
    </row>
    <row r="215" spans="1:17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9.9056603773584911E-2</v>
      </c>
      <c r="M215" s="69">
        <v>0.30411919368974583</v>
      </c>
      <c r="N215" s="69">
        <v>0.20946538124452235</v>
      </c>
      <c r="O215" s="69">
        <v>0.64841498559077815</v>
      </c>
      <c r="P215" s="69">
        <v>0.47698744769874479</v>
      </c>
      <c r="Q215" s="69">
        <v>0.37967914438502676</v>
      </c>
    </row>
    <row r="216" spans="1:17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9.8591549295774641E-2</v>
      </c>
      <c r="M216" s="69">
        <v>0.30321459600347522</v>
      </c>
      <c r="N216" s="69">
        <v>0.20938314509122502</v>
      </c>
      <c r="O216" s="69">
        <v>0.64469914040114618</v>
      </c>
      <c r="P216" s="69">
        <v>0.47717842323651455</v>
      </c>
      <c r="Q216" s="69">
        <v>0.37900355871886121</v>
      </c>
    </row>
    <row r="217" spans="1:17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9.8130841121495324E-2</v>
      </c>
      <c r="M217" s="69">
        <v>0.30337078651685395</v>
      </c>
      <c r="N217" s="69">
        <v>0.21089023336214346</v>
      </c>
      <c r="O217" s="69">
        <v>0.64672364672364668</v>
      </c>
      <c r="P217" s="69">
        <v>0.48360655737704916</v>
      </c>
      <c r="Q217" s="69">
        <v>0.37918871252204583</v>
      </c>
    </row>
    <row r="218" spans="1:17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9.7674418604651161E-2</v>
      </c>
      <c r="M218" s="69">
        <v>0.30274442538593482</v>
      </c>
      <c r="N218" s="69">
        <v>0.21097770154373929</v>
      </c>
      <c r="O218" s="69">
        <v>0.6458923512747875</v>
      </c>
      <c r="P218" s="69">
        <v>0.48373983739837401</v>
      </c>
      <c r="Q218" s="69">
        <v>0.38003502626970226</v>
      </c>
    </row>
    <row r="219" spans="1:17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9.7222222222222224E-2</v>
      </c>
      <c r="M219" s="69">
        <v>0.30145175064047824</v>
      </c>
      <c r="N219" s="69">
        <v>0.21093082835183605</v>
      </c>
      <c r="O219" s="69">
        <v>0.6458923512747875</v>
      </c>
      <c r="P219" s="69">
        <v>0.48178137651821862</v>
      </c>
      <c r="Q219" s="69">
        <v>0.38003502626970226</v>
      </c>
    </row>
    <row r="220" spans="1:17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9.6774193548387094E-2</v>
      </c>
      <c r="M220" s="69">
        <v>0.30305602716468588</v>
      </c>
      <c r="N220" s="69">
        <v>0.21052631578947367</v>
      </c>
      <c r="O220" s="69">
        <v>0.64145658263305327</v>
      </c>
      <c r="P220" s="69">
        <v>0.4838709677419355</v>
      </c>
      <c r="Q220" s="69">
        <v>0.38327526132404183</v>
      </c>
    </row>
    <row r="221" spans="1:17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9.6330275229357804E-2</v>
      </c>
      <c r="M221" s="69">
        <v>0.30101180438448566</v>
      </c>
      <c r="N221" s="69">
        <v>0.20910623946037099</v>
      </c>
      <c r="O221" s="69">
        <v>0.64145658263305327</v>
      </c>
      <c r="P221" s="69">
        <v>0.4838709677419355</v>
      </c>
      <c r="Q221" s="69">
        <v>0.38062283737024222</v>
      </c>
    </row>
    <row r="222" spans="1:17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0.1004566210045662</v>
      </c>
      <c r="M222" s="69">
        <v>0.30092204526404026</v>
      </c>
      <c r="N222" s="69">
        <v>0.20955574182732606</v>
      </c>
      <c r="O222" s="69">
        <v>0.64066852367688021</v>
      </c>
      <c r="P222" s="69">
        <v>0.48399999999999999</v>
      </c>
      <c r="Q222" s="69">
        <v>0.38275862068965516</v>
      </c>
    </row>
    <row r="223" spans="1:17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0.1</v>
      </c>
      <c r="M223" s="69">
        <v>0.29891756869275604</v>
      </c>
      <c r="N223" s="69">
        <v>0.20982514571190675</v>
      </c>
      <c r="O223" s="69">
        <v>0.64066852367688021</v>
      </c>
      <c r="P223" s="69">
        <v>0.48412698412698413</v>
      </c>
      <c r="Q223" s="69">
        <v>0.38250428816466553</v>
      </c>
    </row>
    <row r="224" spans="1:17" x14ac:dyDescent="0.4">
      <c r="A224" s="71">
        <v>221</v>
      </c>
      <c r="B224" s="68">
        <v>1377.2999999999997</v>
      </c>
      <c r="C224" s="68">
        <v>6.2321266968325784</v>
      </c>
      <c r="D224" s="73">
        <v>1.7873303167420815</v>
      </c>
      <c r="E224" s="69">
        <v>0.42533936651583709</v>
      </c>
      <c r="F224" s="69">
        <v>0.35255255255255258</v>
      </c>
      <c r="G224" s="69">
        <v>0.14294294294294294</v>
      </c>
      <c r="H224" s="70">
        <v>9910.2214650766618</v>
      </c>
      <c r="I224" s="70">
        <v>-9384.4537815126059</v>
      </c>
      <c r="J224" s="69">
        <v>0.10407239819004525</v>
      </c>
      <c r="K224" s="69">
        <v>0.19457013574660634</v>
      </c>
      <c r="L224" s="69">
        <v>9.9547511312217188E-2</v>
      </c>
      <c r="M224" s="69">
        <v>0.30024813895781638</v>
      </c>
      <c r="N224" s="69">
        <v>0.20926385442514475</v>
      </c>
      <c r="O224" s="69">
        <v>0.64187327823691465</v>
      </c>
      <c r="P224" s="69">
        <v>0.48616600790513836</v>
      </c>
      <c r="Q224" s="69">
        <v>0.37989778534923341</v>
      </c>
    </row>
    <row r="225" spans="1:17" x14ac:dyDescent="0.4">
      <c r="A225" s="71">
        <v>222</v>
      </c>
      <c r="B225" s="68">
        <v>1383.3999999999996</v>
      </c>
      <c r="C225" s="68">
        <v>6.2315315315315303</v>
      </c>
      <c r="D225" s="73">
        <v>1.7837837837837838</v>
      </c>
      <c r="E225" s="69">
        <v>0.42792792792792794</v>
      </c>
      <c r="F225" s="69">
        <v>0.35248354278874927</v>
      </c>
      <c r="G225" s="69">
        <v>0.14302812687013763</v>
      </c>
      <c r="H225" s="70">
        <v>9900.5093378607817</v>
      </c>
      <c r="I225" s="70">
        <v>-9412.1338912133888</v>
      </c>
      <c r="J225" s="69">
        <v>0.1036036036036036</v>
      </c>
      <c r="K225" s="69">
        <v>0.19369369369369369</v>
      </c>
      <c r="L225" s="69">
        <v>0.1036036036036036</v>
      </c>
      <c r="M225" s="69">
        <v>0.3012345679012346</v>
      </c>
      <c r="N225" s="69">
        <v>0.20823045267489712</v>
      </c>
      <c r="O225" s="69">
        <v>0.63661202185792354</v>
      </c>
      <c r="P225" s="69">
        <v>0.48616600790513836</v>
      </c>
      <c r="Q225" s="69">
        <v>0.38030560271646857</v>
      </c>
    </row>
    <row r="226" spans="1:17" x14ac:dyDescent="0.4">
      <c r="A226" s="71">
        <v>223</v>
      </c>
      <c r="B226" s="68">
        <v>1450.0999999999997</v>
      </c>
      <c r="C226" s="68">
        <v>6.50269058295964</v>
      </c>
      <c r="D226" s="73">
        <v>1.7802690582959642</v>
      </c>
      <c r="E226" s="69">
        <v>0.43049327354260092</v>
      </c>
      <c r="F226" s="69">
        <v>0.35259082787373436</v>
      </c>
      <c r="G226" s="69">
        <v>0.14294222751637881</v>
      </c>
      <c r="H226" s="70">
        <v>9980.9121621621616</v>
      </c>
      <c r="I226" s="70">
        <v>-9383.75</v>
      </c>
      <c r="J226" s="69">
        <v>0.1031390134529148</v>
      </c>
      <c r="K226" s="69">
        <v>0.19730941704035873</v>
      </c>
      <c r="L226" s="69">
        <v>0.1031390134529148</v>
      </c>
      <c r="M226" s="69">
        <v>0.30089942763695832</v>
      </c>
      <c r="N226" s="69">
        <v>0.20932134096484056</v>
      </c>
      <c r="O226" s="69">
        <v>0.63586956521739135</v>
      </c>
      <c r="P226" s="69">
        <v>0.484375</v>
      </c>
      <c r="Q226" s="69">
        <v>0.38175675675675674</v>
      </c>
    </row>
    <row r="227" spans="1:17" x14ac:dyDescent="0.4">
      <c r="A227" s="71">
        <v>224</v>
      </c>
      <c r="B227" s="68">
        <v>1411.9999999999998</v>
      </c>
      <c r="C227" s="68">
        <v>6.3035714285714279</v>
      </c>
      <c r="D227" s="73">
        <v>1.7857142857142858</v>
      </c>
      <c r="E227" s="69">
        <v>0.42857142857142855</v>
      </c>
      <c r="F227" s="69">
        <v>0.35168738898756663</v>
      </c>
      <c r="G227" s="69">
        <v>0.14387211367673181</v>
      </c>
      <c r="H227" s="70">
        <v>9960.4377104377108</v>
      </c>
      <c r="I227" s="70">
        <v>-9378.600823045268</v>
      </c>
      <c r="J227" s="69">
        <v>0.10714285714285714</v>
      </c>
      <c r="K227" s="69">
        <v>0.19642857142857142</v>
      </c>
      <c r="L227" s="69">
        <v>0.10267857142857142</v>
      </c>
      <c r="M227" s="69">
        <v>0.30251419302514193</v>
      </c>
      <c r="N227" s="69">
        <v>0.20843471208434713</v>
      </c>
      <c r="O227" s="69">
        <v>0.63270777479892759</v>
      </c>
      <c r="P227" s="69">
        <v>0.48249027237354086</v>
      </c>
      <c r="Q227" s="69">
        <v>0.38047138047138046</v>
      </c>
    </row>
    <row r="228" spans="1:17" x14ac:dyDescent="0.4">
      <c r="A228" s="71">
        <v>225</v>
      </c>
      <c r="B228" s="68">
        <v>1434.9999999999998</v>
      </c>
      <c r="C228" s="68">
        <v>6.3777777777777764</v>
      </c>
      <c r="D228" s="73">
        <v>1.7822222222222222</v>
      </c>
      <c r="E228" s="69">
        <v>0.43111111111111111</v>
      </c>
      <c r="F228" s="69">
        <v>0.35238656452563349</v>
      </c>
      <c r="G228" s="69">
        <v>0.14378314672952269</v>
      </c>
      <c r="H228" s="70">
        <v>9950.1672240802673</v>
      </c>
      <c r="I228" s="70">
        <v>-9389.3442622950824</v>
      </c>
      <c r="J228" s="69">
        <v>0.10666666666666667</v>
      </c>
      <c r="K228" s="69">
        <v>0.19555555555555557</v>
      </c>
      <c r="L228" s="69">
        <v>0.10222222222222223</v>
      </c>
      <c r="M228" s="69">
        <v>0.30539887187751813</v>
      </c>
      <c r="N228" s="69">
        <v>0.20709105560032232</v>
      </c>
      <c r="O228" s="69">
        <v>0.63324538258575203</v>
      </c>
      <c r="P228" s="69">
        <v>0.48249027237354086</v>
      </c>
      <c r="Q228" s="69">
        <v>0.37959866220735788</v>
      </c>
    </row>
    <row r="229" spans="1:17" x14ac:dyDescent="0.4">
      <c r="A229" s="71">
        <v>226</v>
      </c>
      <c r="B229" s="68">
        <v>1444.4999999999998</v>
      </c>
      <c r="C229" s="68">
        <v>6.3915929203539816</v>
      </c>
      <c r="D229" s="73">
        <v>1.7787610619469028</v>
      </c>
      <c r="E229" s="69">
        <v>0.4336283185840708</v>
      </c>
      <c r="F229" s="69">
        <v>0.35266549502050382</v>
      </c>
      <c r="G229" s="69">
        <v>0.14294083186877563</v>
      </c>
      <c r="H229" s="70">
        <v>9911.4617940199332</v>
      </c>
      <c r="I229" s="70">
        <v>-9389.3442622950824</v>
      </c>
      <c r="J229" s="69">
        <v>0.10619469026548672</v>
      </c>
      <c r="K229" s="69">
        <v>0.19469026548672566</v>
      </c>
      <c r="L229" s="69">
        <v>0.10176991150442478</v>
      </c>
      <c r="M229" s="69">
        <v>0.30615507593924862</v>
      </c>
      <c r="N229" s="69">
        <v>0.20623501199040767</v>
      </c>
      <c r="O229" s="69">
        <v>0.63446475195822449</v>
      </c>
      <c r="P229" s="69">
        <v>0.48449612403100772</v>
      </c>
      <c r="Q229" s="69">
        <v>0.37707641196013292</v>
      </c>
    </row>
    <row r="230" spans="1:17" x14ac:dyDescent="0.4">
      <c r="A230" s="71">
        <v>227</v>
      </c>
      <c r="B230" s="68">
        <v>1449.4999999999998</v>
      </c>
      <c r="C230" s="68">
        <v>6.385462555066078</v>
      </c>
      <c r="D230" s="73">
        <v>1.775330396475771</v>
      </c>
      <c r="E230" s="69">
        <v>0.43612334801762115</v>
      </c>
      <c r="F230" s="69">
        <v>0.35276967930029157</v>
      </c>
      <c r="G230" s="69">
        <v>0.1434402332361516</v>
      </c>
      <c r="H230" s="70">
        <v>9888.0991735537191</v>
      </c>
      <c r="I230" s="70">
        <v>-9356.0975609756097</v>
      </c>
      <c r="J230" s="69">
        <v>0.10572687224669604</v>
      </c>
      <c r="K230" s="69">
        <v>0.19383259911894274</v>
      </c>
      <c r="L230" s="69">
        <v>0.10572687224669604</v>
      </c>
      <c r="M230" s="69">
        <v>0.3057982525814138</v>
      </c>
      <c r="N230" s="69">
        <v>0.20651310563939634</v>
      </c>
      <c r="O230" s="69">
        <v>0.63116883116883116</v>
      </c>
      <c r="P230" s="69">
        <v>0.48846153846153845</v>
      </c>
      <c r="Q230" s="69">
        <v>0.3768595041322314</v>
      </c>
    </row>
    <row r="231" spans="1:17" x14ac:dyDescent="0.4">
      <c r="A231" s="71">
        <v>228</v>
      </c>
      <c r="B231" s="68">
        <v>1457.2999999999997</v>
      </c>
      <c r="C231" s="68">
        <v>6.3916666666666657</v>
      </c>
      <c r="D231" s="73">
        <v>1.7763157894736843</v>
      </c>
      <c r="E231" s="69">
        <v>0.43421052631578949</v>
      </c>
      <c r="F231" s="69">
        <v>0.35253054101221643</v>
      </c>
      <c r="G231" s="69">
        <v>0.14310645724258289</v>
      </c>
      <c r="H231" s="70">
        <v>9884.6534653465351</v>
      </c>
      <c r="I231" s="70">
        <v>-9356.0975609756097</v>
      </c>
      <c r="J231" s="69">
        <v>0.10526315789473684</v>
      </c>
      <c r="K231" s="69">
        <v>0.19298245614035087</v>
      </c>
      <c r="L231" s="69">
        <v>0.10526315789473684</v>
      </c>
      <c r="M231" s="69">
        <v>0.30562153602533648</v>
      </c>
      <c r="N231" s="69">
        <v>0.20665083135391923</v>
      </c>
      <c r="O231" s="69">
        <v>0.63212435233160624</v>
      </c>
      <c r="P231" s="69">
        <v>0.48659003831417624</v>
      </c>
      <c r="Q231" s="69">
        <v>0.37788778877887791</v>
      </c>
    </row>
    <row r="232" spans="1:17" x14ac:dyDescent="0.4">
      <c r="A232" s="71">
        <v>229</v>
      </c>
      <c r="B232" s="68">
        <v>1499.5999999999997</v>
      </c>
      <c r="C232" s="68">
        <v>6.5484716157205227</v>
      </c>
      <c r="D232" s="73">
        <v>1.7729257641921397</v>
      </c>
      <c r="E232" s="69">
        <v>0.4366812227074236</v>
      </c>
      <c r="F232" s="69">
        <v>0.3534532791642484</v>
      </c>
      <c r="G232" s="69">
        <v>0.14277423099245501</v>
      </c>
      <c r="H232" s="70">
        <v>9904.5977011494251</v>
      </c>
      <c r="I232" s="70">
        <v>-9356.0975609756097</v>
      </c>
      <c r="J232" s="69">
        <v>0.10480349344978165</v>
      </c>
      <c r="K232" s="69">
        <v>0.1965065502183406</v>
      </c>
      <c r="L232" s="69">
        <v>0.10480349344978165</v>
      </c>
      <c r="M232" s="69">
        <v>0.30544593528018943</v>
      </c>
      <c r="N232" s="69">
        <v>0.20678768745067089</v>
      </c>
      <c r="O232" s="69">
        <v>0.63307493540051685</v>
      </c>
      <c r="P232" s="69">
        <v>0.48854961832061067</v>
      </c>
      <c r="Q232" s="69">
        <v>0.3760262725779967</v>
      </c>
    </row>
    <row r="233" spans="1:17" x14ac:dyDescent="0.4">
      <c r="A233" s="71">
        <v>230</v>
      </c>
      <c r="B233" s="68">
        <v>1540.2999999999997</v>
      </c>
      <c r="C233" s="68">
        <v>6.6969565217391294</v>
      </c>
      <c r="D233" s="73">
        <v>1.7695652173913043</v>
      </c>
      <c r="E233" s="69">
        <v>0.43913043478260871</v>
      </c>
      <c r="F233" s="69">
        <v>0.355080831408776</v>
      </c>
      <c r="G233" s="69">
        <v>0.14318706697459585</v>
      </c>
      <c r="H233" s="70">
        <v>9889.1056910569114</v>
      </c>
      <c r="I233" s="70">
        <v>-9315.7258064516136</v>
      </c>
      <c r="J233" s="69">
        <v>0.10434782608695652</v>
      </c>
      <c r="K233" s="69">
        <v>0.19565217391304349</v>
      </c>
      <c r="L233" s="69">
        <v>0.10434782608695652</v>
      </c>
      <c r="M233" s="69">
        <v>0.30721003134796238</v>
      </c>
      <c r="N233" s="69">
        <v>0.2061128526645768</v>
      </c>
      <c r="O233" s="69">
        <v>0.63775510204081631</v>
      </c>
      <c r="P233" s="69">
        <v>0.49049429657794674</v>
      </c>
      <c r="Q233" s="69">
        <v>0.37560975609756098</v>
      </c>
    </row>
    <row r="234" spans="1:17" x14ac:dyDescent="0.4">
      <c r="A234" s="71">
        <v>231</v>
      </c>
      <c r="B234" s="68">
        <v>1540.3999999999996</v>
      </c>
      <c r="C234" s="68">
        <v>6.668398268398267</v>
      </c>
      <c r="D234" s="73">
        <v>1.7705627705627707</v>
      </c>
      <c r="E234" s="69">
        <v>0.43722943722943725</v>
      </c>
      <c r="F234" s="69">
        <v>0.35439402642159679</v>
      </c>
      <c r="G234" s="69">
        <v>0.1424468696151637</v>
      </c>
      <c r="H234" s="70">
        <v>9882.9821717990271</v>
      </c>
      <c r="I234" s="70">
        <v>-9315.7258064516136</v>
      </c>
      <c r="J234" s="69">
        <v>0.1038961038961039</v>
      </c>
      <c r="K234" s="69">
        <v>0.19480519480519481</v>
      </c>
      <c r="L234" s="69">
        <v>0.1038961038961039</v>
      </c>
      <c r="M234" s="69">
        <v>0.30817120622568095</v>
      </c>
      <c r="N234" s="69">
        <v>0.20544747081712061</v>
      </c>
      <c r="O234" s="69">
        <v>0.63636363636363635</v>
      </c>
      <c r="P234" s="69">
        <v>0.48863636363636365</v>
      </c>
      <c r="Q234" s="69">
        <v>0.37439222042139386</v>
      </c>
    </row>
    <row r="235" spans="1:17" x14ac:dyDescent="0.4">
      <c r="A235" s="71">
        <v>232</v>
      </c>
      <c r="B235" s="68">
        <v>1552.5999999999997</v>
      </c>
      <c r="C235" s="68">
        <v>6.6922413793103432</v>
      </c>
      <c r="D235" s="73">
        <v>1.7672413793103448</v>
      </c>
      <c r="E235" s="69">
        <v>0.43965517241379309</v>
      </c>
      <c r="F235" s="69">
        <v>0.35388127853881279</v>
      </c>
      <c r="G235" s="69">
        <v>0.14212328767123289</v>
      </c>
      <c r="H235" s="70">
        <v>9886.7741935483864</v>
      </c>
      <c r="I235" s="70">
        <v>-9326.5060240963849</v>
      </c>
      <c r="J235" s="69">
        <v>0.10344827586206896</v>
      </c>
      <c r="K235" s="69">
        <v>0.19396551724137931</v>
      </c>
      <c r="L235" s="69">
        <v>0.10344827586206896</v>
      </c>
      <c r="M235" s="69">
        <v>0.30709876543209874</v>
      </c>
      <c r="N235" s="69">
        <v>0.20601851851851852</v>
      </c>
      <c r="O235" s="69">
        <v>0.63819095477386933</v>
      </c>
      <c r="P235" s="69">
        <v>0.48689138576779029</v>
      </c>
      <c r="Q235" s="69">
        <v>0.37419354838709679</v>
      </c>
    </row>
    <row r="236" spans="1:17" x14ac:dyDescent="0.4">
      <c r="A236" s="71">
        <v>233</v>
      </c>
      <c r="B236" s="68">
        <v>1562.0999999999997</v>
      </c>
      <c r="C236" s="68">
        <v>6.7042918454935609</v>
      </c>
      <c r="D236" s="73">
        <v>1.7639484978540771</v>
      </c>
      <c r="E236" s="69">
        <v>0.44206008583690987</v>
      </c>
      <c r="F236" s="69">
        <v>0.35397727272727275</v>
      </c>
      <c r="G236" s="69">
        <v>0.14147727272727273</v>
      </c>
      <c r="H236" s="70">
        <v>9864.6869983948636</v>
      </c>
      <c r="I236" s="70">
        <v>-9326.5060240963849</v>
      </c>
      <c r="J236" s="69">
        <v>0.10300429184549356</v>
      </c>
      <c r="K236" s="69">
        <v>0.19313304721030042</v>
      </c>
      <c r="L236" s="69">
        <v>0.10300429184549356</v>
      </c>
      <c r="M236" s="69">
        <v>0.30598159509202455</v>
      </c>
      <c r="N236" s="69">
        <v>0.20628834355828221</v>
      </c>
      <c r="O236" s="69">
        <v>0.63909774436090228</v>
      </c>
      <c r="P236" s="69">
        <v>0.48698884758364314</v>
      </c>
      <c r="Q236" s="69">
        <v>0.3756019261637239</v>
      </c>
    </row>
    <row r="237" spans="1:17" x14ac:dyDescent="0.4">
      <c r="A237" s="71">
        <v>234</v>
      </c>
      <c r="B237" s="68">
        <v>1589.2999999999997</v>
      </c>
      <c r="C237" s="68">
        <v>6.7918803418803408</v>
      </c>
      <c r="D237" s="73">
        <v>1.7606837606837606</v>
      </c>
      <c r="E237" s="69">
        <v>0.44444444444444442</v>
      </c>
      <c r="F237" s="69">
        <v>0.35403726708074534</v>
      </c>
      <c r="G237" s="69">
        <v>0.1411631846414455</v>
      </c>
      <c r="H237" s="70">
        <v>9864.2743221690598</v>
      </c>
      <c r="I237" s="70">
        <v>-9297.2000000000007</v>
      </c>
      <c r="J237" s="69">
        <v>0.10256410256410256</v>
      </c>
      <c r="K237" s="69">
        <v>0.19230769230769232</v>
      </c>
      <c r="L237" s="69">
        <v>0.10256410256410256</v>
      </c>
      <c r="M237" s="69">
        <v>0.30418250950570341</v>
      </c>
      <c r="N237" s="69">
        <v>0.20608365019011407</v>
      </c>
      <c r="O237" s="69">
        <v>0.63749999999999996</v>
      </c>
      <c r="P237" s="69">
        <v>0.4907749077490775</v>
      </c>
      <c r="Q237" s="69">
        <v>0.37480063795853269</v>
      </c>
    </row>
    <row r="238" spans="1:17" x14ac:dyDescent="0.4">
      <c r="A238" s="71">
        <v>235</v>
      </c>
      <c r="B238" s="68">
        <v>1576.6999999999998</v>
      </c>
      <c r="C238" s="68">
        <v>6.7093617021276586</v>
      </c>
      <c r="D238" s="73">
        <v>1.7659574468085106</v>
      </c>
      <c r="E238" s="69">
        <v>0.44255319148936167</v>
      </c>
      <c r="F238" s="69">
        <v>0.35376827896512936</v>
      </c>
      <c r="G238" s="69">
        <v>0.14116985376827895</v>
      </c>
      <c r="H238" s="70">
        <v>9847.5357710651824</v>
      </c>
      <c r="I238" s="70">
        <v>-9292.0318725099605</v>
      </c>
      <c r="J238" s="69">
        <v>0.10212765957446808</v>
      </c>
      <c r="K238" s="69">
        <v>0.19148936170212766</v>
      </c>
      <c r="L238" s="69">
        <v>0.10212765957446808</v>
      </c>
      <c r="M238" s="69">
        <v>0.30484114977307109</v>
      </c>
      <c r="N238" s="69">
        <v>0.20499243570347958</v>
      </c>
      <c r="O238" s="69">
        <v>0.63771712158808935</v>
      </c>
      <c r="P238" s="69">
        <v>0.4907749077490775</v>
      </c>
      <c r="Q238" s="69">
        <v>0.37519872813990462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1D845-874A-4625-9461-10B0B2970253}">
  <sheetPr codeName="Sheet6"/>
  <dimension ref="A1:Q27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L4" s="69">
        <v>0.33333333333333331</v>
      </c>
      <c r="Q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L5" s="69">
        <v>0.16666666666666666</v>
      </c>
      <c r="Q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L6" s="69">
        <v>0.1111111111111111</v>
      </c>
      <c r="Q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L7" s="69">
        <v>8.3333333333333329E-2</v>
      </c>
      <c r="Q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L8" s="69">
        <v>6.6666666666666666E-2</v>
      </c>
      <c r="Q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L9" s="69">
        <v>0.1111111111111111</v>
      </c>
      <c r="Q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L10" s="69">
        <v>9.5238095238095233E-2</v>
      </c>
      <c r="Q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L11" s="69">
        <v>8.3333333333333329E-2</v>
      </c>
      <c r="Q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L12" s="69">
        <v>7.407407407407407E-2</v>
      </c>
      <c r="Q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L13" s="69">
        <v>6.6666666666666666E-2</v>
      </c>
      <c r="Q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L14" s="69">
        <v>6.0606060606060608E-2</v>
      </c>
      <c r="Q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L15" s="69">
        <v>8.3333333333333329E-2</v>
      </c>
      <c r="Q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L16" s="69">
        <v>7.6923076923076927E-2</v>
      </c>
      <c r="Q16" s="69">
        <v>0.30379746835443039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L17" s="69">
        <v>7.1428571428571425E-2</v>
      </c>
      <c r="Q17" s="69">
        <v>0.30952380952380953</v>
      </c>
    </row>
    <row r="18" spans="1:17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L18" s="69">
        <v>6.6666666666666666E-2</v>
      </c>
      <c r="Q18" s="69">
        <v>0.30232558139534882</v>
      </c>
    </row>
    <row r="19" spans="1:17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L19" s="69">
        <v>8.3333333333333329E-2</v>
      </c>
      <c r="Q19" s="69">
        <v>0.32978723404255317</v>
      </c>
    </row>
    <row r="20" spans="1:17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L20" s="69">
        <v>7.8431372549019607E-2</v>
      </c>
      <c r="Q20" s="69">
        <v>0.34343434343434343</v>
      </c>
    </row>
    <row r="21" spans="1:17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L21" s="69">
        <v>7.407407407407407E-2</v>
      </c>
      <c r="Q21" s="69">
        <v>0.33027522935779818</v>
      </c>
    </row>
    <row r="22" spans="1:17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L22" s="69">
        <v>7.0175438596491224E-2</v>
      </c>
      <c r="Q22" s="69">
        <v>0.33898305084745761</v>
      </c>
    </row>
    <row r="23" spans="1:17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L23" s="69">
        <v>6.6666666666666666E-2</v>
      </c>
      <c r="Q23" s="69">
        <v>0.33600000000000002</v>
      </c>
    </row>
    <row r="24" spans="1:17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L24" s="69">
        <v>7.9365079365079361E-2</v>
      </c>
      <c r="Q24" s="69">
        <v>0.3359375</v>
      </c>
    </row>
    <row r="25" spans="1:17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L25" s="69">
        <v>7.575757575757576E-2</v>
      </c>
      <c r="Q25" s="69">
        <v>0.3188405797101449</v>
      </c>
    </row>
    <row r="26" spans="1:17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L26" s="69">
        <v>7.2463768115942032E-2</v>
      </c>
      <c r="Q26" s="69">
        <v>0.34027777777777779</v>
      </c>
    </row>
    <row r="27" spans="1:17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L27" s="69">
        <v>6.9444444444444448E-2</v>
      </c>
      <c r="Q27" s="69">
        <v>0.33783783783783783</v>
      </c>
    </row>
    <row r="28" spans="1:17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L28" s="69">
        <v>0.08</v>
      </c>
      <c r="Q28" s="69">
        <v>0.35256410256410259</v>
      </c>
    </row>
    <row r="29" spans="1:17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L29" s="69">
        <v>7.6923076923076927E-2</v>
      </c>
      <c r="Q29" s="69">
        <v>0.34969325153374231</v>
      </c>
    </row>
    <row r="30" spans="1:17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L30" s="69">
        <v>7.407407407407407E-2</v>
      </c>
      <c r="Q30" s="69">
        <v>0.36144578313253012</v>
      </c>
    </row>
    <row r="31" spans="1:17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L31" s="69">
        <v>7.1428571428571425E-2</v>
      </c>
      <c r="Q31" s="69">
        <v>0.36781609195402298</v>
      </c>
    </row>
    <row r="32" spans="1:17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L32" s="69">
        <v>6.8965517241379309E-2</v>
      </c>
      <c r="Q32" s="69">
        <v>0.37016574585635359</v>
      </c>
    </row>
    <row r="33" spans="1:17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L33" s="69">
        <v>6.6666666666666666E-2</v>
      </c>
      <c r="Q33" s="69">
        <v>0.37037037037037035</v>
      </c>
    </row>
    <row r="34" spans="1:17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L34" s="69">
        <v>6.4516129032258063E-2</v>
      </c>
      <c r="Q34" s="69">
        <v>0.375</v>
      </c>
    </row>
    <row r="35" spans="1:17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L35" s="69">
        <v>6.25E-2</v>
      </c>
      <c r="Q35" s="69">
        <v>0.37623762376237624</v>
      </c>
    </row>
    <row r="36" spans="1:17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L36" s="69">
        <v>6.0606060606060608E-2</v>
      </c>
      <c r="Q36" s="69">
        <v>0.37560975609756098</v>
      </c>
    </row>
    <row r="37" spans="1:17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L37" s="69">
        <v>5.8823529411764705E-2</v>
      </c>
      <c r="Q37" s="69">
        <v>0.38497652582159625</v>
      </c>
    </row>
    <row r="38" spans="1:17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L38" s="69">
        <v>5.7142857142857141E-2</v>
      </c>
      <c r="Q38" s="69">
        <v>0.38636363636363635</v>
      </c>
    </row>
    <row r="39" spans="1:17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L39" s="69">
        <v>5.5555555555555552E-2</v>
      </c>
      <c r="Q39" s="69">
        <v>0.38325991189427311</v>
      </c>
    </row>
    <row r="40" spans="1:17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L40" s="69">
        <v>6.3063063063063057E-2</v>
      </c>
      <c r="Q40" s="69">
        <v>0.39240506329113922</v>
      </c>
    </row>
    <row r="41" spans="1:17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L41" s="69">
        <v>6.1403508771929821E-2</v>
      </c>
      <c r="Q41" s="69">
        <v>0.38912133891213391</v>
      </c>
    </row>
    <row r="42" spans="1:17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L42" s="69">
        <v>6.8376068376068383E-2</v>
      </c>
      <c r="Q42" s="69">
        <v>0.38934426229508196</v>
      </c>
    </row>
    <row r="43" spans="1:17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L43" s="69">
        <v>6.6666666666666666E-2</v>
      </c>
      <c r="Q43" s="69">
        <v>0.39200000000000002</v>
      </c>
    </row>
    <row r="44" spans="1:17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L44" s="69">
        <v>6.5040650406504072E-2</v>
      </c>
      <c r="Q44" s="69">
        <v>0.39382239382239381</v>
      </c>
    </row>
    <row r="45" spans="1:17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L45" s="69">
        <v>7.1428571428571425E-2</v>
      </c>
      <c r="Q45" s="69">
        <v>0.4044943820224719</v>
      </c>
    </row>
    <row r="46" spans="1:17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L46" s="69">
        <v>7.7519379844961239E-2</v>
      </c>
      <c r="Q46" s="69">
        <v>0.40433212996389889</v>
      </c>
    </row>
    <row r="47" spans="1:17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L47" s="69">
        <v>7.575757575757576E-2</v>
      </c>
      <c r="Q47" s="69">
        <v>0.40350877192982454</v>
      </c>
    </row>
    <row r="48" spans="1:17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L48" s="69">
        <v>7.407407407407407E-2</v>
      </c>
      <c r="Q48" s="69">
        <v>0.4</v>
      </c>
    </row>
    <row r="49" spans="1:17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L49" s="69">
        <v>7.2463768115942032E-2</v>
      </c>
      <c r="Q49" s="69">
        <v>0.39735099337748342</v>
      </c>
    </row>
    <row r="50" spans="1:17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L50" s="69">
        <v>7.0921985815602842E-2</v>
      </c>
      <c r="Q50" s="69">
        <v>0.4045307443365696</v>
      </c>
    </row>
    <row r="51" spans="1:17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L51" s="69">
        <v>6.9444444444444448E-2</v>
      </c>
      <c r="Q51" s="69">
        <v>0.40634920634920635</v>
      </c>
    </row>
    <row r="52" spans="1:17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L52" s="69">
        <v>6.8027210884353748E-2</v>
      </c>
      <c r="Q52" s="69">
        <v>0.4024767801857585</v>
      </c>
    </row>
    <row r="53" spans="1:17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L53" s="69">
        <v>6.6666666666666666E-2</v>
      </c>
      <c r="Q53" s="69">
        <v>0.40298507462686567</v>
      </c>
    </row>
    <row r="54" spans="1:17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L54" s="69">
        <v>7.1895424836601302E-2</v>
      </c>
      <c r="Q54" s="69">
        <v>0.40350877192982454</v>
      </c>
    </row>
    <row r="55" spans="1:17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L55" s="69">
        <v>7.0512820512820512E-2</v>
      </c>
      <c r="Q55" s="69">
        <v>0.40517241379310343</v>
      </c>
    </row>
    <row r="56" spans="1:17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L56" s="69">
        <v>6.9182389937106917E-2</v>
      </c>
      <c r="Q56" s="69">
        <v>0.40563380281690142</v>
      </c>
    </row>
    <row r="57" spans="1:17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L57" s="69">
        <v>7.407407407407407E-2</v>
      </c>
      <c r="Q57" s="69">
        <v>0.40720221606648199</v>
      </c>
    </row>
    <row r="58" spans="1:17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L58" s="69">
        <v>7.2727272727272724E-2</v>
      </c>
      <c r="Q58" s="69">
        <v>0.40659340659340659</v>
      </c>
    </row>
    <row r="59" spans="1:17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L59" s="69">
        <v>7.1428571428571425E-2</v>
      </c>
      <c r="Q59" s="69">
        <v>0.40750670241286863</v>
      </c>
    </row>
    <row r="60" spans="1:17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L60" s="69">
        <v>7.0175438596491224E-2</v>
      </c>
      <c r="Q60" s="69">
        <v>0.40105540897097625</v>
      </c>
    </row>
    <row r="61" spans="1:17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L61" s="69">
        <v>6.8965517241379309E-2</v>
      </c>
      <c r="Q61" s="69">
        <v>0.40052356020942409</v>
      </c>
    </row>
    <row r="62" spans="1:17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L62" s="69">
        <v>7.3446327683615822E-2</v>
      </c>
      <c r="Q62" s="69">
        <v>0.39795918367346939</v>
      </c>
    </row>
    <row r="63" spans="1:17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L63" s="69">
        <v>7.7777777777777779E-2</v>
      </c>
      <c r="Q63" s="69">
        <v>0.39250000000000002</v>
      </c>
    </row>
    <row r="64" spans="1:17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L64" s="69">
        <v>8.1967213114754092E-2</v>
      </c>
      <c r="Q64" s="69">
        <v>0.39655172413793105</v>
      </c>
    </row>
    <row r="65" spans="1:17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L65" s="69">
        <v>8.0645161290322578E-2</v>
      </c>
      <c r="Q65" s="69">
        <v>0.40193704600484259</v>
      </c>
    </row>
    <row r="66" spans="1:17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L66" s="69">
        <v>7.9365079365079361E-2</v>
      </c>
      <c r="Q66" s="69">
        <v>0.39858490566037735</v>
      </c>
    </row>
    <row r="67" spans="1:17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L67" s="69">
        <v>7.8125E-2</v>
      </c>
      <c r="Q67" s="69">
        <v>0.39631336405529954</v>
      </c>
    </row>
    <row r="68" spans="1:17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L68" s="69">
        <v>7.6923076923076927E-2</v>
      </c>
      <c r="Q68" s="69">
        <v>0.39631336405529954</v>
      </c>
    </row>
    <row r="69" spans="1:17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L69" s="69">
        <v>7.575757575757576E-2</v>
      </c>
      <c r="Q69" s="69">
        <v>0.39631336405529954</v>
      </c>
    </row>
    <row r="70" spans="1:17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L70" s="69">
        <v>7.4626865671641784E-2</v>
      </c>
      <c r="Q70" s="69">
        <v>0.39631336405529954</v>
      </c>
    </row>
    <row r="71" spans="1:17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7.3529411764705885E-2</v>
      </c>
      <c r="M71" s="69">
        <v>0.44444444444444442</v>
      </c>
      <c r="N71" s="69">
        <v>0.1111111111111111</v>
      </c>
      <c r="O71" s="69">
        <v>0.75</v>
      </c>
      <c r="P71" s="69">
        <v>0</v>
      </c>
      <c r="Q71" s="69">
        <v>0.39816933638443935</v>
      </c>
    </row>
    <row r="72" spans="1:17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7.2463768115942032E-2</v>
      </c>
      <c r="M72" s="69">
        <v>0.36363636363636365</v>
      </c>
      <c r="N72" s="69">
        <v>0.18181818181818182</v>
      </c>
      <c r="O72" s="69">
        <v>0.66666666666666663</v>
      </c>
      <c r="P72" s="69">
        <v>0.16666666666666666</v>
      </c>
      <c r="Q72" s="69">
        <v>0.39550561797752809</v>
      </c>
    </row>
    <row r="73" spans="1:17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7.6190476190476197E-2</v>
      </c>
      <c r="M73" s="69">
        <v>0.35087719298245612</v>
      </c>
      <c r="N73" s="69">
        <v>0.17543859649122806</v>
      </c>
      <c r="O73" s="69">
        <v>0.65</v>
      </c>
      <c r="P73" s="69">
        <v>0.3</v>
      </c>
      <c r="Q73" s="69">
        <v>0.39735099337748342</v>
      </c>
    </row>
    <row r="74" spans="1:17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7.5117370892018781E-2</v>
      </c>
      <c r="M74" s="69">
        <v>0.33333333333333331</v>
      </c>
      <c r="N74" s="69">
        <v>0.18666666666666668</v>
      </c>
      <c r="O74" s="69">
        <v>0.64</v>
      </c>
      <c r="P74" s="69">
        <v>0.35714285714285715</v>
      </c>
      <c r="Q74" s="69">
        <v>0.39737991266375544</v>
      </c>
    </row>
    <row r="75" spans="1:17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7.407407407407407E-2</v>
      </c>
      <c r="M75" s="69">
        <v>0.33333333333333331</v>
      </c>
      <c r="N75" s="69">
        <v>0.22916666666666666</v>
      </c>
      <c r="O75" s="69">
        <v>0.625</v>
      </c>
      <c r="P75" s="69">
        <v>0.27272727272727271</v>
      </c>
      <c r="Q75" s="69">
        <v>0.39655172413793105</v>
      </c>
    </row>
    <row r="76" spans="1:17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7.3059360730593603E-2</v>
      </c>
      <c r="M76" s="69">
        <v>0.31666666666666665</v>
      </c>
      <c r="N76" s="69">
        <v>0.24166666666666667</v>
      </c>
      <c r="O76" s="69">
        <v>0.63157894736842102</v>
      </c>
      <c r="P76" s="69">
        <v>0.27586206896551724</v>
      </c>
      <c r="Q76" s="69">
        <v>0.40127388535031849</v>
      </c>
    </row>
    <row r="77" spans="1:17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7.2072072072072071E-2</v>
      </c>
      <c r="M77" s="69">
        <v>0.32608695652173914</v>
      </c>
      <c r="N77" s="69">
        <v>0.2391304347826087</v>
      </c>
      <c r="O77" s="69">
        <v>0.6</v>
      </c>
      <c r="P77" s="69">
        <v>0.27272727272727271</v>
      </c>
      <c r="Q77" s="69">
        <v>0.40126050420168069</v>
      </c>
    </row>
    <row r="78" spans="1:17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7.5555555555555556E-2</v>
      </c>
      <c r="M78" s="69">
        <v>0.30246913580246915</v>
      </c>
      <c r="N78" s="69">
        <v>0.25925925925925924</v>
      </c>
      <c r="O78" s="69">
        <v>0.5714285714285714</v>
      </c>
      <c r="P78" s="69">
        <v>0.30952380952380953</v>
      </c>
      <c r="Q78" s="69">
        <v>0.40165631469979296</v>
      </c>
    </row>
    <row r="79" spans="1:17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7.4561403508771926E-2</v>
      </c>
      <c r="M79" s="69">
        <v>0.29032258064516131</v>
      </c>
      <c r="N79" s="69">
        <v>0.26881720430107525</v>
      </c>
      <c r="O79" s="69">
        <v>0.55555555555555558</v>
      </c>
      <c r="P79" s="69">
        <v>0.34</v>
      </c>
      <c r="Q79" s="69">
        <v>0.40612244897959182</v>
      </c>
    </row>
    <row r="80" spans="1:17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7.3593073593073599E-2</v>
      </c>
      <c r="M80" s="69">
        <v>0.2878787878787879</v>
      </c>
      <c r="N80" s="69">
        <v>0.25757575757575757</v>
      </c>
      <c r="O80" s="69">
        <v>0.57894736842105265</v>
      </c>
      <c r="P80" s="69">
        <v>0.35294117647058826</v>
      </c>
      <c r="Q80" s="69">
        <v>0.40485829959514169</v>
      </c>
    </row>
    <row r="81" spans="1:17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7.2649572649572655E-2</v>
      </c>
      <c r="M81" s="69">
        <v>0.29166666666666669</v>
      </c>
      <c r="N81" s="69">
        <v>0.25</v>
      </c>
      <c r="O81" s="69">
        <v>0.58730158730158732</v>
      </c>
      <c r="P81" s="69">
        <v>0.35185185185185186</v>
      </c>
      <c r="Q81" s="69">
        <v>0.40799999999999997</v>
      </c>
    </row>
    <row r="82" spans="1:17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7.1729957805907171E-2</v>
      </c>
      <c r="M82" s="69">
        <v>0.29059829059829062</v>
      </c>
      <c r="N82" s="69">
        <v>0.24358974358974358</v>
      </c>
      <c r="O82" s="69">
        <v>0.6029411764705882</v>
      </c>
      <c r="P82" s="69">
        <v>0.33333333333333331</v>
      </c>
      <c r="Q82" s="69">
        <v>0.40990099009900988</v>
      </c>
    </row>
    <row r="83" spans="1:17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7.0833333333333331E-2</v>
      </c>
      <c r="M83" s="69">
        <v>0.2814814814814815</v>
      </c>
      <c r="N83" s="69">
        <v>0.24444444444444444</v>
      </c>
      <c r="O83" s="69">
        <v>0.59210526315789469</v>
      </c>
      <c r="P83" s="69">
        <v>0.34848484848484851</v>
      </c>
      <c r="Q83" s="69">
        <v>0.41359223300970877</v>
      </c>
    </row>
    <row r="84" spans="1:17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7.407407407407407E-2</v>
      </c>
      <c r="M84" s="69">
        <v>0.29209621993127149</v>
      </c>
      <c r="N84" s="69">
        <v>0.24054982817869416</v>
      </c>
      <c r="O84" s="69">
        <v>0.6</v>
      </c>
      <c r="P84" s="69">
        <v>0.34285714285714286</v>
      </c>
      <c r="Q84" s="69">
        <v>0.41379310344827586</v>
      </c>
    </row>
    <row r="85" spans="1:17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7.3170731707317069E-2</v>
      </c>
      <c r="M85" s="69">
        <v>0.2818181818181818</v>
      </c>
      <c r="N85" s="69">
        <v>0.24848484848484848</v>
      </c>
      <c r="O85" s="69">
        <v>0.58064516129032262</v>
      </c>
      <c r="P85" s="69">
        <v>0.35365853658536583</v>
      </c>
      <c r="Q85" s="69">
        <v>0.4101123595505618</v>
      </c>
    </row>
    <row r="86" spans="1:17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7.2289156626506021E-2</v>
      </c>
      <c r="M86" s="69">
        <v>0.28405797101449276</v>
      </c>
      <c r="N86" s="69">
        <v>0.24637681159420291</v>
      </c>
      <c r="O86" s="69">
        <v>0.58163265306122447</v>
      </c>
      <c r="P86" s="69">
        <v>0.3411764705882353</v>
      </c>
      <c r="Q86" s="69">
        <v>0.40892193308550184</v>
      </c>
    </row>
    <row r="87" spans="1:17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7.1428571428571425E-2</v>
      </c>
      <c r="M87" s="69">
        <v>0.28455284552845528</v>
      </c>
      <c r="N87" s="69">
        <v>0.24932249322493225</v>
      </c>
      <c r="O87" s="69">
        <v>0.580952380952381</v>
      </c>
      <c r="P87" s="69">
        <v>0.33695652173913043</v>
      </c>
      <c r="Q87" s="69">
        <v>0.41025641025641024</v>
      </c>
    </row>
    <row r="88" spans="1:17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7.0588235294117646E-2</v>
      </c>
      <c r="M88" s="69">
        <v>0.27989821882951654</v>
      </c>
      <c r="N88" s="69">
        <v>0.24427480916030533</v>
      </c>
      <c r="O88" s="69">
        <v>0.59090909090909094</v>
      </c>
      <c r="P88" s="69">
        <v>0.32291666666666669</v>
      </c>
      <c r="Q88" s="69">
        <v>0.41123188405797101</v>
      </c>
    </row>
    <row r="89" spans="1:17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7.3643410852713184E-2</v>
      </c>
      <c r="M89" s="69">
        <v>0.27941176470588236</v>
      </c>
      <c r="N89" s="69">
        <v>0.24509803921568626</v>
      </c>
      <c r="O89" s="69">
        <v>0.59649122807017541</v>
      </c>
      <c r="P89" s="69">
        <v>0.31</v>
      </c>
      <c r="Q89" s="69">
        <v>0.414721723518851</v>
      </c>
    </row>
    <row r="90" spans="1:17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7.662835249042145E-2</v>
      </c>
      <c r="M90" s="69">
        <v>0.27777777777777779</v>
      </c>
      <c r="N90" s="69">
        <v>0.24444444444444444</v>
      </c>
      <c r="O90" s="69">
        <v>0.6</v>
      </c>
      <c r="P90" s="69">
        <v>0.31818181818181818</v>
      </c>
      <c r="Q90" s="69">
        <v>0.41403508771929826</v>
      </c>
    </row>
    <row r="91" spans="1:17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7.575757575757576E-2</v>
      </c>
      <c r="M91" s="69">
        <v>0.28270042194092826</v>
      </c>
      <c r="N91" s="69">
        <v>0.24472573839662448</v>
      </c>
      <c r="O91" s="69">
        <v>0.59701492537313428</v>
      </c>
      <c r="P91" s="69">
        <v>0.31896551724137934</v>
      </c>
      <c r="Q91" s="69">
        <v>0.41421143847487002</v>
      </c>
    </row>
    <row r="92" spans="1:17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7.8651685393258425E-2</v>
      </c>
      <c r="M92" s="69">
        <v>0.28313253012048195</v>
      </c>
      <c r="N92" s="69">
        <v>0.23895582329317269</v>
      </c>
      <c r="O92" s="69">
        <v>0.60992907801418439</v>
      </c>
      <c r="P92" s="69">
        <v>0.32773109243697479</v>
      </c>
      <c r="Q92" s="69">
        <v>0.41538461538461541</v>
      </c>
    </row>
    <row r="93" spans="1:17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7.7777777777777779E-2</v>
      </c>
      <c r="M93" s="69">
        <v>0.27777777777777779</v>
      </c>
      <c r="N93" s="69">
        <v>0.2413793103448276</v>
      </c>
      <c r="O93" s="69">
        <v>0.61379310344827587</v>
      </c>
      <c r="P93" s="69">
        <v>0.34920634920634919</v>
      </c>
      <c r="Q93" s="69">
        <v>0.41146711635750421</v>
      </c>
    </row>
    <row r="94" spans="1:17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7.6923076923076927E-2</v>
      </c>
      <c r="M94" s="69">
        <v>0.27060931899641577</v>
      </c>
      <c r="N94" s="69">
        <v>0.24551971326164876</v>
      </c>
      <c r="O94" s="69">
        <v>0.60264900662251653</v>
      </c>
      <c r="P94" s="69">
        <v>0.37226277372262773</v>
      </c>
      <c r="Q94" s="69">
        <v>0.40991735537190083</v>
      </c>
    </row>
    <row r="95" spans="1:17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7.6086956521739135E-2</v>
      </c>
      <c r="M95" s="69">
        <v>0.27288428324697755</v>
      </c>
      <c r="N95" s="69">
        <v>0.24525043177892919</v>
      </c>
      <c r="O95" s="69">
        <v>0.60126582278481011</v>
      </c>
      <c r="P95" s="69">
        <v>0.37323943661971831</v>
      </c>
      <c r="Q95" s="69">
        <v>0.40752864157119478</v>
      </c>
    </row>
    <row r="96" spans="1:17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7.8853046594982074E-2</v>
      </c>
      <c r="M96" s="69">
        <v>0.2722772277227723</v>
      </c>
      <c r="N96" s="69">
        <v>0.24422442244224424</v>
      </c>
      <c r="O96" s="69">
        <v>0.60606060606060608</v>
      </c>
      <c r="P96" s="69">
        <v>0.3783783783783784</v>
      </c>
      <c r="Q96" s="69">
        <v>0.40806451612903227</v>
      </c>
    </row>
    <row r="97" spans="1:17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7.8014184397163122E-2</v>
      </c>
      <c r="M97" s="69">
        <v>0.27301587301587299</v>
      </c>
      <c r="N97" s="69">
        <v>0.24285714285714285</v>
      </c>
      <c r="O97" s="69">
        <v>0.61046511627906974</v>
      </c>
      <c r="P97" s="69">
        <v>0.37908496732026142</v>
      </c>
      <c r="Q97" s="69">
        <v>0.40829346092503987</v>
      </c>
    </row>
    <row r="98" spans="1:17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8.0701754385964913E-2</v>
      </c>
      <c r="M98" s="69">
        <v>0.27903469079939669</v>
      </c>
      <c r="N98" s="69">
        <v>0.2368024132730015</v>
      </c>
      <c r="O98" s="69">
        <v>0.61081081081081079</v>
      </c>
      <c r="P98" s="69">
        <v>0.37579617834394907</v>
      </c>
      <c r="Q98" s="69">
        <v>0.40659340659340659</v>
      </c>
    </row>
    <row r="99" spans="1:17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7.9861111111111105E-2</v>
      </c>
      <c r="M99" s="69">
        <v>0.28193832599118945</v>
      </c>
      <c r="N99" s="69">
        <v>0.23641703377386197</v>
      </c>
      <c r="O99" s="69">
        <v>0.609375</v>
      </c>
      <c r="P99" s="69">
        <v>0.37267080745341613</v>
      </c>
      <c r="Q99" s="69">
        <v>0.40746500777604977</v>
      </c>
    </row>
    <row r="100" spans="1:17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7.903780068728522E-2</v>
      </c>
      <c r="M100" s="69">
        <v>0.27566807313642755</v>
      </c>
      <c r="N100" s="69">
        <v>0.23488045007032349</v>
      </c>
      <c r="O100" s="69">
        <v>0.61224489795918369</v>
      </c>
      <c r="P100" s="69">
        <v>0.3772455089820359</v>
      </c>
      <c r="Q100" s="69">
        <v>0.4046153846153846</v>
      </c>
    </row>
    <row r="101" spans="1:17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8.1632653061224483E-2</v>
      </c>
      <c r="M101" s="69">
        <v>0.27100271002710025</v>
      </c>
      <c r="N101" s="69">
        <v>0.23712737127371275</v>
      </c>
      <c r="O101" s="69">
        <v>0.62</v>
      </c>
      <c r="P101" s="69">
        <v>0.37714285714285717</v>
      </c>
      <c r="Q101" s="69">
        <v>0.40425531914893614</v>
      </c>
    </row>
    <row r="102" spans="1:17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8.0808080808080815E-2</v>
      </c>
      <c r="M102" s="69">
        <v>0.27272727272727271</v>
      </c>
      <c r="N102" s="69">
        <v>0.23847167325428195</v>
      </c>
      <c r="O102" s="69">
        <v>0.61352657004830913</v>
      </c>
      <c r="P102" s="69">
        <v>0.38121546961325969</v>
      </c>
      <c r="Q102" s="69">
        <v>0.40451127819548871</v>
      </c>
    </row>
    <row r="103" spans="1:17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8.3333333333333329E-2</v>
      </c>
      <c r="M103" s="69">
        <v>0.27330779054916987</v>
      </c>
      <c r="N103" s="69">
        <v>0.23499361430395913</v>
      </c>
      <c r="O103" s="69">
        <v>0.61214953271028039</v>
      </c>
      <c r="P103" s="69">
        <v>0.3858695652173913</v>
      </c>
      <c r="Q103" s="69">
        <v>0.40416047548291234</v>
      </c>
    </row>
    <row r="104" spans="1:17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8.2508250825082508E-2</v>
      </c>
      <c r="M104" s="69">
        <v>0.27215980024968789</v>
      </c>
      <c r="N104" s="69">
        <v>0.23595505617977527</v>
      </c>
      <c r="O104" s="69">
        <v>0.61009174311926606</v>
      </c>
      <c r="P104" s="69">
        <v>0.38624338624338622</v>
      </c>
      <c r="Q104" s="69">
        <v>0.40412979351032446</v>
      </c>
    </row>
    <row r="105" spans="1:17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8.1699346405228759E-2</v>
      </c>
      <c r="M105" s="69">
        <v>0.27407407407407408</v>
      </c>
      <c r="N105" s="69">
        <v>0.23456790123456789</v>
      </c>
      <c r="O105" s="69">
        <v>0.61261261261261257</v>
      </c>
      <c r="P105" s="69">
        <v>0.38421052631578945</v>
      </c>
      <c r="Q105" s="69">
        <v>0.40528634361233479</v>
      </c>
    </row>
    <row r="106" spans="1:17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8.0906148867313912E-2</v>
      </c>
      <c r="M106" s="69">
        <v>0.27436823104693142</v>
      </c>
      <c r="N106" s="69">
        <v>0.23345367027677497</v>
      </c>
      <c r="O106" s="69">
        <v>0.60964912280701755</v>
      </c>
      <c r="P106" s="69">
        <v>0.38659793814432991</v>
      </c>
      <c r="Q106" s="69">
        <v>0.40611353711790393</v>
      </c>
    </row>
    <row r="107" spans="1:17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8.0128205128205135E-2</v>
      </c>
      <c r="M107" s="69">
        <v>0.27719298245614032</v>
      </c>
      <c r="N107" s="69">
        <v>0.2304093567251462</v>
      </c>
      <c r="O107" s="69">
        <v>0.60759493670886078</v>
      </c>
      <c r="P107" s="69">
        <v>0.39086294416243655</v>
      </c>
      <c r="Q107" s="69">
        <v>0.41210374639769454</v>
      </c>
    </row>
    <row r="108" spans="1:17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7.9365079365079361E-2</v>
      </c>
      <c r="M108" s="69">
        <v>0.2768361581920904</v>
      </c>
      <c r="N108" s="69">
        <v>0.23050847457627119</v>
      </c>
      <c r="O108" s="69">
        <v>0.60408163265306125</v>
      </c>
      <c r="P108" s="69">
        <v>0.40196078431372551</v>
      </c>
      <c r="Q108" s="69">
        <v>0.40992907801418438</v>
      </c>
    </row>
    <row r="109" spans="1:17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7.8616352201257858E-2</v>
      </c>
      <c r="M109" s="69">
        <v>0.28017718715393136</v>
      </c>
      <c r="N109" s="69">
        <v>0.22702104097452935</v>
      </c>
      <c r="O109" s="69">
        <v>0.60079051383399207</v>
      </c>
      <c r="P109" s="69">
        <v>0.40487804878048783</v>
      </c>
      <c r="Q109" s="69">
        <v>0.41209563994374121</v>
      </c>
    </row>
    <row r="110" spans="1:17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7.7881619937694699E-2</v>
      </c>
      <c r="M110" s="69">
        <v>0.28104575163398693</v>
      </c>
      <c r="N110" s="69">
        <v>0.22549019607843138</v>
      </c>
      <c r="O110" s="69">
        <v>0.60077519379844957</v>
      </c>
      <c r="P110" s="69">
        <v>0.40096618357487923</v>
      </c>
      <c r="Q110" s="69">
        <v>0.41258741258741261</v>
      </c>
    </row>
    <row r="111" spans="1:17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7.716049382716049E-2</v>
      </c>
      <c r="M111" s="69">
        <v>0.28108672936259144</v>
      </c>
      <c r="N111" s="69">
        <v>0.22466039707419017</v>
      </c>
      <c r="O111" s="69">
        <v>0.59479553903345728</v>
      </c>
      <c r="P111" s="69">
        <v>0.39534883720930231</v>
      </c>
      <c r="Q111" s="69">
        <v>0.40909090909090912</v>
      </c>
    </row>
    <row r="112" spans="1:17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7.9510703363914373E-2</v>
      </c>
      <c r="M112" s="69">
        <v>0.2815040650406504</v>
      </c>
      <c r="N112" s="69">
        <v>0.22154471544715448</v>
      </c>
      <c r="O112" s="69">
        <v>0.6028880866425993</v>
      </c>
      <c r="P112" s="69">
        <v>0.39449541284403672</v>
      </c>
      <c r="Q112" s="69">
        <v>0.41088435374149662</v>
      </c>
    </row>
    <row r="113" spans="1:17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8.1818181818181818E-2</v>
      </c>
      <c r="M113" s="69">
        <v>0.27925270403146507</v>
      </c>
      <c r="N113" s="69">
        <v>0.22222222222222221</v>
      </c>
      <c r="O113" s="69">
        <v>0.59859154929577463</v>
      </c>
      <c r="P113" s="69">
        <v>0.39380530973451328</v>
      </c>
      <c r="Q113" s="69">
        <v>0.40805369127516777</v>
      </c>
    </row>
    <row r="114" spans="1:17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8.1081081081081086E-2</v>
      </c>
      <c r="M114" s="69">
        <v>0.279383429672447</v>
      </c>
      <c r="N114" s="69">
        <v>0.22254335260115607</v>
      </c>
      <c r="O114" s="69">
        <v>0.60689655172413792</v>
      </c>
      <c r="P114" s="69">
        <v>0.38961038961038963</v>
      </c>
      <c r="Q114" s="69">
        <v>0.40824468085106386</v>
      </c>
    </row>
    <row r="115" spans="1:17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8.0357142857142863E-2</v>
      </c>
      <c r="M115" s="69">
        <v>0.279847182425979</v>
      </c>
      <c r="N115" s="69">
        <v>0.22063037249283668</v>
      </c>
      <c r="O115" s="69">
        <v>0.60750853242320824</v>
      </c>
      <c r="P115" s="69">
        <v>0.38961038961038963</v>
      </c>
      <c r="Q115" s="69">
        <v>0.40794701986754967</v>
      </c>
    </row>
    <row r="116" spans="1:17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8.2595870206489674E-2</v>
      </c>
      <c r="M116" s="69">
        <v>0.28197945845004668</v>
      </c>
      <c r="N116" s="69">
        <v>0.22128851540616246</v>
      </c>
      <c r="O116" s="69">
        <v>0.60264900662251653</v>
      </c>
      <c r="P116" s="69">
        <v>0.3881856540084388</v>
      </c>
      <c r="Q116" s="69">
        <v>0.40629095674967236</v>
      </c>
    </row>
    <row r="117" spans="1:17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8.1871345029239762E-2</v>
      </c>
      <c r="M117" s="69">
        <v>0.28282828282828282</v>
      </c>
      <c r="N117" s="69">
        <v>0.21854912764003673</v>
      </c>
      <c r="O117" s="69">
        <v>0.6071428571428571</v>
      </c>
      <c r="P117" s="69">
        <v>0.3907563025210084</v>
      </c>
      <c r="Q117" s="69">
        <v>0.4096228868660598</v>
      </c>
    </row>
    <row r="118" spans="1:17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8.1159420289855067E-2</v>
      </c>
      <c r="M118" s="69">
        <v>0.28014184397163122</v>
      </c>
      <c r="N118" s="69">
        <v>0.22429078014184398</v>
      </c>
      <c r="O118" s="69">
        <v>0.61392405063291144</v>
      </c>
      <c r="P118" s="69">
        <v>0.39130434782608697</v>
      </c>
      <c r="Q118" s="69">
        <v>0.41176470588235292</v>
      </c>
    </row>
    <row r="119" spans="1:17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8.0459770114942528E-2</v>
      </c>
      <c r="M119" s="69">
        <v>0.28010471204188481</v>
      </c>
      <c r="N119" s="69">
        <v>0.22338568935427575</v>
      </c>
      <c r="O119" s="69">
        <v>0.61370716510903423</v>
      </c>
      <c r="P119" s="69">
        <v>0.390625</v>
      </c>
      <c r="Q119" s="69">
        <v>0.41168996188055906</v>
      </c>
    </row>
    <row r="120" spans="1:17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7.9772079772079771E-2</v>
      </c>
      <c r="M120" s="69">
        <v>0.27905004240882103</v>
      </c>
      <c r="N120" s="69">
        <v>0.22222222222222221</v>
      </c>
      <c r="O120" s="69">
        <v>0.61702127659574468</v>
      </c>
      <c r="P120" s="69">
        <v>0.39694656488549618</v>
      </c>
      <c r="Q120" s="69">
        <v>0.40977443609022557</v>
      </c>
    </row>
    <row r="121" spans="1:17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7.909604519774012E-2</v>
      </c>
      <c r="M121" s="69">
        <v>0.28016877637130799</v>
      </c>
      <c r="N121" s="69">
        <v>0.22109704641350211</v>
      </c>
      <c r="O121" s="69">
        <v>0.61746987951807231</v>
      </c>
      <c r="P121" s="69">
        <v>0.39694656488549618</v>
      </c>
      <c r="Q121" s="69">
        <v>0.41</v>
      </c>
    </row>
    <row r="122" spans="1:17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7.8431372549019607E-2</v>
      </c>
      <c r="M122" s="69">
        <v>0.28026533996683251</v>
      </c>
      <c r="N122" s="69">
        <v>0.22056384742951907</v>
      </c>
      <c r="O122" s="69">
        <v>0.62130177514792895</v>
      </c>
      <c r="P122" s="69">
        <v>0.39473684210526316</v>
      </c>
      <c r="Q122" s="69">
        <v>0.41191066997518611</v>
      </c>
    </row>
    <row r="123" spans="1:17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7.7777777777777779E-2</v>
      </c>
      <c r="M123" s="69">
        <v>0.28223844282238442</v>
      </c>
      <c r="N123" s="69">
        <v>0.21897810218978103</v>
      </c>
      <c r="O123" s="69">
        <v>0.61494252873563215</v>
      </c>
      <c r="P123" s="69">
        <v>0.39629629629629631</v>
      </c>
      <c r="Q123" s="69">
        <v>0.41031941031941033</v>
      </c>
    </row>
    <row r="124" spans="1:17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7.9889807162534437E-2</v>
      </c>
      <c r="M124" s="69">
        <v>0.28297362110311752</v>
      </c>
      <c r="N124" s="69">
        <v>0.21982414068745004</v>
      </c>
      <c r="O124" s="69">
        <v>0.61016949152542377</v>
      </c>
      <c r="P124" s="69">
        <v>0.4</v>
      </c>
      <c r="Q124" s="69">
        <v>0.40853658536585363</v>
      </c>
    </row>
    <row r="125" spans="1:17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7.9234972677595633E-2</v>
      </c>
      <c r="M125" s="69">
        <v>0.28333333333333333</v>
      </c>
      <c r="N125" s="69">
        <v>0.21984126984126984</v>
      </c>
      <c r="O125" s="69">
        <v>0.61064425770308128</v>
      </c>
      <c r="P125" s="69">
        <v>0.4007220216606498</v>
      </c>
      <c r="Q125" s="69">
        <v>0.40704738760631837</v>
      </c>
    </row>
    <row r="126" spans="1:17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7.8590785907859076E-2</v>
      </c>
      <c r="M126" s="69">
        <v>0.28560431100846806</v>
      </c>
      <c r="N126" s="69">
        <v>0.21939953810623555</v>
      </c>
      <c r="O126" s="69">
        <v>0.61185983827493262</v>
      </c>
      <c r="P126" s="69">
        <v>0.39298245614035088</v>
      </c>
      <c r="Q126" s="69">
        <v>0.40887290167865709</v>
      </c>
    </row>
    <row r="127" spans="1:17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7.7956989247311828E-2</v>
      </c>
      <c r="M127" s="69">
        <v>0.28560606060606059</v>
      </c>
      <c r="N127" s="69">
        <v>0.22272727272727272</v>
      </c>
      <c r="O127" s="69">
        <v>0.60742705570291777</v>
      </c>
      <c r="P127" s="69">
        <v>0.39455782312925169</v>
      </c>
      <c r="Q127" s="69">
        <v>0.41022592152199761</v>
      </c>
    </row>
    <row r="128" spans="1:17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7.7333333333333337E-2</v>
      </c>
      <c r="M128" s="69">
        <v>0.28560775540641314</v>
      </c>
      <c r="N128" s="69">
        <v>0.22296793437733034</v>
      </c>
      <c r="O128" s="69">
        <v>0.60835509138381205</v>
      </c>
      <c r="P128" s="69">
        <v>0.40133779264214048</v>
      </c>
      <c r="Q128" s="69">
        <v>0.40989399293286222</v>
      </c>
    </row>
    <row r="129" spans="1:17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7.9365079365079361E-2</v>
      </c>
      <c r="M129" s="69">
        <v>0.2857142857142857</v>
      </c>
      <c r="N129" s="69">
        <v>0.22197802197802197</v>
      </c>
      <c r="O129" s="69">
        <v>0.60769230769230764</v>
      </c>
      <c r="P129" s="69">
        <v>0.39933993399339934</v>
      </c>
      <c r="Q129" s="69">
        <v>0.40935672514619881</v>
      </c>
    </row>
    <row r="130" spans="1:17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7.874015748031496E-2</v>
      </c>
      <c r="M130" s="69">
        <v>0.28467683369644153</v>
      </c>
      <c r="N130" s="69">
        <v>0.22294843863471314</v>
      </c>
      <c r="O130" s="69">
        <v>0.60969387755102045</v>
      </c>
      <c r="P130" s="69">
        <v>0.40065146579804561</v>
      </c>
      <c r="Q130" s="69">
        <v>0.40745052386495928</v>
      </c>
    </row>
    <row r="131" spans="1:17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7.8125E-2</v>
      </c>
      <c r="M131" s="69">
        <v>0.2832618025751073</v>
      </c>
      <c r="N131" s="69">
        <v>0.22460658082975679</v>
      </c>
      <c r="O131" s="69">
        <v>0.60606060606060608</v>
      </c>
      <c r="P131" s="69">
        <v>0.40127388535031849</v>
      </c>
      <c r="Q131" s="69">
        <v>0.40415704387990764</v>
      </c>
    </row>
    <row r="132" spans="1:17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8.0103359173126609E-2</v>
      </c>
      <c r="M132" s="69">
        <v>0.28081232492997199</v>
      </c>
      <c r="N132" s="69">
        <v>0.22759103641456582</v>
      </c>
      <c r="O132" s="69">
        <v>0.60349127182044893</v>
      </c>
      <c r="P132" s="69">
        <v>0.40615384615384614</v>
      </c>
      <c r="Q132" s="69">
        <v>0.40114285714285713</v>
      </c>
    </row>
    <row r="133" spans="1:17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8.2051282051282051E-2</v>
      </c>
      <c r="M133" s="69">
        <v>0.28135828135828134</v>
      </c>
      <c r="N133" s="69">
        <v>0.22661122661122662</v>
      </c>
      <c r="O133" s="69">
        <v>0.60098522167487689</v>
      </c>
      <c r="P133" s="69">
        <v>0.40672782874617736</v>
      </c>
      <c r="Q133" s="69">
        <v>0.4</v>
      </c>
    </row>
    <row r="134" spans="1:17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8.1424936386768454E-2</v>
      </c>
      <c r="M134" s="69">
        <v>0.28231292517006801</v>
      </c>
      <c r="N134" s="69">
        <v>0.22380952380952382</v>
      </c>
      <c r="O134" s="69">
        <v>0.60722891566265058</v>
      </c>
      <c r="P134" s="69">
        <v>0.40425531914893614</v>
      </c>
      <c r="Q134" s="69">
        <v>0.39864864864864863</v>
      </c>
    </row>
    <row r="135" spans="1:17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8.3333333333333329E-2</v>
      </c>
      <c r="M135" s="69">
        <v>0.28360215053763443</v>
      </c>
      <c r="N135" s="69">
        <v>0.22379032258064516</v>
      </c>
      <c r="O135" s="69">
        <v>0.61137440758293837</v>
      </c>
      <c r="P135" s="69">
        <v>0.39939939939939939</v>
      </c>
      <c r="Q135" s="69">
        <v>0.3970917225950783</v>
      </c>
    </row>
    <row r="136" spans="1:17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8.2706766917293228E-2</v>
      </c>
      <c r="M136" s="69">
        <v>0.28392621870882739</v>
      </c>
      <c r="N136" s="69">
        <v>0.22266139657444006</v>
      </c>
      <c r="O136" s="69">
        <v>0.61252900232018559</v>
      </c>
      <c r="P136" s="69">
        <v>0.40236686390532544</v>
      </c>
      <c r="Q136" s="69">
        <v>0.39712389380530971</v>
      </c>
    </row>
    <row r="137" spans="1:17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8.2089552238805971E-2</v>
      </c>
      <c r="M137" s="69">
        <v>0.28478964401294499</v>
      </c>
      <c r="N137" s="69">
        <v>0.22394822006472492</v>
      </c>
      <c r="O137" s="69">
        <v>0.60681818181818181</v>
      </c>
      <c r="P137" s="69">
        <v>0.40173410404624277</v>
      </c>
      <c r="Q137" s="69">
        <v>0.39626783754116357</v>
      </c>
    </row>
    <row r="138" spans="1:17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8.1481481481481488E-2</v>
      </c>
      <c r="M138" s="69">
        <v>0.28498727735368956</v>
      </c>
      <c r="N138" s="69">
        <v>0.22582697201017812</v>
      </c>
      <c r="O138" s="69">
        <v>0.6071428571428571</v>
      </c>
      <c r="P138" s="69">
        <v>0.39718309859154932</v>
      </c>
      <c r="Q138" s="69">
        <v>0.397170837867247</v>
      </c>
    </row>
    <row r="139" spans="1:17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8.0882352941176475E-2</v>
      </c>
      <c r="M139" s="69">
        <v>0.28355387523629488</v>
      </c>
      <c r="N139" s="69">
        <v>0.22558286074354128</v>
      </c>
      <c r="O139" s="69">
        <v>0.60888888888888892</v>
      </c>
      <c r="P139" s="69">
        <v>0.39664804469273746</v>
      </c>
      <c r="Q139" s="69">
        <v>0.39761646803900325</v>
      </c>
    </row>
    <row r="140" spans="1:17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8.0291970802919707E-2</v>
      </c>
      <c r="M140" s="69">
        <v>0.28277153558052437</v>
      </c>
      <c r="N140" s="69">
        <v>0.22409488139825218</v>
      </c>
      <c r="O140" s="69">
        <v>0.61147902869757176</v>
      </c>
      <c r="P140" s="69">
        <v>0.3955431754874652</v>
      </c>
      <c r="Q140" s="69">
        <v>0.39870689655172414</v>
      </c>
    </row>
    <row r="141" spans="1:17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7.9710144927536225E-2</v>
      </c>
      <c r="M141" s="69">
        <v>0.28252788104089221</v>
      </c>
      <c r="N141" s="69">
        <v>0.22490706319702602</v>
      </c>
      <c r="O141" s="69">
        <v>0.61184210526315785</v>
      </c>
      <c r="P141" s="69">
        <v>0.39944903581267216</v>
      </c>
      <c r="Q141" s="69">
        <v>0.3987138263665595</v>
      </c>
    </row>
    <row r="142" spans="1:17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7.9136690647482008E-2</v>
      </c>
      <c r="M142" s="69">
        <v>0.28223844282238442</v>
      </c>
      <c r="N142" s="69">
        <v>0.2281021897810219</v>
      </c>
      <c r="O142" s="69">
        <v>0.60775862068965514</v>
      </c>
      <c r="P142" s="69">
        <v>0.39733333333333332</v>
      </c>
      <c r="Q142" s="69">
        <v>0.39744952178533477</v>
      </c>
    </row>
    <row r="143" spans="1:17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7.857142857142857E-2</v>
      </c>
      <c r="M143" s="69">
        <v>0.28205128205128205</v>
      </c>
      <c r="N143" s="69">
        <v>0.22778771615980919</v>
      </c>
      <c r="O143" s="69">
        <v>0.60887949260042284</v>
      </c>
      <c r="P143" s="69">
        <v>0.39528795811518325</v>
      </c>
      <c r="Q143" s="69">
        <v>0.39684210526315788</v>
      </c>
    </row>
    <row r="144" spans="1:17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7.8014184397163122E-2</v>
      </c>
      <c r="M144" s="69">
        <v>0.28032979976442873</v>
      </c>
      <c r="N144" s="69">
        <v>0.22732626619552415</v>
      </c>
      <c r="O144" s="69">
        <v>0.6071428571428571</v>
      </c>
      <c r="P144" s="69">
        <v>0.39637305699481867</v>
      </c>
      <c r="Q144" s="69">
        <v>0.39622641509433965</v>
      </c>
    </row>
    <row r="145" spans="1:17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7.9812206572769953E-2</v>
      </c>
      <c r="M145" s="69">
        <v>0.28222996515679444</v>
      </c>
      <c r="N145" s="69">
        <v>0.22764227642276422</v>
      </c>
      <c r="O145" s="69">
        <v>0.60288065843621397</v>
      </c>
      <c r="P145" s="69">
        <v>0.39795918367346939</v>
      </c>
      <c r="Q145" s="69">
        <v>0.39646201873048909</v>
      </c>
    </row>
    <row r="146" spans="1:17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7.9254079254079249E-2</v>
      </c>
      <c r="M146" s="69">
        <v>0.28187535734705543</v>
      </c>
      <c r="N146" s="69">
        <v>0.22870211549456831</v>
      </c>
      <c r="O146" s="69">
        <v>0.60243407707910746</v>
      </c>
      <c r="P146" s="69">
        <v>0.40250000000000002</v>
      </c>
      <c r="Q146" s="69">
        <v>0.4</v>
      </c>
    </row>
    <row r="147" spans="1:17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7.8703703703703706E-2</v>
      </c>
      <c r="M147" s="69">
        <v>0.28274311410905001</v>
      </c>
      <c r="N147" s="69">
        <v>0.22878021360314785</v>
      </c>
      <c r="O147" s="69">
        <v>0.60039761431411531</v>
      </c>
      <c r="P147" s="69">
        <v>0.40049140049140047</v>
      </c>
      <c r="Q147" s="69">
        <v>0.39775051124744376</v>
      </c>
    </row>
    <row r="148" spans="1:17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7.8160919540229884E-2</v>
      </c>
      <c r="M148" s="69">
        <v>0.28175263449805882</v>
      </c>
      <c r="N148" s="69">
        <v>0.22961730449251247</v>
      </c>
      <c r="O148" s="69">
        <v>0.60039370078740162</v>
      </c>
      <c r="P148" s="69">
        <v>0.40338164251207731</v>
      </c>
      <c r="Q148" s="69">
        <v>0.39796954314720812</v>
      </c>
    </row>
    <row r="149" spans="1:17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7.7625570776255703E-2</v>
      </c>
      <c r="M149" s="69">
        <v>0.28188286808976465</v>
      </c>
      <c r="N149" s="69">
        <v>0.22988505747126436</v>
      </c>
      <c r="O149" s="69">
        <v>0.6</v>
      </c>
      <c r="P149" s="69">
        <v>0.40476190476190477</v>
      </c>
      <c r="Q149" s="69">
        <v>0.3997985901309164</v>
      </c>
    </row>
    <row r="150" spans="1:17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7.7097505668934238E-2</v>
      </c>
      <c r="M150" s="69">
        <v>0.28217555196553579</v>
      </c>
      <c r="N150" s="69">
        <v>0.23047926763597198</v>
      </c>
      <c r="O150" s="69">
        <v>0.60114503816793896</v>
      </c>
      <c r="P150" s="69">
        <v>0.40186915887850466</v>
      </c>
      <c r="Q150" s="69">
        <v>0.39820359281437123</v>
      </c>
    </row>
    <row r="151" spans="1:17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7.6576576576576572E-2</v>
      </c>
      <c r="M151" s="69">
        <v>0.28426666666666667</v>
      </c>
      <c r="N151" s="69">
        <v>0.2288</v>
      </c>
      <c r="O151" s="69">
        <v>0.59849906191369606</v>
      </c>
      <c r="P151" s="69">
        <v>0.40326340326340326</v>
      </c>
      <c r="Q151" s="69">
        <v>0.39920556107249255</v>
      </c>
    </row>
    <row r="152" spans="1:17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7.6062639821029079E-2</v>
      </c>
      <c r="M152" s="69">
        <v>0.28306878306878308</v>
      </c>
      <c r="N152" s="69">
        <v>0.23068783068783069</v>
      </c>
      <c r="O152" s="69">
        <v>0.5962616822429907</v>
      </c>
      <c r="P152" s="69">
        <v>0.40596330275229359</v>
      </c>
      <c r="Q152" s="69">
        <v>0.39960435212660733</v>
      </c>
    </row>
    <row r="153" spans="1:17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7.5555555555555556E-2</v>
      </c>
      <c r="M153" s="69">
        <v>0.28205128205128205</v>
      </c>
      <c r="N153" s="69">
        <v>0.22972265829408686</v>
      </c>
      <c r="O153" s="69">
        <v>0.5992578849721707</v>
      </c>
      <c r="P153" s="69">
        <v>0.40774487471526194</v>
      </c>
      <c r="Q153" s="69">
        <v>0.39823008849557523</v>
      </c>
    </row>
    <row r="154" spans="1:17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7.7262693156732898E-2</v>
      </c>
      <c r="M154" s="69">
        <v>0.28086419753086422</v>
      </c>
      <c r="N154" s="69">
        <v>0.22942386831275721</v>
      </c>
      <c r="O154" s="69">
        <v>0.59523809523809523</v>
      </c>
      <c r="P154" s="69">
        <v>0.4103139013452915</v>
      </c>
      <c r="Q154" s="69">
        <v>0.39824732229795523</v>
      </c>
    </row>
    <row r="155" spans="1:17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7.8947368421052627E-2</v>
      </c>
      <c r="M155" s="69">
        <v>0.28075548749361917</v>
      </c>
      <c r="N155" s="69">
        <v>0.22970903522205208</v>
      </c>
      <c r="O155" s="69">
        <v>0.59272727272727277</v>
      </c>
      <c r="P155" s="69">
        <v>0.40888888888888891</v>
      </c>
      <c r="Q155" s="69">
        <v>0.39767216294859359</v>
      </c>
    </row>
    <row r="156" spans="1:17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7.8431372549019607E-2</v>
      </c>
      <c r="M156" s="69">
        <v>0.28139183055975792</v>
      </c>
      <c r="N156" s="69">
        <v>0.22894604135148763</v>
      </c>
      <c r="O156" s="69">
        <v>0.59498207885304655</v>
      </c>
      <c r="P156" s="69">
        <v>0.40748898678414097</v>
      </c>
      <c r="Q156" s="69">
        <v>0.39846005774783444</v>
      </c>
    </row>
    <row r="157" spans="1:17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7.792207792207792E-2</v>
      </c>
      <c r="M157" s="69">
        <v>0.28308457711442786</v>
      </c>
      <c r="N157" s="69">
        <v>0.22686567164179106</v>
      </c>
      <c r="O157" s="69">
        <v>0.59402460456942008</v>
      </c>
      <c r="P157" s="69">
        <v>0.40789473684210525</v>
      </c>
      <c r="Q157" s="69">
        <v>0.39732569245463228</v>
      </c>
    </row>
    <row r="158" spans="1:17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7.7419354838709681E-2</v>
      </c>
      <c r="M158" s="69">
        <v>0.28325969563082964</v>
      </c>
      <c r="N158" s="69">
        <v>0.22582228767795778</v>
      </c>
      <c r="O158" s="69">
        <v>0.59618717504332752</v>
      </c>
      <c r="P158" s="69">
        <v>0.40652173913043477</v>
      </c>
      <c r="Q158" s="69">
        <v>0.39772727272727271</v>
      </c>
    </row>
    <row r="159" spans="1:17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7.6923076923076927E-2</v>
      </c>
      <c r="M159" s="69">
        <v>0.28439922480620156</v>
      </c>
      <c r="N159" s="69">
        <v>0.22674418604651161</v>
      </c>
      <c r="O159" s="69">
        <v>0.59454855195911416</v>
      </c>
      <c r="P159" s="69">
        <v>0.40384615384615385</v>
      </c>
      <c r="Q159" s="69">
        <v>0.39661654135338348</v>
      </c>
    </row>
    <row r="160" spans="1:17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7.6433121019108277E-2</v>
      </c>
      <c r="M160" s="69">
        <v>0.28333333333333333</v>
      </c>
      <c r="N160" s="69">
        <v>0.2280952380952381</v>
      </c>
      <c r="O160" s="69">
        <v>0.59495798319327731</v>
      </c>
      <c r="P160" s="69">
        <v>0.39874739039665968</v>
      </c>
      <c r="Q160" s="69">
        <v>0.39794967381174279</v>
      </c>
    </row>
    <row r="161" spans="1:17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7.5949367088607597E-2</v>
      </c>
      <c r="M161" s="69">
        <v>0.28194247996228194</v>
      </c>
      <c r="N161" s="69">
        <v>0.23008015087223008</v>
      </c>
      <c r="O161" s="69">
        <v>0.59531772575250841</v>
      </c>
      <c r="P161" s="69">
        <v>0.39959016393442626</v>
      </c>
      <c r="Q161" s="69">
        <v>0.39666357738646896</v>
      </c>
    </row>
    <row r="162" spans="1:17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7.5471698113207544E-2</v>
      </c>
      <c r="M162" s="69">
        <v>0.28119180633147112</v>
      </c>
      <c r="N162" s="69">
        <v>0.22951582867783984</v>
      </c>
      <c r="O162" s="69">
        <v>0.59602649006622521</v>
      </c>
      <c r="P162" s="69">
        <v>0.39959432048681542</v>
      </c>
      <c r="Q162" s="69">
        <v>0.39686924493554326</v>
      </c>
    </row>
    <row r="163" spans="1:17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7.4999999999999997E-2</v>
      </c>
      <c r="M163" s="69">
        <v>0.28381476386978449</v>
      </c>
      <c r="N163" s="69">
        <v>0.22879413113250802</v>
      </c>
      <c r="O163" s="69">
        <v>0.59612277867528274</v>
      </c>
      <c r="P163" s="69">
        <v>0.39679358717434871</v>
      </c>
      <c r="Q163" s="69">
        <v>0.39835916134913402</v>
      </c>
    </row>
    <row r="164" spans="1:17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7.4534161490683232E-2</v>
      </c>
      <c r="M164" s="69">
        <v>0.28351449275362317</v>
      </c>
      <c r="N164" s="69">
        <v>0.23097826086956522</v>
      </c>
      <c r="O164" s="69">
        <v>0.597444089456869</v>
      </c>
      <c r="P164" s="69">
        <v>0.39215686274509803</v>
      </c>
      <c r="Q164" s="69">
        <v>0.39909502262443441</v>
      </c>
    </row>
    <row r="165" spans="1:17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7.407407407407407E-2</v>
      </c>
      <c r="M165" s="69">
        <v>0.28449820788530467</v>
      </c>
      <c r="N165" s="69">
        <v>0.2307347670250896</v>
      </c>
      <c r="O165" s="69">
        <v>0.59685039370078741</v>
      </c>
      <c r="P165" s="69">
        <v>0.39223300970873787</v>
      </c>
      <c r="Q165" s="69">
        <v>0.39928057553956836</v>
      </c>
    </row>
    <row r="166" spans="1:17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7.3619631901840496E-2</v>
      </c>
      <c r="M166" s="69">
        <v>0.28368794326241137</v>
      </c>
      <c r="N166" s="69">
        <v>0.23182624113475178</v>
      </c>
      <c r="O166" s="69">
        <v>0.59531250000000002</v>
      </c>
      <c r="P166" s="69">
        <v>0.39196940726577439</v>
      </c>
      <c r="Q166" s="69">
        <v>0.39910714285714288</v>
      </c>
    </row>
    <row r="167" spans="1:17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7.3170731707317069E-2</v>
      </c>
      <c r="M167" s="69">
        <v>0.28302712160979876</v>
      </c>
      <c r="N167" s="69">
        <v>0.23053368328958881</v>
      </c>
      <c r="O167" s="69">
        <v>0.59814528593508498</v>
      </c>
      <c r="P167" s="69">
        <v>0.39278937381404172</v>
      </c>
      <c r="Q167" s="69">
        <v>0.39893617021276595</v>
      </c>
    </row>
    <row r="168" spans="1:17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7.2727272727272724E-2</v>
      </c>
      <c r="M168" s="69">
        <v>0.28416013925152306</v>
      </c>
      <c r="N168" s="69">
        <v>0.2297650130548303</v>
      </c>
      <c r="O168" s="69">
        <v>0.59724349157733536</v>
      </c>
      <c r="P168" s="69">
        <v>0.39393939393939392</v>
      </c>
      <c r="Q168" s="69">
        <v>0.39805825242718446</v>
      </c>
    </row>
    <row r="169" spans="1:17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7.2289156626506021E-2</v>
      </c>
      <c r="M169" s="69">
        <v>0.2833117723156533</v>
      </c>
      <c r="N169" s="69">
        <v>0.23156532988357051</v>
      </c>
      <c r="O169" s="69">
        <v>0.59817351598173518</v>
      </c>
      <c r="P169" s="69">
        <v>0.39478584729981381</v>
      </c>
      <c r="Q169" s="69">
        <v>0.39736842105263159</v>
      </c>
    </row>
    <row r="170" spans="1:17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7.1856287425149698E-2</v>
      </c>
      <c r="M170" s="69">
        <v>0.2833763996554694</v>
      </c>
      <c r="N170" s="69">
        <v>0.23126614987080105</v>
      </c>
      <c r="O170" s="69">
        <v>0.59878419452887544</v>
      </c>
      <c r="P170" s="69">
        <v>0.39478584729981381</v>
      </c>
      <c r="Q170" s="69">
        <v>0.39702015775635408</v>
      </c>
    </row>
    <row r="171" spans="1:17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7.1428571428571425E-2</v>
      </c>
      <c r="M171" s="69">
        <v>0.28267347807577692</v>
      </c>
      <c r="N171" s="69">
        <v>0.23158790974882928</v>
      </c>
      <c r="O171" s="69">
        <v>0.59638554216867468</v>
      </c>
      <c r="P171" s="69">
        <v>0.3952205882352941</v>
      </c>
      <c r="Q171" s="69">
        <v>0.40086956521739131</v>
      </c>
    </row>
    <row r="172" spans="1:17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7.1005917159763315E-2</v>
      </c>
      <c r="M172" s="69">
        <v>0.28409090909090912</v>
      </c>
      <c r="N172" s="69">
        <v>0.23106060606060605</v>
      </c>
      <c r="O172" s="69">
        <v>0.59407407407407409</v>
      </c>
      <c r="P172" s="69">
        <v>0.39708561020036431</v>
      </c>
      <c r="Q172" s="69">
        <v>0.40034512510785158</v>
      </c>
    </row>
    <row r="173" spans="1:17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7.0588235294117646E-2</v>
      </c>
      <c r="M173" s="69">
        <v>0.28339575530586769</v>
      </c>
      <c r="N173" s="69">
        <v>0.23137744486059092</v>
      </c>
      <c r="O173" s="69">
        <v>0.59618208516886928</v>
      </c>
      <c r="P173" s="69">
        <v>0.39748201438848924</v>
      </c>
      <c r="Q173" s="69">
        <v>0.40068493150684931</v>
      </c>
    </row>
    <row r="174" spans="1:17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7.0175438596491224E-2</v>
      </c>
      <c r="M174" s="69">
        <v>0.28329197684036395</v>
      </c>
      <c r="N174" s="69">
        <v>0.23159636062861869</v>
      </c>
      <c r="O174" s="69">
        <v>0.59708029197080292</v>
      </c>
      <c r="P174" s="69">
        <v>0.39642857142857141</v>
      </c>
      <c r="Q174" s="69">
        <v>0.40187713310580203</v>
      </c>
    </row>
    <row r="175" spans="1:17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6.9767441860465115E-2</v>
      </c>
      <c r="M175" s="69">
        <v>0.28396572827417382</v>
      </c>
      <c r="N175" s="69">
        <v>0.2317421460628315</v>
      </c>
      <c r="O175" s="69">
        <v>0.5933908045977011</v>
      </c>
      <c r="P175" s="69">
        <v>0.39612676056338031</v>
      </c>
      <c r="Q175" s="69">
        <v>0.40270727580372251</v>
      </c>
    </row>
    <row r="176" spans="1:17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6.9364161849710976E-2</v>
      </c>
      <c r="M176" s="69">
        <v>0.28357605177993528</v>
      </c>
      <c r="N176" s="69">
        <v>0.23260517799352751</v>
      </c>
      <c r="O176" s="69">
        <v>0.59343794579172615</v>
      </c>
      <c r="P176" s="69">
        <v>0.39652173913043476</v>
      </c>
      <c r="Q176" s="69">
        <v>0.40117746005046256</v>
      </c>
    </row>
    <row r="177" spans="1:17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7.0881226053639848E-2</v>
      </c>
      <c r="M177" s="69">
        <v>0.28291316526610644</v>
      </c>
      <c r="N177" s="69">
        <v>0.23289315726290516</v>
      </c>
      <c r="O177" s="69">
        <v>0.59405940594059403</v>
      </c>
      <c r="P177" s="69">
        <v>0.39690721649484534</v>
      </c>
      <c r="Q177" s="69">
        <v>0.40400667779632721</v>
      </c>
    </row>
    <row r="178" spans="1:17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7.2380952380952379E-2</v>
      </c>
      <c r="M178" s="69">
        <v>0.28293650793650793</v>
      </c>
      <c r="N178" s="69">
        <v>0.23214285714285715</v>
      </c>
      <c r="O178" s="69">
        <v>0.5946704067321178</v>
      </c>
      <c r="P178" s="69">
        <v>0.39658119658119656</v>
      </c>
      <c r="Q178" s="69">
        <v>0.40448504983388706</v>
      </c>
    </row>
    <row r="179" spans="1:17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7.3863636363636367E-2</v>
      </c>
      <c r="M179" s="69">
        <v>0.28289992119779356</v>
      </c>
      <c r="N179" s="69">
        <v>0.23128447596532703</v>
      </c>
      <c r="O179" s="69">
        <v>0.59610027855153203</v>
      </c>
      <c r="P179" s="69">
        <v>0.39693356047700168</v>
      </c>
      <c r="Q179" s="69">
        <v>0.40413223140495869</v>
      </c>
    </row>
    <row r="180" spans="1:17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7.3446327683615822E-2</v>
      </c>
      <c r="M180" s="69">
        <v>0.2834890965732087</v>
      </c>
      <c r="N180" s="69">
        <v>0.23130841121495327</v>
      </c>
      <c r="O180" s="69">
        <v>0.59615384615384615</v>
      </c>
      <c r="P180" s="69">
        <v>0.39393939393939392</v>
      </c>
      <c r="Q180" s="69">
        <v>0.4039408866995074</v>
      </c>
    </row>
    <row r="181" spans="1:17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7.4906367041198504E-2</v>
      </c>
      <c r="M181" s="69">
        <v>0.28202160493827161</v>
      </c>
      <c r="N181" s="69">
        <v>0.23148148148148148</v>
      </c>
      <c r="O181" s="69">
        <v>0.59644322845417241</v>
      </c>
      <c r="P181" s="69">
        <v>0.39500000000000002</v>
      </c>
      <c r="Q181" s="69">
        <v>0.40701468189233281</v>
      </c>
    </row>
    <row r="182" spans="1:17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7.4487895716946001E-2</v>
      </c>
      <c r="M182" s="69">
        <v>0.28243398392652125</v>
      </c>
      <c r="N182" s="69">
        <v>0.23038652889399158</v>
      </c>
      <c r="O182" s="69">
        <v>0.59756097560975607</v>
      </c>
      <c r="P182" s="69">
        <v>0.39368770764119604</v>
      </c>
      <c r="Q182" s="69">
        <v>0.40632603406326034</v>
      </c>
    </row>
    <row r="183" spans="1:17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7.5925925925925924E-2</v>
      </c>
      <c r="M183" s="69">
        <v>0.2833900870223231</v>
      </c>
      <c r="N183" s="69">
        <v>0.22928490351872871</v>
      </c>
      <c r="O183" s="69">
        <v>0.59946595460614149</v>
      </c>
      <c r="P183" s="69">
        <v>0.39273927392739272</v>
      </c>
      <c r="Q183" s="69">
        <v>0.40740740740740738</v>
      </c>
    </row>
    <row r="184" spans="1:17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7.550644567219153E-2</v>
      </c>
      <c r="M184" s="69">
        <v>0.28507295173961839</v>
      </c>
      <c r="N184" s="69">
        <v>0.22933034044145156</v>
      </c>
      <c r="O184" s="69">
        <v>0.59711286089238846</v>
      </c>
      <c r="P184" s="69">
        <v>0.39151712887438828</v>
      </c>
      <c r="Q184" s="69">
        <v>0.40687450039968026</v>
      </c>
    </row>
    <row r="185" spans="1:17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7.5091575091575088E-2</v>
      </c>
      <c r="M185" s="69">
        <v>0.28518518518518521</v>
      </c>
      <c r="N185" s="69">
        <v>0.22962962962962963</v>
      </c>
      <c r="O185" s="69">
        <v>0.59610389610389614</v>
      </c>
      <c r="P185" s="69">
        <v>0.39193548387096772</v>
      </c>
      <c r="Q185" s="69">
        <v>0.40984908657664815</v>
      </c>
    </row>
    <row r="186" spans="1:17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7.4681238615664849E-2</v>
      </c>
      <c r="M186" s="69">
        <v>0.28450807635829661</v>
      </c>
      <c r="N186" s="69">
        <v>0.23127753303964757</v>
      </c>
      <c r="O186" s="69">
        <v>0.59483870967741936</v>
      </c>
      <c r="P186" s="69">
        <v>0.39523809523809522</v>
      </c>
      <c r="Q186" s="69">
        <v>0.409629044988161</v>
      </c>
    </row>
    <row r="187" spans="1:17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7.6086956521739135E-2</v>
      </c>
      <c r="M187" s="69">
        <v>0.28581791802684076</v>
      </c>
      <c r="N187" s="69">
        <v>0.23104824084149439</v>
      </c>
      <c r="O187" s="69">
        <v>0.59010152284263961</v>
      </c>
      <c r="P187" s="69">
        <v>0.39560439560439559</v>
      </c>
      <c r="Q187" s="69">
        <v>0.40987460815047022</v>
      </c>
    </row>
    <row r="188" spans="1:17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7.567567567567568E-2</v>
      </c>
      <c r="M188" s="69">
        <v>0.28719599427753933</v>
      </c>
      <c r="N188" s="69">
        <v>0.2296137339055794</v>
      </c>
      <c r="O188" s="69">
        <v>0.58655043586550437</v>
      </c>
      <c r="P188" s="69">
        <v>0.39875389408099687</v>
      </c>
      <c r="Q188" s="69">
        <v>0.41103341103341101</v>
      </c>
    </row>
    <row r="189" spans="1:17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7.5268817204301078E-2</v>
      </c>
      <c r="M189" s="69">
        <v>0.28713574982231699</v>
      </c>
      <c r="N189" s="69">
        <v>0.22956645344705046</v>
      </c>
      <c r="O189" s="69">
        <v>0.5866336633663366</v>
      </c>
      <c r="P189" s="69">
        <v>0.39938080495356038</v>
      </c>
      <c r="Q189" s="69">
        <v>0.41067285382830626</v>
      </c>
    </row>
    <row r="190" spans="1:17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7.4866310160427801E-2</v>
      </c>
      <c r="M190" s="69">
        <v>0.28752642706131076</v>
      </c>
      <c r="N190" s="69">
        <v>0.22973925299506695</v>
      </c>
      <c r="O190" s="69">
        <v>0.58700980392156865</v>
      </c>
      <c r="P190" s="69">
        <v>0.40030674846625769</v>
      </c>
      <c r="Q190" s="69">
        <v>0.41199077632590314</v>
      </c>
    </row>
    <row r="191" spans="1:17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7.4468085106382975E-2</v>
      </c>
      <c r="M191" s="69">
        <v>0.28775226165622825</v>
      </c>
      <c r="N191" s="69">
        <v>0.22860125260960334</v>
      </c>
      <c r="O191" s="69">
        <v>0.59008464328899635</v>
      </c>
      <c r="P191" s="69">
        <v>0.39726027397260272</v>
      </c>
      <c r="Q191" s="69">
        <v>0.41234756097560976</v>
      </c>
    </row>
    <row r="192" spans="1:17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7.5837742504409167E-2</v>
      </c>
      <c r="M192" s="69">
        <v>0.28734439834024894</v>
      </c>
      <c r="N192" s="69">
        <v>0.22821576763485477</v>
      </c>
      <c r="O192" s="69">
        <v>0.58965102286401927</v>
      </c>
      <c r="P192" s="69">
        <v>0.4</v>
      </c>
      <c r="Q192" s="69">
        <v>0.41274658573596357</v>
      </c>
    </row>
    <row r="193" spans="1:17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7.7192982456140355E-2</v>
      </c>
      <c r="M193" s="69">
        <v>0.28758169934640521</v>
      </c>
      <c r="N193" s="69">
        <v>0.22772617819057447</v>
      </c>
      <c r="O193" s="69">
        <v>0.58971291866028708</v>
      </c>
      <c r="P193" s="69">
        <v>0.3987915407854985</v>
      </c>
      <c r="Q193" s="69">
        <v>0.41269841269841268</v>
      </c>
    </row>
    <row r="194" spans="1:17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7.8534031413612565E-2</v>
      </c>
      <c r="M194" s="69">
        <v>0.2865916069600819</v>
      </c>
      <c r="N194" s="69">
        <v>0.22790856363016035</v>
      </c>
      <c r="O194" s="69">
        <v>0.59047619047619049</v>
      </c>
      <c r="P194" s="69">
        <v>0.39970059880239522</v>
      </c>
      <c r="Q194" s="69">
        <v>0.41309255079006774</v>
      </c>
    </row>
    <row r="195" spans="1:17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7.8125E-2</v>
      </c>
      <c r="M195" s="69">
        <v>0.2870182555780933</v>
      </c>
      <c r="N195" s="69">
        <v>0.2281947261663286</v>
      </c>
      <c r="O195" s="69">
        <v>0.59246171967020023</v>
      </c>
      <c r="P195" s="69">
        <v>0.39555555555555555</v>
      </c>
      <c r="Q195" s="69">
        <v>0.41436050860134632</v>
      </c>
    </row>
    <row r="196" spans="1:17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7.9447322970639028E-2</v>
      </c>
      <c r="M196" s="69">
        <v>0.2866263440860215</v>
      </c>
      <c r="N196" s="69">
        <v>0.22782258064516128</v>
      </c>
      <c r="O196" s="69">
        <v>0.59320046893317702</v>
      </c>
      <c r="P196" s="69">
        <v>0.39528023598820061</v>
      </c>
      <c r="Q196" s="69">
        <v>0.41399851079672373</v>
      </c>
    </row>
    <row r="197" spans="1:17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7.903780068728522E-2</v>
      </c>
      <c r="M197" s="69">
        <v>0.28647391159853774</v>
      </c>
      <c r="N197" s="69">
        <v>0.22831505483549352</v>
      </c>
      <c r="O197" s="69">
        <v>0.59512761020881666</v>
      </c>
      <c r="P197" s="69">
        <v>0.3930131004366812</v>
      </c>
      <c r="Q197" s="69">
        <v>0.41463414634146339</v>
      </c>
    </row>
    <row r="198" spans="1:17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7.8632478632478631E-2</v>
      </c>
      <c r="M198" s="69">
        <v>0.28613861386138612</v>
      </c>
      <c r="N198" s="69">
        <v>0.22772277227722773</v>
      </c>
      <c r="O198" s="69">
        <v>0.59630911188004609</v>
      </c>
      <c r="P198" s="69">
        <v>0.39275362318840579</v>
      </c>
      <c r="Q198" s="69">
        <v>0.41501103752759383</v>
      </c>
    </row>
    <row r="199" spans="1:17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7.8231292517006806E-2</v>
      </c>
      <c r="M199" s="69">
        <v>0.28632478632478631</v>
      </c>
      <c r="N199" s="69">
        <v>0.22781065088757396</v>
      </c>
      <c r="O199" s="69">
        <v>0.59586681974741673</v>
      </c>
      <c r="P199" s="69">
        <v>0.39393939393939392</v>
      </c>
      <c r="Q199" s="69">
        <v>0.41379310344827586</v>
      </c>
    </row>
    <row r="200" spans="1:17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7.7834179357021999E-2</v>
      </c>
      <c r="M200" s="69">
        <v>0.28637110016420364</v>
      </c>
      <c r="N200" s="69">
        <v>0.22791461412151068</v>
      </c>
      <c r="O200" s="69">
        <v>0.59633027522935778</v>
      </c>
      <c r="P200" s="69">
        <v>0.39337175792507206</v>
      </c>
      <c r="Q200" s="69">
        <v>0.41348973607038125</v>
      </c>
    </row>
    <row r="201" spans="1:17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7.7441077441077436E-2</v>
      </c>
      <c r="M201" s="69">
        <v>0.28645833333333331</v>
      </c>
      <c r="N201" s="69">
        <v>0.2275390625</v>
      </c>
      <c r="O201" s="69">
        <v>0.59886363636363638</v>
      </c>
      <c r="P201" s="69">
        <v>0.39341917024320455</v>
      </c>
      <c r="Q201" s="69">
        <v>0.41514930808448652</v>
      </c>
    </row>
    <row r="202" spans="1:17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7.8726968174204354E-2</v>
      </c>
      <c r="M202" s="69">
        <v>0.28617571059431524</v>
      </c>
      <c r="N202" s="69">
        <v>0.2270671834625323</v>
      </c>
      <c r="O202" s="69">
        <v>0.59932279909706543</v>
      </c>
      <c r="P202" s="69">
        <v>0.39402560455192032</v>
      </c>
      <c r="Q202" s="69">
        <v>0.41521739130434782</v>
      </c>
    </row>
    <row r="203" spans="1:17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0.08</v>
      </c>
      <c r="M203" s="69">
        <v>0.287135065768367</v>
      </c>
      <c r="N203" s="69">
        <v>0.22778312479948667</v>
      </c>
      <c r="O203" s="69">
        <v>0.59664804469273747</v>
      </c>
      <c r="P203" s="69">
        <v>0.39295774647887322</v>
      </c>
      <c r="Q203" s="69">
        <v>0.41528478731074259</v>
      </c>
    </row>
    <row r="204" spans="1:17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8.12603648424544E-2</v>
      </c>
      <c r="M204" s="69">
        <v>0.28884652049571019</v>
      </c>
      <c r="N204" s="69">
        <v>0.22751827136955832</v>
      </c>
      <c r="O204" s="69">
        <v>0.59405940594059403</v>
      </c>
      <c r="P204" s="69">
        <v>0.39106145251396646</v>
      </c>
      <c r="Q204" s="69">
        <v>0.41535150645624103</v>
      </c>
    </row>
    <row r="205" spans="1:17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8.0858085808580851E-2</v>
      </c>
      <c r="M205" s="69">
        <v>0.28800755429650615</v>
      </c>
      <c r="N205" s="69">
        <v>0.22788794460182563</v>
      </c>
      <c r="O205" s="69">
        <v>0.59562841530054644</v>
      </c>
      <c r="P205" s="69">
        <v>0.39226519337016574</v>
      </c>
      <c r="Q205" s="69">
        <v>0.41524216524216523</v>
      </c>
    </row>
    <row r="206" spans="1:17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8.0459770114942528E-2</v>
      </c>
      <c r="M206" s="69">
        <v>0.28834739144017496</v>
      </c>
      <c r="N206" s="69">
        <v>0.22774133083411435</v>
      </c>
      <c r="O206" s="69">
        <v>0.59588299024918745</v>
      </c>
      <c r="P206" s="69">
        <v>0.39094650205761317</v>
      </c>
      <c r="Q206" s="69">
        <v>0.41459957476966691</v>
      </c>
    </row>
    <row r="207" spans="1:17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8.1699346405228759E-2</v>
      </c>
      <c r="M207" s="69">
        <v>0.28775193798449611</v>
      </c>
      <c r="N207" s="69">
        <v>0.22759689922480619</v>
      </c>
      <c r="O207" s="69">
        <v>0.59482758620689657</v>
      </c>
      <c r="P207" s="69">
        <v>0.38964577656675747</v>
      </c>
      <c r="Q207" s="69">
        <v>0.4152542372881356</v>
      </c>
    </row>
    <row r="208" spans="1:17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8.2926829268292687E-2</v>
      </c>
      <c r="M208" s="69">
        <v>0.28778085564789163</v>
      </c>
      <c r="N208" s="69">
        <v>0.22837796244998462</v>
      </c>
      <c r="O208" s="69">
        <v>0.59465240641711226</v>
      </c>
      <c r="P208" s="69">
        <v>0.38948787061994611</v>
      </c>
      <c r="Q208" s="69">
        <v>0.41461700632466619</v>
      </c>
    </row>
    <row r="209" spans="1:17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8.4142394822006472E-2</v>
      </c>
      <c r="M209" s="69">
        <v>0.2871982890314696</v>
      </c>
      <c r="N209" s="69">
        <v>0.22823098075160403</v>
      </c>
      <c r="O209" s="69">
        <v>0.5957446808510638</v>
      </c>
      <c r="P209" s="69">
        <v>0.38955823293172692</v>
      </c>
      <c r="Q209" s="69">
        <v>0.41538461538461541</v>
      </c>
    </row>
    <row r="210" spans="1:17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8.3735909822866342E-2</v>
      </c>
      <c r="M210" s="69">
        <v>0.2871467639015497</v>
      </c>
      <c r="N210" s="69">
        <v>0.22819811607414159</v>
      </c>
      <c r="O210" s="69">
        <v>0.59470899470899474</v>
      </c>
      <c r="P210" s="69">
        <v>0.38881491344873503</v>
      </c>
      <c r="Q210" s="69">
        <v>0.41672473867595816</v>
      </c>
    </row>
    <row r="211" spans="1:17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8.3333333333333329E-2</v>
      </c>
      <c r="M211" s="69">
        <v>0.28735632183908044</v>
      </c>
      <c r="N211" s="69">
        <v>0.22837265577737448</v>
      </c>
      <c r="O211" s="69">
        <v>0.59368421052631581</v>
      </c>
      <c r="P211" s="69">
        <v>0.38940397350993378</v>
      </c>
      <c r="Q211" s="69">
        <v>0.41666666666666669</v>
      </c>
    </row>
    <row r="212" spans="1:17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8.4529505582137163E-2</v>
      </c>
      <c r="M212" s="69">
        <v>0.28752260397830021</v>
      </c>
      <c r="N212" s="69">
        <v>0.22784810126582278</v>
      </c>
      <c r="O212" s="69">
        <v>0.59329140461215935</v>
      </c>
      <c r="P212" s="69">
        <v>0.39021164021164023</v>
      </c>
      <c r="Q212" s="69">
        <v>0.41718641718641719</v>
      </c>
    </row>
    <row r="213" spans="1:17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8.4126984126984133E-2</v>
      </c>
      <c r="M213" s="69">
        <v>0.28721174004192873</v>
      </c>
      <c r="N213" s="69">
        <v>0.22761305780173705</v>
      </c>
      <c r="O213" s="69">
        <v>0.59332638164754958</v>
      </c>
      <c r="P213" s="69">
        <v>0.39078947368421052</v>
      </c>
      <c r="Q213" s="69">
        <v>0.41752933057280883</v>
      </c>
    </row>
    <row r="214" spans="1:17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8.3728278041074244E-2</v>
      </c>
      <c r="M214" s="69">
        <v>0.28740740740740739</v>
      </c>
      <c r="N214" s="69">
        <v>0.22696296296296295</v>
      </c>
      <c r="O214" s="69">
        <v>0.59278350515463918</v>
      </c>
      <c r="P214" s="69">
        <v>0.39295039164490864</v>
      </c>
      <c r="Q214" s="69">
        <v>0.41683778234086244</v>
      </c>
    </row>
    <row r="215" spans="1:17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8.3333333333333329E-2</v>
      </c>
      <c r="M215" s="69">
        <v>0.28798586572438162</v>
      </c>
      <c r="N215" s="69">
        <v>0.22673733804475854</v>
      </c>
      <c r="O215" s="69">
        <v>0.59202453987730064</v>
      </c>
      <c r="P215" s="69">
        <v>0.39350649350649353</v>
      </c>
      <c r="Q215" s="69">
        <v>0.41717791411042943</v>
      </c>
    </row>
    <row r="216" spans="1:17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8.2942097026604072E-2</v>
      </c>
      <c r="M216" s="69">
        <v>0.28797190517998245</v>
      </c>
      <c r="N216" s="69">
        <v>0.22622183201638865</v>
      </c>
      <c r="O216" s="69">
        <v>0.59247967479674801</v>
      </c>
      <c r="P216" s="69">
        <v>0.39327296248382926</v>
      </c>
      <c r="Q216" s="69">
        <v>0.41723202170963364</v>
      </c>
    </row>
    <row r="217" spans="1:17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8.4112149532710276E-2</v>
      </c>
      <c r="M217" s="69">
        <v>0.28886951467596628</v>
      </c>
      <c r="N217" s="69">
        <v>0.22580645161290322</v>
      </c>
      <c r="O217" s="69">
        <v>0.59154929577464788</v>
      </c>
      <c r="P217" s="69">
        <v>0.39253539253539255</v>
      </c>
      <c r="Q217" s="69">
        <v>0.41621621621621624</v>
      </c>
    </row>
    <row r="218" spans="1:17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8.3720930232558138E-2</v>
      </c>
      <c r="M218" s="69">
        <v>0.28888888888888886</v>
      </c>
      <c r="N218" s="69">
        <v>0.22568542568542568</v>
      </c>
      <c r="O218" s="69">
        <v>0.59240759240759244</v>
      </c>
      <c r="P218" s="69">
        <v>0.39002557544757033</v>
      </c>
      <c r="Q218" s="69">
        <v>0.41694687289845328</v>
      </c>
    </row>
    <row r="219" spans="1:17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8.3333333333333329E-2</v>
      </c>
      <c r="M219" s="69">
        <v>0.28929188255613125</v>
      </c>
      <c r="N219" s="69">
        <v>0.22538860103626943</v>
      </c>
      <c r="O219" s="69">
        <v>0.59303482587064682</v>
      </c>
      <c r="P219" s="69">
        <v>0.38952745849297571</v>
      </c>
      <c r="Q219" s="69">
        <v>0.41677852348993288</v>
      </c>
    </row>
    <row r="220" spans="1:17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8.4485407066052232E-2</v>
      </c>
      <c r="M220" s="69">
        <v>0.29023972602739728</v>
      </c>
      <c r="N220" s="69">
        <v>0.22431506849315069</v>
      </c>
      <c r="O220" s="69">
        <v>0.58997050147492625</v>
      </c>
      <c r="P220" s="69">
        <v>0.38931297709923662</v>
      </c>
      <c r="Q220" s="69">
        <v>0.41750167000668004</v>
      </c>
    </row>
    <row r="221" spans="1:17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8.5626911314984705E-2</v>
      </c>
      <c r="M221" s="69">
        <v>0.29081632653061223</v>
      </c>
      <c r="N221" s="69">
        <v>0.22363945578231292</v>
      </c>
      <c r="O221" s="69">
        <v>0.59064327485380119</v>
      </c>
      <c r="P221" s="69">
        <v>0.38910012674271227</v>
      </c>
      <c r="Q221" s="69">
        <v>0.41727574750830565</v>
      </c>
    </row>
    <row r="222" spans="1:17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8.5235920852359204E-2</v>
      </c>
      <c r="M222" s="69">
        <v>0.29001406469760899</v>
      </c>
      <c r="N222" s="69">
        <v>0.2239099859353024</v>
      </c>
      <c r="O222" s="69">
        <v>0.58971871968962175</v>
      </c>
      <c r="P222" s="69">
        <v>0.3907035175879397</v>
      </c>
      <c r="Q222" s="69">
        <v>0.41639127561136813</v>
      </c>
    </row>
    <row r="223" spans="1:17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8.4848484848484854E-2</v>
      </c>
      <c r="M223" s="69">
        <v>0.29065550906555093</v>
      </c>
      <c r="N223" s="69">
        <v>0.22259414225941423</v>
      </c>
      <c r="O223" s="69">
        <v>0.58733205374280228</v>
      </c>
      <c r="P223" s="69">
        <v>0.39097744360902253</v>
      </c>
      <c r="Q223" s="69">
        <v>0.41672152732060569</v>
      </c>
    </row>
    <row r="224" spans="1:17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8.4464555052790352E-2</v>
      </c>
      <c r="M224" s="69">
        <v>0.29093931837073983</v>
      </c>
      <c r="N224" s="69">
        <v>0.22222222222222221</v>
      </c>
      <c r="O224" s="69">
        <v>0.58857142857142852</v>
      </c>
      <c r="P224" s="69">
        <v>0.39027431421446385</v>
      </c>
      <c r="Q224" s="69">
        <v>0.4171578258022266</v>
      </c>
    </row>
    <row r="225" spans="1:17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8.408408408408409E-2</v>
      </c>
      <c r="M225" s="69">
        <v>0.2911845730027548</v>
      </c>
      <c r="N225" s="69">
        <v>0.22148760330578512</v>
      </c>
      <c r="O225" s="69">
        <v>0.5884578997161779</v>
      </c>
      <c r="P225" s="69">
        <v>0.39054726368159204</v>
      </c>
      <c r="Q225" s="69">
        <v>0.4177545691906005</v>
      </c>
    </row>
    <row r="226" spans="1:17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8.3707025411061287E-2</v>
      </c>
      <c r="M226" s="69">
        <v>0.29108367626886145</v>
      </c>
      <c r="N226" s="69">
        <v>0.22167352537722909</v>
      </c>
      <c r="O226" s="69">
        <v>0.58812441093308199</v>
      </c>
      <c r="P226" s="69">
        <v>0.3910891089108911</v>
      </c>
      <c r="Q226" s="69">
        <v>0.41769681197137282</v>
      </c>
    </row>
    <row r="227" spans="1:17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8.3333333333333329E-2</v>
      </c>
      <c r="M227" s="69">
        <v>0.29217770509675661</v>
      </c>
      <c r="N227" s="69">
        <v>0.22076860179885527</v>
      </c>
      <c r="O227" s="69">
        <v>0.58955223880597019</v>
      </c>
      <c r="P227" s="69">
        <v>0.39012345679012345</v>
      </c>
      <c r="Q227" s="69">
        <v>0.41747572815533979</v>
      </c>
    </row>
    <row r="228" spans="1:17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8.4444444444444447E-2</v>
      </c>
      <c r="M228" s="69">
        <v>0.29220779220779219</v>
      </c>
      <c r="N228" s="69">
        <v>0.22132034632034633</v>
      </c>
      <c r="O228" s="69">
        <v>0.58888888888888891</v>
      </c>
      <c r="P228" s="69">
        <v>0.38997555012224938</v>
      </c>
      <c r="Q228" s="69">
        <v>0.4175257731958763</v>
      </c>
    </row>
    <row r="229" spans="1:17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8.4070796460176997E-2</v>
      </c>
      <c r="M229" s="69">
        <v>0.29196884233145315</v>
      </c>
      <c r="N229" s="69">
        <v>0.22186408810099381</v>
      </c>
      <c r="O229" s="69">
        <v>0.58785648574057037</v>
      </c>
      <c r="P229" s="69">
        <v>0.38983050847457629</v>
      </c>
      <c r="Q229" s="69">
        <v>0.41693393200769724</v>
      </c>
    </row>
    <row r="230" spans="1:17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8.3700440528634359E-2</v>
      </c>
      <c r="M230" s="69">
        <v>0.29259850905218315</v>
      </c>
      <c r="N230" s="69">
        <v>0.22177848775292866</v>
      </c>
      <c r="O230" s="69">
        <v>0.5868971792538672</v>
      </c>
      <c r="P230" s="69">
        <v>0.38895558223289317</v>
      </c>
      <c r="Q230" s="69">
        <v>0.41618865519439135</v>
      </c>
    </row>
    <row r="231" spans="1:17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8.3333333333333329E-2</v>
      </c>
      <c r="M231" s="69">
        <v>0.29140295358649787</v>
      </c>
      <c r="N231" s="69">
        <v>0.22178270042194093</v>
      </c>
      <c r="O231" s="69">
        <v>0.58733031674208147</v>
      </c>
      <c r="P231" s="69">
        <v>0.39120095124851367</v>
      </c>
      <c r="Q231" s="69">
        <v>0.41861937935402155</v>
      </c>
    </row>
    <row r="232" spans="1:17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8.442503639010189E-2</v>
      </c>
      <c r="M232" s="69">
        <v>0.29176470588235293</v>
      </c>
      <c r="N232" s="69">
        <v>0.22143790849673203</v>
      </c>
      <c r="O232" s="69">
        <v>0.58602150537634412</v>
      </c>
      <c r="P232" s="69">
        <v>0.38961038961038963</v>
      </c>
      <c r="Q232" s="69">
        <v>0.41902961562696911</v>
      </c>
    </row>
    <row r="233" spans="1:17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8.4057971014492749E-2</v>
      </c>
      <c r="M233" s="69">
        <v>0.29127725856697817</v>
      </c>
      <c r="N233" s="69">
        <v>0.22092419522326065</v>
      </c>
      <c r="O233" s="69">
        <v>0.58645276292335113</v>
      </c>
      <c r="P233" s="69">
        <v>0.39012925969447709</v>
      </c>
      <c r="Q233" s="69">
        <v>0.41755485893416927</v>
      </c>
    </row>
    <row r="234" spans="1:17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8.3694083694083696E-2</v>
      </c>
      <c r="M234" s="69">
        <v>0.29108706852138072</v>
      </c>
      <c r="N234" s="69">
        <v>0.21973209685729006</v>
      </c>
      <c r="O234" s="69">
        <v>0.58849557522123896</v>
      </c>
      <c r="P234" s="69">
        <v>0.39038686987104337</v>
      </c>
      <c r="Q234" s="69">
        <v>0.41832917705735662</v>
      </c>
    </row>
    <row r="235" spans="1:17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8.4770114942528729E-2</v>
      </c>
      <c r="M235" s="69">
        <v>0.29128205128205126</v>
      </c>
      <c r="N235" s="69">
        <v>0.21897435897435896</v>
      </c>
      <c r="O235" s="69">
        <v>0.58978873239436624</v>
      </c>
      <c r="P235" s="69">
        <v>0.38992974238875877</v>
      </c>
      <c r="Q235" s="69">
        <v>0.41925465838509318</v>
      </c>
    </row>
    <row r="236" spans="1:17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8.4406294706723894E-2</v>
      </c>
      <c r="M236" s="69">
        <v>0.29077471967380225</v>
      </c>
      <c r="N236" s="69">
        <v>0.21916411824668705</v>
      </c>
      <c r="O236" s="69">
        <v>0.59070990359333919</v>
      </c>
      <c r="P236" s="69">
        <v>0.38953488372093026</v>
      </c>
      <c r="Q236" s="69">
        <v>0.41929499072356213</v>
      </c>
    </row>
    <row r="237" spans="1:17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8.5470085470085472E-2</v>
      </c>
      <c r="M237" s="69">
        <v>0.29093678598629091</v>
      </c>
      <c r="N237" s="69">
        <v>0.21934501142421933</v>
      </c>
      <c r="O237" s="69">
        <v>0.58987783595113441</v>
      </c>
      <c r="P237" s="69">
        <v>0.38773148148148145</v>
      </c>
      <c r="Q237" s="69">
        <v>0.41949413942011105</v>
      </c>
    </row>
    <row r="238" spans="1:17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8.5106382978723402E-2</v>
      </c>
      <c r="M238" s="69">
        <v>0.29242424242424242</v>
      </c>
      <c r="N238" s="69">
        <v>0.21893939393939393</v>
      </c>
      <c r="O238" s="69">
        <v>0.58894645941278068</v>
      </c>
      <c r="P238" s="69">
        <v>0.38638985005767013</v>
      </c>
      <c r="Q238" s="69">
        <v>0.41917639827904118</v>
      </c>
    </row>
    <row r="239" spans="1:17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8.4745762711864403E-2</v>
      </c>
      <c r="M239" s="69">
        <v>0.29373433583959901</v>
      </c>
      <c r="N239" s="69">
        <v>0.21879699248120302</v>
      </c>
      <c r="O239" s="69">
        <v>0.58703071672354945</v>
      </c>
      <c r="P239" s="69">
        <v>0.38602520045819017</v>
      </c>
      <c r="Q239" s="69">
        <v>0.42018348623853213</v>
      </c>
    </row>
    <row r="240" spans="1:17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8.5794655414908577E-2</v>
      </c>
      <c r="M240" s="69">
        <v>0.29344303166292696</v>
      </c>
      <c r="N240" s="69">
        <v>0.21964597357267515</v>
      </c>
      <c r="O240" s="69">
        <v>0.5862361937128292</v>
      </c>
      <c r="P240" s="69">
        <v>0.38706015891032919</v>
      </c>
      <c r="Q240" s="69">
        <v>0.4198659354052407</v>
      </c>
    </row>
    <row r="241" spans="1:17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8.5434173669467789E-2</v>
      </c>
      <c r="M241" s="69">
        <v>0.29353233830845771</v>
      </c>
      <c r="N241" s="69">
        <v>0.21965174129353235</v>
      </c>
      <c r="O241" s="69">
        <v>0.58728813559322035</v>
      </c>
      <c r="P241" s="69">
        <v>0.38731596828992071</v>
      </c>
      <c r="Q241" s="69">
        <v>0.41945288753799392</v>
      </c>
    </row>
    <row r="242" spans="1:17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8.5076708507670851E-2</v>
      </c>
      <c r="M242" s="69">
        <v>0.29401582591493569</v>
      </c>
      <c r="N242" s="69">
        <v>0.21983184965380811</v>
      </c>
      <c r="O242" s="69">
        <v>0.58620689655172409</v>
      </c>
      <c r="P242" s="69">
        <v>0.38920134983127108</v>
      </c>
      <c r="Q242" s="69">
        <v>0.41923774954627951</v>
      </c>
    </row>
    <row r="243" spans="1:17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8.611111111111111E-2</v>
      </c>
      <c r="M243" s="69">
        <v>0.29397293972939731</v>
      </c>
      <c r="N243" s="69">
        <v>0.21943419434194342</v>
      </c>
      <c r="O243" s="69">
        <v>0.58577405857740583</v>
      </c>
      <c r="P243" s="69">
        <v>0.39125560538116594</v>
      </c>
      <c r="Q243" s="69">
        <v>0.41927710843373495</v>
      </c>
    </row>
    <row r="244" spans="1:17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8.5753803596127248E-2</v>
      </c>
      <c r="M244" s="69">
        <v>0.29374389051808408</v>
      </c>
      <c r="N244" s="69">
        <v>0.21920821114369501</v>
      </c>
      <c r="O244" s="69">
        <v>0.58485856905158073</v>
      </c>
      <c r="P244" s="69">
        <v>0.39018952062430323</v>
      </c>
      <c r="Q244" s="69">
        <v>0.4189675870348139</v>
      </c>
    </row>
    <row r="245" spans="1:17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8.5399449035812675E-2</v>
      </c>
      <c r="M245" s="69">
        <v>0.29330422125181949</v>
      </c>
      <c r="N245" s="69">
        <v>0.21931101407083939</v>
      </c>
      <c r="O245" s="69">
        <v>0.58643507030603803</v>
      </c>
      <c r="P245" s="69">
        <v>0.39048672566371684</v>
      </c>
      <c r="Q245" s="69">
        <v>0.41825775656324582</v>
      </c>
    </row>
    <row r="246" spans="1:17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8.5048010973936897E-2</v>
      </c>
      <c r="M246" s="69">
        <v>0.29254163649529324</v>
      </c>
      <c r="N246" s="69">
        <v>0.21916485638426261</v>
      </c>
      <c r="O246" s="69">
        <v>0.58745874587458746</v>
      </c>
      <c r="P246" s="69">
        <v>0.39207048458149779</v>
      </c>
      <c r="Q246" s="69">
        <v>0.41889483065953653</v>
      </c>
    </row>
    <row r="247" spans="1:17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8.4699453551912565E-2</v>
      </c>
      <c r="M247" s="69">
        <v>0.29325653947684183</v>
      </c>
      <c r="N247" s="69">
        <v>0.21886249100071994</v>
      </c>
      <c r="O247" s="69">
        <v>0.58674304418985268</v>
      </c>
      <c r="P247" s="69">
        <v>0.39364035087719296</v>
      </c>
      <c r="Q247" s="69">
        <v>0.41986989946777054</v>
      </c>
    </row>
    <row r="248" spans="1:17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8.4353741496598633E-2</v>
      </c>
      <c r="M248" s="69">
        <v>0.29232236528373867</v>
      </c>
      <c r="N248" s="69">
        <v>0.21959942775393418</v>
      </c>
      <c r="O248" s="69">
        <v>0.58646003262642743</v>
      </c>
      <c r="P248" s="69">
        <v>0.39305103148751358</v>
      </c>
      <c r="Q248" s="69">
        <v>0.41956393635827932</v>
      </c>
    </row>
    <row r="249" spans="1:17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8.4010840108401083E-2</v>
      </c>
      <c r="M249" s="69">
        <v>0.29181494661921709</v>
      </c>
      <c r="N249" s="69">
        <v>0.2199288256227758</v>
      </c>
      <c r="O249" s="69">
        <v>0.58699186991869923</v>
      </c>
      <c r="P249" s="69">
        <v>0.39266450916936352</v>
      </c>
      <c r="Q249" s="69">
        <v>0.4192601291837933</v>
      </c>
    </row>
    <row r="250" spans="1:17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8.3670715249662617E-2</v>
      </c>
      <c r="M250" s="69">
        <v>0.29134229771172448</v>
      </c>
      <c r="N250" s="69">
        <v>0.22033498466619486</v>
      </c>
      <c r="O250" s="69">
        <v>0.58623481781376519</v>
      </c>
      <c r="P250" s="69">
        <v>0.39400428265524623</v>
      </c>
      <c r="Q250" s="69">
        <v>0.41988304093567252</v>
      </c>
    </row>
    <row r="251" spans="1:17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8.4677419354838704E-2</v>
      </c>
      <c r="M251" s="69">
        <v>0.29087497067792634</v>
      </c>
      <c r="N251" s="69">
        <v>0.22050199390100869</v>
      </c>
      <c r="O251" s="69">
        <v>0.5854838709677419</v>
      </c>
      <c r="P251" s="69">
        <v>0.39574468085106385</v>
      </c>
      <c r="Q251" s="69">
        <v>0.4184149184149184</v>
      </c>
    </row>
    <row r="252" spans="1:17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8.5676037483266396E-2</v>
      </c>
      <c r="M252" s="69">
        <v>0.29117167481947354</v>
      </c>
      <c r="N252" s="69">
        <v>0.22012578616352202</v>
      </c>
      <c r="O252" s="69">
        <v>0.58399999999999996</v>
      </c>
      <c r="P252" s="69">
        <v>0.39576719576719577</v>
      </c>
      <c r="Q252" s="69">
        <v>0.4196169471851422</v>
      </c>
    </row>
    <row r="253" spans="1:17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8.533333333333333E-2</v>
      </c>
      <c r="M253" s="69">
        <v>0.29071114199675702</v>
      </c>
      <c r="N253" s="69">
        <v>0.2207551540421589</v>
      </c>
      <c r="O253" s="69">
        <v>0.58406374501992031</v>
      </c>
      <c r="P253" s="69">
        <v>0.39664218258132217</v>
      </c>
      <c r="Q253" s="69">
        <v>0.41998844598497981</v>
      </c>
    </row>
    <row r="254" spans="1:17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8.4993359893758294E-2</v>
      </c>
      <c r="M254" s="69">
        <v>0.29056865464632453</v>
      </c>
      <c r="N254" s="69">
        <v>0.22052704576976423</v>
      </c>
      <c r="O254" s="69">
        <v>0.58392999204455054</v>
      </c>
      <c r="P254" s="69">
        <v>0.39622641509433965</v>
      </c>
      <c r="Q254" s="69">
        <v>0.41950375072129253</v>
      </c>
    </row>
    <row r="255" spans="1:17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8.4656084656084651E-2</v>
      </c>
      <c r="M255" s="69">
        <v>0.2902854511970534</v>
      </c>
      <c r="N255" s="69">
        <v>0.22122467771639043</v>
      </c>
      <c r="O255" s="69">
        <v>0.58366375892149092</v>
      </c>
      <c r="P255" s="69">
        <v>0.39646201873048909</v>
      </c>
      <c r="Q255" s="69">
        <v>0.41944764096662829</v>
      </c>
    </row>
    <row r="256" spans="1:17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8.4321475625823455E-2</v>
      </c>
      <c r="M256" s="69">
        <v>0.28917867764813543</v>
      </c>
      <c r="N256" s="69">
        <v>0.22237474262182566</v>
      </c>
      <c r="O256" s="69">
        <v>0.58386075949367089</v>
      </c>
      <c r="P256" s="69">
        <v>0.39506172839506171</v>
      </c>
      <c r="Q256" s="69">
        <v>0.4186712485681558</v>
      </c>
    </row>
    <row r="257" spans="1:17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8.3989501312335957E-2</v>
      </c>
      <c r="M257" s="69">
        <v>0.28887368901048793</v>
      </c>
      <c r="N257" s="69">
        <v>0.22207022343821251</v>
      </c>
      <c r="O257" s="69">
        <v>0.58484609313338598</v>
      </c>
      <c r="P257" s="69">
        <v>0.39527720739219713</v>
      </c>
      <c r="Q257" s="69">
        <v>0.41861793260993718</v>
      </c>
    </row>
    <row r="258" spans="1:17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8.3660130718954243E-2</v>
      </c>
      <c r="M258" s="69">
        <v>0.28976628091672341</v>
      </c>
      <c r="N258" s="69">
        <v>0.22191967324710687</v>
      </c>
      <c r="O258" s="69">
        <v>0.58339859044635867</v>
      </c>
      <c r="P258" s="69">
        <v>0.39570552147239263</v>
      </c>
      <c r="Q258" s="69">
        <v>0.41979522184300339</v>
      </c>
    </row>
    <row r="259" spans="1:17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8.3333333333333329E-2</v>
      </c>
      <c r="M259" s="69">
        <v>0.28887384337621302</v>
      </c>
      <c r="N259" s="69">
        <v>0.22162040171518846</v>
      </c>
      <c r="O259" s="69">
        <v>0.58359375000000002</v>
      </c>
      <c r="P259" s="69">
        <v>0.39613034623217924</v>
      </c>
      <c r="Q259" s="69">
        <v>0.41959229898074746</v>
      </c>
    </row>
    <row r="260" spans="1:17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8.4306095979247736E-2</v>
      </c>
      <c r="M260" s="69">
        <v>0.2884097035040431</v>
      </c>
      <c r="N260" s="69">
        <v>0.22192273135669363</v>
      </c>
      <c r="O260" s="69">
        <v>0.58333333333333337</v>
      </c>
      <c r="P260" s="69">
        <v>0.39676113360323889</v>
      </c>
      <c r="Q260" s="69">
        <v>0.41930022573363429</v>
      </c>
    </row>
    <row r="261" spans="1:17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8.3979328165374678E-2</v>
      </c>
      <c r="M261" s="69">
        <v>0.28798033958891867</v>
      </c>
      <c r="N261" s="69">
        <v>0.22184986595174264</v>
      </c>
      <c r="O261" s="69">
        <v>0.58184639255236614</v>
      </c>
      <c r="P261" s="69">
        <v>0.3987915407854985</v>
      </c>
      <c r="Q261" s="69">
        <v>0.41821247892074198</v>
      </c>
    </row>
    <row r="262" spans="1:17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8.4942084942084939E-2</v>
      </c>
      <c r="M262" s="69">
        <v>0.28809048569527612</v>
      </c>
      <c r="N262" s="69">
        <v>0.22133510756265248</v>
      </c>
      <c r="O262" s="69">
        <v>0.58198614318706698</v>
      </c>
      <c r="P262" s="69">
        <v>0.3997995991983968</v>
      </c>
      <c r="Q262" s="69">
        <v>0.41834451901565994</v>
      </c>
    </row>
    <row r="263" spans="1:17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8.461538461538462E-2</v>
      </c>
      <c r="M263" s="69">
        <v>0.28865295288652953</v>
      </c>
      <c r="N263" s="69">
        <v>0.22096881220968811</v>
      </c>
      <c r="O263" s="69">
        <v>0.58237547892720309</v>
      </c>
      <c r="P263" s="69">
        <v>0.39939939939939939</v>
      </c>
      <c r="Q263" s="69">
        <v>0.4185267857142857</v>
      </c>
    </row>
    <row r="264" spans="1:17" x14ac:dyDescent="0.4">
      <c r="A264" s="71">
        <v>261</v>
      </c>
      <c r="B264" s="68">
        <v>-4.9999999999999432</v>
      </c>
      <c r="C264" s="68">
        <v>-6.3856960408683822E-3</v>
      </c>
      <c r="D264" s="73">
        <v>2</v>
      </c>
      <c r="E264" s="69">
        <v>0.33333333333333331</v>
      </c>
      <c r="F264" s="69">
        <v>0.30196275792652238</v>
      </c>
      <c r="G264" s="69">
        <v>0.17211877201811776</v>
      </c>
      <c r="H264" s="70">
        <v>10216.833333333334</v>
      </c>
      <c r="I264" s="70">
        <v>-9426.9005847953213</v>
      </c>
      <c r="J264" s="69">
        <v>0.15964240102171137</v>
      </c>
      <c r="K264" s="69">
        <v>0.15964240102171137</v>
      </c>
      <c r="L264" s="69">
        <v>8.4291187739463605E-2</v>
      </c>
      <c r="M264" s="69">
        <v>0.28866886688668869</v>
      </c>
      <c r="N264" s="69">
        <v>0.22046204620462045</v>
      </c>
      <c r="O264" s="69">
        <v>0.58307926829268297</v>
      </c>
      <c r="P264" s="69">
        <v>0.39920159680638723</v>
      </c>
      <c r="Q264" s="69">
        <v>0.41833333333333333</v>
      </c>
    </row>
    <row r="265" spans="1:17" x14ac:dyDescent="0.4">
      <c r="A265" s="71">
        <v>262</v>
      </c>
      <c r="B265" s="68">
        <v>-4.9999999999999432</v>
      </c>
      <c r="C265" s="68">
        <v>-6.3613231552162126E-3</v>
      </c>
      <c r="D265" s="73">
        <v>2</v>
      </c>
      <c r="E265" s="69">
        <v>0.33333333333333331</v>
      </c>
      <c r="F265" s="69">
        <v>0.30172269610302727</v>
      </c>
      <c r="G265" s="69">
        <v>0.17193510620505101</v>
      </c>
      <c r="H265" s="70">
        <v>10210.864745011086</v>
      </c>
      <c r="I265" s="70">
        <v>-9435.7976653696496</v>
      </c>
      <c r="J265" s="69">
        <v>0.15903307888040713</v>
      </c>
      <c r="K265" s="69">
        <v>0.15903307888040713</v>
      </c>
      <c r="L265" s="69">
        <v>8.5241730279898217E-2</v>
      </c>
      <c r="M265" s="69">
        <v>0.28928336620644313</v>
      </c>
      <c r="N265" s="69">
        <v>0.21959237343852728</v>
      </c>
      <c r="O265" s="69">
        <v>0.58106060606060606</v>
      </c>
      <c r="P265" s="69">
        <v>0.39920159680638723</v>
      </c>
      <c r="Q265" s="69">
        <v>0.41796008869179602</v>
      </c>
    </row>
    <row r="266" spans="1:17" x14ac:dyDescent="0.4">
      <c r="A266" s="71">
        <v>263</v>
      </c>
      <c r="B266" s="68">
        <v>-4.9999999999999387</v>
      </c>
      <c r="C266" s="68">
        <v>-6.3371356147020773E-3</v>
      </c>
      <c r="D266" s="73">
        <v>2</v>
      </c>
      <c r="E266" s="69">
        <v>0.33333333333333331</v>
      </c>
      <c r="F266" s="69">
        <v>0.3016824920872897</v>
      </c>
      <c r="G266" s="69">
        <v>0.17158087622855239</v>
      </c>
      <c r="H266" s="70">
        <v>10228.768636112645</v>
      </c>
      <c r="I266" s="70">
        <v>-9443.3009708737864</v>
      </c>
      <c r="J266" s="69">
        <v>0.1596958174904943</v>
      </c>
      <c r="K266" s="69">
        <v>0.1596958174904943</v>
      </c>
      <c r="L266" s="69">
        <v>8.4917617237008872E-2</v>
      </c>
      <c r="M266" s="69">
        <v>0.28885982123392195</v>
      </c>
      <c r="N266" s="69">
        <v>0.21975147155003269</v>
      </c>
      <c r="O266" s="69">
        <v>0.58037735849056604</v>
      </c>
      <c r="P266" s="69">
        <v>0.39781746031746029</v>
      </c>
      <c r="Q266" s="69">
        <v>0.41910546659304254</v>
      </c>
    </row>
    <row r="267" spans="1:17" x14ac:dyDescent="0.4">
      <c r="A267" s="71">
        <v>264</v>
      </c>
      <c r="B267" s="68">
        <v>-4.9999999999999343</v>
      </c>
      <c r="C267" s="68">
        <v>-6.3131313131312298E-3</v>
      </c>
      <c r="D267" s="73">
        <v>2</v>
      </c>
      <c r="E267" s="69">
        <v>0.33333333333333331</v>
      </c>
      <c r="F267" s="69">
        <v>0.30150837062821151</v>
      </c>
      <c r="G267" s="69">
        <v>0.17172219459638655</v>
      </c>
      <c r="H267" s="70">
        <v>10227.047828477185</v>
      </c>
      <c r="I267" s="70">
        <v>-9433.6872586872578</v>
      </c>
      <c r="J267" s="69">
        <v>0.16035353535353536</v>
      </c>
      <c r="K267" s="69">
        <v>0.16035353535353536</v>
      </c>
      <c r="L267" s="69">
        <v>8.4595959595959599E-2</v>
      </c>
      <c r="M267" s="69">
        <v>0.28893220706086203</v>
      </c>
      <c r="N267" s="69">
        <v>0.22027290448343079</v>
      </c>
      <c r="O267" s="69">
        <v>0.58020989505247378</v>
      </c>
      <c r="P267" s="69">
        <v>0.39724680432645032</v>
      </c>
      <c r="Q267" s="69">
        <v>0.41836173721825176</v>
      </c>
    </row>
    <row r="268" spans="1:17" x14ac:dyDescent="0.4">
      <c r="A268" s="71">
        <v>265</v>
      </c>
      <c r="B268" s="68">
        <v>-4.9999999999999361</v>
      </c>
      <c r="C268" s="68">
        <v>-6.2893081761005486E-3</v>
      </c>
      <c r="D268" s="73">
        <v>2</v>
      </c>
      <c r="E268" s="69">
        <v>0.33333333333333331</v>
      </c>
      <c r="F268" s="69">
        <v>0.30146937427769521</v>
      </c>
      <c r="G268" s="69">
        <v>0.17186726102030708</v>
      </c>
      <c r="H268" s="70">
        <v>10226.670317634173</v>
      </c>
      <c r="I268" s="70">
        <v>-9452.6416906820359</v>
      </c>
      <c r="J268" s="69">
        <v>0.15974842767295597</v>
      </c>
      <c r="K268" s="69">
        <v>0.15974842767295597</v>
      </c>
      <c r="L268" s="69">
        <v>8.4276729559748423E-2</v>
      </c>
      <c r="M268" s="69">
        <v>0.2895927601809955</v>
      </c>
      <c r="N268" s="69">
        <v>0.21978021978021978</v>
      </c>
      <c r="O268" s="69">
        <v>0.5803571428571429</v>
      </c>
      <c r="P268" s="69">
        <v>0.396078431372549</v>
      </c>
      <c r="Q268" s="69">
        <v>0.41785323110624317</v>
      </c>
    </row>
    <row r="269" spans="1:17" x14ac:dyDescent="0.4">
      <c r="A269" s="71">
        <v>266</v>
      </c>
      <c r="B269" s="68">
        <v>-4.9999999999999369</v>
      </c>
      <c r="C269" s="68">
        <v>-6.2656641604009232E-3</v>
      </c>
      <c r="D269" s="73">
        <v>2</v>
      </c>
      <c r="E269" s="69">
        <v>0.33333333333333331</v>
      </c>
      <c r="F269" s="69">
        <v>0.3011335633316905</v>
      </c>
      <c r="G269" s="69">
        <v>0.17184162970264499</v>
      </c>
      <c r="H269" s="70">
        <v>10209.710856519367</v>
      </c>
      <c r="I269" s="70">
        <v>-9434.7036328871891</v>
      </c>
      <c r="J269" s="69">
        <v>0.15914786967418545</v>
      </c>
      <c r="K269" s="69">
        <v>0.15914786967418545</v>
      </c>
      <c r="L269" s="69">
        <v>8.3959899749373429E-2</v>
      </c>
      <c r="M269" s="69">
        <v>0.28944551487904091</v>
      </c>
      <c r="N269" s="69">
        <v>0.21922500535217299</v>
      </c>
      <c r="O269" s="69">
        <v>0.57988165680473369</v>
      </c>
      <c r="P269" s="69">
        <v>0.396484375</v>
      </c>
      <c r="Q269" s="69">
        <v>0.41734860883797054</v>
      </c>
    </row>
    <row r="270" spans="1:17" x14ac:dyDescent="0.4">
      <c r="A270" s="71">
        <v>267</v>
      </c>
      <c r="B270" s="68">
        <v>-4.9999999999999369</v>
      </c>
      <c r="C270" s="68">
        <v>-6.2421972534331301E-3</v>
      </c>
      <c r="D270" s="73">
        <v>2</v>
      </c>
      <c r="E270" s="69">
        <v>0.33333333333333331</v>
      </c>
      <c r="F270" s="69">
        <v>0.30109638357061036</v>
      </c>
      <c r="G270" s="69">
        <v>0.17198494518082147</v>
      </c>
      <c r="H270" s="70">
        <v>10196.630434782608</v>
      </c>
      <c r="I270" s="70">
        <v>-9417.6974310180776</v>
      </c>
      <c r="J270" s="69">
        <v>0.15855181023720349</v>
      </c>
      <c r="K270" s="69">
        <v>0.15855181023720349</v>
      </c>
      <c r="L270" s="69">
        <v>8.4893882646691635E-2</v>
      </c>
      <c r="M270" s="69">
        <v>0.28903088391906284</v>
      </c>
      <c r="N270" s="69">
        <v>0.21959531416400427</v>
      </c>
      <c r="O270" s="69">
        <v>0.57921886514369936</v>
      </c>
      <c r="P270" s="69">
        <v>0.39670223084384093</v>
      </c>
      <c r="Q270" s="69">
        <v>0.41684782608695653</v>
      </c>
    </row>
    <row r="271" spans="1:17" x14ac:dyDescent="0.4">
      <c r="A271" s="71">
        <v>268</v>
      </c>
      <c r="B271" s="68">
        <v>-4.9999999999999396</v>
      </c>
      <c r="C271" s="68">
        <v>-6.2189054726367408E-3</v>
      </c>
      <c r="D271" s="73">
        <v>2</v>
      </c>
      <c r="E271" s="69">
        <v>0.33333333333333331</v>
      </c>
      <c r="F271" s="69">
        <v>0.30115956230605911</v>
      </c>
      <c r="G271" s="69">
        <v>0.17213784092764983</v>
      </c>
      <c r="H271" s="70">
        <v>10197.505422993492</v>
      </c>
      <c r="I271" s="70">
        <v>-9423.7191650853892</v>
      </c>
      <c r="J271" s="69">
        <v>0.15920398009950248</v>
      </c>
      <c r="K271" s="69">
        <v>0.15920398009950248</v>
      </c>
      <c r="L271" s="69">
        <v>8.5820895522388058E-2</v>
      </c>
      <c r="M271" s="69">
        <v>0.28893137879753561</v>
      </c>
      <c r="N271" s="69">
        <v>0.21988527724665391</v>
      </c>
      <c r="O271" s="69">
        <v>0.58014705882352946</v>
      </c>
      <c r="P271" s="69">
        <v>0.39613526570048307</v>
      </c>
      <c r="Q271" s="69">
        <v>0.41648590021691972</v>
      </c>
    </row>
    <row r="272" spans="1:17" x14ac:dyDescent="0.4">
      <c r="A272" s="71">
        <v>269</v>
      </c>
      <c r="B272" s="68">
        <v>-4.9999999999999432</v>
      </c>
      <c r="C272" s="68">
        <v>-6.1957868649317755E-3</v>
      </c>
      <c r="D272" s="73">
        <v>2</v>
      </c>
      <c r="E272" s="69">
        <v>0.33333333333333331</v>
      </c>
      <c r="F272" s="69">
        <v>0.30122249388753058</v>
      </c>
      <c r="G272" s="69">
        <v>0.17229013854930725</v>
      </c>
      <c r="H272" s="70">
        <v>10200.216450216451</v>
      </c>
      <c r="I272" s="70">
        <v>-9436.5184484389774</v>
      </c>
      <c r="J272" s="69">
        <v>0.15985130111524162</v>
      </c>
      <c r="K272" s="69">
        <v>0.15985130111524162</v>
      </c>
      <c r="L272" s="69">
        <v>8.5501858736059477E-2</v>
      </c>
      <c r="M272" s="69">
        <v>0.28862047043865224</v>
      </c>
      <c r="N272" s="69">
        <v>0.2199618563254927</v>
      </c>
      <c r="O272" s="69">
        <v>0.58002936857562404</v>
      </c>
      <c r="P272" s="69">
        <v>0.39595375722543352</v>
      </c>
      <c r="Q272" s="69">
        <v>0.41612554112554112</v>
      </c>
    </row>
    <row r="273" spans="1:17" x14ac:dyDescent="0.4">
      <c r="A273" s="71">
        <v>270</v>
      </c>
      <c r="B273" s="68">
        <v>-4.9999999999999396</v>
      </c>
      <c r="C273" s="68">
        <v>-6.1728395061727646E-3</v>
      </c>
      <c r="D273" s="73">
        <v>2</v>
      </c>
      <c r="E273" s="69">
        <v>0.33333333333333331</v>
      </c>
      <c r="F273" s="69">
        <v>0.30136319376825704</v>
      </c>
      <c r="G273" s="69">
        <v>0.17250892567348264</v>
      </c>
      <c r="H273" s="70">
        <v>10186.645126548196</v>
      </c>
      <c r="I273" s="70">
        <v>-9425.2116650987773</v>
      </c>
      <c r="J273" s="69">
        <v>0.15925925925925927</v>
      </c>
      <c r="K273" s="69">
        <v>0.15925925925925927</v>
      </c>
      <c r="L273" s="69">
        <v>8.5185185185185183E-2</v>
      </c>
      <c r="M273" s="69">
        <v>0.28866413822166037</v>
      </c>
      <c r="N273" s="69">
        <v>0.21997471554993678</v>
      </c>
      <c r="O273" s="69">
        <v>0.58029197080291972</v>
      </c>
      <c r="P273" s="69">
        <v>0.39655172413793105</v>
      </c>
      <c r="Q273" s="69">
        <v>0.41572428648357568</v>
      </c>
    </row>
    <row r="274" spans="1:17" x14ac:dyDescent="0.4">
      <c r="A274" s="71">
        <v>271</v>
      </c>
      <c r="B274" s="68">
        <v>-4.9999999999999396</v>
      </c>
      <c r="C274" s="68">
        <v>-6.1500615006149315E-3</v>
      </c>
      <c r="D274" s="73">
        <v>2</v>
      </c>
      <c r="E274" s="69">
        <v>0.33333333333333331</v>
      </c>
      <c r="F274" s="69">
        <v>0.30134108902892226</v>
      </c>
      <c r="G274" s="69">
        <v>0.17256422685409598</v>
      </c>
      <c r="H274" s="70">
        <v>10181.76943699732</v>
      </c>
      <c r="I274" s="70">
        <v>-9422.2846441947568</v>
      </c>
      <c r="J274" s="69">
        <v>0.15867158671586715</v>
      </c>
      <c r="K274" s="69">
        <v>0.15867158671586715</v>
      </c>
      <c r="L274" s="69">
        <v>8.4870848708487087E-2</v>
      </c>
      <c r="M274" s="69">
        <v>0.28933584747538238</v>
      </c>
      <c r="N274" s="69">
        <v>0.21935889377749843</v>
      </c>
      <c r="O274" s="69">
        <v>0.58146270818247647</v>
      </c>
      <c r="P274" s="69">
        <v>0.39541547277936961</v>
      </c>
      <c r="Q274" s="69">
        <v>0.41554959785522788</v>
      </c>
    </row>
    <row r="275" spans="1:17" x14ac:dyDescent="0.4">
      <c r="A275" s="71">
        <v>272</v>
      </c>
      <c r="B275" s="68">
        <v>-4.9999999999999396</v>
      </c>
      <c r="C275" s="68">
        <v>-6.1274509803920831E-3</v>
      </c>
      <c r="D275" s="73">
        <v>2</v>
      </c>
      <c r="E275" s="69">
        <v>0.33333333333333331</v>
      </c>
      <c r="F275" s="69">
        <v>0.30118932819029254</v>
      </c>
      <c r="G275" s="69">
        <v>0.17245258759241403</v>
      </c>
      <c r="H275" s="70">
        <v>10172.465314834579</v>
      </c>
      <c r="I275" s="70">
        <v>-9412.488350419384</v>
      </c>
      <c r="J275" s="69">
        <v>0.15808823529411764</v>
      </c>
      <c r="K275" s="69">
        <v>0.15808823529411764</v>
      </c>
      <c r="L275" s="69">
        <v>8.455882352941177E-2</v>
      </c>
      <c r="M275" s="69">
        <v>0.28942987931751979</v>
      </c>
      <c r="N275" s="69">
        <v>0.21930919683728672</v>
      </c>
      <c r="O275" s="69">
        <v>0.58159597411933861</v>
      </c>
      <c r="P275" s="69">
        <v>0.39563567362428842</v>
      </c>
      <c r="Q275" s="69">
        <v>0.41568836712913554</v>
      </c>
    </row>
    <row r="276" spans="1:17" x14ac:dyDescent="0.4">
      <c r="A276" s="71">
        <v>273</v>
      </c>
      <c r="B276" s="68">
        <v>-4.9999999999999396</v>
      </c>
      <c r="C276" s="68">
        <v>-6.1050061050060313E-3</v>
      </c>
      <c r="D276" s="73">
        <v>2</v>
      </c>
      <c r="E276" s="69">
        <v>0.33333333333333331</v>
      </c>
      <c r="F276" s="69">
        <v>0.30099263528658343</v>
      </c>
      <c r="G276" s="69">
        <v>0.17211015049631764</v>
      </c>
      <c r="H276" s="70">
        <v>10156.329787234043</v>
      </c>
      <c r="I276" s="70">
        <v>-9400.4651162790706</v>
      </c>
      <c r="J276" s="69">
        <v>0.1575091575091575</v>
      </c>
      <c r="K276" s="69">
        <v>0.1575091575091575</v>
      </c>
      <c r="L276" s="69">
        <v>8.4249084249084255E-2</v>
      </c>
      <c r="M276" s="69">
        <v>0.28902691511387163</v>
      </c>
      <c r="N276" s="69">
        <v>0.21946169772256729</v>
      </c>
      <c r="O276" s="69">
        <v>0.58094555873925502</v>
      </c>
      <c r="P276" s="69">
        <v>0.39528301886792455</v>
      </c>
      <c r="Q276" s="69">
        <v>0.41648936170212764</v>
      </c>
    </row>
    <row r="277" spans="1:17" x14ac:dyDescent="0.4">
      <c r="A277" s="71">
        <v>274</v>
      </c>
      <c r="B277" s="68">
        <v>-4.9999999999999396</v>
      </c>
      <c r="C277" s="68">
        <v>-6.0827250608271773E-3</v>
      </c>
      <c r="D277" s="73">
        <v>2</v>
      </c>
      <c r="E277" s="69">
        <v>0.33333333333333331</v>
      </c>
      <c r="F277" s="69">
        <v>0.30068482242395284</v>
      </c>
      <c r="G277" s="69">
        <v>0.17200191113234592</v>
      </c>
      <c r="H277" s="70">
        <v>10151.006355932202</v>
      </c>
      <c r="I277" s="70">
        <v>-9385.8333333333339</v>
      </c>
      <c r="J277" s="69">
        <v>0.15693430656934307</v>
      </c>
      <c r="K277" s="69">
        <v>0.15693430656934307</v>
      </c>
      <c r="L277" s="69">
        <v>8.3941605839416053E-2</v>
      </c>
      <c r="M277" s="69">
        <v>0.28809376927822333</v>
      </c>
      <c r="N277" s="69">
        <v>0.21961752004935226</v>
      </c>
      <c r="O277" s="69">
        <v>0.58029978586723774</v>
      </c>
      <c r="P277" s="69">
        <v>0.3960674157303371</v>
      </c>
      <c r="Q277" s="69">
        <v>0.4163135593220339</v>
      </c>
    </row>
    <row r="278" spans="1:17" x14ac:dyDescent="0.4">
      <c r="A278" s="71">
        <v>275</v>
      </c>
      <c r="B278" s="68">
        <v>-4.9999999999999361</v>
      </c>
      <c r="C278" s="68">
        <v>-6.0606060606059834E-3</v>
      </c>
      <c r="D278" s="73">
        <v>2</v>
      </c>
      <c r="E278" s="69">
        <v>0.33333333333333331</v>
      </c>
      <c r="F278" s="69">
        <v>0.30063492063492064</v>
      </c>
      <c r="G278" s="69">
        <v>0.17174603174603176</v>
      </c>
      <c r="H278" s="70">
        <v>10137.486800422386</v>
      </c>
      <c r="I278" s="70">
        <v>-9380.6839186691304</v>
      </c>
      <c r="J278" s="69">
        <v>0.15636363636363637</v>
      </c>
      <c r="K278" s="69">
        <v>0.15636363636363637</v>
      </c>
      <c r="L278" s="69">
        <v>8.3636363636363634E-2</v>
      </c>
      <c r="M278" s="69">
        <v>0.28828828828828829</v>
      </c>
      <c r="N278" s="69">
        <v>0.21928746928746928</v>
      </c>
      <c r="O278" s="69">
        <v>0.58096590909090906</v>
      </c>
      <c r="P278" s="69">
        <v>0.39589169000933705</v>
      </c>
      <c r="Q278" s="69">
        <v>0.41710665258711721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2019-02-19T17:43:42Z</dcterms:modified>
</cp:coreProperties>
</file>