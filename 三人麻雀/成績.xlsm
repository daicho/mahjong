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49562E2-214C-4174-A0E2-92BB32EE3C4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44" r:id="rId6"/>
    <sheet name="だいち" sheetId="4046" r:id="rId7"/>
    <sheet name="かこたろう" sheetId="4048" r:id="rId8"/>
    <sheet name="ともき" sheetId="4050" r:id="rId9"/>
    <sheet name="りくと" sheetId="4052" r:id="rId10"/>
    <sheet name="いっしー" sheetId="4054" r:id="rId11"/>
    <sheet name="がくと" sheetId="4056" r:id="rId12"/>
    <sheet name="たかの" sheetId="4058" r:id="rId13"/>
    <sheet name="ただ" sheetId="4060" r:id="rId14"/>
    <sheet name="やがさき" sheetId="4062" r:id="rId15"/>
    <sheet name="れんたろう" sheetId="4064" r:id="rId16"/>
    <sheet name="あさひ" sheetId="4066" r:id="rId17"/>
    <sheet name="まっつん" sheetId="4068" r:id="rId18"/>
    <sheet name="まっつん2" sheetId="4069" state="hidden" r:id="rId19"/>
    <sheet name="あさひ2" sheetId="4067" state="hidden" r:id="rId20"/>
    <sheet name="れんたろう2" sheetId="4065" state="hidden" r:id="rId21"/>
    <sheet name="やがさき2" sheetId="4063" state="hidden" r:id="rId22"/>
    <sheet name="ただ2" sheetId="4061" state="hidden" r:id="rId23"/>
    <sheet name="たかの2" sheetId="4059" state="hidden" r:id="rId24"/>
    <sheet name="がくと2" sheetId="4057" state="hidden" r:id="rId25"/>
    <sheet name="いっしー2" sheetId="4055" state="hidden" r:id="rId26"/>
    <sheet name="りくと2" sheetId="4053" state="hidden" r:id="rId27"/>
    <sheet name="ともき2" sheetId="4051" state="hidden" r:id="rId28"/>
    <sheet name="かこたろう2" sheetId="4049" state="hidden" r:id="rId29"/>
    <sheet name="だいち2" sheetId="4047" state="hidden" r:id="rId30"/>
    <sheet name="全体2" sheetId="4045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54" l="1"/>
  <c r="O15" i="4062"/>
  <c r="O14" i="4062"/>
  <c r="O11" i="4064"/>
  <c r="O13" i="4052" l="1"/>
  <c r="O12" i="4062"/>
  <c r="O13" i="4060"/>
  <c r="O11" i="4062"/>
  <c r="O15" i="4052" l="1"/>
  <c r="O11" i="4068"/>
  <c r="O14" i="4068" l="1"/>
  <c r="O12" i="4046"/>
  <c r="O16" i="4060" l="1"/>
  <c r="O12" i="4066"/>
  <c r="O10" i="4056"/>
  <c r="O11" i="4056"/>
  <c r="O12" i="4064"/>
  <c r="O19" i="4064"/>
  <c r="O10" i="4068"/>
  <c r="O12" i="4068"/>
  <c r="O15" i="4054"/>
  <c r="O13" i="4058"/>
  <c r="O15" i="4068" l="1"/>
  <c r="O13" i="4068"/>
  <c r="H51" i="4068"/>
  <c r="H50" i="4068"/>
  <c r="H49" i="4068"/>
  <c r="H48" i="4068"/>
  <c r="H47" i="4068"/>
  <c r="H46" i="4068"/>
  <c r="H45" i="4068"/>
  <c r="H44" i="4068"/>
  <c r="H43" i="4068"/>
  <c r="H42" i="4068"/>
  <c r="H41" i="4068"/>
  <c r="H40" i="4068"/>
  <c r="H39" i="4068"/>
  <c r="H38" i="4068"/>
  <c r="H37" i="4068"/>
  <c r="H36" i="4068"/>
  <c r="H35" i="4068"/>
  <c r="H34" i="4068"/>
  <c r="H33" i="4068"/>
  <c r="H32" i="4068"/>
  <c r="H20" i="4068"/>
  <c r="H31" i="4068"/>
  <c r="H8" i="4068"/>
  <c r="H30" i="4068"/>
  <c r="H29" i="4068"/>
  <c r="H12" i="4068"/>
  <c r="H19" i="4068"/>
  <c r="C25" i="4068"/>
  <c r="H28" i="4068"/>
  <c r="H6" i="4068"/>
  <c r="H27" i="4068"/>
  <c r="B22" i="4068"/>
  <c r="H16" i="4068"/>
  <c r="H26" i="4068"/>
  <c r="C20" i="4068"/>
  <c r="H25" i="4068"/>
  <c r="H15" i="4068"/>
  <c r="H18" i="4068"/>
  <c r="B17" i="4068"/>
  <c r="C19" i="4068" s="1"/>
  <c r="H17" i="4068"/>
  <c r="C16" i="4068"/>
  <c r="H24" i="4068"/>
  <c r="C15" i="4068"/>
  <c r="H23" i="4068"/>
  <c r="C14" i="4068"/>
  <c r="H22" i="4068"/>
  <c r="C13" i="4068"/>
  <c r="H21" i="4068"/>
  <c r="C12" i="4068"/>
  <c r="H4" i="4068"/>
  <c r="C11" i="4068"/>
  <c r="H14" i="4068"/>
  <c r="C10" i="4068"/>
  <c r="H9" i="4068"/>
  <c r="C9" i="4068"/>
  <c r="H13" i="4068"/>
  <c r="C8" i="4068"/>
  <c r="O7" i="4068"/>
  <c r="H7" i="4068"/>
  <c r="C7" i="4068"/>
  <c r="O6" i="4068"/>
  <c r="H2" i="4068"/>
  <c r="B6" i="4068"/>
  <c r="O5" i="4068"/>
  <c r="H11" i="4068"/>
  <c r="B5" i="4068"/>
  <c r="O4" i="4068"/>
  <c r="H3" i="4068"/>
  <c r="O3" i="4068"/>
  <c r="H10" i="4068"/>
  <c r="O2" i="4068"/>
  <c r="H5" i="4068"/>
  <c r="O10" i="4058"/>
  <c r="O11" i="4060"/>
  <c r="O12" i="4044"/>
  <c r="O17" i="4054"/>
  <c r="O13" i="4056"/>
  <c r="O13" i="4066"/>
  <c r="O10" i="4066"/>
  <c r="C18" i="4068" l="1"/>
  <c r="C17" i="4068"/>
  <c r="B21" i="4068"/>
  <c r="O14" i="4064" l="1"/>
  <c r="O10" i="4052"/>
  <c r="O11" i="4050"/>
  <c r="O13" i="4050"/>
  <c r="O10" i="4064"/>
  <c r="O18" i="4052"/>
  <c r="O21" i="4044"/>
  <c r="O14" i="4066"/>
  <c r="O11" i="4066"/>
  <c r="H51" i="4066"/>
  <c r="H50" i="4066"/>
  <c r="H49" i="4066"/>
  <c r="H48" i="4066"/>
  <c r="H47" i="4066"/>
  <c r="H46" i="4066"/>
  <c r="H45" i="4066"/>
  <c r="H44" i="4066"/>
  <c r="H43" i="4066"/>
  <c r="H42" i="4066"/>
  <c r="H41" i="4066"/>
  <c r="H40" i="4066"/>
  <c r="H39" i="4066"/>
  <c r="H38" i="4066"/>
  <c r="H37" i="4066"/>
  <c r="H36" i="4066"/>
  <c r="H35" i="4066"/>
  <c r="H34" i="4066"/>
  <c r="H33" i="4066"/>
  <c r="H32" i="4066"/>
  <c r="H14" i="4066"/>
  <c r="H31" i="4066"/>
  <c r="H12" i="4066"/>
  <c r="H30" i="4066"/>
  <c r="H29" i="4066"/>
  <c r="H11" i="4066"/>
  <c r="H28" i="4066"/>
  <c r="C25" i="4066"/>
  <c r="H27" i="4066"/>
  <c r="H26" i="4066"/>
  <c r="H25" i="4066"/>
  <c r="B22" i="4066"/>
  <c r="H24" i="4066"/>
  <c r="H23" i="4066"/>
  <c r="C20" i="4066"/>
  <c r="H22" i="4066"/>
  <c r="H21" i="4066"/>
  <c r="H20" i="4066"/>
  <c r="B17" i="4066"/>
  <c r="B21" i="4066" s="1"/>
  <c r="H19" i="4066"/>
  <c r="C16" i="4066"/>
  <c r="H18" i="4066"/>
  <c r="C15" i="4066"/>
  <c r="H17" i="4066"/>
  <c r="C14" i="4066"/>
  <c r="H16" i="4066"/>
  <c r="C13" i="4066"/>
  <c r="H15" i="4066"/>
  <c r="C12" i="4066"/>
  <c r="H5" i="4066"/>
  <c r="C11" i="4066"/>
  <c r="H13" i="4066"/>
  <c r="C10" i="4066"/>
  <c r="H8" i="4066"/>
  <c r="C9" i="4066"/>
  <c r="H10" i="4066"/>
  <c r="C8" i="4066"/>
  <c r="O7" i="4066"/>
  <c r="H7" i="4066"/>
  <c r="C7" i="4066"/>
  <c r="O6" i="4066"/>
  <c r="H4" i="4066"/>
  <c r="B6" i="4066"/>
  <c r="O5" i="4066"/>
  <c r="H6" i="4066"/>
  <c r="B5" i="4066"/>
  <c r="O4" i="4066"/>
  <c r="H3" i="4066"/>
  <c r="O3" i="4066"/>
  <c r="H9" i="4066"/>
  <c r="O2" i="4066"/>
  <c r="H2" i="4066"/>
  <c r="C17" i="4066" l="1"/>
  <c r="C18" i="4066"/>
  <c r="C19" i="4066"/>
  <c r="O11" i="4058" l="1"/>
  <c r="O17" i="4064"/>
  <c r="O11" i="4052"/>
  <c r="O16" i="4058"/>
  <c r="O17" i="4060" l="1"/>
  <c r="O14" i="4054"/>
  <c r="O12" i="4060" l="1"/>
  <c r="O18" i="4064"/>
  <c r="O18" i="4054" l="1"/>
  <c r="O13" i="4064"/>
  <c r="O12" i="4052" l="1"/>
  <c r="O16" i="4064"/>
  <c r="O15" i="4064"/>
  <c r="H51" i="4064"/>
  <c r="H50" i="4064"/>
  <c r="H49" i="4064"/>
  <c r="H48" i="4064"/>
  <c r="H47" i="4064"/>
  <c r="H46" i="4064"/>
  <c r="H45" i="4064"/>
  <c r="H44" i="4064"/>
  <c r="H43" i="4064"/>
  <c r="H42" i="4064"/>
  <c r="H41" i="4064"/>
  <c r="H40" i="4064"/>
  <c r="H39" i="4064"/>
  <c r="H38" i="4064"/>
  <c r="H37" i="4064"/>
  <c r="H36" i="4064"/>
  <c r="H35" i="4064"/>
  <c r="H34" i="4064"/>
  <c r="H20" i="4064"/>
  <c r="H25" i="4064"/>
  <c r="H19" i="4064"/>
  <c r="H33" i="4064"/>
  <c r="H9" i="4064"/>
  <c r="H32" i="4064"/>
  <c r="H31" i="4064"/>
  <c r="H12" i="4064"/>
  <c r="H24" i="4064"/>
  <c r="C25" i="4064"/>
  <c r="H23" i="4064"/>
  <c r="H14" i="4064"/>
  <c r="H30" i="4064"/>
  <c r="B22" i="4064"/>
  <c r="H16" i="4064"/>
  <c r="H29" i="4064"/>
  <c r="C20" i="4064"/>
  <c r="H28" i="4064"/>
  <c r="H22" i="4064"/>
  <c r="H13" i="4064"/>
  <c r="B17" i="4064"/>
  <c r="B21" i="4064" s="1"/>
  <c r="H21" i="4064"/>
  <c r="C16" i="4064"/>
  <c r="H27" i="4064"/>
  <c r="C15" i="4064"/>
  <c r="H18" i="4064"/>
  <c r="C14" i="4064"/>
  <c r="H26" i="4064"/>
  <c r="C13" i="4064"/>
  <c r="H17" i="4064"/>
  <c r="C12" i="4064"/>
  <c r="H4" i="4064"/>
  <c r="C11" i="4064"/>
  <c r="H15" i="4064"/>
  <c r="C10" i="4064"/>
  <c r="H10" i="4064"/>
  <c r="C9" i="4064"/>
  <c r="H8" i="4064"/>
  <c r="C8" i="4064"/>
  <c r="O7" i="4064"/>
  <c r="H7" i="4064"/>
  <c r="C7" i="4064"/>
  <c r="O6" i="4064"/>
  <c r="H2" i="4064"/>
  <c r="B6" i="4064"/>
  <c r="O5" i="4064"/>
  <c r="H6" i="4064"/>
  <c r="B5" i="4064"/>
  <c r="O4" i="4064"/>
  <c r="H3" i="4064"/>
  <c r="O3" i="4064"/>
  <c r="H11" i="4064"/>
  <c r="O2" i="4064"/>
  <c r="H5" i="4064"/>
  <c r="O14" i="4046"/>
  <c r="O15" i="4044"/>
  <c r="C18" i="4064" l="1"/>
  <c r="C19" i="4064"/>
  <c r="C17" i="4064"/>
  <c r="O17" i="4052" l="1"/>
  <c r="O10" i="4060"/>
  <c r="O10" i="4062" l="1"/>
  <c r="O13" i="4062"/>
  <c r="H51" i="4062"/>
  <c r="H50" i="4062"/>
  <c r="H49" i="4062"/>
  <c r="H48" i="4062"/>
  <c r="H47" i="4062"/>
  <c r="H46" i="4062"/>
  <c r="H45" i="4062"/>
  <c r="H44" i="4062"/>
  <c r="H43" i="4062"/>
  <c r="H42" i="4062"/>
  <c r="H41" i="4062"/>
  <c r="H40" i="4062"/>
  <c r="H39" i="4062"/>
  <c r="H38" i="4062"/>
  <c r="H37" i="4062"/>
  <c r="H36" i="4062"/>
  <c r="H35" i="4062"/>
  <c r="H34" i="4062"/>
  <c r="H33" i="4062"/>
  <c r="H16" i="4062"/>
  <c r="H15" i="4062"/>
  <c r="H32" i="4062"/>
  <c r="H9" i="4062"/>
  <c r="H31" i="4062"/>
  <c r="H30" i="4062"/>
  <c r="H14" i="4062"/>
  <c r="H29" i="4062"/>
  <c r="C25" i="4062"/>
  <c r="H28" i="4062"/>
  <c r="H27" i="4062"/>
  <c r="H26" i="4062"/>
  <c r="B22" i="4062"/>
  <c r="H25" i="4062"/>
  <c r="H24" i="4062"/>
  <c r="C20" i="4062"/>
  <c r="H23" i="4062"/>
  <c r="H22" i="4062"/>
  <c r="H13" i="4062"/>
  <c r="B17" i="4062"/>
  <c r="B21" i="4062" s="1"/>
  <c r="H21" i="4062"/>
  <c r="C16" i="4062"/>
  <c r="H20" i="4062"/>
  <c r="C15" i="4062"/>
  <c r="H19" i="4062"/>
  <c r="C14" i="4062"/>
  <c r="H18" i="4062"/>
  <c r="C13" i="4062"/>
  <c r="H17" i="4062"/>
  <c r="C12" i="4062"/>
  <c r="H6" i="4062"/>
  <c r="C11" i="4062"/>
  <c r="H12" i="4062"/>
  <c r="C10" i="4062"/>
  <c r="H11" i="4062"/>
  <c r="C9" i="4062"/>
  <c r="H10" i="4062"/>
  <c r="C8" i="4062"/>
  <c r="O7" i="4062"/>
  <c r="H7" i="4062"/>
  <c r="C7" i="4062"/>
  <c r="O6" i="4062"/>
  <c r="H2" i="4062"/>
  <c r="B6" i="4062"/>
  <c r="O5" i="4062"/>
  <c r="H4" i="4062"/>
  <c r="B5" i="4062"/>
  <c r="O4" i="4062"/>
  <c r="H5" i="4062"/>
  <c r="O3" i="4062"/>
  <c r="H8" i="4062"/>
  <c r="O2" i="4062"/>
  <c r="H3" i="4062"/>
  <c r="O15" i="4058"/>
  <c r="O17" i="4046"/>
  <c r="O17" i="4044"/>
  <c r="C17" i="4062" l="1"/>
  <c r="C18" i="4062"/>
  <c r="C19" i="4062"/>
  <c r="O11" i="4054" l="1"/>
  <c r="O10" i="4048"/>
  <c r="O14" i="4060" l="1"/>
  <c r="O15" i="4060"/>
  <c r="H51" i="4060"/>
  <c r="H50" i="4060"/>
  <c r="H49" i="4060"/>
  <c r="H48" i="4060"/>
  <c r="H47" i="4060"/>
  <c r="H46" i="4060"/>
  <c r="H45" i="4060"/>
  <c r="H44" i="4060"/>
  <c r="H43" i="4060"/>
  <c r="H42" i="4060"/>
  <c r="H41" i="4060"/>
  <c r="H40" i="4060"/>
  <c r="H39" i="4060"/>
  <c r="H38" i="4060"/>
  <c r="H37" i="4060"/>
  <c r="H36" i="4060"/>
  <c r="H35" i="4060"/>
  <c r="H34" i="4060"/>
  <c r="H21" i="4060"/>
  <c r="H33" i="4060"/>
  <c r="H18" i="4060"/>
  <c r="H32" i="4060"/>
  <c r="H9" i="4060"/>
  <c r="H31" i="4060"/>
  <c r="H30" i="4060"/>
  <c r="H14" i="4060"/>
  <c r="H29" i="4060"/>
  <c r="C25" i="4060"/>
  <c r="H24" i="4060"/>
  <c r="H16" i="4060"/>
  <c r="H28" i="4060"/>
  <c r="B22" i="4060"/>
  <c r="H15" i="4060"/>
  <c r="H27" i="4060"/>
  <c r="C20" i="4060"/>
  <c r="H26" i="4060"/>
  <c r="H20" i="4060"/>
  <c r="H13" i="4060"/>
  <c r="B17" i="4060"/>
  <c r="B21" i="4060" s="1"/>
  <c r="H19" i="4060"/>
  <c r="C16" i="4060"/>
  <c r="H25" i="4060"/>
  <c r="C15" i="4060"/>
  <c r="H23" i="4060"/>
  <c r="C14" i="4060"/>
  <c r="H22" i="4060"/>
  <c r="C13" i="4060"/>
  <c r="H17" i="4060"/>
  <c r="C12" i="4060"/>
  <c r="H5" i="4060"/>
  <c r="C11" i="4060"/>
  <c r="H12" i="4060"/>
  <c r="C10" i="4060"/>
  <c r="H11" i="4060"/>
  <c r="C9" i="4060"/>
  <c r="H8" i="4060"/>
  <c r="C8" i="4060"/>
  <c r="O7" i="4060"/>
  <c r="H7" i="4060"/>
  <c r="C7" i="4060"/>
  <c r="O6" i="4060"/>
  <c r="H2" i="4060"/>
  <c r="B6" i="4060"/>
  <c r="O5" i="4060"/>
  <c r="H6" i="4060"/>
  <c r="B5" i="4060"/>
  <c r="O4" i="4060"/>
  <c r="H3" i="4060"/>
  <c r="O3" i="4060"/>
  <c r="H10" i="4060"/>
  <c r="O2" i="4060"/>
  <c r="H4" i="4060"/>
  <c r="O14" i="4058"/>
  <c r="O12" i="4058"/>
  <c r="H51" i="4058"/>
  <c r="H50" i="4058"/>
  <c r="H49" i="4058"/>
  <c r="H48" i="4058"/>
  <c r="H47" i="4058"/>
  <c r="H46" i="4058"/>
  <c r="H45" i="4058"/>
  <c r="H44" i="4058"/>
  <c r="H43" i="4058"/>
  <c r="H42" i="4058"/>
  <c r="H41" i="4058"/>
  <c r="H40" i="4058"/>
  <c r="H39" i="4058"/>
  <c r="H38" i="4058"/>
  <c r="H37" i="4058"/>
  <c r="H36" i="4058"/>
  <c r="H35" i="4058"/>
  <c r="H34" i="4058"/>
  <c r="H33" i="4058"/>
  <c r="H32" i="4058"/>
  <c r="H31" i="4058"/>
  <c r="H30" i="4058"/>
  <c r="H10" i="4058"/>
  <c r="H29" i="4058"/>
  <c r="H28" i="4058"/>
  <c r="H15" i="4058"/>
  <c r="H27" i="4058"/>
  <c r="C25" i="4058"/>
  <c r="H26" i="4058"/>
  <c r="H16" i="4058"/>
  <c r="H25" i="4058"/>
  <c r="B22" i="4058"/>
  <c r="H18" i="4058"/>
  <c r="H24" i="4058"/>
  <c r="C20" i="4058"/>
  <c r="H23" i="4058"/>
  <c r="H14" i="4058"/>
  <c r="H11" i="4058"/>
  <c r="B17" i="4058"/>
  <c r="B21" i="4058" s="1"/>
  <c r="H22" i="4058"/>
  <c r="C16" i="4058"/>
  <c r="H21" i="4058"/>
  <c r="C15" i="4058"/>
  <c r="H17" i="4058"/>
  <c r="C14" i="4058"/>
  <c r="H20" i="4058"/>
  <c r="C13" i="4058"/>
  <c r="H19" i="4058"/>
  <c r="C12" i="4058"/>
  <c r="H4" i="4058"/>
  <c r="C11" i="4058"/>
  <c r="H13" i="4058"/>
  <c r="C10" i="4058"/>
  <c r="H12" i="4058"/>
  <c r="C9" i="4058"/>
  <c r="H9" i="4058"/>
  <c r="C8" i="4058"/>
  <c r="O7" i="4058"/>
  <c r="H6" i="4058"/>
  <c r="C7" i="4058"/>
  <c r="O6" i="4058"/>
  <c r="H2" i="4058"/>
  <c r="B6" i="4058"/>
  <c r="O5" i="4058"/>
  <c r="H8" i="4058"/>
  <c r="B5" i="4058"/>
  <c r="O4" i="4058"/>
  <c r="H3" i="4058"/>
  <c r="O3" i="4058"/>
  <c r="H7" i="4058"/>
  <c r="O2" i="4058"/>
  <c r="H5" i="4058"/>
  <c r="O18" i="4046"/>
  <c r="O13" i="4046"/>
  <c r="O18" i="4044"/>
  <c r="O14" i="4044"/>
  <c r="C18" i="4060" l="1"/>
  <c r="C17" i="4060"/>
  <c r="C19" i="4060"/>
  <c r="C18" i="4058"/>
  <c r="C17" i="4058"/>
  <c r="C19" i="4058"/>
  <c r="O12" i="4054" l="1"/>
  <c r="O14" i="4056"/>
  <c r="O12" i="4056"/>
  <c r="H51" i="4056"/>
  <c r="H50" i="4056"/>
  <c r="H49" i="4056"/>
  <c r="H48" i="4056"/>
  <c r="H47" i="4056"/>
  <c r="H46" i="4056"/>
  <c r="H45" i="4056"/>
  <c r="H44" i="4056"/>
  <c r="H43" i="4056"/>
  <c r="H42" i="4056"/>
  <c r="H41" i="4056"/>
  <c r="H40" i="4056"/>
  <c r="H39" i="4056"/>
  <c r="H38" i="4056"/>
  <c r="H37" i="4056"/>
  <c r="H36" i="4056"/>
  <c r="H35" i="4056"/>
  <c r="H34" i="4056"/>
  <c r="H33" i="4056"/>
  <c r="H32" i="4056"/>
  <c r="H31" i="4056"/>
  <c r="H30" i="4056"/>
  <c r="H29" i="4056"/>
  <c r="H28" i="4056"/>
  <c r="H27" i="4056"/>
  <c r="H11" i="4056"/>
  <c r="H26" i="4056"/>
  <c r="C25" i="4056"/>
  <c r="H25" i="4056"/>
  <c r="H24" i="4056"/>
  <c r="H23" i="4056"/>
  <c r="B22" i="4056"/>
  <c r="H22" i="4056"/>
  <c r="H21" i="4056"/>
  <c r="C20" i="4056"/>
  <c r="H20" i="4056"/>
  <c r="H8" i="4056"/>
  <c r="H19" i="4056"/>
  <c r="B17" i="4056"/>
  <c r="B21" i="4056" s="1"/>
  <c r="H18" i="4056"/>
  <c r="C16" i="4056"/>
  <c r="H17" i="4056"/>
  <c r="C15" i="4056"/>
  <c r="H16" i="4056"/>
  <c r="C14" i="4056"/>
  <c r="H15" i="4056"/>
  <c r="C13" i="4056"/>
  <c r="H14" i="4056"/>
  <c r="C12" i="4056"/>
  <c r="H5" i="4056"/>
  <c r="C11" i="4056"/>
  <c r="H13" i="4056"/>
  <c r="C10" i="4056"/>
  <c r="H12" i="4056"/>
  <c r="C9" i="4056"/>
  <c r="H10" i="4056"/>
  <c r="C8" i="4056"/>
  <c r="O7" i="4056"/>
  <c r="H6" i="4056"/>
  <c r="C7" i="4056"/>
  <c r="O6" i="4056"/>
  <c r="H3" i="4056"/>
  <c r="B6" i="4056"/>
  <c r="O5" i="4056"/>
  <c r="H7" i="4056"/>
  <c r="B5" i="4056"/>
  <c r="O4" i="4056"/>
  <c r="H9" i="4056"/>
  <c r="O3" i="4056"/>
  <c r="H4" i="4056"/>
  <c r="O2" i="4056"/>
  <c r="H2" i="4056"/>
  <c r="O10" i="4046"/>
  <c r="O11" i="4044"/>
  <c r="C18" i="4056" l="1"/>
  <c r="C17" i="4056"/>
  <c r="C19" i="4056"/>
  <c r="O13" i="4054" l="1"/>
  <c r="O16" i="4054"/>
  <c r="H51" i="4054"/>
  <c r="H50" i="4054"/>
  <c r="H49" i="4054"/>
  <c r="H48" i="4054"/>
  <c r="H47" i="4054"/>
  <c r="H46" i="4054"/>
  <c r="H45" i="4054"/>
  <c r="H44" i="4054"/>
  <c r="H43" i="4054"/>
  <c r="H42" i="4054"/>
  <c r="H41" i="4054"/>
  <c r="H40" i="4054"/>
  <c r="H39" i="4054"/>
  <c r="H38" i="4054"/>
  <c r="H37" i="4054"/>
  <c r="H36" i="4054"/>
  <c r="H35" i="4054"/>
  <c r="H34" i="4054"/>
  <c r="H17" i="4054"/>
  <c r="H33" i="4054"/>
  <c r="H32" i="4054"/>
  <c r="H31" i="4054"/>
  <c r="H13" i="4054"/>
  <c r="H30" i="4054"/>
  <c r="H29" i="4054"/>
  <c r="H14" i="4054"/>
  <c r="H28" i="4054"/>
  <c r="C25" i="4054"/>
  <c r="H27" i="4054"/>
  <c r="H9" i="4054"/>
  <c r="H26" i="4054"/>
  <c r="B22" i="4054"/>
  <c r="H12" i="4054"/>
  <c r="H25" i="4054"/>
  <c r="C20" i="4054"/>
  <c r="H24" i="4054"/>
  <c r="H23" i="4054"/>
  <c r="H16" i="4054"/>
  <c r="B17" i="4054"/>
  <c r="B21" i="4054" s="1"/>
  <c r="H22" i="4054"/>
  <c r="C16" i="4054"/>
  <c r="H21" i="4054"/>
  <c r="C15" i="4054"/>
  <c r="H20" i="4054"/>
  <c r="C14" i="4054"/>
  <c r="H19" i="4054"/>
  <c r="C13" i="4054"/>
  <c r="H18" i="4054"/>
  <c r="C12" i="4054"/>
  <c r="H4" i="4054"/>
  <c r="C11" i="4054"/>
  <c r="H15" i="4054"/>
  <c r="C10" i="4054"/>
  <c r="H11" i="4054"/>
  <c r="C9" i="4054"/>
  <c r="H8" i="4054"/>
  <c r="C8" i="4054"/>
  <c r="O7" i="4054"/>
  <c r="H6" i="4054"/>
  <c r="C7" i="4054"/>
  <c r="O6" i="4054"/>
  <c r="H3" i="4054"/>
  <c r="B6" i="4054"/>
  <c r="O5" i="4054"/>
  <c r="H7" i="4054"/>
  <c r="B5" i="4054"/>
  <c r="O4" i="4054"/>
  <c r="H2" i="4054"/>
  <c r="O3" i="4054"/>
  <c r="H10" i="4054"/>
  <c r="O2" i="4054"/>
  <c r="H5" i="4054"/>
  <c r="O14" i="4052"/>
  <c r="O16" i="4052"/>
  <c r="H51" i="4052"/>
  <c r="H50" i="4052"/>
  <c r="H49" i="4052"/>
  <c r="H48" i="4052"/>
  <c r="H47" i="4052"/>
  <c r="H46" i="4052"/>
  <c r="H45" i="4052"/>
  <c r="H44" i="4052"/>
  <c r="H43" i="4052"/>
  <c r="H42" i="4052"/>
  <c r="H41" i="4052"/>
  <c r="H40" i="4052"/>
  <c r="H39" i="4052"/>
  <c r="H38" i="4052"/>
  <c r="H37" i="4052"/>
  <c r="H36" i="4052"/>
  <c r="H35" i="4052"/>
  <c r="H34" i="4052"/>
  <c r="H33" i="4052"/>
  <c r="H20" i="4052"/>
  <c r="H15" i="4052"/>
  <c r="H32" i="4052"/>
  <c r="H9" i="4052"/>
  <c r="H24" i="4052"/>
  <c r="H23" i="4052"/>
  <c r="H12" i="4052"/>
  <c r="H19" i="4052"/>
  <c r="C25" i="4052"/>
  <c r="H22" i="4052"/>
  <c r="H13" i="4052"/>
  <c r="H31" i="4052"/>
  <c r="B22" i="4052"/>
  <c r="H14" i="4052"/>
  <c r="H21" i="4052"/>
  <c r="C20" i="4052"/>
  <c r="H30" i="4052"/>
  <c r="H18" i="4052"/>
  <c r="H17" i="4052"/>
  <c r="B17" i="4052"/>
  <c r="B21" i="4052" s="1"/>
  <c r="H29" i="4052"/>
  <c r="C16" i="4052"/>
  <c r="H28" i="4052"/>
  <c r="C15" i="4052"/>
  <c r="H27" i="4052"/>
  <c r="C14" i="4052"/>
  <c r="H26" i="4052"/>
  <c r="C13" i="4052"/>
  <c r="H25" i="4052"/>
  <c r="C12" i="4052"/>
  <c r="H5" i="4052"/>
  <c r="C11" i="4052"/>
  <c r="H16" i="4052"/>
  <c r="C10" i="4052"/>
  <c r="H10" i="4052"/>
  <c r="C9" i="4052"/>
  <c r="H11" i="4052"/>
  <c r="C8" i="4052"/>
  <c r="O7" i="4052"/>
  <c r="H6" i="4052"/>
  <c r="C7" i="4052"/>
  <c r="O6" i="4052"/>
  <c r="H2" i="4052"/>
  <c r="B6" i="4052"/>
  <c r="O5" i="4052"/>
  <c r="H7" i="4052"/>
  <c r="B5" i="4052"/>
  <c r="O4" i="4052"/>
  <c r="H3" i="4052"/>
  <c r="O3" i="4052"/>
  <c r="H8" i="4052"/>
  <c r="O2" i="4052"/>
  <c r="H4" i="4052"/>
  <c r="O19" i="4046"/>
  <c r="O16" i="4046"/>
  <c r="O19" i="4044"/>
  <c r="O16" i="4044"/>
  <c r="C17" i="4052" l="1"/>
  <c r="C18" i="4054"/>
  <c r="C17" i="4054"/>
  <c r="C19" i="4054"/>
  <c r="C18" i="4052"/>
  <c r="C19" i="4052"/>
  <c r="O10" i="4050" l="1"/>
  <c r="O12" i="4050"/>
  <c r="H51" i="4050"/>
  <c r="H50" i="4050"/>
  <c r="H49" i="4050"/>
  <c r="H48" i="4050"/>
  <c r="H47" i="4050"/>
  <c r="H46" i="4050"/>
  <c r="H45" i="4050"/>
  <c r="H44" i="4050"/>
  <c r="H43" i="4050"/>
  <c r="H42" i="4050"/>
  <c r="H41" i="4050"/>
  <c r="H40" i="4050"/>
  <c r="H39" i="4050"/>
  <c r="H38" i="4050"/>
  <c r="H37" i="4050"/>
  <c r="H36" i="4050"/>
  <c r="H35" i="4050"/>
  <c r="H34" i="4050"/>
  <c r="H33" i="4050"/>
  <c r="H32" i="4050"/>
  <c r="H31" i="4050"/>
  <c r="H30" i="4050"/>
  <c r="H29" i="4050"/>
  <c r="H28" i="4050"/>
  <c r="H27" i="4050"/>
  <c r="H26" i="4050"/>
  <c r="H25" i="4050"/>
  <c r="C25" i="4050"/>
  <c r="H24" i="4050"/>
  <c r="H23" i="4050"/>
  <c r="H22" i="4050"/>
  <c r="B22" i="4050"/>
  <c r="H21" i="4050"/>
  <c r="H20" i="4050"/>
  <c r="C20" i="4050"/>
  <c r="H19" i="4050"/>
  <c r="H18" i="4050"/>
  <c r="H17" i="4050"/>
  <c r="B17" i="4050"/>
  <c r="C19" i="4050" s="1"/>
  <c r="H16" i="4050"/>
  <c r="C16" i="4050"/>
  <c r="H15" i="4050"/>
  <c r="C15" i="4050"/>
  <c r="H14" i="4050"/>
  <c r="C14" i="4050"/>
  <c r="H13" i="4050"/>
  <c r="C13" i="4050"/>
  <c r="H12" i="4050"/>
  <c r="C12" i="4050"/>
  <c r="H11" i="4050"/>
  <c r="C11" i="4050"/>
  <c r="H5" i="4050"/>
  <c r="C10" i="4050"/>
  <c r="H10" i="4050"/>
  <c r="C9" i="4050"/>
  <c r="H4" i="4050"/>
  <c r="C8" i="4050"/>
  <c r="O7" i="4050"/>
  <c r="H9" i="4050"/>
  <c r="C7" i="4050"/>
  <c r="O6" i="4050"/>
  <c r="H8" i="4050"/>
  <c r="B6" i="4050"/>
  <c r="O5" i="4050"/>
  <c r="H2" i="4050"/>
  <c r="B5" i="4050"/>
  <c r="O4" i="4050"/>
  <c r="H7" i="4050"/>
  <c r="O3" i="4050"/>
  <c r="H6" i="4050"/>
  <c r="O2" i="4050"/>
  <c r="H3" i="4050"/>
  <c r="O12" i="4048"/>
  <c r="O11" i="4048"/>
  <c r="H51" i="4048"/>
  <c r="H50" i="4048"/>
  <c r="H49" i="4048"/>
  <c r="H48" i="4048"/>
  <c r="H47" i="4048"/>
  <c r="H46" i="4048"/>
  <c r="H45" i="4048"/>
  <c r="H44" i="4048"/>
  <c r="H43" i="4048"/>
  <c r="H42" i="4048"/>
  <c r="H41" i="4048"/>
  <c r="H40" i="4048"/>
  <c r="H39" i="4048"/>
  <c r="H38" i="4048"/>
  <c r="H37" i="4048"/>
  <c r="H36" i="4048"/>
  <c r="H35" i="4048"/>
  <c r="H34" i="4048"/>
  <c r="H33" i="4048"/>
  <c r="H32" i="4048"/>
  <c r="H31" i="4048"/>
  <c r="H30" i="4048"/>
  <c r="H29" i="4048"/>
  <c r="H28" i="4048"/>
  <c r="H27" i="4048"/>
  <c r="H26" i="4048"/>
  <c r="H25" i="4048"/>
  <c r="C25" i="4048"/>
  <c r="H24" i="4048"/>
  <c r="H23" i="4048"/>
  <c r="H22" i="4048"/>
  <c r="B22" i="4048"/>
  <c r="H21" i="4048"/>
  <c r="H20" i="4048"/>
  <c r="C20" i="4048"/>
  <c r="H19" i="4048"/>
  <c r="H18" i="4048"/>
  <c r="C18" i="4048"/>
  <c r="H17" i="4048"/>
  <c r="B17" i="4048"/>
  <c r="B21" i="4048" s="1"/>
  <c r="H16" i="4048"/>
  <c r="C16" i="4048"/>
  <c r="H15" i="4048"/>
  <c r="C15" i="4048"/>
  <c r="H14" i="4048"/>
  <c r="C14" i="4048"/>
  <c r="H13" i="4048"/>
  <c r="C13" i="4048"/>
  <c r="H12" i="4048"/>
  <c r="C12" i="4048"/>
  <c r="H11" i="4048"/>
  <c r="C11" i="4048"/>
  <c r="H10" i="4048"/>
  <c r="C10" i="4048"/>
  <c r="H9" i="4048"/>
  <c r="C9" i="4048"/>
  <c r="H8" i="4048"/>
  <c r="C8" i="4048"/>
  <c r="O7" i="4048"/>
  <c r="H7" i="4048"/>
  <c r="C7" i="4048"/>
  <c r="O6" i="4048"/>
  <c r="H6" i="4048"/>
  <c r="B6" i="4048"/>
  <c r="O5" i="4048"/>
  <c r="H5" i="4048"/>
  <c r="B5" i="4048"/>
  <c r="O4" i="4048"/>
  <c r="H4" i="4048"/>
  <c r="O3" i="4048"/>
  <c r="H3" i="4048"/>
  <c r="O2" i="4048"/>
  <c r="H2" i="4048"/>
  <c r="O20" i="4044"/>
  <c r="O15" i="4046"/>
  <c r="O11" i="4046"/>
  <c r="H51" i="4046"/>
  <c r="H50" i="4046"/>
  <c r="H49" i="4046"/>
  <c r="H48" i="4046"/>
  <c r="H47" i="4046"/>
  <c r="H28" i="4046"/>
  <c r="H46" i="4046"/>
  <c r="H45" i="4046"/>
  <c r="H44" i="4046"/>
  <c r="H43" i="4046"/>
  <c r="H42" i="4046"/>
  <c r="H41" i="4046"/>
  <c r="H40" i="4046"/>
  <c r="H39" i="4046"/>
  <c r="H38" i="4046"/>
  <c r="H37" i="4046"/>
  <c r="H27" i="4046"/>
  <c r="H36" i="4046"/>
  <c r="H35" i="4046"/>
  <c r="H22" i="4046"/>
  <c r="H17" i="4046"/>
  <c r="H26" i="4046"/>
  <c r="H8" i="4046"/>
  <c r="H34" i="4046"/>
  <c r="H23" i="4046"/>
  <c r="H13" i="4046"/>
  <c r="H25" i="4046"/>
  <c r="C25" i="4046"/>
  <c r="H33" i="4046"/>
  <c r="H14" i="4046"/>
  <c r="H32" i="4046"/>
  <c r="B22" i="4046"/>
  <c r="H15" i="4046"/>
  <c r="H31" i="4046"/>
  <c r="C20" i="4046"/>
  <c r="H30" i="4046"/>
  <c r="H21" i="4046"/>
  <c r="H16" i="4046"/>
  <c r="B17" i="4046"/>
  <c r="B21" i="4046" s="1"/>
  <c r="H19" i="4046"/>
  <c r="C16" i="4046"/>
  <c r="H29" i="4046"/>
  <c r="C15" i="4046"/>
  <c r="H18" i="4046"/>
  <c r="C14" i="4046"/>
  <c r="H24" i="4046"/>
  <c r="C13" i="4046"/>
  <c r="H20" i="4046"/>
  <c r="C12" i="4046"/>
  <c r="H5" i="4046"/>
  <c r="C11" i="4046"/>
  <c r="H12" i="4046"/>
  <c r="C10" i="4046"/>
  <c r="H11" i="4046"/>
  <c r="C9" i="4046"/>
  <c r="H9" i="4046"/>
  <c r="C8" i="4046"/>
  <c r="O7" i="4046"/>
  <c r="H7" i="4046"/>
  <c r="C7" i="4046"/>
  <c r="O6" i="4046"/>
  <c r="H2" i="4046"/>
  <c r="B6" i="4046"/>
  <c r="O5" i="4046"/>
  <c r="H6" i="4046"/>
  <c r="B5" i="4046"/>
  <c r="O4" i="4046"/>
  <c r="H3" i="4046"/>
  <c r="O3" i="4046"/>
  <c r="H10" i="4046"/>
  <c r="O2" i="4046"/>
  <c r="H4" i="4046"/>
  <c r="O13" i="4044"/>
  <c r="O10" i="4044"/>
  <c r="H51" i="4044"/>
  <c r="H50" i="4044"/>
  <c r="H49" i="4044"/>
  <c r="H48" i="4044"/>
  <c r="H47" i="4044"/>
  <c r="H32" i="4044"/>
  <c r="H46" i="4044"/>
  <c r="H45" i="4044"/>
  <c r="H44" i="4044"/>
  <c r="H43" i="4044"/>
  <c r="H42" i="4044"/>
  <c r="H41" i="4044"/>
  <c r="H40" i="4044"/>
  <c r="H39" i="4044"/>
  <c r="H38" i="4044"/>
  <c r="H37" i="4044"/>
  <c r="H31" i="4044"/>
  <c r="H36" i="4044"/>
  <c r="H24" i="4044"/>
  <c r="H22" i="4044"/>
  <c r="H17" i="4044"/>
  <c r="H30" i="4044"/>
  <c r="H9" i="4044"/>
  <c r="H29" i="4044"/>
  <c r="H26" i="4044"/>
  <c r="H12" i="4044"/>
  <c r="H23" i="4044"/>
  <c r="C25" i="4044"/>
  <c r="H25" i="4044"/>
  <c r="H14" i="4044"/>
  <c r="H35" i="4044"/>
  <c r="B22" i="4044"/>
  <c r="H16" i="4044"/>
  <c r="H28" i="4044"/>
  <c r="C20" i="4044"/>
  <c r="H34" i="4044"/>
  <c r="H18" i="4044"/>
  <c r="H15" i="4044"/>
  <c r="B17" i="4044"/>
  <c r="B21" i="4044" s="1"/>
  <c r="H21" i="4044"/>
  <c r="C16" i="4044"/>
  <c r="H33" i="4044"/>
  <c r="C15" i="4044"/>
  <c r="H20" i="4044"/>
  <c r="C14" i="4044"/>
  <c r="H27" i="4044"/>
  <c r="C13" i="4044"/>
  <c r="H19" i="4044"/>
  <c r="C12" i="4044"/>
  <c r="H4" i="4044"/>
  <c r="C11" i="4044"/>
  <c r="H13" i="4044"/>
  <c r="C10" i="4044"/>
  <c r="H11" i="4044"/>
  <c r="C9" i="4044"/>
  <c r="H8" i="4044"/>
  <c r="C8" i="4044"/>
  <c r="O7" i="4044"/>
  <c r="H7" i="4044"/>
  <c r="C7" i="4044"/>
  <c r="O6" i="4044"/>
  <c r="H2" i="4044"/>
  <c r="B6" i="4044"/>
  <c r="O5" i="4044"/>
  <c r="H6" i="4044"/>
  <c r="B5" i="4044"/>
  <c r="O4" i="4044"/>
  <c r="H3" i="4044"/>
  <c r="O3" i="4044"/>
  <c r="H10" i="4044"/>
  <c r="O2" i="4044"/>
  <c r="H5" i="4044"/>
  <c r="C19" i="4048" l="1"/>
  <c r="C17" i="4048"/>
  <c r="C18" i="4050"/>
  <c r="C17" i="4050"/>
  <c r="B21" i="4050"/>
  <c r="C18" i="4046"/>
  <c r="C17" i="4046"/>
  <c r="C19" i="4046"/>
  <c r="C18" i="4044"/>
  <c r="C19" i="4044"/>
  <c r="C17" i="4044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<sst xmlns="http://schemas.openxmlformats.org/spreadsheetml/2006/main" count="3228" uniqueCount="250">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</sst>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全体!$K$2:$K$719</c:f>
              <c:numCache>
                <c:formatCode>General</c:formatCode>
                <c:ptCount val="7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</c:numCache>
            </c:numRef>
          </c:xVal>
          <c:yVal>
            <c:numRef>
              <c:f>全体!$L$2:$L$719</c:f>
              <c:numCache>
                <c:formatCode>\+0.0;\-0.0;\±0</c:formatCode>
                <c:ptCount val="71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2-48F8-81D8-B40BAF38E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-14.184397163120567</c:v>
                </c:pt>
                <c:pt idx="1">
                  <c:v>-1.4814814814814814</c:v>
                </c:pt>
                <c:pt idx="2">
                  <c:v>7.9365079365079367</c:v>
                </c:pt>
                <c:pt idx="3">
                  <c:v>0</c:v>
                </c:pt>
                <c:pt idx="4">
                  <c:v>6.1349693251533743</c:v>
                </c:pt>
                <c:pt idx="5">
                  <c:v>-5.1282051282051286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5-4AD1-B152-8C44D1CFD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だいち!$K$2:$K$210</c:f>
              <c:numCache>
                <c:formatCode>General</c:formatCode>
                <c:ptCount val="2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</c:numCache>
            </c:numRef>
          </c:xVal>
          <c:yVal>
            <c:numRef>
              <c:f>だいち!$L$2:$L$210</c:f>
              <c:numCache>
                <c:formatCode>\+0.0;\-0.0;\±0</c:formatCode>
                <c:ptCount val="20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0-4E4C-90EC-A4E2268A5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1319.1176470588234</c:v>
                </c:pt>
                <c:pt idx="1">
                  <c:v>321.9387755102041</c:v>
                </c:pt>
                <c:pt idx="2">
                  <c:v>1320.3296703296703</c:v>
                </c:pt>
                <c:pt idx="3">
                  <c:v>1235.3658536585365</c:v>
                </c:pt>
                <c:pt idx="4">
                  <c:v>1892.2535211267605</c:v>
                </c:pt>
                <c:pt idx="5">
                  <c:v>1649.1071428571429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64-477B-80DE-DD1526897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2-4CB6-8DE2-B4FF8C22C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A-42C4-9C64-7B35B1136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A-45F9-B89F-96A01876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F-4E31-9792-096AFF0D9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りくと!$L$2:$L$121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8-4A73-81A9-D7DCBD92F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-376.92307692307691</c:v>
                </c:pt>
                <c:pt idx="1">
                  <c:v>-1461.9469026548672</c:v>
                </c:pt>
                <c:pt idx="2">
                  <c:v>1958.1818181818182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F7-4CCC-97B6-FFBD32FA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C-469A-9990-2DBA9288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3-4CEA-8D53-F363883B2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D-4D65-97C3-CA3D9126B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5-4FE7-B474-2E454850F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97-451D-87A9-9FA7194B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-1598.3870967741937</c:v>
                </c:pt>
                <c:pt idx="1">
                  <c:v>-3736.2068965517242</c:v>
                </c:pt>
                <c:pt idx="2">
                  <c:v>-1523.5294117647059</c:v>
                </c:pt>
                <c:pt idx="3">
                  <c:v>942.85714285714289</c:v>
                </c:pt>
                <c:pt idx="4">
                  <c:v>-3374.3589743589741</c:v>
                </c:pt>
                <c:pt idx="5">
                  <c:v>-1064.516129032258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8-4710-A399-CACA1353D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ただ!$L$2:$L$103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F-49F8-9DB1-7E06B62E9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2552.5252525252527</c:v>
                </c:pt>
                <c:pt idx="1">
                  <c:v>711.82795698924735</c:v>
                </c:pt>
                <c:pt idx="2">
                  <c:v>-95.348837209302332</c:v>
                </c:pt>
                <c:pt idx="3">
                  <c:v>-1846.9135802469136</c:v>
                </c:pt>
                <c:pt idx="4">
                  <c:v>788.40579710144925</c:v>
                </c:pt>
                <c:pt idx="5">
                  <c:v>245.76271186440678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3-4D2B-BA93-F4D7DE27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3-4340-A0A3-90EF52575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D-4D66-A27F-D1578AE27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れんたろう!$L$2:$L$103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2-44F8-8641-ED867E22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-2246.3917525773195</c:v>
                </c:pt>
                <c:pt idx="1">
                  <c:v>127.36842105263158</c:v>
                </c:pt>
                <c:pt idx="2">
                  <c:v>-491.11111111111109</c:v>
                </c:pt>
                <c:pt idx="3">
                  <c:v>-221.95121951219511</c:v>
                </c:pt>
                <c:pt idx="4">
                  <c:v>-2689.3333333333335</c:v>
                </c:pt>
                <c:pt idx="5">
                  <c:v>1327.1186440677966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C-4817-809B-94A237138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A3-4E79-B95D-A31C962F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8-41A4-B3D5-9092710B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A-4DB2-B090-CFDFB583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7-4971-A57B-21D9F9B47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EF82A4-FEA6-45CF-A5BC-E91B2FC2C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213542-427F-47B5-8F90-984D7A700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F869AA-7A4F-4B0A-A426-D05565400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856F8A-232B-4D1A-A2F3-76665E445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CB774D-2D89-4C0A-8B3E-441D9A5D3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5EF430-1F5D-413C-8392-A4672B26D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FFF164-2441-453F-92B6-3CE11DFEE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BCB161-7013-424E-9DF1-A42A074E7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3AD0ED-49B4-4320-8791-805B37187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C3E188-9A68-43A5-8F8A-3D3C3DA76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AB8E64-0D83-4E15-A9B3-C0B1B4257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0BC65D-4256-4939-996C-8052AB320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AF02DE-E072-4569-918F-ABC507DA4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3DA347-E5E0-4AC4-A940-917ABEF9E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D0C9D7-AB6F-4C59-83CD-5F39B0C7F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B7DAC2-75B9-47BF-8442-8D5C98A673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0944D9-DF20-432C-AB11-D63F92CEF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F0FA98-3333-49B3-A7F6-16BBCB4F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14E9D7-6422-4EC7-832F-82D91B1F6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6B46DD-C9EC-4B28-B992-69BC468DE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74E0F2-9067-4BEB-A803-1A6CF4EFE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035CB2-9DE4-461A-8B5C-172129F46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011644-74FC-45D8-A145-2E84377E9B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997B9A-935A-4193-99CF-1BBE26946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298695-2064-488B-9FBC-2B3CF4CEA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907EFA-AC71-4F2D-A71B-7D335B762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39">
        <v>0</v>
      </c>
      <c r="C23" s="14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37">
        <v>0</v>
      </c>
      <c r="C24" s="13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3">
        <v>0</v>
      </c>
      <c r="C26" s="144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45">
        <v>0</v>
      </c>
      <c r="C27" s="14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8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43506.793969907405</v>
      </c>
      <c r="C57" s="38" t="s">
        <v>140</v>
      </c>
      <c r="D57" s="38" t="s">
        <v>141</v>
      </c>
      <c r="E57" s="38" t="s">
        <v>142</v>
      </c>
    </row>
    <row r="58" spans="1:12" x14ac:dyDescent="0.4">
      <c r="A58" s="38" t="s">
        <v>249</v>
      </c>
      <c r="B58" s="39">
        <v>43510.740300925929</v>
      </c>
      <c r="C58" s="38" t="s">
        <v>140</v>
      </c>
      <c r="D58" s="38" t="s">
        <v>141</v>
      </c>
      <c r="E58" s="38" t="s">
        <v>142</v>
      </c>
      <c r="F58" s="38" t="s">
        <v>143</v>
      </c>
      <c r="G58" s="38" t="s">
        <v>144</v>
      </c>
      <c r="H58" s="38" t="s">
        <v>145</v>
      </c>
      <c r="I58" s="38" t="s">
        <v>146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5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7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8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9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7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08" customWidth="1"/>
    <col min="36" max="36" width="10.75" style="105" customWidth="1"/>
    <col min="37" max="37" width="10.75" style="110" customWidth="1"/>
    <col min="38" max="38" width="10.75" style="105" customWidth="1"/>
    <col min="39" max="39" width="10.75" style="114" customWidth="1"/>
    <col min="40" max="40" width="10.75" style="105" customWidth="1"/>
    <col min="41" max="41" width="10.75" style="111" customWidth="1"/>
    <col min="42" max="16384" width="9" style="91"/>
  </cols>
  <sheetData>
    <row r="1" spans="1:41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247</v>
      </c>
      <c r="K1" s="156"/>
      <c r="L1" s="155" t="s">
        <v>196</v>
      </c>
      <c r="M1" s="156"/>
      <c r="N1" s="155" t="s">
        <v>197</v>
      </c>
      <c r="O1" s="156"/>
      <c r="P1" s="155" t="s">
        <v>5</v>
      </c>
      <c r="Q1" s="156"/>
      <c r="R1" s="155" t="s">
        <v>17</v>
      </c>
      <c r="S1" s="156"/>
      <c r="T1" s="155" t="s">
        <v>18</v>
      </c>
      <c r="U1" s="156"/>
      <c r="V1" s="155" t="s">
        <v>156</v>
      </c>
      <c r="W1" s="156"/>
      <c r="X1" s="155" t="s">
        <v>242</v>
      </c>
      <c r="Y1" s="156"/>
      <c r="Z1" s="155" t="s">
        <v>129</v>
      </c>
      <c r="AA1" s="156"/>
      <c r="AB1" s="155" t="s">
        <v>124</v>
      </c>
      <c r="AC1" s="156"/>
      <c r="AD1" s="155" t="s">
        <v>132</v>
      </c>
      <c r="AE1" s="156"/>
      <c r="AF1" s="155" t="s">
        <v>198</v>
      </c>
      <c r="AG1" s="156"/>
      <c r="AH1" s="155" t="s">
        <v>161</v>
      </c>
      <c r="AI1" s="156"/>
      <c r="AJ1" s="155" t="s">
        <v>199</v>
      </c>
      <c r="AK1" s="156"/>
      <c r="AL1" s="155" t="s">
        <v>201</v>
      </c>
      <c r="AM1" s="156"/>
      <c r="AN1" s="155" t="s">
        <v>248</v>
      </c>
      <c r="AO1" s="156"/>
    </row>
    <row r="2" spans="1:41" x14ac:dyDescent="0.4">
      <c r="A2" s="90" t="s">
        <v>246</v>
      </c>
      <c r="B2" s="157"/>
      <c r="C2" s="158"/>
      <c r="D2" s="157"/>
      <c r="E2" s="158"/>
      <c r="F2" s="159">
        <v>0.99098139969959254</v>
      </c>
      <c r="G2" s="160"/>
      <c r="H2" s="159">
        <v>0.96913906760959778</v>
      </c>
      <c r="I2" s="160"/>
      <c r="J2" s="159">
        <v>0.97168170842750923</v>
      </c>
      <c r="K2" s="160"/>
      <c r="L2" s="159">
        <v>0.8825682204927775</v>
      </c>
      <c r="M2" s="160"/>
      <c r="N2" s="159">
        <v>0.74049613902346101</v>
      </c>
      <c r="O2" s="160"/>
      <c r="P2" s="159">
        <v>0.33396908061884756</v>
      </c>
      <c r="Q2" s="160"/>
      <c r="R2" s="159">
        <v>0.17479216264873848</v>
      </c>
      <c r="S2" s="160"/>
      <c r="T2" s="159">
        <v>0.89365475496070912</v>
      </c>
      <c r="U2" s="160"/>
      <c r="V2" s="159">
        <v>0.92583907381339414</v>
      </c>
      <c r="W2" s="160"/>
      <c r="X2" s="159">
        <v>0.56641422135215624</v>
      </c>
      <c r="Y2" s="160"/>
      <c r="Z2" s="159">
        <v>0.49029064906246272</v>
      </c>
      <c r="AA2" s="160"/>
      <c r="AB2" s="159">
        <v>-0.33152977036924142</v>
      </c>
      <c r="AC2" s="160"/>
      <c r="AD2" s="159">
        <v>0.7025063202800319</v>
      </c>
      <c r="AE2" s="160"/>
      <c r="AF2" s="159">
        <v>0.14314547358272142</v>
      </c>
      <c r="AG2" s="160"/>
      <c r="AH2" s="159">
        <v>0.35374970615912893</v>
      </c>
      <c r="AI2" s="160"/>
      <c r="AJ2" s="159">
        <v>0.65563594933634362</v>
      </c>
      <c r="AK2" s="160"/>
      <c r="AL2" s="159">
        <v>0.64391958771956859</v>
      </c>
      <c r="AM2" s="160"/>
      <c r="AN2" s="159">
        <v>-0.14446523869746705</v>
      </c>
      <c r="AO2" s="160"/>
    </row>
    <row r="3" spans="1:41" x14ac:dyDescent="0.4">
      <c r="A3" s="92">
        <v>1</v>
      </c>
      <c r="B3" s="93" t="s">
        <v>133</v>
      </c>
      <c r="C3" s="94">
        <v>1264.5</v>
      </c>
      <c r="D3" s="95" t="s">
        <v>195</v>
      </c>
      <c r="E3" s="120">
        <v>7.833333333333333</v>
      </c>
      <c r="F3" s="95" t="s">
        <v>133</v>
      </c>
      <c r="G3" s="96">
        <v>1.7980769230769231</v>
      </c>
      <c r="H3" s="95" t="s">
        <v>195</v>
      </c>
      <c r="I3" s="97">
        <v>0.5</v>
      </c>
      <c r="J3" s="95" t="s">
        <v>133</v>
      </c>
      <c r="K3" s="97">
        <v>0.22115384615384615</v>
      </c>
      <c r="L3" s="95" t="s">
        <v>195</v>
      </c>
      <c r="M3" s="98">
        <v>0.38</v>
      </c>
      <c r="N3" s="95" t="s">
        <v>195</v>
      </c>
      <c r="O3" s="98">
        <v>0.08</v>
      </c>
      <c r="P3" s="95" t="s">
        <v>138</v>
      </c>
      <c r="Q3" s="99">
        <v>11218.333333333334</v>
      </c>
      <c r="R3" s="95" t="s">
        <v>167</v>
      </c>
      <c r="S3" s="99">
        <v>-8240</v>
      </c>
      <c r="T3" s="95" t="s">
        <v>168</v>
      </c>
      <c r="U3" s="97">
        <v>0</v>
      </c>
      <c r="V3" s="95" t="s">
        <v>133</v>
      </c>
      <c r="W3" s="97">
        <v>0.20192307692307693</v>
      </c>
      <c r="X3" s="95" t="s">
        <v>172</v>
      </c>
      <c r="Y3" s="97">
        <v>0.2</v>
      </c>
      <c r="Z3" s="95" t="s">
        <v>168</v>
      </c>
      <c r="AA3" s="98">
        <v>0.45454545454545453</v>
      </c>
      <c r="AB3" s="95" t="s">
        <v>158</v>
      </c>
      <c r="AC3" s="98">
        <v>0.38775510204081631</v>
      </c>
      <c r="AD3" s="95" t="s">
        <v>172</v>
      </c>
      <c r="AE3" s="98">
        <v>0.75</v>
      </c>
      <c r="AF3" s="95" t="s">
        <v>195</v>
      </c>
      <c r="AG3" s="98">
        <v>0.5</v>
      </c>
      <c r="AH3" s="95" t="s">
        <v>167</v>
      </c>
      <c r="AI3" s="98">
        <v>1</v>
      </c>
      <c r="AJ3" s="95" t="s">
        <v>133</v>
      </c>
      <c r="AK3" s="100">
        <v>10</v>
      </c>
      <c r="AL3" s="95" t="s">
        <v>139</v>
      </c>
      <c r="AM3" s="113">
        <v>124700</v>
      </c>
      <c r="AN3" s="95" t="s">
        <v>162</v>
      </c>
      <c r="AO3" s="101">
        <v>19</v>
      </c>
    </row>
    <row r="4" spans="1:41" x14ac:dyDescent="0.4">
      <c r="A4" s="102">
        <v>2</v>
      </c>
      <c r="B4" s="103" t="s">
        <v>137</v>
      </c>
      <c r="C4" s="104">
        <v>270.69999999999987</v>
      </c>
      <c r="D4" s="105" t="s">
        <v>133</v>
      </c>
      <c r="E4" s="121">
        <v>6.0793269230769234</v>
      </c>
      <c r="F4" s="105" t="s">
        <v>195</v>
      </c>
      <c r="G4" s="106">
        <v>1.8333333333333333</v>
      </c>
      <c r="H4" s="105" t="s">
        <v>133</v>
      </c>
      <c r="I4" s="107">
        <v>0.42307692307692307</v>
      </c>
      <c r="J4" s="105" t="s">
        <v>135</v>
      </c>
      <c r="K4" s="107">
        <v>0.22807017543859648</v>
      </c>
      <c r="L4" s="105" t="s">
        <v>133</v>
      </c>
      <c r="M4" s="108">
        <v>0.35271565495207668</v>
      </c>
      <c r="N4" s="105" t="s">
        <v>168</v>
      </c>
      <c r="O4" s="108">
        <v>0.125</v>
      </c>
      <c r="P4" s="105" t="s">
        <v>134</v>
      </c>
      <c r="Q4" s="109">
        <v>11142.259414225942</v>
      </c>
      <c r="R4" s="105" t="s">
        <v>158</v>
      </c>
      <c r="S4" s="109">
        <v>-8441.176470588236</v>
      </c>
      <c r="T4" s="105" t="s">
        <v>133</v>
      </c>
      <c r="U4" s="107">
        <v>0.10576923076923077</v>
      </c>
      <c r="V4" s="105" t="s">
        <v>172</v>
      </c>
      <c r="W4" s="107">
        <v>0.2</v>
      </c>
      <c r="X4" s="105" t="s">
        <v>137</v>
      </c>
      <c r="Y4" s="107">
        <v>0.10891089108910891</v>
      </c>
      <c r="Z4" s="105" t="s">
        <v>195</v>
      </c>
      <c r="AA4" s="108">
        <v>0.42</v>
      </c>
      <c r="AB4" s="105" t="s">
        <v>135</v>
      </c>
      <c r="AC4" s="108">
        <v>0.31976744186046513</v>
      </c>
      <c r="AD4" s="105" t="s">
        <v>133</v>
      </c>
      <c r="AE4" s="108">
        <v>0.65294117647058825</v>
      </c>
      <c r="AF4" s="105" t="s">
        <v>133</v>
      </c>
      <c r="AG4" s="108">
        <v>0.47186147186147187</v>
      </c>
      <c r="AH4" s="105" t="s">
        <v>135</v>
      </c>
      <c r="AI4" s="108">
        <v>0.46527777777777779</v>
      </c>
      <c r="AJ4" s="105" t="s">
        <v>134</v>
      </c>
      <c r="AK4" s="110">
        <v>10</v>
      </c>
      <c r="AL4" s="105" t="s">
        <v>162</v>
      </c>
      <c r="AM4" s="114">
        <v>124700</v>
      </c>
      <c r="AN4" s="105" t="s">
        <v>139</v>
      </c>
      <c r="AO4" s="111">
        <v>7</v>
      </c>
    </row>
    <row r="5" spans="1:41" x14ac:dyDescent="0.4">
      <c r="A5" s="102">
        <v>3</v>
      </c>
      <c r="B5" s="103" t="s">
        <v>135</v>
      </c>
      <c r="C5" s="104">
        <v>257.3</v>
      </c>
      <c r="D5" s="105" t="s">
        <v>135</v>
      </c>
      <c r="E5" s="121">
        <v>4.5140350877192983</v>
      </c>
      <c r="F5" s="105" t="s">
        <v>135</v>
      </c>
      <c r="G5" s="106">
        <v>1.8771929824561404</v>
      </c>
      <c r="H5" s="105" t="s">
        <v>137</v>
      </c>
      <c r="I5" s="107">
        <v>0.38613861386138615</v>
      </c>
      <c r="J5" s="105" t="s">
        <v>137</v>
      </c>
      <c r="K5" s="107">
        <v>0.30693069306930693</v>
      </c>
      <c r="L5" s="105" t="s">
        <v>135</v>
      </c>
      <c r="M5" s="108">
        <v>0.35121951219512193</v>
      </c>
      <c r="N5" s="105" t="s">
        <v>133</v>
      </c>
      <c r="O5" s="108">
        <v>0.14313099041533547</v>
      </c>
      <c r="P5" s="105" t="s">
        <v>139</v>
      </c>
      <c r="Q5" s="109">
        <v>10788.888888888889</v>
      </c>
      <c r="R5" s="105" t="s">
        <v>138</v>
      </c>
      <c r="S5" s="109">
        <v>-8805.7142857142862</v>
      </c>
      <c r="T5" s="105" t="s">
        <v>137</v>
      </c>
      <c r="U5" s="107">
        <v>0.10891089108910891</v>
      </c>
      <c r="V5" s="105" t="s">
        <v>135</v>
      </c>
      <c r="W5" s="107">
        <v>0.17543859649122806</v>
      </c>
      <c r="X5" s="105" t="s">
        <v>139</v>
      </c>
      <c r="Y5" s="107">
        <v>0.10891089108910891</v>
      </c>
      <c r="Z5" s="105" t="s">
        <v>137</v>
      </c>
      <c r="AA5" s="108">
        <v>0.31603773584905659</v>
      </c>
      <c r="AB5" s="105" t="s">
        <v>136</v>
      </c>
      <c r="AC5" s="108">
        <v>0.26779661016949152</v>
      </c>
      <c r="AD5" s="105" t="s">
        <v>195</v>
      </c>
      <c r="AE5" s="108">
        <v>0.61904761904761907</v>
      </c>
      <c r="AF5" s="105" t="s">
        <v>162</v>
      </c>
      <c r="AG5" s="108">
        <v>0.38920134983127108</v>
      </c>
      <c r="AH5" s="105" t="s">
        <v>139</v>
      </c>
      <c r="AI5" s="108">
        <v>0.45777777777777778</v>
      </c>
      <c r="AJ5" s="105" t="s">
        <v>162</v>
      </c>
      <c r="AK5" s="110">
        <v>10</v>
      </c>
      <c r="AL5" s="105" t="s">
        <v>133</v>
      </c>
      <c r="AM5" s="114">
        <v>120200</v>
      </c>
      <c r="AN5" s="105" t="s">
        <v>134</v>
      </c>
      <c r="AO5" s="111">
        <v>4</v>
      </c>
    </row>
    <row r="6" spans="1:41" x14ac:dyDescent="0.4">
      <c r="A6" s="102">
        <v>4</v>
      </c>
      <c r="B6" s="103" t="s">
        <v>138</v>
      </c>
      <c r="C6" s="104">
        <v>51.10000000000003</v>
      </c>
      <c r="D6" s="105" t="s">
        <v>137</v>
      </c>
      <c r="E6" s="121">
        <v>2.680198019801979</v>
      </c>
      <c r="F6" s="105" t="s">
        <v>137</v>
      </c>
      <c r="G6" s="106">
        <v>1.9207920792079207</v>
      </c>
      <c r="H6" s="105" t="s">
        <v>135</v>
      </c>
      <c r="I6" s="107">
        <v>0.35087719298245612</v>
      </c>
      <c r="J6" s="105" t="s">
        <v>162</v>
      </c>
      <c r="K6" s="107">
        <v>0.33333333333333331</v>
      </c>
      <c r="L6" s="105" t="s">
        <v>137</v>
      </c>
      <c r="M6" s="108">
        <v>0.30446194225721784</v>
      </c>
      <c r="N6" s="105" t="s">
        <v>135</v>
      </c>
      <c r="O6" s="108">
        <v>0.15609756097560976</v>
      </c>
      <c r="P6" s="105" t="s">
        <v>137</v>
      </c>
      <c r="Q6" s="109">
        <v>10631.896551724138</v>
      </c>
      <c r="R6" s="105" t="s">
        <v>135</v>
      </c>
      <c r="S6" s="109">
        <v>-9007.8125</v>
      </c>
      <c r="T6" s="105" t="s">
        <v>135</v>
      </c>
      <c r="U6" s="107">
        <v>0.12280701754385964</v>
      </c>
      <c r="V6" s="105" t="s">
        <v>137</v>
      </c>
      <c r="W6" s="107">
        <v>0.16831683168316833</v>
      </c>
      <c r="X6" s="105" t="s">
        <v>133</v>
      </c>
      <c r="Y6" s="107">
        <v>0.10096153846153846</v>
      </c>
      <c r="Z6" s="105" t="s">
        <v>139</v>
      </c>
      <c r="AA6" s="108">
        <v>0.30831099195710454</v>
      </c>
      <c r="AB6" s="105" t="s">
        <v>138</v>
      </c>
      <c r="AC6" s="108">
        <v>0.24060150375939848</v>
      </c>
      <c r="AD6" s="105" t="s">
        <v>135</v>
      </c>
      <c r="AE6" s="108">
        <v>0.61538461538461542</v>
      </c>
      <c r="AF6" s="105" t="s">
        <v>137</v>
      </c>
      <c r="AG6" s="108">
        <v>0.38571428571428573</v>
      </c>
      <c r="AH6" s="105" t="s">
        <v>137</v>
      </c>
      <c r="AI6" s="108">
        <v>0.45689655172413796</v>
      </c>
      <c r="AJ6" s="105" t="s">
        <v>137</v>
      </c>
      <c r="AK6" s="110">
        <v>9</v>
      </c>
      <c r="AL6" s="105" t="s">
        <v>135</v>
      </c>
      <c r="AM6" s="114">
        <v>118000</v>
      </c>
      <c r="AN6" s="105" t="s">
        <v>137</v>
      </c>
      <c r="AO6" s="111">
        <v>3</v>
      </c>
    </row>
    <row r="7" spans="1:41" x14ac:dyDescent="0.4">
      <c r="A7" s="102">
        <v>5</v>
      </c>
      <c r="B7" s="103" t="s">
        <v>195</v>
      </c>
      <c r="C7" s="104">
        <v>47</v>
      </c>
      <c r="D7" s="105" t="s">
        <v>138</v>
      </c>
      <c r="E7" s="121">
        <v>1.9653846153846166</v>
      </c>
      <c r="F7" s="105" t="s">
        <v>138</v>
      </c>
      <c r="G7" s="106">
        <v>2</v>
      </c>
      <c r="H7" s="105" t="s">
        <v>138</v>
      </c>
      <c r="I7" s="107">
        <v>0.34615384615384615</v>
      </c>
      <c r="J7" s="105" t="s">
        <v>168</v>
      </c>
      <c r="K7" s="107">
        <v>0.33333333333333331</v>
      </c>
      <c r="L7" s="105" t="s">
        <v>162</v>
      </c>
      <c r="M7" s="108">
        <v>0.30274725274725273</v>
      </c>
      <c r="N7" s="105" t="s">
        <v>137</v>
      </c>
      <c r="O7" s="108">
        <v>0.16141732283464566</v>
      </c>
      <c r="P7" s="105" t="s">
        <v>162</v>
      </c>
      <c r="Q7" s="109">
        <v>10261.282516636418</v>
      </c>
      <c r="R7" s="105" t="s">
        <v>137</v>
      </c>
      <c r="S7" s="109">
        <v>-9059.3495934959356</v>
      </c>
      <c r="T7" s="105" t="s">
        <v>162</v>
      </c>
      <c r="U7" s="107">
        <v>0.16039051603905161</v>
      </c>
      <c r="V7" s="105" t="s">
        <v>195</v>
      </c>
      <c r="W7" s="107">
        <v>0.16666666666666666</v>
      </c>
      <c r="X7" s="105" t="s">
        <v>162</v>
      </c>
      <c r="Y7" s="107">
        <v>8.5076708507670851E-2</v>
      </c>
      <c r="Z7" s="105" t="s">
        <v>138</v>
      </c>
      <c r="AA7" s="108">
        <v>0.30827067669172931</v>
      </c>
      <c r="AB7" s="105" t="s">
        <v>137</v>
      </c>
      <c r="AC7" s="108">
        <v>0.22012578616352202</v>
      </c>
      <c r="AD7" s="105" t="s">
        <v>139</v>
      </c>
      <c r="AE7" s="108">
        <v>0.59130434782608698</v>
      </c>
      <c r="AF7" s="105" t="s">
        <v>135</v>
      </c>
      <c r="AG7" s="108">
        <v>0.38181818181818183</v>
      </c>
      <c r="AH7" s="105" t="s">
        <v>136</v>
      </c>
      <c r="AI7" s="108">
        <v>0.45161290322580644</v>
      </c>
      <c r="AJ7" s="105" t="s">
        <v>135</v>
      </c>
      <c r="AK7" s="110">
        <v>7</v>
      </c>
      <c r="AL7" s="105" t="s">
        <v>137</v>
      </c>
      <c r="AM7" s="114">
        <v>109300</v>
      </c>
      <c r="AN7" s="105" t="s">
        <v>133</v>
      </c>
      <c r="AO7" s="111">
        <v>2</v>
      </c>
    </row>
    <row r="8" spans="1:41" x14ac:dyDescent="0.4">
      <c r="A8" s="102">
        <v>6</v>
      </c>
      <c r="B8" s="103" t="s">
        <v>162</v>
      </c>
      <c r="C8" s="104">
        <v>-4.999999999999944</v>
      </c>
      <c r="D8" s="105" t="s">
        <v>162</v>
      </c>
      <c r="E8" s="121">
        <v>-6.9735006973499917E-3</v>
      </c>
      <c r="F8" s="105" t="s">
        <v>162</v>
      </c>
      <c r="G8" s="106">
        <v>2</v>
      </c>
      <c r="H8" s="105" t="s">
        <v>162</v>
      </c>
      <c r="I8" s="107">
        <v>0.33333333333333331</v>
      </c>
      <c r="J8" s="105" t="s">
        <v>195</v>
      </c>
      <c r="K8" s="107">
        <v>0.33333333333333331</v>
      </c>
      <c r="L8" s="105" t="s">
        <v>139</v>
      </c>
      <c r="M8" s="108">
        <v>0.28735632183908044</v>
      </c>
      <c r="N8" s="105" t="s">
        <v>138</v>
      </c>
      <c r="O8" s="108">
        <v>0.16279069767441862</v>
      </c>
      <c r="P8" s="105" t="s">
        <v>133</v>
      </c>
      <c r="Q8" s="109">
        <v>9943.4782608695659</v>
      </c>
      <c r="R8" s="105" t="s">
        <v>133</v>
      </c>
      <c r="S8" s="109">
        <v>-9401.7857142857138</v>
      </c>
      <c r="T8" s="105" t="s">
        <v>195</v>
      </c>
      <c r="U8" s="107">
        <v>0.16666666666666666</v>
      </c>
      <c r="V8" s="105" t="s">
        <v>162</v>
      </c>
      <c r="W8" s="107">
        <v>0.16039051603905161</v>
      </c>
      <c r="X8" s="105" t="s">
        <v>138</v>
      </c>
      <c r="Y8" s="107">
        <v>7.6923076923076927E-2</v>
      </c>
      <c r="Z8" s="105" t="s">
        <v>133</v>
      </c>
      <c r="AA8" s="108">
        <v>0.30658250676284943</v>
      </c>
      <c r="AB8" s="105" t="s">
        <v>162</v>
      </c>
      <c r="AC8" s="108">
        <v>0.21983184965380811</v>
      </c>
      <c r="AD8" s="105" t="s">
        <v>162</v>
      </c>
      <c r="AE8" s="108">
        <v>0.58620689655172409</v>
      </c>
      <c r="AF8" s="105" t="s">
        <v>134</v>
      </c>
      <c r="AG8" s="108">
        <v>0.38053097345132741</v>
      </c>
      <c r="AH8" s="105" t="s">
        <v>138</v>
      </c>
      <c r="AI8" s="108">
        <v>0.45</v>
      </c>
      <c r="AJ8" s="105" t="s">
        <v>138</v>
      </c>
      <c r="AK8" s="110">
        <v>7</v>
      </c>
      <c r="AL8" s="105" t="s">
        <v>138</v>
      </c>
      <c r="AM8" s="114">
        <v>109300</v>
      </c>
      <c r="AN8" s="105" t="s">
        <v>136</v>
      </c>
      <c r="AO8" s="111">
        <v>2</v>
      </c>
    </row>
    <row r="9" spans="1:41" x14ac:dyDescent="0.4">
      <c r="A9" s="102">
        <v>7</v>
      </c>
      <c r="B9" s="103" t="s">
        <v>168</v>
      </c>
      <c r="C9" s="104">
        <v>-26.5</v>
      </c>
      <c r="D9" s="105" t="s">
        <v>134</v>
      </c>
      <c r="E9" s="121">
        <v>-3.3176470588235287</v>
      </c>
      <c r="F9" s="105" t="s">
        <v>134</v>
      </c>
      <c r="G9" s="106">
        <v>2.0840336134453783</v>
      </c>
      <c r="H9" s="105" t="s">
        <v>134</v>
      </c>
      <c r="I9" s="107">
        <v>0.30252100840336132</v>
      </c>
      <c r="J9" s="105" t="s">
        <v>138</v>
      </c>
      <c r="K9" s="107">
        <v>0.34615384615384615</v>
      </c>
      <c r="L9" s="105" t="s">
        <v>138</v>
      </c>
      <c r="M9" s="108">
        <v>0.27906976744186046</v>
      </c>
      <c r="N9" s="105" t="s">
        <v>162</v>
      </c>
      <c r="O9" s="108">
        <v>0.17197802197802198</v>
      </c>
      <c r="P9" s="105" t="s">
        <v>135</v>
      </c>
      <c r="Q9" s="109">
        <v>9825.6944444444453</v>
      </c>
      <c r="R9" s="105" t="s">
        <v>162</v>
      </c>
      <c r="S9" s="109">
        <v>-9450.0532481363152</v>
      </c>
      <c r="T9" s="105" t="s">
        <v>138</v>
      </c>
      <c r="U9" s="107">
        <v>0.19230769230769232</v>
      </c>
      <c r="V9" s="105" t="s">
        <v>138</v>
      </c>
      <c r="W9" s="107">
        <v>0.15384615384615385</v>
      </c>
      <c r="X9" s="105" t="s">
        <v>134</v>
      </c>
      <c r="Y9" s="107">
        <v>7.5630252100840331E-2</v>
      </c>
      <c r="Z9" s="105" t="s">
        <v>134</v>
      </c>
      <c r="AA9" s="108">
        <v>0.29624060150375942</v>
      </c>
      <c r="AB9" s="105" t="s">
        <v>133</v>
      </c>
      <c r="AC9" s="108">
        <v>0.20829576194770064</v>
      </c>
      <c r="AD9" s="105" t="s">
        <v>134</v>
      </c>
      <c r="AE9" s="108">
        <v>0.57360406091370564</v>
      </c>
      <c r="AF9" s="105" t="s">
        <v>136</v>
      </c>
      <c r="AG9" s="108">
        <v>0.379746835443038</v>
      </c>
      <c r="AH9" s="105" t="s">
        <v>134</v>
      </c>
      <c r="AI9" s="108">
        <v>0.42677824267782427</v>
      </c>
      <c r="AJ9" s="105" t="s">
        <v>139</v>
      </c>
      <c r="AK9" s="110">
        <v>7</v>
      </c>
      <c r="AL9" s="105" t="s">
        <v>136</v>
      </c>
      <c r="AM9" s="114">
        <v>103200</v>
      </c>
      <c r="AN9" s="105" t="s">
        <v>135</v>
      </c>
      <c r="AO9" s="111">
        <v>1</v>
      </c>
    </row>
    <row r="10" spans="1:41" x14ac:dyDescent="0.4">
      <c r="A10" s="102">
        <v>8</v>
      </c>
      <c r="B10" s="103" t="s">
        <v>172</v>
      </c>
      <c r="C10" s="104">
        <v>-86.4</v>
      </c>
      <c r="D10" s="105" t="s">
        <v>139</v>
      </c>
      <c r="E10" s="121">
        <v>-4.9891089108910887</v>
      </c>
      <c r="F10" s="105" t="s">
        <v>139</v>
      </c>
      <c r="G10" s="106">
        <v>2.1782178217821784</v>
      </c>
      <c r="H10" s="105" t="s">
        <v>139</v>
      </c>
      <c r="I10" s="107">
        <v>0.25742574257425743</v>
      </c>
      <c r="J10" s="105" t="s">
        <v>134</v>
      </c>
      <c r="K10" s="107">
        <v>0.38655462184873951</v>
      </c>
      <c r="L10" s="105" t="s">
        <v>172</v>
      </c>
      <c r="M10" s="108">
        <v>0.27027027027027029</v>
      </c>
      <c r="N10" s="105" t="s">
        <v>158</v>
      </c>
      <c r="O10" s="108">
        <v>0.17346938775510204</v>
      </c>
      <c r="P10" s="105" t="s">
        <v>158</v>
      </c>
      <c r="Q10" s="109">
        <v>9343.181818181818</v>
      </c>
      <c r="R10" s="105" t="s">
        <v>134</v>
      </c>
      <c r="S10" s="109">
        <v>-9556.25</v>
      </c>
      <c r="T10" s="105" t="s">
        <v>134</v>
      </c>
      <c r="U10" s="107">
        <v>0.19327731092436976</v>
      </c>
      <c r="V10" s="105" t="s">
        <v>139</v>
      </c>
      <c r="W10" s="107">
        <v>0.13861386138613863</v>
      </c>
      <c r="X10" s="105" t="s">
        <v>135</v>
      </c>
      <c r="Y10" s="107">
        <v>5.2631578947368418E-2</v>
      </c>
      <c r="Z10" s="105" t="s">
        <v>162</v>
      </c>
      <c r="AA10" s="108">
        <v>0.29401582591493569</v>
      </c>
      <c r="AB10" s="105" t="s">
        <v>139</v>
      </c>
      <c r="AC10" s="108">
        <v>0.20375335120643431</v>
      </c>
      <c r="AD10" s="105" t="s">
        <v>137</v>
      </c>
      <c r="AE10" s="108">
        <v>0.56218905472636815</v>
      </c>
      <c r="AF10" s="105" t="s">
        <v>139</v>
      </c>
      <c r="AG10" s="108">
        <v>0.36842105263157893</v>
      </c>
      <c r="AH10" s="105" t="s">
        <v>162</v>
      </c>
      <c r="AI10" s="108">
        <v>0.41923774954627951</v>
      </c>
      <c r="AJ10" s="105" t="s">
        <v>136</v>
      </c>
      <c r="AK10" s="110">
        <v>5</v>
      </c>
      <c r="AL10" s="105" t="s">
        <v>134</v>
      </c>
      <c r="AM10" s="114">
        <v>97700</v>
      </c>
      <c r="AN10" s="105" t="s">
        <v>138</v>
      </c>
      <c r="AO10" s="111">
        <v>0</v>
      </c>
    </row>
    <row r="11" spans="1:41" x14ac:dyDescent="0.4">
      <c r="A11" s="102">
        <v>9</v>
      </c>
      <c r="B11" s="103" t="s">
        <v>167</v>
      </c>
      <c r="C11" s="104">
        <v>-132.1</v>
      </c>
      <c r="D11" s="105" t="s">
        <v>136</v>
      </c>
      <c r="E11" s="121">
        <v>-8.2564516129032253</v>
      </c>
      <c r="F11" s="105" t="s">
        <v>172</v>
      </c>
      <c r="G11" s="106">
        <v>2.2000000000000002</v>
      </c>
      <c r="H11" s="105" t="s">
        <v>158</v>
      </c>
      <c r="I11" s="107">
        <v>0.2</v>
      </c>
      <c r="J11" s="105" t="s">
        <v>172</v>
      </c>
      <c r="K11" s="107">
        <v>0.4</v>
      </c>
      <c r="L11" s="105" t="s">
        <v>136</v>
      </c>
      <c r="M11" s="108">
        <v>0.26105263157894737</v>
      </c>
      <c r="N11" s="105" t="s">
        <v>134</v>
      </c>
      <c r="O11" s="108">
        <v>0.19006479481641469</v>
      </c>
      <c r="P11" s="105" t="s">
        <v>136</v>
      </c>
      <c r="Q11" s="109">
        <v>9193.5483870967746</v>
      </c>
      <c r="R11" s="105" t="s">
        <v>139</v>
      </c>
      <c r="S11" s="109">
        <v>-9748.8095238095229</v>
      </c>
      <c r="T11" s="105" t="s">
        <v>136</v>
      </c>
      <c r="U11" s="107">
        <v>0.20967741935483872</v>
      </c>
      <c r="V11" s="105" t="s">
        <v>134</v>
      </c>
      <c r="W11" s="107">
        <v>0.13445378151260504</v>
      </c>
      <c r="X11" s="105" t="s">
        <v>136</v>
      </c>
      <c r="Y11" s="107">
        <v>4.8387096774193547E-2</v>
      </c>
      <c r="Z11" s="105" t="s">
        <v>136</v>
      </c>
      <c r="AA11" s="108">
        <v>0.26101694915254237</v>
      </c>
      <c r="AB11" s="105" t="s">
        <v>134</v>
      </c>
      <c r="AC11" s="108">
        <v>0.1699248120300752</v>
      </c>
      <c r="AD11" s="105" t="s">
        <v>138</v>
      </c>
      <c r="AE11" s="108">
        <v>0.48780487804878048</v>
      </c>
      <c r="AF11" s="105" t="s">
        <v>158</v>
      </c>
      <c r="AG11" s="108">
        <v>0.31578947368421051</v>
      </c>
      <c r="AH11" s="105" t="s">
        <v>133</v>
      </c>
      <c r="AI11" s="108">
        <v>0.37862318840579712</v>
      </c>
      <c r="AJ11" s="105" t="s">
        <v>158</v>
      </c>
      <c r="AK11" s="110">
        <v>5</v>
      </c>
      <c r="AL11" s="105" t="s">
        <v>195</v>
      </c>
      <c r="AM11" s="114">
        <v>78000</v>
      </c>
      <c r="AN11" s="105" t="s">
        <v>158</v>
      </c>
      <c r="AO11" s="111">
        <v>0</v>
      </c>
    </row>
    <row r="12" spans="1:41" x14ac:dyDescent="0.4">
      <c r="A12" s="102">
        <v>10</v>
      </c>
      <c r="B12" s="103" t="s">
        <v>158</v>
      </c>
      <c r="C12" s="104">
        <v>-240.00000000000003</v>
      </c>
      <c r="D12" s="105" t="s">
        <v>168</v>
      </c>
      <c r="E12" s="121">
        <v>-8.8333333333333339</v>
      </c>
      <c r="F12" s="105" t="s">
        <v>136</v>
      </c>
      <c r="G12" s="106">
        <v>2.2580645161290325</v>
      </c>
      <c r="H12" s="105" t="s">
        <v>172</v>
      </c>
      <c r="I12" s="107">
        <v>0.2</v>
      </c>
      <c r="J12" s="105" t="s">
        <v>139</v>
      </c>
      <c r="K12" s="107">
        <v>0.43564356435643564</v>
      </c>
      <c r="L12" s="105" t="s">
        <v>134</v>
      </c>
      <c r="M12" s="108">
        <v>0.25809935205183587</v>
      </c>
      <c r="N12" s="105" t="s">
        <v>136</v>
      </c>
      <c r="O12" s="108">
        <v>0.19157894736842104</v>
      </c>
      <c r="P12" s="105" t="s">
        <v>195</v>
      </c>
      <c r="Q12" s="109">
        <v>9163.1578947368416</v>
      </c>
      <c r="R12" s="105" t="s">
        <v>195</v>
      </c>
      <c r="S12" s="109">
        <v>-10025</v>
      </c>
      <c r="T12" s="105" t="s">
        <v>139</v>
      </c>
      <c r="U12" s="107">
        <v>0.22772277227722773</v>
      </c>
      <c r="V12" s="105" t="s">
        <v>136</v>
      </c>
      <c r="W12" s="107">
        <v>0.12903225806451613</v>
      </c>
      <c r="X12" s="105" t="s">
        <v>158</v>
      </c>
      <c r="Y12" s="107">
        <v>0</v>
      </c>
      <c r="Z12" s="105" t="s">
        <v>172</v>
      </c>
      <c r="AA12" s="108">
        <v>0.25806451612903225</v>
      </c>
      <c r="AB12" s="105" t="s">
        <v>172</v>
      </c>
      <c r="AC12" s="108">
        <v>0.16129032258064516</v>
      </c>
      <c r="AD12" s="105" t="s">
        <v>158</v>
      </c>
      <c r="AE12" s="108">
        <v>0.46666666666666667</v>
      </c>
      <c r="AF12" s="105" t="s">
        <v>172</v>
      </c>
      <c r="AG12" s="108">
        <v>0.2</v>
      </c>
      <c r="AH12" s="105" t="s">
        <v>195</v>
      </c>
      <c r="AI12" s="108">
        <v>0.31578947368421051</v>
      </c>
      <c r="AJ12" s="105" t="s">
        <v>195</v>
      </c>
      <c r="AK12" s="110">
        <v>5</v>
      </c>
      <c r="AL12" s="105" t="s">
        <v>158</v>
      </c>
      <c r="AM12" s="114">
        <v>67700</v>
      </c>
      <c r="AN12" s="105" t="s">
        <v>167</v>
      </c>
      <c r="AO12" s="111">
        <v>0</v>
      </c>
    </row>
    <row r="13" spans="1:41" x14ac:dyDescent="0.4">
      <c r="A13" s="102">
        <v>11</v>
      </c>
      <c r="B13" s="103" t="s">
        <v>134</v>
      </c>
      <c r="C13" s="104">
        <v>-394.7999999999999</v>
      </c>
      <c r="D13" s="105" t="s">
        <v>158</v>
      </c>
      <c r="E13" s="121">
        <v>-9.6000000000000014</v>
      </c>
      <c r="F13" s="105" t="s">
        <v>158</v>
      </c>
      <c r="G13" s="106">
        <v>2.3199999999999998</v>
      </c>
      <c r="H13" s="105" t="s">
        <v>136</v>
      </c>
      <c r="I13" s="107">
        <v>0.19354838709677419</v>
      </c>
      <c r="J13" s="105" t="s">
        <v>136</v>
      </c>
      <c r="K13" s="107">
        <v>0.45161290322580644</v>
      </c>
      <c r="L13" s="105" t="s">
        <v>158</v>
      </c>
      <c r="M13" s="108">
        <v>0.22448979591836735</v>
      </c>
      <c r="N13" s="105" t="s">
        <v>139</v>
      </c>
      <c r="O13" s="108">
        <v>0.21455938697318008</v>
      </c>
      <c r="P13" s="105" t="s">
        <v>168</v>
      </c>
      <c r="Q13" s="109">
        <v>8000</v>
      </c>
      <c r="R13" s="105" t="s">
        <v>136</v>
      </c>
      <c r="S13" s="109">
        <v>-10060.439560439561</v>
      </c>
      <c r="T13" s="105" t="s">
        <v>158</v>
      </c>
      <c r="U13" s="107">
        <v>0.24</v>
      </c>
      <c r="V13" s="105" t="s">
        <v>158</v>
      </c>
      <c r="W13" s="107">
        <v>0.08</v>
      </c>
      <c r="X13" s="105" t="s">
        <v>167</v>
      </c>
      <c r="Y13" s="107">
        <v>0</v>
      </c>
      <c r="Z13" s="105" t="s">
        <v>135</v>
      </c>
      <c r="AA13" s="108">
        <v>0.22674418604651161</v>
      </c>
      <c r="AB13" s="105" t="s">
        <v>195</v>
      </c>
      <c r="AC13" s="108">
        <v>0.12</v>
      </c>
      <c r="AD13" s="105" t="s">
        <v>136</v>
      </c>
      <c r="AE13" s="108">
        <v>0.45454545454545453</v>
      </c>
      <c r="AF13" s="105" t="s">
        <v>138</v>
      </c>
      <c r="AG13" s="108">
        <v>0.15625</v>
      </c>
      <c r="AH13" s="105" t="s">
        <v>172</v>
      </c>
      <c r="AI13" s="108">
        <v>0.3</v>
      </c>
      <c r="AJ13" s="105" t="s">
        <v>172</v>
      </c>
      <c r="AK13" s="110">
        <v>3</v>
      </c>
      <c r="AL13" s="105" t="s">
        <v>172</v>
      </c>
      <c r="AM13" s="114">
        <v>57800</v>
      </c>
      <c r="AN13" s="105" t="s">
        <v>168</v>
      </c>
      <c r="AO13" s="111">
        <v>0</v>
      </c>
    </row>
    <row r="14" spans="1:41" x14ac:dyDescent="0.4">
      <c r="A14" s="102">
        <v>12</v>
      </c>
      <c r="B14" s="103" t="s">
        <v>139</v>
      </c>
      <c r="C14" s="104">
        <v>-503.89999999999992</v>
      </c>
      <c r="D14" s="105" t="s">
        <v>172</v>
      </c>
      <c r="E14" s="121">
        <v>-17.28</v>
      </c>
      <c r="F14" s="105" t="s">
        <v>168</v>
      </c>
      <c r="G14" s="106">
        <v>2.3333333333333335</v>
      </c>
      <c r="H14" s="105" t="s">
        <v>167</v>
      </c>
      <c r="I14" s="107">
        <v>0</v>
      </c>
      <c r="J14" s="105" t="s">
        <v>158</v>
      </c>
      <c r="K14" s="107">
        <v>0.52</v>
      </c>
      <c r="L14" s="105" t="s">
        <v>168</v>
      </c>
      <c r="M14" s="108">
        <v>0.1875</v>
      </c>
      <c r="N14" s="105" t="s">
        <v>172</v>
      </c>
      <c r="O14" s="108">
        <v>0.21621621621621623</v>
      </c>
      <c r="P14" s="105" t="s">
        <v>167</v>
      </c>
      <c r="Q14" s="109">
        <v>7800</v>
      </c>
      <c r="R14" s="105" t="s">
        <v>168</v>
      </c>
      <c r="S14" s="109">
        <v>-12000</v>
      </c>
      <c r="T14" s="105" t="s">
        <v>172</v>
      </c>
      <c r="U14" s="107">
        <v>0.4</v>
      </c>
      <c r="V14" s="105" t="s">
        <v>167</v>
      </c>
      <c r="W14" s="107">
        <v>0</v>
      </c>
      <c r="X14" s="105" t="s">
        <v>168</v>
      </c>
      <c r="Y14" s="107">
        <v>0</v>
      </c>
      <c r="Z14" s="105" t="s">
        <v>158</v>
      </c>
      <c r="AA14" s="108">
        <v>0.15306122448979592</v>
      </c>
      <c r="AB14" s="105" t="s">
        <v>167</v>
      </c>
      <c r="AC14" s="108">
        <v>0</v>
      </c>
      <c r="AD14" s="105" t="s">
        <v>168</v>
      </c>
      <c r="AE14" s="108">
        <v>0.2</v>
      </c>
      <c r="AF14" s="105" t="s">
        <v>167</v>
      </c>
      <c r="AG14" s="108">
        <v>0</v>
      </c>
      <c r="AH14" s="105" t="s">
        <v>158</v>
      </c>
      <c r="AI14" s="108">
        <v>0.29545454545454547</v>
      </c>
      <c r="AJ14" s="105" t="s">
        <v>168</v>
      </c>
      <c r="AK14" s="110">
        <v>2</v>
      </c>
      <c r="AL14" s="105" t="s">
        <v>168</v>
      </c>
      <c r="AM14" s="114">
        <v>42000</v>
      </c>
      <c r="AN14" s="105" t="s">
        <v>172</v>
      </c>
      <c r="AO14" s="111">
        <v>0</v>
      </c>
    </row>
    <row r="15" spans="1:41" x14ac:dyDescent="0.4">
      <c r="A15" s="102">
        <v>13</v>
      </c>
      <c r="B15" s="103" t="s">
        <v>136</v>
      </c>
      <c r="C15" s="104">
        <v>-511.9</v>
      </c>
      <c r="D15" s="105" t="s">
        <v>167</v>
      </c>
      <c r="E15" s="121">
        <v>-33.024999999999999</v>
      </c>
      <c r="F15" s="105" t="s">
        <v>167</v>
      </c>
      <c r="G15" s="106">
        <v>3</v>
      </c>
      <c r="H15" s="105" t="s">
        <v>168</v>
      </c>
      <c r="I15" s="107">
        <v>0</v>
      </c>
      <c r="J15" s="105" t="s">
        <v>167</v>
      </c>
      <c r="K15" s="107">
        <v>1</v>
      </c>
      <c r="L15" s="105" t="s">
        <v>167</v>
      </c>
      <c r="M15" s="108">
        <v>0.04</v>
      </c>
      <c r="N15" s="105" t="s">
        <v>167</v>
      </c>
      <c r="O15" s="108">
        <v>0.4</v>
      </c>
      <c r="P15" s="105" t="s">
        <v>172</v>
      </c>
      <c r="Q15" s="109">
        <v>7100</v>
      </c>
      <c r="R15" s="105" t="s">
        <v>172</v>
      </c>
      <c r="S15" s="109">
        <v>-12487.5</v>
      </c>
      <c r="T15" s="105" t="s">
        <v>167</v>
      </c>
      <c r="U15" s="107">
        <v>0.5</v>
      </c>
      <c r="V15" s="105" t="s">
        <v>168</v>
      </c>
      <c r="W15" s="107">
        <v>0</v>
      </c>
      <c r="X15" s="105" t="s">
        <v>195</v>
      </c>
      <c r="Y15" s="107">
        <v>0</v>
      </c>
      <c r="Z15" s="105" t="s">
        <v>167</v>
      </c>
      <c r="AA15" s="108">
        <v>0</v>
      </c>
      <c r="AB15" s="105" t="s">
        <v>168</v>
      </c>
      <c r="AC15" s="108">
        <v>0</v>
      </c>
      <c r="AD15" s="105" t="s">
        <v>167</v>
      </c>
      <c r="AE15" s="108">
        <v>0</v>
      </c>
      <c r="AF15" s="105" t="s">
        <v>168</v>
      </c>
      <c r="AG15" s="108">
        <v>0</v>
      </c>
      <c r="AH15" s="105" t="s">
        <v>168</v>
      </c>
      <c r="AI15" s="108">
        <v>0</v>
      </c>
      <c r="AJ15" s="105" t="s">
        <v>167</v>
      </c>
      <c r="AK15" s="110">
        <v>0</v>
      </c>
      <c r="AL15" s="105" t="s">
        <v>167</v>
      </c>
      <c r="AM15" s="114">
        <v>13000</v>
      </c>
      <c r="AN15" s="105" t="s">
        <v>195</v>
      </c>
      <c r="AO15" s="111">
        <v>0</v>
      </c>
    </row>
  </sheetData>
  <sortState ref="AN3:AO47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5AB7-119D-484D-BC19-D41C549C9242}">
  <sheetPr codeName="Sheet4"/>
  <dimension ref="A1:Q71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717</v>
      </c>
      <c r="C2" s="144"/>
      <c r="E2" s="80" t="s">
        <v>71</v>
      </c>
      <c r="F2" s="76" t="s">
        <v>25</v>
      </c>
      <c r="G2" s="63">
        <v>1062</v>
      </c>
      <c r="H2" s="45">
        <f>IF(B$27=0,0,G2/B$27)</f>
        <v>0.87120590648072194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-14.184397163120567</v>
      </c>
      <c r="P2" s="59">
        <v>-10000</v>
      </c>
      <c r="Q2" s="57">
        <v>705</v>
      </c>
    </row>
    <row r="3" spans="1:17" x14ac:dyDescent="0.4">
      <c r="A3" s="72" t="s">
        <v>8</v>
      </c>
      <c r="B3" s="149">
        <v>5460</v>
      </c>
      <c r="C3" s="150"/>
      <c r="E3" s="81" t="s">
        <v>69</v>
      </c>
      <c r="F3" s="77" t="s">
        <v>23</v>
      </c>
      <c r="G3" s="64">
        <v>878</v>
      </c>
      <c r="H3" s="47">
        <f>IF(B$27=0,0,G3/B$27)</f>
        <v>0.72026251025430676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-1.4814814814814814</v>
      </c>
      <c r="P3" s="60">
        <v>-1000</v>
      </c>
      <c r="Q3" s="55">
        <v>675</v>
      </c>
    </row>
    <row r="4" spans="1:17" x14ac:dyDescent="0.4">
      <c r="A4" s="72" t="s">
        <v>6</v>
      </c>
      <c r="B4" s="151">
        <v>-4.999999999999944</v>
      </c>
      <c r="C4" s="152"/>
      <c r="E4" s="81" t="s">
        <v>76</v>
      </c>
      <c r="F4" s="77" t="s">
        <v>29</v>
      </c>
      <c r="G4" s="64">
        <v>689</v>
      </c>
      <c r="H4" s="47">
        <f>IF(B$27=0,0,G4/B$27)</f>
        <v>0.56521739130434778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7.9365079365079367</v>
      </c>
      <c r="P4" s="60">
        <v>5000</v>
      </c>
      <c r="Q4" s="55">
        <v>630</v>
      </c>
    </row>
    <row r="5" spans="1:17" x14ac:dyDescent="0.4">
      <c r="A5" s="72" t="s">
        <v>7</v>
      </c>
      <c r="B5" s="153">
        <f>IF(B$2=0,0,B$4/B$2)</f>
        <v>-6.9735006973499917E-3</v>
      </c>
      <c r="C5" s="154"/>
      <c r="E5" s="81" t="s">
        <v>67</v>
      </c>
      <c r="F5" s="77" t="s">
        <v>21</v>
      </c>
      <c r="G5" s="64">
        <v>685</v>
      </c>
      <c r="H5" s="47">
        <f>IF(B$27=0,0,G5/B$27)</f>
        <v>0.56193601312551267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0</v>
      </c>
      <c r="P5" s="60">
        <v>0</v>
      </c>
      <c r="Q5" s="55">
        <v>567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392</v>
      </c>
      <c r="H6" s="47">
        <f>IF(B$27=0,0,G6/B$27)</f>
        <v>0.32157506152584087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6.1349693251533743</v>
      </c>
      <c r="P6" s="60">
        <v>3000</v>
      </c>
      <c r="Q6" s="55">
        <v>489</v>
      </c>
    </row>
    <row r="7" spans="1:17" x14ac:dyDescent="0.4">
      <c r="A7" s="72" t="s">
        <v>2</v>
      </c>
      <c r="B7" s="64">
        <v>239</v>
      </c>
      <c r="C7" s="47">
        <f>IF(B$2=0,0,B7/B$2)</f>
        <v>0.33333333333333331</v>
      </c>
      <c r="E7" s="81" t="s">
        <v>72</v>
      </c>
      <c r="F7" s="77" t="s">
        <v>12</v>
      </c>
      <c r="G7" s="64">
        <v>378</v>
      </c>
      <c r="H7" s="47">
        <f>IF(B$27=0,0,G7/B$27)</f>
        <v>0.31009023789991796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-5.1282051282051286</v>
      </c>
      <c r="P7" s="61">
        <v>-2000</v>
      </c>
      <c r="Q7" s="56">
        <v>390</v>
      </c>
    </row>
    <row r="8" spans="1:17" x14ac:dyDescent="0.4">
      <c r="A8" s="72" t="s">
        <v>3</v>
      </c>
      <c r="B8" s="64">
        <v>239</v>
      </c>
      <c r="C8" s="47">
        <f>IF(B$2=0,0,B8/B$2)</f>
        <v>0.33333333333333331</v>
      </c>
      <c r="E8" s="81" t="s">
        <v>73</v>
      </c>
      <c r="F8" s="77" t="s">
        <v>26</v>
      </c>
      <c r="G8" s="64">
        <v>185</v>
      </c>
      <c r="H8" s="47">
        <f>IF(B$27=0,0,G8/B$27)</f>
        <v>0.15176374077112387</v>
      </c>
      <c r="I8" s="117">
        <v>5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239</v>
      </c>
      <c r="C9" s="48">
        <f t="shared" ref="C9" si="1">IF(B$2=0,0,B9/B$2)</f>
        <v>0.33333333333333331</v>
      </c>
      <c r="E9" s="81" t="s">
        <v>94</v>
      </c>
      <c r="F9" s="77" t="s">
        <v>47</v>
      </c>
      <c r="G9" s="64">
        <v>185</v>
      </c>
      <c r="H9" s="47">
        <f>IF(B$27=0,0,G9/B$27)</f>
        <v>0.15176374077112387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115</v>
      </c>
      <c r="C10" s="48">
        <f>IF(B$2=0,0,B10/B$2)</f>
        <v>0.16039051603905161</v>
      </c>
      <c r="E10" s="81" t="s">
        <v>68</v>
      </c>
      <c r="F10" s="77" t="s">
        <v>22</v>
      </c>
      <c r="G10" s="64">
        <v>147</v>
      </c>
      <c r="H10" s="47">
        <f>IF(B$27=0,0,G10/B$27)</f>
        <v>0.12059064807219032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115</v>
      </c>
      <c r="C11" s="48">
        <f>IF(B$2=0,0,B11/B$2)</f>
        <v>0.16039051603905161</v>
      </c>
      <c r="E11" s="81" t="s">
        <v>74</v>
      </c>
      <c r="F11" s="77" t="s">
        <v>27</v>
      </c>
      <c r="G11" s="64">
        <v>123</v>
      </c>
      <c r="H11" s="47">
        <f>IF(B$27=0,0,G11/B$27)</f>
        <v>0.10090237899917966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61</v>
      </c>
      <c r="C12" s="51">
        <f>IF(B$2=0,0,B12/B$2)</f>
        <v>8.5076708507670851E-2</v>
      </c>
      <c r="E12" s="81" t="s">
        <v>91</v>
      </c>
      <c r="F12" s="77" t="s">
        <v>44</v>
      </c>
      <c r="G12" s="64">
        <v>81</v>
      </c>
      <c r="H12" s="47">
        <f>IF(B$27=0,0,G12/B$27)</f>
        <v>6.6447908121410992E-2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1189</v>
      </c>
      <c r="C13" s="54">
        <f>IF(B$26=0,0,B13/B$26)</f>
        <v>0.29401582591493569</v>
      </c>
      <c r="E13" s="81" t="s">
        <v>75</v>
      </c>
      <c r="F13" s="77" t="s">
        <v>28</v>
      </c>
      <c r="G13" s="64">
        <v>60</v>
      </c>
      <c r="H13" s="47">
        <f>IF(B$27=0,0,G13/B$27)</f>
        <v>4.922067268252666E-2</v>
      </c>
      <c r="I13" s="117">
        <v>5</v>
      </c>
      <c r="K13" s="46">
        <v>11</v>
      </c>
      <c r="L13" s="123">
        <v>44.5</v>
      </c>
      <c r="N13" s="46" t="s">
        <v>168</v>
      </c>
      <c r="O13" s="125">
        <f>IF(Q13=0,0,P13/Q13)</f>
        <v>13.25</v>
      </c>
      <c r="P13" s="131">
        <v>79.5</v>
      </c>
      <c r="Q13" s="55">
        <v>6</v>
      </c>
    </row>
    <row r="14" spans="1:17" x14ac:dyDescent="0.4">
      <c r="A14" s="72" t="s">
        <v>123</v>
      </c>
      <c r="B14" s="64">
        <v>889</v>
      </c>
      <c r="C14" s="47">
        <f>IF(B$26=0,0,B14/B$26)</f>
        <v>0.21983184965380811</v>
      </c>
      <c r="E14" s="81" t="s">
        <v>88</v>
      </c>
      <c r="F14" s="77" t="s">
        <v>41</v>
      </c>
      <c r="G14" s="64">
        <v>57</v>
      </c>
      <c r="H14" s="47">
        <f>IF(B$27=0,0,G14/B$27)</f>
        <v>4.6759639048400331E-2</v>
      </c>
      <c r="I14" s="117">
        <v>4</v>
      </c>
      <c r="K14" s="46">
        <v>12</v>
      </c>
      <c r="L14" s="123">
        <v>0</v>
      </c>
      <c r="N14" s="46" t="s">
        <v>136</v>
      </c>
      <c r="O14" s="125">
        <f>IF(Q14=0,0,P14/Q14)</f>
        <v>12.384677419354842</v>
      </c>
      <c r="P14" s="131">
        <v>1535.7000000000005</v>
      </c>
      <c r="Q14" s="55">
        <v>124</v>
      </c>
    </row>
    <row r="15" spans="1:17" x14ac:dyDescent="0.4">
      <c r="A15" s="71" t="s">
        <v>130</v>
      </c>
      <c r="B15" s="63">
        <v>697</v>
      </c>
      <c r="C15" s="45">
        <f>IF(B$13=0,0,B15/B$13)</f>
        <v>0.58620689655172409</v>
      </c>
      <c r="E15" s="81" t="s">
        <v>82</v>
      </c>
      <c r="F15" s="77" t="s">
        <v>35</v>
      </c>
      <c r="G15" s="64">
        <v>39</v>
      </c>
      <c r="H15" s="47">
        <f>IF(B$27=0,0,G15/B$27)</f>
        <v>3.1993437243642328E-2</v>
      </c>
      <c r="I15" s="117">
        <v>4</v>
      </c>
      <c r="K15" s="46">
        <v>13</v>
      </c>
      <c r="L15" s="123">
        <v>31.5</v>
      </c>
      <c r="N15" s="46" t="s">
        <v>139</v>
      </c>
      <c r="O15" s="125">
        <f>IF(Q15=0,0,P15/Q15)</f>
        <v>7.4787128712871267</v>
      </c>
      <c r="P15" s="131">
        <v>1510.6999999999996</v>
      </c>
      <c r="Q15" s="55">
        <v>202</v>
      </c>
    </row>
    <row r="16" spans="1:17" x14ac:dyDescent="0.4">
      <c r="A16" s="71" t="s">
        <v>131</v>
      </c>
      <c r="B16" s="63">
        <v>346</v>
      </c>
      <c r="C16" s="45">
        <f>IF(B$14=0,0,B16/B$14)</f>
        <v>0.38920134983127108</v>
      </c>
      <c r="E16" s="81" t="s">
        <v>86</v>
      </c>
      <c r="F16" s="77" t="s">
        <v>39</v>
      </c>
      <c r="G16" s="64">
        <v>36</v>
      </c>
      <c r="H16" s="47">
        <f>IF(B$27=0,0,G16/B$27)</f>
        <v>2.9532403609515995E-2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4.9596638655462169</v>
      </c>
      <c r="P16" s="131">
        <v>1180.3999999999996</v>
      </c>
      <c r="Q16" s="55">
        <v>238</v>
      </c>
    </row>
    <row r="17" spans="1:17" x14ac:dyDescent="0.4">
      <c r="A17" s="71" t="s">
        <v>10</v>
      </c>
      <c r="B17" s="63">
        <f>B19+B18</f>
        <v>1653</v>
      </c>
      <c r="C17" s="45">
        <f>IF(B$3=0,0,B17/B$3)</f>
        <v>0.30274725274725273</v>
      </c>
      <c r="E17" s="81" t="s">
        <v>96</v>
      </c>
      <c r="F17" s="77" t="s">
        <v>49</v>
      </c>
      <c r="G17" s="64">
        <v>21</v>
      </c>
      <c r="H17" s="47">
        <f>IF(B$27=0,0,G17/B$27)</f>
        <v>1.7227235438884332E-2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693</v>
      </c>
      <c r="C18" s="47">
        <f>IF(B$17=0,0,B18/B$17)</f>
        <v>0.41923774954627951</v>
      </c>
      <c r="E18" s="81" t="s">
        <v>83</v>
      </c>
      <c r="F18" s="77" t="s">
        <v>36</v>
      </c>
      <c r="G18" s="64">
        <v>15</v>
      </c>
      <c r="H18" s="47">
        <f>IF(B$27=0,0,G18/B$27)</f>
        <v>1.2305168170631665E-2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-4.0301980198019773</v>
      </c>
      <c r="P18" s="131">
        <v>-814.09999999999945</v>
      </c>
      <c r="Q18" s="55">
        <v>202</v>
      </c>
    </row>
    <row r="19" spans="1:17" x14ac:dyDescent="0.4">
      <c r="A19" s="72" t="s">
        <v>11</v>
      </c>
      <c r="B19" s="64">
        <v>960</v>
      </c>
      <c r="C19" s="47">
        <f>IF(B$17=0,0,B19/B$17)</f>
        <v>0.58076225045372054</v>
      </c>
      <c r="E19" s="81" t="s">
        <v>77</v>
      </c>
      <c r="F19" s="77" t="s">
        <v>30</v>
      </c>
      <c r="G19" s="64">
        <v>10</v>
      </c>
      <c r="H19" s="47">
        <f>IF(B$27=0,0,G19/B$27)</f>
        <v>8.2034454470877767E-3</v>
      </c>
      <c r="I19" s="117">
        <v>3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939</v>
      </c>
      <c r="C20" s="47">
        <f>IF(B$3=0,0,B20/B$3)</f>
        <v>0.17197802197802198</v>
      </c>
      <c r="E20" s="81" t="s">
        <v>79</v>
      </c>
      <c r="F20" s="77" t="s">
        <v>32</v>
      </c>
      <c r="G20" s="64">
        <v>9</v>
      </c>
      <c r="H20" s="47">
        <f>IF(B$27=0,0,G20/B$27)</f>
        <v>7.3831009023789989E-3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-9.1286057692307665</v>
      </c>
      <c r="P20" s="131">
        <v>-3797.4999999999986</v>
      </c>
      <c r="Q20" s="55">
        <v>416</v>
      </c>
    </row>
    <row r="21" spans="1:17" x14ac:dyDescent="0.4">
      <c r="A21" s="72" t="s">
        <v>5</v>
      </c>
      <c r="B21" s="68">
        <f>IF(B$17=0,0,C21/B$17)</f>
        <v>10261.282516636418</v>
      </c>
      <c r="C21" s="49">
        <v>16961900</v>
      </c>
      <c r="E21" s="81" t="s">
        <v>81</v>
      </c>
      <c r="F21" s="77" t="s">
        <v>34</v>
      </c>
      <c r="G21" s="64">
        <v>8</v>
      </c>
      <c r="H21" s="47">
        <f>IF(B$27=0,0,G21/B$27)</f>
        <v>6.5627563576702219E-3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-9450.0532481363152</v>
      </c>
      <c r="C22" s="62">
        <v>-8873600</v>
      </c>
      <c r="E22" s="81" t="s">
        <v>97</v>
      </c>
      <c r="F22" s="77" t="s">
        <v>50</v>
      </c>
      <c r="G22" s="64">
        <v>7</v>
      </c>
      <c r="H22" s="47">
        <f>IF(B$27=0,0,G22/B$27)</f>
        <v>5.742411812961444E-3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39">
        <v>10</v>
      </c>
      <c r="C23" s="140"/>
      <c r="E23" s="81" t="s">
        <v>90</v>
      </c>
      <c r="F23" s="77" t="s">
        <v>43</v>
      </c>
      <c r="G23" s="64">
        <v>5</v>
      </c>
      <c r="H23" s="47">
        <f>IF(B$27=0,0,G23/B$27)</f>
        <v>4.1017227235438884E-3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37">
        <v>124700</v>
      </c>
      <c r="C24" s="138"/>
      <c r="E24" s="81" t="s">
        <v>98</v>
      </c>
      <c r="F24" s="77" t="s">
        <v>51</v>
      </c>
      <c r="G24" s="64">
        <v>5</v>
      </c>
      <c r="H24" s="47">
        <f>IF(B$27=0,0,G24/B$27)</f>
        <v>4.1017227235438884E-3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3.4798534798534801E-3</v>
      </c>
      <c r="E25" s="81" t="s">
        <v>89</v>
      </c>
      <c r="F25" s="77" t="s">
        <v>42</v>
      </c>
      <c r="G25" s="64">
        <v>3</v>
      </c>
      <c r="H25" s="47">
        <f>IF(B$27=0,0,G25/B$27)</f>
        <v>2.4610336341263331E-3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43">
        <v>4044</v>
      </c>
      <c r="C26" s="144"/>
      <c r="E26" s="81" t="s">
        <v>92</v>
      </c>
      <c r="F26" s="77" t="s">
        <v>45</v>
      </c>
      <c r="G26" s="64">
        <v>3</v>
      </c>
      <c r="H26" s="47">
        <f>IF(B$27=0,0,G26/B$27)</f>
        <v>2.4610336341263331E-3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45">
        <v>1219</v>
      </c>
      <c r="C27" s="146"/>
      <c r="E27" s="81" t="s">
        <v>78</v>
      </c>
      <c r="F27" s="77" t="s">
        <v>31</v>
      </c>
      <c r="G27" s="64">
        <v>2</v>
      </c>
      <c r="H27" s="47">
        <f>IF(B$27=0,0,G27/B$27)</f>
        <v>1.6406890894175555E-3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8.2034454470877774E-4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8.2034454470877774E-4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8.2034454470877774E-4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8.2034454470877774E-4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8.2034454470877774E-4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  <row r="699" spans="11:12" x14ac:dyDescent="0.4">
      <c r="K699" s="46">
        <v>697</v>
      </c>
      <c r="L699" s="123">
        <v>13.200000000000056</v>
      </c>
    </row>
    <row r="700" spans="11:12" x14ac:dyDescent="0.4">
      <c r="K700" s="46">
        <v>698</v>
      </c>
      <c r="L700" s="123">
        <v>-17.499999999999943</v>
      </c>
    </row>
    <row r="701" spans="11:12" x14ac:dyDescent="0.4">
      <c r="K701" s="46">
        <v>699</v>
      </c>
      <c r="L701" s="123">
        <v>-4.9999999999999432</v>
      </c>
    </row>
    <row r="702" spans="11:12" x14ac:dyDescent="0.4">
      <c r="K702" s="46">
        <v>700</v>
      </c>
      <c r="L702" s="123">
        <v>17.800000000000058</v>
      </c>
    </row>
    <row r="703" spans="11:12" x14ac:dyDescent="0.4">
      <c r="K703" s="46">
        <v>701</v>
      </c>
      <c r="L703" s="123">
        <v>-22.199999999999942</v>
      </c>
    </row>
    <row r="704" spans="11:12" x14ac:dyDescent="0.4">
      <c r="K704" s="46">
        <v>702</v>
      </c>
      <c r="L704" s="123">
        <v>-4.9999999999999432</v>
      </c>
    </row>
    <row r="705" spans="11:12" x14ac:dyDescent="0.4">
      <c r="K705" s="46">
        <v>703</v>
      </c>
      <c r="L705" s="123">
        <v>3.1000000000000565</v>
      </c>
    </row>
    <row r="706" spans="11:12" x14ac:dyDescent="0.4">
      <c r="K706" s="46">
        <v>704</v>
      </c>
      <c r="L706" s="123">
        <v>25.600000000000058</v>
      </c>
    </row>
    <row r="707" spans="11:12" x14ac:dyDescent="0.4">
      <c r="K707" s="46">
        <v>705</v>
      </c>
      <c r="L707" s="123">
        <v>-4.9999999999999432</v>
      </c>
    </row>
    <row r="708" spans="11:12" x14ac:dyDescent="0.4">
      <c r="K708" s="46">
        <v>706</v>
      </c>
      <c r="L708" s="123">
        <v>5.6843418860808015E-14</v>
      </c>
    </row>
    <row r="709" spans="11:12" x14ac:dyDescent="0.4">
      <c r="K709" s="46">
        <v>707</v>
      </c>
      <c r="L709" s="123">
        <v>-28.799999999999944</v>
      </c>
    </row>
    <row r="710" spans="11:12" x14ac:dyDescent="0.4">
      <c r="K710" s="46">
        <v>708</v>
      </c>
      <c r="L710" s="123">
        <v>-4.9999999999999432</v>
      </c>
    </row>
    <row r="711" spans="11:12" x14ac:dyDescent="0.4">
      <c r="K711" s="46">
        <v>709</v>
      </c>
      <c r="L711" s="123">
        <v>-43.999999999999943</v>
      </c>
    </row>
    <row r="712" spans="11:12" x14ac:dyDescent="0.4">
      <c r="K712" s="46">
        <v>710</v>
      </c>
      <c r="L712" s="123">
        <v>-28.499999999999943</v>
      </c>
    </row>
    <row r="713" spans="11:12" x14ac:dyDescent="0.4">
      <c r="K713" s="46">
        <v>711</v>
      </c>
      <c r="L713" s="123">
        <v>-4.9999999999999432</v>
      </c>
    </row>
    <row r="714" spans="11:12" x14ac:dyDescent="0.4">
      <c r="K714" s="46">
        <v>712</v>
      </c>
      <c r="L714" s="123">
        <v>2.5000000000000568</v>
      </c>
    </row>
    <row r="715" spans="11:12" x14ac:dyDescent="0.4">
      <c r="K715" s="46">
        <v>713</v>
      </c>
      <c r="L715" s="123">
        <v>45.500000000000057</v>
      </c>
    </row>
    <row r="716" spans="11:12" x14ac:dyDescent="0.4">
      <c r="K716" s="46">
        <v>714</v>
      </c>
      <c r="L716" s="123">
        <v>-4.9999999999999432</v>
      </c>
    </row>
    <row r="717" spans="11:12" x14ac:dyDescent="0.4">
      <c r="K717" s="46">
        <v>715</v>
      </c>
      <c r="L717" s="123">
        <v>12.800000000000058</v>
      </c>
    </row>
    <row r="718" spans="11:12" x14ac:dyDescent="0.4">
      <c r="K718" s="46">
        <v>716</v>
      </c>
      <c r="L718" s="123">
        <v>-6.7999999999999439</v>
      </c>
    </row>
    <row r="719" spans="11:12" x14ac:dyDescent="0.4">
      <c r="K719" s="46">
        <v>717</v>
      </c>
      <c r="L719" s="123">
        <v>-4.999999999999944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A0B3-BFA6-40A3-BAA5-881D45FA82DC}">
  <sheetPr codeName="Sheet7"/>
  <dimension ref="A1:Q210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208</v>
      </c>
      <c r="C2" s="144"/>
      <c r="E2" s="80" t="s">
        <v>71</v>
      </c>
      <c r="F2" s="76" t="s">
        <v>25</v>
      </c>
      <c r="G2" s="63">
        <v>345</v>
      </c>
      <c r="H2" s="45">
        <f>IF(B$27=0,0,G2/B$27)</f>
        <v>0.87121212121212122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1319.1176470588234</v>
      </c>
      <c r="P2" s="59">
        <v>269100</v>
      </c>
      <c r="Q2" s="57">
        <v>204</v>
      </c>
    </row>
    <row r="3" spans="1:17" x14ac:dyDescent="0.4">
      <c r="A3" s="72" t="s">
        <v>8</v>
      </c>
      <c r="B3" s="149">
        <v>1565</v>
      </c>
      <c r="C3" s="150"/>
      <c r="E3" s="81" t="s">
        <v>69</v>
      </c>
      <c r="F3" s="77" t="s">
        <v>23</v>
      </c>
      <c r="G3" s="64">
        <v>263</v>
      </c>
      <c r="H3" s="47">
        <f>IF(B$27=0,0,G3/B$27)</f>
        <v>0.66414141414141414</v>
      </c>
      <c r="I3" s="117">
        <v>8</v>
      </c>
      <c r="K3" s="46">
        <v>1</v>
      </c>
      <c r="L3" s="123">
        <v>15</v>
      </c>
      <c r="N3" s="46" t="s">
        <v>148</v>
      </c>
      <c r="O3" s="127">
        <f t="shared" si="0"/>
        <v>321.9387755102041</v>
      </c>
      <c r="P3" s="60">
        <v>63100</v>
      </c>
      <c r="Q3" s="55">
        <v>196</v>
      </c>
    </row>
    <row r="4" spans="1:17" x14ac:dyDescent="0.4">
      <c r="A4" s="72" t="s">
        <v>6</v>
      </c>
      <c r="B4" s="151">
        <v>1264.5</v>
      </c>
      <c r="C4" s="152"/>
      <c r="E4" s="81" t="s">
        <v>67</v>
      </c>
      <c r="F4" s="77" t="s">
        <v>21</v>
      </c>
      <c r="G4" s="64">
        <v>220</v>
      </c>
      <c r="H4" s="47">
        <f>IF(B$27=0,0,G4/B$27)</f>
        <v>0.55555555555555558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1320.3296703296703</v>
      </c>
      <c r="P4" s="60">
        <v>240300</v>
      </c>
      <c r="Q4" s="55">
        <v>182</v>
      </c>
    </row>
    <row r="5" spans="1:17" x14ac:dyDescent="0.4">
      <c r="A5" s="72" t="s">
        <v>7</v>
      </c>
      <c r="B5" s="153">
        <f>IF(B$2=0,0,B$4/B$2)</f>
        <v>6.0793269230769234</v>
      </c>
      <c r="C5" s="154"/>
      <c r="E5" s="81" t="s">
        <v>76</v>
      </c>
      <c r="F5" s="77" t="s">
        <v>29</v>
      </c>
      <c r="G5" s="64">
        <v>210</v>
      </c>
      <c r="H5" s="47">
        <f>IF(B$27=0,0,G5/B$27)</f>
        <v>0.53030303030303028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1235.3658536585365</v>
      </c>
      <c r="P5" s="60">
        <v>202600</v>
      </c>
      <c r="Q5" s="55">
        <v>164</v>
      </c>
    </row>
    <row r="6" spans="1:17" x14ac:dyDescent="0.4">
      <c r="A6" s="72" t="s">
        <v>1</v>
      </c>
      <c r="B6" s="141">
        <f>IF(B$2=0,0,(B$7*1+B$8*2+B$9*3)/B$2)</f>
        <v>1.7980769230769231</v>
      </c>
      <c r="C6" s="142"/>
      <c r="E6" s="81" t="s">
        <v>70</v>
      </c>
      <c r="F6" s="77" t="s">
        <v>24</v>
      </c>
      <c r="G6" s="64">
        <v>117</v>
      </c>
      <c r="H6" s="47">
        <f>IF(B$27=0,0,G6/B$27)</f>
        <v>0.29545454545454547</v>
      </c>
      <c r="I6" s="117">
        <v>9</v>
      </c>
      <c r="K6" s="46">
        <v>4</v>
      </c>
      <c r="L6" s="123">
        <v>114.30000000000001</v>
      </c>
      <c r="N6" s="46" t="s">
        <v>151</v>
      </c>
      <c r="O6" s="127">
        <f t="shared" si="0"/>
        <v>1892.2535211267605</v>
      </c>
      <c r="P6" s="60">
        <v>268700</v>
      </c>
      <c r="Q6" s="55">
        <v>142</v>
      </c>
    </row>
    <row r="7" spans="1:17" x14ac:dyDescent="0.4">
      <c r="A7" s="72" t="s">
        <v>2</v>
      </c>
      <c r="B7" s="64">
        <v>88</v>
      </c>
      <c r="C7" s="47">
        <f>IF(B$2=0,0,B7/B$2)</f>
        <v>0.42307692307692307</v>
      </c>
      <c r="E7" s="81" t="s">
        <v>72</v>
      </c>
      <c r="F7" s="77" t="s">
        <v>12</v>
      </c>
      <c r="G7" s="64">
        <v>114</v>
      </c>
      <c r="H7" s="47">
        <f>IF(B$27=0,0,G7/B$27)</f>
        <v>0.2878787878787879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1649.1071428571429</v>
      </c>
      <c r="P7" s="61">
        <v>184700</v>
      </c>
      <c r="Q7" s="56">
        <v>112</v>
      </c>
    </row>
    <row r="8" spans="1:17" x14ac:dyDescent="0.4">
      <c r="A8" s="72" t="s">
        <v>3</v>
      </c>
      <c r="B8" s="64">
        <v>74</v>
      </c>
      <c r="C8" s="47">
        <f>IF(B$2=0,0,B8/B$2)</f>
        <v>0.35576923076923078</v>
      </c>
      <c r="E8" s="81" t="s">
        <v>94</v>
      </c>
      <c r="F8" s="77" t="s">
        <v>47</v>
      </c>
      <c r="G8" s="64">
        <v>73</v>
      </c>
      <c r="H8" s="47">
        <f>IF(B$27=0,0,G8/B$27)</f>
        <v>0.18434343434343434</v>
      </c>
      <c r="I8" s="117">
        <v>1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0.22115384615384615</v>
      </c>
      <c r="E9" s="81" t="s">
        <v>73</v>
      </c>
      <c r="F9" s="77" t="s">
        <v>26</v>
      </c>
      <c r="G9" s="64">
        <v>60</v>
      </c>
      <c r="H9" s="47">
        <f>IF(B$27=0,0,G9/B$27)</f>
        <v>0.15151515151515152</v>
      </c>
      <c r="I9" s="117">
        <v>6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0.10576923076923077</v>
      </c>
      <c r="E10" s="81" t="s">
        <v>68</v>
      </c>
      <c r="F10" s="77" t="s">
        <v>22</v>
      </c>
      <c r="G10" s="64">
        <v>44</v>
      </c>
      <c r="H10" s="47">
        <f>IF(B$27=0,0,G10/B$27)</f>
        <v>0.1111111111111111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42</v>
      </c>
      <c r="C11" s="48">
        <f>IF(B$2=0,0,B11/B$2)</f>
        <v>0.20192307692307693</v>
      </c>
      <c r="E11" s="81" t="s">
        <v>74</v>
      </c>
      <c r="F11" s="77" t="s">
        <v>27</v>
      </c>
      <c r="G11" s="64">
        <v>34</v>
      </c>
      <c r="H11" s="47">
        <f>IF(B$27=0,0,G11/B$27)</f>
        <v>8.5858585858585856E-2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21</v>
      </c>
      <c r="C12" s="51">
        <f>IF(B$2=0,0,B12/B$2)</f>
        <v>0.10096153846153846</v>
      </c>
      <c r="E12" s="81" t="s">
        <v>75</v>
      </c>
      <c r="F12" s="77" t="s">
        <v>28</v>
      </c>
      <c r="G12" s="64">
        <v>27</v>
      </c>
      <c r="H12" s="47">
        <f>IF(B$27=0,0,G12/B$27)</f>
        <v>6.8181818181818177E-2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340</v>
      </c>
      <c r="C13" s="54">
        <f>IF(B$26=0,0,B13/B$26)</f>
        <v>0.30658250676284943</v>
      </c>
      <c r="E13" s="81" t="s">
        <v>91</v>
      </c>
      <c r="F13" s="77" t="s">
        <v>44</v>
      </c>
      <c r="G13" s="64">
        <v>25</v>
      </c>
      <c r="H13" s="47">
        <f>IF(B$27=0,0,G13/B$27)</f>
        <v>6.3131313131313135E-2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16.630769230769236</v>
      </c>
      <c r="P13" s="131">
        <v>864.80000000000018</v>
      </c>
      <c r="Q13" s="55">
        <v>52</v>
      </c>
    </row>
    <row r="14" spans="1:17" x14ac:dyDescent="0.4">
      <c r="A14" s="72" t="s">
        <v>123</v>
      </c>
      <c r="B14" s="64">
        <v>231</v>
      </c>
      <c r="C14" s="47">
        <f>IF(B$26=0,0,B14/B$26)</f>
        <v>0.20829576194770064</v>
      </c>
      <c r="E14" s="81" t="s">
        <v>88</v>
      </c>
      <c r="F14" s="77" t="s">
        <v>41</v>
      </c>
      <c r="G14" s="64">
        <v>12</v>
      </c>
      <c r="H14" s="47">
        <f>IF(B$27=0,0,G14/B$27)</f>
        <v>3.0303030303030304E-2</v>
      </c>
      <c r="I14" s="117">
        <v>7</v>
      </c>
      <c r="K14" s="46">
        <v>12</v>
      </c>
      <c r="L14" s="123">
        <v>14.300000000000018</v>
      </c>
      <c r="N14" s="46" t="s">
        <v>139</v>
      </c>
      <c r="O14" s="125">
        <f>IF(Q14=0,0,P14/Q14)</f>
        <v>12.015000000000001</v>
      </c>
      <c r="P14" s="131">
        <v>961.2</v>
      </c>
      <c r="Q14" s="55">
        <v>80</v>
      </c>
    </row>
    <row r="15" spans="1:17" x14ac:dyDescent="0.4">
      <c r="A15" s="71" t="s">
        <v>130</v>
      </c>
      <c r="B15" s="63">
        <v>222</v>
      </c>
      <c r="C15" s="45">
        <f>IF(B$13=0,0,B15/B$13)</f>
        <v>0.65294117647058825</v>
      </c>
      <c r="E15" s="81" t="s">
        <v>86</v>
      </c>
      <c r="F15" s="77" t="s">
        <v>39</v>
      </c>
      <c r="G15" s="64">
        <v>10</v>
      </c>
      <c r="H15" s="47">
        <f>IF(B$27=0,0,G15/B$27)</f>
        <v>2.5252525252525252E-2</v>
      </c>
      <c r="I15" s="117">
        <v>6</v>
      </c>
      <c r="K15" s="46">
        <v>13</v>
      </c>
      <c r="L15" s="123">
        <v>71.300000000000011</v>
      </c>
      <c r="N15" s="46" t="s">
        <v>168</v>
      </c>
      <c r="O15" s="125">
        <f>IF(Q15=0,0,P15/Q15)</f>
        <v>8</v>
      </c>
      <c r="P15" s="131">
        <v>8</v>
      </c>
      <c r="Q15" s="55">
        <v>1</v>
      </c>
    </row>
    <row r="16" spans="1:17" x14ac:dyDescent="0.4">
      <c r="A16" s="71" t="s">
        <v>131</v>
      </c>
      <c r="B16" s="63">
        <v>109</v>
      </c>
      <c r="C16" s="45">
        <f>IF(B$14=0,0,B16/B$14)</f>
        <v>0.47186147186147187</v>
      </c>
      <c r="E16" s="81" t="s">
        <v>82</v>
      </c>
      <c r="F16" s="77" t="s">
        <v>35</v>
      </c>
      <c r="G16" s="64">
        <v>7</v>
      </c>
      <c r="H16" s="47">
        <f>IF(B$27=0,0,G16/B$27)</f>
        <v>1.7676767676767676E-2</v>
      </c>
      <c r="I16" s="117">
        <v>8</v>
      </c>
      <c r="K16" s="46">
        <v>14</v>
      </c>
      <c r="L16" s="123">
        <v>27.300000000000011</v>
      </c>
      <c r="N16" s="46" t="s">
        <v>134</v>
      </c>
      <c r="O16" s="125">
        <f>IF(Q16=0,0,P16/Q16)</f>
        <v>7.8215686274509757</v>
      </c>
      <c r="P16" s="131">
        <v>797.7999999999995</v>
      </c>
      <c r="Q16" s="55">
        <v>102</v>
      </c>
    </row>
    <row r="17" spans="1:17" x14ac:dyDescent="0.4">
      <c r="A17" s="71" t="s">
        <v>10</v>
      </c>
      <c r="B17" s="63">
        <f>B19+B18</f>
        <v>552</v>
      </c>
      <c r="C17" s="45">
        <f>IF(B$3=0,0,B17/B$3)</f>
        <v>0.35271565495207668</v>
      </c>
      <c r="E17" s="81" t="s">
        <v>96</v>
      </c>
      <c r="F17" s="77" t="s">
        <v>49</v>
      </c>
      <c r="G17" s="64">
        <v>5</v>
      </c>
      <c r="H17" s="47">
        <f>IF(B$27=0,0,G17/B$27)</f>
        <v>1.2626262626262626E-2</v>
      </c>
      <c r="I17" s="117">
        <v>8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209</v>
      </c>
      <c r="C18" s="47">
        <f>IF(B$17=0,0,B18/B$17)</f>
        <v>0.37862318840579712</v>
      </c>
      <c r="E18" s="81" t="s">
        <v>79</v>
      </c>
      <c r="F18" s="77" t="s">
        <v>32</v>
      </c>
      <c r="G18" s="64">
        <v>4</v>
      </c>
      <c r="H18" s="47">
        <f>IF(B$27=0,0,G18/B$27)</f>
        <v>1.0101010101010102E-2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2.4535714285714283</v>
      </c>
      <c r="P18" s="131">
        <v>206.09999999999997</v>
      </c>
      <c r="Q18" s="55">
        <v>84</v>
      </c>
    </row>
    <row r="19" spans="1:17" x14ac:dyDescent="0.4">
      <c r="A19" s="72" t="s">
        <v>11</v>
      </c>
      <c r="B19" s="64">
        <v>343</v>
      </c>
      <c r="C19" s="47">
        <f>IF(B$17=0,0,B19/B$17)</f>
        <v>0.62137681159420288</v>
      </c>
      <c r="E19" s="81" t="s">
        <v>81</v>
      </c>
      <c r="F19" s="77" t="s">
        <v>34</v>
      </c>
      <c r="G19" s="64">
        <v>4</v>
      </c>
      <c r="H19" s="47">
        <f>IF(B$27=0,0,G19/B$27)</f>
        <v>1.0101010101010102E-2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224</v>
      </c>
      <c r="C20" s="47">
        <f>IF(B$3=0,0,B20/B$3)</f>
        <v>0.14313099041533547</v>
      </c>
      <c r="E20" s="81" t="s">
        <v>77</v>
      </c>
      <c r="F20" s="77" t="s">
        <v>30</v>
      </c>
      <c r="G20" s="64">
        <v>3</v>
      </c>
      <c r="H20" s="47">
        <f>IF(B$27=0,0,G20/B$27)</f>
        <v>7.575757575757576E-3</v>
      </c>
      <c r="I20" s="117">
        <v>4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9943.4782608695659</v>
      </c>
      <c r="C21" s="49">
        <v>5488800</v>
      </c>
      <c r="E21" s="81" t="s">
        <v>83</v>
      </c>
      <c r="F21" s="77" t="s">
        <v>36</v>
      </c>
      <c r="G21" s="64">
        <v>3</v>
      </c>
      <c r="H21" s="47">
        <f>IF(B$27=0,0,G21/B$27)</f>
        <v>7.575757575757576E-3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-9401.7857142857138</v>
      </c>
      <c r="C22" s="62">
        <v>-2106000</v>
      </c>
      <c r="E22" s="81" t="s">
        <v>97</v>
      </c>
      <c r="F22" s="77" t="s">
        <v>50</v>
      </c>
      <c r="G22" s="64">
        <v>3</v>
      </c>
      <c r="H22" s="47">
        <f>IF(B$27=0,0,G22/B$27)</f>
        <v>7.575757575757576E-3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2</v>
      </c>
      <c r="H23" s="47">
        <f>IF(B$27=0,0,G23/B$27)</f>
        <v>5.0505050505050509E-3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37">
        <v>120200</v>
      </c>
      <c r="C24" s="138"/>
      <c r="E24" s="81" t="s">
        <v>78</v>
      </c>
      <c r="F24" s="77" t="s">
        <v>31</v>
      </c>
      <c r="G24" s="64">
        <v>1</v>
      </c>
      <c r="H24" s="47">
        <f>IF(B$27=0,0,G24/B$27)</f>
        <v>2.5252525252525255E-3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1.2779552715654952E-3</v>
      </c>
      <c r="E25" s="81" t="s">
        <v>90</v>
      </c>
      <c r="F25" s="77" t="s">
        <v>43</v>
      </c>
      <c r="G25" s="64">
        <v>1</v>
      </c>
      <c r="H25" s="47">
        <f>IF(B$27=0,0,G25/B$27)</f>
        <v>2.5252525252525255E-3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3">
        <v>1109</v>
      </c>
      <c r="C26" s="144"/>
      <c r="E26" s="81" t="s">
        <v>95</v>
      </c>
      <c r="F26" s="77" t="s">
        <v>48</v>
      </c>
      <c r="G26" s="64">
        <v>1</v>
      </c>
      <c r="H26" s="47">
        <f>IF(B$27=0,0,G26/B$27)</f>
        <v>2.5252525252525255E-3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45">
        <v>396</v>
      </c>
      <c r="C27" s="146"/>
      <c r="E27" s="81" t="s">
        <v>100</v>
      </c>
      <c r="F27" s="77" t="s">
        <v>53</v>
      </c>
      <c r="G27" s="64">
        <v>1</v>
      </c>
      <c r="H27" s="47">
        <f>IF(B$27=0,0,G27/B$27)</f>
        <v>2.5252525252525255E-3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2.5252525252525255E-3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  <row r="206" spans="11:12" x14ac:dyDescent="0.4">
      <c r="K206" s="46">
        <v>204</v>
      </c>
      <c r="L206" s="123">
        <v>1267.6000000000001</v>
      </c>
    </row>
    <row r="207" spans="11:12" x14ac:dyDescent="0.4">
      <c r="K207" s="46">
        <v>205</v>
      </c>
      <c r="L207" s="123">
        <v>1290.4000000000001</v>
      </c>
    </row>
    <row r="208" spans="11:12" x14ac:dyDescent="0.4">
      <c r="K208" s="46">
        <v>206</v>
      </c>
      <c r="L208" s="123">
        <v>1298.5</v>
      </c>
    </row>
    <row r="209" spans="11:12" x14ac:dyDescent="0.4">
      <c r="K209" s="46">
        <v>207</v>
      </c>
      <c r="L209" s="123">
        <v>1303.5</v>
      </c>
    </row>
    <row r="210" spans="11:12" x14ac:dyDescent="0.4">
      <c r="K210" s="46">
        <v>208</v>
      </c>
      <c r="L210" s="123">
        <v>1264.5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B8AF-185B-480E-8F9A-865743B35A8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0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13000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0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0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0596-5F87-4726-86AB-6E8E66267F7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2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42000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11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1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E532-94DA-40B0-9AE8-AB2352C931D2}">
  <sheetPr codeName="Sheet13"/>
  <dimension ref="A1:Q12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119</v>
      </c>
      <c r="C2" s="144"/>
      <c r="E2" s="80" t="s">
        <v>71</v>
      </c>
      <c r="F2" s="76" t="s">
        <v>25</v>
      </c>
      <c r="G2" s="63">
        <v>136</v>
      </c>
      <c r="H2" s="45">
        <f>IF(B$27=0,0,G2/B$27)</f>
        <v>0.7640449438202247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-376.92307692307691</v>
      </c>
      <c r="P2" s="59">
        <v>-44100</v>
      </c>
      <c r="Q2" s="57">
        <v>117</v>
      </c>
    </row>
    <row r="3" spans="1:17" x14ac:dyDescent="0.4">
      <c r="A3" s="72" t="s">
        <v>8</v>
      </c>
      <c r="B3" s="149">
        <v>926</v>
      </c>
      <c r="C3" s="150"/>
      <c r="E3" s="81" t="s">
        <v>69</v>
      </c>
      <c r="F3" s="77" t="s">
        <v>23</v>
      </c>
      <c r="G3" s="64">
        <v>124</v>
      </c>
      <c r="H3" s="47">
        <f>IF(B$27=0,0,G3/B$27)</f>
        <v>0.6966292134831461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-1461.9469026548672</v>
      </c>
      <c r="P3" s="60">
        <v>-165200</v>
      </c>
      <c r="Q3" s="55">
        <v>113</v>
      </c>
    </row>
    <row r="4" spans="1:17" x14ac:dyDescent="0.4">
      <c r="A4" s="72" t="s">
        <v>6</v>
      </c>
      <c r="B4" s="151">
        <v>-394.7999999999999</v>
      </c>
      <c r="C4" s="152"/>
      <c r="E4" s="81" t="s">
        <v>67</v>
      </c>
      <c r="F4" s="77" t="s">
        <v>21</v>
      </c>
      <c r="G4" s="64">
        <v>112</v>
      </c>
      <c r="H4" s="47">
        <f>IF(B$27=0,0,G4/B$27)</f>
        <v>0.6292134831460674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1958.1818181818182</v>
      </c>
      <c r="P4" s="60">
        <v>215400</v>
      </c>
      <c r="Q4" s="55">
        <v>110</v>
      </c>
    </row>
    <row r="5" spans="1:17" x14ac:dyDescent="0.4">
      <c r="A5" s="72" t="s">
        <v>7</v>
      </c>
      <c r="B5" s="153">
        <f>IF(B$2=0,0,B$4/B$2)</f>
        <v>-3.3176470588235287</v>
      </c>
      <c r="C5" s="154"/>
      <c r="E5" s="81" t="s">
        <v>76</v>
      </c>
      <c r="F5" s="77" t="s">
        <v>29</v>
      </c>
      <c r="G5" s="64">
        <v>93</v>
      </c>
      <c r="H5" s="47">
        <f>IF(B$27=0,0,G5/B$27)</f>
        <v>0.52247191011235961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41">
        <f>IF(B$2=0,0,(B$7*1+B$8*2+B$9*3)/B$2)</f>
        <v>2.0840336134453783</v>
      </c>
      <c r="C6" s="142"/>
      <c r="E6" s="81" t="s">
        <v>72</v>
      </c>
      <c r="F6" s="77" t="s">
        <v>12</v>
      </c>
      <c r="G6" s="64">
        <v>64</v>
      </c>
      <c r="H6" s="47">
        <f>IF(B$27=0,0,G6/B$27)</f>
        <v>0.3595505617977528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0.30252100840336132</v>
      </c>
      <c r="E7" s="81" t="s">
        <v>70</v>
      </c>
      <c r="F7" s="77" t="s">
        <v>24</v>
      </c>
      <c r="G7" s="64">
        <v>58</v>
      </c>
      <c r="H7" s="47">
        <f>IF(B$27=0,0,G7/B$27)</f>
        <v>0.3258426966292135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37</v>
      </c>
      <c r="C8" s="47">
        <f>IF(B$2=0,0,B8/B$2)</f>
        <v>0.31092436974789917</v>
      </c>
      <c r="E8" s="81" t="s">
        <v>68</v>
      </c>
      <c r="F8" s="77" t="s">
        <v>22</v>
      </c>
      <c r="G8" s="64">
        <v>29</v>
      </c>
      <c r="H8" s="47">
        <f>IF(B$27=0,0,G8/B$27)</f>
        <v>0.16292134831460675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0.38655462184873951</v>
      </c>
      <c r="E9" s="81" t="s">
        <v>94</v>
      </c>
      <c r="F9" s="77" t="s">
        <v>47</v>
      </c>
      <c r="G9" s="64">
        <v>29</v>
      </c>
      <c r="H9" s="47">
        <f>IF(B$27=0,0,G9/B$27)</f>
        <v>0.16292134831460675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0.19327731092436976</v>
      </c>
      <c r="E10" s="81" t="s">
        <v>74</v>
      </c>
      <c r="F10" s="77" t="s">
        <v>27</v>
      </c>
      <c r="G10" s="64">
        <v>27</v>
      </c>
      <c r="H10" s="47">
        <f>IF(B$27=0,0,G10/B$27)</f>
        <v>0.15168539325842698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0.13445378151260504</v>
      </c>
      <c r="E11" s="81" t="s">
        <v>73</v>
      </c>
      <c r="F11" s="77" t="s">
        <v>26</v>
      </c>
      <c r="G11" s="64">
        <v>26</v>
      </c>
      <c r="H11" s="47">
        <f>IF(B$27=0,0,G11/B$27)</f>
        <v>0.14606741573033707</v>
      </c>
      <c r="I11" s="117">
        <v>7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7.5630252100840331E-2</v>
      </c>
      <c r="E12" s="81" t="s">
        <v>91</v>
      </c>
      <c r="F12" s="77" t="s">
        <v>44</v>
      </c>
      <c r="G12" s="64">
        <v>17</v>
      </c>
      <c r="H12" s="47">
        <f>IF(B$27=0,0,G12/B$27)</f>
        <v>9.5505617977528087E-2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6.842105263157892</v>
      </c>
      <c r="P12" s="131">
        <v>259.99999999999989</v>
      </c>
      <c r="Q12" s="55">
        <v>38</v>
      </c>
    </row>
    <row r="13" spans="1:17" x14ac:dyDescent="0.4">
      <c r="A13" s="75" t="s">
        <v>128</v>
      </c>
      <c r="B13" s="67">
        <v>197</v>
      </c>
      <c r="C13" s="54">
        <f>IF(B$26=0,0,B13/B$26)</f>
        <v>0.29624060150375942</v>
      </c>
      <c r="E13" s="81" t="s">
        <v>88</v>
      </c>
      <c r="F13" s="77" t="s">
        <v>41</v>
      </c>
      <c r="G13" s="64">
        <v>15</v>
      </c>
      <c r="H13" s="47">
        <f>IF(B$27=0,0,G13/B$27)</f>
        <v>8.4269662921348312E-2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113</v>
      </c>
      <c r="C14" s="47">
        <f>IF(B$26=0,0,B14/B$26)</f>
        <v>0.1699248120300752</v>
      </c>
      <c r="E14" s="81" t="s">
        <v>86</v>
      </c>
      <c r="F14" s="77" t="s">
        <v>39</v>
      </c>
      <c r="G14" s="64">
        <v>8</v>
      </c>
      <c r="H14" s="47">
        <f>IF(B$27=0,0,G14/B$27)</f>
        <v>4.49438202247191E-2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113</v>
      </c>
      <c r="C15" s="45">
        <f>IF(B$13=0,0,B15/B$13)</f>
        <v>0.57360406091370564</v>
      </c>
      <c r="E15" s="81" t="s">
        <v>96</v>
      </c>
      <c r="F15" s="77" t="s">
        <v>49</v>
      </c>
      <c r="G15" s="64">
        <v>7</v>
      </c>
      <c r="H15" s="47">
        <f>IF(B$27=0,0,G15/B$27)</f>
        <v>3.9325842696629212E-2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0.38053097345132741</v>
      </c>
      <c r="E16" s="81" t="s">
        <v>75</v>
      </c>
      <c r="F16" s="77" t="s">
        <v>28</v>
      </c>
      <c r="G16" s="64">
        <v>5</v>
      </c>
      <c r="H16" s="47">
        <f>IF(B$27=0,0,G16/B$27)</f>
        <v>2.8089887640449437E-2</v>
      </c>
      <c r="I16" s="117">
        <v>9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239</v>
      </c>
      <c r="C17" s="45">
        <f>IF(B$3=0,0,B17/B$3)</f>
        <v>0.25809935205183587</v>
      </c>
      <c r="E17" s="81" t="s">
        <v>82</v>
      </c>
      <c r="F17" s="77" t="s">
        <v>35</v>
      </c>
      <c r="G17" s="64">
        <v>4</v>
      </c>
      <c r="H17" s="47">
        <f>IF(B$27=0,0,G17/B$27)</f>
        <v>2.247191011235955E-2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102</v>
      </c>
      <c r="C18" s="47">
        <f>IF(B$17=0,0,B18/B$17)</f>
        <v>0.42677824267782427</v>
      </c>
      <c r="E18" s="81" t="s">
        <v>83</v>
      </c>
      <c r="F18" s="77" t="s">
        <v>36</v>
      </c>
      <c r="G18" s="64">
        <v>2</v>
      </c>
      <c r="H18" s="47">
        <f>IF(B$27=0,0,G18/B$27)</f>
        <v>1.1235955056179775E-2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137</v>
      </c>
      <c r="C19" s="47">
        <f>IF(B$17=0,0,B19/B$17)</f>
        <v>0.57322175732217573</v>
      </c>
      <c r="E19" s="81" t="s">
        <v>90</v>
      </c>
      <c r="F19" s="77" t="s">
        <v>43</v>
      </c>
      <c r="G19" s="64">
        <v>2</v>
      </c>
      <c r="H19" s="47">
        <f>IF(B$27=0,0,G19/B$27)</f>
        <v>1.1235955056179775E-2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0.19006479481641469</v>
      </c>
      <c r="E20" s="81" t="s">
        <v>97</v>
      </c>
      <c r="F20" s="77" t="s">
        <v>50</v>
      </c>
      <c r="G20" s="64">
        <v>2</v>
      </c>
      <c r="H20" s="47">
        <f>IF(B$27=0,0,G20/B$27)</f>
        <v>1.1235955056179775E-2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11142.259414225942</v>
      </c>
      <c r="C21" s="49">
        <v>2663000</v>
      </c>
      <c r="E21" s="81" t="s">
        <v>85</v>
      </c>
      <c r="F21" s="77" t="s">
        <v>38</v>
      </c>
      <c r="G21" s="64">
        <v>1</v>
      </c>
      <c r="H21" s="47">
        <f>IF(B$27=0,0,G21/B$27)</f>
        <v>5.6179775280898875E-3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5.6179775280898875E-3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1</v>
      </c>
      <c r="H23" s="47">
        <f>IF(B$27=0,0,G23/B$27)</f>
        <v>5.6179775280898875E-3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37">
        <v>97700</v>
      </c>
      <c r="C24" s="138"/>
      <c r="E24" s="81" t="s">
        <v>93</v>
      </c>
      <c r="F24" s="77" t="s">
        <v>46</v>
      </c>
      <c r="G24" s="64">
        <v>1</v>
      </c>
      <c r="H24" s="47">
        <f>IF(B$27=0,0,G24/B$27)</f>
        <v>5.6179775280898875E-3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4.3196544276457886E-3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3">
        <v>665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45">
        <v>178</v>
      </c>
      <c r="C27" s="14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3E982-DAB4-428A-81C0-1C4A3B53CB4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2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8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9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39">
        <v>7</v>
      </c>
      <c r="C23" s="14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37">
        <v>118000</v>
      </c>
      <c r="C24" s="13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3">
        <v>172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45">
        <v>57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5EF7-76E9-4C2D-A7D4-64D4951471C9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39">
        <v>3</v>
      </c>
      <c r="C23" s="14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37">
        <v>57800</v>
      </c>
      <c r="C24" s="13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3">
        <v>31</v>
      </c>
      <c r="C26" s="144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45">
        <v>9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E9E6-E455-4306-98EB-6DA6DDC52E3E}">
  <sheetPr codeName="Sheet19"/>
  <dimension ref="A1:Q6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62</v>
      </c>
      <c r="C2" s="144"/>
      <c r="E2" s="80" t="s">
        <v>71</v>
      </c>
      <c r="F2" s="76" t="s">
        <v>25</v>
      </c>
      <c r="G2" s="63">
        <v>69</v>
      </c>
      <c r="H2" s="45">
        <f>IF(B$27=0,0,G2/B$27)</f>
        <v>0.9452054794520548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-1598.3870967741937</v>
      </c>
      <c r="P2" s="59">
        <v>-99100</v>
      </c>
      <c r="Q2" s="57">
        <v>62</v>
      </c>
    </row>
    <row r="3" spans="1:17" x14ac:dyDescent="0.4">
      <c r="A3" s="72" t="s">
        <v>8</v>
      </c>
      <c r="B3" s="149">
        <v>475</v>
      </c>
      <c r="C3" s="150"/>
      <c r="E3" s="81" t="s">
        <v>69</v>
      </c>
      <c r="F3" s="77" t="s">
        <v>23</v>
      </c>
      <c r="G3" s="64">
        <v>50</v>
      </c>
      <c r="H3" s="47">
        <f>IF(B$27=0,0,G3/B$27)</f>
        <v>0.68493150684931503</v>
      </c>
      <c r="I3" s="117">
        <v>7</v>
      </c>
      <c r="K3" s="46">
        <v>1</v>
      </c>
      <c r="L3" s="123">
        <v>68.2</v>
      </c>
      <c r="N3" s="46" t="s">
        <v>148</v>
      </c>
      <c r="O3" s="127">
        <f t="shared" si="0"/>
        <v>-3736.2068965517242</v>
      </c>
      <c r="P3" s="60">
        <v>-216700</v>
      </c>
      <c r="Q3" s="55">
        <v>58</v>
      </c>
    </row>
    <row r="4" spans="1:17" x14ac:dyDescent="0.4">
      <c r="A4" s="72" t="s">
        <v>6</v>
      </c>
      <c r="B4" s="151">
        <v>-511.9</v>
      </c>
      <c r="C4" s="152"/>
      <c r="E4" s="81" t="s">
        <v>76</v>
      </c>
      <c r="F4" s="77" t="s">
        <v>29</v>
      </c>
      <c r="G4" s="64">
        <v>46</v>
      </c>
      <c r="H4" s="47">
        <f>IF(B$27=0,0,G4/B$27)</f>
        <v>0.63013698630136983</v>
      </c>
      <c r="I4" s="117">
        <v>3</v>
      </c>
      <c r="K4" s="46">
        <v>2</v>
      </c>
      <c r="L4" s="123">
        <v>58.5</v>
      </c>
      <c r="N4" s="46" t="s">
        <v>149</v>
      </c>
      <c r="O4" s="127">
        <f t="shared" si="0"/>
        <v>-1523.5294117647059</v>
      </c>
      <c r="P4" s="60">
        <v>-77700</v>
      </c>
      <c r="Q4" s="55">
        <v>51</v>
      </c>
    </row>
    <row r="5" spans="1:17" x14ac:dyDescent="0.4">
      <c r="A5" s="72" t="s">
        <v>7</v>
      </c>
      <c r="B5" s="153">
        <f>IF(B$2=0,0,B$4/B$2)</f>
        <v>-8.2564516129032253</v>
      </c>
      <c r="C5" s="154"/>
      <c r="E5" s="81" t="s">
        <v>67</v>
      </c>
      <c r="F5" s="77" t="s">
        <v>21</v>
      </c>
      <c r="G5" s="64">
        <v>33</v>
      </c>
      <c r="H5" s="47">
        <f>IF(B$27=0,0,G5/B$27)</f>
        <v>0.45205479452054792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942.85714285714289</v>
      </c>
      <c r="P5" s="60">
        <v>46200</v>
      </c>
      <c r="Q5" s="55">
        <v>49</v>
      </c>
    </row>
    <row r="6" spans="1:17" x14ac:dyDescent="0.4">
      <c r="A6" s="72" t="s">
        <v>1</v>
      </c>
      <c r="B6" s="141">
        <f>IF(B$2=0,0,(B$7*1+B$8*2+B$9*3)/B$2)</f>
        <v>2.2580645161290325</v>
      </c>
      <c r="C6" s="142"/>
      <c r="E6" s="81" t="s">
        <v>72</v>
      </c>
      <c r="F6" s="77" t="s">
        <v>12</v>
      </c>
      <c r="G6" s="64">
        <v>20</v>
      </c>
      <c r="H6" s="47">
        <f>IF(B$27=0,0,G6/B$27)</f>
        <v>0.27397260273972601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-3374.3589743589741</v>
      </c>
      <c r="P6" s="60">
        <v>-131600</v>
      </c>
      <c r="Q6" s="55">
        <v>39</v>
      </c>
    </row>
    <row r="7" spans="1:17" x14ac:dyDescent="0.4">
      <c r="A7" s="72" t="s">
        <v>2</v>
      </c>
      <c r="B7" s="64">
        <v>12</v>
      </c>
      <c r="C7" s="47">
        <f>IF(B$2=0,0,B7/B$2)</f>
        <v>0.19354838709677419</v>
      </c>
      <c r="E7" s="81" t="s">
        <v>68</v>
      </c>
      <c r="F7" s="77" t="s">
        <v>22</v>
      </c>
      <c r="G7" s="64">
        <v>9</v>
      </c>
      <c r="H7" s="47">
        <f>IF(B$27=0,0,G7/B$27)</f>
        <v>0.12328767123287671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-1064.516129032258</v>
      </c>
      <c r="P7" s="61">
        <v>-33000</v>
      </c>
      <c r="Q7" s="56">
        <v>31</v>
      </c>
    </row>
    <row r="8" spans="1:17" x14ac:dyDescent="0.4">
      <c r="A8" s="72" t="s">
        <v>3</v>
      </c>
      <c r="B8" s="64">
        <v>22</v>
      </c>
      <c r="C8" s="47">
        <f>IF(B$2=0,0,B8/B$2)</f>
        <v>0.35483870967741937</v>
      </c>
      <c r="E8" s="81" t="s">
        <v>70</v>
      </c>
      <c r="F8" s="77" t="s">
        <v>24</v>
      </c>
      <c r="G8" s="64">
        <v>8</v>
      </c>
      <c r="H8" s="47">
        <f>IF(B$27=0,0,G8/B$27)</f>
        <v>0.1095890410958904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28</v>
      </c>
      <c r="C9" s="48">
        <f t="shared" ref="C9" si="1">IF(B$2=0,0,B9/B$2)</f>
        <v>0.45161290322580644</v>
      </c>
      <c r="E9" s="81" t="s">
        <v>73</v>
      </c>
      <c r="F9" s="77" t="s">
        <v>26</v>
      </c>
      <c r="G9" s="64">
        <v>8</v>
      </c>
      <c r="H9" s="47">
        <f>IF(B$27=0,0,G9/B$27)</f>
        <v>0.1095890410958904</v>
      </c>
      <c r="I9" s="117">
        <v>9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13</v>
      </c>
      <c r="C10" s="48">
        <f>IF(B$2=0,0,B10/B$2)</f>
        <v>0.20967741935483872</v>
      </c>
      <c r="E10" s="81" t="s">
        <v>94</v>
      </c>
      <c r="F10" s="77" t="s">
        <v>47</v>
      </c>
      <c r="G10" s="64">
        <v>5</v>
      </c>
      <c r="H10" s="47">
        <f>IF(B$27=0,0,G10/B$27)</f>
        <v>6.8493150684931503E-2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8</v>
      </c>
      <c r="C11" s="48">
        <f>IF(B$2=0,0,B11/B$2)</f>
        <v>0.12903225806451613</v>
      </c>
      <c r="E11" s="81" t="s">
        <v>82</v>
      </c>
      <c r="F11" s="77" t="s">
        <v>35</v>
      </c>
      <c r="G11" s="64">
        <v>4</v>
      </c>
      <c r="H11" s="47">
        <f>IF(B$27=0,0,G11/B$27)</f>
        <v>5.4794520547945202E-2</v>
      </c>
      <c r="I11" s="117">
        <v>2</v>
      </c>
      <c r="K11" s="46">
        <v>9</v>
      </c>
      <c r="L11" s="123">
        <v>82.8</v>
      </c>
      <c r="N11" s="46" t="s">
        <v>139</v>
      </c>
      <c r="O11" s="125">
        <f>IF(Q11=0,0,P11/Q11)</f>
        <v>13.675000000000002</v>
      </c>
      <c r="P11" s="131">
        <v>109.40000000000002</v>
      </c>
      <c r="Q11" s="55">
        <v>8</v>
      </c>
    </row>
    <row r="12" spans="1:17" x14ac:dyDescent="0.4">
      <c r="A12" s="74" t="s">
        <v>240</v>
      </c>
      <c r="B12" s="66">
        <v>3</v>
      </c>
      <c r="C12" s="51">
        <f>IF(B$2=0,0,B12/B$2)</f>
        <v>4.8387096774193547E-2</v>
      </c>
      <c r="E12" s="81" t="s">
        <v>74</v>
      </c>
      <c r="F12" s="77" t="s">
        <v>27</v>
      </c>
      <c r="G12" s="64">
        <v>3</v>
      </c>
      <c r="H12" s="47">
        <f>IF(B$27=0,0,G12/B$27)</f>
        <v>4.1095890410958902E-2</v>
      </c>
      <c r="I12" s="117">
        <v>10</v>
      </c>
      <c r="K12" s="46">
        <v>10</v>
      </c>
      <c r="L12" s="123">
        <v>110.5</v>
      </c>
      <c r="N12" s="46" t="s">
        <v>137</v>
      </c>
      <c r="O12" s="125">
        <f>IF(Q12=0,0,P12/Q12)</f>
        <v>1.1275862068965503</v>
      </c>
      <c r="P12" s="131">
        <v>32.69999999999996</v>
      </c>
      <c r="Q12" s="55">
        <v>29</v>
      </c>
    </row>
    <row r="13" spans="1:17" x14ac:dyDescent="0.4">
      <c r="A13" s="75" t="s">
        <v>128</v>
      </c>
      <c r="B13" s="67">
        <v>77</v>
      </c>
      <c r="C13" s="54">
        <f>IF(B$26=0,0,B13/B$26)</f>
        <v>0.26101694915254237</v>
      </c>
      <c r="E13" s="81" t="s">
        <v>75</v>
      </c>
      <c r="F13" s="77" t="s">
        <v>28</v>
      </c>
      <c r="G13" s="64">
        <v>3</v>
      </c>
      <c r="H13" s="47">
        <f>IF(B$27=0,0,G13/B$27)</f>
        <v>4.1095890410958902E-2</v>
      </c>
      <c r="I13" s="117">
        <v>7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79</v>
      </c>
      <c r="C14" s="47">
        <f>IF(B$26=0,0,B14/B$26)</f>
        <v>0.26779661016949152</v>
      </c>
      <c r="E14" s="81" t="s">
        <v>83</v>
      </c>
      <c r="F14" s="77" t="s">
        <v>36</v>
      </c>
      <c r="G14" s="64">
        <v>3</v>
      </c>
      <c r="H14" s="47">
        <f>IF(B$27=0,0,G14/B$27)</f>
        <v>4.1095890410958902E-2</v>
      </c>
      <c r="I14" s="117">
        <v>3</v>
      </c>
      <c r="K14" s="46">
        <v>12</v>
      </c>
      <c r="L14" s="123">
        <v>33.599999999999994</v>
      </c>
      <c r="N14" s="46" t="s">
        <v>133</v>
      </c>
      <c r="O14" s="125">
        <f>IF(Q14=0,0,P14/Q14)</f>
        <v>-16.630769230769236</v>
      </c>
      <c r="P14" s="131">
        <v>-864.80000000000018</v>
      </c>
      <c r="Q14" s="55">
        <v>52</v>
      </c>
    </row>
    <row r="15" spans="1:17" x14ac:dyDescent="0.4">
      <c r="A15" s="71" t="s">
        <v>130</v>
      </c>
      <c r="B15" s="63">
        <v>35</v>
      </c>
      <c r="C15" s="45">
        <f>IF(B$13=0,0,B15/B$13)</f>
        <v>0.45454545454545453</v>
      </c>
      <c r="E15" s="81" t="s">
        <v>91</v>
      </c>
      <c r="F15" s="77" t="s">
        <v>44</v>
      </c>
      <c r="G15" s="64">
        <v>3</v>
      </c>
      <c r="H15" s="47">
        <f>IF(B$27=0,0,G15/B$27)</f>
        <v>4.1095890410958902E-2</v>
      </c>
      <c r="I15" s="117">
        <v>9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30</v>
      </c>
      <c r="C16" s="45">
        <f>IF(B$14=0,0,B16/B$14)</f>
        <v>0.379746835443038</v>
      </c>
      <c r="E16" s="81" t="s">
        <v>88</v>
      </c>
      <c r="F16" s="77" t="s">
        <v>41</v>
      </c>
      <c r="G16" s="64">
        <v>2</v>
      </c>
      <c r="H16" s="47">
        <f>IF(B$27=0,0,G16/B$27)</f>
        <v>2.7397260273972601E-2</v>
      </c>
      <c r="I16" s="117">
        <v>8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124</v>
      </c>
      <c r="C17" s="45">
        <f>IF(B$3=0,0,B17/B$3)</f>
        <v>0.26105263157894737</v>
      </c>
      <c r="E17" s="81" t="s">
        <v>79</v>
      </c>
      <c r="F17" s="77" t="s">
        <v>32</v>
      </c>
      <c r="G17" s="64">
        <v>1</v>
      </c>
      <c r="H17" s="47">
        <f>IF(B$27=0,0,G17/B$27)</f>
        <v>1.3698630136986301E-2</v>
      </c>
      <c r="I17" s="117">
        <v>2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56</v>
      </c>
      <c r="C18" s="47">
        <f>IF(B$17=0,0,B18/B$17)</f>
        <v>0.45161290322580644</v>
      </c>
      <c r="E18" s="81" t="s">
        <v>86</v>
      </c>
      <c r="F18" s="77" t="s">
        <v>39</v>
      </c>
      <c r="G18" s="64">
        <v>1</v>
      </c>
      <c r="H18" s="47">
        <f>IF(B$27=0,0,G18/B$27)</f>
        <v>1.3698630136986301E-2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68</v>
      </c>
      <c r="C19" s="47">
        <f>IF(B$17=0,0,B19/B$17)</f>
        <v>0.54838709677419351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91</v>
      </c>
      <c r="C20" s="47">
        <f>IF(B$3=0,0,B20/B$3)</f>
        <v>0.19157894736842104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9193.5483870967746</v>
      </c>
      <c r="C21" s="49">
        <v>1140000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-10060.439560439561</v>
      </c>
      <c r="C22" s="62">
        <v>-915500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39">
        <v>5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37">
        <v>103200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4.2105263157894736E-3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3">
        <v>295</v>
      </c>
      <c r="C26" s="144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45">
        <v>73</v>
      </c>
      <c r="C27" s="14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  <row r="59" spans="5:12" x14ac:dyDescent="0.4">
      <c r="K59" s="46">
        <v>57</v>
      </c>
      <c r="L59" s="123">
        <v>-533.29999999999995</v>
      </c>
    </row>
    <row r="60" spans="5:12" x14ac:dyDescent="0.4">
      <c r="K60" s="46">
        <v>58</v>
      </c>
      <c r="L60" s="123">
        <v>-573.29999999999995</v>
      </c>
    </row>
    <row r="61" spans="5:12" x14ac:dyDescent="0.4">
      <c r="K61" s="46">
        <v>59</v>
      </c>
      <c r="L61" s="123">
        <v>-550.79999999999995</v>
      </c>
    </row>
    <row r="62" spans="5:12" x14ac:dyDescent="0.4">
      <c r="K62" s="46">
        <v>60</v>
      </c>
      <c r="L62" s="123">
        <v>-535.29999999999995</v>
      </c>
    </row>
    <row r="63" spans="5:12" x14ac:dyDescent="0.4">
      <c r="K63" s="46">
        <v>61</v>
      </c>
      <c r="L63" s="123">
        <v>-492.29999999999995</v>
      </c>
    </row>
    <row r="64" spans="5:12" x14ac:dyDescent="0.4">
      <c r="K64" s="46">
        <v>62</v>
      </c>
      <c r="L64" s="123">
        <v>-511.9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DA50-68D0-4FAC-8A80-B1E02449D765}">
  <sheetPr codeName="Sheet21"/>
  <dimension ref="A1:Q10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101</v>
      </c>
      <c r="C2" s="144"/>
      <c r="E2" s="80" t="s">
        <v>71</v>
      </c>
      <c r="F2" s="76" t="s">
        <v>25</v>
      </c>
      <c r="G2" s="63">
        <v>167</v>
      </c>
      <c r="H2" s="45">
        <f>IF(B$27=0,0,G2/B$27)</f>
        <v>0.85641025641025637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2552.5252525252527</v>
      </c>
      <c r="P2" s="59">
        <v>252700</v>
      </c>
      <c r="Q2" s="57">
        <v>99</v>
      </c>
    </row>
    <row r="3" spans="1:17" x14ac:dyDescent="0.4">
      <c r="A3" s="72" t="s">
        <v>8</v>
      </c>
      <c r="B3" s="149">
        <v>762</v>
      </c>
      <c r="C3" s="150"/>
      <c r="E3" s="81" t="s">
        <v>69</v>
      </c>
      <c r="F3" s="77" t="s">
        <v>23</v>
      </c>
      <c r="G3" s="64">
        <v>154</v>
      </c>
      <c r="H3" s="47">
        <f>IF(B$27=0,0,G3/B$27)</f>
        <v>0.78974358974358971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711.82795698924735</v>
      </c>
      <c r="P3" s="60">
        <v>66200</v>
      </c>
      <c r="Q3" s="55">
        <v>93</v>
      </c>
    </row>
    <row r="4" spans="1:17" x14ac:dyDescent="0.4">
      <c r="A4" s="72" t="s">
        <v>6</v>
      </c>
      <c r="B4" s="151">
        <v>270.69999999999987</v>
      </c>
      <c r="C4" s="152"/>
      <c r="E4" s="81" t="s">
        <v>67</v>
      </c>
      <c r="F4" s="77" t="s">
        <v>21</v>
      </c>
      <c r="G4" s="64">
        <v>111</v>
      </c>
      <c r="H4" s="47">
        <f>IF(B$27=0,0,G4/B$27)</f>
        <v>0.56923076923076921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-95.348837209302332</v>
      </c>
      <c r="P4" s="60">
        <v>-8200</v>
      </c>
      <c r="Q4" s="55">
        <v>86</v>
      </c>
    </row>
    <row r="5" spans="1:17" x14ac:dyDescent="0.4">
      <c r="A5" s="72" t="s">
        <v>7</v>
      </c>
      <c r="B5" s="153">
        <f>IF(B$2=0,0,B$4/B$2)</f>
        <v>2.680198019801979</v>
      </c>
      <c r="C5" s="154"/>
      <c r="E5" s="81" t="s">
        <v>76</v>
      </c>
      <c r="F5" s="77" t="s">
        <v>29</v>
      </c>
      <c r="G5" s="64">
        <v>108</v>
      </c>
      <c r="H5" s="47">
        <f>IF(B$27=0,0,G5/B$27)</f>
        <v>0.55384615384615388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-1846.9135802469136</v>
      </c>
      <c r="P5" s="60">
        <v>-149600</v>
      </c>
      <c r="Q5" s="55">
        <v>81</v>
      </c>
    </row>
    <row r="6" spans="1:17" x14ac:dyDescent="0.4">
      <c r="A6" s="72" t="s">
        <v>1</v>
      </c>
      <c r="B6" s="141">
        <f>IF(B$2=0,0,(B$7*1+B$8*2+B$9*3)/B$2)</f>
        <v>1.9207920792079207</v>
      </c>
      <c r="C6" s="142"/>
      <c r="E6" s="81" t="s">
        <v>70</v>
      </c>
      <c r="F6" s="77" t="s">
        <v>24</v>
      </c>
      <c r="G6" s="64">
        <v>76</v>
      </c>
      <c r="H6" s="47">
        <f>IF(B$27=0,0,G6/B$27)</f>
        <v>0.38974358974358975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788.40579710144925</v>
      </c>
      <c r="P6" s="60">
        <v>54400</v>
      </c>
      <c r="Q6" s="55">
        <v>69</v>
      </c>
    </row>
    <row r="7" spans="1:17" x14ac:dyDescent="0.4">
      <c r="A7" s="72" t="s">
        <v>2</v>
      </c>
      <c r="B7" s="64">
        <v>39</v>
      </c>
      <c r="C7" s="47">
        <f>IF(B$2=0,0,B7/B$2)</f>
        <v>0.38613861386138615</v>
      </c>
      <c r="E7" s="81" t="s">
        <v>72</v>
      </c>
      <c r="F7" s="77" t="s">
        <v>12</v>
      </c>
      <c r="G7" s="64">
        <v>64</v>
      </c>
      <c r="H7" s="47">
        <f>IF(B$27=0,0,G7/B$27)</f>
        <v>0.3282051282051282</v>
      </c>
      <c r="I7" s="117">
        <v>5</v>
      </c>
      <c r="K7" s="46">
        <v>5</v>
      </c>
      <c r="L7" s="123">
        <v>-136.30000000000001</v>
      </c>
      <c r="N7" s="50" t="s">
        <v>152</v>
      </c>
      <c r="O7" s="128">
        <f t="shared" si="0"/>
        <v>245.76271186440678</v>
      </c>
      <c r="P7" s="61">
        <v>14500</v>
      </c>
      <c r="Q7" s="56">
        <v>59</v>
      </c>
    </row>
    <row r="8" spans="1:17" x14ac:dyDescent="0.4">
      <c r="A8" s="72" t="s">
        <v>3</v>
      </c>
      <c r="B8" s="64">
        <v>31</v>
      </c>
      <c r="C8" s="47">
        <f>IF(B$2=0,0,B8/B$2)</f>
        <v>0.30693069306930693</v>
      </c>
      <c r="E8" s="81" t="s">
        <v>73</v>
      </c>
      <c r="F8" s="77" t="s">
        <v>26</v>
      </c>
      <c r="G8" s="64">
        <v>40</v>
      </c>
      <c r="H8" s="47">
        <f>IF(B$27=0,0,G8/B$27)</f>
        <v>0.20512820512820512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31</v>
      </c>
      <c r="C9" s="48">
        <f t="shared" ref="C9" si="1">IF(B$2=0,0,B9/B$2)</f>
        <v>0.30693069306930693</v>
      </c>
      <c r="E9" s="81" t="s">
        <v>94</v>
      </c>
      <c r="F9" s="77" t="s">
        <v>47</v>
      </c>
      <c r="G9" s="64">
        <v>32</v>
      </c>
      <c r="H9" s="47">
        <f>IF(B$27=0,0,G9/B$27)</f>
        <v>0.1641025641025641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0.10891089108910891</v>
      </c>
      <c r="E10" s="81" t="s">
        <v>68</v>
      </c>
      <c r="F10" s="77" t="s">
        <v>22</v>
      </c>
      <c r="G10" s="64">
        <v>24</v>
      </c>
      <c r="H10" s="47">
        <f>IF(B$27=0,0,G10/B$27)</f>
        <v>0.12307692307692308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0.16831683168316833</v>
      </c>
      <c r="E11" s="81" t="s">
        <v>74</v>
      </c>
      <c r="F11" s="77" t="s">
        <v>27</v>
      </c>
      <c r="G11" s="64">
        <v>16</v>
      </c>
      <c r="H11" s="47">
        <f>IF(B$27=0,0,G11/B$27)</f>
        <v>8.2051282051282051E-2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0.10891089108910891</v>
      </c>
      <c r="E12" s="81" t="s">
        <v>75</v>
      </c>
      <c r="F12" s="77" t="s">
        <v>28</v>
      </c>
      <c r="G12" s="64">
        <v>13</v>
      </c>
      <c r="H12" s="47">
        <f>IF(B$27=0,0,G12/B$27)</f>
        <v>6.6666666666666666E-2</v>
      </c>
      <c r="I12" s="117">
        <v>3</v>
      </c>
      <c r="K12" s="46">
        <v>10</v>
      </c>
      <c r="L12" s="123">
        <v>-72.800000000000026</v>
      </c>
      <c r="N12" s="46" t="s">
        <v>139</v>
      </c>
      <c r="O12" s="125">
        <f>IF(Q12=0,0,P12/Q12)</f>
        <v>13.741025641025638</v>
      </c>
      <c r="P12" s="131">
        <v>535.89999999999986</v>
      </c>
      <c r="Q12" s="55">
        <v>39</v>
      </c>
    </row>
    <row r="13" spans="1:17" x14ac:dyDescent="0.4">
      <c r="A13" s="75" t="s">
        <v>128</v>
      </c>
      <c r="B13" s="67">
        <v>201</v>
      </c>
      <c r="C13" s="54">
        <f>IF(B$26=0,0,B13/B$26)</f>
        <v>0.31603773584905659</v>
      </c>
      <c r="E13" s="81" t="s">
        <v>82</v>
      </c>
      <c r="F13" s="77" t="s">
        <v>35</v>
      </c>
      <c r="G13" s="64">
        <v>12</v>
      </c>
      <c r="H13" s="47">
        <f>IF(B$27=0,0,G13/B$27)</f>
        <v>6.1538461538461542E-2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140</v>
      </c>
      <c r="C14" s="47">
        <f>IF(B$26=0,0,B14/B$26)</f>
        <v>0.22012578616352202</v>
      </c>
      <c r="E14" s="81" t="s">
        <v>91</v>
      </c>
      <c r="F14" s="77" t="s">
        <v>44</v>
      </c>
      <c r="G14" s="64">
        <v>8</v>
      </c>
      <c r="H14" s="47">
        <f>IF(B$27=0,0,G14/B$27)</f>
        <v>4.1025641025641026E-2</v>
      </c>
      <c r="I14" s="117">
        <v>10</v>
      </c>
      <c r="K14" s="46">
        <v>12</v>
      </c>
      <c r="L14" s="123">
        <v>-54.300000000000026</v>
      </c>
      <c r="N14" s="46" t="s">
        <v>136</v>
      </c>
      <c r="O14" s="125">
        <f>IF(Q14=0,0,P14/Q14)</f>
        <v>-1.1275862068965536</v>
      </c>
      <c r="P14" s="131">
        <v>-32.700000000000053</v>
      </c>
      <c r="Q14" s="55">
        <v>29</v>
      </c>
    </row>
    <row r="15" spans="1:17" x14ac:dyDescent="0.4">
      <c r="A15" s="71" t="s">
        <v>130</v>
      </c>
      <c r="B15" s="63">
        <v>113</v>
      </c>
      <c r="C15" s="45">
        <f>IF(B$13=0,0,B15/B$13)</f>
        <v>0.56218905472636815</v>
      </c>
      <c r="E15" s="81" t="s">
        <v>86</v>
      </c>
      <c r="F15" s="77" t="s">
        <v>39</v>
      </c>
      <c r="G15" s="64">
        <v>6</v>
      </c>
      <c r="H15" s="47">
        <f>IF(B$27=0,0,G15/B$27)</f>
        <v>3.0769230769230771E-2</v>
      </c>
      <c r="I15" s="117">
        <v>4</v>
      </c>
      <c r="K15" s="46">
        <v>13</v>
      </c>
      <c r="L15" s="123">
        <v>-43.200000000000024</v>
      </c>
      <c r="N15" s="46" t="s">
        <v>133</v>
      </c>
      <c r="O15" s="125">
        <f>IF(Q15=0,0,P15/Q15)</f>
        <v>-2.4535714285714283</v>
      </c>
      <c r="P15" s="131">
        <v>-206.1</v>
      </c>
      <c r="Q15" s="55">
        <v>84</v>
      </c>
    </row>
    <row r="16" spans="1:17" x14ac:dyDescent="0.4">
      <c r="A16" s="71" t="s">
        <v>131</v>
      </c>
      <c r="B16" s="63">
        <v>54</v>
      </c>
      <c r="C16" s="45">
        <f>IF(B$14=0,0,B16/B$14)</f>
        <v>0.38571428571428573</v>
      </c>
      <c r="E16" s="81" t="s">
        <v>88</v>
      </c>
      <c r="F16" s="77" t="s">
        <v>41</v>
      </c>
      <c r="G16" s="64">
        <v>6</v>
      </c>
      <c r="H16" s="47">
        <f>IF(B$27=0,0,G16/B$27)</f>
        <v>3.0769230769230771E-2</v>
      </c>
      <c r="I16" s="117">
        <v>6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232</v>
      </c>
      <c r="C17" s="45">
        <f>IF(B$3=0,0,B17/B$3)</f>
        <v>0.30446194225721784</v>
      </c>
      <c r="E17" s="81" t="s">
        <v>77</v>
      </c>
      <c r="F17" s="77" t="s">
        <v>30</v>
      </c>
      <c r="G17" s="64">
        <v>3</v>
      </c>
      <c r="H17" s="47">
        <f>IF(B$27=0,0,G17/B$27)</f>
        <v>1.5384615384615385E-2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106</v>
      </c>
      <c r="C18" s="47">
        <f>IF(B$17=0,0,B18/B$17)</f>
        <v>0.45689655172413796</v>
      </c>
      <c r="E18" s="81" t="s">
        <v>96</v>
      </c>
      <c r="F18" s="77" t="s">
        <v>49</v>
      </c>
      <c r="G18" s="64">
        <v>3</v>
      </c>
      <c r="H18" s="47">
        <f>IF(B$27=0,0,G18/B$27)</f>
        <v>1.5384615384615385E-2</v>
      </c>
      <c r="I18" s="117">
        <v>6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126</v>
      </c>
      <c r="C19" s="47">
        <f>IF(B$17=0,0,B19/B$17)</f>
        <v>0.5431034482758621</v>
      </c>
      <c r="E19" s="81" t="s">
        <v>81</v>
      </c>
      <c r="F19" s="77" t="s">
        <v>34</v>
      </c>
      <c r="G19" s="64">
        <v>2</v>
      </c>
      <c r="H19" s="47">
        <f>IF(B$27=0,0,G19/B$27)</f>
        <v>1.0256410256410256E-2</v>
      </c>
      <c r="I19" s="117">
        <v>2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123</v>
      </c>
      <c r="C20" s="47">
        <f>IF(B$3=0,0,B20/B$3)</f>
        <v>0.16141732283464566</v>
      </c>
      <c r="E20" s="81" t="s">
        <v>83</v>
      </c>
      <c r="F20" s="77" t="s">
        <v>36</v>
      </c>
      <c r="G20" s="64">
        <v>2</v>
      </c>
      <c r="H20" s="47">
        <f>IF(B$27=0,0,G20/B$27)</f>
        <v>1.0256410256410256E-2</v>
      </c>
      <c r="I20" s="117">
        <v>6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10631.896551724138</v>
      </c>
      <c r="C21" s="49">
        <v>2466600</v>
      </c>
      <c r="E21" s="81" t="s">
        <v>98</v>
      </c>
      <c r="F21" s="77" t="s">
        <v>51</v>
      </c>
      <c r="G21" s="64">
        <v>2</v>
      </c>
      <c r="H21" s="47">
        <f>IF(B$27=0,0,G21/B$27)</f>
        <v>1.0256410256410256E-2</v>
      </c>
      <c r="I21" s="117">
        <v>2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-9059.3495934959356</v>
      </c>
      <c r="C22" s="62">
        <v>-1114300</v>
      </c>
      <c r="E22" s="81" t="s">
        <v>78</v>
      </c>
      <c r="F22" s="77" t="s">
        <v>31</v>
      </c>
      <c r="G22" s="64">
        <v>1</v>
      </c>
      <c r="H22" s="47">
        <f>IF(B$27=0,0,G22/B$27)</f>
        <v>5.1282051282051282E-3</v>
      </c>
      <c r="I22" s="117">
        <v>1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39">
        <v>9</v>
      </c>
      <c r="C23" s="140"/>
      <c r="E23" s="81" t="s">
        <v>79</v>
      </c>
      <c r="F23" s="77" t="s">
        <v>32</v>
      </c>
      <c r="G23" s="64">
        <v>1</v>
      </c>
      <c r="H23" s="47">
        <f>IF(B$27=0,0,G23/B$27)</f>
        <v>5.1282051282051282E-3</v>
      </c>
      <c r="I23" s="117">
        <v>5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37">
        <v>109300</v>
      </c>
      <c r="C24" s="138"/>
      <c r="E24" s="81" t="s">
        <v>89</v>
      </c>
      <c r="F24" s="77" t="s">
        <v>42</v>
      </c>
      <c r="G24" s="64">
        <v>1</v>
      </c>
      <c r="H24" s="47">
        <f>IF(B$27=0,0,G24/B$27)</f>
        <v>5.1282051282051282E-3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3.937007874015748E-3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3">
        <v>636</v>
      </c>
      <c r="C26" s="144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45">
        <v>195</v>
      </c>
      <c r="C27" s="14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  <row r="98" spans="11:12" x14ac:dyDescent="0.4">
      <c r="K98" s="46">
        <v>96</v>
      </c>
      <c r="L98" s="123">
        <v>234.99999999999989</v>
      </c>
    </row>
    <row r="99" spans="11:12" x14ac:dyDescent="0.4">
      <c r="K99" s="46">
        <v>97</v>
      </c>
      <c r="L99" s="123">
        <v>252.19999999999987</v>
      </c>
    </row>
    <row r="100" spans="11:12" x14ac:dyDescent="0.4">
      <c r="K100" s="46">
        <v>98</v>
      </c>
      <c r="L100" s="123">
        <v>221.59999999999988</v>
      </c>
    </row>
    <row r="101" spans="11:12" x14ac:dyDescent="0.4">
      <c r="K101" s="46">
        <v>99</v>
      </c>
      <c r="L101" s="123">
        <v>245.39999999999989</v>
      </c>
    </row>
    <row r="102" spans="11:12" x14ac:dyDescent="0.4">
      <c r="K102" s="46">
        <v>100</v>
      </c>
      <c r="L102" s="123">
        <v>252.89999999999989</v>
      </c>
    </row>
    <row r="103" spans="11:12" x14ac:dyDescent="0.4">
      <c r="K103" s="46">
        <v>101</v>
      </c>
      <c r="L103" s="123">
        <v>270.69999999999987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16A2-BC9F-4F4E-9D65-95AE5A2B35A4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26</v>
      </c>
      <c r="C2" s="144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9">
        <v>215</v>
      </c>
      <c r="C3" s="150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51">
        <v>51.10000000000003</v>
      </c>
      <c r="C4" s="152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53">
        <f>IF(B$2=0,0,B$4/B$2)</f>
        <v>1.9653846153846166</v>
      </c>
      <c r="C5" s="154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11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5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39">
        <v>7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37">
        <v>109300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3">
        <v>133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45">
        <v>32</v>
      </c>
      <c r="C27" s="146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096BD-759F-4A82-BFA6-E9C9D1C3A18A}">
  <sheetPr codeName="Sheet25"/>
  <dimension ref="A1:Q10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101</v>
      </c>
      <c r="C2" s="144"/>
      <c r="E2" s="80" t="s">
        <v>71</v>
      </c>
      <c r="F2" s="76" t="s">
        <v>25</v>
      </c>
      <c r="G2" s="63">
        <v>203</v>
      </c>
      <c r="H2" s="45">
        <f>IF(B$27=0,0,G2/B$27)</f>
        <v>0.94418604651162785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-2246.3917525773195</v>
      </c>
      <c r="P2" s="59">
        <v>-217900</v>
      </c>
      <c r="Q2" s="57">
        <v>97</v>
      </c>
    </row>
    <row r="3" spans="1:17" x14ac:dyDescent="0.4">
      <c r="A3" s="72" t="s">
        <v>8</v>
      </c>
      <c r="B3" s="149">
        <v>783</v>
      </c>
      <c r="C3" s="150"/>
      <c r="E3" s="81" t="s">
        <v>69</v>
      </c>
      <c r="F3" s="77" t="s">
        <v>23</v>
      </c>
      <c r="G3" s="64">
        <v>172</v>
      </c>
      <c r="H3" s="47">
        <f>IF(B$27=0,0,G3/B$27)</f>
        <v>0.8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127.36842105263158</v>
      </c>
      <c r="P3" s="60">
        <v>12100</v>
      </c>
      <c r="Q3" s="55">
        <v>95</v>
      </c>
    </row>
    <row r="4" spans="1:17" x14ac:dyDescent="0.4">
      <c r="A4" s="72" t="s">
        <v>6</v>
      </c>
      <c r="B4" s="151">
        <v>-503.89999999999992</v>
      </c>
      <c r="C4" s="152"/>
      <c r="E4" s="81" t="s">
        <v>76</v>
      </c>
      <c r="F4" s="77" t="s">
        <v>29</v>
      </c>
      <c r="G4" s="64">
        <v>135</v>
      </c>
      <c r="H4" s="47">
        <f>IF(B$27=0,0,G4/B$27)</f>
        <v>0.62790697674418605</v>
      </c>
      <c r="I4" s="117">
        <v>4</v>
      </c>
      <c r="K4" s="46">
        <v>2</v>
      </c>
      <c r="L4" s="123">
        <v>-33.9</v>
      </c>
      <c r="N4" s="46" t="s">
        <v>149</v>
      </c>
      <c r="O4" s="127">
        <f t="shared" si="0"/>
        <v>-491.11111111111109</v>
      </c>
      <c r="P4" s="60">
        <v>-44200</v>
      </c>
      <c r="Q4" s="55">
        <v>90</v>
      </c>
    </row>
    <row r="5" spans="1:17" x14ac:dyDescent="0.4">
      <c r="A5" s="72" t="s">
        <v>7</v>
      </c>
      <c r="B5" s="153">
        <f>IF(B$2=0,0,B$4/B$2)</f>
        <v>-4.9891089108910887</v>
      </c>
      <c r="C5" s="154"/>
      <c r="E5" s="81" t="s">
        <v>67</v>
      </c>
      <c r="F5" s="77" t="s">
        <v>21</v>
      </c>
      <c r="G5" s="64">
        <v>132</v>
      </c>
      <c r="H5" s="47">
        <f>IF(B$27=0,0,G5/B$27)</f>
        <v>0.61395348837209307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-221.95121951219511</v>
      </c>
      <c r="P5" s="60">
        <v>-18200</v>
      </c>
      <c r="Q5" s="55">
        <v>82</v>
      </c>
    </row>
    <row r="6" spans="1:17" x14ac:dyDescent="0.4">
      <c r="A6" s="72" t="s">
        <v>1</v>
      </c>
      <c r="B6" s="141">
        <f>IF(B$2=0,0,(B$7*1+B$8*2+B$9*3)/B$2)</f>
        <v>2.1782178217821784</v>
      </c>
      <c r="C6" s="142"/>
      <c r="E6" s="81" t="s">
        <v>70</v>
      </c>
      <c r="F6" s="77" t="s">
        <v>24</v>
      </c>
      <c r="G6" s="64">
        <v>79</v>
      </c>
      <c r="H6" s="47">
        <f>IF(B$27=0,0,G6/B$27)</f>
        <v>0.36744186046511629</v>
      </c>
      <c r="I6" s="117">
        <v>5</v>
      </c>
      <c r="K6" s="46">
        <v>4</v>
      </c>
      <c r="L6" s="123">
        <v>-35.099999999999994</v>
      </c>
      <c r="N6" s="46" t="s">
        <v>151</v>
      </c>
      <c r="O6" s="127">
        <f t="shared" si="0"/>
        <v>-2689.3333333333335</v>
      </c>
      <c r="P6" s="60">
        <v>-201700</v>
      </c>
      <c r="Q6" s="55">
        <v>75</v>
      </c>
    </row>
    <row r="7" spans="1:17" x14ac:dyDescent="0.4">
      <c r="A7" s="72" t="s">
        <v>2</v>
      </c>
      <c r="B7" s="64">
        <v>26</v>
      </c>
      <c r="C7" s="47">
        <f>IF(B$2=0,0,B7/B$2)</f>
        <v>0.25742574257425743</v>
      </c>
      <c r="E7" s="81" t="s">
        <v>72</v>
      </c>
      <c r="F7" s="77" t="s">
        <v>12</v>
      </c>
      <c r="G7" s="64">
        <v>71</v>
      </c>
      <c r="H7" s="47">
        <f>IF(B$27=0,0,G7/B$27)</f>
        <v>0.33023255813953489</v>
      </c>
      <c r="I7" s="117">
        <v>4</v>
      </c>
      <c r="K7" s="46">
        <v>5</v>
      </c>
      <c r="L7" s="123">
        <v>-80.099999999999994</v>
      </c>
      <c r="N7" s="50" t="s">
        <v>152</v>
      </c>
      <c r="O7" s="128">
        <f t="shared" si="0"/>
        <v>1327.1186440677966</v>
      </c>
      <c r="P7" s="61">
        <v>78300</v>
      </c>
      <c r="Q7" s="56">
        <v>59</v>
      </c>
    </row>
    <row r="8" spans="1:17" x14ac:dyDescent="0.4">
      <c r="A8" s="72" t="s">
        <v>3</v>
      </c>
      <c r="B8" s="64">
        <v>31</v>
      </c>
      <c r="C8" s="47">
        <f>IF(B$2=0,0,B8/B$2)</f>
        <v>0.30693069306930693</v>
      </c>
      <c r="E8" s="81" t="s">
        <v>73</v>
      </c>
      <c r="F8" s="77" t="s">
        <v>26</v>
      </c>
      <c r="G8" s="64">
        <v>35</v>
      </c>
      <c r="H8" s="47">
        <f>IF(B$27=0,0,G8/B$27)</f>
        <v>0.16279069767441862</v>
      </c>
      <c r="I8" s="117">
        <v>3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44</v>
      </c>
      <c r="C9" s="48">
        <f t="shared" ref="C9" si="1">IF(B$2=0,0,B9/B$2)</f>
        <v>0.43564356435643564</v>
      </c>
      <c r="E9" s="81" t="s">
        <v>94</v>
      </c>
      <c r="F9" s="77" t="s">
        <v>47</v>
      </c>
      <c r="G9" s="64">
        <v>27</v>
      </c>
      <c r="H9" s="47">
        <f>IF(B$27=0,0,G9/B$27)</f>
        <v>0.12558139534883722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0.22772277227722773</v>
      </c>
      <c r="E10" s="81" t="s">
        <v>74</v>
      </c>
      <c r="F10" s="77" t="s">
        <v>27</v>
      </c>
      <c r="G10" s="64">
        <v>26</v>
      </c>
      <c r="H10" s="47">
        <f>IF(B$27=0,0,G10/B$27)</f>
        <v>0.12093023255813953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14</v>
      </c>
      <c r="C11" s="48">
        <f>IF(B$2=0,0,B11/B$2)</f>
        <v>0.13861386138613863</v>
      </c>
      <c r="E11" s="81" t="s">
        <v>68</v>
      </c>
      <c r="F11" s="77" t="s">
        <v>22</v>
      </c>
      <c r="G11" s="64">
        <v>20</v>
      </c>
      <c r="H11" s="47">
        <f>IF(B$27=0,0,G11/B$27)</f>
        <v>9.3023255813953487E-2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11</v>
      </c>
      <c r="C12" s="51">
        <f>IF(B$2=0,0,B12/B$2)</f>
        <v>0.10891089108910891</v>
      </c>
      <c r="E12" s="81" t="s">
        <v>91</v>
      </c>
      <c r="F12" s="77" t="s">
        <v>44</v>
      </c>
      <c r="G12" s="64">
        <v>16</v>
      </c>
      <c r="H12" s="47">
        <f>IF(B$27=0,0,G12/B$27)</f>
        <v>7.441860465116279E-2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230</v>
      </c>
      <c r="C13" s="54">
        <f>IF(B$26=0,0,B13/B$26)</f>
        <v>0.30831099195710454</v>
      </c>
      <c r="E13" s="81" t="s">
        <v>82</v>
      </c>
      <c r="F13" s="77" t="s">
        <v>35</v>
      </c>
      <c r="G13" s="64">
        <v>9</v>
      </c>
      <c r="H13" s="47">
        <f>IF(B$27=0,0,G13/B$27)</f>
        <v>4.1860465116279069E-2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152</v>
      </c>
      <c r="C14" s="47">
        <f>IF(B$26=0,0,B14/B$26)</f>
        <v>0.20375335120643431</v>
      </c>
      <c r="E14" s="81" t="s">
        <v>88</v>
      </c>
      <c r="F14" s="77" t="s">
        <v>41</v>
      </c>
      <c r="G14" s="64">
        <v>7</v>
      </c>
      <c r="H14" s="47">
        <f>IF(B$27=0,0,G14/B$27)</f>
        <v>3.255813953488372E-2</v>
      </c>
      <c r="I14" s="117">
        <v>5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136</v>
      </c>
      <c r="C15" s="45">
        <f>IF(B$13=0,0,B15/B$13)</f>
        <v>0.59130434782608698</v>
      </c>
      <c r="E15" s="81" t="s">
        <v>75</v>
      </c>
      <c r="F15" s="77" t="s">
        <v>28</v>
      </c>
      <c r="G15" s="64">
        <v>6</v>
      </c>
      <c r="H15" s="47">
        <f>IF(B$27=0,0,G15/B$27)</f>
        <v>2.7906976744186046E-2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>IF(Q15=0,0,P15/Q15)</f>
        <v>-6.842105263157892</v>
      </c>
      <c r="P15" s="131">
        <v>-259.99999999999989</v>
      </c>
      <c r="Q15" s="55">
        <v>38</v>
      </c>
    </row>
    <row r="16" spans="1:17" x14ac:dyDescent="0.4">
      <c r="A16" s="71" t="s">
        <v>131</v>
      </c>
      <c r="B16" s="63">
        <v>56</v>
      </c>
      <c r="C16" s="45">
        <f>IF(B$14=0,0,B16/B$14)</f>
        <v>0.36842105263157893</v>
      </c>
      <c r="E16" s="81" t="s">
        <v>86</v>
      </c>
      <c r="F16" s="77" t="s">
        <v>39</v>
      </c>
      <c r="G16" s="64">
        <v>5</v>
      </c>
      <c r="H16" s="47">
        <f>IF(B$27=0,0,G16/B$27)</f>
        <v>2.3255813953488372E-2</v>
      </c>
      <c r="I16" s="117">
        <v>7</v>
      </c>
      <c r="K16" s="46">
        <v>14</v>
      </c>
      <c r="L16" s="123">
        <v>-231</v>
      </c>
      <c r="N16" s="46" t="s">
        <v>133</v>
      </c>
      <c r="O16" s="125">
        <f>IF(Q16=0,0,P16/Q16)</f>
        <v>-12.014999999999997</v>
      </c>
      <c r="P16" s="131">
        <v>-961.19999999999982</v>
      </c>
      <c r="Q16" s="55">
        <v>80</v>
      </c>
    </row>
    <row r="17" spans="1:17" x14ac:dyDescent="0.4">
      <c r="A17" s="71" t="s">
        <v>10</v>
      </c>
      <c r="B17" s="63">
        <f>B19+B18</f>
        <v>225</v>
      </c>
      <c r="C17" s="45">
        <f>IF(B$3=0,0,B17/B$3)</f>
        <v>0.28735632183908044</v>
      </c>
      <c r="E17" s="81" t="s">
        <v>77</v>
      </c>
      <c r="F17" s="77" t="s">
        <v>30</v>
      </c>
      <c r="G17" s="64">
        <v>4</v>
      </c>
      <c r="H17" s="47">
        <f>IF(B$27=0,0,G17/B$27)</f>
        <v>1.8604651162790697E-2</v>
      </c>
      <c r="I17" s="117">
        <v>1</v>
      </c>
      <c r="K17" s="46">
        <v>15</v>
      </c>
      <c r="L17" s="123">
        <v>-212.5</v>
      </c>
      <c r="N17" s="46" t="s">
        <v>136</v>
      </c>
      <c r="O17" s="125">
        <f>IF(Q17=0,0,P17/Q17)</f>
        <v>-13.675000000000001</v>
      </c>
      <c r="P17" s="131">
        <v>-109.4</v>
      </c>
      <c r="Q17" s="55">
        <v>8</v>
      </c>
    </row>
    <row r="18" spans="1:17" x14ac:dyDescent="0.4">
      <c r="A18" s="72" t="s">
        <v>12</v>
      </c>
      <c r="B18" s="64">
        <v>103</v>
      </c>
      <c r="C18" s="47">
        <f>IF(B$17=0,0,B18/B$17)</f>
        <v>0.45777777777777778</v>
      </c>
      <c r="E18" s="81" t="s">
        <v>79</v>
      </c>
      <c r="F18" s="77" t="s">
        <v>32</v>
      </c>
      <c r="G18" s="64">
        <v>3</v>
      </c>
      <c r="H18" s="47">
        <f>IF(B$27=0,0,G18/B$27)</f>
        <v>1.3953488372093023E-2</v>
      </c>
      <c r="I18" s="117">
        <v>1</v>
      </c>
      <c r="K18" s="46">
        <v>16</v>
      </c>
      <c r="L18" s="123">
        <v>-233.2</v>
      </c>
      <c r="N18" s="46" t="s">
        <v>137</v>
      </c>
      <c r="O18" s="125">
        <f>IF(Q18=0,0,P18/Q18)</f>
        <v>-13.74102564102564</v>
      </c>
      <c r="P18" s="131">
        <v>-535.9</v>
      </c>
      <c r="Q18" s="55">
        <v>39</v>
      </c>
    </row>
    <row r="19" spans="1:17" x14ac:dyDescent="0.4">
      <c r="A19" s="72" t="s">
        <v>11</v>
      </c>
      <c r="B19" s="64">
        <v>122</v>
      </c>
      <c r="C19" s="47">
        <f>IF(B$17=0,0,B19/B$17)</f>
        <v>0.54222222222222227</v>
      </c>
      <c r="E19" s="81" t="s">
        <v>96</v>
      </c>
      <c r="F19" s="77" t="s">
        <v>49</v>
      </c>
      <c r="G19" s="64">
        <v>3</v>
      </c>
      <c r="H19" s="47">
        <f>IF(B$27=0,0,G19/B$27)</f>
        <v>1.3953488372093023E-2</v>
      </c>
      <c r="I19" s="117">
        <v>7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168</v>
      </c>
      <c r="C20" s="47">
        <f>IF(B$3=0,0,B20/B$3)</f>
        <v>0.21455938697318008</v>
      </c>
      <c r="E20" s="81" t="s">
        <v>98</v>
      </c>
      <c r="F20" s="77" t="s">
        <v>51</v>
      </c>
      <c r="G20" s="64">
        <v>2</v>
      </c>
      <c r="H20" s="47">
        <f>IF(B$27=0,0,G20/B$27)</f>
        <v>9.3023255813953487E-3</v>
      </c>
      <c r="I20" s="117">
        <v>3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10788.888888888889</v>
      </c>
      <c r="C21" s="49">
        <v>2427500</v>
      </c>
      <c r="E21" s="81" t="s">
        <v>81</v>
      </c>
      <c r="F21" s="77" t="s">
        <v>34</v>
      </c>
      <c r="G21" s="64">
        <v>1</v>
      </c>
      <c r="H21" s="47">
        <f>IF(B$27=0,0,G21/B$27)</f>
        <v>4.6511627906976744E-3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-9748.8095238095229</v>
      </c>
      <c r="C22" s="62">
        <v>-1637800</v>
      </c>
      <c r="E22" s="81" t="s">
        <v>83</v>
      </c>
      <c r="F22" s="77" t="s">
        <v>36</v>
      </c>
      <c r="G22" s="64">
        <v>1</v>
      </c>
      <c r="H22" s="47">
        <f>IF(B$27=0,0,G22/B$27)</f>
        <v>4.6511627906976744E-3</v>
      </c>
      <c r="I22" s="117">
        <v>8</v>
      </c>
      <c r="K22" s="46">
        <v>20</v>
      </c>
      <c r="L22" s="123">
        <v>-270</v>
      </c>
    </row>
    <row r="23" spans="1:17" x14ac:dyDescent="0.4">
      <c r="A23" s="112" t="s">
        <v>159</v>
      </c>
      <c r="B23" s="139">
        <v>7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4.6511627906976744E-3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37">
        <v>124700</v>
      </c>
      <c r="C24" s="138"/>
      <c r="E24" s="81" t="s">
        <v>90</v>
      </c>
      <c r="F24" s="77" t="s">
        <v>43</v>
      </c>
      <c r="G24" s="64">
        <v>1</v>
      </c>
      <c r="H24" s="47">
        <f>IF(B$27=0,0,G24/B$27)</f>
        <v>4.6511627906976744E-3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8.9399744572158362E-3</v>
      </c>
      <c r="E25" s="81" t="s">
        <v>97</v>
      </c>
      <c r="F25" s="77" t="s">
        <v>50</v>
      </c>
      <c r="G25" s="64">
        <v>1</v>
      </c>
      <c r="H25" s="47">
        <f>IF(B$27=0,0,G25/B$27)</f>
        <v>4.6511627906976744E-3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43">
        <v>746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45">
        <v>215</v>
      </c>
      <c r="C27" s="14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  <row r="100" spans="11:12" x14ac:dyDescent="0.4">
      <c r="K100" s="46">
        <v>98</v>
      </c>
      <c r="L100" s="123">
        <v>-478.69999999999993</v>
      </c>
    </row>
    <row r="101" spans="11:12" x14ac:dyDescent="0.4">
      <c r="K101" s="46">
        <v>99</v>
      </c>
      <c r="L101" s="123">
        <v>-455.19999999999993</v>
      </c>
    </row>
    <row r="102" spans="11:12" x14ac:dyDescent="0.4">
      <c r="K102" s="46">
        <v>100</v>
      </c>
      <c r="L102" s="123">
        <v>-505.69999999999993</v>
      </c>
    </row>
    <row r="103" spans="11:12" x14ac:dyDescent="0.4">
      <c r="K103" s="46">
        <v>101</v>
      </c>
      <c r="L103" s="123">
        <v>-503.89999999999992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C0445-DE9D-4DD4-BA2E-172C6ADBF16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4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4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5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37">
        <v>78000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3">
        <v>50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45">
        <v>19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9B2E0-4CC1-4930-A70A-2A5A2E5D7FB7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158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2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6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39">
        <v>5</v>
      </c>
      <c r="C23" s="14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37">
        <v>67700</v>
      </c>
      <c r="C24" s="13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43">
        <v>196</v>
      </c>
      <c r="C26" s="144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45">
        <v>44</v>
      </c>
      <c r="C27" s="14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C13F9-FBB2-4AC8-90B6-38129C047236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B0D62-B579-446B-9076-3D20DD19643A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DBCD-6F90-40DE-AF8E-24B1F4E66B31}">
  <sheetPr codeName="Sheet26"/>
  <dimension ref="A1:Q10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  <row r="101" spans="1:17" x14ac:dyDescent="0.4">
      <c r="A101" s="87">
        <v>98</v>
      </c>
      <c r="B101" s="84">
        <v>-478.69999999999993</v>
      </c>
      <c r="C101" s="84">
        <v>-4.8846938775510198</v>
      </c>
      <c r="D101" s="89">
        <v>2.1836734693877551</v>
      </c>
      <c r="E101" s="85">
        <v>0.25510204081632654</v>
      </c>
      <c r="F101" s="85">
        <v>0.28758169934640521</v>
      </c>
      <c r="G101" s="85">
        <v>0.21307189542483659</v>
      </c>
      <c r="H101" s="86">
        <v>10815.90909090909</v>
      </c>
      <c r="I101" s="86">
        <v>-9695.7055214723932</v>
      </c>
      <c r="J101" s="85">
        <v>0.22448979591836735</v>
      </c>
      <c r="K101" s="85">
        <v>0.1326530612244898</v>
      </c>
      <c r="L101" s="85">
        <v>0.10204081632653061</v>
      </c>
      <c r="M101" s="85">
        <v>0.30769230769230771</v>
      </c>
      <c r="N101" s="85">
        <v>0.2032967032967033</v>
      </c>
      <c r="O101" s="85">
        <v>0.5892857142857143</v>
      </c>
      <c r="P101" s="85">
        <v>0.3716216216216216</v>
      </c>
      <c r="Q101" s="85">
        <v>0.45909090909090911</v>
      </c>
    </row>
    <row r="102" spans="1:17" x14ac:dyDescent="0.4">
      <c r="A102" s="87">
        <v>99</v>
      </c>
      <c r="B102" s="84">
        <v>-455.19999999999993</v>
      </c>
      <c r="C102" s="84">
        <v>-4.5979797979797974</v>
      </c>
      <c r="D102" s="89">
        <v>2.1717171717171717</v>
      </c>
      <c r="E102" s="85">
        <v>0.26262626262626265</v>
      </c>
      <c r="F102" s="85">
        <v>0.28756476683937826</v>
      </c>
      <c r="G102" s="85">
        <v>0.21243523316062177</v>
      </c>
      <c r="H102" s="86">
        <v>10826.576576576577</v>
      </c>
      <c r="I102" s="86">
        <v>-9642.6829268292677</v>
      </c>
      <c r="J102" s="85">
        <v>0.22222222222222221</v>
      </c>
      <c r="K102" s="85">
        <v>0.14141414141414141</v>
      </c>
      <c r="L102" s="85">
        <v>0.1111111111111111</v>
      </c>
      <c r="M102" s="85">
        <v>0.30884353741496601</v>
      </c>
      <c r="N102" s="85">
        <v>0.20272108843537415</v>
      </c>
      <c r="O102" s="85">
        <v>0.5903083700440529</v>
      </c>
      <c r="P102" s="85">
        <v>0.36912751677852351</v>
      </c>
      <c r="Q102" s="85">
        <v>0.45945945945945948</v>
      </c>
    </row>
    <row r="103" spans="1:17" x14ac:dyDescent="0.4">
      <c r="A103" s="87">
        <v>100</v>
      </c>
      <c r="B103" s="84">
        <v>-505.69999999999993</v>
      </c>
      <c r="C103" s="84">
        <v>-5.0569999999999995</v>
      </c>
      <c r="D103" s="89">
        <v>2.1800000000000002</v>
      </c>
      <c r="E103" s="85">
        <v>0.26</v>
      </c>
      <c r="F103" s="85">
        <v>0.28645161290322579</v>
      </c>
      <c r="G103" s="85">
        <v>0.21419354838709678</v>
      </c>
      <c r="H103" s="86">
        <v>10826.576576576577</v>
      </c>
      <c r="I103" s="86">
        <v>-9779.5180722891564</v>
      </c>
      <c r="J103" s="85">
        <v>0.23</v>
      </c>
      <c r="K103" s="85">
        <v>0.14000000000000001</v>
      </c>
      <c r="L103" s="85">
        <v>0.11</v>
      </c>
      <c r="M103" s="85">
        <v>0.30758807588075882</v>
      </c>
      <c r="N103" s="85">
        <v>0.2032520325203252</v>
      </c>
      <c r="O103" s="85">
        <v>0.5903083700440529</v>
      </c>
      <c r="P103" s="85">
        <v>0.36666666666666664</v>
      </c>
      <c r="Q103" s="85">
        <v>0.45945945945945948</v>
      </c>
    </row>
    <row r="104" spans="1:17" x14ac:dyDescent="0.4">
      <c r="A104" s="87">
        <v>101</v>
      </c>
      <c r="B104" s="84">
        <v>-503.89999999999992</v>
      </c>
      <c r="C104" s="84">
        <v>-4.9891089108910887</v>
      </c>
      <c r="D104" s="89">
        <v>2.1782178217821784</v>
      </c>
      <c r="E104" s="85">
        <v>0.25742574257425743</v>
      </c>
      <c r="F104" s="85">
        <v>0.28735632183908044</v>
      </c>
      <c r="G104" s="85">
        <v>0.21455938697318008</v>
      </c>
      <c r="H104" s="86">
        <v>10788.888888888889</v>
      </c>
      <c r="I104" s="86">
        <v>-9748.8095238095229</v>
      </c>
      <c r="J104" s="85">
        <v>0.22772277227722773</v>
      </c>
      <c r="K104" s="85">
        <v>0.13861386138613863</v>
      </c>
      <c r="L104" s="85">
        <v>0.10891089108910891</v>
      </c>
      <c r="M104" s="85">
        <v>0.30831099195710454</v>
      </c>
      <c r="N104" s="85">
        <v>0.20375335120643431</v>
      </c>
      <c r="O104" s="85">
        <v>0.59130434782608698</v>
      </c>
      <c r="P104" s="85">
        <v>0.36842105263157893</v>
      </c>
      <c r="Q104" s="85">
        <v>0.45777777777777778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20AF-97D5-48D7-81C8-0D975593F9F0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F8BE-3F8E-4EDA-82D1-C1A76564FC27}">
  <sheetPr codeName="Sheet22"/>
  <dimension ref="A1:Q10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  <row r="99" spans="1:17" x14ac:dyDescent="0.4">
      <c r="A99" s="87">
        <v>96</v>
      </c>
      <c r="B99" s="84">
        <v>234.99999999999989</v>
      </c>
      <c r="C99" s="84">
        <v>2.4479166666666656</v>
      </c>
      <c r="D99" s="89">
        <v>1.9270833333333333</v>
      </c>
      <c r="E99" s="85">
        <v>0.38541666666666669</v>
      </c>
      <c r="F99" s="85">
        <v>0.30727023319615915</v>
      </c>
      <c r="G99" s="85">
        <v>0.16186556927297668</v>
      </c>
      <c r="H99" s="86">
        <v>10509.375</v>
      </c>
      <c r="I99" s="86">
        <v>-9117.796610169491</v>
      </c>
      <c r="J99" s="85">
        <v>0.11458333333333333</v>
      </c>
      <c r="K99" s="85">
        <v>0.17708333333333334</v>
      </c>
      <c r="L99" s="85">
        <v>0.11458333333333333</v>
      </c>
      <c r="M99" s="85">
        <v>0.31509121061359868</v>
      </c>
      <c r="N99" s="85">
        <v>0.22222222222222221</v>
      </c>
      <c r="O99" s="85">
        <v>0.5736842105263158</v>
      </c>
      <c r="P99" s="85">
        <v>0.38805970149253732</v>
      </c>
      <c r="Q99" s="85">
        <v>0.45535714285714285</v>
      </c>
    </row>
    <row r="100" spans="1:17" x14ac:dyDescent="0.4">
      <c r="A100" s="87">
        <v>97</v>
      </c>
      <c r="B100" s="84">
        <v>252.19999999999987</v>
      </c>
      <c r="C100" s="84">
        <v>2.5999999999999988</v>
      </c>
      <c r="D100" s="89">
        <v>1.9278350515463918</v>
      </c>
      <c r="E100" s="85">
        <v>0.38144329896907214</v>
      </c>
      <c r="F100" s="85">
        <v>0.30653950953678472</v>
      </c>
      <c r="G100" s="85">
        <v>0.16076294277929154</v>
      </c>
      <c r="H100" s="86">
        <v>10533.777777777777</v>
      </c>
      <c r="I100" s="86">
        <v>-9117.796610169491</v>
      </c>
      <c r="J100" s="85">
        <v>0.1134020618556701</v>
      </c>
      <c r="K100" s="85">
        <v>0.17525773195876287</v>
      </c>
      <c r="L100" s="85">
        <v>0.1134020618556701</v>
      </c>
      <c r="M100" s="85">
        <v>0.3125</v>
      </c>
      <c r="N100" s="85">
        <v>0.22368421052631579</v>
      </c>
      <c r="O100" s="85">
        <v>0.5736842105263158</v>
      </c>
      <c r="P100" s="85">
        <v>0.38235294117647056</v>
      </c>
      <c r="Q100" s="85">
        <v>0.45777777777777778</v>
      </c>
    </row>
    <row r="101" spans="1:17" x14ac:dyDescent="0.4">
      <c r="A101" s="87">
        <v>98</v>
      </c>
      <c r="B101" s="84">
        <v>221.59999999999988</v>
      </c>
      <c r="C101" s="84">
        <v>2.2612244897959171</v>
      </c>
      <c r="D101" s="89">
        <v>1.9387755102040816</v>
      </c>
      <c r="E101" s="85">
        <v>0.37755102040816324</v>
      </c>
      <c r="F101" s="85">
        <v>0.30364372469635625</v>
      </c>
      <c r="G101" s="85">
        <v>0.16194331983805668</v>
      </c>
      <c r="H101" s="86">
        <v>10533.777777777777</v>
      </c>
      <c r="I101" s="86">
        <v>-9120.8333333333339</v>
      </c>
      <c r="J101" s="85">
        <v>0.11224489795918367</v>
      </c>
      <c r="K101" s="85">
        <v>0.17346938775510204</v>
      </c>
      <c r="L101" s="85">
        <v>0.11224489795918367</v>
      </c>
      <c r="M101" s="85">
        <v>0.31382113821138213</v>
      </c>
      <c r="N101" s="85">
        <v>0.22276422764227644</v>
      </c>
      <c r="O101" s="85">
        <v>0.56476683937823835</v>
      </c>
      <c r="P101" s="85">
        <v>0.37956204379562042</v>
      </c>
      <c r="Q101" s="85">
        <v>0.45777777777777778</v>
      </c>
    </row>
    <row r="102" spans="1:17" x14ac:dyDescent="0.4">
      <c r="A102" s="87">
        <v>99</v>
      </c>
      <c r="B102" s="84">
        <v>245.39999999999989</v>
      </c>
      <c r="C102" s="84">
        <v>2.4787878787878777</v>
      </c>
      <c r="D102" s="89">
        <v>1.9292929292929293</v>
      </c>
      <c r="E102" s="85">
        <v>0.38383838383838381</v>
      </c>
      <c r="F102" s="85">
        <v>0.3022636484687084</v>
      </c>
      <c r="G102" s="85">
        <v>0.16245006657789615</v>
      </c>
      <c r="H102" s="86">
        <v>10687.665198237886</v>
      </c>
      <c r="I102" s="86">
        <v>-9101.6393442622957</v>
      </c>
      <c r="J102" s="85">
        <v>0.1111111111111111</v>
      </c>
      <c r="K102" s="85">
        <v>0.17171717171717171</v>
      </c>
      <c r="L102" s="85">
        <v>0.1111111111111111</v>
      </c>
      <c r="M102" s="85">
        <v>0.31519999999999998</v>
      </c>
      <c r="N102" s="85">
        <v>0.2208</v>
      </c>
      <c r="O102" s="85">
        <v>0.56345177664974622</v>
      </c>
      <c r="P102" s="85">
        <v>0.37681159420289856</v>
      </c>
      <c r="Q102" s="85">
        <v>0.46255506607929514</v>
      </c>
    </row>
    <row r="103" spans="1:17" x14ac:dyDescent="0.4">
      <c r="A103" s="87">
        <v>100</v>
      </c>
      <c r="B103" s="84">
        <v>252.89999999999989</v>
      </c>
      <c r="C103" s="84">
        <v>2.528999999999999</v>
      </c>
      <c r="D103" s="89">
        <v>1.93</v>
      </c>
      <c r="E103" s="85">
        <v>0.38</v>
      </c>
      <c r="F103" s="85">
        <v>0.30238726790450926</v>
      </c>
      <c r="G103" s="85">
        <v>0.16180371352785147</v>
      </c>
      <c r="H103" s="86">
        <v>10693.421052631578</v>
      </c>
      <c r="I103" s="86">
        <v>-9101.6393442622957</v>
      </c>
      <c r="J103" s="85">
        <v>0.11</v>
      </c>
      <c r="K103" s="85">
        <v>0.17</v>
      </c>
      <c r="L103" s="85">
        <v>0.11</v>
      </c>
      <c r="M103" s="85">
        <v>0.31528662420382164</v>
      </c>
      <c r="N103" s="85">
        <v>0.21974522292993631</v>
      </c>
      <c r="O103" s="85">
        <v>0.56565656565656564</v>
      </c>
      <c r="P103" s="85">
        <v>0.37681159420289856</v>
      </c>
      <c r="Q103" s="85">
        <v>0.46052631578947367</v>
      </c>
    </row>
    <row r="104" spans="1:17" x14ac:dyDescent="0.4">
      <c r="A104" s="87">
        <v>101</v>
      </c>
      <c r="B104" s="84">
        <v>270.69999999999987</v>
      </c>
      <c r="C104" s="84">
        <v>2.680198019801979</v>
      </c>
      <c r="D104" s="89">
        <v>1.9207920792079207</v>
      </c>
      <c r="E104" s="85">
        <v>0.38613861386138615</v>
      </c>
      <c r="F104" s="85">
        <v>0.30446194225721784</v>
      </c>
      <c r="G104" s="85">
        <v>0.16141732283464566</v>
      </c>
      <c r="H104" s="86">
        <v>10631.896551724138</v>
      </c>
      <c r="I104" s="86">
        <v>-9059.3495934959356</v>
      </c>
      <c r="J104" s="85">
        <v>0.10891089108910891</v>
      </c>
      <c r="K104" s="85">
        <v>0.16831683168316833</v>
      </c>
      <c r="L104" s="85">
        <v>0.10891089108910891</v>
      </c>
      <c r="M104" s="85">
        <v>0.31603773584905659</v>
      </c>
      <c r="N104" s="85">
        <v>0.22012578616352202</v>
      </c>
      <c r="O104" s="85">
        <v>0.56218905472636815</v>
      </c>
      <c r="P104" s="85">
        <v>0.38571428571428573</v>
      </c>
      <c r="Q104" s="85">
        <v>0.45689655172413796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B4DD-669B-4CDC-9C07-862F8647AFA6}">
  <sheetPr codeName="Sheet20"/>
  <dimension ref="A1:Q6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  <row r="60" spans="1:17" x14ac:dyDescent="0.4">
      <c r="A60" s="87">
        <v>57</v>
      </c>
      <c r="B60" s="84">
        <v>-533.29999999999995</v>
      </c>
      <c r="C60" s="84">
        <v>-9.3561403508771921</v>
      </c>
      <c r="D60" s="89">
        <v>2.2807017543859649</v>
      </c>
      <c r="E60" s="85">
        <v>0.17543859649122806</v>
      </c>
      <c r="F60" s="85">
        <v>0.25842696629213485</v>
      </c>
      <c r="G60" s="85">
        <v>0.19775280898876405</v>
      </c>
      <c r="H60" s="86">
        <v>8973.9130434782601</v>
      </c>
      <c r="I60" s="86">
        <v>-9767.045454545454</v>
      </c>
      <c r="J60" s="85">
        <v>0.21052631578947367</v>
      </c>
      <c r="K60" s="85">
        <v>0.12280701754385964</v>
      </c>
      <c r="L60" s="85">
        <v>5.2631578947368418E-2</v>
      </c>
      <c r="M60" s="85">
        <v>0.24150943396226415</v>
      </c>
      <c r="N60" s="85">
        <v>0.26792452830188679</v>
      </c>
      <c r="O60" s="85">
        <v>0.453125</v>
      </c>
      <c r="P60" s="85">
        <v>0.36619718309859156</v>
      </c>
      <c r="Q60" s="85">
        <v>0.46086956521739131</v>
      </c>
    </row>
    <row r="61" spans="1:17" x14ac:dyDescent="0.4">
      <c r="A61" s="87">
        <v>58</v>
      </c>
      <c r="B61" s="84">
        <v>-573.29999999999995</v>
      </c>
      <c r="C61" s="84">
        <v>-9.8844827586206883</v>
      </c>
      <c r="D61" s="89">
        <v>2.2931034482758621</v>
      </c>
      <c r="E61" s="85">
        <v>0.17241379310344829</v>
      </c>
      <c r="F61" s="85">
        <v>0.25555555555555554</v>
      </c>
      <c r="G61" s="85">
        <v>0.2</v>
      </c>
      <c r="H61" s="86">
        <v>8973.9130434782601</v>
      </c>
      <c r="I61" s="86">
        <v>-9838.8888888888887</v>
      </c>
      <c r="J61" s="85">
        <v>0.22413793103448276</v>
      </c>
      <c r="K61" s="85">
        <v>0.1206896551724138</v>
      </c>
      <c r="L61" s="85">
        <v>5.1724137931034482E-2</v>
      </c>
      <c r="M61" s="85">
        <v>0.24814814814814815</v>
      </c>
      <c r="N61" s="85">
        <v>0.26666666666666666</v>
      </c>
      <c r="O61" s="85">
        <v>0.43283582089552236</v>
      </c>
      <c r="P61" s="85">
        <v>0.3611111111111111</v>
      </c>
      <c r="Q61" s="85">
        <v>0.46086956521739131</v>
      </c>
    </row>
    <row r="62" spans="1:17" x14ac:dyDescent="0.4">
      <c r="A62" s="87">
        <v>59</v>
      </c>
      <c r="B62" s="84">
        <v>-550.79999999999995</v>
      </c>
      <c r="C62" s="84">
        <v>-9.335593220338982</v>
      </c>
      <c r="D62" s="89">
        <v>2.2711864406779663</v>
      </c>
      <c r="E62" s="85">
        <v>0.1864406779661017</v>
      </c>
      <c r="F62" s="85">
        <v>0.25820568927789933</v>
      </c>
      <c r="G62" s="85">
        <v>0.19693654266958424</v>
      </c>
      <c r="H62" s="86">
        <v>8983.0508474576272</v>
      </c>
      <c r="I62" s="86">
        <v>-9838.8888888888887</v>
      </c>
      <c r="J62" s="85">
        <v>0.22033898305084745</v>
      </c>
      <c r="K62" s="85">
        <v>0.11864406779661017</v>
      </c>
      <c r="L62" s="85">
        <v>5.0847457627118647E-2</v>
      </c>
      <c r="M62" s="85">
        <v>0.25992779783393499</v>
      </c>
      <c r="N62" s="85">
        <v>0.25992779783393499</v>
      </c>
      <c r="O62" s="85">
        <v>0.44444444444444442</v>
      </c>
      <c r="P62" s="85">
        <v>0.3611111111111111</v>
      </c>
      <c r="Q62" s="85">
        <v>0.4576271186440678</v>
      </c>
    </row>
    <row r="63" spans="1:17" x14ac:dyDescent="0.4">
      <c r="A63" s="87">
        <v>60</v>
      </c>
      <c r="B63" s="84">
        <v>-535.29999999999995</v>
      </c>
      <c r="C63" s="84">
        <v>-8.9216666666666651</v>
      </c>
      <c r="D63" s="89">
        <v>2.2666666666666666</v>
      </c>
      <c r="E63" s="85">
        <v>0.18333333333333332</v>
      </c>
      <c r="F63" s="85">
        <v>0.25862068965517243</v>
      </c>
      <c r="G63" s="85">
        <v>0.19396551724137931</v>
      </c>
      <c r="H63" s="86">
        <v>9050</v>
      </c>
      <c r="I63" s="86">
        <v>-9838.8888888888887</v>
      </c>
      <c r="J63" s="85">
        <v>0.21666666666666667</v>
      </c>
      <c r="K63" s="85">
        <v>0.11666666666666667</v>
      </c>
      <c r="L63" s="85">
        <v>0.05</v>
      </c>
      <c r="M63" s="85">
        <v>0.25352112676056338</v>
      </c>
      <c r="N63" s="85">
        <v>0.26760563380281688</v>
      </c>
      <c r="O63" s="85">
        <v>0.44444444444444442</v>
      </c>
      <c r="P63" s="85">
        <v>0.36842105263157893</v>
      </c>
      <c r="Q63" s="85">
        <v>0.45</v>
      </c>
    </row>
    <row r="64" spans="1:17" x14ac:dyDescent="0.4">
      <c r="A64" s="87">
        <v>61</v>
      </c>
      <c r="B64" s="84">
        <v>-492.29999999999995</v>
      </c>
      <c r="C64" s="84">
        <v>-8.0704918032786885</v>
      </c>
      <c r="D64" s="89">
        <v>2.2459016393442623</v>
      </c>
      <c r="E64" s="85">
        <v>0.19672131147540983</v>
      </c>
      <c r="F64" s="85">
        <v>0.2633832976445396</v>
      </c>
      <c r="G64" s="85">
        <v>0.19271948608137046</v>
      </c>
      <c r="H64" s="86">
        <v>9170.7317073170725</v>
      </c>
      <c r="I64" s="86">
        <v>-9838.8888888888887</v>
      </c>
      <c r="J64" s="85">
        <v>0.21311475409836064</v>
      </c>
      <c r="K64" s="85">
        <v>0.13114754098360656</v>
      </c>
      <c r="L64" s="85">
        <v>4.9180327868852458E-2</v>
      </c>
      <c r="M64" s="85">
        <v>0.25783972125435539</v>
      </c>
      <c r="N64" s="85">
        <v>0.26829268292682928</v>
      </c>
      <c r="O64" s="85">
        <v>0.45945945945945948</v>
      </c>
      <c r="P64" s="85">
        <v>0.37662337662337664</v>
      </c>
      <c r="Q64" s="85">
        <v>0.44715447154471544</v>
      </c>
    </row>
    <row r="65" spans="1:17" x14ac:dyDescent="0.4">
      <c r="A65" s="87">
        <v>62</v>
      </c>
      <c r="B65" s="84">
        <v>-511.9</v>
      </c>
      <c r="C65" s="84">
        <v>-8.2564516129032253</v>
      </c>
      <c r="D65" s="89">
        <v>2.2580645161290325</v>
      </c>
      <c r="E65" s="85">
        <v>0.19354838709677419</v>
      </c>
      <c r="F65" s="85">
        <v>0.26105263157894737</v>
      </c>
      <c r="G65" s="85">
        <v>0.19157894736842104</v>
      </c>
      <c r="H65" s="86">
        <v>9193.5483870967746</v>
      </c>
      <c r="I65" s="86">
        <v>-10060.439560439561</v>
      </c>
      <c r="J65" s="85">
        <v>0.20967741935483872</v>
      </c>
      <c r="K65" s="85">
        <v>0.12903225806451613</v>
      </c>
      <c r="L65" s="85">
        <v>4.8387096774193547E-2</v>
      </c>
      <c r="M65" s="85">
        <v>0.26101694915254237</v>
      </c>
      <c r="N65" s="85">
        <v>0.26779661016949152</v>
      </c>
      <c r="O65" s="85">
        <v>0.45454545454545453</v>
      </c>
      <c r="P65" s="85">
        <v>0.379746835443038</v>
      </c>
      <c r="Q65" s="85">
        <v>0.45161290322580644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140B2-3414-4AF1-BDED-586C08979D69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4B666-35F7-4238-A937-6408E076DA07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EF8A-1804-4D0F-BB64-46FAEC197249}">
  <sheetPr codeName="Sheet14"/>
  <dimension ref="A1:Q1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8483-9AFD-44DD-B512-9A09A09FC026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B054-C376-4DB2-ADF5-19183D8C3E5A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0B39-9AA5-4CAA-BDE1-E7FAB3DF3C0D}">
  <sheetPr codeName="Sheet8"/>
  <dimension ref="A1:Q21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  <row r="207" spans="1:17" x14ac:dyDescent="0.4">
      <c r="A207" s="87">
        <v>204</v>
      </c>
      <c r="B207" s="84">
        <v>1267.6000000000001</v>
      </c>
      <c r="C207" s="84">
        <v>6.2137254901960794</v>
      </c>
      <c r="D207" s="89">
        <v>1.7941176470588236</v>
      </c>
      <c r="E207" s="85">
        <v>0.4264705882352941</v>
      </c>
      <c r="F207" s="85">
        <v>0.35221354166666669</v>
      </c>
      <c r="G207" s="85">
        <v>0.142578125</v>
      </c>
      <c r="H207" s="86">
        <v>9940.6654343807768</v>
      </c>
      <c r="I207" s="86">
        <v>-9351.5981735159821</v>
      </c>
      <c r="J207" s="85">
        <v>0.10294117647058823</v>
      </c>
      <c r="K207" s="85">
        <v>0.20098039215686275</v>
      </c>
      <c r="L207" s="85">
        <v>9.8039215686274508E-2</v>
      </c>
      <c r="M207" s="85">
        <v>0.3037037037037037</v>
      </c>
      <c r="N207" s="85">
        <v>0.20462962962962963</v>
      </c>
      <c r="O207" s="85">
        <v>0.65853658536585369</v>
      </c>
      <c r="P207" s="85">
        <v>0.47511312217194568</v>
      </c>
      <c r="Q207" s="85">
        <v>0.37707948243992606</v>
      </c>
    </row>
    <row r="208" spans="1:17" x14ac:dyDescent="0.4">
      <c r="A208" s="87">
        <v>205</v>
      </c>
      <c r="B208" s="84">
        <v>1290.4000000000001</v>
      </c>
      <c r="C208" s="84">
        <v>6.2946341463414637</v>
      </c>
      <c r="D208" s="89">
        <v>1.7902439024390244</v>
      </c>
      <c r="E208" s="85">
        <v>0.42926829268292682</v>
      </c>
      <c r="F208" s="85">
        <v>0.35301752109020118</v>
      </c>
      <c r="G208" s="85">
        <v>0.14211550940947437</v>
      </c>
      <c r="H208" s="86">
        <v>9943.3823529411766</v>
      </c>
      <c r="I208" s="86">
        <v>-9351.5981735159821</v>
      </c>
      <c r="J208" s="85">
        <v>0.1024390243902439</v>
      </c>
      <c r="K208" s="85">
        <v>0.20487804878048779</v>
      </c>
      <c r="L208" s="85">
        <v>0.1024390243902439</v>
      </c>
      <c r="M208" s="85">
        <v>0.30414746543778803</v>
      </c>
      <c r="N208" s="85">
        <v>0.20460829493087557</v>
      </c>
      <c r="O208" s="85">
        <v>0.66060606060606064</v>
      </c>
      <c r="P208" s="85">
        <v>0.47297297297297297</v>
      </c>
      <c r="Q208" s="85">
        <v>0.37683823529411764</v>
      </c>
    </row>
    <row r="209" spans="1:17" x14ac:dyDescent="0.4">
      <c r="A209" s="87">
        <v>206</v>
      </c>
      <c r="B209" s="84">
        <v>1298.5</v>
      </c>
      <c r="C209" s="84">
        <v>6.3033980582524274</v>
      </c>
      <c r="D209" s="89">
        <v>1.7912621359223302</v>
      </c>
      <c r="E209" s="85">
        <v>0.42718446601941745</v>
      </c>
      <c r="F209" s="85">
        <v>0.35335917312661497</v>
      </c>
      <c r="G209" s="85">
        <v>0.14276485788113696</v>
      </c>
      <c r="H209" s="86">
        <v>9937.4771480804393</v>
      </c>
      <c r="I209" s="86">
        <v>-9357.4660633484164</v>
      </c>
      <c r="J209" s="85">
        <v>0.10194174757281553</v>
      </c>
      <c r="K209" s="85">
        <v>0.20388349514563106</v>
      </c>
      <c r="L209" s="85">
        <v>0.10194174757281553</v>
      </c>
      <c r="M209" s="85">
        <v>0.30586080586080588</v>
      </c>
      <c r="N209" s="85">
        <v>0.20512820512820512</v>
      </c>
      <c r="O209" s="85">
        <v>0.66167664670658688</v>
      </c>
      <c r="P209" s="85">
        <v>0.46875</v>
      </c>
      <c r="Q209" s="85">
        <v>0.37659963436928701</v>
      </c>
    </row>
    <row r="210" spans="1:17" x14ac:dyDescent="0.4">
      <c r="A210" s="87">
        <v>207</v>
      </c>
      <c r="B210" s="84">
        <v>1303.5</v>
      </c>
      <c r="C210" s="84">
        <v>6.2971014492753623</v>
      </c>
      <c r="D210" s="89">
        <v>1.7922705314009661</v>
      </c>
      <c r="E210" s="85">
        <v>0.4251207729468599</v>
      </c>
      <c r="F210" s="85">
        <v>0.35301668806161746</v>
      </c>
      <c r="G210" s="85">
        <v>0.14184852374839538</v>
      </c>
      <c r="H210" s="86">
        <v>9963.2727272727279</v>
      </c>
      <c r="I210" s="86">
        <v>-9357.4660633484164</v>
      </c>
      <c r="J210" s="85">
        <v>0.10144927536231885</v>
      </c>
      <c r="K210" s="85">
        <v>0.20289855072463769</v>
      </c>
      <c r="L210" s="85">
        <v>0.10144927536231885</v>
      </c>
      <c r="M210" s="85">
        <v>0.30671506352087113</v>
      </c>
      <c r="N210" s="85">
        <v>0.20689655172413793</v>
      </c>
      <c r="O210" s="85">
        <v>0.65680473372781067</v>
      </c>
      <c r="P210" s="85">
        <v>0.4692982456140351</v>
      </c>
      <c r="Q210" s="85">
        <v>0.37818181818181817</v>
      </c>
    </row>
    <row r="211" spans="1:17" x14ac:dyDescent="0.4">
      <c r="A211" s="87">
        <v>208</v>
      </c>
      <c r="B211" s="84">
        <v>1264.5</v>
      </c>
      <c r="C211" s="84">
        <v>6.0793269230769234</v>
      </c>
      <c r="D211" s="89">
        <v>1.7980769230769231</v>
      </c>
      <c r="E211" s="85">
        <v>0.42307692307692307</v>
      </c>
      <c r="F211" s="85">
        <v>0.35271565495207668</v>
      </c>
      <c r="G211" s="85">
        <v>0.14313099041533547</v>
      </c>
      <c r="H211" s="86">
        <v>9943.4782608695659</v>
      </c>
      <c r="I211" s="86">
        <v>-9401.7857142857138</v>
      </c>
      <c r="J211" s="85">
        <v>0.10576923076923077</v>
      </c>
      <c r="K211" s="85">
        <v>0.20192307692307693</v>
      </c>
      <c r="L211" s="85">
        <v>0.10096153846153846</v>
      </c>
      <c r="M211" s="85">
        <v>0.30658250676284943</v>
      </c>
      <c r="N211" s="85">
        <v>0.20829576194770064</v>
      </c>
      <c r="O211" s="85">
        <v>0.65294117647058825</v>
      </c>
      <c r="P211" s="85">
        <v>0.47186147186147187</v>
      </c>
      <c r="Q211" s="85">
        <v>0.37862318840579712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DA085-E34A-49CB-8E2A-D0D274B80F69}">
  <sheetPr codeName="Sheet6"/>
  <dimension ref="A1:Q24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  <row r="236" spans="1:17" x14ac:dyDescent="0.4">
      <c r="A236" s="87">
        <v>233</v>
      </c>
      <c r="B236" s="84">
        <v>-4.9999999999999432</v>
      </c>
      <c r="C236" s="84">
        <v>-7.153075822603638E-3</v>
      </c>
      <c r="D236" s="89">
        <v>2</v>
      </c>
      <c r="E236" s="85">
        <v>0.33333333333333331</v>
      </c>
      <c r="F236" s="85">
        <v>0.30280898876404494</v>
      </c>
      <c r="G236" s="85">
        <v>0.17228464419475656</v>
      </c>
      <c r="H236" s="86">
        <v>10241.991341991343</v>
      </c>
      <c r="I236" s="86">
        <v>-9408.4782608695659</v>
      </c>
      <c r="J236" s="85">
        <v>0.16022889842632332</v>
      </c>
      <c r="K236" s="85">
        <v>0.16022889842632332</v>
      </c>
      <c r="L236" s="85">
        <v>8.4406294706723894E-2</v>
      </c>
      <c r="M236" s="85">
        <v>0.29077471967380225</v>
      </c>
      <c r="N236" s="85">
        <v>0.21916411824668705</v>
      </c>
      <c r="O236" s="85">
        <v>0.59070990359333919</v>
      </c>
      <c r="P236" s="85">
        <v>0.38953488372093026</v>
      </c>
      <c r="Q236" s="85">
        <v>0.41929499072356213</v>
      </c>
    </row>
    <row r="237" spans="1:17" x14ac:dyDescent="0.4">
      <c r="A237" s="87">
        <v>234</v>
      </c>
      <c r="B237" s="84">
        <v>-4.9999999999999432</v>
      </c>
      <c r="C237" s="84">
        <v>-7.1225071225070411E-3</v>
      </c>
      <c r="D237" s="89">
        <v>2</v>
      </c>
      <c r="E237" s="85">
        <v>0.33333333333333331</v>
      </c>
      <c r="F237" s="85">
        <v>0.30270774976657328</v>
      </c>
      <c r="G237" s="85">
        <v>0.17217553688141923</v>
      </c>
      <c r="H237" s="86">
        <v>10245.897594077729</v>
      </c>
      <c r="I237" s="86">
        <v>-9416.2689804772235</v>
      </c>
      <c r="J237" s="85">
        <v>0.16096866096866097</v>
      </c>
      <c r="K237" s="85">
        <v>0.16096866096866097</v>
      </c>
      <c r="L237" s="85">
        <v>8.5470085470085472E-2</v>
      </c>
      <c r="M237" s="85">
        <v>0.29093678598629091</v>
      </c>
      <c r="N237" s="85">
        <v>0.21934501142421933</v>
      </c>
      <c r="O237" s="85">
        <v>0.58987783595113441</v>
      </c>
      <c r="P237" s="85">
        <v>0.38773148148148145</v>
      </c>
      <c r="Q237" s="85">
        <v>0.41949413942011105</v>
      </c>
    </row>
    <row r="238" spans="1:17" x14ac:dyDescent="0.4">
      <c r="A238" s="87">
        <v>235</v>
      </c>
      <c r="B238" s="84">
        <v>-4.9999999999999432</v>
      </c>
      <c r="C238" s="84">
        <v>-7.0921985815602029E-3</v>
      </c>
      <c r="D238" s="89">
        <v>2</v>
      </c>
      <c r="E238" s="85">
        <v>0.33333333333333331</v>
      </c>
      <c r="F238" s="85">
        <v>0.30264136904761907</v>
      </c>
      <c r="G238" s="85">
        <v>0.17224702380952381</v>
      </c>
      <c r="H238" s="86">
        <v>10241.671788567917</v>
      </c>
      <c r="I238" s="86">
        <v>-9417.2786177105827</v>
      </c>
      <c r="J238" s="85">
        <v>0.16028368794326242</v>
      </c>
      <c r="K238" s="85">
        <v>0.16028368794326242</v>
      </c>
      <c r="L238" s="85">
        <v>8.5106382978723402E-2</v>
      </c>
      <c r="M238" s="85">
        <v>0.29242424242424242</v>
      </c>
      <c r="N238" s="85">
        <v>0.21893939393939393</v>
      </c>
      <c r="O238" s="85">
        <v>0.58894645941278068</v>
      </c>
      <c r="P238" s="85">
        <v>0.38638985005767013</v>
      </c>
      <c r="Q238" s="85">
        <v>0.41917639827904118</v>
      </c>
    </row>
    <row r="239" spans="1:17" x14ac:dyDescent="0.4">
      <c r="A239" s="87">
        <v>236</v>
      </c>
      <c r="B239" s="84">
        <v>-4.9999999999999432</v>
      </c>
      <c r="C239" s="84">
        <v>-7.0621468926552865E-3</v>
      </c>
      <c r="D239" s="89">
        <v>2</v>
      </c>
      <c r="E239" s="85">
        <v>0.33333333333333331</v>
      </c>
      <c r="F239" s="85">
        <v>0.30244173140954494</v>
      </c>
      <c r="G239" s="85">
        <v>0.17184609692933778</v>
      </c>
      <c r="H239" s="86">
        <v>10265.688073394496</v>
      </c>
      <c r="I239" s="86">
        <v>-9412.5941872981693</v>
      </c>
      <c r="J239" s="85">
        <v>0.1596045197740113</v>
      </c>
      <c r="K239" s="85">
        <v>0.1596045197740113</v>
      </c>
      <c r="L239" s="85">
        <v>8.4745762711864403E-2</v>
      </c>
      <c r="M239" s="85">
        <v>0.29373433583959901</v>
      </c>
      <c r="N239" s="85">
        <v>0.21879699248120302</v>
      </c>
      <c r="O239" s="85">
        <v>0.58703071672354945</v>
      </c>
      <c r="P239" s="85">
        <v>0.38602520045819017</v>
      </c>
      <c r="Q239" s="85">
        <v>0.42018348623853213</v>
      </c>
    </row>
    <row r="240" spans="1:17" x14ac:dyDescent="0.4">
      <c r="A240" s="87">
        <v>237</v>
      </c>
      <c r="B240" s="84">
        <v>-4.9999999999999432</v>
      </c>
      <c r="C240" s="84">
        <v>-7.0323488045006231E-3</v>
      </c>
      <c r="D240" s="89">
        <v>2</v>
      </c>
      <c r="E240" s="85">
        <v>0.33333333333333331</v>
      </c>
      <c r="F240" s="85">
        <v>0.30237700386954119</v>
      </c>
      <c r="G240" s="85">
        <v>0.17191818684355997</v>
      </c>
      <c r="H240" s="86">
        <v>10264.107251675807</v>
      </c>
      <c r="I240" s="86">
        <v>-9414.0407288317256</v>
      </c>
      <c r="J240" s="85">
        <v>0.16033755274261605</v>
      </c>
      <c r="K240" s="85">
        <v>0.16033755274261605</v>
      </c>
      <c r="L240" s="85">
        <v>8.5794655414908577E-2</v>
      </c>
      <c r="M240" s="85">
        <v>0.29344303166292696</v>
      </c>
      <c r="N240" s="85">
        <v>0.21964597357267515</v>
      </c>
      <c r="O240" s="85">
        <v>0.5862361937128292</v>
      </c>
      <c r="P240" s="85">
        <v>0.38706015891032919</v>
      </c>
      <c r="Q240" s="85">
        <v>0.4198659354052407</v>
      </c>
    </row>
    <row r="241" spans="1:17" x14ac:dyDescent="0.4">
      <c r="A241" s="87">
        <v>238</v>
      </c>
      <c r="B241" s="84">
        <v>-4.9999999999999432</v>
      </c>
      <c r="C241" s="84">
        <v>-7.0028011204480997E-3</v>
      </c>
      <c r="D241" s="89">
        <v>2</v>
      </c>
      <c r="E241" s="85">
        <v>0.33333333333333331</v>
      </c>
      <c r="F241" s="85">
        <v>0.30261221486387047</v>
      </c>
      <c r="G241" s="85">
        <v>0.17200147167034585</v>
      </c>
      <c r="H241" s="86">
        <v>10271.975683890578</v>
      </c>
      <c r="I241" s="86">
        <v>-9438.823529411764</v>
      </c>
      <c r="J241" s="85">
        <v>0.16106442577030813</v>
      </c>
      <c r="K241" s="85">
        <v>0.16106442577030813</v>
      </c>
      <c r="L241" s="85">
        <v>8.5434173669467789E-2</v>
      </c>
      <c r="M241" s="85">
        <v>0.29353233830845771</v>
      </c>
      <c r="N241" s="85">
        <v>0.21965174129353235</v>
      </c>
      <c r="O241" s="85">
        <v>0.58728813559322035</v>
      </c>
      <c r="P241" s="85">
        <v>0.38731596828992071</v>
      </c>
      <c r="Q241" s="85">
        <v>0.41945288753799392</v>
      </c>
    </row>
    <row r="242" spans="1:17" x14ac:dyDescent="0.4">
      <c r="A242" s="87">
        <v>239</v>
      </c>
      <c r="B242" s="84">
        <v>-4.999999999999944</v>
      </c>
      <c r="C242" s="84">
        <v>-6.9735006973499917E-3</v>
      </c>
      <c r="D242" s="89">
        <v>2</v>
      </c>
      <c r="E242" s="85">
        <v>0.33333333333333331</v>
      </c>
      <c r="F242" s="85">
        <v>0.30274725274725273</v>
      </c>
      <c r="G242" s="85">
        <v>0.17197802197802198</v>
      </c>
      <c r="H242" s="86">
        <v>10261.282516636418</v>
      </c>
      <c r="I242" s="86">
        <v>-9450.0532481363152</v>
      </c>
      <c r="J242" s="85">
        <v>0.16039051603905161</v>
      </c>
      <c r="K242" s="85">
        <v>0.16039051603905161</v>
      </c>
      <c r="L242" s="85">
        <v>8.5076708507670851E-2</v>
      </c>
      <c r="M242" s="85">
        <v>0.29401582591493569</v>
      </c>
      <c r="N242" s="85">
        <v>0.21983184965380811</v>
      </c>
      <c r="O242" s="85">
        <v>0.58620689655172409</v>
      </c>
      <c r="P242" s="85">
        <v>0.38920134983127108</v>
      </c>
      <c r="Q242" s="85">
        <v>0.41923774954627951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2019-02-14T08:53:21Z</dcterms:modified>
</cp:coreProperties>
</file>