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4C3A9921-A14D-4778-B462-F2044DEFC1CE}" xr6:coauthVersionLast="36" xr6:coauthVersionMax="36" xr10:uidLastSave="{00000000-0000-0000-0000-000000000000}"/>
  <bookViews>
    <workbookView xWindow="0" yWindow="0" windowWidth="28800" windowHeight="13050" xr2:uid="{4FDB0271-42AC-4C1F-BA12-2E989A379038}"/>
  </bookViews>
  <sheets>
    <sheet name="ランキング" sheetId="137" r:id="rId1"/>
    <sheet name="Template" sheetId="2228" state="hidden" r:id="rId2"/>
    <sheet name="Cache" sheetId="2227" state="hidden" r:id="rId3"/>
    <sheet name="全体" sheetId="2989" r:id="rId4"/>
    <sheet name="だいち" sheetId="2990" r:id="rId5"/>
    <sheet name="かこたろう" sheetId="2991" r:id="rId6"/>
    <sheet name="ともき" sheetId="2992" r:id="rId7"/>
    <sheet name="りくと" sheetId="2993" r:id="rId8"/>
    <sheet name="いっしー" sheetId="2994" r:id="rId9"/>
    <sheet name="がくと" sheetId="2995" r:id="rId10"/>
    <sheet name="たかの" sheetId="2996" r:id="rId11"/>
    <sheet name="ただ" sheetId="2997" r:id="rId12"/>
    <sheet name="やがさき" sheetId="2998" r:id="rId13"/>
    <sheet name="れんたろう" sheetId="2999" r:id="rId14"/>
    <sheet name="あさひ" sheetId="3000" r:id="rId15"/>
    <sheet name="まっつん" sheetId="3001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3001" l="1"/>
  <c r="H50" i="3001"/>
  <c r="H49" i="3001"/>
  <c r="H48" i="3001"/>
  <c r="H47" i="3001"/>
  <c r="H46" i="3001"/>
  <c r="H45" i="3001"/>
  <c r="H44" i="3001"/>
  <c r="H43" i="3001"/>
  <c r="H42" i="3001"/>
  <c r="H41" i="3001"/>
  <c r="H40" i="3001"/>
  <c r="H39" i="3001"/>
  <c r="H38" i="3001"/>
  <c r="H37" i="3001"/>
  <c r="H36" i="3001"/>
  <c r="H35" i="3001"/>
  <c r="H34" i="3001"/>
  <c r="H33" i="3001"/>
  <c r="H32" i="3001"/>
  <c r="H20" i="3001"/>
  <c r="H31" i="3001"/>
  <c r="H6" i="3001"/>
  <c r="H30" i="3001"/>
  <c r="H29" i="3001"/>
  <c r="C27" i="3001"/>
  <c r="H12" i="3001"/>
  <c r="H19" i="3001"/>
  <c r="H28" i="3001"/>
  <c r="H8" i="3001"/>
  <c r="C23" i="3001"/>
  <c r="H27" i="3001"/>
  <c r="C22" i="3001"/>
  <c r="H16" i="3001"/>
  <c r="B21" i="3001"/>
  <c r="H26" i="3001"/>
  <c r="H25" i="3001"/>
  <c r="C19" i="3001"/>
  <c r="H15" i="3001"/>
  <c r="H18" i="3001"/>
  <c r="H17" i="3001"/>
  <c r="B16" i="3001"/>
  <c r="C17" i="3001" s="1"/>
  <c r="H24" i="3001"/>
  <c r="C15" i="3001"/>
  <c r="H23" i="3001"/>
  <c r="C14" i="3001"/>
  <c r="H22" i="3001"/>
  <c r="C13" i="3001"/>
  <c r="H21" i="3001"/>
  <c r="C12" i="3001"/>
  <c r="H4" i="3001"/>
  <c r="C11" i="3001"/>
  <c r="H14" i="3001"/>
  <c r="C10" i="3001"/>
  <c r="H11" i="3001"/>
  <c r="C9" i="3001"/>
  <c r="H13" i="3001"/>
  <c r="C8" i="3001"/>
  <c r="N7" i="3001"/>
  <c r="H7" i="3001"/>
  <c r="C7" i="3001"/>
  <c r="N6" i="3001"/>
  <c r="H2" i="3001"/>
  <c r="B6" i="3001"/>
  <c r="N5" i="3001"/>
  <c r="H10" i="3001"/>
  <c r="B5" i="3001"/>
  <c r="N4" i="3001"/>
  <c r="H3" i="3001"/>
  <c r="N3" i="3001"/>
  <c r="H9" i="3001"/>
  <c r="N2" i="3001"/>
  <c r="H5" i="3001"/>
  <c r="C16" i="3001" l="1"/>
  <c r="C18" i="3001"/>
  <c r="B20" i="3001"/>
  <c r="H51" i="3000" l="1"/>
  <c r="H50" i="3000"/>
  <c r="H49" i="3000"/>
  <c r="H48" i="3000"/>
  <c r="H47" i="3000"/>
  <c r="H46" i="3000"/>
  <c r="H45" i="3000"/>
  <c r="H44" i="3000"/>
  <c r="H43" i="3000"/>
  <c r="H42" i="3000"/>
  <c r="H41" i="3000"/>
  <c r="H40" i="3000"/>
  <c r="H39" i="3000"/>
  <c r="H38" i="3000"/>
  <c r="H37" i="3000"/>
  <c r="H36" i="3000"/>
  <c r="H35" i="3000"/>
  <c r="H34" i="3000"/>
  <c r="H33" i="3000"/>
  <c r="H32" i="3000"/>
  <c r="H14" i="3000"/>
  <c r="H31" i="3000"/>
  <c r="H11" i="3000"/>
  <c r="H30" i="3000"/>
  <c r="H29" i="3000"/>
  <c r="C27" i="3000"/>
  <c r="H10" i="3000"/>
  <c r="H28" i="3000"/>
  <c r="H27" i="3000"/>
  <c r="H26" i="3000"/>
  <c r="C23" i="3000"/>
  <c r="H25" i="3000"/>
  <c r="C22" i="3000"/>
  <c r="H24" i="3000"/>
  <c r="B21" i="3000"/>
  <c r="H23" i="3000"/>
  <c r="H22" i="3000"/>
  <c r="C19" i="3000"/>
  <c r="H21" i="3000"/>
  <c r="H20" i="3000"/>
  <c r="H19" i="3000"/>
  <c r="B16" i="3000"/>
  <c r="C17" i="3000" s="1"/>
  <c r="H18" i="3000"/>
  <c r="C15" i="3000"/>
  <c r="H17" i="3000"/>
  <c r="C14" i="3000"/>
  <c r="H16" i="3000"/>
  <c r="C13" i="3000"/>
  <c r="H15" i="3000"/>
  <c r="C12" i="3000"/>
  <c r="H5" i="3000"/>
  <c r="C11" i="3000"/>
  <c r="H13" i="3000"/>
  <c r="C10" i="3000"/>
  <c r="H7" i="3000"/>
  <c r="C9" i="3000"/>
  <c r="H9" i="3000"/>
  <c r="C8" i="3000"/>
  <c r="N7" i="3000"/>
  <c r="H8" i="3000"/>
  <c r="C7" i="3000"/>
  <c r="N6" i="3000"/>
  <c r="H3" i="3000"/>
  <c r="B6" i="3000"/>
  <c r="N5" i="3000"/>
  <c r="H6" i="3000"/>
  <c r="B5" i="3000"/>
  <c r="N4" i="3000"/>
  <c r="H2" i="3000"/>
  <c r="N3" i="3000"/>
  <c r="H12" i="3000"/>
  <c r="N2" i="3000"/>
  <c r="H4" i="3000"/>
  <c r="C16" i="3000" l="1"/>
  <c r="C18" i="3000"/>
  <c r="B20" i="3000"/>
  <c r="H51" i="2999" l="1"/>
  <c r="H50" i="2999"/>
  <c r="H49" i="2999"/>
  <c r="H48" i="2999"/>
  <c r="H47" i="2999"/>
  <c r="H46" i="2999"/>
  <c r="H45" i="2999"/>
  <c r="H44" i="2999"/>
  <c r="H43" i="2999"/>
  <c r="H42" i="2999"/>
  <c r="H41" i="2999"/>
  <c r="H40" i="2999"/>
  <c r="H39" i="2999"/>
  <c r="H38" i="2999"/>
  <c r="H37" i="2999"/>
  <c r="H36" i="2999"/>
  <c r="H35" i="2999"/>
  <c r="H34" i="2999"/>
  <c r="H23" i="2999"/>
  <c r="H33" i="2999"/>
  <c r="H22" i="2999"/>
  <c r="H32" i="2999"/>
  <c r="H9" i="2999"/>
  <c r="H31" i="2999"/>
  <c r="H30" i="2999"/>
  <c r="C27" i="2999"/>
  <c r="H12" i="2999"/>
  <c r="H29" i="2999"/>
  <c r="H21" i="2999"/>
  <c r="H16" i="2999"/>
  <c r="C23" i="2999"/>
  <c r="H28" i="2999"/>
  <c r="C22" i="2999"/>
  <c r="H17" i="2999"/>
  <c r="B21" i="2999"/>
  <c r="H27" i="2999"/>
  <c r="H26" i="2999"/>
  <c r="C19" i="2999"/>
  <c r="H20" i="2999"/>
  <c r="H13" i="2999"/>
  <c r="H19" i="2999"/>
  <c r="B16" i="2999"/>
  <c r="B20" i="2999" s="1"/>
  <c r="H25" i="2999"/>
  <c r="C15" i="2999"/>
  <c r="H18" i="2999"/>
  <c r="C14" i="2999"/>
  <c r="H24" i="2999"/>
  <c r="C13" i="2999"/>
  <c r="H15" i="2999"/>
  <c r="C12" i="2999"/>
  <c r="H4" i="2999"/>
  <c r="C11" i="2999"/>
  <c r="H14" i="2999"/>
  <c r="C10" i="2999"/>
  <c r="H10" i="2999"/>
  <c r="C9" i="2999"/>
  <c r="H8" i="2999"/>
  <c r="C8" i="2999"/>
  <c r="N7" i="2999"/>
  <c r="H7" i="2999"/>
  <c r="C7" i="2999"/>
  <c r="N6" i="2999"/>
  <c r="H2" i="2999"/>
  <c r="B6" i="2999"/>
  <c r="N5" i="2999"/>
  <c r="H6" i="2999"/>
  <c r="B5" i="2999"/>
  <c r="N4" i="2999"/>
  <c r="H3" i="2999"/>
  <c r="N3" i="2999"/>
  <c r="H11" i="2999"/>
  <c r="N2" i="2999"/>
  <c r="H5" i="2999"/>
  <c r="C16" i="2999" l="1"/>
  <c r="C17" i="2999"/>
  <c r="C18" i="2999"/>
  <c r="H51" i="2998" l="1"/>
  <c r="H50" i="2998"/>
  <c r="H49" i="2998"/>
  <c r="H48" i="2998"/>
  <c r="H47" i="2998"/>
  <c r="H46" i="2998"/>
  <c r="H45" i="2998"/>
  <c r="H44" i="2998"/>
  <c r="H43" i="2998"/>
  <c r="H42" i="2998"/>
  <c r="H41" i="2998"/>
  <c r="H40" i="2998"/>
  <c r="H39" i="2998"/>
  <c r="H38" i="2998"/>
  <c r="H37" i="2998"/>
  <c r="H36" i="2998"/>
  <c r="H35" i="2998"/>
  <c r="H34" i="2998"/>
  <c r="H33" i="2998"/>
  <c r="H15" i="2998"/>
  <c r="H32" i="2998"/>
  <c r="H31" i="2998"/>
  <c r="H14" i="2998"/>
  <c r="H30" i="2998"/>
  <c r="H29" i="2998"/>
  <c r="C27" i="2998"/>
  <c r="H13" i="2998"/>
  <c r="H28" i="2998"/>
  <c r="H27" i="2998"/>
  <c r="H26" i="2998"/>
  <c r="C23" i="2998"/>
  <c r="H25" i="2998"/>
  <c r="C22" i="2998"/>
  <c r="H24" i="2998"/>
  <c r="B21" i="2998"/>
  <c r="H23" i="2998"/>
  <c r="H22" i="2998"/>
  <c r="C19" i="2998"/>
  <c r="H21" i="2998"/>
  <c r="H12" i="2998"/>
  <c r="H20" i="2998"/>
  <c r="B16" i="2998"/>
  <c r="C17" i="2998" s="1"/>
  <c r="H19" i="2998"/>
  <c r="C15" i="2998"/>
  <c r="H18" i="2998"/>
  <c r="C14" i="2998"/>
  <c r="H17" i="2998"/>
  <c r="C13" i="2998"/>
  <c r="H16" i="2998"/>
  <c r="C12" i="2998"/>
  <c r="H7" i="2998"/>
  <c r="C11" i="2998"/>
  <c r="H11" i="2998"/>
  <c r="C10" i="2998"/>
  <c r="H10" i="2998"/>
  <c r="C9" i="2998"/>
  <c r="H9" i="2998"/>
  <c r="C8" i="2998"/>
  <c r="N7" i="2998"/>
  <c r="H6" i="2998"/>
  <c r="C7" i="2998"/>
  <c r="N6" i="2998"/>
  <c r="H2" i="2998"/>
  <c r="B6" i="2998"/>
  <c r="N5" i="2998"/>
  <c r="H4" i="2998"/>
  <c r="B5" i="2998"/>
  <c r="N4" i="2998"/>
  <c r="H5" i="2998"/>
  <c r="N3" i="2998"/>
  <c r="H8" i="2998"/>
  <c r="N2" i="2998"/>
  <c r="H3" i="2998"/>
  <c r="C16" i="2998" l="1"/>
  <c r="C18" i="2998"/>
  <c r="B20" i="2998"/>
  <c r="H51" i="2997" l="1"/>
  <c r="H50" i="2997"/>
  <c r="H49" i="2997"/>
  <c r="H48" i="2997"/>
  <c r="H47" i="2997"/>
  <c r="H46" i="2997"/>
  <c r="H45" i="2997"/>
  <c r="H44" i="2997"/>
  <c r="H43" i="2997"/>
  <c r="H42" i="2997"/>
  <c r="H41" i="2997"/>
  <c r="H40" i="2997"/>
  <c r="H39" i="2997"/>
  <c r="H38" i="2997"/>
  <c r="H37" i="2997"/>
  <c r="H36" i="2997"/>
  <c r="H35" i="2997"/>
  <c r="H34" i="2997"/>
  <c r="H33" i="2997"/>
  <c r="H32" i="2997"/>
  <c r="H17" i="2997"/>
  <c r="H31" i="2997"/>
  <c r="H10" i="2997"/>
  <c r="H30" i="2997"/>
  <c r="H29" i="2997"/>
  <c r="C27" i="2997"/>
  <c r="H14" i="2997"/>
  <c r="H28" i="2997"/>
  <c r="H21" i="2997"/>
  <c r="H20" i="2997"/>
  <c r="C23" i="2997"/>
  <c r="H27" i="2997"/>
  <c r="C22" i="2997"/>
  <c r="H16" i="2997"/>
  <c r="B21" i="2997"/>
  <c r="H26" i="2997"/>
  <c r="H25" i="2997"/>
  <c r="C19" i="2997"/>
  <c r="H24" i="2997"/>
  <c r="H13" i="2997"/>
  <c r="H15" i="2997"/>
  <c r="B16" i="2997"/>
  <c r="B20" i="2997" s="1"/>
  <c r="H23" i="2997"/>
  <c r="C15" i="2997"/>
  <c r="H19" i="2997"/>
  <c r="C14" i="2997"/>
  <c r="H18" i="2997"/>
  <c r="C13" i="2997"/>
  <c r="H22" i="2997"/>
  <c r="C12" i="2997"/>
  <c r="H5" i="2997"/>
  <c r="C11" i="2997"/>
  <c r="H12" i="2997"/>
  <c r="C10" i="2997"/>
  <c r="H11" i="2997"/>
  <c r="C9" i="2997"/>
  <c r="H8" i="2997"/>
  <c r="C8" i="2997"/>
  <c r="N7" i="2997"/>
  <c r="H7" i="2997"/>
  <c r="C7" i="2997"/>
  <c r="N6" i="2997"/>
  <c r="H2" i="2997"/>
  <c r="B6" i="2997"/>
  <c r="N5" i="2997"/>
  <c r="H6" i="2997"/>
  <c r="B5" i="2997"/>
  <c r="N4" i="2997"/>
  <c r="H3" i="2997"/>
  <c r="N3" i="2997"/>
  <c r="H9" i="2997"/>
  <c r="N2" i="2997"/>
  <c r="H4" i="2997"/>
  <c r="H51" i="2996"/>
  <c r="H50" i="2996"/>
  <c r="H49" i="2996"/>
  <c r="H48" i="2996"/>
  <c r="H47" i="2996"/>
  <c r="H46" i="2996"/>
  <c r="H45" i="2996"/>
  <c r="H44" i="2996"/>
  <c r="H43" i="2996"/>
  <c r="H42" i="2996"/>
  <c r="H41" i="2996"/>
  <c r="H40" i="2996"/>
  <c r="H39" i="2996"/>
  <c r="H38" i="2996"/>
  <c r="H37" i="2996"/>
  <c r="H36" i="2996"/>
  <c r="H35" i="2996"/>
  <c r="H34" i="2996"/>
  <c r="H33" i="2996"/>
  <c r="H32" i="2996"/>
  <c r="H31" i="2996"/>
  <c r="H30" i="2996"/>
  <c r="H10" i="2996"/>
  <c r="H29" i="2996"/>
  <c r="H28" i="2996"/>
  <c r="C27" i="2996"/>
  <c r="H15" i="2996"/>
  <c r="H27" i="2996"/>
  <c r="H26" i="2996"/>
  <c r="H18" i="2996"/>
  <c r="C23" i="2996"/>
  <c r="H25" i="2996"/>
  <c r="C22" i="2996"/>
  <c r="H17" i="2996"/>
  <c r="B21" i="2996"/>
  <c r="H24" i="2996"/>
  <c r="H23" i="2996"/>
  <c r="C19" i="2996"/>
  <c r="H14" i="2996"/>
  <c r="H13" i="2996"/>
  <c r="H22" i="2996"/>
  <c r="B16" i="2996"/>
  <c r="C17" i="2996" s="1"/>
  <c r="H21" i="2996"/>
  <c r="C15" i="2996"/>
  <c r="H16" i="2996"/>
  <c r="C14" i="2996"/>
  <c r="H20" i="2996"/>
  <c r="C13" i="2996"/>
  <c r="H19" i="2996"/>
  <c r="C12" i="2996"/>
  <c r="H4" i="2996"/>
  <c r="C11" i="2996"/>
  <c r="H12" i="2996"/>
  <c r="C10" i="2996"/>
  <c r="H11" i="2996"/>
  <c r="C9" i="2996"/>
  <c r="H9" i="2996"/>
  <c r="C8" i="2996"/>
  <c r="N7" i="2996"/>
  <c r="H6" i="2996"/>
  <c r="C7" i="2996"/>
  <c r="N6" i="2996"/>
  <c r="H2" i="2996"/>
  <c r="B6" i="2996"/>
  <c r="N5" i="2996"/>
  <c r="H8" i="2996"/>
  <c r="B5" i="2996"/>
  <c r="N4" i="2996"/>
  <c r="H3" i="2996"/>
  <c r="N3" i="2996"/>
  <c r="H7" i="2996"/>
  <c r="N2" i="2996"/>
  <c r="H5" i="2996"/>
  <c r="C16" i="2997" l="1"/>
  <c r="C17" i="2997"/>
  <c r="C18" i="2997"/>
  <c r="C16" i="2996"/>
  <c r="C18" i="2996"/>
  <c r="B20" i="2996"/>
  <c r="H51" i="2995" l="1"/>
  <c r="H50" i="2995"/>
  <c r="H49" i="2995"/>
  <c r="H48" i="2995"/>
  <c r="H47" i="2995"/>
  <c r="H46" i="2995"/>
  <c r="H45" i="2995"/>
  <c r="H44" i="2995"/>
  <c r="H43" i="2995"/>
  <c r="H42" i="2995"/>
  <c r="H41" i="2995"/>
  <c r="H40" i="2995"/>
  <c r="H39" i="2995"/>
  <c r="H38" i="2995"/>
  <c r="H37" i="2995"/>
  <c r="H36" i="2995"/>
  <c r="H35" i="2995"/>
  <c r="H34" i="2995"/>
  <c r="H33" i="2995"/>
  <c r="H32" i="2995"/>
  <c r="H31" i="2995"/>
  <c r="H30" i="2995"/>
  <c r="H29" i="2995"/>
  <c r="H28" i="2995"/>
  <c r="H27" i="2995"/>
  <c r="C27" i="2995"/>
  <c r="H11" i="2995"/>
  <c r="H26" i="2995"/>
  <c r="H25" i="2995"/>
  <c r="H24" i="2995"/>
  <c r="C23" i="2995"/>
  <c r="H23" i="2995"/>
  <c r="C22" i="2995"/>
  <c r="H22" i="2995"/>
  <c r="B21" i="2995"/>
  <c r="H21" i="2995"/>
  <c r="H20" i="2995"/>
  <c r="C19" i="2995"/>
  <c r="H8" i="2995"/>
  <c r="H19" i="2995"/>
  <c r="H18" i="2995"/>
  <c r="B16" i="2995"/>
  <c r="C17" i="2995" s="1"/>
  <c r="H17" i="2995"/>
  <c r="C15" i="2995"/>
  <c r="H16" i="2995"/>
  <c r="C14" i="2995"/>
  <c r="H15" i="2995"/>
  <c r="C13" i="2995"/>
  <c r="H14" i="2995"/>
  <c r="C12" i="2995"/>
  <c r="H5" i="2995"/>
  <c r="C11" i="2995"/>
  <c r="H13" i="2995"/>
  <c r="C10" i="2995"/>
  <c r="H12" i="2995"/>
  <c r="C9" i="2995"/>
  <c r="H10" i="2995"/>
  <c r="C8" i="2995"/>
  <c r="N7" i="2995"/>
  <c r="H6" i="2995"/>
  <c r="C7" i="2995"/>
  <c r="N6" i="2995"/>
  <c r="H3" i="2995"/>
  <c r="B6" i="2995"/>
  <c r="N5" i="2995"/>
  <c r="H7" i="2995"/>
  <c r="B5" i="2995"/>
  <c r="N4" i="2995"/>
  <c r="H9" i="2995"/>
  <c r="N3" i="2995"/>
  <c r="H4" i="2995"/>
  <c r="N2" i="2995"/>
  <c r="H2" i="2995"/>
  <c r="C16" i="2995" l="1"/>
  <c r="C18" i="2995"/>
  <c r="B20" i="2995"/>
  <c r="H51" i="2994" l="1"/>
  <c r="H50" i="2994"/>
  <c r="H49" i="2994"/>
  <c r="H48" i="2994"/>
  <c r="H47" i="2994"/>
  <c r="H46" i="2994"/>
  <c r="H45" i="2994"/>
  <c r="H44" i="2994"/>
  <c r="H43" i="2994"/>
  <c r="H42" i="2994"/>
  <c r="H41" i="2994"/>
  <c r="H40" i="2994"/>
  <c r="H39" i="2994"/>
  <c r="H38" i="2994"/>
  <c r="H37" i="2994"/>
  <c r="H36" i="2994"/>
  <c r="H35" i="2994"/>
  <c r="H34" i="2994"/>
  <c r="H17" i="2994"/>
  <c r="H33" i="2994"/>
  <c r="H32" i="2994"/>
  <c r="H31" i="2994"/>
  <c r="H13" i="2994"/>
  <c r="H30" i="2994"/>
  <c r="H29" i="2994"/>
  <c r="C27" i="2994"/>
  <c r="H12" i="2994"/>
  <c r="H28" i="2994"/>
  <c r="H27" i="2994"/>
  <c r="H11" i="2994"/>
  <c r="C23" i="2994"/>
  <c r="H26" i="2994"/>
  <c r="C22" i="2994"/>
  <c r="H14" i="2994"/>
  <c r="B21" i="2994"/>
  <c r="H25" i="2994"/>
  <c r="H24" i="2994"/>
  <c r="C19" i="2994"/>
  <c r="H23" i="2994"/>
  <c r="H16" i="2994"/>
  <c r="H22" i="2994"/>
  <c r="B16" i="2994"/>
  <c r="B20" i="2994" s="1"/>
  <c r="H21" i="2994"/>
  <c r="C15" i="2994"/>
  <c r="H20" i="2994"/>
  <c r="C14" i="2994"/>
  <c r="H19" i="2994"/>
  <c r="C13" i="2994"/>
  <c r="H18" i="2994"/>
  <c r="C12" i="2994"/>
  <c r="H4" i="2994"/>
  <c r="C11" i="2994"/>
  <c r="H15" i="2994"/>
  <c r="C10" i="2994"/>
  <c r="H9" i="2994"/>
  <c r="C9" i="2994"/>
  <c r="H8" i="2994"/>
  <c r="C8" i="2994"/>
  <c r="N7" i="2994"/>
  <c r="H7" i="2994"/>
  <c r="C7" i="2994"/>
  <c r="N6" i="2994"/>
  <c r="H3" i="2994"/>
  <c r="B6" i="2994"/>
  <c r="N5" i="2994"/>
  <c r="H6" i="2994"/>
  <c r="B5" i="2994"/>
  <c r="N4" i="2994"/>
  <c r="H2" i="2994"/>
  <c r="N3" i="2994"/>
  <c r="H10" i="2994"/>
  <c r="N2" i="2994"/>
  <c r="H5" i="2994"/>
  <c r="H51" i="2993"/>
  <c r="H50" i="2993"/>
  <c r="H49" i="2993"/>
  <c r="H48" i="2993"/>
  <c r="H47" i="2993"/>
  <c r="H46" i="2993"/>
  <c r="H45" i="2993"/>
  <c r="H44" i="2993"/>
  <c r="H43" i="2993"/>
  <c r="H42" i="2993"/>
  <c r="H41" i="2993"/>
  <c r="H40" i="2993"/>
  <c r="H39" i="2993"/>
  <c r="H38" i="2993"/>
  <c r="H37" i="2993"/>
  <c r="H36" i="2993"/>
  <c r="H35" i="2993"/>
  <c r="H34" i="2993"/>
  <c r="H33" i="2993"/>
  <c r="H20" i="2993"/>
  <c r="H14" i="2993"/>
  <c r="H32" i="2993"/>
  <c r="H8" i="2993"/>
  <c r="H24" i="2993"/>
  <c r="H23" i="2993"/>
  <c r="C27" i="2993"/>
  <c r="H12" i="2993"/>
  <c r="H19" i="2993"/>
  <c r="H22" i="2993"/>
  <c r="H13" i="2993"/>
  <c r="C23" i="2993"/>
  <c r="H31" i="2993"/>
  <c r="C22" i="2993"/>
  <c r="H15" i="2993"/>
  <c r="B21" i="2993"/>
  <c r="H21" i="2993"/>
  <c r="H30" i="2993"/>
  <c r="C19" i="2993"/>
  <c r="H18" i="2993"/>
  <c r="H17" i="2993"/>
  <c r="H29" i="2993"/>
  <c r="B16" i="2993"/>
  <c r="B20" i="2993" s="1"/>
  <c r="H28" i="2993"/>
  <c r="C15" i="2993"/>
  <c r="H27" i="2993"/>
  <c r="C14" i="2993"/>
  <c r="H26" i="2993"/>
  <c r="C13" i="2993"/>
  <c r="H25" i="2993"/>
  <c r="C12" i="2993"/>
  <c r="H5" i="2993"/>
  <c r="C11" i="2993"/>
  <c r="H16" i="2993"/>
  <c r="C10" i="2993"/>
  <c r="H11" i="2993"/>
  <c r="C9" i="2993"/>
  <c r="H10" i="2993"/>
  <c r="C8" i="2993"/>
  <c r="N7" i="2993"/>
  <c r="H6" i="2993"/>
  <c r="C7" i="2993"/>
  <c r="N6" i="2993"/>
  <c r="H2" i="2993"/>
  <c r="B6" i="2993"/>
  <c r="N5" i="2993"/>
  <c r="H7" i="2993"/>
  <c r="B5" i="2993"/>
  <c r="N4" i="2993"/>
  <c r="H3" i="2993"/>
  <c r="N3" i="2993"/>
  <c r="H9" i="2993"/>
  <c r="N2" i="2993"/>
  <c r="H4" i="2993"/>
  <c r="C17" i="2993" l="1"/>
  <c r="C16" i="2994"/>
  <c r="C17" i="2994"/>
  <c r="C18" i="2994"/>
  <c r="C16" i="2993"/>
  <c r="C18" i="2993"/>
  <c r="H51" i="2992" l="1"/>
  <c r="H50" i="2992"/>
  <c r="H49" i="2992"/>
  <c r="H48" i="2992"/>
  <c r="H47" i="2992"/>
  <c r="H46" i="2992"/>
  <c r="H45" i="2992"/>
  <c r="H44" i="2992"/>
  <c r="H43" i="2992"/>
  <c r="H42" i="2992"/>
  <c r="H41" i="2992"/>
  <c r="H40" i="2992"/>
  <c r="H39" i="2992"/>
  <c r="H38" i="2992"/>
  <c r="H37" i="2992"/>
  <c r="H36" i="2992"/>
  <c r="H35" i="2992"/>
  <c r="H34" i="2992"/>
  <c r="H33" i="2992"/>
  <c r="H32" i="2992"/>
  <c r="H31" i="2992"/>
  <c r="H30" i="2992"/>
  <c r="H29" i="2992"/>
  <c r="H28" i="2992"/>
  <c r="H27" i="2992"/>
  <c r="C27" i="2992"/>
  <c r="H26" i="2992"/>
  <c r="H25" i="2992"/>
  <c r="H24" i="2992"/>
  <c r="H23" i="2992"/>
  <c r="C23" i="2992"/>
  <c r="H22" i="2992"/>
  <c r="C22" i="2992"/>
  <c r="H21" i="2992"/>
  <c r="B21" i="2992"/>
  <c r="H20" i="2992"/>
  <c r="H19" i="2992"/>
  <c r="C19" i="2992"/>
  <c r="H18" i="2992"/>
  <c r="H17" i="2992"/>
  <c r="H16" i="2992"/>
  <c r="B16" i="2992"/>
  <c r="C17" i="2992" s="1"/>
  <c r="H15" i="2992"/>
  <c r="C15" i="2992"/>
  <c r="H14" i="2992"/>
  <c r="C14" i="2992"/>
  <c r="H13" i="2992"/>
  <c r="C13" i="2992"/>
  <c r="H12" i="2992"/>
  <c r="C12" i="2992"/>
  <c r="H11" i="2992"/>
  <c r="C11" i="2992"/>
  <c r="H5" i="2992"/>
  <c r="C10" i="2992"/>
  <c r="H10" i="2992"/>
  <c r="C9" i="2992"/>
  <c r="H4" i="2992"/>
  <c r="C8" i="2992"/>
  <c r="N7" i="2992"/>
  <c r="H9" i="2992"/>
  <c r="C7" i="2992"/>
  <c r="N6" i="2992"/>
  <c r="H8" i="2992"/>
  <c r="B6" i="2992"/>
  <c r="N5" i="2992"/>
  <c r="H2" i="2992"/>
  <c r="B5" i="2992"/>
  <c r="N4" i="2992"/>
  <c r="H7" i="2992"/>
  <c r="N3" i="2992"/>
  <c r="H6" i="2992"/>
  <c r="N2" i="2992"/>
  <c r="H3" i="2992"/>
  <c r="H51" i="2991"/>
  <c r="H50" i="2991"/>
  <c r="H49" i="2991"/>
  <c r="H48" i="2991"/>
  <c r="H47" i="2991"/>
  <c r="H46" i="2991"/>
  <c r="H45" i="2991"/>
  <c r="H44" i="2991"/>
  <c r="H43" i="2991"/>
  <c r="H42" i="2991"/>
  <c r="H41" i="2991"/>
  <c r="H40" i="2991"/>
  <c r="H39" i="2991"/>
  <c r="H38" i="2991"/>
  <c r="H37" i="2991"/>
  <c r="H36" i="2991"/>
  <c r="H35" i="2991"/>
  <c r="H34" i="2991"/>
  <c r="H33" i="2991"/>
  <c r="H32" i="2991"/>
  <c r="H31" i="2991"/>
  <c r="H30" i="2991"/>
  <c r="H29" i="2991"/>
  <c r="H28" i="2991"/>
  <c r="H27" i="2991"/>
  <c r="C27" i="2991"/>
  <c r="H26" i="2991"/>
  <c r="H25" i="2991"/>
  <c r="H24" i="2991"/>
  <c r="H23" i="2991"/>
  <c r="C23" i="2991"/>
  <c r="H22" i="2991"/>
  <c r="C22" i="2991"/>
  <c r="H21" i="2991"/>
  <c r="B21" i="2991"/>
  <c r="H20" i="2991"/>
  <c r="H19" i="2991"/>
  <c r="C19" i="2991"/>
  <c r="H18" i="2991"/>
  <c r="H17" i="2991"/>
  <c r="H16" i="2991"/>
  <c r="B16" i="2991"/>
  <c r="C17" i="2991" s="1"/>
  <c r="H15" i="2991"/>
  <c r="C15" i="2991"/>
  <c r="H14" i="2991"/>
  <c r="C14" i="2991"/>
  <c r="H13" i="2991"/>
  <c r="C13" i="2991"/>
  <c r="H12" i="2991"/>
  <c r="C12" i="2991"/>
  <c r="H11" i="2991"/>
  <c r="C11" i="2991"/>
  <c r="H10" i="2991"/>
  <c r="C10" i="2991"/>
  <c r="H9" i="2991"/>
  <c r="C9" i="2991"/>
  <c r="H8" i="2991"/>
  <c r="C8" i="2991"/>
  <c r="N7" i="2991"/>
  <c r="H7" i="2991"/>
  <c r="C7" i="2991"/>
  <c r="N6" i="2991"/>
  <c r="H6" i="2991"/>
  <c r="B6" i="2991"/>
  <c r="N5" i="2991"/>
  <c r="H5" i="2991"/>
  <c r="B5" i="2991"/>
  <c r="N4" i="2991"/>
  <c r="H4" i="2991"/>
  <c r="N3" i="2991"/>
  <c r="H3" i="2991"/>
  <c r="N2" i="2991"/>
  <c r="H2" i="2991"/>
  <c r="H51" i="2990"/>
  <c r="H50" i="2990"/>
  <c r="H49" i="2990"/>
  <c r="H48" i="2990"/>
  <c r="H47" i="2990"/>
  <c r="H28" i="2990"/>
  <c r="H46" i="2990"/>
  <c r="H45" i="2990"/>
  <c r="H44" i="2990"/>
  <c r="H43" i="2990"/>
  <c r="H42" i="2990"/>
  <c r="H41" i="2990"/>
  <c r="H40" i="2990"/>
  <c r="H39" i="2990"/>
  <c r="H38" i="2990"/>
  <c r="H37" i="2990"/>
  <c r="H27" i="2990"/>
  <c r="H36" i="2990"/>
  <c r="H35" i="2990"/>
  <c r="H22" i="2990"/>
  <c r="H19" i="2990"/>
  <c r="H26" i="2990"/>
  <c r="H8" i="2990"/>
  <c r="H34" i="2990"/>
  <c r="H21" i="2990"/>
  <c r="C27" i="2990"/>
  <c r="H13" i="2990"/>
  <c r="H25" i="2990"/>
  <c r="H33" i="2990"/>
  <c r="H14" i="2990"/>
  <c r="C23" i="2990"/>
  <c r="H32" i="2990"/>
  <c r="C22" i="2990"/>
  <c r="H15" i="2990"/>
  <c r="B21" i="2990"/>
  <c r="H31" i="2990"/>
  <c r="H30" i="2990"/>
  <c r="C19" i="2990"/>
  <c r="H20" i="2990"/>
  <c r="H24" i="2990"/>
  <c r="H18" i="2990"/>
  <c r="B16" i="2990"/>
  <c r="C17" i="2990" s="1"/>
  <c r="H29" i="2990"/>
  <c r="C15" i="2990"/>
  <c r="H17" i="2990"/>
  <c r="C14" i="2990"/>
  <c r="H23" i="2990"/>
  <c r="C13" i="2990"/>
  <c r="H16" i="2990"/>
  <c r="C12" i="2990"/>
  <c r="H4" i="2990"/>
  <c r="C11" i="2990"/>
  <c r="H12" i="2990"/>
  <c r="C10" i="2990"/>
  <c r="H11" i="2990"/>
  <c r="C9" i="2990"/>
  <c r="H9" i="2990"/>
  <c r="C8" i="2990"/>
  <c r="N7" i="2990"/>
  <c r="H6" i="2990"/>
  <c r="C7" i="2990"/>
  <c r="N6" i="2990"/>
  <c r="H2" i="2990"/>
  <c r="B6" i="2990"/>
  <c r="N5" i="2990"/>
  <c r="H7" i="2990"/>
  <c r="B5" i="2990"/>
  <c r="N4" i="2990"/>
  <c r="H3" i="2990"/>
  <c r="N3" i="2990"/>
  <c r="H10" i="2990"/>
  <c r="N2" i="2990"/>
  <c r="H5" i="2990"/>
  <c r="H51" i="2989"/>
  <c r="H50" i="2989"/>
  <c r="H49" i="2989"/>
  <c r="H48" i="2989"/>
  <c r="H47" i="2989"/>
  <c r="H32" i="2989"/>
  <c r="H46" i="2989"/>
  <c r="H45" i="2989"/>
  <c r="H44" i="2989"/>
  <c r="H43" i="2989"/>
  <c r="H42" i="2989"/>
  <c r="H41" i="2989"/>
  <c r="H40" i="2989"/>
  <c r="H39" i="2989"/>
  <c r="H38" i="2989"/>
  <c r="H37" i="2989"/>
  <c r="H31" i="2989"/>
  <c r="H36" i="2989"/>
  <c r="H27" i="2989"/>
  <c r="H22" i="2989"/>
  <c r="H17" i="2989"/>
  <c r="H30" i="2989"/>
  <c r="H8" i="2989"/>
  <c r="H29" i="2989"/>
  <c r="H25" i="2989"/>
  <c r="C27" i="2989"/>
  <c r="H12" i="2989"/>
  <c r="H23" i="2989"/>
  <c r="H24" i="2989"/>
  <c r="H14" i="2989"/>
  <c r="C23" i="2989"/>
  <c r="H35" i="2989"/>
  <c r="C22" i="2989"/>
  <c r="H16" i="2989"/>
  <c r="B21" i="2989"/>
  <c r="H28" i="2989"/>
  <c r="H34" i="2989"/>
  <c r="C19" i="2989"/>
  <c r="H18" i="2989"/>
  <c r="H15" i="2989"/>
  <c r="H20" i="2989"/>
  <c r="B16" i="2989"/>
  <c r="C17" i="2989" s="1"/>
  <c r="H33" i="2989"/>
  <c r="C15" i="2989"/>
  <c r="H21" i="2989"/>
  <c r="C14" i="2989"/>
  <c r="H26" i="2989"/>
  <c r="C13" i="2989"/>
  <c r="H19" i="2989"/>
  <c r="C12" i="2989"/>
  <c r="H4" i="2989"/>
  <c r="C11" i="2989"/>
  <c r="H13" i="2989"/>
  <c r="C10" i="2989"/>
  <c r="H11" i="2989"/>
  <c r="C9" i="2989"/>
  <c r="H9" i="2989"/>
  <c r="C8" i="2989"/>
  <c r="N7" i="2989"/>
  <c r="H6" i="2989"/>
  <c r="C7" i="2989"/>
  <c r="N6" i="2989"/>
  <c r="H2" i="2989"/>
  <c r="B6" i="2989"/>
  <c r="N5" i="2989"/>
  <c r="H7" i="2989"/>
  <c r="B5" i="2989"/>
  <c r="N4" i="2989"/>
  <c r="H3" i="2989"/>
  <c r="N3" i="2989"/>
  <c r="H10" i="2989"/>
  <c r="N2" i="2989"/>
  <c r="H5" i="2989"/>
  <c r="C16" i="2991" l="1"/>
  <c r="C16" i="2992"/>
  <c r="C18" i="2992"/>
  <c r="B20" i="2992"/>
  <c r="C18" i="2991"/>
  <c r="B20" i="2991"/>
  <c r="C16" i="2990"/>
  <c r="C18" i="2990"/>
  <c r="B20" i="2990"/>
  <c r="C16" i="2989"/>
  <c r="C18" i="2989"/>
  <c r="B20" i="2989"/>
  <c r="C27" i="2228" l="1"/>
  <c r="C13" i="2228" l="1"/>
  <c r="C12" i="2228"/>
  <c r="C19" i="2228" l="1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<sst xmlns="http://schemas.openxmlformats.org/spreadsheetml/2006/main" count="2506" uniqueCount="229">
  <si>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</si>
  <si>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</si>
  <si>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</si>
  <si>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</si>
  <si>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</si>
  <si>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</si>
  <si>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</si>
  <si>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</si>
  <si>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</si>
  <si>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</si>
  <si>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</si>
  <si>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</si>
  <si>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</si>
  <si>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</si>
  <si>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</si>
  <si>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</si>
  <si>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</si>
  <si>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</si>
  <si>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</si>
  <si>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</si>
  <si>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</si>
  <si>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</si>
  <si>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</si>
  <si>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</si>
  <si>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</si>
  <si>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</si>
  <si>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</si>
  <si>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</si>
  <si>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</si>
  <si>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</si>
  <si>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</si>
  <si>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</si>
  <si>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</si>
  <si>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</si>
  <si>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</si>
  <si>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</si>
  <si>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</si>
  <si>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</si>
  <si>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</si>
  <si>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</si>
  <si>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</si>
  <si>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</si>
  <si>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</si>
  <si>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</si>
  <si>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</si>
  <si>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</si>
  <si>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</si>
  <si>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</si>
  <si>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</si>
  <si>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</si>
  <si>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</si>
  <si>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</si>
  <si>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</si>
  <si>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</si>
  <si>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</si>
  <si>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</si>
  <si>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</si>
  <si>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</si>
  <si>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</si>
  <si>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</si>
  <si>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</si>
  <si>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</si>
  <si>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</si>
  <si>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</si>
  <si>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</si>
  <si>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</si>
  <si>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</si>
  <si>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</si>
  <si>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</si>
  <si>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</si>
  <si>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</si>
  <si>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</si>
  <si>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</si>
  <si>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</si>
  <si>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</si>
  <si>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</si>
  <si>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</si>
  <si>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</si>
  <si>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</si>
  <si>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</si>
  <si>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</si>
  <si>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</si>
  <si>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</si>
  <si>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</si>
  <si>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</si>
  <si>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</si>
  <si>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</si>
  <si>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</si>
  <si>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</si>
  <si>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</si>
  <si>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</si>
  <si>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</si>
  <si>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</si>
  <si>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</si>
  <si>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</si>
  <si>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</si>
  <si>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</si>
  <si>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</si>
  <si>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</si>
  <si>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</si>
  <si>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</si>
  <si>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</si>
  <si>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</si>
  <si>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</si>
  <si>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</si>
  <si>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</si>
  <si>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</si>
  <si>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</si>
  <si>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</si>
  <si>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</si>
  <si>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</si>
  <si>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</si>
  <si>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</si>
  <si>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</si>
  <si>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</si>
  <si>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</si>
  <si>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</si>
  <si>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</si>
  <si>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</si>
  <si>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</si>
  <si>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</si>
  <si>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</si>
  <si>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</si>
  <si>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</si>
  <si>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</si>
  <si>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</si>
  <si>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</si>
  <si>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</si>
  <si>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</si>
  <si>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</si>
  <si>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</si>
  <si>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</si>
  <si>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</si>
  <si>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</si>
  <si>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</si>
  <si>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</si>
  <si>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</si>
  <si>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</si>
  <si>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</si>
  <si>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</si>
  <si>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</si>
  <si>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</si>
  <si>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</si>
  <si>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</si>
  <si>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</si>
  <si>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</si>
  <si>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</si>
  <si>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</si>
  <si>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</si>
  <si>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</si>
  <si>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</si>
  <si>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</si>
  <si>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</si>
  <si>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</si>
  <si>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</si>
  <si>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</si>
  <si>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</si>
  <si>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</si>
  <si>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</si>
  <si>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</si>
  <si>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</si>
  <si>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</si>
  <si>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</si>
  <si>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</si>
  <si>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</si>
  <si>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</si>
  <si>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</si>
  <si>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</si>
  <si>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</si>
  <si>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</si>
  <si>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</si>
  <si>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</si>
  <si>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</si>
  <si>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</si>
  <si>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</si>
  <si>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</si>
  <si>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</si>
  <si>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</si>
  <si>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</si>
  <si>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</si>
  <si>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</si>
  <si>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</si>
  <si>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</si>
  <si>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</si>
  <si>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</si>
  <si>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</si>
  <si>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</si>
  <si>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</si>
  <si>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</si>
  <si>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</si>
  <si>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</si>
  <si>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</si>
  <si>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</si>
  <si>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</si>
  <si>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あさひ</t>
  </si>
  <si>
    <t>まっつん</t>
  </si>
  <si>
    <t>最大ドラ数</t>
    <rPh sb="0" eb="2">
      <t>サイダイ</t>
    </rPh>
    <rPh sb="4" eb="5">
      <t>スウ</t>
    </rPh>
    <phoneticPr fontId="1"/>
  </si>
  <si>
    <t>最大ドラ数</t>
    <phoneticPr fontId="1"/>
  </si>
  <si>
    <t>チョンボ</t>
    <phoneticPr fontId="1"/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</si>
  <si>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</si>
  <si>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</si>
  <si>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</si>
  <si>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</si>
  <si>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</si>
  <si>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</si>
  <si>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</si>
  <si>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</si>
  <si>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</si>
  <si>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</si>
  <si>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</si>
  <si>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</si>
  <si>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</si>
  <si>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</si>
  <si>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</si>
  <si>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</si>
  <si>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</si>
  <si>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</si>
  <si>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</si>
  <si>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ツモ率</t>
    <rPh sb="2" eb="3">
      <t>リツ</t>
    </rPh>
    <phoneticPr fontId="1"/>
  </si>
  <si>
    <t>2019-01-20.xlsm</t>
  </si>
  <si>
    <t>2019-01-21.xlsm</t>
  </si>
  <si>
    <t>2019-01-22.xlsm</t>
  </si>
  <si>
    <t>2019-01-23.xlsm</t>
  </si>
  <si>
    <t>2019-01-25.xlsm</t>
  </si>
  <si>
    <t>2019-01-26.xlsm</t>
  </si>
  <si>
    <t>全体</t>
  </si>
  <si>
    <t>2019-01-27.xlsm</t>
  </si>
  <si>
    <t>s</t>
    <phoneticPr fontId="1"/>
  </si>
  <si>
    <t>2019-01-28.xlsm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</si>
</sst>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184" fontId="0" fillId="0" borderId="15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76" fontId="0" fillId="0" borderId="5" xfId="0" applyNumberFormat="1" applyBorder="1" applyAlignment="1">
      <alignment horizontal="center" vertical="center" shrinkToFit="1"/>
    </xf>
    <xf numFmtId="176" fontId="0" fillId="0" borderId="15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84" fontId="0" fillId="0" borderId="39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全体!$J$2:$J$575</c:f>
              <c:numCache>
                <c:formatCode>General</c:formatCode>
                <c:ptCount val="5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</c:numCache>
            </c:numRef>
          </c:xVal>
          <c:yVal>
            <c:numRef>
              <c:f>全体!$K$2:$K$575</c:f>
              <c:numCache>
                <c:formatCode>\+0;\-0;\±0</c:formatCode>
                <c:ptCount val="574"/>
                <c:pt idx="0">
                  <c:v>0</c:v>
                </c:pt>
                <c:pt idx="1">
                  <c:v>14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38.9</c:v>
                </c:pt>
                <c:pt idx="6">
                  <c:v>0</c:v>
                </c:pt>
                <c:pt idx="7">
                  <c:v>15.1</c:v>
                </c:pt>
                <c:pt idx="8">
                  <c:v>-25.699999999999996</c:v>
                </c:pt>
                <c:pt idx="9">
                  <c:v>3.5527136788005009E-15</c:v>
                </c:pt>
                <c:pt idx="10">
                  <c:v>84.2</c:v>
                </c:pt>
                <c:pt idx="11">
                  <c:v>43.5</c:v>
                </c:pt>
                <c:pt idx="12">
                  <c:v>0</c:v>
                </c:pt>
                <c:pt idx="13">
                  <c:v>30.5</c:v>
                </c:pt>
                <c:pt idx="14">
                  <c:v>-4</c:v>
                </c:pt>
                <c:pt idx="15">
                  <c:v>0</c:v>
                </c:pt>
                <c:pt idx="16">
                  <c:v>-47</c:v>
                </c:pt>
                <c:pt idx="17">
                  <c:v>-8</c:v>
                </c:pt>
                <c:pt idx="18">
                  <c:v>0</c:v>
                </c:pt>
                <c:pt idx="19">
                  <c:v>-5.0999999999999996</c:v>
                </c:pt>
                <c:pt idx="20">
                  <c:v>4.9000000000000004</c:v>
                </c:pt>
                <c:pt idx="21">
                  <c:v>0</c:v>
                </c:pt>
                <c:pt idx="22">
                  <c:v>-35</c:v>
                </c:pt>
                <c:pt idx="23">
                  <c:v>-3</c:v>
                </c:pt>
                <c:pt idx="24">
                  <c:v>0</c:v>
                </c:pt>
                <c:pt idx="25">
                  <c:v>-40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35.700000000000003</c:v>
                </c:pt>
                <c:pt idx="30">
                  <c:v>0</c:v>
                </c:pt>
                <c:pt idx="31">
                  <c:v>17.3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35.400000000000006</c:v>
                </c:pt>
                <c:pt idx="36">
                  <c:v>7.1054273576010019E-15</c:v>
                </c:pt>
                <c:pt idx="37">
                  <c:v>56.000000000000007</c:v>
                </c:pt>
                <c:pt idx="38">
                  <c:v>31.600000000000009</c:v>
                </c:pt>
                <c:pt idx="39">
                  <c:v>7.1054273576010019E-15</c:v>
                </c:pt>
                <c:pt idx="40">
                  <c:v>-42.999999999999993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-35.999999999999993</c:v>
                </c:pt>
                <c:pt idx="44">
                  <c:v>-34.499999999999993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4.4000000000000075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-52.899999999999991</c:v>
                </c:pt>
                <c:pt idx="51">
                  <c:v>7.1054273576010019E-15</c:v>
                </c:pt>
                <c:pt idx="52">
                  <c:v>13.900000000000007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56.20000000000001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25.20000000000001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55.500000000000014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-64.399999999999977</c:v>
                </c:pt>
                <c:pt idx="66">
                  <c:v>2.8421709430404007E-14</c:v>
                </c:pt>
                <c:pt idx="67">
                  <c:v>23.700000000000028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-49.999999999999972</c:v>
                </c:pt>
                <c:pt idx="72">
                  <c:v>2.8421709430404007E-14</c:v>
                </c:pt>
                <c:pt idx="73">
                  <c:v>-32.699999999999974</c:v>
                </c:pt>
                <c:pt idx="74">
                  <c:v>-16.199999999999974</c:v>
                </c:pt>
                <c:pt idx="75">
                  <c:v>2.4868995751603507E-14</c:v>
                </c:pt>
                <c:pt idx="76">
                  <c:v>22.900000000000023</c:v>
                </c:pt>
                <c:pt idx="77">
                  <c:v>14.500000000000023</c:v>
                </c:pt>
                <c:pt idx="78">
                  <c:v>2.3092638912203256E-14</c:v>
                </c:pt>
                <c:pt idx="79">
                  <c:v>-35.999999999999979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57.000000000000021</c:v>
                </c:pt>
                <c:pt idx="83">
                  <c:v>40.500000000000021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18.300000000000018</c:v>
                </c:pt>
                <c:pt idx="87">
                  <c:v>1.7763568394002505E-14</c:v>
                </c:pt>
                <c:pt idx="88">
                  <c:v>-8.3999999999999826</c:v>
                </c:pt>
                <c:pt idx="89">
                  <c:v>18.300000000000018</c:v>
                </c:pt>
                <c:pt idx="90">
                  <c:v>1.7763568394002505E-14</c:v>
                </c:pt>
                <c:pt idx="91">
                  <c:v>52.300000000000011</c:v>
                </c:pt>
                <c:pt idx="92">
                  <c:v>14.400000000000013</c:v>
                </c:pt>
                <c:pt idx="93">
                  <c:v>1.2434497875801753E-14</c:v>
                </c:pt>
                <c:pt idx="94">
                  <c:v>-13.999999999999988</c:v>
                </c:pt>
                <c:pt idx="95">
                  <c:v>-50.999999999999986</c:v>
                </c:pt>
                <c:pt idx="96">
                  <c:v>1.4210854715202004E-14</c:v>
                </c:pt>
                <c:pt idx="97">
                  <c:v>59.700000000000017</c:v>
                </c:pt>
                <c:pt idx="98">
                  <c:v>39.40000000000002</c:v>
                </c:pt>
                <c:pt idx="99">
                  <c:v>2.1316282072803006E-14</c:v>
                </c:pt>
                <c:pt idx="100">
                  <c:v>49.000000000000021</c:v>
                </c:pt>
                <c:pt idx="101">
                  <c:v>40.500000000000021</c:v>
                </c:pt>
                <c:pt idx="102">
                  <c:v>2.1316282072803006E-14</c:v>
                </c:pt>
                <c:pt idx="103">
                  <c:v>-13.999999999999979</c:v>
                </c:pt>
                <c:pt idx="104">
                  <c:v>-51.499999999999979</c:v>
                </c:pt>
                <c:pt idx="105">
                  <c:v>2.1316282072803006E-14</c:v>
                </c:pt>
                <c:pt idx="106">
                  <c:v>-3.3999999999999786</c:v>
                </c:pt>
                <c:pt idx="107">
                  <c:v>-13.999999999999979</c:v>
                </c:pt>
                <c:pt idx="108">
                  <c:v>2.1316282072803006E-14</c:v>
                </c:pt>
                <c:pt idx="109">
                  <c:v>-16.09999999999998</c:v>
                </c:pt>
                <c:pt idx="110">
                  <c:v>-15.799999999999979</c:v>
                </c:pt>
                <c:pt idx="111">
                  <c:v>2.1316282072803006E-14</c:v>
                </c:pt>
                <c:pt idx="112">
                  <c:v>20.100000000000023</c:v>
                </c:pt>
                <c:pt idx="113">
                  <c:v>34.800000000000026</c:v>
                </c:pt>
                <c:pt idx="114">
                  <c:v>2.8421709430404007E-14</c:v>
                </c:pt>
                <c:pt idx="115">
                  <c:v>-49.599999999999973</c:v>
                </c:pt>
                <c:pt idx="116">
                  <c:v>-2.599999999999973</c:v>
                </c:pt>
                <c:pt idx="117">
                  <c:v>2.708944180085382E-14</c:v>
                </c:pt>
                <c:pt idx="118">
                  <c:v>-8.1999999999999726</c:v>
                </c:pt>
                <c:pt idx="119">
                  <c:v>-48.999999999999972</c:v>
                </c:pt>
                <c:pt idx="120">
                  <c:v>2.8421709430404007E-14</c:v>
                </c:pt>
                <c:pt idx="121">
                  <c:v>-5.9999999999999716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-35.39999999999997</c:v>
                </c:pt>
                <c:pt idx="125">
                  <c:v>-11.499999999999972</c:v>
                </c:pt>
                <c:pt idx="126">
                  <c:v>2.8421709430404007E-14</c:v>
                </c:pt>
                <c:pt idx="127">
                  <c:v>-7.4999999999999716</c:v>
                </c:pt>
                <c:pt idx="128">
                  <c:v>-4.4999999999999716</c:v>
                </c:pt>
                <c:pt idx="129">
                  <c:v>2.8421709430404007E-14</c:v>
                </c:pt>
                <c:pt idx="130">
                  <c:v>8.4000000000000288</c:v>
                </c:pt>
                <c:pt idx="131">
                  <c:v>22.900000000000027</c:v>
                </c:pt>
                <c:pt idx="132">
                  <c:v>2.8421709430404007E-14</c:v>
                </c:pt>
                <c:pt idx="133">
                  <c:v>-9.3999999999999719</c:v>
                </c:pt>
                <c:pt idx="134">
                  <c:v>0.70000000000002771</c:v>
                </c:pt>
                <c:pt idx="135">
                  <c:v>2.7755575615628914E-14</c:v>
                </c:pt>
                <c:pt idx="136">
                  <c:v>26.900000000000027</c:v>
                </c:pt>
                <c:pt idx="137">
                  <c:v>-7.9999999999999716</c:v>
                </c:pt>
                <c:pt idx="138">
                  <c:v>2.8421709430404007E-14</c:v>
                </c:pt>
                <c:pt idx="139">
                  <c:v>-19.499999999999972</c:v>
                </c:pt>
                <c:pt idx="140">
                  <c:v>-24.199999999999971</c:v>
                </c:pt>
                <c:pt idx="141">
                  <c:v>2.8421709430404007E-14</c:v>
                </c:pt>
                <c:pt idx="142">
                  <c:v>-31.099999999999973</c:v>
                </c:pt>
                <c:pt idx="143">
                  <c:v>-61.299999999999969</c:v>
                </c:pt>
                <c:pt idx="144">
                  <c:v>2.8421709430404007E-14</c:v>
                </c:pt>
                <c:pt idx="145">
                  <c:v>15.200000000000028</c:v>
                </c:pt>
                <c:pt idx="146">
                  <c:v>-8.599999999999973</c:v>
                </c:pt>
                <c:pt idx="147">
                  <c:v>2.6645352591003757E-14</c:v>
                </c:pt>
                <c:pt idx="148">
                  <c:v>-4.8999999999999737</c:v>
                </c:pt>
                <c:pt idx="149">
                  <c:v>-15.799999999999976</c:v>
                </c:pt>
                <c:pt idx="150">
                  <c:v>-1.9999999999999751</c:v>
                </c:pt>
                <c:pt idx="151">
                  <c:v>9.8000000000000256</c:v>
                </c:pt>
                <c:pt idx="152">
                  <c:v>13.700000000000026</c:v>
                </c:pt>
                <c:pt idx="153">
                  <c:v>-1.9999999999999734</c:v>
                </c:pt>
                <c:pt idx="154">
                  <c:v>-1.2999999999999734</c:v>
                </c:pt>
                <c:pt idx="155">
                  <c:v>40.900000000000027</c:v>
                </c:pt>
                <c:pt idx="156">
                  <c:v>-1.9999999999999716</c:v>
                </c:pt>
                <c:pt idx="157">
                  <c:v>-7.6999999999999709</c:v>
                </c:pt>
                <c:pt idx="158">
                  <c:v>-10.499999999999972</c:v>
                </c:pt>
                <c:pt idx="159">
                  <c:v>-1.9999999999999716</c:v>
                </c:pt>
                <c:pt idx="160">
                  <c:v>-29.999999999999972</c:v>
                </c:pt>
                <c:pt idx="161">
                  <c:v>-83.999999999999972</c:v>
                </c:pt>
                <c:pt idx="162">
                  <c:v>-1.9999999999999716</c:v>
                </c:pt>
                <c:pt idx="163">
                  <c:v>14.700000000000028</c:v>
                </c:pt>
                <c:pt idx="164">
                  <c:v>-21.999999999999975</c:v>
                </c:pt>
                <c:pt idx="165">
                  <c:v>-1.9999999999999751</c:v>
                </c:pt>
                <c:pt idx="166">
                  <c:v>-7.9999999999999751</c:v>
                </c:pt>
                <c:pt idx="167">
                  <c:v>-13.899999999999975</c:v>
                </c:pt>
                <c:pt idx="168">
                  <c:v>-2.9999999999999751</c:v>
                </c:pt>
                <c:pt idx="169">
                  <c:v>27.600000000000026</c:v>
                </c:pt>
                <c:pt idx="170">
                  <c:v>33.800000000000026</c:v>
                </c:pt>
                <c:pt idx="171">
                  <c:v>-2.9999999999999716</c:v>
                </c:pt>
                <c:pt idx="172">
                  <c:v>12.800000000000029</c:v>
                </c:pt>
                <c:pt idx="173">
                  <c:v>-32.299999999999969</c:v>
                </c:pt>
                <c:pt idx="174">
                  <c:v>-2.999999999999968</c:v>
                </c:pt>
                <c:pt idx="175">
                  <c:v>53.000000000000028</c:v>
                </c:pt>
                <c:pt idx="176">
                  <c:v>3.5000000000000284</c:v>
                </c:pt>
                <c:pt idx="177">
                  <c:v>-2.9999999999999716</c:v>
                </c:pt>
                <c:pt idx="178">
                  <c:v>2.3000000000000282</c:v>
                </c:pt>
                <c:pt idx="179">
                  <c:v>7.6000000000000281</c:v>
                </c:pt>
                <c:pt idx="180">
                  <c:v>-2.9999999999999716</c:v>
                </c:pt>
                <c:pt idx="181">
                  <c:v>-38.199999999999974</c:v>
                </c:pt>
                <c:pt idx="182">
                  <c:v>-20.499999999999975</c:v>
                </c:pt>
                <c:pt idx="183">
                  <c:v>-2.9999999999999751</c:v>
                </c:pt>
                <c:pt idx="184">
                  <c:v>-48.09999999999998</c:v>
                </c:pt>
                <c:pt idx="185">
                  <c:v>-42.999999999999979</c:v>
                </c:pt>
                <c:pt idx="186">
                  <c:v>-2.9999999999999787</c:v>
                </c:pt>
                <c:pt idx="187">
                  <c:v>31.000000000000021</c:v>
                </c:pt>
                <c:pt idx="188">
                  <c:v>7.5000000000000213</c:v>
                </c:pt>
                <c:pt idx="189">
                  <c:v>-2.9999999999999787</c:v>
                </c:pt>
                <c:pt idx="190">
                  <c:v>17.100000000000023</c:v>
                </c:pt>
                <c:pt idx="191">
                  <c:v>4.2000000000000224</c:v>
                </c:pt>
                <c:pt idx="192">
                  <c:v>-2.9999999999999778</c:v>
                </c:pt>
                <c:pt idx="193">
                  <c:v>-67.999999999999972</c:v>
                </c:pt>
                <c:pt idx="194">
                  <c:v>-76.299999999999969</c:v>
                </c:pt>
                <c:pt idx="195">
                  <c:v>-2.9999999999999716</c:v>
                </c:pt>
                <c:pt idx="196">
                  <c:v>-7.9999999999999716</c:v>
                </c:pt>
                <c:pt idx="197">
                  <c:v>-51.999999999999972</c:v>
                </c:pt>
                <c:pt idx="198">
                  <c:v>-2.9999999999999716</c:v>
                </c:pt>
                <c:pt idx="199">
                  <c:v>-1.9999999999999716</c:v>
                </c:pt>
                <c:pt idx="200">
                  <c:v>-36.999999999999972</c:v>
                </c:pt>
                <c:pt idx="201">
                  <c:v>-2.9999999999999716</c:v>
                </c:pt>
                <c:pt idx="202">
                  <c:v>27.60000000000003</c:v>
                </c:pt>
                <c:pt idx="203">
                  <c:v>-2.6999999999999709</c:v>
                </c:pt>
                <c:pt idx="204">
                  <c:v>-2.9999999999999707</c:v>
                </c:pt>
                <c:pt idx="205">
                  <c:v>-21.999999999999972</c:v>
                </c:pt>
                <c:pt idx="206">
                  <c:v>41.000000000000028</c:v>
                </c:pt>
                <c:pt idx="207">
                  <c:v>-2.9999999999999716</c:v>
                </c:pt>
                <c:pt idx="208">
                  <c:v>-11.899999999999972</c:v>
                </c:pt>
                <c:pt idx="209">
                  <c:v>-8.7999999999999723</c:v>
                </c:pt>
                <c:pt idx="210">
                  <c:v>-2.9999999999999725</c:v>
                </c:pt>
                <c:pt idx="211">
                  <c:v>-2.0999999999999726</c:v>
                </c:pt>
                <c:pt idx="212">
                  <c:v>-1.8999999999999726</c:v>
                </c:pt>
                <c:pt idx="213">
                  <c:v>-2.9999999999999725</c:v>
                </c:pt>
                <c:pt idx="214">
                  <c:v>28.300000000000026</c:v>
                </c:pt>
                <c:pt idx="215">
                  <c:v>31.100000000000026</c:v>
                </c:pt>
                <c:pt idx="216">
                  <c:v>-2.9999999999999751</c:v>
                </c:pt>
                <c:pt idx="217">
                  <c:v>-47.999999999999972</c:v>
                </c:pt>
                <c:pt idx="218">
                  <c:v>-4.3999999999999702</c:v>
                </c:pt>
                <c:pt idx="219">
                  <c:v>-2.9999999999999702</c:v>
                </c:pt>
                <c:pt idx="220">
                  <c:v>24.400000000000027</c:v>
                </c:pt>
                <c:pt idx="221">
                  <c:v>23.000000000000028</c:v>
                </c:pt>
                <c:pt idx="222">
                  <c:v>-2.9999999999999716</c:v>
                </c:pt>
                <c:pt idx="223">
                  <c:v>-10.399999999999972</c:v>
                </c:pt>
                <c:pt idx="224">
                  <c:v>-49.099999999999973</c:v>
                </c:pt>
                <c:pt idx="225">
                  <c:v>-2.9999999999999716</c:v>
                </c:pt>
                <c:pt idx="226">
                  <c:v>14.300000000000029</c:v>
                </c:pt>
                <c:pt idx="227">
                  <c:v>-17.799999999999972</c:v>
                </c:pt>
                <c:pt idx="228">
                  <c:v>-2.9999999999999716</c:v>
                </c:pt>
                <c:pt idx="229">
                  <c:v>-16.89999999999997</c:v>
                </c:pt>
                <c:pt idx="230">
                  <c:v>-34.099999999999966</c:v>
                </c:pt>
                <c:pt idx="231">
                  <c:v>-2.9999999999999645</c:v>
                </c:pt>
                <c:pt idx="232">
                  <c:v>36.000000000000036</c:v>
                </c:pt>
                <c:pt idx="233">
                  <c:v>-3.3999999999999631</c:v>
                </c:pt>
                <c:pt idx="234">
                  <c:v>-2.9999999999999631</c:v>
                </c:pt>
                <c:pt idx="235">
                  <c:v>2.200000000000037</c:v>
                </c:pt>
                <c:pt idx="236">
                  <c:v>-7.7999999999999634</c:v>
                </c:pt>
                <c:pt idx="237">
                  <c:v>-2.9999999999999636</c:v>
                </c:pt>
                <c:pt idx="238">
                  <c:v>-16.699999999999964</c:v>
                </c:pt>
                <c:pt idx="239">
                  <c:v>-31.499999999999964</c:v>
                </c:pt>
                <c:pt idx="240">
                  <c:v>-2.9999999999999645</c:v>
                </c:pt>
                <c:pt idx="241">
                  <c:v>-24.999999999999964</c:v>
                </c:pt>
                <c:pt idx="242">
                  <c:v>-46.899999999999963</c:v>
                </c:pt>
                <c:pt idx="243">
                  <c:v>-2.9999999999999645</c:v>
                </c:pt>
                <c:pt idx="244">
                  <c:v>2.1000000000000352</c:v>
                </c:pt>
                <c:pt idx="245">
                  <c:v>12.400000000000036</c:v>
                </c:pt>
                <c:pt idx="246">
                  <c:v>-2.9999999999999627</c:v>
                </c:pt>
                <c:pt idx="247">
                  <c:v>27.900000000000034</c:v>
                </c:pt>
                <c:pt idx="248">
                  <c:v>34.000000000000036</c:v>
                </c:pt>
                <c:pt idx="249">
                  <c:v>-2.9999999999999645</c:v>
                </c:pt>
                <c:pt idx="250">
                  <c:v>36.000000000000036</c:v>
                </c:pt>
                <c:pt idx="251">
                  <c:v>-6.9999999999999645</c:v>
                </c:pt>
                <c:pt idx="252">
                  <c:v>-2.9999999999999645</c:v>
                </c:pt>
                <c:pt idx="253">
                  <c:v>18.500000000000036</c:v>
                </c:pt>
                <c:pt idx="254">
                  <c:v>-21.499999999999964</c:v>
                </c:pt>
                <c:pt idx="255">
                  <c:v>-2.9999999999999645</c:v>
                </c:pt>
                <c:pt idx="256">
                  <c:v>27.500000000000036</c:v>
                </c:pt>
                <c:pt idx="257">
                  <c:v>16.700000000000035</c:v>
                </c:pt>
                <c:pt idx="258">
                  <c:v>-2.9999999999999645</c:v>
                </c:pt>
                <c:pt idx="259">
                  <c:v>55.800000000000033</c:v>
                </c:pt>
                <c:pt idx="260">
                  <c:v>21.300000000000033</c:v>
                </c:pt>
                <c:pt idx="261">
                  <c:v>-2.999999999999968</c:v>
                </c:pt>
                <c:pt idx="262">
                  <c:v>8.1000000000000316</c:v>
                </c:pt>
                <c:pt idx="263">
                  <c:v>-17.999999999999972</c:v>
                </c:pt>
                <c:pt idx="264">
                  <c:v>-2.9999999999999716</c:v>
                </c:pt>
                <c:pt idx="265">
                  <c:v>-1.3999999999999715</c:v>
                </c:pt>
                <c:pt idx="266">
                  <c:v>20.200000000000031</c:v>
                </c:pt>
                <c:pt idx="267">
                  <c:v>-2.999999999999968</c:v>
                </c:pt>
                <c:pt idx="268">
                  <c:v>-23.399999999999967</c:v>
                </c:pt>
                <c:pt idx="269">
                  <c:v>-8.799999999999967</c:v>
                </c:pt>
                <c:pt idx="270">
                  <c:v>-2.9999999999999671</c:v>
                </c:pt>
                <c:pt idx="271">
                  <c:v>-0.49999999999996714</c:v>
                </c:pt>
                <c:pt idx="272">
                  <c:v>0.10000000000003284</c:v>
                </c:pt>
                <c:pt idx="273">
                  <c:v>-2.9999999999999667</c:v>
                </c:pt>
                <c:pt idx="274">
                  <c:v>-45.399999999999963</c:v>
                </c:pt>
                <c:pt idx="275">
                  <c:v>-6.1999999999999602</c:v>
                </c:pt>
                <c:pt idx="276">
                  <c:v>-2.99999999999996</c:v>
                </c:pt>
                <c:pt idx="277">
                  <c:v>-47.499999999999957</c:v>
                </c:pt>
                <c:pt idx="278">
                  <c:v>-29.999999999999957</c:v>
                </c:pt>
                <c:pt idx="279">
                  <c:v>-2.9999999999999574</c:v>
                </c:pt>
                <c:pt idx="280">
                  <c:v>-3.5999999999999575</c:v>
                </c:pt>
                <c:pt idx="281">
                  <c:v>-41.099999999999959</c:v>
                </c:pt>
                <c:pt idx="282">
                  <c:v>-2.9999999999999574</c:v>
                </c:pt>
                <c:pt idx="283">
                  <c:v>22.400000000000041</c:v>
                </c:pt>
                <c:pt idx="284">
                  <c:v>-4.9999999999999574</c:v>
                </c:pt>
                <c:pt idx="285">
                  <c:v>-2.9999999999999574</c:v>
                </c:pt>
                <c:pt idx="286">
                  <c:v>6.7000000000000419</c:v>
                </c:pt>
                <c:pt idx="287">
                  <c:v>-34.69999999999996</c:v>
                </c:pt>
                <c:pt idx="288">
                  <c:v>-2.9999999999999574</c:v>
                </c:pt>
                <c:pt idx="289">
                  <c:v>17.100000000000044</c:v>
                </c:pt>
                <c:pt idx="290">
                  <c:v>-17.599999999999959</c:v>
                </c:pt>
                <c:pt idx="291">
                  <c:v>-2.9999999999999591</c:v>
                </c:pt>
                <c:pt idx="292">
                  <c:v>-50.69999999999996</c:v>
                </c:pt>
                <c:pt idx="293">
                  <c:v>-49.999999999999957</c:v>
                </c:pt>
                <c:pt idx="294">
                  <c:v>-2.9999999999999574</c:v>
                </c:pt>
                <c:pt idx="295">
                  <c:v>-17.999999999999957</c:v>
                </c:pt>
                <c:pt idx="296">
                  <c:v>-6.7999999999999581</c:v>
                </c:pt>
                <c:pt idx="297">
                  <c:v>-2.9999999999999583</c:v>
                </c:pt>
                <c:pt idx="298">
                  <c:v>39.100000000000044</c:v>
                </c:pt>
                <c:pt idx="299">
                  <c:v>2.8000000000000469</c:v>
                </c:pt>
                <c:pt idx="300">
                  <c:v>-2.9999999999999529</c:v>
                </c:pt>
                <c:pt idx="301">
                  <c:v>-8.9999999999999538</c:v>
                </c:pt>
                <c:pt idx="302">
                  <c:v>-59.899999999999949</c:v>
                </c:pt>
                <c:pt idx="303">
                  <c:v>-2.9999999999999503</c:v>
                </c:pt>
                <c:pt idx="304">
                  <c:v>-39.49999999999995</c:v>
                </c:pt>
                <c:pt idx="305">
                  <c:v>-51.49999999999995</c:v>
                </c:pt>
                <c:pt idx="306">
                  <c:v>-2.9999999999999503</c:v>
                </c:pt>
                <c:pt idx="307">
                  <c:v>-41.49999999999995</c:v>
                </c:pt>
                <c:pt idx="308">
                  <c:v>6.5000000000000497</c:v>
                </c:pt>
                <c:pt idx="309">
                  <c:v>-2.9999999999999503</c:v>
                </c:pt>
                <c:pt idx="310">
                  <c:v>7.1000000000000494</c:v>
                </c:pt>
                <c:pt idx="311">
                  <c:v>-5.6999999999999513</c:v>
                </c:pt>
                <c:pt idx="312">
                  <c:v>-2.9999999999999512</c:v>
                </c:pt>
                <c:pt idx="313">
                  <c:v>-4.9999999999999512</c:v>
                </c:pt>
                <c:pt idx="314">
                  <c:v>35.00000000000005</c:v>
                </c:pt>
                <c:pt idx="315">
                  <c:v>-2.9999999999999503</c:v>
                </c:pt>
                <c:pt idx="316">
                  <c:v>39.50000000000005</c:v>
                </c:pt>
                <c:pt idx="317">
                  <c:v>36.100000000000051</c:v>
                </c:pt>
                <c:pt idx="318">
                  <c:v>-2.9999999999999503</c:v>
                </c:pt>
                <c:pt idx="319">
                  <c:v>-8.5999999999999499</c:v>
                </c:pt>
                <c:pt idx="320">
                  <c:v>62.000000000000043</c:v>
                </c:pt>
                <c:pt idx="321">
                  <c:v>-2.9999999999999574</c:v>
                </c:pt>
                <c:pt idx="322">
                  <c:v>-10.399999999999958</c:v>
                </c:pt>
                <c:pt idx="323">
                  <c:v>20.100000000000044</c:v>
                </c:pt>
                <c:pt idx="324">
                  <c:v>-2.9999999999999574</c:v>
                </c:pt>
                <c:pt idx="325">
                  <c:v>-39.999999999999957</c:v>
                </c:pt>
                <c:pt idx="326">
                  <c:v>-5.5999999999999588</c:v>
                </c:pt>
                <c:pt idx="327">
                  <c:v>-2.9999999999999587</c:v>
                </c:pt>
                <c:pt idx="328">
                  <c:v>-20.799999999999958</c:v>
                </c:pt>
                <c:pt idx="329">
                  <c:v>-10.299999999999958</c:v>
                </c:pt>
                <c:pt idx="330">
                  <c:v>-2.9999999999999583</c:v>
                </c:pt>
                <c:pt idx="331">
                  <c:v>23.000000000000043</c:v>
                </c:pt>
                <c:pt idx="332">
                  <c:v>32.100000000000044</c:v>
                </c:pt>
                <c:pt idx="333">
                  <c:v>-2.9999999999999574</c:v>
                </c:pt>
                <c:pt idx="334">
                  <c:v>40.600000000000044</c:v>
                </c:pt>
                <c:pt idx="335">
                  <c:v>35.400000000000041</c:v>
                </c:pt>
                <c:pt idx="336">
                  <c:v>-2.9999999999999574</c:v>
                </c:pt>
                <c:pt idx="337">
                  <c:v>4.0000000000000426</c:v>
                </c:pt>
                <c:pt idx="338">
                  <c:v>36.000000000000043</c:v>
                </c:pt>
                <c:pt idx="339">
                  <c:v>-2.9999999999999574</c:v>
                </c:pt>
                <c:pt idx="340">
                  <c:v>-13.299999999999958</c:v>
                </c:pt>
                <c:pt idx="341">
                  <c:v>-8.0999999999999588</c:v>
                </c:pt>
                <c:pt idx="342">
                  <c:v>-2.9999999999999591</c:v>
                </c:pt>
                <c:pt idx="343">
                  <c:v>-18.499999999999957</c:v>
                </c:pt>
                <c:pt idx="344">
                  <c:v>-52.999999999999957</c:v>
                </c:pt>
                <c:pt idx="345">
                  <c:v>-2.9999999999999574</c:v>
                </c:pt>
                <c:pt idx="346">
                  <c:v>-21.299999999999958</c:v>
                </c:pt>
                <c:pt idx="347">
                  <c:v>-6.0999999999999588</c:v>
                </c:pt>
                <c:pt idx="348">
                  <c:v>-2.9999999999999587</c:v>
                </c:pt>
                <c:pt idx="349">
                  <c:v>20.000000000000043</c:v>
                </c:pt>
                <c:pt idx="350">
                  <c:v>14.100000000000042</c:v>
                </c:pt>
                <c:pt idx="351">
                  <c:v>-2.9999999999999591</c:v>
                </c:pt>
                <c:pt idx="352">
                  <c:v>24.30000000000004</c:v>
                </c:pt>
                <c:pt idx="353">
                  <c:v>5.1000000000000405</c:v>
                </c:pt>
                <c:pt idx="354">
                  <c:v>-2.9999999999999591</c:v>
                </c:pt>
                <c:pt idx="355">
                  <c:v>-33.499999999999957</c:v>
                </c:pt>
                <c:pt idx="356">
                  <c:v>15.500000000000043</c:v>
                </c:pt>
                <c:pt idx="357">
                  <c:v>-2.9999999999999574</c:v>
                </c:pt>
                <c:pt idx="358">
                  <c:v>15.500000000000043</c:v>
                </c:pt>
                <c:pt idx="359">
                  <c:v>4.400000000000043</c:v>
                </c:pt>
                <c:pt idx="360">
                  <c:v>-2.9999999999999574</c:v>
                </c:pt>
                <c:pt idx="361">
                  <c:v>-8.3999999999999577</c:v>
                </c:pt>
                <c:pt idx="362">
                  <c:v>6.400000000000043</c:v>
                </c:pt>
                <c:pt idx="363">
                  <c:v>-2.9999999999999574</c:v>
                </c:pt>
                <c:pt idx="364">
                  <c:v>52.000000000000043</c:v>
                </c:pt>
                <c:pt idx="365">
                  <c:v>34.000000000000043</c:v>
                </c:pt>
                <c:pt idx="366">
                  <c:v>-2.9999999999999574</c:v>
                </c:pt>
                <c:pt idx="367">
                  <c:v>39.000000000000043</c:v>
                </c:pt>
                <c:pt idx="368">
                  <c:v>-0.99999999999995737</c:v>
                </c:pt>
                <c:pt idx="369">
                  <c:v>-2.9999999999999574</c:v>
                </c:pt>
                <c:pt idx="370">
                  <c:v>-15.999999999999957</c:v>
                </c:pt>
                <c:pt idx="371">
                  <c:v>-23.199999999999957</c:v>
                </c:pt>
                <c:pt idx="372">
                  <c:v>-2.9999999999999574</c:v>
                </c:pt>
                <c:pt idx="373">
                  <c:v>-50.399999999999956</c:v>
                </c:pt>
                <c:pt idx="374">
                  <c:v>-17.999999999999957</c:v>
                </c:pt>
                <c:pt idx="375">
                  <c:v>-2.9999999999999574</c:v>
                </c:pt>
                <c:pt idx="376">
                  <c:v>40.900000000000041</c:v>
                </c:pt>
                <c:pt idx="377">
                  <c:v>35.30000000000004</c:v>
                </c:pt>
                <c:pt idx="378">
                  <c:v>-2.9999999999999574</c:v>
                </c:pt>
                <c:pt idx="379">
                  <c:v>13.100000000000044</c:v>
                </c:pt>
                <c:pt idx="380">
                  <c:v>-12.899999999999956</c:v>
                </c:pt>
                <c:pt idx="381">
                  <c:v>-2.9999999999999556</c:v>
                </c:pt>
                <c:pt idx="382">
                  <c:v>-39.999999999999957</c:v>
                </c:pt>
                <c:pt idx="383">
                  <c:v>-34.799999999999955</c:v>
                </c:pt>
                <c:pt idx="384">
                  <c:v>-2.9999999999999574</c:v>
                </c:pt>
                <c:pt idx="385">
                  <c:v>12.500000000000043</c:v>
                </c:pt>
                <c:pt idx="386">
                  <c:v>4.8000000000000425</c:v>
                </c:pt>
                <c:pt idx="387">
                  <c:v>-2.9999999999999583</c:v>
                </c:pt>
                <c:pt idx="388">
                  <c:v>5.700000000000041</c:v>
                </c:pt>
                <c:pt idx="389">
                  <c:v>16.30000000000004</c:v>
                </c:pt>
                <c:pt idx="390">
                  <c:v>-2.9999999999999609</c:v>
                </c:pt>
                <c:pt idx="391">
                  <c:v>17.700000000000038</c:v>
                </c:pt>
                <c:pt idx="392">
                  <c:v>-24.799999999999962</c:v>
                </c:pt>
                <c:pt idx="393">
                  <c:v>-2.9999999999999609</c:v>
                </c:pt>
                <c:pt idx="394">
                  <c:v>11.30000000000004</c:v>
                </c:pt>
                <c:pt idx="395">
                  <c:v>4.50000000000004</c:v>
                </c:pt>
                <c:pt idx="396">
                  <c:v>-2.99999999999996</c:v>
                </c:pt>
                <c:pt idx="397">
                  <c:v>8.6000000000000405</c:v>
                </c:pt>
                <c:pt idx="398">
                  <c:v>27.200000000000042</c:v>
                </c:pt>
                <c:pt idx="399">
                  <c:v>-2.9999999999999574</c:v>
                </c:pt>
                <c:pt idx="400">
                  <c:v>4.2000000000000428</c:v>
                </c:pt>
                <c:pt idx="401">
                  <c:v>-14.799999999999958</c:v>
                </c:pt>
                <c:pt idx="402">
                  <c:v>-3.9999999999999574</c:v>
                </c:pt>
                <c:pt idx="403">
                  <c:v>19.500000000000043</c:v>
                </c:pt>
                <c:pt idx="404">
                  <c:v>14.600000000000042</c:v>
                </c:pt>
                <c:pt idx="405">
                  <c:v>-3.9999999999999591</c:v>
                </c:pt>
                <c:pt idx="406">
                  <c:v>11.900000000000039</c:v>
                </c:pt>
                <c:pt idx="407">
                  <c:v>13.100000000000039</c:v>
                </c:pt>
                <c:pt idx="408">
                  <c:v>-3.9999999999999627</c:v>
                </c:pt>
                <c:pt idx="409">
                  <c:v>-40.499999999999964</c:v>
                </c:pt>
                <c:pt idx="410">
                  <c:v>-15.999999999999964</c:v>
                </c:pt>
                <c:pt idx="411">
                  <c:v>-3.9999999999999645</c:v>
                </c:pt>
                <c:pt idx="412">
                  <c:v>33.500000000000036</c:v>
                </c:pt>
                <c:pt idx="413">
                  <c:v>-3.4999999999999645</c:v>
                </c:pt>
                <c:pt idx="414">
                  <c:v>-3.9999999999999645</c:v>
                </c:pt>
                <c:pt idx="415">
                  <c:v>-49.499999999999964</c:v>
                </c:pt>
                <c:pt idx="416">
                  <c:v>-44.999999999999964</c:v>
                </c:pt>
                <c:pt idx="417">
                  <c:v>-3.9999999999999645</c:v>
                </c:pt>
                <c:pt idx="418">
                  <c:v>8.2000000000000348</c:v>
                </c:pt>
                <c:pt idx="419">
                  <c:v>1.8000000000000345</c:v>
                </c:pt>
                <c:pt idx="420">
                  <c:v>-3.9999999999999654</c:v>
                </c:pt>
                <c:pt idx="421">
                  <c:v>-22.499999999999964</c:v>
                </c:pt>
                <c:pt idx="422">
                  <c:v>-5.6999999999999638</c:v>
                </c:pt>
                <c:pt idx="423">
                  <c:v>-3.9999999999999636</c:v>
                </c:pt>
                <c:pt idx="424">
                  <c:v>36.400000000000034</c:v>
                </c:pt>
                <c:pt idx="425">
                  <c:v>11.000000000000036</c:v>
                </c:pt>
                <c:pt idx="426">
                  <c:v>-3.9999999999999645</c:v>
                </c:pt>
                <c:pt idx="427">
                  <c:v>22.100000000000037</c:v>
                </c:pt>
                <c:pt idx="428">
                  <c:v>-27.499999999999964</c:v>
                </c:pt>
                <c:pt idx="429">
                  <c:v>-3.9999999999999645</c:v>
                </c:pt>
                <c:pt idx="430">
                  <c:v>4.5000000000000355</c:v>
                </c:pt>
                <c:pt idx="431">
                  <c:v>29.200000000000035</c:v>
                </c:pt>
                <c:pt idx="432">
                  <c:v>-3.999999999999968</c:v>
                </c:pt>
                <c:pt idx="433">
                  <c:v>0.8000000000000318</c:v>
                </c:pt>
                <c:pt idx="434">
                  <c:v>-14.999999999999968</c:v>
                </c:pt>
                <c:pt idx="435">
                  <c:v>-3.999999999999968</c:v>
                </c:pt>
                <c:pt idx="436">
                  <c:v>38.300000000000026</c:v>
                </c:pt>
                <c:pt idx="437">
                  <c:v>30.500000000000025</c:v>
                </c:pt>
                <c:pt idx="438">
                  <c:v>-3.9999999999999751</c:v>
                </c:pt>
                <c:pt idx="439">
                  <c:v>21.000000000000025</c:v>
                </c:pt>
                <c:pt idx="440">
                  <c:v>15.700000000000024</c:v>
                </c:pt>
                <c:pt idx="441">
                  <c:v>-3.9999999999999751</c:v>
                </c:pt>
                <c:pt idx="442">
                  <c:v>7.0000000000000249</c:v>
                </c:pt>
                <c:pt idx="443">
                  <c:v>-24.799999999999972</c:v>
                </c:pt>
                <c:pt idx="444">
                  <c:v>-3.9999999999999716</c:v>
                </c:pt>
                <c:pt idx="445">
                  <c:v>36.000000000000028</c:v>
                </c:pt>
                <c:pt idx="446">
                  <c:v>-8.4999999999999716</c:v>
                </c:pt>
                <c:pt idx="447">
                  <c:v>-3.9999999999999716</c:v>
                </c:pt>
                <c:pt idx="448">
                  <c:v>20.000000000000028</c:v>
                </c:pt>
                <c:pt idx="449">
                  <c:v>-14.499999999999972</c:v>
                </c:pt>
                <c:pt idx="450">
                  <c:v>-3.9999999999999716</c:v>
                </c:pt>
                <c:pt idx="451">
                  <c:v>-22.799999999999972</c:v>
                </c:pt>
                <c:pt idx="452">
                  <c:v>-32.799999999999969</c:v>
                </c:pt>
                <c:pt idx="453">
                  <c:v>-3.999999999999968</c:v>
                </c:pt>
                <c:pt idx="454">
                  <c:v>32.600000000000037</c:v>
                </c:pt>
                <c:pt idx="455">
                  <c:v>31.500000000000036</c:v>
                </c:pt>
                <c:pt idx="456">
                  <c:v>-3.9999999999999645</c:v>
                </c:pt>
                <c:pt idx="457">
                  <c:v>3.8000000000000353</c:v>
                </c:pt>
                <c:pt idx="458">
                  <c:v>-32.39999999999997</c:v>
                </c:pt>
                <c:pt idx="459">
                  <c:v>-3.9999999999999716</c:v>
                </c:pt>
                <c:pt idx="460">
                  <c:v>63.100000000000023</c:v>
                </c:pt>
                <c:pt idx="461">
                  <c:v>22.800000000000026</c:v>
                </c:pt>
                <c:pt idx="462">
                  <c:v>-3.9999999999999751</c:v>
                </c:pt>
                <c:pt idx="463">
                  <c:v>-5.9999999999999751</c:v>
                </c:pt>
                <c:pt idx="464">
                  <c:v>-21.399999999999974</c:v>
                </c:pt>
                <c:pt idx="465">
                  <c:v>-3.9999999999999751</c:v>
                </c:pt>
                <c:pt idx="466">
                  <c:v>1.200000000000025</c:v>
                </c:pt>
                <c:pt idx="467">
                  <c:v>-29.499999999999975</c:v>
                </c:pt>
                <c:pt idx="468">
                  <c:v>-3.9999999999999751</c:v>
                </c:pt>
                <c:pt idx="469">
                  <c:v>11.200000000000024</c:v>
                </c:pt>
                <c:pt idx="470">
                  <c:v>6.3000000000000238</c:v>
                </c:pt>
                <c:pt idx="471">
                  <c:v>-3.9999999999999769</c:v>
                </c:pt>
                <c:pt idx="472">
                  <c:v>19.200000000000024</c:v>
                </c:pt>
                <c:pt idx="473">
                  <c:v>5.3000000000000238</c:v>
                </c:pt>
                <c:pt idx="474">
                  <c:v>-3.9999999999999769</c:v>
                </c:pt>
                <c:pt idx="475">
                  <c:v>16.600000000000023</c:v>
                </c:pt>
                <c:pt idx="476">
                  <c:v>-28.09999999999998</c:v>
                </c:pt>
                <c:pt idx="477">
                  <c:v>-3.9999999999999787</c:v>
                </c:pt>
                <c:pt idx="478">
                  <c:v>3.3000000000000211</c:v>
                </c:pt>
                <c:pt idx="479">
                  <c:v>28.500000000000021</c:v>
                </c:pt>
                <c:pt idx="480">
                  <c:v>-3.9999999999999787</c:v>
                </c:pt>
                <c:pt idx="481">
                  <c:v>0.80000000000002114</c:v>
                </c:pt>
                <c:pt idx="482">
                  <c:v>32.500000000000021</c:v>
                </c:pt>
                <c:pt idx="483">
                  <c:v>-3.9999999999999787</c:v>
                </c:pt>
                <c:pt idx="484">
                  <c:v>0.10000000000002096</c:v>
                </c:pt>
                <c:pt idx="485">
                  <c:v>4.4000000000000208</c:v>
                </c:pt>
                <c:pt idx="486">
                  <c:v>-3.9999999999999796</c:v>
                </c:pt>
                <c:pt idx="487">
                  <c:v>-14.999999999999979</c:v>
                </c:pt>
                <c:pt idx="488">
                  <c:v>-5.4999999999999787</c:v>
                </c:pt>
                <c:pt idx="489">
                  <c:v>-4.9999999999999787</c:v>
                </c:pt>
                <c:pt idx="490">
                  <c:v>6.5000000000000213</c:v>
                </c:pt>
                <c:pt idx="491">
                  <c:v>-4.5999999999999783</c:v>
                </c:pt>
                <c:pt idx="492">
                  <c:v>-4.9999999999999787</c:v>
                </c:pt>
                <c:pt idx="493">
                  <c:v>-16.899999999999977</c:v>
                </c:pt>
                <c:pt idx="494">
                  <c:v>-22.099999999999977</c:v>
                </c:pt>
                <c:pt idx="495">
                  <c:v>-4.9999999999999751</c:v>
                </c:pt>
                <c:pt idx="496">
                  <c:v>10.600000000000025</c:v>
                </c:pt>
                <c:pt idx="497">
                  <c:v>-26.799999999999976</c:v>
                </c:pt>
                <c:pt idx="498">
                  <c:v>-4.9999999999999751</c:v>
                </c:pt>
                <c:pt idx="499">
                  <c:v>9.6000000000000245</c:v>
                </c:pt>
                <c:pt idx="500">
                  <c:v>-2.1999999999999762</c:v>
                </c:pt>
                <c:pt idx="501">
                  <c:v>-4.999999999999976</c:v>
                </c:pt>
                <c:pt idx="502">
                  <c:v>-39.999999999999979</c:v>
                </c:pt>
                <c:pt idx="503">
                  <c:v>-4.9999999999999787</c:v>
                </c:pt>
                <c:pt idx="504">
                  <c:v>-4.9999999999999787</c:v>
                </c:pt>
                <c:pt idx="505">
                  <c:v>-34.59999999999998</c:v>
                </c:pt>
                <c:pt idx="506">
                  <c:v>-82.699999999999989</c:v>
                </c:pt>
                <c:pt idx="507">
                  <c:v>-4.9999999999999858</c:v>
                </c:pt>
                <c:pt idx="508">
                  <c:v>0.80000000000001403</c:v>
                </c:pt>
                <c:pt idx="509">
                  <c:v>-1.7999999999999861</c:v>
                </c:pt>
                <c:pt idx="510">
                  <c:v>-4.9999999999999858</c:v>
                </c:pt>
                <c:pt idx="511">
                  <c:v>-17.999999999999986</c:v>
                </c:pt>
                <c:pt idx="512">
                  <c:v>-30.499999999999986</c:v>
                </c:pt>
                <c:pt idx="513">
                  <c:v>-4.9999999999999858</c:v>
                </c:pt>
                <c:pt idx="514">
                  <c:v>-14.999999999999986</c:v>
                </c:pt>
                <c:pt idx="515">
                  <c:v>44.500000000000014</c:v>
                </c:pt>
                <c:pt idx="516">
                  <c:v>-4.9999999999999858</c:v>
                </c:pt>
                <c:pt idx="517">
                  <c:v>38.600000000000016</c:v>
                </c:pt>
                <c:pt idx="518">
                  <c:v>10.100000000000016</c:v>
                </c:pt>
                <c:pt idx="519">
                  <c:v>-4.999999999999984</c:v>
                </c:pt>
                <c:pt idx="520">
                  <c:v>-9.6999999999999851</c:v>
                </c:pt>
                <c:pt idx="521">
                  <c:v>7.9000000000000163</c:v>
                </c:pt>
                <c:pt idx="522">
                  <c:v>-4.999999999999984</c:v>
                </c:pt>
                <c:pt idx="523">
                  <c:v>6.500000000000016</c:v>
                </c:pt>
                <c:pt idx="524">
                  <c:v>-6.6999999999999833</c:v>
                </c:pt>
                <c:pt idx="525">
                  <c:v>-4.9999999999999831</c:v>
                </c:pt>
                <c:pt idx="526">
                  <c:v>8.4000000000000163</c:v>
                </c:pt>
                <c:pt idx="527">
                  <c:v>20.700000000000017</c:v>
                </c:pt>
                <c:pt idx="528">
                  <c:v>-4.9999999999999822</c:v>
                </c:pt>
                <c:pt idx="529">
                  <c:v>-18.999999999999982</c:v>
                </c:pt>
                <c:pt idx="530">
                  <c:v>-78.299999999999983</c:v>
                </c:pt>
                <c:pt idx="531">
                  <c:v>-4.9999999999999858</c:v>
                </c:pt>
                <c:pt idx="532">
                  <c:v>1.1000000000000139</c:v>
                </c:pt>
                <c:pt idx="533">
                  <c:v>-5.8999999999999861</c:v>
                </c:pt>
                <c:pt idx="534">
                  <c:v>-4.9999999999999858</c:v>
                </c:pt>
                <c:pt idx="535">
                  <c:v>13.700000000000014</c:v>
                </c:pt>
                <c:pt idx="536">
                  <c:v>-1.1999999999999869</c:v>
                </c:pt>
                <c:pt idx="537">
                  <c:v>-4.9999999999999867</c:v>
                </c:pt>
                <c:pt idx="538">
                  <c:v>17.800000000000015</c:v>
                </c:pt>
                <c:pt idx="539">
                  <c:v>19.500000000000014</c:v>
                </c:pt>
                <c:pt idx="540">
                  <c:v>-4.9999999999999858</c:v>
                </c:pt>
                <c:pt idx="541">
                  <c:v>-1.4999999999999858</c:v>
                </c:pt>
                <c:pt idx="542">
                  <c:v>-9.9999999999999858</c:v>
                </c:pt>
                <c:pt idx="543">
                  <c:v>-4.9999999999999858</c:v>
                </c:pt>
                <c:pt idx="544">
                  <c:v>-9.7999999999999865</c:v>
                </c:pt>
                <c:pt idx="545">
                  <c:v>15.000000000000014</c:v>
                </c:pt>
                <c:pt idx="546">
                  <c:v>-4.9999999999999858</c:v>
                </c:pt>
                <c:pt idx="547">
                  <c:v>26.500000000000014</c:v>
                </c:pt>
                <c:pt idx="548">
                  <c:v>6.9000000000000128</c:v>
                </c:pt>
                <c:pt idx="549">
                  <c:v>-4.9999999999999876</c:v>
                </c:pt>
                <c:pt idx="550">
                  <c:v>11.100000000000014</c:v>
                </c:pt>
                <c:pt idx="551">
                  <c:v>11.500000000000014</c:v>
                </c:pt>
                <c:pt idx="552">
                  <c:v>-4.9999999999999858</c:v>
                </c:pt>
                <c:pt idx="553">
                  <c:v>6.3000000000000149</c:v>
                </c:pt>
                <c:pt idx="554">
                  <c:v>17.100000000000016</c:v>
                </c:pt>
                <c:pt idx="555">
                  <c:v>-4.9999999999999858</c:v>
                </c:pt>
                <c:pt idx="556">
                  <c:v>18.300000000000015</c:v>
                </c:pt>
                <c:pt idx="557">
                  <c:v>6.4000000000000146</c:v>
                </c:pt>
                <c:pt idx="558">
                  <c:v>-4.9999999999999858</c:v>
                </c:pt>
                <c:pt idx="559">
                  <c:v>-16.199999999999985</c:v>
                </c:pt>
                <c:pt idx="560">
                  <c:v>-11.299999999999985</c:v>
                </c:pt>
                <c:pt idx="561">
                  <c:v>-4.9999999999999849</c:v>
                </c:pt>
                <c:pt idx="562">
                  <c:v>-6.9999999999999849</c:v>
                </c:pt>
                <c:pt idx="563">
                  <c:v>-1.3999999999999853</c:v>
                </c:pt>
                <c:pt idx="564">
                  <c:v>-4.9999999999999849</c:v>
                </c:pt>
                <c:pt idx="565">
                  <c:v>-44.599999999999987</c:v>
                </c:pt>
                <c:pt idx="566">
                  <c:v>-80.499999999999986</c:v>
                </c:pt>
                <c:pt idx="567">
                  <c:v>-4.9999999999999858</c:v>
                </c:pt>
                <c:pt idx="568">
                  <c:v>15.700000000000014</c:v>
                </c:pt>
                <c:pt idx="569">
                  <c:v>29.800000000000011</c:v>
                </c:pt>
                <c:pt idx="570">
                  <c:v>-4.9999999999999858</c:v>
                </c:pt>
                <c:pt idx="571">
                  <c:v>34.700000000000017</c:v>
                </c:pt>
                <c:pt idx="572">
                  <c:v>-2.7999999999999829</c:v>
                </c:pt>
                <c:pt idx="573">
                  <c:v>-4.9999999999999831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2D-43D7-92B7-64EBAF53C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全体!$N$2:$N$7</c:f>
              <c:numCache>
                <c:formatCode>0</c:formatCode>
                <c:ptCount val="6"/>
                <c:pt idx="0">
                  <c:v>-10.695187165775401</c:v>
                </c:pt>
                <c:pt idx="1">
                  <c:v>-3.7243947858472999</c:v>
                </c:pt>
                <c:pt idx="2">
                  <c:v>10.040160642570282</c:v>
                </c:pt>
                <c:pt idx="3">
                  <c:v>2.2222222222222223</c:v>
                </c:pt>
                <c:pt idx="4">
                  <c:v>2.6246719160104988</c:v>
                </c:pt>
                <c:pt idx="5">
                  <c:v>-13.468013468013469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DD-4C1A-9F81-A3DD91CE0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だいち!$J$2:$J$171</c:f>
              <c:numCache>
                <c:formatCode>General</c:formatCode>
                <c:ptCount val="1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</c:numCache>
            </c:numRef>
          </c:xVal>
          <c:yVal>
            <c:numRef>
              <c:f>だいち!$K$2:$K$171</c:f>
              <c:numCache>
                <c:formatCode>\+0;\-0;\±0</c:formatCode>
                <c:ptCount val="170"/>
                <c:pt idx="0">
                  <c:v>0</c:v>
                </c:pt>
                <c:pt idx="1">
                  <c:v>14</c:v>
                </c:pt>
                <c:pt idx="2">
                  <c:v>13</c:v>
                </c:pt>
                <c:pt idx="3">
                  <c:v>28.1</c:v>
                </c:pt>
                <c:pt idx="4">
                  <c:v>112.30000000000001</c:v>
                </c:pt>
                <c:pt idx="5">
                  <c:v>142.80000000000001</c:v>
                </c:pt>
                <c:pt idx="6">
                  <c:v>95.800000000000011</c:v>
                </c:pt>
                <c:pt idx="7">
                  <c:v>90.700000000000017</c:v>
                </c:pt>
                <c:pt idx="8">
                  <c:v>55.700000000000017</c:v>
                </c:pt>
                <c:pt idx="9">
                  <c:v>15.700000000000017</c:v>
                </c:pt>
                <c:pt idx="10">
                  <c:v>-15.799999999999983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70.300000000000011</c:v>
                </c:pt>
                <c:pt idx="14">
                  <c:v>27.300000000000011</c:v>
                </c:pt>
                <c:pt idx="15">
                  <c:v>-8.6999999999999886</c:v>
                </c:pt>
                <c:pt idx="16">
                  <c:v>-7.099999999999989</c:v>
                </c:pt>
                <c:pt idx="17">
                  <c:v>-28.499999999999986</c:v>
                </c:pt>
                <c:pt idx="18">
                  <c:v>-14.599999999999985</c:v>
                </c:pt>
                <c:pt idx="19">
                  <c:v>41.600000000000016</c:v>
                </c:pt>
                <c:pt idx="20">
                  <c:v>66.800000000000011</c:v>
                </c:pt>
                <c:pt idx="21">
                  <c:v>122.30000000000001</c:v>
                </c:pt>
                <c:pt idx="22">
                  <c:v>96.800000000000011</c:v>
                </c:pt>
                <c:pt idx="23">
                  <c:v>120.50000000000001</c:v>
                </c:pt>
                <c:pt idx="24">
                  <c:v>114.00000000000001</c:v>
                </c:pt>
                <c:pt idx="25">
                  <c:v>81.300000000000011</c:v>
                </c:pt>
                <c:pt idx="26">
                  <c:v>104.20000000000002</c:v>
                </c:pt>
                <c:pt idx="27">
                  <c:v>68.200000000000017</c:v>
                </c:pt>
                <c:pt idx="28">
                  <c:v>125.20000000000002</c:v>
                </c:pt>
                <c:pt idx="29">
                  <c:v>116.80000000000001</c:v>
                </c:pt>
                <c:pt idx="30">
                  <c:v>108.4</c:v>
                </c:pt>
                <c:pt idx="31">
                  <c:v>160.69999999999999</c:v>
                </c:pt>
                <c:pt idx="32">
                  <c:v>146.69999999999999</c:v>
                </c:pt>
                <c:pt idx="33">
                  <c:v>206.39999999999998</c:v>
                </c:pt>
                <c:pt idx="34">
                  <c:v>255.39999999999998</c:v>
                </c:pt>
                <c:pt idx="35">
                  <c:v>241.39999999999998</c:v>
                </c:pt>
                <c:pt idx="36">
                  <c:v>237.99999999999997</c:v>
                </c:pt>
                <c:pt idx="37">
                  <c:v>221.89999999999998</c:v>
                </c:pt>
                <c:pt idx="38">
                  <c:v>241.99999999999997</c:v>
                </c:pt>
                <c:pt idx="39">
                  <c:v>192.39999999999998</c:v>
                </c:pt>
                <c:pt idx="40">
                  <c:v>184.2</c:v>
                </c:pt>
                <c:pt idx="41">
                  <c:v>178.2</c:v>
                </c:pt>
                <c:pt idx="42">
                  <c:v>142.79999999999998</c:v>
                </c:pt>
                <c:pt idx="43">
                  <c:v>135.29999999999998</c:v>
                </c:pt>
                <c:pt idx="44">
                  <c:v>143.69999999999999</c:v>
                </c:pt>
                <c:pt idx="45">
                  <c:v>134.29999999999998</c:v>
                </c:pt>
                <c:pt idx="46">
                  <c:v>161.19999999999999</c:v>
                </c:pt>
                <c:pt idx="47">
                  <c:v>141.69999999999999</c:v>
                </c:pt>
                <c:pt idx="48">
                  <c:v>110.6</c:v>
                </c:pt>
                <c:pt idx="49">
                  <c:v>125.8</c:v>
                </c:pt>
                <c:pt idx="50">
                  <c:v>120.89999999999999</c:v>
                </c:pt>
                <c:pt idx="51">
                  <c:v>132.69999999999999</c:v>
                </c:pt>
                <c:pt idx="52">
                  <c:v>133.39999999999998</c:v>
                </c:pt>
                <c:pt idx="53">
                  <c:v>127.69999999999997</c:v>
                </c:pt>
                <c:pt idx="54">
                  <c:v>99.699999999999974</c:v>
                </c:pt>
                <c:pt idx="55">
                  <c:v>116.39999999999998</c:v>
                </c:pt>
                <c:pt idx="56">
                  <c:v>110.39999999999998</c:v>
                </c:pt>
                <c:pt idx="57">
                  <c:v>140.99999999999997</c:v>
                </c:pt>
                <c:pt idx="58">
                  <c:v>156.79999999999998</c:v>
                </c:pt>
                <c:pt idx="59">
                  <c:v>212.79999999999998</c:v>
                </c:pt>
                <c:pt idx="60">
                  <c:v>218.1</c:v>
                </c:pt>
                <c:pt idx="61">
                  <c:v>173</c:v>
                </c:pt>
                <c:pt idx="62">
                  <c:v>193.1</c:v>
                </c:pt>
                <c:pt idx="63">
                  <c:v>128.1</c:v>
                </c:pt>
                <c:pt idx="64">
                  <c:v>123.1</c:v>
                </c:pt>
                <c:pt idx="65">
                  <c:v>124.1</c:v>
                </c:pt>
                <c:pt idx="66">
                  <c:v>154.69999999999999</c:v>
                </c:pt>
                <c:pt idx="67">
                  <c:v>135.69999999999999</c:v>
                </c:pt>
                <c:pt idx="68">
                  <c:v>126.79999999999998</c:v>
                </c:pt>
                <c:pt idx="69">
                  <c:v>127.69999999999999</c:v>
                </c:pt>
                <c:pt idx="70">
                  <c:v>159</c:v>
                </c:pt>
                <c:pt idx="71">
                  <c:v>186.4</c:v>
                </c:pt>
                <c:pt idx="72">
                  <c:v>179</c:v>
                </c:pt>
                <c:pt idx="73">
                  <c:v>196.3</c:v>
                </c:pt>
                <c:pt idx="74">
                  <c:v>182.4</c:v>
                </c:pt>
                <c:pt idx="75">
                  <c:v>221.4</c:v>
                </c:pt>
                <c:pt idx="76">
                  <c:v>226.6</c:v>
                </c:pt>
                <c:pt idx="77">
                  <c:v>212.9</c:v>
                </c:pt>
                <c:pt idx="78">
                  <c:v>218</c:v>
                </c:pt>
                <c:pt idx="79">
                  <c:v>248.9</c:v>
                </c:pt>
                <c:pt idx="80">
                  <c:v>287.89999999999998</c:v>
                </c:pt>
                <c:pt idx="81">
                  <c:v>309.39999999999998</c:v>
                </c:pt>
                <c:pt idx="82">
                  <c:v>339.9</c:v>
                </c:pt>
                <c:pt idx="83">
                  <c:v>398.7</c:v>
                </c:pt>
                <c:pt idx="84">
                  <c:v>409.8</c:v>
                </c:pt>
                <c:pt idx="85">
                  <c:v>411.40000000000003</c:v>
                </c:pt>
                <c:pt idx="86">
                  <c:v>391.00000000000006</c:v>
                </c:pt>
                <c:pt idx="87">
                  <c:v>393.50000000000006</c:v>
                </c:pt>
                <c:pt idx="88">
                  <c:v>349.00000000000006</c:v>
                </c:pt>
                <c:pt idx="89">
                  <c:v>348.40000000000003</c:v>
                </c:pt>
                <c:pt idx="90">
                  <c:v>373.8</c:v>
                </c:pt>
                <c:pt idx="91">
                  <c:v>383.5</c:v>
                </c:pt>
                <c:pt idx="92">
                  <c:v>403.6</c:v>
                </c:pt>
                <c:pt idx="93">
                  <c:v>445.70000000000005</c:v>
                </c:pt>
                <c:pt idx="94">
                  <c:v>439.70000000000005</c:v>
                </c:pt>
                <c:pt idx="95">
                  <c:v>403.20000000000005</c:v>
                </c:pt>
                <c:pt idx="96">
                  <c:v>364.70000000000005</c:v>
                </c:pt>
                <c:pt idx="97">
                  <c:v>374.80000000000007</c:v>
                </c:pt>
                <c:pt idx="98">
                  <c:v>372.80000000000007</c:v>
                </c:pt>
                <c:pt idx="99">
                  <c:v>415.30000000000007</c:v>
                </c:pt>
                <c:pt idx="100">
                  <c:v>409.70000000000005</c:v>
                </c:pt>
                <c:pt idx="101">
                  <c:v>402.30000000000007</c:v>
                </c:pt>
                <c:pt idx="102">
                  <c:v>365.30000000000007</c:v>
                </c:pt>
                <c:pt idx="103">
                  <c:v>347.50000000000006</c:v>
                </c:pt>
                <c:pt idx="104">
                  <c:v>373.50000000000006</c:v>
                </c:pt>
                <c:pt idx="105">
                  <c:v>417.10000000000008</c:v>
                </c:pt>
                <c:pt idx="106">
                  <c:v>424.10000000000008</c:v>
                </c:pt>
                <c:pt idx="107">
                  <c:v>413.80000000000007</c:v>
                </c:pt>
                <c:pt idx="108">
                  <c:v>398.30000000000007</c:v>
                </c:pt>
                <c:pt idx="109">
                  <c:v>380.00000000000006</c:v>
                </c:pt>
                <c:pt idx="110">
                  <c:v>403.00000000000006</c:v>
                </c:pt>
                <c:pt idx="111">
                  <c:v>421.50000000000006</c:v>
                </c:pt>
                <c:pt idx="112">
                  <c:v>416.10000000000008</c:v>
                </c:pt>
                <c:pt idx="113">
                  <c:v>471.10000000000008</c:v>
                </c:pt>
                <c:pt idx="114">
                  <c:v>487.2000000000001</c:v>
                </c:pt>
                <c:pt idx="115">
                  <c:v>450.2000000000001</c:v>
                </c:pt>
                <c:pt idx="116">
                  <c:v>465.7000000000001</c:v>
                </c:pt>
                <c:pt idx="117">
                  <c:v>480.00000000000011</c:v>
                </c:pt>
                <c:pt idx="118">
                  <c:v>491.60000000000014</c:v>
                </c:pt>
                <c:pt idx="119">
                  <c:v>507.50000000000011</c:v>
                </c:pt>
                <c:pt idx="120">
                  <c:v>471.00000000000011</c:v>
                </c:pt>
                <c:pt idx="121">
                  <c:v>508.50000000000011</c:v>
                </c:pt>
                <c:pt idx="122">
                  <c:v>463.00000000000011</c:v>
                </c:pt>
                <c:pt idx="123">
                  <c:v>475.2000000000001</c:v>
                </c:pt>
                <c:pt idx="124">
                  <c:v>456.7000000000001</c:v>
                </c:pt>
                <c:pt idx="125">
                  <c:v>497.10000000000008</c:v>
                </c:pt>
                <c:pt idx="126">
                  <c:v>523.20000000000005</c:v>
                </c:pt>
                <c:pt idx="127">
                  <c:v>531.70000000000005</c:v>
                </c:pt>
                <c:pt idx="128">
                  <c:v>574</c:v>
                </c:pt>
                <c:pt idx="129">
                  <c:v>599</c:v>
                </c:pt>
                <c:pt idx="130">
                  <c:v>610</c:v>
                </c:pt>
                <c:pt idx="131">
                  <c:v>650</c:v>
                </c:pt>
                <c:pt idx="132">
                  <c:v>631.20000000000005</c:v>
                </c:pt>
                <c:pt idx="133">
                  <c:v>667.80000000000007</c:v>
                </c:pt>
                <c:pt idx="134">
                  <c:v>675.6</c:v>
                </c:pt>
                <c:pt idx="135">
                  <c:v>742.7</c:v>
                </c:pt>
                <c:pt idx="136">
                  <c:v>747.90000000000009</c:v>
                </c:pt>
                <c:pt idx="137">
                  <c:v>763.10000000000014</c:v>
                </c:pt>
                <c:pt idx="138">
                  <c:v>786.30000000000018</c:v>
                </c:pt>
                <c:pt idx="139">
                  <c:v>806.9000000000002</c:v>
                </c:pt>
                <c:pt idx="140">
                  <c:v>814.20000000000016</c:v>
                </c:pt>
                <c:pt idx="141">
                  <c:v>819.00000000000011</c:v>
                </c:pt>
                <c:pt idx="142">
                  <c:v>823.10000000000014</c:v>
                </c:pt>
                <c:pt idx="143">
                  <c:v>812.10000000000014</c:v>
                </c:pt>
                <c:pt idx="144">
                  <c:v>823.60000000000014</c:v>
                </c:pt>
                <c:pt idx="145">
                  <c:v>811.70000000000016</c:v>
                </c:pt>
                <c:pt idx="146">
                  <c:v>827.30000000000018</c:v>
                </c:pt>
                <c:pt idx="147">
                  <c:v>841.9000000000002</c:v>
                </c:pt>
                <c:pt idx="148">
                  <c:v>806.9000000000002</c:v>
                </c:pt>
                <c:pt idx="149">
                  <c:v>777.30000000000018</c:v>
                </c:pt>
                <c:pt idx="150">
                  <c:v>783.10000000000014</c:v>
                </c:pt>
                <c:pt idx="151">
                  <c:v>770.10000000000014</c:v>
                </c:pt>
                <c:pt idx="152">
                  <c:v>760.10000000000014</c:v>
                </c:pt>
                <c:pt idx="153">
                  <c:v>803.70000000000016</c:v>
                </c:pt>
                <c:pt idx="154">
                  <c:v>799.00000000000011</c:v>
                </c:pt>
                <c:pt idx="155">
                  <c:v>812.40000000000009</c:v>
                </c:pt>
                <c:pt idx="156">
                  <c:v>798.40000000000009</c:v>
                </c:pt>
                <c:pt idx="157">
                  <c:v>804.50000000000011</c:v>
                </c:pt>
                <c:pt idx="158">
                  <c:v>823.20000000000016</c:v>
                </c:pt>
                <c:pt idx="159">
                  <c:v>846.00000000000011</c:v>
                </c:pt>
                <c:pt idx="160">
                  <c:v>841.20000000000016</c:v>
                </c:pt>
                <c:pt idx="161">
                  <c:v>872.70000000000016</c:v>
                </c:pt>
                <c:pt idx="162">
                  <c:v>888.80000000000018</c:v>
                </c:pt>
                <c:pt idx="163">
                  <c:v>900.10000000000014</c:v>
                </c:pt>
                <c:pt idx="164">
                  <c:v>923.40000000000009</c:v>
                </c:pt>
                <c:pt idx="165">
                  <c:v>912.2</c:v>
                </c:pt>
                <c:pt idx="166">
                  <c:v>910.2</c:v>
                </c:pt>
                <c:pt idx="167">
                  <c:v>870.6</c:v>
                </c:pt>
                <c:pt idx="168">
                  <c:v>891.30000000000007</c:v>
                </c:pt>
                <c:pt idx="169">
                  <c:v>931.00000000000011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F2-4425-9034-20C98052C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1026.060606060606</c:v>
                </c:pt>
                <c:pt idx="1">
                  <c:v>983.54430379746839</c:v>
                </c:pt>
                <c:pt idx="2">
                  <c:v>1025.3424657534247</c:v>
                </c:pt>
                <c:pt idx="3">
                  <c:v>1534.090909090909</c:v>
                </c:pt>
                <c:pt idx="4">
                  <c:v>1088.3928571428571</c:v>
                </c:pt>
                <c:pt idx="5">
                  <c:v>1502.3255813953488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03-433B-A53F-389D0F15E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-21</c:v>
                </c:pt>
                <c:pt idx="2">
                  <c:v>-58.4</c:v>
                </c:pt>
                <c:pt idx="3">
                  <c:v>-82.6</c:v>
                </c:pt>
                <c:pt idx="4">
                  <c:v>-128.1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7B-4AEB-AE77-6E07C6B89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08-4EE8-87E0-1987D0DE3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ともき!$K$2:$K$5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-23.5</c:v>
                </c:pt>
                <c:pt idx="3">
                  <c:v>-25.5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78-41B8-A0C0-D358B4EE9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C2-42C7-BA1D-516742A0D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りくと!$K$2:$K$111</c:f>
              <c:numCache>
                <c:formatCode>\+0;\-0;\±0</c:formatCode>
                <c:ptCount val="110"/>
                <c:pt idx="0">
                  <c:v>0</c:v>
                </c:pt>
                <c:pt idx="1">
                  <c:v>39.9</c:v>
                </c:pt>
                <c:pt idx="2">
                  <c:v>-0.89999999999999858</c:v>
                </c:pt>
                <c:pt idx="3">
                  <c:v>-35.4</c:v>
                </c:pt>
                <c:pt idx="4">
                  <c:v>3.6000000000000014</c:v>
                </c:pt>
                <c:pt idx="5">
                  <c:v>13.600000000000001</c:v>
                </c:pt>
                <c:pt idx="6">
                  <c:v>45.6</c:v>
                </c:pt>
                <c:pt idx="7">
                  <c:v>97.1</c:v>
                </c:pt>
                <c:pt idx="8">
                  <c:v>58.199999999999996</c:v>
                </c:pt>
                <c:pt idx="9">
                  <c:v>23.4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48.5</c:v>
                </c:pt>
                <c:pt idx="14">
                  <c:v>32</c:v>
                </c:pt>
                <c:pt idx="15">
                  <c:v>36.5</c:v>
                </c:pt>
                <c:pt idx="16">
                  <c:v>13.600000000000001</c:v>
                </c:pt>
                <c:pt idx="17">
                  <c:v>12.900000000000002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-56.899999999999991</c:v>
                </c:pt>
                <c:pt idx="21">
                  <c:v>-80.699999999999989</c:v>
                </c:pt>
                <c:pt idx="22">
                  <c:v>-91.6</c:v>
                </c:pt>
                <c:pt idx="23">
                  <c:v>-107.3</c:v>
                </c:pt>
                <c:pt idx="24">
                  <c:v>-65.099999999999994</c:v>
                </c:pt>
                <c:pt idx="25">
                  <c:v>-67.899999999999991</c:v>
                </c:pt>
                <c:pt idx="26">
                  <c:v>-121.89999999999999</c:v>
                </c:pt>
                <c:pt idx="27">
                  <c:v>-158.6</c:v>
                </c:pt>
                <c:pt idx="28">
                  <c:v>-164.5</c:v>
                </c:pt>
                <c:pt idx="29">
                  <c:v>-158.30000000000001</c:v>
                </c:pt>
                <c:pt idx="30">
                  <c:v>-203.4</c:v>
                </c:pt>
                <c:pt idx="31">
                  <c:v>-252.9</c:v>
                </c:pt>
                <c:pt idx="32">
                  <c:v>-247.6</c:v>
                </c:pt>
                <c:pt idx="33">
                  <c:v>-229.9</c:v>
                </c:pt>
                <c:pt idx="34">
                  <c:v>-224.8</c:v>
                </c:pt>
                <c:pt idx="35">
                  <c:v>-248.3</c:v>
                </c:pt>
                <c:pt idx="36">
                  <c:v>-199.3</c:v>
                </c:pt>
                <c:pt idx="37">
                  <c:v>-243.3</c:v>
                </c:pt>
                <c:pt idx="38">
                  <c:v>-237.5</c:v>
                </c:pt>
                <c:pt idx="39">
                  <c:v>-238.6</c:v>
                </c:pt>
                <c:pt idx="40">
                  <c:v>-272.7</c:v>
                </c:pt>
                <c:pt idx="41">
                  <c:v>-312.09999999999997</c:v>
                </c:pt>
                <c:pt idx="42">
                  <c:v>-307.29999999999995</c:v>
                </c:pt>
                <c:pt idx="43">
                  <c:v>-278.79999999999995</c:v>
                </c:pt>
                <c:pt idx="44">
                  <c:v>-234.89999999999995</c:v>
                </c:pt>
                <c:pt idx="45">
                  <c:v>-250.29999999999995</c:v>
                </c:pt>
                <c:pt idx="46">
                  <c:v>-274.59999999999997</c:v>
                </c:pt>
                <c:pt idx="47">
                  <c:v>-259.59999999999997</c:v>
                </c:pt>
                <c:pt idx="48">
                  <c:v>-282.79999999999995</c:v>
                </c:pt>
                <c:pt idx="49">
                  <c:v>-276.99999999999994</c:v>
                </c:pt>
                <c:pt idx="50">
                  <c:v>-280.09999999999997</c:v>
                </c:pt>
                <c:pt idx="51">
                  <c:v>-262.59999999999997</c:v>
                </c:pt>
                <c:pt idx="52">
                  <c:v>-300.09999999999997</c:v>
                </c:pt>
                <c:pt idx="53">
                  <c:v>-327.49999999999994</c:v>
                </c:pt>
                <c:pt idx="54">
                  <c:v>-368.89999999999992</c:v>
                </c:pt>
                <c:pt idx="55">
                  <c:v>-354.2999999999999</c:v>
                </c:pt>
                <c:pt idx="56">
                  <c:v>-307.2999999999999</c:v>
                </c:pt>
                <c:pt idx="57">
                  <c:v>-303.49999999999989</c:v>
                </c:pt>
                <c:pt idx="58">
                  <c:v>-246.59999999999988</c:v>
                </c:pt>
                <c:pt idx="59">
                  <c:v>-198.09999999999988</c:v>
                </c:pt>
                <c:pt idx="60">
                  <c:v>-207.59999999999988</c:v>
                </c:pt>
                <c:pt idx="61">
                  <c:v>-204.89999999999989</c:v>
                </c:pt>
                <c:pt idx="62">
                  <c:v>-242.89999999999989</c:v>
                </c:pt>
                <c:pt idx="63">
                  <c:v>-281.99999999999989</c:v>
                </c:pt>
                <c:pt idx="64">
                  <c:v>-346.99999999999989</c:v>
                </c:pt>
                <c:pt idx="65">
                  <c:v>-370.09999999999991</c:v>
                </c:pt>
                <c:pt idx="66">
                  <c:v>-367.49999999999989</c:v>
                </c:pt>
                <c:pt idx="67">
                  <c:v>-360.19999999999987</c:v>
                </c:pt>
                <c:pt idx="68">
                  <c:v>-395.2999999999999</c:v>
                </c:pt>
                <c:pt idx="69">
                  <c:v>-400.49999999999989</c:v>
                </c:pt>
                <c:pt idx="70">
                  <c:v>-368.49999999999989</c:v>
                </c:pt>
                <c:pt idx="71">
                  <c:v>-363.2999999999999</c:v>
                </c:pt>
                <c:pt idx="72">
                  <c:v>-397.7999999999999</c:v>
                </c:pt>
                <c:pt idx="73">
                  <c:v>-382.59999999999991</c:v>
                </c:pt>
                <c:pt idx="74">
                  <c:v>-388.49999999999989</c:v>
                </c:pt>
                <c:pt idx="75">
                  <c:v>-407.69999999999987</c:v>
                </c:pt>
                <c:pt idx="76">
                  <c:v>-358.69999999999987</c:v>
                </c:pt>
                <c:pt idx="77">
                  <c:v>-369.7999999999999</c:v>
                </c:pt>
                <c:pt idx="78">
                  <c:v>-354.99999999999989</c:v>
                </c:pt>
                <c:pt idx="79">
                  <c:v>-372.99999999999989</c:v>
                </c:pt>
                <c:pt idx="80">
                  <c:v>-379.7999999999999</c:v>
                </c:pt>
                <c:pt idx="81">
                  <c:v>-368.99999999999989</c:v>
                </c:pt>
                <c:pt idx="82">
                  <c:v>-387.59999999999991</c:v>
                </c:pt>
                <c:pt idx="83">
                  <c:v>-386.39999999999992</c:v>
                </c:pt>
                <c:pt idx="84">
                  <c:v>-361.89999999999992</c:v>
                </c:pt>
                <c:pt idx="85">
                  <c:v>-398.89999999999992</c:v>
                </c:pt>
                <c:pt idx="86">
                  <c:v>-375.39999999999992</c:v>
                </c:pt>
                <c:pt idx="87">
                  <c:v>-350.69999999999993</c:v>
                </c:pt>
                <c:pt idx="88">
                  <c:v>-366.49999999999994</c:v>
                </c:pt>
                <c:pt idx="89">
                  <c:v>-398.29999999999995</c:v>
                </c:pt>
                <c:pt idx="90">
                  <c:v>-393.79999999999995</c:v>
                </c:pt>
                <c:pt idx="91">
                  <c:v>-383.29999999999995</c:v>
                </c:pt>
                <c:pt idx="92">
                  <c:v>-354.49999999999994</c:v>
                </c:pt>
                <c:pt idx="93">
                  <c:v>-389.99999999999994</c:v>
                </c:pt>
                <c:pt idx="94">
                  <c:v>-361.59999999999997</c:v>
                </c:pt>
                <c:pt idx="95">
                  <c:v>-388.4</c:v>
                </c:pt>
                <c:pt idx="96">
                  <c:v>-371</c:v>
                </c:pt>
                <c:pt idx="97">
                  <c:v>-383.5</c:v>
                </c:pt>
                <c:pt idx="98">
                  <c:v>-324</c:v>
                </c:pt>
                <c:pt idx="99">
                  <c:v>-352.5</c:v>
                </c:pt>
                <c:pt idx="100">
                  <c:v>-365.4</c:v>
                </c:pt>
                <c:pt idx="101">
                  <c:v>-363.7</c:v>
                </c:pt>
                <c:pt idx="102">
                  <c:v>-389.4</c:v>
                </c:pt>
                <c:pt idx="103">
                  <c:v>-413.9</c:v>
                </c:pt>
                <c:pt idx="104">
                  <c:v>-422.4</c:v>
                </c:pt>
                <c:pt idx="105">
                  <c:v>-411.59999999999997</c:v>
                </c:pt>
                <c:pt idx="106">
                  <c:v>-423.49999999999994</c:v>
                </c:pt>
                <c:pt idx="107">
                  <c:v>-418.59999999999997</c:v>
                </c:pt>
                <c:pt idx="108">
                  <c:v>-412.99999999999994</c:v>
                </c:pt>
                <c:pt idx="109">
                  <c:v>-448.89999999999992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CE-4E35-8A1F-307B84EA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-485.98130841121497</c:v>
                </c:pt>
                <c:pt idx="1">
                  <c:v>-1833.9805825242718</c:v>
                </c:pt>
                <c:pt idx="2">
                  <c:v>2561</c:v>
                </c:pt>
                <c:pt idx="3">
                  <c:v>-1471.9101123595506</c:v>
                </c:pt>
                <c:pt idx="4">
                  <c:v>-3098.6486486486488</c:v>
                </c:pt>
                <c:pt idx="5">
                  <c:v>-2686.2068965517242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12-4037-A166-BDFF14241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いっしー!$K$2:$K$56</c:f>
              <c:numCache>
                <c:formatCode>\+0;\-0;\±0</c:formatCode>
                <c:ptCount val="55"/>
                <c:pt idx="0">
                  <c:v>0</c:v>
                </c:pt>
                <c:pt idx="1">
                  <c:v>-38.9</c:v>
                </c:pt>
                <c:pt idx="2">
                  <c:v>-13.2</c:v>
                </c:pt>
                <c:pt idx="3">
                  <c:v>-56.7</c:v>
                </c:pt>
                <c:pt idx="4">
                  <c:v>-52.7</c:v>
                </c:pt>
                <c:pt idx="5">
                  <c:v>-44.7</c:v>
                </c:pt>
                <c:pt idx="6">
                  <c:v>-49.6</c:v>
                </c:pt>
                <c:pt idx="7">
                  <c:v>-46.6</c:v>
                </c:pt>
                <c:pt idx="8">
                  <c:v>-58.1</c:v>
                </c:pt>
                <c:pt idx="9">
                  <c:v>-76.900000000000006</c:v>
                </c:pt>
                <c:pt idx="10">
                  <c:v>-77.900000000000006</c:v>
                </c:pt>
                <c:pt idx="11">
                  <c:v>-87.9</c:v>
                </c:pt>
                <c:pt idx="12">
                  <c:v>-23.5</c:v>
                </c:pt>
                <c:pt idx="13">
                  <c:v>-12.4</c:v>
                </c:pt>
                <c:pt idx="14">
                  <c:v>37.6</c:v>
                </c:pt>
                <c:pt idx="15">
                  <c:v>53.8</c:v>
                </c:pt>
                <c:pt idx="16">
                  <c:v>39.299999999999997</c:v>
                </c:pt>
                <c:pt idx="17">
                  <c:v>14.799999999999997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6.4999999999999964</c:v>
                </c:pt>
                <c:pt idx="21">
                  <c:v>67.8</c:v>
                </c:pt>
                <c:pt idx="22">
                  <c:v>76.399999999999991</c:v>
                </c:pt>
                <c:pt idx="23">
                  <c:v>90.199999999999989</c:v>
                </c:pt>
                <c:pt idx="24">
                  <c:v>47.29999999999999</c:v>
                </c:pt>
                <c:pt idx="25">
                  <c:v>55.79999999999999</c:v>
                </c:pt>
                <c:pt idx="26">
                  <c:v>137.79999999999998</c:v>
                </c:pt>
                <c:pt idx="27">
                  <c:v>157.79999999999998</c:v>
                </c:pt>
                <c:pt idx="28">
                  <c:v>168.7</c:v>
                </c:pt>
                <c:pt idx="29">
                  <c:v>198</c:v>
                </c:pt>
                <c:pt idx="30">
                  <c:v>191.5</c:v>
                </c:pt>
                <c:pt idx="31">
                  <c:v>180.9</c:v>
                </c:pt>
                <c:pt idx="32">
                  <c:v>198.4</c:v>
                </c:pt>
                <c:pt idx="33">
                  <c:v>238.4</c:v>
                </c:pt>
                <c:pt idx="34">
                  <c:v>227.9</c:v>
                </c:pt>
                <c:pt idx="35">
                  <c:v>182.9</c:v>
                </c:pt>
                <c:pt idx="36">
                  <c:v>229</c:v>
                </c:pt>
                <c:pt idx="37">
                  <c:v>243.8</c:v>
                </c:pt>
                <c:pt idx="38">
                  <c:v>226.60000000000002</c:v>
                </c:pt>
                <c:pt idx="39">
                  <c:v>227.00000000000003</c:v>
                </c:pt>
                <c:pt idx="40">
                  <c:v>230.10000000000002</c:v>
                </c:pt>
                <c:pt idx="41">
                  <c:v>228.10000000000002</c:v>
                </c:pt>
                <c:pt idx="42">
                  <c:v>248.3</c:v>
                </c:pt>
                <c:pt idx="43">
                  <c:v>280.10000000000002</c:v>
                </c:pt>
                <c:pt idx="44">
                  <c:v>272.3</c:v>
                </c:pt>
                <c:pt idx="45">
                  <c:v>242.10000000000002</c:v>
                </c:pt>
                <c:pt idx="46">
                  <c:v>207.60000000000002</c:v>
                </c:pt>
                <c:pt idx="47">
                  <c:v>187.90000000000003</c:v>
                </c:pt>
                <c:pt idx="48">
                  <c:v>208.70000000000005</c:v>
                </c:pt>
                <c:pt idx="49">
                  <c:v>205.90000000000003</c:v>
                </c:pt>
                <c:pt idx="50">
                  <c:v>205.90000000000003</c:v>
                </c:pt>
                <c:pt idx="51">
                  <c:v>283.60000000000002</c:v>
                </c:pt>
                <c:pt idx="52">
                  <c:v>309.10000000000002</c:v>
                </c:pt>
                <c:pt idx="53">
                  <c:v>259.60000000000002</c:v>
                </c:pt>
                <c:pt idx="54">
                  <c:v>244.50000000000003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0D-4951-B974-879C2AE77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1A-4805-B98F-DC07612D0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-80.7</c:v>
                </c:pt>
                <c:pt idx="3">
                  <c:v>-87.9</c:v>
                </c:pt>
                <c:pt idx="4">
                  <c:v>-107.2</c:v>
                </c:pt>
                <c:pt idx="5">
                  <c:v>-85.4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A5-4616-958B-F15496518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A8-44DC-82E2-3321F9132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たかの!$K$2:$K$54</c:f>
              <c:numCache>
                <c:formatCode>\+0;\-0;\±0</c:formatCode>
                <c:ptCount val="53"/>
                <c:pt idx="0">
                  <c:v>0</c:v>
                </c:pt>
                <c:pt idx="1">
                  <c:v>67.2</c:v>
                </c:pt>
                <c:pt idx="2">
                  <c:v>58.5</c:v>
                </c:pt>
                <c:pt idx="3">
                  <c:v>81.099999999999994</c:v>
                </c:pt>
                <c:pt idx="4">
                  <c:v>56.699999999999996</c:v>
                </c:pt>
                <c:pt idx="5">
                  <c:v>121.69999999999999</c:v>
                </c:pt>
                <c:pt idx="6">
                  <c:v>123.19999999999999</c:v>
                </c:pt>
                <c:pt idx="7">
                  <c:v>125.99999999999999</c:v>
                </c:pt>
                <c:pt idx="8">
                  <c:v>94.499999999999986</c:v>
                </c:pt>
                <c:pt idx="9">
                  <c:v>81.799999999999983</c:v>
                </c:pt>
                <c:pt idx="10">
                  <c:v>108.49999999999999</c:v>
                </c:pt>
                <c:pt idx="11">
                  <c:v>135.19999999999999</c:v>
                </c:pt>
                <c:pt idx="12">
                  <c:v>97.299999999999983</c:v>
                </c:pt>
                <c:pt idx="13">
                  <c:v>60.299999999999983</c:v>
                </c:pt>
                <c:pt idx="14">
                  <c:v>39.999999999999986</c:v>
                </c:pt>
                <c:pt idx="15">
                  <c:v>31.499999999999986</c:v>
                </c:pt>
                <c:pt idx="16">
                  <c:v>-6.0000000000000142</c:v>
                </c:pt>
                <c:pt idx="17">
                  <c:v>-16.600000000000016</c:v>
                </c:pt>
                <c:pt idx="18">
                  <c:v>-16.300000000000015</c:v>
                </c:pt>
                <c:pt idx="19">
                  <c:v>-1.6000000000000156</c:v>
                </c:pt>
                <c:pt idx="20">
                  <c:v>45.399999999999984</c:v>
                </c:pt>
                <c:pt idx="21">
                  <c:v>4.5999999999999872</c:v>
                </c:pt>
                <c:pt idx="22">
                  <c:v>-0.90000000000001279</c:v>
                </c:pt>
                <c:pt idx="23">
                  <c:v>22.999999999999986</c:v>
                </c:pt>
                <c:pt idx="24">
                  <c:v>10.099999999999985</c:v>
                </c:pt>
                <c:pt idx="25">
                  <c:v>1.7999999999999847</c:v>
                </c:pt>
                <c:pt idx="26">
                  <c:v>-8.2000000000000153</c:v>
                </c:pt>
                <c:pt idx="27">
                  <c:v>-30.100000000000016</c:v>
                </c:pt>
                <c:pt idx="28">
                  <c:v>-24.000000000000014</c:v>
                </c:pt>
                <c:pt idx="29">
                  <c:v>-23.400000000000013</c:v>
                </c:pt>
                <c:pt idx="30">
                  <c:v>15.79999999999999</c:v>
                </c:pt>
                <c:pt idx="31">
                  <c:v>-18.900000000000013</c:v>
                </c:pt>
                <c:pt idx="32">
                  <c:v>-33.900000000000013</c:v>
                </c:pt>
                <c:pt idx="33">
                  <c:v>-39.70000000000001</c:v>
                </c:pt>
                <c:pt idx="34">
                  <c:v>-90.600000000000009</c:v>
                </c:pt>
                <c:pt idx="35">
                  <c:v>-102.60000000000001</c:v>
                </c:pt>
                <c:pt idx="36">
                  <c:v>-70.200000000000017</c:v>
                </c:pt>
                <c:pt idx="37">
                  <c:v>-75.800000000000011</c:v>
                </c:pt>
                <c:pt idx="38">
                  <c:v>-101.80000000000001</c:v>
                </c:pt>
                <c:pt idx="39">
                  <c:v>-96.600000000000009</c:v>
                </c:pt>
                <c:pt idx="40">
                  <c:v>-104.30000000000001</c:v>
                </c:pt>
                <c:pt idx="41">
                  <c:v>-119.30000000000001</c:v>
                </c:pt>
                <c:pt idx="42">
                  <c:v>-168.9</c:v>
                </c:pt>
                <c:pt idx="43">
                  <c:v>-164.1</c:v>
                </c:pt>
                <c:pt idx="44">
                  <c:v>-208.6</c:v>
                </c:pt>
                <c:pt idx="45">
                  <c:v>-209.7</c:v>
                </c:pt>
                <c:pt idx="46">
                  <c:v>-245.89999999999998</c:v>
                </c:pt>
                <c:pt idx="47">
                  <c:v>-286.2</c:v>
                </c:pt>
                <c:pt idx="48">
                  <c:v>-289.39999999999998</c:v>
                </c:pt>
                <c:pt idx="49">
                  <c:v>-348.7</c:v>
                </c:pt>
                <c:pt idx="50">
                  <c:v>-363.59999999999997</c:v>
                </c:pt>
                <c:pt idx="51">
                  <c:v>-358.59999999999997</c:v>
                </c:pt>
                <c:pt idx="52">
                  <c:v>-378.59999999999997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65-4B94-87C1-C185CF153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7A-42D3-A67B-EA0D70E7A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ただ!$K$2:$K$71</c:f>
              <c:numCache>
                <c:formatCode>\+0;\-0;\±0</c:formatCode>
                <c:ptCount val="70"/>
                <c:pt idx="0">
                  <c:v>0</c:v>
                </c:pt>
                <c:pt idx="1">
                  <c:v>-35.700000000000003</c:v>
                </c:pt>
                <c:pt idx="2">
                  <c:v>-44.300000000000004</c:v>
                </c:pt>
                <c:pt idx="3">
                  <c:v>-79.7</c:v>
                </c:pt>
                <c:pt idx="4">
                  <c:v>-111.30000000000001</c:v>
                </c:pt>
                <c:pt idx="5">
                  <c:v>-133.30000000000001</c:v>
                </c:pt>
                <c:pt idx="6">
                  <c:v>-98.800000000000011</c:v>
                </c:pt>
                <c:pt idx="7">
                  <c:v>-103.20000000000002</c:v>
                </c:pt>
                <c:pt idx="8">
                  <c:v>-50.300000000000018</c:v>
                </c:pt>
                <c:pt idx="9">
                  <c:v>-51.500000000000021</c:v>
                </c:pt>
                <c:pt idx="10">
                  <c:v>-69.800000000000026</c:v>
                </c:pt>
                <c:pt idx="11">
                  <c:v>-88.100000000000023</c:v>
                </c:pt>
                <c:pt idx="12">
                  <c:v>-85.100000000000023</c:v>
                </c:pt>
                <c:pt idx="13">
                  <c:v>-70.600000000000023</c:v>
                </c:pt>
                <c:pt idx="14">
                  <c:v>-60.500000000000021</c:v>
                </c:pt>
                <c:pt idx="15">
                  <c:v>-67.700000000000017</c:v>
                </c:pt>
                <c:pt idx="16">
                  <c:v>5.5999999999999801</c:v>
                </c:pt>
                <c:pt idx="17">
                  <c:v>39.59999999999998</c:v>
                </c:pt>
                <c:pt idx="18">
                  <c:v>39.299999999999983</c:v>
                </c:pt>
                <c:pt idx="19">
                  <c:v>102.29999999999998</c:v>
                </c:pt>
                <c:pt idx="20">
                  <c:v>105.39999999999998</c:v>
                </c:pt>
                <c:pt idx="21">
                  <c:v>105.59999999999998</c:v>
                </c:pt>
                <c:pt idx="22">
                  <c:v>108.39999999999998</c:v>
                </c:pt>
                <c:pt idx="23">
                  <c:v>151.99999999999997</c:v>
                </c:pt>
                <c:pt idx="24">
                  <c:v>150.59999999999997</c:v>
                </c:pt>
                <c:pt idx="25">
                  <c:v>111.89999999999996</c:v>
                </c:pt>
                <c:pt idx="26">
                  <c:v>97.099999999999966</c:v>
                </c:pt>
                <c:pt idx="27">
                  <c:v>107.39999999999996</c:v>
                </c:pt>
                <c:pt idx="28">
                  <c:v>64.399999999999963</c:v>
                </c:pt>
                <c:pt idx="29">
                  <c:v>24.399999999999963</c:v>
                </c:pt>
                <c:pt idx="30">
                  <c:v>13.599999999999962</c:v>
                </c:pt>
                <c:pt idx="31">
                  <c:v>28.19999999999996</c:v>
                </c:pt>
                <c:pt idx="32">
                  <c:v>-14.200000000000038</c:v>
                </c:pt>
                <c:pt idx="33">
                  <c:v>-13.500000000000039</c:v>
                </c:pt>
                <c:pt idx="34">
                  <c:v>-2.3000000000000398</c:v>
                </c:pt>
                <c:pt idx="35">
                  <c:v>-38.600000000000037</c:v>
                </c:pt>
                <c:pt idx="36">
                  <c:v>9.3999999999999631</c:v>
                </c:pt>
                <c:pt idx="37">
                  <c:v>-3.4000000000000377</c:v>
                </c:pt>
                <c:pt idx="38">
                  <c:v>36.599999999999966</c:v>
                </c:pt>
                <c:pt idx="39">
                  <c:v>33.199999999999967</c:v>
                </c:pt>
                <c:pt idx="40">
                  <c:v>103.79999999999995</c:v>
                </c:pt>
                <c:pt idx="41">
                  <c:v>134.29999999999995</c:v>
                </c:pt>
                <c:pt idx="42">
                  <c:v>168.69999999999996</c:v>
                </c:pt>
                <c:pt idx="43">
                  <c:v>179.19999999999996</c:v>
                </c:pt>
                <c:pt idx="44">
                  <c:v>188.29999999999995</c:v>
                </c:pt>
                <c:pt idx="45">
                  <c:v>140.89999999999995</c:v>
                </c:pt>
                <c:pt idx="46">
                  <c:v>184.79999999999995</c:v>
                </c:pt>
                <c:pt idx="47">
                  <c:v>194.69999999999996</c:v>
                </c:pt>
                <c:pt idx="48">
                  <c:v>175.69999999999996</c:v>
                </c:pt>
                <c:pt idx="49">
                  <c:v>170.79999999999995</c:v>
                </c:pt>
                <c:pt idx="50">
                  <c:v>187.59999999999997</c:v>
                </c:pt>
                <c:pt idx="51">
                  <c:v>162.19999999999996</c:v>
                </c:pt>
                <c:pt idx="52">
                  <c:v>171.69999999999996</c:v>
                </c:pt>
                <c:pt idx="53">
                  <c:v>171.29999999999995</c:v>
                </c:pt>
                <c:pt idx="54">
                  <c:v>188.39999999999995</c:v>
                </c:pt>
                <c:pt idx="55">
                  <c:v>210.19999999999996</c:v>
                </c:pt>
                <c:pt idx="56">
                  <c:v>198.39999999999995</c:v>
                </c:pt>
                <c:pt idx="57">
                  <c:v>233.39999999999995</c:v>
                </c:pt>
                <c:pt idx="58">
                  <c:v>185.29999999999995</c:v>
                </c:pt>
                <c:pt idx="59">
                  <c:v>182.69999999999996</c:v>
                </c:pt>
                <c:pt idx="60">
                  <c:v>194.19999999999996</c:v>
                </c:pt>
                <c:pt idx="61">
                  <c:v>206.49999999999997</c:v>
                </c:pt>
                <c:pt idx="62">
                  <c:v>207.39999999999998</c:v>
                </c:pt>
                <c:pt idx="63">
                  <c:v>203.59999999999997</c:v>
                </c:pt>
                <c:pt idx="64">
                  <c:v>191.69999999999996</c:v>
                </c:pt>
                <c:pt idx="65">
                  <c:v>175.19999999999996</c:v>
                </c:pt>
                <c:pt idx="66">
                  <c:v>181.49999999999997</c:v>
                </c:pt>
                <c:pt idx="67">
                  <c:v>177.89999999999998</c:v>
                </c:pt>
                <c:pt idx="68">
                  <c:v>191.99999999999997</c:v>
                </c:pt>
                <c:pt idx="69">
                  <c:v>154.49999999999997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28-4F71-820F-E426F8594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2820.8955223880598</c:v>
                </c:pt>
                <c:pt idx="1">
                  <c:v>214.28571428571428</c:v>
                </c:pt>
                <c:pt idx="2">
                  <c:v>477.58620689655174</c:v>
                </c:pt>
                <c:pt idx="3">
                  <c:v>-1627.2727272727273</c:v>
                </c:pt>
                <c:pt idx="4">
                  <c:v>211.11111111111111</c:v>
                </c:pt>
                <c:pt idx="5">
                  <c:v>-805.12820512820508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6-4F48-BB11-2DEF5EA1E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やがさき!$K$2:$K$21</c:f>
              <c:numCache>
                <c:formatCode>\+0;\-0;\±0</c:formatCode>
                <c:ptCount val="20"/>
                <c:pt idx="0">
                  <c:v>0</c:v>
                </c:pt>
                <c:pt idx="1">
                  <c:v>-14.4</c:v>
                </c:pt>
                <c:pt idx="2">
                  <c:v>36.6</c:v>
                </c:pt>
                <c:pt idx="3">
                  <c:v>-2.7999999999999972</c:v>
                </c:pt>
                <c:pt idx="4">
                  <c:v>-43.3</c:v>
                </c:pt>
                <c:pt idx="5">
                  <c:v>8.2000000000000028</c:v>
                </c:pt>
                <c:pt idx="6">
                  <c:v>22.200000000000003</c:v>
                </c:pt>
                <c:pt idx="7">
                  <c:v>38</c:v>
                </c:pt>
                <c:pt idx="8">
                  <c:v>3.2000000000000028</c:v>
                </c:pt>
                <c:pt idx="9">
                  <c:v>5.8000000000000025</c:v>
                </c:pt>
                <c:pt idx="10">
                  <c:v>54.800000000000004</c:v>
                </c:pt>
                <c:pt idx="11">
                  <c:v>66.300000000000011</c:v>
                </c:pt>
                <c:pt idx="12">
                  <c:v>77.800000000000011</c:v>
                </c:pt>
                <c:pt idx="13">
                  <c:v>151.10000000000002</c:v>
                </c:pt>
                <c:pt idx="14">
                  <c:v>144.10000000000002</c:v>
                </c:pt>
                <c:pt idx="15">
                  <c:v>145.80000000000001</c:v>
                </c:pt>
                <c:pt idx="16">
                  <c:v>149.30000000000001</c:v>
                </c:pt>
                <c:pt idx="17">
                  <c:v>174.10000000000002</c:v>
                </c:pt>
                <c:pt idx="18">
                  <c:v>152.00000000000003</c:v>
                </c:pt>
                <c:pt idx="19">
                  <c:v>140.60000000000002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9F-42F7-8DC1-8F3220999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1878.9473684210527</c:v>
                </c:pt>
                <c:pt idx="1">
                  <c:v>6941.1764705882351</c:v>
                </c:pt>
                <c:pt idx="2">
                  <c:v>-1892.8571428571429</c:v>
                </c:pt>
                <c:pt idx="3">
                  <c:v>1964.2857142857142</c:v>
                </c:pt>
                <c:pt idx="4">
                  <c:v>-483.33333333333331</c:v>
                </c:pt>
                <c:pt idx="5">
                  <c:v>-530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8E-45C5-A711-CC19288E6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れんたろう!$K$2:$K$67</c:f>
              <c:numCache>
                <c:formatCode>\+0;\-0;\±0</c:formatCode>
                <c:ptCount val="66"/>
                <c:pt idx="0">
                  <c:v>0</c:v>
                </c:pt>
                <c:pt idx="1">
                  <c:v>3.9</c:v>
                </c:pt>
                <c:pt idx="2">
                  <c:v>-32.9</c:v>
                </c:pt>
                <c:pt idx="3">
                  <c:v>-68.099999999999994</c:v>
                </c:pt>
                <c:pt idx="4">
                  <c:v>-34.099999999999994</c:v>
                </c:pt>
                <c:pt idx="5">
                  <c:v>-78.099999999999994</c:v>
                </c:pt>
                <c:pt idx="6">
                  <c:v>-113.1</c:v>
                </c:pt>
                <c:pt idx="7">
                  <c:v>-143.4</c:v>
                </c:pt>
                <c:pt idx="8">
                  <c:v>-142</c:v>
                </c:pt>
                <c:pt idx="9">
                  <c:v>-168</c:v>
                </c:pt>
                <c:pt idx="10">
                  <c:v>-200.1</c:v>
                </c:pt>
                <c:pt idx="11">
                  <c:v>-169</c:v>
                </c:pt>
                <c:pt idx="12">
                  <c:v>-191</c:v>
                </c:pt>
                <c:pt idx="13">
                  <c:v>-228</c:v>
                </c:pt>
                <c:pt idx="14">
                  <c:v>-224</c:v>
                </c:pt>
                <c:pt idx="15">
                  <c:v>-205.5</c:v>
                </c:pt>
                <c:pt idx="16">
                  <c:v>-225.2</c:v>
                </c:pt>
                <c:pt idx="17">
                  <c:v>-259.7</c:v>
                </c:pt>
                <c:pt idx="18">
                  <c:v>-285.8</c:v>
                </c:pt>
                <c:pt idx="19">
                  <c:v>-264.2</c:v>
                </c:pt>
                <c:pt idx="20">
                  <c:v>-261</c:v>
                </c:pt>
                <c:pt idx="21">
                  <c:v>-234</c:v>
                </c:pt>
                <c:pt idx="22">
                  <c:v>-195.9</c:v>
                </c:pt>
                <c:pt idx="23">
                  <c:v>-193.9</c:v>
                </c:pt>
                <c:pt idx="24">
                  <c:v>-162.19999999999999</c:v>
                </c:pt>
                <c:pt idx="25">
                  <c:v>-209.89999999999998</c:v>
                </c:pt>
                <c:pt idx="26">
                  <c:v>-248.29999999999998</c:v>
                </c:pt>
                <c:pt idx="27">
                  <c:v>-287.29999999999995</c:v>
                </c:pt>
                <c:pt idx="28">
                  <c:v>-282.19999999999993</c:v>
                </c:pt>
                <c:pt idx="29">
                  <c:v>-232.19999999999993</c:v>
                </c:pt>
                <c:pt idx="30">
                  <c:v>-249.29999999999993</c:v>
                </c:pt>
                <c:pt idx="31">
                  <c:v>-257.39999999999992</c:v>
                </c:pt>
                <c:pt idx="32">
                  <c:v>-275.89999999999992</c:v>
                </c:pt>
                <c:pt idx="33">
                  <c:v>-283.2999999999999</c:v>
                </c:pt>
                <c:pt idx="34">
                  <c:v>-292.69999999999987</c:v>
                </c:pt>
                <c:pt idx="35">
                  <c:v>-329.69999999999987</c:v>
                </c:pt>
                <c:pt idx="36">
                  <c:v>-319.09999999999985</c:v>
                </c:pt>
                <c:pt idx="37">
                  <c:v>-361.59999999999985</c:v>
                </c:pt>
                <c:pt idx="38">
                  <c:v>-369.09999999999985</c:v>
                </c:pt>
                <c:pt idx="39">
                  <c:v>-350.49999999999983</c:v>
                </c:pt>
                <c:pt idx="40">
                  <c:v>-367.59999999999985</c:v>
                </c:pt>
                <c:pt idx="41">
                  <c:v>-355.59999999999985</c:v>
                </c:pt>
                <c:pt idx="42">
                  <c:v>-356.09999999999985</c:v>
                </c:pt>
                <c:pt idx="43">
                  <c:v>-315.09999999999985</c:v>
                </c:pt>
                <c:pt idx="44">
                  <c:v>-320.89999999999986</c:v>
                </c:pt>
                <c:pt idx="45">
                  <c:v>-319.19999999999987</c:v>
                </c:pt>
                <c:pt idx="46">
                  <c:v>-352.39999999999986</c:v>
                </c:pt>
                <c:pt idx="47">
                  <c:v>-341.39999999999986</c:v>
                </c:pt>
                <c:pt idx="48">
                  <c:v>-349.19999999999987</c:v>
                </c:pt>
                <c:pt idx="49">
                  <c:v>-354.49999999999989</c:v>
                </c:pt>
                <c:pt idx="50">
                  <c:v>-388.99999999999989</c:v>
                </c:pt>
                <c:pt idx="51">
                  <c:v>-398.99999999999989</c:v>
                </c:pt>
                <c:pt idx="52">
                  <c:v>-414.39999999999986</c:v>
                </c:pt>
                <c:pt idx="53">
                  <c:v>-388.89999999999986</c:v>
                </c:pt>
                <c:pt idx="54">
                  <c:v>-399.19999999999987</c:v>
                </c:pt>
                <c:pt idx="55">
                  <c:v>-408.49999999999989</c:v>
                </c:pt>
                <c:pt idx="56">
                  <c:v>-384.39999999999986</c:v>
                </c:pt>
                <c:pt idx="57">
                  <c:v>-416.89999999999986</c:v>
                </c:pt>
                <c:pt idx="58">
                  <c:v>-453.39999999999986</c:v>
                </c:pt>
                <c:pt idx="59">
                  <c:v>-461.79999999999984</c:v>
                </c:pt>
                <c:pt idx="60">
                  <c:v>-461.29999999999984</c:v>
                </c:pt>
                <c:pt idx="61">
                  <c:v>-472.39999999999986</c:v>
                </c:pt>
                <c:pt idx="62">
                  <c:v>-477.59999999999985</c:v>
                </c:pt>
                <c:pt idx="63">
                  <c:v>-402.09999999999985</c:v>
                </c:pt>
                <c:pt idx="64">
                  <c:v>-436.89999999999986</c:v>
                </c:pt>
                <c:pt idx="65">
                  <c:v>-439.09999999999985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97-4FEA-B33B-6F4873AA3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-1462.295081967213</c:v>
                </c:pt>
                <c:pt idx="1">
                  <c:v>-1288.5245901639344</c:v>
                </c:pt>
                <c:pt idx="2">
                  <c:v>-3039.655172413793</c:v>
                </c:pt>
                <c:pt idx="3">
                  <c:v>-975.92592592592598</c:v>
                </c:pt>
                <c:pt idx="4">
                  <c:v>-1385.7142857142858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B0-400F-882A-97F277261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27.3</c:v>
                </c:pt>
                <c:pt idx="2">
                  <c:v>69.3</c:v>
                </c:pt>
                <c:pt idx="3">
                  <c:v>56.3</c:v>
                </c:pt>
                <c:pt idx="4">
                  <c:v>63.5</c:v>
                </c:pt>
                <c:pt idx="5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3A-49AC-B899-910272ED0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1A-4FCF-8D66-BE7D93237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まっつん!$K$2:$K$21</c:f>
              <c:numCache>
                <c:formatCode>\+0;\-0;\±0</c:formatCode>
                <c:ptCount val="20"/>
                <c:pt idx="0">
                  <c:v>0</c:v>
                </c:pt>
                <c:pt idx="1">
                  <c:v>15</c:v>
                </c:pt>
                <c:pt idx="2">
                  <c:v>-23.299999999999997</c:v>
                </c:pt>
                <c:pt idx="3">
                  <c:v>-14.599999999999998</c:v>
                </c:pt>
                <c:pt idx="4">
                  <c:v>6.1000000000000014</c:v>
                </c:pt>
                <c:pt idx="5">
                  <c:v>10.600000000000001</c:v>
                </c:pt>
                <c:pt idx="6">
                  <c:v>4.2000000000000011</c:v>
                </c:pt>
                <c:pt idx="7">
                  <c:v>28.200000000000003</c:v>
                </c:pt>
                <c:pt idx="8">
                  <c:v>-2.4999999999999964</c:v>
                </c:pt>
                <c:pt idx="9">
                  <c:v>-7.3999999999999968</c:v>
                </c:pt>
                <c:pt idx="10">
                  <c:v>-21.299999999999997</c:v>
                </c:pt>
                <c:pt idx="11">
                  <c:v>-66</c:v>
                </c:pt>
                <c:pt idx="12">
                  <c:v>-40.799999999999997</c:v>
                </c:pt>
                <c:pt idx="13">
                  <c:v>-9.0999999999999943</c:v>
                </c:pt>
                <c:pt idx="14">
                  <c:v>-4.7999999999999945</c:v>
                </c:pt>
                <c:pt idx="15">
                  <c:v>-42.199999999999996</c:v>
                </c:pt>
                <c:pt idx="16">
                  <c:v>-24.599999999999994</c:v>
                </c:pt>
                <c:pt idx="17">
                  <c:v>-37.799999999999997</c:v>
                </c:pt>
                <c:pt idx="18">
                  <c:v>-57.4</c:v>
                </c:pt>
                <c:pt idx="19">
                  <c:v>-57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8-45A7-958E-C47E8F04E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-4400</c:v>
                </c:pt>
                <c:pt idx="1">
                  <c:v>3484.2105263157896</c:v>
                </c:pt>
                <c:pt idx="2">
                  <c:v>125</c:v>
                </c:pt>
                <c:pt idx="3">
                  <c:v>300</c:v>
                </c:pt>
                <c:pt idx="4">
                  <c:v>-1935.7142857142858</c:v>
                </c:pt>
                <c:pt idx="5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0D-46DB-AE79-AFFAAEFFA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K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32" width="10.75" style="1" customWidth="1"/>
    <col min="33" max="33" width="10.75" style="16" customWidth="1"/>
    <col min="34" max="34" width="10.75" style="1" customWidth="1"/>
    <col min="35" max="35" width="10.75" style="74" customWidth="1"/>
    <col min="36" max="36" width="10.75" style="1" customWidth="1"/>
    <col min="37" max="37" width="10.75" style="78" customWidth="1"/>
    <col min="38" max="16384" width="9" style="4"/>
  </cols>
  <sheetData>
    <row r="1" spans="1:37" x14ac:dyDescent="0.4">
      <c r="A1" s="14" t="s">
        <v>227</v>
      </c>
      <c r="B1" s="81" t="s">
        <v>6</v>
      </c>
      <c r="C1" s="82"/>
      <c r="D1" s="81" t="s">
        <v>7</v>
      </c>
      <c r="E1" s="82"/>
      <c r="F1" s="81" t="s">
        <v>16</v>
      </c>
      <c r="G1" s="82"/>
      <c r="H1" s="81" t="s">
        <v>15</v>
      </c>
      <c r="I1" s="82"/>
      <c r="J1" s="81" t="s">
        <v>17</v>
      </c>
      <c r="K1" s="82"/>
      <c r="L1" s="81" t="s">
        <v>18</v>
      </c>
      <c r="M1" s="82"/>
      <c r="N1" s="81" t="s">
        <v>5</v>
      </c>
      <c r="O1" s="82"/>
      <c r="P1" s="81" t="s">
        <v>19</v>
      </c>
      <c r="Q1" s="82"/>
      <c r="R1" s="81" t="s">
        <v>20</v>
      </c>
      <c r="S1" s="82"/>
      <c r="T1" s="81" t="s">
        <v>192</v>
      </c>
      <c r="U1" s="82"/>
      <c r="V1" s="81" t="s">
        <v>131</v>
      </c>
      <c r="W1" s="82"/>
      <c r="X1" s="81" t="s">
        <v>126</v>
      </c>
      <c r="Y1" s="82"/>
      <c r="Z1" s="81" t="s">
        <v>134</v>
      </c>
      <c r="AA1" s="82"/>
      <c r="AB1" s="81" t="s">
        <v>135</v>
      </c>
      <c r="AC1" s="82"/>
      <c r="AD1" s="81" t="s">
        <v>218</v>
      </c>
      <c r="AE1" s="82"/>
      <c r="AF1" s="81" t="s">
        <v>180</v>
      </c>
      <c r="AG1" s="82"/>
      <c r="AH1" s="81" t="s">
        <v>197</v>
      </c>
      <c r="AI1" s="82"/>
      <c r="AJ1" s="81" t="s">
        <v>198</v>
      </c>
      <c r="AK1" s="82"/>
    </row>
    <row r="2" spans="1:37" x14ac:dyDescent="0.4">
      <c r="A2" s="8">
        <v>1</v>
      </c>
      <c r="B2" s="9" t="s">
        <v>137</v>
      </c>
      <c r="C2" s="11">
        <v>931.00000000000011</v>
      </c>
      <c r="D2" s="10" t="s">
        <v>194</v>
      </c>
      <c r="E2" s="11">
        <v>17.399999999999999</v>
      </c>
      <c r="F2" s="10" t="s">
        <v>194</v>
      </c>
      <c r="G2" s="12">
        <v>1.6</v>
      </c>
      <c r="H2" s="10" t="s">
        <v>194</v>
      </c>
      <c r="I2" s="17">
        <v>0.6</v>
      </c>
      <c r="J2" s="10" t="s">
        <v>194</v>
      </c>
      <c r="K2" s="15">
        <v>0.39130434782608697</v>
      </c>
      <c r="L2" s="10" t="s">
        <v>194</v>
      </c>
      <c r="M2" s="15">
        <v>6.5217391304347824E-2</v>
      </c>
      <c r="N2" s="10" t="s">
        <v>156</v>
      </c>
      <c r="O2" s="13">
        <v>11364.583333333334</v>
      </c>
      <c r="P2" s="10" t="s">
        <v>194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0.21052631578947367</v>
      </c>
      <c r="V2" s="10" t="s">
        <v>139</v>
      </c>
      <c r="W2" s="15">
        <v>0.45454545454545453</v>
      </c>
      <c r="X2" s="10" t="s">
        <v>195</v>
      </c>
      <c r="Y2" s="15">
        <v>0.38410596026490068</v>
      </c>
      <c r="Z2" s="10" t="s">
        <v>145</v>
      </c>
      <c r="AA2" s="15">
        <v>0.75</v>
      </c>
      <c r="AB2" s="10" t="s">
        <v>194</v>
      </c>
      <c r="AC2" s="15">
        <v>0.5</v>
      </c>
      <c r="AD2" s="10" t="s">
        <v>138</v>
      </c>
      <c r="AE2" s="15">
        <v>1</v>
      </c>
      <c r="AF2" s="10" t="s">
        <v>194</v>
      </c>
      <c r="AG2" s="15">
        <v>0.46666666666666667</v>
      </c>
      <c r="AH2" s="10" t="s">
        <v>225</v>
      </c>
      <c r="AI2" s="73">
        <v>10</v>
      </c>
      <c r="AJ2" s="10" t="s">
        <v>225</v>
      </c>
      <c r="AK2" s="77">
        <v>17</v>
      </c>
    </row>
    <row r="3" spans="1:37" x14ac:dyDescent="0.4">
      <c r="A3" s="7">
        <v>2</v>
      </c>
      <c r="B3" s="6" t="s">
        <v>142</v>
      </c>
      <c r="C3" s="3">
        <v>244.50000000000003</v>
      </c>
      <c r="D3" s="1" t="s">
        <v>156</v>
      </c>
      <c r="E3" s="3">
        <v>7.4000000000000012</v>
      </c>
      <c r="F3" s="1" t="s">
        <v>137</v>
      </c>
      <c r="G3" s="5">
        <v>1.8047337278106508</v>
      </c>
      <c r="H3" s="1" t="s">
        <v>137</v>
      </c>
      <c r="I3" s="18">
        <v>0.42603550295857989</v>
      </c>
      <c r="J3" s="1" t="s">
        <v>142</v>
      </c>
      <c r="K3" s="16">
        <v>0.35584415584415585</v>
      </c>
      <c r="L3" s="1" t="s">
        <v>139</v>
      </c>
      <c r="M3" s="16">
        <v>0.125</v>
      </c>
      <c r="N3" s="1" t="s">
        <v>141</v>
      </c>
      <c r="O3" s="2">
        <v>11211.627906976744</v>
      </c>
      <c r="P3" s="1" t="s">
        <v>195</v>
      </c>
      <c r="Q3" s="2">
        <v>-8165.3846153846152</v>
      </c>
      <c r="R3" s="1" t="s">
        <v>194</v>
      </c>
      <c r="S3" s="18">
        <v>0</v>
      </c>
      <c r="T3" s="1" t="s">
        <v>137</v>
      </c>
      <c r="U3" s="18">
        <v>0.20118343195266272</v>
      </c>
      <c r="V3" s="1" t="s">
        <v>194</v>
      </c>
      <c r="W3" s="16">
        <v>0.43478260869565216</v>
      </c>
      <c r="X3" s="1" t="s">
        <v>142</v>
      </c>
      <c r="Y3" s="16">
        <v>0.32653061224489793</v>
      </c>
      <c r="Z3" s="1" t="s">
        <v>142</v>
      </c>
      <c r="AA3" s="16">
        <v>0.66666666666666663</v>
      </c>
      <c r="AB3" s="1" t="s">
        <v>137</v>
      </c>
      <c r="AC3" s="16">
        <v>0.47752808988764045</v>
      </c>
      <c r="AD3" s="1" t="s">
        <v>160</v>
      </c>
      <c r="AE3" s="16">
        <v>0.46575342465753422</v>
      </c>
      <c r="AF3" s="1" t="s">
        <v>145</v>
      </c>
      <c r="AG3" s="16">
        <v>0.46153846153846156</v>
      </c>
      <c r="AH3" s="1" t="s">
        <v>137</v>
      </c>
      <c r="AI3" s="74">
        <v>10</v>
      </c>
      <c r="AJ3" s="1" t="s">
        <v>160</v>
      </c>
      <c r="AK3" s="78">
        <v>6</v>
      </c>
    </row>
    <row r="4" spans="1:37" x14ac:dyDescent="0.4">
      <c r="A4" s="7">
        <v>3</v>
      </c>
      <c r="B4" s="6" t="s">
        <v>149</v>
      </c>
      <c r="C4" s="3">
        <v>154.49999999999997</v>
      </c>
      <c r="D4" s="1" t="s">
        <v>137</v>
      </c>
      <c r="E4" s="3">
        <v>5.5088757396449708</v>
      </c>
      <c r="F4" s="1" t="s">
        <v>156</v>
      </c>
      <c r="G4" s="5">
        <v>1.8421052631578947</v>
      </c>
      <c r="H4" s="1" t="s">
        <v>156</v>
      </c>
      <c r="I4" s="18">
        <v>0.42105263157894735</v>
      </c>
      <c r="J4" s="1" t="s">
        <v>137</v>
      </c>
      <c r="K4" s="16">
        <v>0.34865293185419971</v>
      </c>
      <c r="L4" s="1" t="s">
        <v>137</v>
      </c>
      <c r="M4" s="16">
        <v>0.14421553090332806</v>
      </c>
      <c r="N4" s="1" t="s">
        <v>160</v>
      </c>
      <c r="O4" s="2">
        <v>10562.328767123288</v>
      </c>
      <c r="P4" s="1" t="s">
        <v>138</v>
      </c>
      <c r="Q4" s="2">
        <v>-8240</v>
      </c>
      <c r="R4" s="1" t="s">
        <v>137</v>
      </c>
      <c r="S4" s="18">
        <v>0.11242603550295859</v>
      </c>
      <c r="T4" s="1" t="s">
        <v>145</v>
      </c>
      <c r="U4" s="18">
        <v>0.2</v>
      </c>
      <c r="V4" s="1" t="s">
        <v>156</v>
      </c>
      <c r="W4" s="16">
        <v>0.38805970149253732</v>
      </c>
      <c r="X4" s="1" t="s">
        <v>148</v>
      </c>
      <c r="Y4" s="16">
        <v>0.27064220183486237</v>
      </c>
      <c r="Z4" s="1" t="s">
        <v>137</v>
      </c>
      <c r="AA4" s="16">
        <v>0.63436123348017626</v>
      </c>
      <c r="AB4" s="1" t="s">
        <v>225</v>
      </c>
      <c r="AC4" s="16">
        <v>0.3987915407854985</v>
      </c>
      <c r="AD4" s="1" t="s">
        <v>142</v>
      </c>
      <c r="AE4" s="16">
        <v>0.45985401459854014</v>
      </c>
      <c r="AF4" s="1" t="s">
        <v>156</v>
      </c>
      <c r="AG4" s="16">
        <v>0.44827586206896552</v>
      </c>
      <c r="AH4" s="1" t="s">
        <v>141</v>
      </c>
      <c r="AI4" s="74">
        <v>10</v>
      </c>
      <c r="AJ4" s="1" t="s">
        <v>141</v>
      </c>
      <c r="AK4" s="78">
        <v>4</v>
      </c>
    </row>
    <row r="5" spans="1:37" x14ac:dyDescent="0.4">
      <c r="A5" s="7">
        <v>4</v>
      </c>
      <c r="B5" s="6" t="s">
        <v>156</v>
      </c>
      <c r="C5" s="3">
        <v>140.60000000000002</v>
      </c>
      <c r="D5" s="1" t="s">
        <v>142</v>
      </c>
      <c r="E5" s="3">
        <v>4.5277777777777786</v>
      </c>
      <c r="F5" s="1" t="s">
        <v>142</v>
      </c>
      <c r="G5" s="5">
        <v>1.8888888888888888</v>
      </c>
      <c r="H5" s="1" t="s">
        <v>149</v>
      </c>
      <c r="I5" s="18">
        <v>0.37681159420289856</v>
      </c>
      <c r="J5" s="1" t="s">
        <v>156</v>
      </c>
      <c r="K5" s="16">
        <v>0.32214765100671139</v>
      </c>
      <c r="L5" s="1" t="s">
        <v>142</v>
      </c>
      <c r="M5" s="16">
        <v>0.15844155844155844</v>
      </c>
      <c r="N5" s="1" t="s">
        <v>149</v>
      </c>
      <c r="O5" s="2">
        <v>10189.285714285714</v>
      </c>
      <c r="P5" s="1" t="s">
        <v>156</v>
      </c>
      <c r="Q5" s="2">
        <v>-8883.3333333333339</v>
      </c>
      <c r="R5" s="1" t="s">
        <v>142</v>
      </c>
      <c r="S5" s="18">
        <v>0.12962962962962962</v>
      </c>
      <c r="T5" s="1" t="s">
        <v>194</v>
      </c>
      <c r="U5" s="18">
        <v>0.2</v>
      </c>
      <c r="V5" s="1" t="s">
        <v>149</v>
      </c>
      <c r="W5" s="16">
        <v>0.32647814910025708</v>
      </c>
      <c r="X5" s="1" t="s">
        <v>149</v>
      </c>
      <c r="Y5" s="16">
        <v>0.23393316195372751</v>
      </c>
      <c r="Z5" s="1" t="s">
        <v>149</v>
      </c>
      <c r="AA5" s="16">
        <v>0.62204724409448819</v>
      </c>
      <c r="AB5" s="1" t="s">
        <v>149</v>
      </c>
      <c r="AC5" s="16">
        <v>0.39560439560439559</v>
      </c>
      <c r="AD5" s="1" t="s">
        <v>148</v>
      </c>
      <c r="AE5" s="16">
        <v>0.44230769230769229</v>
      </c>
      <c r="AF5" s="1" t="s">
        <v>137</v>
      </c>
      <c r="AG5" s="16">
        <v>0.4132420091324201</v>
      </c>
      <c r="AH5" s="1" t="s">
        <v>149</v>
      </c>
      <c r="AI5" s="74">
        <v>9</v>
      </c>
      <c r="AJ5" s="1" t="s">
        <v>149</v>
      </c>
      <c r="AK5" s="78">
        <v>3</v>
      </c>
    </row>
    <row r="6" spans="1:37" x14ac:dyDescent="0.4">
      <c r="A6" s="7">
        <v>5</v>
      </c>
      <c r="B6" s="6" t="s">
        <v>194</v>
      </c>
      <c r="C6" s="3">
        <v>87</v>
      </c>
      <c r="D6" s="1" t="s">
        <v>149</v>
      </c>
      <c r="E6" s="3">
        <v>2.2391304347826084</v>
      </c>
      <c r="F6" s="1" t="s">
        <v>149</v>
      </c>
      <c r="G6" s="5">
        <v>1.9275362318840579</v>
      </c>
      <c r="H6" s="1" t="s">
        <v>142</v>
      </c>
      <c r="I6" s="18">
        <v>0.35185185185185186</v>
      </c>
      <c r="J6" s="1" t="s">
        <v>149</v>
      </c>
      <c r="K6" s="16">
        <v>0.32183908045977011</v>
      </c>
      <c r="L6" s="1" t="s">
        <v>149</v>
      </c>
      <c r="M6" s="16">
        <v>0.15900383141762453</v>
      </c>
      <c r="N6" s="1" t="s">
        <v>225</v>
      </c>
      <c r="O6" s="2">
        <v>10185.864661654135</v>
      </c>
      <c r="P6" s="1" t="s">
        <v>148</v>
      </c>
      <c r="Q6" s="2">
        <v>-9117.2839506172841</v>
      </c>
      <c r="R6" s="1" t="s">
        <v>149</v>
      </c>
      <c r="S6" s="18">
        <v>0.14492753623188406</v>
      </c>
      <c r="T6" s="1" t="s">
        <v>142</v>
      </c>
      <c r="U6" s="18">
        <v>0.18518518518518517</v>
      </c>
      <c r="V6" s="1" t="s">
        <v>160</v>
      </c>
      <c r="W6" s="16">
        <v>0.30360934182590232</v>
      </c>
      <c r="X6" s="1" t="s">
        <v>225</v>
      </c>
      <c r="Y6" s="16">
        <v>0.22772617819057447</v>
      </c>
      <c r="Z6" s="1" t="s">
        <v>194</v>
      </c>
      <c r="AA6" s="16">
        <v>0.6</v>
      </c>
      <c r="AB6" s="1" t="s">
        <v>141</v>
      </c>
      <c r="AC6" s="16">
        <v>0.37864077669902912</v>
      </c>
      <c r="AD6" s="1" t="s">
        <v>156</v>
      </c>
      <c r="AE6" s="16">
        <v>0.4375</v>
      </c>
      <c r="AF6" s="1" t="s">
        <v>142</v>
      </c>
      <c r="AG6" s="16">
        <v>0.37323943661971831</v>
      </c>
      <c r="AH6" s="1" t="s">
        <v>142</v>
      </c>
      <c r="AI6" s="74">
        <v>7</v>
      </c>
      <c r="AJ6" s="1" t="s">
        <v>148</v>
      </c>
      <c r="AK6" s="78">
        <v>2</v>
      </c>
    </row>
    <row r="7" spans="1:37" x14ac:dyDescent="0.4">
      <c r="A7" s="7">
        <v>6</v>
      </c>
      <c r="B7" s="6" t="s">
        <v>225</v>
      </c>
      <c r="C7" s="3">
        <v>-4.9999999999999831</v>
      </c>
      <c r="D7" s="1" t="s">
        <v>225</v>
      </c>
      <c r="E7" s="3">
        <v>-8.7260034904013666E-3</v>
      </c>
      <c r="F7" s="1" t="s">
        <v>225</v>
      </c>
      <c r="G7" s="5">
        <v>2</v>
      </c>
      <c r="H7" s="1" t="s">
        <v>225</v>
      </c>
      <c r="I7" s="18">
        <v>0.33333333333333331</v>
      </c>
      <c r="J7" s="1" t="s">
        <v>225</v>
      </c>
      <c r="K7" s="16">
        <v>0.30616942909760592</v>
      </c>
      <c r="L7" s="1" t="s">
        <v>156</v>
      </c>
      <c r="M7" s="16">
        <v>0.16107382550335569</v>
      </c>
      <c r="N7" s="1" t="s">
        <v>137</v>
      </c>
      <c r="O7" s="2">
        <v>9885.681818181818</v>
      </c>
      <c r="P7" s="1" t="s">
        <v>142</v>
      </c>
      <c r="Q7" s="2">
        <v>-9145.9016393442616</v>
      </c>
      <c r="R7" s="1" t="s">
        <v>156</v>
      </c>
      <c r="S7" s="18">
        <v>0.15789473684210525</v>
      </c>
      <c r="T7" s="1" t="s">
        <v>149</v>
      </c>
      <c r="U7" s="18">
        <v>0.17391304347826086</v>
      </c>
      <c r="V7" s="1" t="s">
        <v>141</v>
      </c>
      <c r="W7" s="16">
        <v>0.29116117850953205</v>
      </c>
      <c r="X7" s="1" t="s">
        <v>156</v>
      </c>
      <c r="Y7" s="16">
        <v>0.22388059701492538</v>
      </c>
      <c r="Z7" s="1" t="s">
        <v>160</v>
      </c>
      <c r="AA7" s="16">
        <v>0.59440559440559437</v>
      </c>
      <c r="AB7" s="1" t="s">
        <v>160</v>
      </c>
      <c r="AC7" s="16">
        <v>0.37373737373737376</v>
      </c>
      <c r="AD7" s="1" t="s">
        <v>149</v>
      </c>
      <c r="AE7" s="16">
        <v>0.42857142857142855</v>
      </c>
      <c r="AF7" s="1" t="s">
        <v>225</v>
      </c>
      <c r="AG7" s="16">
        <v>0.36363636363636365</v>
      </c>
      <c r="AH7" s="1" t="s">
        <v>160</v>
      </c>
      <c r="AI7" s="74">
        <v>7</v>
      </c>
      <c r="AJ7" s="1" t="s">
        <v>137</v>
      </c>
      <c r="AK7" s="78">
        <v>1</v>
      </c>
    </row>
    <row r="8" spans="1:37" x14ac:dyDescent="0.4">
      <c r="A8" s="7">
        <v>7</v>
      </c>
      <c r="B8" s="6" t="s">
        <v>139</v>
      </c>
      <c r="C8" s="3">
        <v>-25.5</v>
      </c>
      <c r="D8" s="1" t="s">
        <v>195</v>
      </c>
      <c r="E8" s="3">
        <v>-3</v>
      </c>
      <c r="F8" s="1" t="s">
        <v>141</v>
      </c>
      <c r="G8" s="5">
        <v>2.1284403669724772</v>
      </c>
      <c r="H8" s="1" t="s">
        <v>141</v>
      </c>
      <c r="I8" s="18">
        <v>0.28440366972477066</v>
      </c>
      <c r="J8" s="1" t="s">
        <v>160</v>
      </c>
      <c r="K8" s="16">
        <v>0.2874015748031496</v>
      </c>
      <c r="L8" s="1" t="s">
        <v>195</v>
      </c>
      <c r="M8" s="16">
        <v>0.17218543046357615</v>
      </c>
      <c r="N8" s="1" t="s">
        <v>142</v>
      </c>
      <c r="O8" s="2">
        <v>9855.4744525547449</v>
      </c>
      <c r="P8" s="1" t="s">
        <v>137</v>
      </c>
      <c r="Q8" s="2">
        <v>-9382.9670329670334</v>
      </c>
      <c r="R8" s="1" t="s">
        <v>195</v>
      </c>
      <c r="S8" s="18">
        <v>0.15789473684210525</v>
      </c>
      <c r="T8" s="1" t="s">
        <v>225</v>
      </c>
      <c r="U8" s="18">
        <v>0.16404886561954624</v>
      </c>
      <c r="V8" s="1" t="s">
        <v>225</v>
      </c>
      <c r="W8" s="16">
        <v>0.28758169934640521</v>
      </c>
      <c r="X8" s="1" t="s">
        <v>137</v>
      </c>
      <c r="Y8" s="16">
        <v>0.2227784730913642</v>
      </c>
      <c r="Z8" s="1" t="s">
        <v>225</v>
      </c>
      <c r="AA8" s="16">
        <v>0.58971291866028708</v>
      </c>
      <c r="AB8" s="1" t="s">
        <v>148</v>
      </c>
      <c r="AC8" s="16">
        <v>0.3728813559322034</v>
      </c>
      <c r="AD8" s="1" t="s">
        <v>141</v>
      </c>
      <c r="AE8" s="16">
        <v>0.42325581395348838</v>
      </c>
      <c r="AF8" s="1" t="s">
        <v>149</v>
      </c>
      <c r="AG8" s="16">
        <v>0.35135135135135137</v>
      </c>
      <c r="AH8" s="1" t="s">
        <v>156</v>
      </c>
      <c r="AI8" s="74">
        <v>6</v>
      </c>
      <c r="AJ8" s="1" t="s">
        <v>142</v>
      </c>
      <c r="AK8" s="78">
        <v>1</v>
      </c>
    </row>
    <row r="9" spans="1:37" x14ac:dyDescent="0.4">
      <c r="A9" s="7">
        <v>8</v>
      </c>
      <c r="B9" s="6" t="s">
        <v>195</v>
      </c>
      <c r="C9" s="3">
        <v>-57</v>
      </c>
      <c r="D9" s="1" t="s">
        <v>141</v>
      </c>
      <c r="E9" s="3">
        <v>-4.1183486238532101</v>
      </c>
      <c r="F9" s="1" t="s">
        <v>195</v>
      </c>
      <c r="G9" s="5">
        <v>2.1578947368421053</v>
      </c>
      <c r="H9" s="1" t="s">
        <v>195</v>
      </c>
      <c r="I9" s="18">
        <v>0.26315789473684209</v>
      </c>
      <c r="J9" s="1" t="s">
        <v>145</v>
      </c>
      <c r="K9" s="16">
        <v>0.27027027027027029</v>
      </c>
      <c r="L9" s="1" t="s">
        <v>225</v>
      </c>
      <c r="M9" s="16">
        <v>0.17564456721915286</v>
      </c>
      <c r="N9" s="1" t="s">
        <v>195</v>
      </c>
      <c r="O9" s="2">
        <v>9597.5</v>
      </c>
      <c r="P9" s="1" t="s">
        <v>225</v>
      </c>
      <c r="Q9" s="2">
        <v>-9468.676277850589</v>
      </c>
      <c r="R9" s="1" t="s">
        <v>225</v>
      </c>
      <c r="S9" s="18">
        <v>0.16404886561954624</v>
      </c>
      <c r="T9" s="1" t="s">
        <v>141</v>
      </c>
      <c r="U9" s="18">
        <v>0.13761467889908258</v>
      </c>
      <c r="V9" s="1" t="s">
        <v>137</v>
      </c>
      <c r="W9" s="16">
        <v>0.28410513141426785</v>
      </c>
      <c r="X9" s="1" t="s">
        <v>160</v>
      </c>
      <c r="Y9" s="16">
        <v>0.21019108280254778</v>
      </c>
      <c r="Z9" s="1" t="s">
        <v>141</v>
      </c>
      <c r="AA9" s="16">
        <v>0.56547619047619047</v>
      </c>
      <c r="AB9" s="1" t="s">
        <v>195</v>
      </c>
      <c r="AC9" s="16">
        <v>0.36206896551724138</v>
      </c>
      <c r="AD9" s="1" t="s">
        <v>225</v>
      </c>
      <c r="AE9" s="16">
        <v>0.41278195488721803</v>
      </c>
      <c r="AF9" s="1" t="s">
        <v>148</v>
      </c>
      <c r="AG9" s="16">
        <v>0.35087719298245612</v>
      </c>
      <c r="AH9" s="1" t="s">
        <v>148</v>
      </c>
      <c r="AI9" s="74">
        <v>5</v>
      </c>
      <c r="AJ9" s="1" t="s">
        <v>138</v>
      </c>
      <c r="AK9" s="78">
        <v>0</v>
      </c>
    </row>
    <row r="10" spans="1:37" x14ac:dyDescent="0.4">
      <c r="A10" s="7">
        <v>9</v>
      </c>
      <c r="B10" s="6" t="s">
        <v>145</v>
      </c>
      <c r="C10" s="3">
        <v>-85.4</v>
      </c>
      <c r="D10" s="1" t="s">
        <v>160</v>
      </c>
      <c r="E10" s="3">
        <v>-6.7553846153846129</v>
      </c>
      <c r="F10" s="1" t="s">
        <v>145</v>
      </c>
      <c r="G10" s="5">
        <v>2.2000000000000002</v>
      </c>
      <c r="H10" s="1" t="s">
        <v>160</v>
      </c>
      <c r="I10" s="18">
        <v>0.23076923076923078</v>
      </c>
      <c r="J10" s="1" t="s">
        <v>195</v>
      </c>
      <c r="K10" s="16">
        <v>0.26490066225165565</v>
      </c>
      <c r="L10" s="1" t="s">
        <v>141</v>
      </c>
      <c r="M10" s="16">
        <v>0.19570405727923629</v>
      </c>
      <c r="N10" s="1" t="s">
        <v>148</v>
      </c>
      <c r="O10" s="2">
        <v>9467.3076923076915</v>
      </c>
      <c r="P10" s="1" t="s">
        <v>149</v>
      </c>
      <c r="Q10" s="2">
        <v>-9569.87951807229</v>
      </c>
      <c r="R10" s="1" t="s">
        <v>141</v>
      </c>
      <c r="S10" s="18">
        <v>0.21100917431192662</v>
      </c>
      <c r="T10" s="1" t="s">
        <v>148</v>
      </c>
      <c r="U10" s="18">
        <v>0.13461538461538461</v>
      </c>
      <c r="V10" s="1" t="s">
        <v>145</v>
      </c>
      <c r="W10" s="16">
        <v>0.25806451612903225</v>
      </c>
      <c r="X10" s="1" t="s">
        <v>141</v>
      </c>
      <c r="Y10" s="16">
        <v>0.17850953206239167</v>
      </c>
      <c r="Z10" s="1" t="s">
        <v>156</v>
      </c>
      <c r="AA10" s="16">
        <v>0.53846153846153844</v>
      </c>
      <c r="AB10" s="1" t="s">
        <v>142</v>
      </c>
      <c r="AC10" s="16">
        <v>0.35416666666666669</v>
      </c>
      <c r="AD10" s="1" t="s">
        <v>137</v>
      </c>
      <c r="AE10" s="16">
        <v>0.38181818181818183</v>
      </c>
      <c r="AF10" s="1" t="s">
        <v>160</v>
      </c>
      <c r="AG10" s="16">
        <v>0.31677018633540371</v>
      </c>
      <c r="AH10" s="1" t="s">
        <v>194</v>
      </c>
      <c r="AI10" s="74">
        <v>5</v>
      </c>
      <c r="AJ10" s="1" t="s">
        <v>139</v>
      </c>
      <c r="AK10" s="78">
        <v>0</v>
      </c>
    </row>
    <row r="11" spans="1:37" x14ac:dyDescent="0.4">
      <c r="A11" s="7">
        <v>10</v>
      </c>
      <c r="B11" s="6" t="s">
        <v>138</v>
      </c>
      <c r="C11" s="3">
        <v>-128.1</v>
      </c>
      <c r="D11" s="1" t="s">
        <v>148</v>
      </c>
      <c r="E11" s="3">
        <v>-7.2807692307692298</v>
      </c>
      <c r="F11" s="1" t="s">
        <v>148</v>
      </c>
      <c r="G11" s="5">
        <v>2.2115384615384617</v>
      </c>
      <c r="H11" s="1" t="s">
        <v>148</v>
      </c>
      <c r="I11" s="18">
        <v>0.21153846153846154</v>
      </c>
      <c r="J11" s="1" t="s">
        <v>148</v>
      </c>
      <c r="K11" s="16">
        <v>0.25679012345679014</v>
      </c>
      <c r="L11" s="1" t="s">
        <v>148</v>
      </c>
      <c r="M11" s="16">
        <v>0.2</v>
      </c>
      <c r="N11" s="1" t="s">
        <v>194</v>
      </c>
      <c r="O11" s="2">
        <v>9227.7777777777774</v>
      </c>
      <c r="P11" s="1" t="s">
        <v>160</v>
      </c>
      <c r="Q11" s="2">
        <v>-9650.4201680672268</v>
      </c>
      <c r="R11" s="1" t="s">
        <v>148</v>
      </c>
      <c r="S11" s="18">
        <v>0.21153846153846154</v>
      </c>
      <c r="T11" s="1" t="s">
        <v>160</v>
      </c>
      <c r="U11" s="18">
        <v>0.12307692307692308</v>
      </c>
      <c r="V11" s="1" t="s">
        <v>148</v>
      </c>
      <c r="W11" s="16">
        <v>0.23853211009174313</v>
      </c>
      <c r="X11" s="1" t="s">
        <v>145</v>
      </c>
      <c r="Y11" s="16">
        <v>0.16129032258064516</v>
      </c>
      <c r="Z11" s="1" t="s">
        <v>195</v>
      </c>
      <c r="AA11" s="16">
        <v>0.51851851851851849</v>
      </c>
      <c r="AB11" s="1" t="s">
        <v>145</v>
      </c>
      <c r="AC11" s="16">
        <v>0.2</v>
      </c>
      <c r="AD11" s="1" t="s">
        <v>145</v>
      </c>
      <c r="AE11" s="16">
        <v>0.3</v>
      </c>
      <c r="AF11" s="1" t="s">
        <v>141</v>
      </c>
      <c r="AG11" s="16">
        <v>0.31086142322097376</v>
      </c>
      <c r="AH11" s="1" t="s">
        <v>195</v>
      </c>
      <c r="AI11" s="74">
        <v>5</v>
      </c>
      <c r="AJ11" s="1" t="s">
        <v>145</v>
      </c>
      <c r="AK11" s="78">
        <v>0</v>
      </c>
    </row>
    <row r="12" spans="1:37" x14ac:dyDescent="0.4">
      <c r="A12" s="7">
        <v>11</v>
      </c>
      <c r="B12" s="6" t="s">
        <v>148</v>
      </c>
      <c r="C12" s="3">
        <v>-378.59999999999997</v>
      </c>
      <c r="D12" s="1" t="s">
        <v>139</v>
      </c>
      <c r="E12" s="3">
        <v>-8.5</v>
      </c>
      <c r="F12" s="1" t="s">
        <v>160</v>
      </c>
      <c r="G12" s="5">
        <v>2.2307692307692308</v>
      </c>
      <c r="H12" s="1" t="s">
        <v>145</v>
      </c>
      <c r="I12" s="18">
        <v>0.2</v>
      </c>
      <c r="J12" s="1" t="s">
        <v>141</v>
      </c>
      <c r="K12" s="16">
        <v>0.25656324582338902</v>
      </c>
      <c r="L12" s="1" t="s">
        <v>145</v>
      </c>
      <c r="M12" s="16">
        <v>0.21621621621621623</v>
      </c>
      <c r="N12" s="1" t="s">
        <v>139</v>
      </c>
      <c r="O12" s="2">
        <v>8000</v>
      </c>
      <c r="P12" s="1" t="s">
        <v>141</v>
      </c>
      <c r="Q12" s="2">
        <v>-9938.414634146342</v>
      </c>
      <c r="R12" s="1" t="s">
        <v>160</v>
      </c>
      <c r="S12" s="18">
        <v>0.2153846153846154</v>
      </c>
      <c r="T12" s="1" t="s">
        <v>195</v>
      </c>
      <c r="U12" s="18">
        <v>0.10526315789473684</v>
      </c>
      <c r="V12" s="1" t="s">
        <v>142</v>
      </c>
      <c r="W12" s="16">
        <v>0.22448979591836735</v>
      </c>
      <c r="X12" s="1" t="s">
        <v>194</v>
      </c>
      <c r="Y12" s="16">
        <v>0.13043478260869565</v>
      </c>
      <c r="Z12" s="1" t="s">
        <v>148</v>
      </c>
      <c r="AA12" s="16">
        <v>0.40384615384615385</v>
      </c>
      <c r="AB12" s="1" t="s">
        <v>156</v>
      </c>
      <c r="AC12" s="16">
        <v>0.2</v>
      </c>
      <c r="AD12" s="1" t="s">
        <v>194</v>
      </c>
      <c r="AE12" s="16">
        <v>0.27777777777777779</v>
      </c>
      <c r="AF12" s="1" t="s">
        <v>195</v>
      </c>
      <c r="AG12" s="16">
        <v>0.26666666666666666</v>
      </c>
      <c r="AH12" s="1" t="s">
        <v>145</v>
      </c>
      <c r="AI12" s="74">
        <v>3</v>
      </c>
      <c r="AJ12" s="1" t="s">
        <v>156</v>
      </c>
      <c r="AK12" s="78">
        <v>0</v>
      </c>
    </row>
    <row r="13" spans="1:37" x14ac:dyDescent="0.4">
      <c r="A13" s="7">
        <v>12</v>
      </c>
      <c r="B13" s="6" t="s">
        <v>160</v>
      </c>
      <c r="C13" s="3">
        <v>-439.09999999999985</v>
      </c>
      <c r="D13" s="1" t="s">
        <v>145</v>
      </c>
      <c r="E13" s="3">
        <v>-17.080000000000002</v>
      </c>
      <c r="F13" s="1" t="s">
        <v>139</v>
      </c>
      <c r="G13" s="5">
        <v>2.3333333333333335</v>
      </c>
      <c r="H13" s="1" t="s">
        <v>138</v>
      </c>
      <c r="I13" s="18">
        <v>0</v>
      </c>
      <c r="J13" s="1" t="s">
        <v>139</v>
      </c>
      <c r="K13" s="16">
        <v>0.1875</v>
      </c>
      <c r="L13" s="1" t="s">
        <v>160</v>
      </c>
      <c r="M13" s="16">
        <v>0.23425196850393701</v>
      </c>
      <c r="N13" s="1" t="s">
        <v>138</v>
      </c>
      <c r="O13" s="2">
        <v>7800</v>
      </c>
      <c r="P13" s="1" t="s">
        <v>139</v>
      </c>
      <c r="Q13" s="2">
        <v>-12000</v>
      </c>
      <c r="R13" s="1" t="s">
        <v>145</v>
      </c>
      <c r="S13" s="18">
        <v>0.4</v>
      </c>
      <c r="T13" s="1" t="s">
        <v>138</v>
      </c>
      <c r="U13" s="18">
        <v>0</v>
      </c>
      <c r="V13" s="1" t="s">
        <v>195</v>
      </c>
      <c r="W13" s="16">
        <v>0.17880794701986755</v>
      </c>
      <c r="X13" s="1" t="s">
        <v>138</v>
      </c>
      <c r="Y13" s="16">
        <v>0</v>
      </c>
      <c r="Z13" s="1" t="s">
        <v>139</v>
      </c>
      <c r="AA13" s="16">
        <v>0.2</v>
      </c>
      <c r="AB13" s="1" t="s">
        <v>138</v>
      </c>
      <c r="AC13" s="16">
        <v>0</v>
      </c>
      <c r="AD13" s="1" t="s">
        <v>195</v>
      </c>
      <c r="AE13" s="16">
        <v>0.27500000000000002</v>
      </c>
      <c r="AF13" s="1" t="s">
        <v>138</v>
      </c>
      <c r="AG13" s="16">
        <v>0</v>
      </c>
      <c r="AH13" s="1" t="s">
        <v>139</v>
      </c>
      <c r="AI13" s="74">
        <v>2</v>
      </c>
      <c r="AJ13" s="1" t="s">
        <v>194</v>
      </c>
      <c r="AK13" s="78">
        <v>0</v>
      </c>
    </row>
    <row r="14" spans="1:37" x14ac:dyDescent="0.4">
      <c r="A14" s="7">
        <v>13</v>
      </c>
      <c r="B14" s="6" t="s">
        <v>141</v>
      </c>
      <c r="C14" s="3">
        <v>-448.89999999999992</v>
      </c>
      <c r="D14" s="1" t="s">
        <v>138</v>
      </c>
      <c r="E14" s="3">
        <v>-32.024999999999999</v>
      </c>
      <c r="F14" s="1" t="s">
        <v>138</v>
      </c>
      <c r="G14" s="5">
        <v>3</v>
      </c>
      <c r="H14" s="1" t="s">
        <v>139</v>
      </c>
      <c r="I14" s="18">
        <v>0</v>
      </c>
      <c r="J14" s="1" t="s">
        <v>138</v>
      </c>
      <c r="K14" s="16">
        <v>0.04</v>
      </c>
      <c r="L14" s="1" t="s">
        <v>138</v>
      </c>
      <c r="M14" s="16">
        <v>0.4</v>
      </c>
      <c r="N14" s="1" t="s">
        <v>145</v>
      </c>
      <c r="O14" s="2">
        <v>7100</v>
      </c>
      <c r="P14" s="1" t="s">
        <v>145</v>
      </c>
      <c r="Q14" s="2">
        <v>-12487.5</v>
      </c>
      <c r="R14" s="1" t="s">
        <v>138</v>
      </c>
      <c r="S14" s="18">
        <v>0.5</v>
      </c>
      <c r="T14" s="1" t="s">
        <v>139</v>
      </c>
      <c r="U14" s="18">
        <v>0</v>
      </c>
      <c r="V14" s="1" t="s">
        <v>138</v>
      </c>
      <c r="W14" s="16">
        <v>0</v>
      </c>
      <c r="X14" s="1" t="s">
        <v>139</v>
      </c>
      <c r="Y14" s="16">
        <v>0</v>
      </c>
      <c r="Z14" s="1" t="s">
        <v>138</v>
      </c>
      <c r="AA14" s="16">
        <v>0</v>
      </c>
      <c r="AB14" s="1" t="s">
        <v>139</v>
      </c>
      <c r="AC14" s="16">
        <v>0</v>
      </c>
      <c r="AD14" s="1" t="s">
        <v>139</v>
      </c>
      <c r="AE14" s="16">
        <v>0</v>
      </c>
      <c r="AF14" s="1" t="s">
        <v>139</v>
      </c>
      <c r="AG14" s="16">
        <v>0</v>
      </c>
      <c r="AH14" s="1" t="s">
        <v>138</v>
      </c>
      <c r="AI14" s="74">
        <v>0</v>
      </c>
      <c r="AJ14" s="1" t="s">
        <v>195</v>
      </c>
      <c r="AK14" s="78">
        <v>0</v>
      </c>
    </row>
  </sheetData>
  <sortState ref="AJ2:AK31">
    <sortCondition descending="1" ref="AK1"/>
  </sortState>
  <mergeCells count="18">
    <mergeCell ref="AJ1:AK1"/>
    <mergeCell ref="AH1:AI1"/>
    <mergeCell ref="AF1:AG1"/>
    <mergeCell ref="AB1:AC1"/>
    <mergeCell ref="D1:E1"/>
    <mergeCell ref="R1:S1"/>
    <mergeCell ref="V1:W1"/>
    <mergeCell ref="X1:Y1"/>
    <mergeCell ref="Z1:AA1"/>
    <mergeCell ref="T1:U1"/>
    <mergeCell ref="AD1:AE1"/>
    <mergeCell ref="B1:C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/>
      <c r="C1" s="92"/>
      <c r="E1" s="66" t="s">
        <v>193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187</v>
      </c>
      <c r="N1" s="20" t="s">
        <v>189</v>
      </c>
      <c r="O1" s="40" t="s">
        <v>190</v>
      </c>
      <c r="P1" s="36" t="s">
        <v>188</v>
      </c>
    </row>
    <row r="2" spans="1:16" x14ac:dyDescent="0.4">
      <c r="A2" s="57" t="s">
        <v>9</v>
      </c>
      <c r="B2" s="87">
        <v>0</v>
      </c>
      <c r="C2" s="88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181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">
      <c r="A3" s="58" t="s">
        <v>8</v>
      </c>
      <c r="B3" s="93">
        <v>0</v>
      </c>
      <c r="C3" s="94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182</v>
      </c>
      <c r="N3" s="45">
        <f t="shared" si="1"/>
        <v>0</v>
      </c>
      <c r="O3" s="42">
        <v>0</v>
      </c>
      <c r="P3" s="37">
        <v>0</v>
      </c>
    </row>
    <row r="4" spans="1:16" x14ac:dyDescent="0.4">
      <c r="A4" s="58" t="s">
        <v>6</v>
      </c>
      <c r="B4" s="95">
        <v>0</v>
      </c>
      <c r="C4" s="96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183</v>
      </c>
      <c r="N4" s="45">
        <f t="shared" si="1"/>
        <v>0</v>
      </c>
      <c r="O4" s="42">
        <v>0</v>
      </c>
      <c r="P4" s="37">
        <v>0</v>
      </c>
    </row>
    <row r="5" spans="1:16" x14ac:dyDescent="0.4">
      <c r="A5" s="58" t="s">
        <v>7</v>
      </c>
      <c r="B5" s="95">
        <f>IF(B$2=0,0,B$4/B$2)</f>
        <v>0</v>
      </c>
      <c r="C5" s="96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184</v>
      </c>
      <c r="N5" s="45">
        <f t="shared" si="1"/>
        <v>0</v>
      </c>
      <c r="O5" s="42">
        <v>0</v>
      </c>
      <c r="P5" s="37">
        <v>0</v>
      </c>
    </row>
    <row r="6" spans="1:16" x14ac:dyDescent="0.4">
      <c r="A6" s="58" t="s">
        <v>1</v>
      </c>
      <c r="B6" s="85">
        <f>IF(B$2=0,0,(B$7*1+B$8*2+B$9*3)/B$2)</f>
        <v>0</v>
      </c>
      <c r="C6" s="86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185</v>
      </c>
      <c r="N6" s="45">
        <f t="shared" si="1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186</v>
      </c>
      <c r="N7" s="46">
        <f t="shared" si="1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">
      <c r="A16" s="57" t="s">
        <v>10</v>
      </c>
      <c r="B16" s="49">
        <f>B18+B17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">
      <c r="A22" s="57" t="s">
        <v>178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">
      <c r="A24" s="57" t="s">
        <v>128</v>
      </c>
      <c r="B24" s="87">
        <v>0</v>
      </c>
      <c r="C24" s="88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">
      <c r="A25" s="60" t="s">
        <v>129</v>
      </c>
      <c r="B25" s="89">
        <v>0</v>
      </c>
      <c r="C25" s="90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">
      <c r="A26" s="75" t="s">
        <v>196</v>
      </c>
      <c r="B26" s="83">
        <v>0</v>
      </c>
      <c r="C26" s="84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">
      <c r="A27" s="60" t="s">
        <v>198</v>
      </c>
      <c r="B27" s="76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8"/>
  <sheetViews>
    <sheetView workbookViewId="0"/>
  </sheetViews>
  <sheetFormatPr defaultColWidth="9" defaultRowHeight="18.75" x14ac:dyDescent="0.4"/>
  <cols>
    <col min="1" max="1" width="16.375" style="71" bestFit="1" customWidth="1"/>
    <col min="2" max="2" width="16.875" style="72" bestFit="1" customWidth="1"/>
    <col min="3" max="16384" width="9" style="71"/>
  </cols>
  <sheetData>
    <row r="1" spans="1:14" x14ac:dyDescent="0.4">
      <c r="A1" s="70">
        <v>32874</v>
      </c>
      <c r="B1" s="70">
        <v>2958465</v>
      </c>
    </row>
    <row r="2" spans="1:14" x14ac:dyDescent="0.4">
      <c r="A2" s="71" t="s">
        <v>136</v>
      </c>
      <c r="B2" s="72">
        <v>43454.62740740741</v>
      </c>
      <c r="C2" s="71" t="s">
        <v>166</v>
      </c>
    </row>
    <row r="3" spans="1:14" x14ac:dyDescent="0.4">
      <c r="A3" s="71" t="s">
        <v>140</v>
      </c>
      <c r="B3" s="72">
        <v>43454.62740740741</v>
      </c>
      <c r="C3" s="71" t="s">
        <v>166</v>
      </c>
    </row>
    <row r="4" spans="1:14" x14ac:dyDescent="0.4">
      <c r="A4" s="71" t="s">
        <v>143</v>
      </c>
      <c r="B4" s="72">
        <v>43454.62740740741</v>
      </c>
      <c r="C4" s="71" t="s">
        <v>166</v>
      </c>
    </row>
    <row r="5" spans="1:14" x14ac:dyDescent="0.4">
      <c r="A5" s="71" t="s">
        <v>144</v>
      </c>
      <c r="B5" s="72">
        <v>43454.62740740741</v>
      </c>
      <c r="C5" s="71" t="s">
        <v>166</v>
      </c>
      <c r="D5" s="71" t="s">
        <v>167</v>
      </c>
      <c r="E5" s="71" t="s">
        <v>168</v>
      </c>
      <c r="F5" s="71" t="s">
        <v>169</v>
      </c>
      <c r="G5" s="71" t="s">
        <v>170</v>
      </c>
    </row>
    <row r="6" spans="1:14" x14ac:dyDescent="0.4">
      <c r="A6" s="71" t="s">
        <v>146</v>
      </c>
      <c r="B6" s="72">
        <v>43454.62740740741</v>
      </c>
      <c r="C6" s="71" t="s">
        <v>166</v>
      </c>
    </row>
    <row r="7" spans="1:14" x14ac:dyDescent="0.4">
      <c r="A7" s="71" t="s">
        <v>147</v>
      </c>
      <c r="B7" s="72">
        <v>43454.62740740741</v>
      </c>
      <c r="C7" s="71" t="s">
        <v>166</v>
      </c>
      <c r="D7" s="71" t="s">
        <v>167</v>
      </c>
      <c r="E7" s="71" t="s">
        <v>168</v>
      </c>
    </row>
    <row r="8" spans="1:14" x14ac:dyDescent="0.4">
      <c r="A8" s="71" t="s">
        <v>150</v>
      </c>
      <c r="B8" s="72">
        <v>43492.671666666669</v>
      </c>
      <c r="C8" s="71" t="s">
        <v>166</v>
      </c>
      <c r="D8" s="71" t="s">
        <v>167</v>
      </c>
    </row>
    <row r="9" spans="1:14" x14ac:dyDescent="0.4">
      <c r="A9" s="71" t="s">
        <v>151</v>
      </c>
      <c r="B9" s="72">
        <v>43454.62740740741</v>
      </c>
      <c r="C9" s="71" t="s">
        <v>166</v>
      </c>
      <c r="D9" s="71" t="s">
        <v>167</v>
      </c>
      <c r="E9" s="71" t="s">
        <v>168</v>
      </c>
      <c r="F9" s="71" t="s">
        <v>169</v>
      </c>
    </row>
    <row r="10" spans="1:14" x14ac:dyDescent="0.4">
      <c r="A10" s="71" t="s">
        <v>152</v>
      </c>
      <c r="B10" s="72">
        <v>43454.62740740741</v>
      </c>
      <c r="C10" s="71" t="s">
        <v>166</v>
      </c>
      <c r="D10" s="71" t="s">
        <v>167</v>
      </c>
      <c r="E10" s="71" t="s">
        <v>168</v>
      </c>
    </row>
    <row r="11" spans="1:14" x14ac:dyDescent="0.4">
      <c r="A11" s="71" t="s">
        <v>153</v>
      </c>
      <c r="B11" s="72">
        <v>43454.62740740741</v>
      </c>
      <c r="C11" s="71" t="s">
        <v>166</v>
      </c>
      <c r="D11" s="71" t="s">
        <v>167</v>
      </c>
      <c r="E11" s="71" t="s">
        <v>168</v>
      </c>
      <c r="F11" s="71" t="s">
        <v>169</v>
      </c>
      <c r="G11" s="71" t="s">
        <v>170</v>
      </c>
      <c r="H11" s="71" t="s">
        <v>171</v>
      </c>
      <c r="I11" s="71" t="s">
        <v>172</v>
      </c>
    </row>
    <row r="12" spans="1:14" x14ac:dyDescent="0.4">
      <c r="A12" s="71" t="s">
        <v>154</v>
      </c>
      <c r="B12" s="72">
        <v>43454.62740740741</v>
      </c>
      <c r="C12" s="71" t="s">
        <v>166</v>
      </c>
      <c r="D12" s="71" t="s">
        <v>167</v>
      </c>
    </row>
    <row r="13" spans="1:14" x14ac:dyDescent="0.4">
      <c r="A13" s="71" t="s">
        <v>155</v>
      </c>
      <c r="B13" s="72">
        <v>43454.62740740741</v>
      </c>
      <c r="C13" s="71" t="s">
        <v>166</v>
      </c>
      <c r="D13" s="71" t="s">
        <v>167</v>
      </c>
      <c r="E13" s="71" t="s">
        <v>168</v>
      </c>
      <c r="F13" s="71" t="s">
        <v>169</v>
      </c>
      <c r="G13" s="71" t="s">
        <v>170</v>
      </c>
      <c r="H13" s="71" t="s">
        <v>171</v>
      </c>
      <c r="I13" s="71" t="s">
        <v>172</v>
      </c>
      <c r="J13" s="71" t="s">
        <v>173</v>
      </c>
      <c r="K13" s="71" t="s">
        <v>174</v>
      </c>
      <c r="L13" s="71" t="s">
        <v>175</v>
      </c>
      <c r="M13" s="71" t="s">
        <v>176</v>
      </c>
      <c r="N13" s="71" t="s">
        <v>177</v>
      </c>
    </row>
    <row r="14" spans="1:14" x14ac:dyDescent="0.4">
      <c r="A14" s="71" t="s">
        <v>157</v>
      </c>
      <c r="B14" s="72">
        <v>43454.62740740741</v>
      </c>
      <c r="C14" s="71" t="s">
        <v>166</v>
      </c>
      <c r="D14" s="71" t="s">
        <v>167</v>
      </c>
      <c r="E14" s="71" t="s">
        <v>168</v>
      </c>
    </row>
    <row r="15" spans="1:14" x14ac:dyDescent="0.4">
      <c r="A15" s="71" t="s">
        <v>158</v>
      </c>
      <c r="B15" s="72">
        <v>43454.62740740741</v>
      </c>
      <c r="C15" s="71" t="s">
        <v>166</v>
      </c>
      <c r="D15" s="71" t="s">
        <v>167</v>
      </c>
      <c r="E15" s="71" t="s">
        <v>168</v>
      </c>
    </row>
    <row r="16" spans="1:14" x14ac:dyDescent="0.4">
      <c r="A16" s="71" t="s">
        <v>159</v>
      </c>
      <c r="B16" s="72">
        <v>43454.62740740741</v>
      </c>
      <c r="C16" s="71" t="s">
        <v>166</v>
      </c>
      <c r="D16" s="71" t="s">
        <v>167</v>
      </c>
      <c r="E16" s="71" t="s">
        <v>168</v>
      </c>
    </row>
    <row r="17" spans="1:9" x14ac:dyDescent="0.4">
      <c r="A17" s="71" t="s">
        <v>161</v>
      </c>
      <c r="B17" s="72">
        <v>43471.701018518521</v>
      </c>
      <c r="C17" s="71" t="s">
        <v>166</v>
      </c>
      <c r="D17" s="71" t="s">
        <v>167</v>
      </c>
      <c r="E17" s="71" t="s">
        <v>168</v>
      </c>
      <c r="F17" s="71" t="s">
        <v>169</v>
      </c>
      <c r="G17" s="71" t="s">
        <v>170</v>
      </c>
      <c r="H17" s="71" t="s">
        <v>171</v>
      </c>
    </row>
    <row r="18" spans="1:9" x14ac:dyDescent="0.4">
      <c r="A18" s="71" t="s">
        <v>162</v>
      </c>
      <c r="B18" s="72">
        <v>43454.62740740741</v>
      </c>
      <c r="C18" s="71" t="s">
        <v>166</v>
      </c>
      <c r="D18" s="71" t="s">
        <v>167</v>
      </c>
      <c r="E18" s="71" t="s">
        <v>168</v>
      </c>
      <c r="F18" s="71" t="s">
        <v>169</v>
      </c>
      <c r="G18" s="71" t="s">
        <v>170</v>
      </c>
      <c r="H18" s="71" t="s">
        <v>171</v>
      </c>
    </row>
    <row r="19" spans="1:9" x14ac:dyDescent="0.4">
      <c r="A19" s="71" t="s">
        <v>163</v>
      </c>
      <c r="B19" s="72">
        <v>43454.62740740741</v>
      </c>
      <c r="C19" s="71" t="s">
        <v>166</v>
      </c>
      <c r="D19" s="71" t="s">
        <v>167</v>
      </c>
    </row>
    <row r="20" spans="1:9" x14ac:dyDescent="0.4">
      <c r="A20" s="71" t="s">
        <v>164</v>
      </c>
      <c r="B20" s="72">
        <v>43471.701018518521</v>
      </c>
      <c r="C20" s="71" t="s">
        <v>166</v>
      </c>
      <c r="D20" s="71" t="s">
        <v>167</v>
      </c>
      <c r="E20" s="71" t="s">
        <v>168</v>
      </c>
    </row>
    <row r="21" spans="1:9" x14ac:dyDescent="0.4">
      <c r="A21" s="71" t="s">
        <v>165</v>
      </c>
      <c r="B21" s="72">
        <v>43484.832372685189</v>
      </c>
      <c r="C21" s="71" t="s">
        <v>166</v>
      </c>
      <c r="D21" s="71" t="s">
        <v>167</v>
      </c>
      <c r="E21" s="71" t="s">
        <v>168</v>
      </c>
      <c r="F21" s="71" t="s">
        <v>169</v>
      </c>
    </row>
    <row r="22" spans="1:9" x14ac:dyDescent="0.4">
      <c r="A22" s="71" t="s">
        <v>199</v>
      </c>
      <c r="B22" s="72">
        <v>43454.62740740741</v>
      </c>
      <c r="C22" s="71" t="s">
        <v>166</v>
      </c>
      <c r="D22" s="71" t="s">
        <v>167</v>
      </c>
      <c r="E22" s="71" t="s">
        <v>168</v>
      </c>
      <c r="F22" s="71" t="s">
        <v>169</v>
      </c>
    </row>
    <row r="23" spans="1:9" x14ac:dyDescent="0.4">
      <c r="A23" s="71" t="s">
        <v>200</v>
      </c>
      <c r="B23" s="72">
        <v>43454.62740740741</v>
      </c>
      <c r="C23" s="71" t="s">
        <v>166</v>
      </c>
      <c r="D23" s="71" t="s">
        <v>167</v>
      </c>
      <c r="E23" s="71" t="s">
        <v>168</v>
      </c>
      <c r="F23" s="71" t="s">
        <v>169</v>
      </c>
      <c r="G23" s="71" t="s">
        <v>170</v>
      </c>
      <c r="H23" s="71" t="s">
        <v>171</v>
      </c>
      <c r="I23" s="71" t="s">
        <v>172</v>
      </c>
    </row>
    <row r="24" spans="1:9" x14ac:dyDescent="0.4">
      <c r="A24" s="71" t="s">
        <v>201</v>
      </c>
      <c r="B24" s="72">
        <v>43454.62740740741</v>
      </c>
      <c r="C24" s="71" t="s">
        <v>166</v>
      </c>
      <c r="D24" s="71" t="s">
        <v>167</v>
      </c>
      <c r="E24" s="71" t="s">
        <v>168</v>
      </c>
    </row>
    <row r="25" spans="1:9" x14ac:dyDescent="0.4">
      <c r="A25" s="71" t="s">
        <v>202</v>
      </c>
      <c r="B25" s="72">
        <v>43454.62740740741</v>
      </c>
      <c r="C25" s="71" t="s">
        <v>166</v>
      </c>
      <c r="D25" s="71" t="s">
        <v>167</v>
      </c>
      <c r="E25" s="71" t="s">
        <v>168</v>
      </c>
      <c r="F25" s="71" t="s">
        <v>169</v>
      </c>
      <c r="G25" s="71" t="s">
        <v>170</v>
      </c>
      <c r="H25" s="71" t="s">
        <v>171</v>
      </c>
    </row>
    <row r="26" spans="1:9" x14ac:dyDescent="0.4">
      <c r="A26" s="71" t="s">
        <v>203</v>
      </c>
      <c r="B26" s="72">
        <v>43454.62740740741</v>
      </c>
      <c r="C26" s="71" t="s">
        <v>166</v>
      </c>
      <c r="D26" s="71" t="s">
        <v>167</v>
      </c>
    </row>
    <row r="27" spans="1:9" x14ac:dyDescent="0.4">
      <c r="A27" s="71" t="s">
        <v>204</v>
      </c>
      <c r="B27" s="72">
        <v>43454.62740740741</v>
      </c>
      <c r="C27" s="71" t="s">
        <v>166</v>
      </c>
      <c r="D27" s="71" t="s">
        <v>167</v>
      </c>
    </row>
    <row r="28" spans="1:9" x14ac:dyDescent="0.4">
      <c r="A28" s="71" t="s">
        <v>205</v>
      </c>
      <c r="B28" s="72">
        <v>43454.62740740741</v>
      </c>
      <c r="C28" s="71" t="s">
        <v>166</v>
      </c>
      <c r="D28" s="71" t="s">
        <v>167</v>
      </c>
      <c r="E28" s="71" t="s">
        <v>168</v>
      </c>
      <c r="F28" s="71" t="s">
        <v>169</v>
      </c>
    </row>
    <row r="29" spans="1:9" x14ac:dyDescent="0.4">
      <c r="A29" s="71" t="s">
        <v>206</v>
      </c>
      <c r="B29" s="72">
        <v>43455.084918981483</v>
      </c>
      <c r="C29" s="71" t="s">
        <v>166</v>
      </c>
      <c r="D29" s="71" t="s">
        <v>167</v>
      </c>
      <c r="E29" s="71" t="s">
        <v>168</v>
      </c>
      <c r="F29" s="71" t="s">
        <v>169</v>
      </c>
      <c r="G29" s="71" t="s">
        <v>170</v>
      </c>
      <c r="H29" s="71" t="s">
        <v>171</v>
      </c>
    </row>
    <row r="30" spans="1:9" x14ac:dyDescent="0.4">
      <c r="A30" s="71" t="s">
        <v>207</v>
      </c>
      <c r="B30" s="72">
        <v>43456.147789351853</v>
      </c>
      <c r="C30" s="71" t="s">
        <v>166</v>
      </c>
      <c r="D30" s="71" t="s">
        <v>167</v>
      </c>
      <c r="E30" s="71" t="s">
        <v>168</v>
      </c>
      <c r="F30" s="71" t="s">
        <v>169</v>
      </c>
      <c r="G30" s="71" t="s">
        <v>170</v>
      </c>
    </row>
    <row r="31" spans="1:9" x14ac:dyDescent="0.4">
      <c r="A31" s="71" t="s">
        <v>208</v>
      </c>
      <c r="B31" s="72">
        <v>43471.8909375</v>
      </c>
      <c r="C31" s="71" t="s">
        <v>166</v>
      </c>
      <c r="D31" s="71" t="s">
        <v>167</v>
      </c>
      <c r="E31" s="71" t="s">
        <v>168</v>
      </c>
      <c r="F31" s="71" t="s">
        <v>169</v>
      </c>
    </row>
    <row r="32" spans="1:9" x14ac:dyDescent="0.4">
      <c r="A32" s="71" t="s">
        <v>209</v>
      </c>
      <c r="B32" s="72">
        <v>43475.056238425925</v>
      </c>
      <c r="C32" s="71" t="s">
        <v>166</v>
      </c>
    </row>
    <row r="33" spans="1:10" x14ac:dyDescent="0.4">
      <c r="A33" s="71" t="s">
        <v>210</v>
      </c>
      <c r="B33" s="72">
        <v>43478.456446759257</v>
      </c>
      <c r="C33" s="71" t="s">
        <v>166</v>
      </c>
      <c r="D33" s="71" t="s">
        <v>167</v>
      </c>
      <c r="E33" s="71" t="s">
        <v>168</v>
      </c>
    </row>
    <row r="34" spans="1:10" x14ac:dyDescent="0.4">
      <c r="A34" s="71" t="s">
        <v>211</v>
      </c>
      <c r="B34" s="72">
        <v>43479.152256944442</v>
      </c>
      <c r="C34" s="71" t="s">
        <v>166</v>
      </c>
      <c r="D34" s="71" t="s">
        <v>167</v>
      </c>
      <c r="E34" s="71" t="s">
        <v>168</v>
      </c>
      <c r="F34" s="71" t="s">
        <v>169</v>
      </c>
      <c r="G34" s="71" t="s">
        <v>170</v>
      </c>
      <c r="H34" s="71" t="s">
        <v>171</v>
      </c>
      <c r="I34" s="71" t="s">
        <v>172</v>
      </c>
      <c r="J34" s="71" t="s">
        <v>173</v>
      </c>
    </row>
    <row r="35" spans="1:10" x14ac:dyDescent="0.4">
      <c r="A35" s="71" t="s">
        <v>212</v>
      </c>
      <c r="B35" s="72">
        <v>43480.04891203704</v>
      </c>
      <c r="C35" s="71" t="s">
        <v>166</v>
      </c>
      <c r="D35" s="71" t="s">
        <v>167</v>
      </c>
      <c r="E35" s="71" t="s">
        <v>168</v>
      </c>
      <c r="F35" s="71" t="s">
        <v>169</v>
      </c>
      <c r="G35" s="71" t="s">
        <v>170</v>
      </c>
      <c r="H35" s="71" t="s">
        <v>171</v>
      </c>
      <c r="I35" s="71" t="s">
        <v>172</v>
      </c>
      <c r="J35" s="71" t="s">
        <v>173</v>
      </c>
    </row>
    <row r="36" spans="1:10" x14ac:dyDescent="0.4">
      <c r="A36" s="71" t="s">
        <v>213</v>
      </c>
      <c r="B36" s="72">
        <v>43481.046527777777</v>
      </c>
      <c r="C36" s="71" t="s">
        <v>166</v>
      </c>
      <c r="D36" s="71" t="s">
        <v>167</v>
      </c>
      <c r="E36" s="71" t="s">
        <v>168</v>
      </c>
    </row>
    <row r="37" spans="1:10" x14ac:dyDescent="0.4">
      <c r="A37" s="71" t="s">
        <v>214</v>
      </c>
      <c r="B37" s="72">
        <v>43482.020208333335</v>
      </c>
      <c r="C37" s="71" t="s">
        <v>166</v>
      </c>
      <c r="D37" s="71" t="s">
        <v>167</v>
      </c>
    </row>
    <row r="38" spans="1:10" x14ac:dyDescent="0.4">
      <c r="A38" s="71" t="s">
        <v>215</v>
      </c>
      <c r="B38" s="72">
        <v>43483.045300925929</v>
      </c>
      <c r="C38" s="71" t="s">
        <v>166</v>
      </c>
      <c r="D38" s="71" t="s">
        <v>167</v>
      </c>
      <c r="E38" s="71" t="s">
        <v>168</v>
      </c>
      <c r="F38" s="71" t="s">
        <v>169</v>
      </c>
      <c r="G38" s="71" t="s">
        <v>170</v>
      </c>
    </row>
    <row r="39" spans="1:10" x14ac:dyDescent="0.4">
      <c r="A39" s="71" t="s">
        <v>216</v>
      </c>
      <c r="B39" s="72">
        <v>43484.815625000003</v>
      </c>
      <c r="C39" s="71" t="s">
        <v>166</v>
      </c>
      <c r="D39" s="71" t="s">
        <v>167</v>
      </c>
      <c r="E39" s="71" t="s">
        <v>168</v>
      </c>
      <c r="F39" s="71" t="s">
        <v>169</v>
      </c>
      <c r="G39" s="71" t="s">
        <v>170</v>
      </c>
      <c r="H39" s="71" t="s">
        <v>171</v>
      </c>
    </row>
    <row r="40" spans="1:10" x14ac:dyDescent="0.4">
      <c r="A40" s="71" t="s">
        <v>217</v>
      </c>
      <c r="B40" s="72">
        <v>43485.111226851855</v>
      </c>
      <c r="C40" s="71" t="s">
        <v>166</v>
      </c>
      <c r="D40" s="71" t="s">
        <v>167</v>
      </c>
      <c r="E40" s="71" t="s">
        <v>168</v>
      </c>
      <c r="F40" s="71" t="s">
        <v>169</v>
      </c>
    </row>
    <row r="41" spans="1:10" x14ac:dyDescent="0.4">
      <c r="A41" s="71" t="s">
        <v>219</v>
      </c>
      <c r="B41" s="72">
        <v>43486.066643518519</v>
      </c>
      <c r="C41" s="71" t="s">
        <v>166</v>
      </c>
      <c r="D41" s="71" t="s">
        <v>167</v>
      </c>
      <c r="E41" s="71" t="s">
        <v>168</v>
      </c>
      <c r="F41" s="71" t="s">
        <v>169</v>
      </c>
    </row>
    <row r="42" spans="1:10" x14ac:dyDescent="0.4">
      <c r="A42" s="71" t="s">
        <v>220</v>
      </c>
      <c r="B42" s="72">
        <v>43487.036203703705</v>
      </c>
      <c r="C42" s="71" t="s">
        <v>166</v>
      </c>
      <c r="D42" s="71" t="s">
        <v>167</v>
      </c>
      <c r="E42" s="71" t="s">
        <v>168</v>
      </c>
      <c r="F42" s="71" t="s">
        <v>169</v>
      </c>
      <c r="G42" s="71" t="s">
        <v>170</v>
      </c>
      <c r="H42" s="71" t="s">
        <v>171</v>
      </c>
      <c r="I42" s="71" t="s">
        <v>172</v>
      </c>
    </row>
    <row r="43" spans="1:10" x14ac:dyDescent="0.4">
      <c r="A43" s="71" t="s">
        <v>221</v>
      </c>
      <c r="B43" s="72">
        <v>43488.059837962966</v>
      </c>
      <c r="C43" s="71" t="s">
        <v>166</v>
      </c>
      <c r="D43" s="71" t="s">
        <v>167</v>
      </c>
      <c r="E43" s="71" t="s">
        <v>168</v>
      </c>
      <c r="F43" s="71" t="s">
        <v>169</v>
      </c>
      <c r="G43" s="71" t="s">
        <v>170</v>
      </c>
      <c r="H43" s="71" t="s">
        <v>171</v>
      </c>
      <c r="I43" s="71" t="s">
        <v>172</v>
      </c>
    </row>
    <row r="44" spans="1:10" x14ac:dyDescent="0.4">
      <c r="A44" s="71" t="s">
        <v>222</v>
      </c>
      <c r="B44" s="72">
        <v>43489.041319444441</v>
      </c>
      <c r="C44" s="71" t="s">
        <v>166</v>
      </c>
      <c r="D44" s="71" t="s">
        <v>167</v>
      </c>
      <c r="E44" s="71" t="s">
        <v>168</v>
      </c>
    </row>
    <row r="45" spans="1:10" x14ac:dyDescent="0.4">
      <c r="A45" s="71" t="s">
        <v>223</v>
      </c>
      <c r="B45" s="72">
        <v>43491.152187500003</v>
      </c>
      <c r="C45" s="71" t="s">
        <v>166</v>
      </c>
      <c r="D45" s="71" t="s">
        <v>167</v>
      </c>
      <c r="E45" s="71" t="s">
        <v>168</v>
      </c>
      <c r="F45" s="71" t="s">
        <v>169</v>
      </c>
      <c r="G45" s="71" t="s">
        <v>170</v>
      </c>
      <c r="H45" s="71" t="s">
        <v>171</v>
      </c>
    </row>
    <row r="46" spans="1:10" x14ac:dyDescent="0.4">
      <c r="A46" s="71" t="s">
        <v>224</v>
      </c>
      <c r="B46" s="72">
        <v>43492.105717592596</v>
      </c>
      <c r="C46" s="71" t="s">
        <v>166</v>
      </c>
      <c r="D46" s="71" t="s">
        <v>167</v>
      </c>
      <c r="E46" s="71" t="s">
        <v>168</v>
      </c>
      <c r="F46" s="71" t="s">
        <v>169</v>
      </c>
    </row>
    <row r="47" spans="1:10" x14ac:dyDescent="0.4">
      <c r="A47" s="71" t="s">
        <v>226</v>
      </c>
      <c r="B47" s="72">
        <v>43492.910208333335</v>
      </c>
      <c r="C47" s="71" t="s">
        <v>166</v>
      </c>
      <c r="D47" s="71" t="s">
        <v>167</v>
      </c>
      <c r="E47" s="71" t="s">
        <v>168</v>
      </c>
    </row>
    <row r="48" spans="1:10" x14ac:dyDescent="0.4">
      <c r="A48" s="71" t="s">
        <v>228</v>
      </c>
      <c r="B48" s="72">
        <v>43493.677731481483</v>
      </c>
      <c r="C48" s="71" t="s">
        <v>166</v>
      </c>
      <c r="D48" s="71" t="s">
        <v>167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5D2DC-092E-4D81-80A9-EEB0552926FA}">
  <sheetPr codeName="Sheet4"/>
  <dimension ref="A1:P575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225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573</v>
      </c>
      <c r="C2" s="88"/>
      <c r="E2" s="67" t="s">
        <v>73</v>
      </c>
      <c r="F2" s="63" t="s">
        <v>27</v>
      </c>
      <c r="G2" s="49">
        <v>801</v>
      </c>
      <c r="H2" s="24">
        <f>IF(B$25=0,0,G2/B$25)</f>
        <v>0.9010123734533183</v>
      </c>
      <c r="J2" s="23">
        <v>0</v>
      </c>
      <c r="K2" s="25">
        <v>0</v>
      </c>
      <c r="M2" s="23" t="s">
        <v>181</v>
      </c>
      <c r="N2" s="44">
        <f t="shared" ref="N2:N7" si="0">IF(P2=0,0,O2/P2)</f>
        <v>-10.695187165775401</v>
      </c>
      <c r="O2" s="41">
        <v>-6000</v>
      </c>
      <c r="P2" s="39">
        <v>561</v>
      </c>
    </row>
    <row r="3" spans="1:16" x14ac:dyDescent="0.4">
      <c r="A3" s="58" t="s">
        <v>8</v>
      </c>
      <c r="B3" s="93">
        <v>4344</v>
      </c>
      <c r="C3" s="94"/>
      <c r="E3" s="68" t="s">
        <v>71</v>
      </c>
      <c r="F3" s="64" t="s">
        <v>25</v>
      </c>
      <c r="G3" s="50">
        <v>631</v>
      </c>
      <c r="H3" s="27">
        <f>IF(B$25=0,0,G3/B$25)</f>
        <v>0.70978627671541061</v>
      </c>
      <c r="J3" s="26">
        <v>1</v>
      </c>
      <c r="K3" s="28">
        <v>14</v>
      </c>
      <c r="M3" s="26" t="s">
        <v>182</v>
      </c>
      <c r="N3" s="45">
        <f t="shared" si="0"/>
        <v>-3.7243947858472999</v>
      </c>
      <c r="O3" s="42">
        <v>-2000</v>
      </c>
      <c r="P3" s="37">
        <v>537</v>
      </c>
    </row>
    <row r="4" spans="1:16" x14ac:dyDescent="0.4">
      <c r="A4" s="58" t="s">
        <v>6</v>
      </c>
      <c r="B4" s="95">
        <v>-4.9999999999999831</v>
      </c>
      <c r="C4" s="96"/>
      <c r="E4" s="68" t="s">
        <v>78</v>
      </c>
      <c r="F4" s="64" t="s">
        <v>31</v>
      </c>
      <c r="G4" s="50">
        <v>522</v>
      </c>
      <c r="H4" s="27">
        <f>IF(B$25=0,0,G4/B$25)</f>
        <v>0.58717660292463447</v>
      </c>
      <c r="J4" s="26">
        <v>2</v>
      </c>
      <c r="K4" s="28">
        <v>-7</v>
      </c>
      <c r="M4" s="26" t="s">
        <v>183</v>
      </c>
      <c r="N4" s="45">
        <f t="shared" si="0"/>
        <v>10.040160642570282</v>
      </c>
      <c r="O4" s="42">
        <v>5000</v>
      </c>
      <c r="P4" s="37">
        <v>498</v>
      </c>
    </row>
    <row r="5" spans="1:16" x14ac:dyDescent="0.4">
      <c r="A5" s="58" t="s">
        <v>7</v>
      </c>
      <c r="B5" s="95">
        <f>IF(B$2=0,0,B$4/B$2)</f>
        <v>-8.7260034904013666E-3</v>
      </c>
      <c r="C5" s="96"/>
      <c r="E5" s="68" t="s">
        <v>69</v>
      </c>
      <c r="F5" s="64" t="s">
        <v>23</v>
      </c>
      <c r="G5" s="50">
        <v>485</v>
      </c>
      <c r="H5" s="27">
        <f>IF(B$25=0,0,G5/B$25)</f>
        <v>0.54555680539932505</v>
      </c>
      <c r="J5" s="26">
        <v>3</v>
      </c>
      <c r="K5" s="28">
        <v>0</v>
      </c>
      <c r="M5" s="26" t="s">
        <v>184</v>
      </c>
      <c r="N5" s="45">
        <f t="shared" si="0"/>
        <v>2.2222222222222223</v>
      </c>
      <c r="O5" s="42">
        <v>1000</v>
      </c>
      <c r="P5" s="37">
        <v>450</v>
      </c>
    </row>
    <row r="6" spans="1:16" x14ac:dyDescent="0.4">
      <c r="A6" s="58" t="s">
        <v>1</v>
      </c>
      <c r="B6" s="85">
        <f>IF(B$2=0,0,(B$7*1+B$8*2+B$9*3)/B$2)</f>
        <v>2</v>
      </c>
      <c r="C6" s="86"/>
      <c r="E6" s="68" t="s">
        <v>74</v>
      </c>
      <c r="F6" s="64" t="s">
        <v>12</v>
      </c>
      <c r="G6" s="50">
        <v>266</v>
      </c>
      <c r="H6" s="27">
        <f>IF(B$25=0,0,G6/B$25)</f>
        <v>0.29921259842519687</v>
      </c>
      <c r="J6" s="26">
        <v>4</v>
      </c>
      <c r="K6" s="28">
        <v>-1</v>
      </c>
      <c r="M6" s="26" t="s">
        <v>185</v>
      </c>
      <c r="N6" s="45">
        <f t="shared" si="0"/>
        <v>2.6246719160104988</v>
      </c>
      <c r="O6" s="42">
        <v>1000</v>
      </c>
      <c r="P6" s="37">
        <v>381</v>
      </c>
    </row>
    <row r="7" spans="1:16" x14ac:dyDescent="0.4">
      <c r="A7" s="58" t="s">
        <v>2</v>
      </c>
      <c r="B7" s="50">
        <v>191</v>
      </c>
      <c r="C7" s="27">
        <f>IF(B$2=0,0,B7/B$2)</f>
        <v>0.33333333333333331</v>
      </c>
      <c r="E7" s="68" t="s">
        <v>72</v>
      </c>
      <c r="F7" s="64" t="s">
        <v>26</v>
      </c>
      <c r="G7" s="50">
        <v>258</v>
      </c>
      <c r="H7" s="27">
        <f>IF(B$25=0,0,G7/B$25)</f>
        <v>0.29021372328458944</v>
      </c>
      <c r="J7" s="26">
        <v>5</v>
      </c>
      <c r="K7" s="28">
        <v>38.9</v>
      </c>
      <c r="M7" s="31" t="s">
        <v>186</v>
      </c>
      <c r="N7" s="46">
        <f t="shared" si="0"/>
        <v>-13.468013468013469</v>
      </c>
      <c r="O7" s="43">
        <v>-4000</v>
      </c>
      <c r="P7" s="38">
        <v>297</v>
      </c>
    </row>
    <row r="8" spans="1:16" x14ac:dyDescent="0.4">
      <c r="A8" s="58" t="s">
        <v>3</v>
      </c>
      <c r="B8" s="50">
        <v>191</v>
      </c>
      <c r="C8" s="27">
        <f t="shared" ref="C8:C9" si="1">IF(B$2=0,0,B8/B$2)</f>
        <v>0.33333333333333331</v>
      </c>
      <c r="E8" s="68" t="s">
        <v>96</v>
      </c>
      <c r="F8" s="64" t="s">
        <v>49</v>
      </c>
      <c r="G8" s="50">
        <v>133</v>
      </c>
      <c r="H8" s="27">
        <f>IF(B$25=0,0,G8/B$25)</f>
        <v>0.14960629921259844</v>
      </c>
      <c r="J8" s="26">
        <v>6</v>
      </c>
      <c r="K8" s="28">
        <v>0</v>
      </c>
    </row>
    <row r="9" spans="1:16" x14ac:dyDescent="0.4">
      <c r="A9" s="59" t="s">
        <v>4</v>
      </c>
      <c r="B9" s="51">
        <v>191</v>
      </c>
      <c r="C9" s="29">
        <f t="shared" si="1"/>
        <v>0.33333333333333331</v>
      </c>
      <c r="E9" s="68" t="s">
        <v>75</v>
      </c>
      <c r="F9" s="64" t="s">
        <v>28</v>
      </c>
      <c r="G9" s="50">
        <v>129</v>
      </c>
      <c r="H9" s="27">
        <f>IF(B$25=0,0,G9/B$25)</f>
        <v>0.14510686164229472</v>
      </c>
      <c r="J9" s="26">
        <v>7</v>
      </c>
      <c r="K9" s="28">
        <v>15.1</v>
      </c>
    </row>
    <row r="10" spans="1:16" x14ac:dyDescent="0.4">
      <c r="A10" s="59" t="s">
        <v>21</v>
      </c>
      <c r="B10" s="51">
        <v>94</v>
      </c>
      <c r="C10" s="29">
        <f>IF(B$2=0,0,B10/B$2)</f>
        <v>0.16404886561954624</v>
      </c>
      <c r="E10" s="68" t="s">
        <v>70</v>
      </c>
      <c r="F10" s="64" t="s">
        <v>24</v>
      </c>
      <c r="G10" s="50">
        <v>109</v>
      </c>
      <c r="H10" s="27">
        <f>IF(B$25=0,0,G10/B$25)</f>
        <v>0.12260967379077616</v>
      </c>
      <c r="J10" s="26">
        <v>8</v>
      </c>
      <c r="K10" s="28">
        <v>-25.699999999999996</v>
      </c>
    </row>
    <row r="11" spans="1:16" x14ac:dyDescent="0.4">
      <c r="A11" s="60" t="s">
        <v>191</v>
      </c>
      <c r="B11" s="52">
        <v>94</v>
      </c>
      <c r="C11" s="32">
        <f>IF(B$2=0,0,B11/B$2)</f>
        <v>0.16404886561954624</v>
      </c>
      <c r="E11" s="68" t="s">
        <v>76</v>
      </c>
      <c r="F11" s="64" t="s">
        <v>29</v>
      </c>
      <c r="G11" s="50">
        <v>87</v>
      </c>
      <c r="H11" s="27">
        <f>IF(B$25=0,0,G11/B$25)</f>
        <v>9.7862767154105731E-2</v>
      </c>
      <c r="J11" s="26">
        <v>9</v>
      </c>
      <c r="K11" s="28">
        <v>3.5527136788005009E-15</v>
      </c>
    </row>
    <row r="12" spans="1:16" x14ac:dyDescent="0.4">
      <c r="A12" s="61" t="s">
        <v>130</v>
      </c>
      <c r="B12" s="53">
        <v>836</v>
      </c>
      <c r="C12" s="35">
        <f>IF(B$24=0,0,B12/B$24)</f>
        <v>0.28758169934640521</v>
      </c>
      <c r="E12" s="68" t="s">
        <v>93</v>
      </c>
      <c r="F12" s="64" t="s">
        <v>46</v>
      </c>
      <c r="G12" s="50">
        <v>61</v>
      </c>
      <c r="H12" s="27">
        <f>IF(B$25=0,0,G12/B$25)</f>
        <v>6.8616422947131606E-2</v>
      </c>
      <c r="J12" s="26">
        <v>10</v>
      </c>
      <c r="K12" s="28">
        <v>84.2</v>
      </c>
    </row>
    <row r="13" spans="1:16" x14ac:dyDescent="0.4">
      <c r="A13" s="58" t="s">
        <v>125</v>
      </c>
      <c r="B13" s="50">
        <v>662</v>
      </c>
      <c r="C13" s="27">
        <f>IF(B$24=0,0,B13/B$24)</f>
        <v>0.22772617819057447</v>
      </c>
      <c r="E13" s="68" t="s">
        <v>77</v>
      </c>
      <c r="F13" s="64" t="s">
        <v>30</v>
      </c>
      <c r="G13" s="50">
        <v>42</v>
      </c>
      <c r="H13" s="27">
        <f>IF(B$25=0,0,G13/B$25)</f>
        <v>4.7244094488188976E-2</v>
      </c>
      <c r="J13" s="26">
        <v>11</v>
      </c>
      <c r="K13" s="28">
        <v>43.5</v>
      </c>
    </row>
    <row r="14" spans="1:16" x14ac:dyDescent="0.4">
      <c r="A14" s="57" t="s">
        <v>132</v>
      </c>
      <c r="B14" s="49">
        <v>493</v>
      </c>
      <c r="C14" s="24">
        <f>IF(B$12=0,0,B14/B$12)</f>
        <v>0.58971291866028708</v>
      </c>
      <c r="E14" s="68" t="s">
        <v>90</v>
      </c>
      <c r="F14" s="64" t="s">
        <v>43</v>
      </c>
      <c r="G14" s="50">
        <v>39</v>
      </c>
      <c r="H14" s="27">
        <f>IF(B$25=0,0,G14/B$25)</f>
        <v>4.3869516310461196E-2</v>
      </c>
      <c r="J14" s="26">
        <v>12</v>
      </c>
      <c r="K14" s="28">
        <v>0</v>
      </c>
    </row>
    <row r="15" spans="1:16" x14ac:dyDescent="0.4">
      <c r="A15" s="57" t="s">
        <v>133</v>
      </c>
      <c r="B15" s="49">
        <v>264</v>
      </c>
      <c r="C15" s="24">
        <f>IF(B$13=0,0,B15/B$13)</f>
        <v>0.3987915407854985</v>
      </c>
      <c r="E15" s="68" t="s">
        <v>84</v>
      </c>
      <c r="F15" s="64" t="s">
        <v>37</v>
      </c>
      <c r="G15" s="50">
        <v>25</v>
      </c>
      <c r="H15" s="27">
        <f>IF(B$25=0,0,G15/B$25)</f>
        <v>2.81214848143982E-2</v>
      </c>
      <c r="J15" s="26">
        <v>13</v>
      </c>
      <c r="K15" s="28">
        <v>30.5</v>
      </c>
    </row>
    <row r="16" spans="1:16" x14ac:dyDescent="0.4">
      <c r="A16" s="57" t="s">
        <v>10</v>
      </c>
      <c r="B16" s="49">
        <f>B18+B17</f>
        <v>1330</v>
      </c>
      <c r="C16" s="24">
        <f>IF(B$3=0,0,B16/B$3)</f>
        <v>0.30616942909760592</v>
      </c>
      <c r="E16" s="68" t="s">
        <v>88</v>
      </c>
      <c r="F16" s="64" t="s">
        <v>41</v>
      </c>
      <c r="G16" s="50">
        <v>22</v>
      </c>
      <c r="H16" s="27">
        <f>IF(B$25=0,0,G16/B$25)</f>
        <v>2.4746906636670417E-2</v>
      </c>
      <c r="J16" s="26">
        <v>14</v>
      </c>
      <c r="K16" s="28">
        <v>-4</v>
      </c>
    </row>
    <row r="17" spans="1:11" x14ac:dyDescent="0.4">
      <c r="A17" s="58" t="s">
        <v>12</v>
      </c>
      <c r="B17" s="50">
        <v>549</v>
      </c>
      <c r="C17" s="27">
        <f>IF(B$16=0,0,B17/B$16)</f>
        <v>0.41278195488721803</v>
      </c>
      <c r="E17" s="68" t="s">
        <v>98</v>
      </c>
      <c r="F17" s="64" t="s">
        <v>51</v>
      </c>
      <c r="G17" s="50">
        <v>15</v>
      </c>
      <c r="H17" s="27">
        <f>IF(B$25=0,0,G17/B$25)</f>
        <v>1.6872890888638921E-2</v>
      </c>
      <c r="J17" s="26">
        <v>15</v>
      </c>
      <c r="K17" s="28">
        <v>0</v>
      </c>
    </row>
    <row r="18" spans="1:11" x14ac:dyDescent="0.4">
      <c r="A18" s="58" t="s">
        <v>11</v>
      </c>
      <c r="B18" s="50">
        <v>781</v>
      </c>
      <c r="C18" s="27">
        <f>IF(B$16=0,0,B18/B$16)</f>
        <v>0.58721804511278197</v>
      </c>
      <c r="E18" s="68" t="s">
        <v>85</v>
      </c>
      <c r="F18" s="64" t="s">
        <v>38</v>
      </c>
      <c r="G18" s="50">
        <v>11</v>
      </c>
      <c r="H18" s="27">
        <f>IF(B$25=0,0,G18/B$25)</f>
        <v>1.2373453318335208E-2</v>
      </c>
      <c r="J18" s="26">
        <v>16</v>
      </c>
      <c r="K18" s="28">
        <v>-47</v>
      </c>
    </row>
    <row r="19" spans="1:11" x14ac:dyDescent="0.4">
      <c r="A19" s="58" t="s">
        <v>13</v>
      </c>
      <c r="B19" s="50">
        <v>763</v>
      </c>
      <c r="C19" s="27">
        <f>IF(B$3=0,0,B19/B$3)</f>
        <v>0.17564456721915286</v>
      </c>
      <c r="E19" s="68" t="s">
        <v>79</v>
      </c>
      <c r="F19" s="64" t="s">
        <v>32</v>
      </c>
      <c r="G19" s="50">
        <v>7</v>
      </c>
      <c r="H19" s="27">
        <f>IF(B$25=0,0,G19/B$25)</f>
        <v>7.874015748031496E-3</v>
      </c>
      <c r="J19" s="26">
        <v>17</v>
      </c>
      <c r="K19" s="28">
        <v>-8</v>
      </c>
    </row>
    <row r="20" spans="1:11" x14ac:dyDescent="0.4">
      <c r="A20" s="58" t="s">
        <v>5</v>
      </c>
      <c r="B20" s="54">
        <f>IF(B$16=0,0,C20/B$16)</f>
        <v>10185.864661654135</v>
      </c>
      <c r="C20" s="30">
        <v>13547200</v>
      </c>
      <c r="E20" s="68" t="s">
        <v>83</v>
      </c>
      <c r="F20" s="64" t="s">
        <v>36</v>
      </c>
      <c r="G20" s="50">
        <v>7</v>
      </c>
      <c r="H20" s="27">
        <f>IF(B$25=0,0,G20/B$25)</f>
        <v>7.874015748031496E-3</v>
      </c>
      <c r="J20" s="26">
        <v>18</v>
      </c>
      <c r="K20" s="28">
        <v>0</v>
      </c>
    </row>
    <row r="21" spans="1:11" x14ac:dyDescent="0.4">
      <c r="A21" s="60" t="s">
        <v>14</v>
      </c>
      <c r="B21" s="55">
        <f>IF(B$19=0,0,C21/B$19)</f>
        <v>-9468.676277850589</v>
      </c>
      <c r="C21" s="48">
        <v>-7224600</v>
      </c>
      <c r="E21" s="68" t="s">
        <v>81</v>
      </c>
      <c r="F21" s="64" t="s">
        <v>34</v>
      </c>
      <c r="G21" s="50">
        <v>6</v>
      </c>
      <c r="H21" s="27">
        <f>IF(B$25=0,0,G21/B$25)</f>
        <v>6.7491563554555678E-3</v>
      </c>
      <c r="J21" s="26">
        <v>19</v>
      </c>
      <c r="K21" s="28">
        <v>-5.0999999999999996</v>
      </c>
    </row>
    <row r="22" spans="1:11" x14ac:dyDescent="0.4">
      <c r="A22" s="57" t="s">
        <v>178</v>
      </c>
      <c r="B22" s="49">
        <v>1441</v>
      </c>
      <c r="C22" s="24">
        <f>IF(B$3=0,0,B22/B$3)</f>
        <v>0.3317219152854512</v>
      </c>
      <c r="E22" s="68" t="s">
        <v>99</v>
      </c>
      <c r="F22" s="64" t="s">
        <v>52</v>
      </c>
      <c r="G22" s="50">
        <v>5</v>
      </c>
      <c r="H22" s="27">
        <f>IF(B$25=0,0,G22/B$25)</f>
        <v>5.6242969628796397E-3</v>
      </c>
      <c r="J22" s="26">
        <v>20</v>
      </c>
      <c r="K22" s="28">
        <v>4.9000000000000004</v>
      </c>
    </row>
    <row r="23" spans="1:11" x14ac:dyDescent="0.4">
      <c r="A23" s="60" t="s">
        <v>179</v>
      </c>
      <c r="B23" s="52">
        <v>524</v>
      </c>
      <c r="C23" s="32">
        <f>IF(B$22=0,0,B23/B$22)</f>
        <v>0.36363636363636365</v>
      </c>
      <c r="E23" s="68" t="s">
        <v>92</v>
      </c>
      <c r="F23" s="64" t="s">
        <v>45</v>
      </c>
      <c r="G23" s="50">
        <v>4</v>
      </c>
      <c r="H23" s="27">
        <f>IF(B$25=0,0,G23/B$25)</f>
        <v>4.4994375703037125E-3</v>
      </c>
      <c r="J23" s="26">
        <v>21</v>
      </c>
      <c r="K23" s="28">
        <v>0</v>
      </c>
    </row>
    <row r="24" spans="1:11" x14ac:dyDescent="0.4">
      <c r="A24" s="57" t="s">
        <v>128</v>
      </c>
      <c r="B24" s="87">
        <v>2907</v>
      </c>
      <c r="C24" s="88"/>
      <c r="E24" s="68" t="s">
        <v>91</v>
      </c>
      <c r="F24" s="64" t="s">
        <v>44</v>
      </c>
      <c r="G24" s="50">
        <v>3</v>
      </c>
      <c r="H24" s="27">
        <f>IF(B$25=0,0,G24/B$25)</f>
        <v>3.3745781777277839E-3</v>
      </c>
      <c r="J24" s="26">
        <v>22</v>
      </c>
      <c r="K24" s="28">
        <v>-35</v>
      </c>
    </row>
    <row r="25" spans="1:11" x14ac:dyDescent="0.4">
      <c r="A25" s="60" t="s">
        <v>129</v>
      </c>
      <c r="B25" s="89">
        <v>889</v>
      </c>
      <c r="C25" s="90"/>
      <c r="E25" s="68" t="s">
        <v>94</v>
      </c>
      <c r="F25" s="64" t="s">
        <v>47</v>
      </c>
      <c r="G25" s="50">
        <v>3</v>
      </c>
      <c r="H25" s="27">
        <f>IF(B$25=0,0,G25/B$25)</f>
        <v>3.3745781777277839E-3</v>
      </c>
      <c r="J25" s="26">
        <v>23</v>
      </c>
      <c r="K25" s="28">
        <v>-3</v>
      </c>
    </row>
    <row r="26" spans="1:11" x14ac:dyDescent="0.4">
      <c r="A26" s="75" t="s">
        <v>196</v>
      </c>
      <c r="B26" s="83">
        <v>10</v>
      </c>
      <c r="C26" s="84"/>
      <c r="E26" s="68" t="s">
        <v>80</v>
      </c>
      <c r="F26" s="64" t="s">
        <v>33</v>
      </c>
      <c r="G26" s="50">
        <v>2</v>
      </c>
      <c r="H26" s="27">
        <f>IF(B$25=0,0,G26/B$25)</f>
        <v>2.2497187851518562E-3</v>
      </c>
      <c r="J26" s="26">
        <v>24</v>
      </c>
      <c r="K26" s="28">
        <v>0</v>
      </c>
    </row>
    <row r="27" spans="1:11" x14ac:dyDescent="0.4">
      <c r="A27" s="60" t="s">
        <v>198</v>
      </c>
      <c r="B27" s="76">
        <v>17</v>
      </c>
      <c r="C27" s="32">
        <f>IF(B$3=0,0,B27/B$3)</f>
        <v>3.9134438305709028E-3</v>
      </c>
      <c r="E27" s="68" t="s">
        <v>100</v>
      </c>
      <c r="F27" s="64" t="s">
        <v>53</v>
      </c>
      <c r="G27" s="50">
        <v>2</v>
      </c>
      <c r="H27" s="27">
        <f>IF(B$25=0,0,G27/B$25)</f>
        <v>2.2497187851518562E-3</v>
      </c>
      <c r="J27" s="26">
        <v>25</v>
      </c>
      <c r="K27" s="28">
        <v>-40</v>
      </c>
    </row>
    <row r="28" spans="1:11" x14ac:dyDescent="0.4">
      <c r="E28" s="68" t="s">
        <v>87</v>
      </c>
      <c r="F28" s="64" t="s">
        <v>40</v>
      </c>
      <c r="G28" s="50">
        <v>1</v>
      </c>
      <c r="H28" s="27">
        <f>IF(B$25=0,0,G28/B$25)</f>
        <v>1.1248593925759281E-3</v>
      </c>
      <c r="J28" s="26">
        <v>26</v>
      </c>
      <c r="K28" s="28">
        <v>11.5</v>
      </c>
    </row>
    <row r="29" spans="1:11" x14ac:dyDescent="0.4">
      <c r="E29" s="68" t="s">
        <v>95</v>
      </c>
      <c r="F29" s="64" t="s">
        <v>48</v>
      </c>
      <c r="G29" s="50">
        <v>1</v>
      </c>
      <c r="H29" s="27">
        <f>IF(B$25=0,0,G29/B$25)</f>
        <v>1.1248593925759281E-3</v>
      </c>
      <c r="J29" s="26">
        <v>27</v>
      </c>
      <c r="K29" s="28">
        <v>0</v>
      </c>
    </row>
    <row r="30" spans="1:11" x14ac:dyDescent="0.4">
      <c r="E30" s="68" t="s">
        <v>97</v>
      </c>
      <c r="F30" s="64" t="s">
        <v>50</v>
      </c>
      <c r="G30" s="50">
        <v>1</v>
      </c>
      <c r="H30" s="27">
        <f>IF(B$25=0,0,G30/B$25)</f>
        <v>1.1248593925759281E-3</v>
      </c>
      <c r="J30" s="26">
        <v>28</v>
      </c>
      <c r="K30" s="28">
        <v>-31.5</v>
      </c>
    </row>
    <row r="31" spans="1:11" x14ac:dyDescent="0.4">
      <c r="E31" s="68" t="s">
        <v>102</v>
      </c>
      <c r="F31" s="64" t="s">
        <v>55</v>
      </c>
      <c r="G31" s="50">
        <v>1</v>
      </c>
      <c r="H31" s="27">
        <f>IF(B$25=0,0,G31/B$25)</f>
        <v>1.1248593925759281E-3</v>
      </c>
      <c r="J31" s="26">
        <v>29</v>
      </c>
      <c r="K31" s="28">
        <v>35.700000000000003</v>
      </c>
    </row>
    <row r="32" spans="1:11" x14ac:dyDescent="0.4">
      <c r="E32" s="68" t="s">
        <v>113</v>
      </c>
      <c r="F32" s="64" t="s">
        <v>120</v>
      </c>
      <c r="G32" s="50">
        <v>1</v>
      </c>
      <c r="H32" s="27">
        <f>IF(B$25=0,0,G32/B$25)</f>
        <v>1.1248593925759281E-3</v>
      </c>
      <c r="J32" s="26">
        <v>30</v>
      </c>
      <c r="K32" s="28">
        <v>0</v>
      </c>
    </row>
    <row r="33" spans="5:11" x14ac:dyDescent="0.4">
      <c r="E33" s="68" t="s">
        <v>82</v>
      </c>
      <c r="F33" s="64" t="s">
        <v>35</v>
      </c>
      <c r="G33" s="50">
        <v>0</v>
      </c>
      <c r="H33" s="27">
        <f>IF(B$25=0,0,G33/B$25)</f>
        <v>0</v>
      </c>
      <c r="J33" s="26">
        <v>31</v>
      </c>
      <c r="K33" s="28">
        <v>17.3</v>
      </c>
    </row>
    <row r="34" spans="5:11" x14ac:dyDescent="0.4">
      <c r="E34" s="68" t="s">
        <v>86</v>
      </c>
      <c r="F34" s="64" t="s">
        <v>39</v>
      </c>
      <c r="G34" s="50">
        <v>0</v>
      </c>
      <c r="H34" s="27">
        <f>IF(B$25=0,0,G34/B$25)</f>
        <v>0</v>
      </c>
      <c r="J34" s="26">
        <v>32</v>
      </c>
      <c r="K34" s="28">
        <v>8.6000000000000014</v>
      </c>
    </row>
    <row r="35" spans="5:11" x14ac:dyDescent="0.4">
      <c r="E35" s="68" t="s">
        <v>89</v>
      </c>
      <c r="F35" s="64" t="s">
        <v>42</v>
      </c>
      <c r="G35" s="50">
        <v>0</v>
      </c>
      <c r="H35" s="27">
        <f>IF(B$25=0,0,G35/B$25)</f>
        <v>0</v>
      </c>
      <c r="J35" s="26">
        <v>33</v>
      </c>
      <c r="K35" s="28">
        <v>1.7763568394002505E-15</v>
      </c>
    </row>
    <row r="36" spans="5:11" x14ac:dyDescent="0.4">
      <c r="E36" s="68" t="s">
        <v>101</v>
      </c>
      <c r="F36" s="64" t="s">
        <v>54</v>
      </c>
      <c r="G36" s="50">
        <v>0</v>
      </c>
      <c r="H36" s="27">
        <f>IF(B$25=0,0,G36/B$25)</f>
        <v>0</v>
      </c>
      <c r="J36" s="26">
        <v>34</v>
      </c>
      <c r="K36" s="28">
        <v>12.800000000000002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35.400000000000006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7.1054273576010019E-15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56.000000000000007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31.600000000000009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7.1054273576010019E-15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-42.999999999999993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22.000000000000007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7.1054273576010019E-15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-35.999999999999993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-34.499999999999993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7.1054273576010019E-15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1.6000000000000072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4.4000000000000075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7.1054273576010019E-15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-21.399999999999991</v>
      </c>
    </row>
    <row r="52" spans="5:11" x14ac:dyDescent="0.4">
      <c r="J52" s="26">
        <v>50</v>
      </c>
      <c r="K52" s="28">
        <v>-52.899999999999991</v>
      </c>
    </row>
    <row r="53" spans="5:11" x14ac:dyDescent="0.4">
      <c r="J53" s="26">
        <v>51</v>
      </c>
      <c r="K53" s="28">
        <v>7.1054273576010019E-15</v>
      </c>
    </row>
    <row r="54" spans="5:11" x14ac:dyDescent="0.4">
      <c r="J54" s="26">
        <v>52</v>
      </c>
      <c r="K54" s="28">
        <v>13.900000000000007</v>
      </c>
    </row>
    <row r="55" spans="5:11" x14ac:dyDescent="0.4">
      <c r="J55" s="26">
        <v>53</v>
      </c>
      <c r="K55" s="28">
        <v>1.2000000000000082</v>
      </c>
    </row>
    <row r="56" spans="5:11" x14ac:dyDescent="0.4">
      <c r="J56" s="26">
        <v>54</v>
      </c>
      <c r="K56" s="28">
        <v>8.2156503822261584E-15</v>
      </c>
    </row>
    <row r="57" spans="5:11" x14ac:dyDescent="0.4">
      <c r="J57" s="26">
        <v>55</v>
      </c>
      <c r="K57" s="28">
        <v>56.20000000000001</v>
      </c>
    </row>
    <row r="58" spans="5:11" x14ac:dyDescent="0.4">
      <c r="J58" s="26">
        <v>56</v>
      </c>
      <c r="K58" s="28">
        <v>18.800000000000011</v>
      </c>
    </row>
    <row r="59" spans="5:11" x14ac:dyDescent="0.4">
      <c r="J59" s="26">
        <v>57</v>
      </c>
      <c r="K59" s="28">
        <v>1.0658141036401503E-14</v>
      </c>
    </row>
    <row r="60" spans="5:11" x14ac:dyDescent="0.4">
      <c r="J60" s="26">
        <v>58</v>
      </c>
      <c r="K60" s="28">
        <v>25.20000000000001</v>
      </c>
    </row>
    <row r="61" spans="5:11" x14ac:dyDescent="0.4">
      <c r="J61" s="26">
        <v>59</v>
      </c>
      <c r="K61" s="28">
        <v>1.0000000000000107</v>
      </c>
    </row>
    <row r="62" spans="5:11" x14ac:dyDescent="0.4">
      <c r="J62" s="26">
        <v>60</v>
      </c>
      <c r="K62" s="28">
        <v>1.0658141036401503E-14</v>
      </c>
    </row>
    <row r="63" spans="5:11" x14ac:dyDescent="0.4">
      <c r="J63" s="26">
        <v>61</v>
      </c>
      <c r="K63" s="28">
        <v>55.500000000000014</v>
      </c>
    </row>
    <row r="64" spans="5:11" x14ac:dyDescent="0.4">
      <c r="J64" s="26">
        <v>62</v>
      </c>
      <c r="K64" s="28">
        <v>10.000000000000014</v>
      </c>
    </row>
    <row r="65" spans="10:11" x14ac:dyDescent="0.4">
      <c r="J65" s="26">
        <v>63</v>
      </c>
      <c r="K65" s="28">
        <v>1.4210854715202004E-14</v>
      </c>
    </row>
    <row r="66" spans="10:11" x14ac:dyDescent="0.4">
      <c r="J66" s="26">
        <v>64</v>
      </c>
      <c r="K66" s="28">
        <v>-25.499999999999986</v>
      </c>
    </row>
    <row r="67" spans="10:11" x14ac:dyDescent="0.4">
      <c r="J67" s="26">
        <v>65</v>
      </c>
      <c r="K67" s="28">
        <v>-64.399999999999977</v>
      </c>
    </row>
    <row r="68" spans="10:11" x14ac:dyDescent="0.4">
      <c r="J68" s="26">
        <v>66</v>
      </c>
      <c r="K68" s="28">
        <v>2.8421709430404007E-14</v>
      </c>
    </row>
    <row r="69" spans="10:11" x14ac:dyDescent="0.4">
      <c r="J69" s="26">
        <v>67</v>
      </c>
      <c r="K69" s="28">
        <v>23.700000000000028</v>
      </c>
    </row>
    <row r="70" spans="10:11" x14ac:dyDescent="0.4">
      <c r="J70" s="26">
        <v>68</v>
      </c>
      <c r="K70" s="28">
        <v>-11.099999999999969</v>
      </c>
    </row>
    <row r="71" spans="10:11" x14ac:dyDescent="0.4">
      <c r="J71" s="26">
        <v>69</v>
      </c>
      <c r="K71" s="28">
        <v>3.0198066269804258E-14</v>
      </c>
    </row>
    <row r="72" spans="10:11" x14ac:dyDescent="0.4">
      <c r="J72" s="26">
        <v>70</v>
      </c>
      <c r="K72" s="28">
        <v>-6.4999999999999698</v>
      </c>
    </row>
    <row r="73" spans="10:11" x14ac:dyDescent="0.4">
      <c r="J73" s="26">
        <v>71</v>
      </c>
      <c r="K73" s="28">
        <v>-49.999999999999972</v>
      </c>
    </row>
    <row r="74" spans="10:11" x14ac:dyDescent="0.4">
      <c r="J74" s="26">
        <v>72</v>
      </c>
      <c r="K74" s="28">
        <v>2.8421709430404007E-14</v>
      </c>
    </row>
    <row r="75" spans="10:11" x14ac:dyDescent="0.4">
      <c r="J75" s="26">
        <v>73</v>
      </c>
      <c r="K75" s="28">
        <v>-32.699999999999974</v>
      </c>
    </row>
    <row r="76" spans="10:11" x14ac:dyDescent="0.4">
      <c r="J76" s="26">
        <v>74</v>
      </c>
      <c r="K76" s="28">
        <v>-16.199999999999974</v>
      </c>
    </row>
    <row r="77" spans="10:11" x14ac:dyDescent="0.4">
      <c r="J77" s="26">
        <v>75</v>
      </c>
      <c r="K77" s="28">
        <v>2.4868995751603507E-14</v>
      </c>
    </row>
    <row r="78" spans="10:11" x14ac:dyDescent="0.4">
      <c r="J78" s="26">
        <v>76</v>
      </c>
      <c r="K78" s="28">
        <v>22.900000000000023</v>
      </c>
    </row>
    <row r="79" spans="10:11" x14ac:dyDescent="0.4">
      <c r="J79" s="26">
        <v>77</v>
      </c>
      <c r="K79" s="28">
        <v>14.500000000000023</v>
      </c>
    </row>
    <row r="80" spans="10:11" x14ac:dyDescent="0.4">
      <c r="J80" s="26">
        <v>78</v>
      </c>
      <c r="K80" s="28">
        <v>2.3092638912203256E-14</v>
      </c>
    </row>
    <row r="81" spans="10:11" x14ac:dyDescent="0.4">
      <c r="J81" s="26">
        <v>79</v>
      </c>
      <c r="K81" s="28">
        <v>-35.999999999999979</v>
      </c>
    </row>
    <row r="82" spans="10:11" x14ac:dyDescent="0.4">
      <c r="J82" s="26">
        <v>80</v>
      </c>
      <c r="K82" s="28">
        <v>24.500000000000021</v>
      </c>
    </row>
    <row r="83" spans="10:11" x14ac:dyDescent="0.4">
      <c r="J83" s="26">
        <v>81</v>
      </c>
      <c r="K83" s="28">
        <v>2.1316282072803006E-14</v>
      </c>
    </row>
    <row r="84" spans="10:11" x14ac:dyDescent="0.4">
      <c r="J84" s="26">
        <v>82</v>
      </c>
      <c r="K84" s="28">
        <v>57.000000000000021</v>
      </c>
    </row>
    <row r="85" spans="10:11" x14ac:dyDescent="0.4">
      <c r="J85" s="26">
        <v>83</v>
      </c>
      <c r="K85" s="28">
        <v>40.500000000000021</v>
      </c>
    </row>
    <row r="86" spans="10:11" x14ac:dyDescent="0.4">
      <c r="J86" s="26">
        <v>84</v>
      </c>
      <c r="K86" s="28">
        <v>2.1316282072803006E-14</v>
      </c>
    </row>
    <row r="87" spans="10:11" x14ac:dyDescent="0.4">
      <c r="J87" s="26">
        <v>85</v>
      </c>
      <c r="K87" s="28">
        <v>-8.399999999999979</v>
      </c>
    </row>
    <row r="88" spans="10:11" x14ac:dyDescent="0.4">
      <c r="J88" s="26">
        <v>86</v>
      </c>
      <c r="K88" s="28">
        <v>18.300000000000018</v>
      </c>
    </row>
    <row r="89" spans="10:11" x14ac:dyDescent="0.4">
      <c r="J89" s="26">
        <v>87</v>
      </c>
      <c r="K89" s="28">
        <v>1.7763568394002505E-14</v>
      </c>
    </row>
    <row r="90" spans="10:11" x14ac:dyDescent="0.4">
      <c r="J90" s="26">
        <v>88</v>
      </c>
      <c r="K90" s="28">
        <v>-8.3999999999999826</v>
      </c>
    </row>
    <row r="91" spans="10:11" x14ac:dyDescent="0.4">
      <c r="J91" s="26">
        <v>89</v>
      </c>
      <c r="K91" s="28">
        <v>18.300000000000018</v>
      </c>
    </row>
    <row r="92" spans="10:11" x14ac:dyDescent="0.4">
      <c r="J92" s="26">
        <v>90</v>
      </c>
      <c r="K92" s="28">
        <v>1.7763568394002505E-14</v>
      </c>
    </row>
    <row r="93" spans="10:11" x14ac:dyDescent="0.4">
      <c r="J93" s="26">
        <v>91</v>
      </c>
      <c r="K93" s="28">
        <v>52.300000000000011</v>
      </c>
    </row>
    <row r="94" spans="10:11" x14ac:dyDescent="0.4">
      <c r="J94" s="26">
        <v>92</v>
      </c>
      <c r="K94" s="28">
        <v>14.400000000000013</v>
      </c>
    </row>
    <row r="95" spans="10:11" x14ac:dyDescent="0.4">
      <c r="J95" s="26">
        <v>93</v>
      </c>
      <c r="K95" s="28">
        <v>1.2434497875801753E-14</v>
      </c>
    </row>
    <row r="96" spans="10:11" x14ac:dyDescent="0.4">
      <c r="J96" s="26">
        <v>94</v>
      </c>
      <c r="K96" s="28">
        <v>-13.999999999999988</v>
      </c>
    </row>
    <row r="97" spans="10:11" x14ac:dyDescent="0.4">
      <c r="J97" s="26">
        <v>95</v>
      </c>
      <c r="K97" s="28">
        <v>-50.999999999999986</v>
      </c>
    </row>
    <row r="98" spans="10:11" x14ac:dyDescent="0.4">
      <c r="J98" s="26">
        <v>96</v>
      </c>
      <c r="K98" s="28">
        <v>1.4210854715202004E-14</v>
      </c>
    </row>
    <row r="99" spans="10:11" x14ac:dyDescent="0.4">
      <c r="J99" s="26">
        <v>97</v>
      </c>
      <c r="K99" s="28">
        <v>59.700000000000017</v>
      </c>
    </row>
    <row r="100" spans="10:11" x14ac:dyDescent="0.4">
      <c r="J100" s="26">
        <v>98</v>
      </c>
      <c r="K100" s="28">
        <v>39.40000000000002</v>
      </c>
    </row>
    <row r="101" spans="10:11" x14ac:dyDescent="0.4">
      <c r="J101" s="26">
        <v>99</v>
      </c>
      <c r="K101" s="28">
        <v>2.1316282072803006E-14</v>
      </c>
    </row>
    <row r="102" spans="10:11" x14ac:dyDescent="0.4">
      <c r="J102" s="26">
        <v>100</v>
      </c>
      <c r="K102" s="28">
        <v>49.000000000000021</v>
      </c>
    </row>
    <row r="103" spans="10:11" x14ac:dyDescent="0.4">
      <c r="J103" s="26">
        <v>101</v>
      </c>
      <c r="K103" s="28">
        <v>40.500000000000021</v>
      </c>
    </row>
    <row r="104" spans="10:11" x14ac:dyDescent="0.4">
      <c r="J104" s="26">
        <v>102</v>
      </c>
      <c r="K104" s="28">
        <v>2.1316282072803006E-14</v>
      </c>
    </row>
    <row r="105" spans="10:11" x14ac:dyDescent="0.4">
      <c r="J105" s="26">
        <v>103</v>
      </c>
      <c r="K105" s="28">
        <v>-13.999999999999979</v>
      </c>
    </row>
    <row r="106" spans="10:11" x14ac:dyDescent="0.4">
      <c r="J106" s="26">
        <v>104</v>
      </c>
      <c r="K106" s="28">
        <v>-51.499999999999979</v>
      </c>
    </row>
    <row r="107" spans="10:11" x14ac:dyDescent="0.4">
      <c r="J107" s="26">
        <v>105</v>
      </c>
      <c r="K107" s="28">
        <v>2.1316282072803006E-14</v>
      </c>
    </row>
    <row r="108" spans="10:11" x14ac:dyDescent="0.4">
      <c r="J108" s="26">
        <v>106</v>
      </c>
      <c r="K108" s="28">
        <v>-3.3999999999999786</v>
      </c>
    </row>
    <row r="109" spans="10:11" x14ac:dyDescent="0.4">
      <c r="J109" s="26">
        <v>107</v>
      </c>
      <c r="K109" s="28">
        <v>-13.999999999999979</v>
      </c>
    </row>
    <row r="110" spans="10:11" x14ac:dyDescent="0.4">
      <c r="J110" s="26">
        <v>108</v>
      </c>
      <c r="K110" s="28">
        <v>2.1316282072803006E-14</v>
      </c>
    </row>
    <row r="111" spans="10:11" x14ac:dyDescent="0.4">
      <c r="J111" s="26">
        <v>109</v>
      </c>
      <c r="K111" s="28">
        <v>-16.09999999999998</v>
      </c>
    </row>
    <row r="112" spans="10:11" x14ac:dyDescent="0.4">
      <c r="J112" s="26">
        <v>110</v>
      </c>
      <c r="K112" s="28">
        <v>-15.799999999999979</v>
      </c>
    </row>
    <row r="113" spans="10:11" x14ac:dyDescent="0.4">
      <c r="J113" s="26">
        <v>111</v>
      </c>
      <c r="K113" s="28">
        <v>2.1316282072803006E-14</v>
      </c>
    </row>
    <row r="114" spans="10:11" x14ac:dyDescent="0.4">
      <c r="J114" s="26">
        <v>112</v>
      </c>
      <c r="K114" s="28">
        <v>20.100000000000023</v>
      </c>
    </row>
    <row r="115" spans="10:11" x14ac:dyDescent="0.4">
      <c r="J115" s="26">
        <v>113</v>
      </c>
      <c r="K115" s="28">
        <v>34.800000000000026</v>
      </c>
    </row>
    <row r="116" spans="10:11" x14ac:dyDescent="0.4">
      <c r="J116" s="26">
        <v>114</v>
      </c>
      <c r="K116" s="28">
        <v>2.8421709430404007E-14</v>
      </c>
    </row>
    <row r="117" spans="10:11" x14ac:dyDescent="0.4">
      <c r="J117" s="26">
        <v>115</v>
      </c>
      <c r="K117" s="28">
        <v>-49.599999999999973</v>
      </c>
    </row>
    <row r="118" spans="10:11" x14ac:dyDescent="0.4">
      <c r="J118" s="26">
        <v>116</v>
      </c>
      <c r="K118" s="28">
        <v>-2.599999999999973</v>
      </c>
    </row>
    <row r="119" spans="10:11" x14ac:dyDescent="0.4">
      <c r="J119" s="26">
        <v>117</v>
      </c>
      <c r="K119" s="28">
        <v>2.708944180085382E-14</v>
      </c>
    </row>
    <row r="120" spans="10:11" x14ac:dyDescent="0.4">
      <c r="J120" s="26">
        <v>118</v>
      </c>
      <c r="K120" s="28">
        <v>-8.1999999999999726</v>
      </c>
    </row>
    <row r="121" spans="10:11" x14ac:dyDescent="0.4">
      <c r="J121" s="26">
        <v>119</v>
      </c>
      <c r="K121" s="28">
        <v>-48.999999999999972</v>
      </c>
    </row>
    <row r="122" spans="10:11" x14ac:dyDescent="0.4">
      <c r="J122" s="26">
        <v>120</v>
      </c>
      <c r="K122" s="28">
        <v>2.8421709430404007E-14</v>
      </c>
    </row>
    <row r="123" spans="10:11" x14ac:dyDescent="0.4">
      <c r="J123" s="26">
        <v>121</v>
      </c>
      <c r="K123" s="28">
        <v>-5.9999999999999716</v>
      </c>
    </row>
    <row r="124" spans="10:11" x14ac:dyDescent="0.4">
      <c r="J124" s="26">
        <v>122</v>
      </c>
      <c r="K124" s="28">
        <v>-11.499999999999972</v>
      </c>
    </row>
    <row r="125" spans="10:11" x14ac:dyDescent="0.4">
      <c r="J125" s="26">
        <v>123</v>
      </c>
      <c r="K125" s="28">
        <v>2.8421709430404007E-14</v>
      </c>
    </row>
    <row r="126" spans="10:11" x14ac:dyDescent="0.4">
      <c r="J126" s="26">
        <v>124</v>
      </c>
      <c r="K126" s="28">
        <v>-35.39999999999997</v>
      </c>
    </row>
    <row r="127" spans="10:11" x14ac:dyDescent="0.4">
      <c r="J127" s="26">
        <v>125</v>
      </c>
      <c r="K127" s="28">
        <v>-11.499999999999972</v>
      </c>
    </row>
    <row r="128" spans="10:11" x14ac:dyDescent="0.4">
      <c r="J128" s="26">
        <v>126</v>
      </c>
      <c r="K128" s="28">
        <v>2.8421709430404007E-14</v>
      </c>
    </row>
    <row r="129" spans="10:11" x14ac:dyDescent="0.4">
      <c r="J129" s="26">
        <v>127</v>
      </c>
      <c r="K129" s="28">
        <v>-7.4999999999999716</v>
      </c>
    </row>
    <row r="130" spans="10:11" x14ac:dyDescent="0.4">
      <c r="J130" s="26">
        <v>128</v>
      </c>
      <c r="K130" s="28">
        <v>-4.4999999999999716</v>
      </c>
    </row>
    <row r="131" spans="10:11" x14ac:dyDescent="0.4">
      <c r="J131" s="26">
        <v>129</v>
      </c>
      <c r="K131" s="28">
        <v>2.8421709430404007E-14</v>
      </c>
    </row>
    <row r="132" spans="10:11" x14ac:dyDescent="0.4">
      <c r="J132" s="26">
        <v>130</v>
      </c>
      <c r="K132" s="28">
        <v>8.4000000000000288</v>
      </c>
    </row>
    <row r="133" spans="10:11" x14ac:dyDescent="0.4">
      <c r="J133" s="26">
        <v>131</v>
      </c>
      <c r="K133" s="28">
        <v>22.900000000000027</v>
      </c>
    </row>
    <row r="134" spans="10:11" x14ac:dyDescent="0.4">
      <c r="J134" s="26">
        <v>132</v>
      </c>
      <c r="K134" s="28">
        <v>2.8421709430404007E-14</v>
      </c>
    </row>
    <row r="135" spans="10:11" x14ac:dyDescent="0.4">
      <c r="J135" s="26">
        <v>133</v>
      </c>
      <c r="K135" s="28">
        <v>-9.3999999999999719</v>
      </c>
    </row>
    <row r="136" spans="10:11" x14ac:dyDescent="0.4">
      <c r="J136" s="26">
        <v>134</v>
      </c>
      <c r="K136" s="28">
        <v>0.70000000000002771</v>
      </c>
    </row>
    <row r="137" spans="10:11" x14ac:dyDescent="0.4">
      <c r="J137" s="26">
        <v>135</v>
      </c>
      <c r="K137" s="28">
        <v>2.7755575615628914E-14</v>
      </c>
    </row>
    <row r="138" spans="10:11" x14ac:dyDescent="0.4">
      <c r="J138" s="26">
        <v>136</v>
      </c>
      <c r="K138" s="28">
        <v>26.900000000000027</v>
      </c>
    </row>
    <row r="139" spans="10:11" x14ac:dyDescent="0.4">
      <c r="J139" s="26">
        <v>137</v>
      </c>
      <c r="K139" s="28">
        <v>-7.9999999999999716</v>
      </c>
    </row>
    <row r="140" spans="10:11" x14ac:dyDescent="0.4">
      <c r="J140" s="26">
        <v>138</v>
      </c>
      <c r="K140" s="28">
        <v>2.8421709430404007E-14</v>
      </c>
    </row>
    <row r="141" spans="10:11" x14ac:dyDescent="0.4">
      <c r="J141" s="26">
        <v>139</v>
      </c>
      <c r="K141" s="28">
        <v>-19.499999999999972</v>
      </c>
    </row>
    <row r="142" spans="10:11" x14ac:dyDescent="0.4">
      <c r="J142" s="26">
        <v>140</v>
      </c>
      <c r="K142" s="28">
        <v>-24.199999999999971</v>
      </c>
    </row>
    <row r="143" spans="10:11" x14ac:dyDescent="0.4">
      <c r="J143" s="26">
        <v>141</v>
      </c>
      <c r="K143" s="28">
        <v>2.8421709430404007E-14</v>
      </c>
    </row>
    <row r="144" spans="10:11" x14ac:dyDescent="0.4">
      <c r="J144" s="26">
        <v>142</v>
      </c>
      <c r="K144" s="28">
        <v>-31.099999999999973</v>
      </c>
    </row>
    <row r="145" spans="10:11" x14ac:dyDescent="0.4">
      <c r="J145" s="26">
        <v>143</v>
      </c>
      <c r="K145" s="28">
        <v>-61.299999999999969</v>
      </c>
    </row>
    <row r="146" spans="10:11" x14ac:dyDescent="0.4">
      <c r="J146" s="26">
        <v>144</v>
      </c>
      <c r="K146" s="28">
        <v>2.8421709430404007E-14</v>
      </c>
    </row>
    <row r="147" spans="10:11" x14ac:dyDescent="0.4">
      <c r="J147" s="26">
        <v>145</v>
      </c>
      <c r="K147" s="28">
        <v>15.200000000000028</v>
      </c>
    </row>
    <row r="148" spans="10:11" x14ac:dyDescent="0.4">
      <c r="J148" s="26">
        <v>146</v>
      </c>
      <c r="K148" s="28">
        <v>-8.599999999999973</v>
      </c>
    </row>
    <row r="149" spans="10:11" x14ac:dyDescent="0.4">
      <c r="J149" s="26">
        <v>147</v>
      </c>
      <c r="K149" s="28">
        <v>2.6645352591003757E-14</v>
      </c>
    </row>
    <row r="150" spans="10:11" x14ac:dyDescent="0.4">
      <c r="J150" s="26">
        <v>148</v>
      </c>
      <c r="K150" s="28">
        <v>-4.8999999999999737</v>
      </c>
    </row>
    <row r="151" spans="10:11" x14ac:dyDescent="0.4">
      <c r="J151" s="26">
        <v>149</v>
      </c>
      <c r="K151" s="28">
        <v>-15.799999999999976</v>
      </c>
    </row>
    <row r="152" spans="10:11" x14ac:dyDescent="0.4">
      <c r="J152" s="26">
        <v>150</v>
      </c>
      <c r="K152" s="28">
        <v>-1.9999999999999751</v>
      </c>
    </row>
    <row r="153" spans="10:11" x14ac:dyDescent="0.4">
      <c r="J153" s="26">
        <v>151</v>
      </c>
      <c r="K153" s="28">
        <v>9.8000000000000256</v>
      </c>
    </row>
    <row r="154" spans="10:11" x14ac:dyDescent="0.4">
      <c r="J154" s="26">
        <v>152</v>
      </c>
      <c r="K154" s="28">
        <v>13.700000000000026</v>
      </c>
    </row>
    <row r="155" spans="10:11" x14ac:dyDescent="0.4">
      <c r="J155" s="26">
        <v>153</v>
      </c>
      <c r="K155" s="28">
        <v>-1.9999999999999734</v>
      </c>
    </row>
    <row r="156" spans="10:11" x14ac:dyDescent="0.4">
      <c r="J156" s="26">
        <v>154</v>
      </c>
      <c r="K156" s="28">
        <v>-1.2999999999999734</v>
      </c>
    </row>
    <row r="157" spans="10:11" x14ac:dyDescent="0.4">
      <c r="J157" s="26">
        <v>155</v>
      </c>
      <c r="K157" s="28">
        <v>40.900000000000027</v>
      </c>
    </row>
    <row r="158" spans="10:11" x14ac:dyDescent="0.4">
      <c r="J158" s="26">
        <v>156</v>
      </c>
      <c r="K158" s="28">
        <v>-1.9999999999999716</v>
      </c>
    </row>
    <row r="159" spans="10:11" x14ac:dyDescent="0.4">
      <c r="J159" s="26">
        <v>157</v>
      </c>
      <c r="K159" s="28">
        <v>-7.6999999999999709</v>
      </c>
    </row>
    <row r="160" spans="10:11" x14ac:dyDescent="0.4">
      <c r="J160" s="26">
        <v>158</v>
      </c>
      <c r="K160" s="28">
        <v>-10.499999999999972</v>
      </c>
    </row>
    <row r="161" spans="10:11" x14ac:dyDescent="0.4">
      <c r="J161" s="26">
        <v>159</v>
      </c>
      <c r="K161" s="28">
        <v>-1.9999999999999716</v>
      </c>
    </row>
    <row r="162" spans="10:11" x14ac:dyDescent="0.4">
      <c r="J162" s="26">
        <v>160</v>
      </c>
      <c r="K162" s="28">
        <v>-29.999999999999972</v>
      </c>
    </row>
    <row r="163" spans="10:11" x14ac:dyDescent="0.4">
      <c r="J163" s="26">
        <v>161</v>
      </c>
      <c r="K163" s="28">
        <v>-83.999999999999972</v>
      </c>
    </row>
    <row r="164" spans="10:11" x14ac:dyDescent="0.4">
      <c r="J164" s="26">
        <v>162</v>
      </c>
      <c r="K164" s="28">
        <v>-1.9999999999999716</v>
      </c>
    </row>
    <row r="165" spans="10:11" x14ac:dyDescent="0.4">
      <c r="J165" s="26">
        <v>163</v>
      </c>
      <c r="K165" s="28">
        <v>14.700000000000028</v>
      </c>
    </row>
    <row r="166" spans="10:11" x14ac:dyDescent="0.4">
      <c r="J166" s="26">
        <v>164</v>
      </c>
      <c r="K166" s="28">
        <v>-21.999999999999975</v>
      </c>
    </row>
    <row r="167" spans="10:11" x14ac:dyDescent="0.4">
      <c r="J167" s="26">
        <v>165</v>
      </c>
      <c r="K167" s="28">
        <v>-1.9999999999999751</v>
      </c>
    </row>
    <row r="168" spans="10:11" x14ac:dyDescent="0.4">
      <c r="J168" s="26">
        <v>166</v>
      </c>
      <c r="K168" s="28">
        <v>-7.9999999999999751</v>
      </c>
    </row>
    <row r="169" spans="10:11" x14ac:dyDescent="0.4">
      <c r="J169" s="26">
        <v>167</v>
      </c>
      <c r="K169" s="28">
        <v>-13.899999999999975</v>
      </c>
    </row>
    <row r="170" spans="10:11" x14ac:dyDescent="0.4">
      <c r="J170" s="26">
        <v>168</v>
      </c>
      <c r="K170" s="28">
        <v>-2.9999999999999751</v>
      </c>
    </row>
    <row r="171" spans="10:11" x14ac:dyDescent="0.4">
      <c r="J171" s="26">
        <v>169</v>
      </c>
      <c r="K171" s="28">
        <v>27.600000000000026</v>
      </c>
    </row>
    <row r="172" spans="10:11" x14ac:dyDescent="0.4">
      <c r="J172" s="26">
        <v>170</v>
      </c>
      <c r="K172" s="28">
        <v>33.800000000000026</v>
      </c>
    </row>
    <row r="173" spans="10:11" x14ac:dyDescent="0.4">
      <c r="J173" s="26">
        <v>171</v>
      </c>
      <c r="K173" s="28">
        <v>-2.9999999999999716</v>
      </c>
    </row>
    <row r="174" spans="10:11" x14ac:dyDescent="0.4">
      <c r="J174" s="26">
        <v>172</v>
      </c>
      <c r="K174" s="28">
        <v>12.800000000000029</v>
      </c>
    </row>
    <row r="175" spans="10:11" x14ac:dyDescent="0.4">
      <c r="J175" s="26">
        <v>173</v>
      </c>
      <c r="K175" s="28">
        <v>-32.299999999999969</v>
      </c>
    </row>
    <row r="176" spans="10:11" x14ac:dyDescent="0.4">
      <c r="J176" s="26">
        <v>174</v>
      </c>
      <c r="K176" s="28">
        <v>-2.999999999999968</v>
      </c>
    </row>
    <row r="177" spans="10:11" x14ac:dyDescent="0.4">
      <c r="J177" s="26">
        <v>175</v>
      </c>
      <c r="K177" s="28">
        <v>53.000000000000028</v>
      </c>
    </row>
    <row r="178" spans="10:11" x14ac:dyDescent="0.4">
      <c r="J178" s="26">
        <v>176</v>
      </c>
      <c r="K178" s="28">
        <v>3.5000000000000284</v>
      </c>
    </row>
    <row r="179" spans="10:11" x14ac:dyDescent="0.4">
      <c r="J179" s="26">
        <v>177</v>
      </c>
      <c r="K179" s="28">
        <v>-2.9999999999999716</v>
      </c>
    </row>
    <row r="180" spans="10:11" x14ac:dyDescent="0.4">
      <c r="J180" s="26">
        <v>178</v>
      </c>
      <c r="K180" s="28">
        <v>2.3000000000000282</v>
      </c>
    </row>
    <row r="181" spans="10:11" x14ac:dyDescent="0.4">
      <c r="J181" s="26">
        <v>179</v>
      </c>
      <c r="K181" s="28">
        <v>7.6000000000000281</v>
      </c>
    </row>
    <row r="182" spans="10:11" x14ac:dyDescent="0.4">
      <c r="J182" s="26">
        <v>180</v>
      </c>
      <c r="K182" s="28">
        <v>-2.9999999999999716</v>
      </c>
    </row>
    <row r="183" spans="10:11" x14ac:dyDescent="0.4">
      <c r="J183" s="26">
        <v>181</v>
      </c>
      <c r="K183" s="28">
        <v>-38.199999999999974</v>
      </c>
    </row>
    <row r="184" spans="10:11" x14ac:dyDescent="0.4">
      <c r="J184" s="26">
        <v>182</v>
      </c>
      <c r="K184" s="28">
        <v>-20.499999999999975</v>
      </c>
    </row>
    <row r="185" spans="10:11" x14ac:dyDescent="0.4">
      <c r="J185" s="26">
        <v>183</v>
      </c>
      <c r="K185" s="28">
        <v>-2.9999999999999751</v>
      </c>
    </row>
    <row r="186" spans="10:11" x14ac:dyDescent="0.4">
      <c r="J186" s="26">
        <v>184</v>
      </c>
      <c r="K186" s="28">
        <v>-48.09999999999998</v>
      </c>
    </row>
    <row r="187" spans="10:11" x14ac:dyDescent="0.4">
      <c r="J187" s="26">
        <v>185</v>
      </c>
      <c r="K187" s="28">
        <v>-42.999999999999979</v>
      </c>
    </row>
    <row r="188" spans="10:11" x14ac:dyDescent="0.4">
      <c r="J188" s="26">
        <v>186</v>
      </c>
      <c r="K188" s="28">
        <v>-2.9999999999999787</v>
      </c>
    </row>
    <row r="189" spans="10:11" x14ac:dyDescent="0.4">
      <c r="J189" s="26">
        <v>187</v>
      </c>
      <c r="K189" s="28">
        <v>31.000000000000021</v>
      </c>
    </row>
    <row r="190" spans="10:11" x14ac:dyDescent="0.4">
      <c r="J190" s="26">
        <v>188</v>
      </c>
      <c r="K190" s="28">
        <v>7.5000000000000213</v>
      </c>
    </row>
    <row r="191" spans="10:11" x14ac:dyDescent="0.4">
      <c r="J191" s="26">
        <v>189</v>
      </c>
      <c r="K191" s="28">
        <v>-2.9999999999999787</v>
      </c>
    </row>
    <row r="192" spans="10:11" x14ac:dyDescent="0.4">
      <c r="J192" s="26">
        <v>190</v>
      </c>
      <c r="K192" s="28">
        <v>17.100000000000023</v>
      </c>
    </row>
    <row r="193" spans="10:11" x14ac:dyDescent="0.4">
      <c r="J193" s="26">
        <v>191</v>
      </c>
      <c r="K193" s="28">
        <v>4.2000000000000224</v>
      </c>
    </row>
    <row r="194" spans="10:11" x14ac:dyDescent="0.4">
      <c r="J194" s="26">
        <v>192</v>
      </c>
      <c r="K194" s="28">
        <v>-2.9999999999999778</v>
      </c>
    </row>
    <row r="195" spans="10:11" x14ac:dyDescent="0.4">
      <c r="J195" s="26">
        <v>193</v>
      </c>
      <c r="K195" s="28">
        <v>-67.999999999999972</v>
      </c>
    </row>
    <row r="196" spans="10:11" x14ac:dyDescent="0.4">
      <c r="J196" s="26">
        <v>194</v>
      </c>
      <c r="K196" s="28">
        <v>-76.299999999999969</v>
      </c>
    </row>
    <row r="197" spans="10:11" x14ac:dyDescent="0.4">
      <c r="J197" s="26">
        <v>195</v>
      </c>
      <c r="K197" s="28">
        <v>-2.9999999999999716</v>
      </c>
    </row>
    <row r="198" spans="10:11" x14ac:dyDescent="0.4">
      <c r="J198" s="26">
        <v>196</v>
      </c>
      <c r="K198" s="28">
        <v>-7.9999999999999716</v>
      </c>
    </row>
    <row r="199" spans="10:11" x14ac:dyDescent="0.4">
      <c r="J199" s="26">
        <v>197</v>
      </c>
      <c r="K199" s="28">
        <v>-51.999999999999972</v>
      </c>
    </row>
    <row r="200" spans="10:11" x14ac:dyDescent="0.4">
      <c r="J200" s="26">
        <v>198</v>
      </c>
      <c r="K200" s="28">
        <v>-2.9999999999999716</v>
      </c>
    </row>
    <row r="201" spans="10:11" x14ac:dyDescent="0.4">
      <c r="J201" s="26">
        <v>199</v>
      </c>
      <c r="K201" s="28">
        <v>-1.9999999999999716</v>
      </c>
    </row>
    <row r="202" spans="10:11" x14ac:dyDescent="0.4">
      <c r="J202" s="26">
        <v>200</v>
      </c>
      <c r="K202" s="28">
        <v>-36.999999999999972</v>
      </c>
    </row>
    <row r="203" spans="10:11" x14ac:dyDescent="0.4">
      <c r="J203" s="26">
        <v>201</v>
      </c>
      <c r="K203" s="28">
        <v>-2.9999999999999716</v>
      </c>
    </row>
    <row r="204" spans="10:11" x14ac:dyDescent="0.4">
      <c r="J204" s="26">
        <v>202</v>
      </c>
      <c r="K204" s="28">
        <v>27.60000000000003</v>
      </c>
    </row>
    <row r="205" spans="10:11" x14ac:dyDescent="0.4">
      <c r="J205" s="26">
        <v>203</v>
      </c>
      <c r="K205" s="28">
        <v>-2.6999999999999709</v>
      </c>
    </row>
    <row r="206" spans="10:11" x14ac:dyDescent="0.4">
      <c r="J206" s="26">
        <v>204</v>
      </c>
      <c r="K206" s="28">
        <v>-2.9999999999999707</v>
      </c>
    </row>
    <row r="207" spans="10:11" x14ac:dyDescent="0.4">
      <c r="J207" s="26">
        <v>205</v>
      </c>
      <c r="K207" s="28">
        <v>-21.999999999999972</v>
      </c>
    </row>
    <row r="208" spans="10:11" x14ac:dyDescent="0.4">
      <c r="J208" s="26">
        <v>206</v>
      </c>
      <c r="K208" s="28">
        <v>41.000000000000028</v>
      </c>
    </row>
    <row r="209" spans="10:11" x14ac:dyDescent="0.4">
      <c r="J209" s="26">
        <v>207</v>
      </c>
      <c r="K209" s="28">
        <v>-2.9999999999999716</v>
      </c>
    </row>
    <row r="210" spans="10:11" x14ac:dyDescent="0.4">
      <c r="J210" s="26">
        <v>208</v>
      </c>
      <c r="K210" s="28">
        <v>-11.899999999999972</v>
      </c>
    </row>
    <row r="211" spans="10:11" x14ac:dyDescent="0.4">
      <c r="J211" s="26">
        <v>209</v>
      </c>
      <c r="K211" s="28">
        <v>-8.7999999999999723</v>
      </c>
    </row>
    <row r="212" spans="10:11" x14ac:dyDescent="0.4">
      <c r="J212" s="26">
        <v>210</v>
      </c>
      <c r="K212" s="28">
        <v>-2.9999999999999725</v>
      </c>
    </row>
    <row r="213" spans="10:11" x14ac:dyDescent="0.4">
      <c r="J213" s="26">
        <v>211</v>
      </c>
      <c r="K213" s="28">
        <v>-2.0999999999999726</v>
      </c>
    </row>
    <row r="214" spans="10:11" x14ac:dyDescent="0.4">
      <c r="J214" s="26">
        <v>212</v>
      </c>
      <c r="K214" s="28">
        <v>-1.8999999999999726</v>
      </c>
    </row>
    <row r="215" spans="10:11" x14ac:dyDescent="0.4">
      <c r="J215" s="26">
        <v>213</v>
      </c>
      <c r="K215" s="28">
        <v>-2.9999999999999725</v>
      </c>
    </row>
    <row r="216" spans="10:11" x14ac:dyDescent="0.4">
      <c r="J216" s="26">
        <v>214</v>
      </c>
      <c r="K216" s="28">
        <v>28.300000000000026</v>
      </c>
    </row>
    <row r="217" spans="10:11" x14ac:dyDescent="0.4">
      <c r="J217" s="26">
        <v>215</v>
      </c>
      <c r="K217" s="28">
        <v>31.100000000000026</v>
      </c>
    </row>
    <row r="218" spans="10:11" x14ac:dyDescent="0.4">
      <c r="J218" s="26">
        <v>216</v>
      </c>
      <c r="K218" s="28">
        <v>-2.9999999999999751</v>
      </c>
    </row>
    <row r="219" spans="10:11" x14ac:dyDescent="0.4">
      <c r="J219" s="26">
        <v>217</v>
      </c>
      <c r="K219" s="28">
        <v>-47.999999999999972</v>
      </c>
    </row>
    <row r="220" spans="10:11" x14ac:dyDescent="0.4">
      <c r="J220" s="26">
        <v>218</v>
      </c>
      <c r="K220" s="28">
        <v>-4.3999999999999702</v>
      </c>
    </row>
    <row r="221" spans="10:11" x14ac:dyDescent="0.4">
      <c r="J221" s="26">
        <v>219</v>
      </c>
      <c r="K221" s="28">
        <v>-2.9999999999999702</v>
      </c>
    </row>
    <row r="222" spans="10:11" x14ac:dyDescent="0.4">
      <c r="J222" s="26">
        <v>220</v>
      </c>
      <c r="K222" s="28">
        <v>24.400000000000027</v>
      </c>
    </row>
    <row r="223" spans="10:11" x14ac:dyDescent="0.4">
      <c r="J223" s="26">
        <v>221</v>
      </c>
      <c r="K223" s="28">
        <v>23.000000000000028</v>
      </c>
    </row>
    <row r="224" spans="10:11" x14ac:dyDescent="0.4">
      <c r="J224" s="26">
        <v>222</v>
      </c>
      <c r="K224" s="28">
        <v>-2.9999999999999716</v>
      </c>
    </row>
    <row r="225" spans="10:11" x14ac:dyDescent="0.4">
      <c r="J225" s="26">
        <v>223</v>
      </c>
      <c r="K225" s="28">
        <v>-10.399999999999972</v>
      </c>
    </row>
    <row r="226" spans="10:11" x14ac:dyDescent="0.4">
      <c r="J226" s="26">
        <v>224</v>
      </c>
      <c r="K226" s="28">
        <v>-49.099999999999973</v>
      </c>
    </row>
    <row r="227" spans="10:11" x14ac:dyDescent="0.4">
      <c r="J227" s="26">
        <v>225</v>
      </c>
      <c r="K227" s="28">
        <v>-2.9999999999999716</v>
      </c>
    </row>
    <row r="228" spans="10:11" x14ac:dyDescent="0.4">
      <c r="J228" s="26">
        <v>226</v>
      </c>
      <c r="K228" s="28">
        <v>14.300000000000029</v>
      </c>
    </row>
    <row r="229" spans="10:11" x14ac:dyDescent="0.4">
      <c r="J229" s="26">
        <v>227</v>
      </c>
      <c r="K229" s="28">
        <v>-17.799999999999972</v>
      </c>
    </row>
    <row r="230" spans="10:11" x14ac:dyDescent="0.4">
      <c r="J230" s="26">
        <v>228</v>
      </c>
      <c r="K230" s="28">
        <v>-2.9999999999999716</v>
      </c>
    </row>
    <row r="231" spans="10:11" x14ac:dyDescent="0.4">
      <c r="J231" s="26">
        <v>229</v>
      </c>
      <c r="K231" s="28">
        <v>-16.89999999999997</v>
      </c>
    </row>
    <row r="232" spans="10:11" x14ac:dyDescent="0.4">
      <c r="J232" s="26">
        <v>230</v>
      </c>
      <c r="K232" s="28">
        <v>-34.099999999999966</v>
      </c>
    </row>
    <row r="233" spans="10:11" x14ac:dyDescent="0.4">
      <c r="J233" s="26">
        <v>231</v>
      </c>
      <c r="K233" s="28">
        <v>-2.9999999999999645</v>
      </c>
    </row>
    <row r="234" spans="10:11" x14ac:dyDescent="0.4">
      <c r="J234" s="26">
        <v>232</v>
      </c>
      <c r="K234" s="28">
        <v>36.000000000000036</v>
      </c>
    </row>
    <row r="235" spans="10:11" x14ac:dyDescent="0.4">
      <c r="J235" s="26">
        <v>233</v>
      </c>
      <c r="K235" s="28">
        <v>-3.3999999999999631</v>
      </c>
    </row>
    <row r="236" spans="10:11" x14ac:dyDescent="0.4">
      <c r="J236" s="26">
        <v>234</v>
      </c>
      <c r="K236" s="28">
        <v>-2.9999999999999631</v>
      </c>
    </row>
    <row r="237" spans="10:11" x14ac:dyDescent="0.4">
      <c r="J237" s="26">
        <v>235</v>
      </c>
      <c r="K237" s="28">
        <v>2.200000000000037</v>
      </c>
    </row>
    <row r="238" spans="10:11" x14ac:dyDescent="0.4">
      <c r="J238" s="26">
        <v>236</v>
      </c>
      <c r="K238" s="28">
        <v>-7.7999999999999634</v>
      </c>
    </row>
    <row r="239" spans="10:11" x14ac:dyDescent="0.4">
      <c r="J239" s="26">
        <v>237</v>
      </c>
      <c r="K239" s="28">
        <v>-2.9999999999999636</v>
      </c>
    </row>
    <row r="240" spans="10:11" x14ac:dyDescent="0.4">
      <c r="J240" s="26">
        <v>238</v>
      </c>
      <c r="K240" s="28">
        <v>-16.699999999999964</v>
      </c>
    </row>
    <row r="241" spans="10:11" x14ac:dyDescent="0.4">
      <c r="J241" s="26">
        <v>239</v>
      </c>
      <c r="K241" s="28">
        <v>-31.499999999999964</v>
      </c>
    </row>
    <row r="242" spans="10:11" x14ac:dyDescent="0.4">
      <c r="J242" s="26">
        <v>240</v>
      </c>
      <c r="K242" s="28">
        <v>-2.9999999999999645</v>
      </c>
    </row>
    <row r="243" spans="10:11" x14ac:dyDescent="0.4">
      <c r="J243" s="26">
        <v>241</v>
      </c>
      <c r="K243" s="28">
        <v>-24.999999999999964</v>
      </c>
    </row>
    <row r="244" spans="10:11" x14ac:dyDescent="0.4">
      <c r="J244" s="26">
        <v>242</v>
      </c>
      <c r="K244" s="28">
        <v>-46.899999999999963</v>
      </c>
    </row>
    <row r="245" spans="10:11" x14ac:dyDescent="0.4">
      <c r="J245" s="26">
        <v>243</v>
      </c>
      <c r="K245" s="28">
        <v>-2.9999999999999645</v>
      </c>
    </row>
    <row r="246" spans="10:11" x14ac:dyDescent="0.4">
      <c r="J246" s="26">
        <v>244</v>
      </c>
      <c r="K246" s="28">
        <v>2.1000000000000352</v>
      </c>
    </row>
    <row r="247" spans="10:11" x14ac:dyDescent="0.4">
      <c r="J247" s="26">
        <v>245</v>
      </c>
      <c r="K247" s="28">
        <v>12.400000000000036</v>
      </c>
    </row>
    <row r="248" spans="10:11" x14ac:dyDescent="0.4">
      <c r="J248" s="26">
        <v>246</v>
      </c>
      <c r="K248" s="28">
        <v>-2.9999999999999627</v>
      </c>
    </row>
    <row r="249" spans="10:11" x14ac:dyDescent="0.4">
      <c r="J249" s="26">
        <v>247</v>
      </c>
      <c r="K249" s="28">
        <v>27.900000000000034</v>
      </c>
    </row>
    <row r="250" spans="10:11" x14ac:dyDescent="0.4">
      <c r="J250" s="26">
        <v>248</v>
      </c>
      <c r="K250" s="28">
        <v>34.000000000000036</v>
      </c>
    </row>
    <row r="251" spans="10:11" x14ac:dyDescent="0.4">
      <c r="J251" s="26">
        <v>249</v>
      </c>
      <c r="K251" s="28">
        <v>-2.9999999999999645</v>
      </c>
    </row>
    <row r="252" spans="10:11" x14ac:dyDescent="0.4">
      <c r="J252" s="26">
        <v>250</v>
      </c>
      <c r="K252" s="28">
        <v>36.000000000000036</v>
      </c>
    </row>
    <row r="253" spans="10:11" x14ac:dyDescent="0.4">
      <c r="J253" s="26">
        <v>251</v>
      </c>
      <c r="K253" s="28">
        <v>-6.9999999999999645</v>
      </c>
    </row>
    <row r="254" spans="10:11" x14ac:dyDescent="0.4">
      <c r="J254" s="26">
        <v>252</v>
      </c>
      <c r="K254" s="28">
        <v>-2.9999999999999645</v>
      </c>
    </row>
    <row r="255" spans="10:11" x14ac:dyDescent="0.4">
      <c r="J255" s="26">
        <v>253</v>
      </c>
      <c r="K255" s="28">
        <v>18.500000000000036</v>
      </c>
    </row>
    <row r="256" spans="10:11" x14ac:dyDescent="0.4">
      <c r="J256" s="26">
        <v>254</v>
      </c>
      <c r="K256" s="28">
        <v>-21.499999999999964</v>
      </c>
    </row>
    <row r="257" spans="10:11" x14ac:dyDescent="0.4">
      <c r="J257" s="26">
        <v>255</v>
      </c>
      <c r="K257" s="28">
        <v>-2.9999999999999645</v>
      </c>
    </row>
    <row r="258" spans="10:11" x14ac:dyDescent="0.4">
      <c r="J258" s="26">
        <v>256</v>
      </c>
      <c r="K258" s="28">
        <v>27.500000000000036</v>
      </c>
    </row>
    <row r="259" spans="10:11" x14ac:dyDescent="0.4">
      <c r="J259" s="26">
        <v>257</v>
      </c>
      <c r="K259" s="28">
        <v>16.700000000000035</v>
      </c>
    </row>
    <row r="260" spans="10:11" x14ac:dyDescent="0.4">
      <c r="J260" s="26">
        <v>258</v>
      </c>
      <c r="K260" s="28">
        <v>-2.9999999999999645</v>
      </c>
    </row>
    <row r="261" spans="10:11" x14ac:dyDescent="0.4">
      <c r="J261" s="26">
        <v>259</v>
      </c>
      <c r="K261" s="28">
        <v>55.800000000000033</v>
      </c>
    </row>
    <row r="262" spans="10:11" x14ac:dyDescent="0.4">
      <c r="J262" s="26">
        <v>260</v>
      </c>
      <c r="K262" s="28">
        <v>21.300000000000033</v>
      </c>
    </row>
    <row r="263" spans="10:11" x14ac:dyDescent="0.4">
      <c r="J263" s="26">
        <v>261</v>
      </c>
      <c r="K263" s="28">
        <v>-2.999999999999968</v>
      </c>
    </row>
    <row r="264" spans="10:11" x14ac:dyDescent="0.4">
      <c r="J264" s="26">
        <v>262</v>
      </c>
      <c r="K264" s="28">
        <v>8.1000000000000316</v>
      </c>
    </row>
    <row r="265" spans="10:11" x14ac:dyDescent="0.4">
      <c r="J265" s="26">
        <v>263</v>
      </c>
      <c r="K265" s="28">
        <v>-17.999999999999972</v>
      </c>
    </row>
    <row r="266" spans="10:11" x14ac:dyDescent="0.4">
      <c r="J266" s="26">
        <v>264</v>
      </c>
      <c r="K266" s="28">
        <v>-2.9999999999999716</v>
      </c>
    </row>
    <row r="267" spans="10:11" x14ac:dyDescent="0.4">
      <c r="J267" s="26">
        <v>265</v>
      </c>
      <c r="K267" s="28">
        <v>-1.3999999999999715</v>
      </c>
    </row>
    <row r="268" spans="10:11" x14ac:dyDescent="0.4">
      <c r="J268" s="26">
        <v>266</v>
      </c>
      <c r="K268" s="28">
        <v>20.200000000000031</v>
      </c>
    </row>
    <row r="269" spans="10:11" x14ac:dyDescent="0.4">
      <c r="J269" s="26">
        <v>267</v>
      </c>
      <c r="K269" s="28">
        <v>-2.999999999999968</v>
      </c>
    </row>
    <row r="270" spans="10:11" x14ac:dyDescent="0.4">
      <c r="J270" s="26">
        <v>268</v>
      </c>
      <c r="K270" s="28">
        <v>-23.399999999999967</v>
      </c>
    </row>
    <row r="271" spans="10:11" x14ac:dyDescent="0.4">
      <c r="J271" s="26">
        <v>269</v>
      </c>
      <c r="K271" s="28">
        <v>-8.799999999999967</v>
      </c>
    </row>
    <row r="272" spans="10:11" x14ac:dyDescent="0.4">
      <c r="J272" s="26">
        <v>270</v>
      </c>
      <c r="K272" s="28">
        <v>-2.9999999999999671</v>
      </c>
    </row>
    <row r="273" spans="10:11" x14ac:dyDescent="0.4">
      <c r="J273" s="26">
        <v>271</v>
      </c>
      <c r="K273" s="28">
        <v>-0.49999999999996714</v>
      </c>
    </row>
    <row r="274" spans="10:11" x14ac:dyDescent="0.4">
      <c r="J274" s="26">
        <v>272</v>
      </c>
      <c r="K274" s="28">
        <v>0.10000000000003284</v>
      </c>
    </row>
    <row r="275" spans="10:11" x14ac:dyDescent="0.4">
      <c r="J275" s="26">
        <v>273</v>
      </c>
      <c r="K275" s="28">
        <v>-2.9999999999999667</v>
      </c>
    </row>
    <row r="276" spans="10:11" x14ac:dyDescent="0.4">
      <c r="J276" s="26">
        <v>274</v>
      </c>
      <c r="K276" s="28">
        <v>-45.399999999999963</v>
      </c>
    </row>
    <row r="277" spans="10:11" x14ac:dyDescent="0.4">
      <c r="J277" s="26">
        <v>275</v>
      </c>
      <c r="K277" s="28">
        <v>-6.1999999999999602</v>
      </c>
    </row>
    <row r="278" spans="10:11" x14ac:dyDescent="0.4">
      <c r="J278" s="26">
        <v>276</v>
      </c>
      <c r="K278" s="28">
        <v>-2.99999999999996</v>
      </c>
    </row>
    <row r="279" spans="10:11" x14ac:dyDescent="0.4">
      <c r="J279" s="26">
        <v>277</v>
      </c>
      <c r="K279" s="28">
        <v>-47.499999999999957</v>
      </c>
    </row>
    <row r="280" spans="10:11" x14ac:dyDescent="0.4">
      <c r="J280" s="26">
        <v>278</v>
      </c>
      <c r="K280" s="28">
        <v>-29.999999999999957</v>
      </c>
    </row>
    <row r="281" spans="10:11" x14ac:dyDescent="0.4">
      <c r="J281" s="26">
        <v>279</v>
      </c>
      <c r="K281" s="28">
        <v>-2.9999999999999574</v>
      </c>
    </row>
    <row r="282" spans="10:11" x14ac:dyDescent="0.4">
      <c r="J282" s="26">
        <v>280</v>
      </c>
      <c r="K282" s="28">
        <v>-3.5999999999999575</v>
      </c>
    </row>
    <row r="283" spans="10:11" x14ac:dyDescent="0.4">
      <c r="J283" s="26">
        <v>281</v>
      </c>
      <c r="K283" s="28">
        <v>-41.099999999999959</v>
      </c>
    </row>
    <row r="284" spans="10:11" x14ac:dyDescent="0.4">
      <c r="J284" s="26">
        <v>282</v>
      </c>
      <c r="K284" s="28">
        <v>-2.9999999999999574</v>
      </c>
    </row>
    <row r="285" spans="10:11" x14ac:dyDescent="0.4">
      <c r="J285" s="26">
        <v>283</v>
      </c>
      <c r="K285" s="28">
        <v>22.400000000000041</v>
      </c>
    </row>
    <row r="286" spans="10:11" x14ac:dyDescent="0.4">
      <c r="J286" s="26">
        <v>284</v>
      </c>
      <c r="K286" s="28">
        <v>-4.9999999999999574</v>
      </c>
    </row>
    <row r="287" spans="10:11" x14ac:dyDescent="0.4">
      <c r="J287" s="26">
        <v>285</v>
      </c>
      <c r="K287" s="28">
        <v>-2.9999999999999574</v>
      </c>
    </row>
    <row r="288" spans="10:11" x14ac:dyDescent="0.4">
      <c r="J288" s="26">
        <v>286</v>
      </c>
      <c r="K288" s="28">
        <v>6.7000000000000419</v>
      </c>
    </row>
    <row r="289" spans="10:11" x14ac:dyDescent="0.4">
      <c r="J289" s="26">
        <v>287</v>
      </c>
      <c r="K289" s="28">
        <v>-34.69999999999996</v>
      </c>
    </row>
    <row r="290" spans="10:11" x14ac:dyDescent="0.4">
      <c r="J290" s="26">
        <v>288</v>
      </c>
      <c r="K290" s="28">
        <v>-2.9999999999999574</v>
      </c>
    </row>
    <row r="291" spans="10:11" x14ac:dyDescent="0.4">
      <c r="J291" s="26">
        <v>289</v>
      </c>
      <c r="K291" s="28">
        <v>17.100000000000044</v>
      </c>
    </row>
    <row r="292" spans="10:11" x14ac:dyDescent="0.4">
      <c r="J292" s="26">
        <v>290</v>
      </c>
      <c r="K292" s="28">
        <v>-17.599999999999959</v>
      </c>
    </row>
    <row r="293" spans="10:11" x14ac:dyDescent="0.4">
      <c r="J293" s="26">
        <v>291</v>
      </c>
      <c r="K293" s="28">
        <v>-2.9999999999999591</v>
      </c>
    </row>
    <row r="294" spans="10:11" x14ac:dyDescent="0.4">
      <c r="J294" s="26">
        <v>292</v>
      </c>
      <c r="K294" s="28">
        <v>-50.69999999999996</v>
      </c>
    </row>
    <row r="295" spans="10:11" x14ac:dyDescent="0.4">
      <c r="J295" s="26">
        <v>293</v>
      </c>
      <c r="K295" s="28">
        <v>-49.999999999999957</v>
      </c>
    </row>
    <row r="296" spans="10:11" x14ac:dyDescent="0.4">
      <c r="J296" s="26">
        <v>294</v>
      </c>
      <c r="K296" s="28">
        <v>-2.9999999999999574</v>
      </c>
    </row>
    <row r="297" spans="10:11" x14ac:dyDescent="0.4">
      <c r="J297" s="26">
        <v>295</v>
      </c>
      <c r="K297" s="28">
        <v>-17.999999999999957</v>
      </c>
    </row>
    <row r="298" spans="10:11" x14ac:dyDescent="0.4">
      <c r="J298" s="26">
        <v>296</v>
      </c>
      <c r="K298" s="28">
        <v>-6.7999999999999581</v>
      </c>
    </row>
    <row r="299" spans="10:11" x14ac:dyDescent="0.4">
      <c r="J299" s="26">
        <v>297</v>
      </c>
      <c r="K299" s="28">
        <v>-2.9999999999999583</v>
      </c>
    </row>
    <row r="300" spans="10:11" x14ac:dyDescent="0.4">
      <c r="J300" s="26">
        <v>298</v>
      </c>
      <c r="K300" s="28">
        <v>39.100000000000044</v>
      </c>
    </row>
    <row r="301" spans="10:11" x14ac:dyDescent="0.4">
      <c r="J301" s="26">
        <v>299</v>
      </c>
      <c r="K301" s="28">
        <v>2.8000000000000469</v>
      </c>
    </row>
    <row r="302" spans="10:11" x14ac:dyDescent="0.4">
      <c r="J302" s="26">
        <v>300</v>
      </c>
      <c r="K302" s="28">
        <v>-2.9999999999999529</v>
      </c>
    </row>
    <row r="303" spans="10:11" x14ac:dyDescent="0.4">
      <c r="J303" s="26">
        <v>301</v>
      </c>
      <c r="K303" s="28">
        <v>-8.9999999999999538</v>
      </c>
    </row>
    <row r="304" spans="10:11" x14ac:dyDescent="0.4">
      <c r="J304" s="26">
        <v>302</v>
      </c>
      <c r="K304" s="28">
        <v>-59.899999999999949</v>
      </c>
    </row>
    <row r="305" spans="10:11" x14ac:dyDescent="0.4">
      <c r="J305" s="26">
        <v>303</v>
      </c>
      <c r="K305" s="28">
        <v>-2.9999999999999503</v>
      </c>
    </row>
    <row r="306" spans="10:11" x14ac:dyDescent="0.4">
      <c r="J306" s="26">
        <v>304</v>
      </c>
      <c r="K306" s="28">
        <v>-39.49999999999995</v>
      </c>
    </row>
    <row r="307" spans="10:11" x14ac:dyDescent="0.4">
      <c r="J307" s="26">
        <v>305</v>
      </c>
      <c r="K307" s="28">
        <v>-51.49999999999995</v>
      </c>
    </row>
    <row r="308" spans="10:11" x14ac:dyDescent="0.4">
      <c r="J308" s="26">
        <v>306</v>
      </c>
      <c r="K308" s="28">
        <v>-2.9999999999999503</v>
      </c>
    </row>
    <row r="309" spans="10:11" x14ac:dyDescent="0.4">
      <c r="J309" s="26">
        <v>307</v>
      </c>
      <c r="K309" s="28">
        <v>-41.49999999999995</v>
      </c>
    </row>
    <row r="310" spans="10:11" x14ac:dyDescent="0.4">
      <c r="J310" s="26">
        <v>308</v>
      </c>
      <c r="K310" s="28">
        <v>6.5000000000000497</v>
      </c>
    </row>
    <row r="311" spans="10:11" x14ac:dyDescent="0.4">
      <c r="J311" s="26">
        <v>309</v>
      </c>
      <c r="K311" s="28">
        <v>-2.9999999999999503</v>
      </c>
    </row>
    <row r="312" spans="10:11" x14ac:dyDescent="0.4">
      <c r="J312" s="26">
        <v>310</v>
      </c>
      <c r="K312" s="28">
        <v>7.1000000000000494</v>
      </c>
    </row>
    <row r="313" spans="10:11" x14ac:dyDescent="0.4">
      <c r="J313" s="26">
        <v>311</v>
      </c>
      <c r="K313" s="28">
        <v>-5.6999999999999513</v>
      </c>
    </row>
    <row r="314" spans="10:11" x14ac:dyDescent="0.4">
      <c r="J314" s="26">
        <v>312</v>
      </c>
      <c r="K314" s="28">
        <v>-2.9999999999999512</v>
      </c>
    </row>
    <row r="315" spans="10:11" x14ac:dyDescent="0.4">
      <c r="J315" s="26">
        <v>313</v>
      </c>
      <c r="K315" s="28">
        <v>-4.9999999999999512</v>
      </c>
    </row>
    <row r="316" spans="10:11" x14ac:dyDescent="0.4">
      <c r="J316" s="26">
        <v>314</v>
      </c>
      <c r="K316" s="28">
        <v>35.00000000000005</v>
      </c>
    </row>
    <row r="317" spans="10:11" x14ac:dyDescent="0.4">
      <c r="J317" s="26">
        <v>315</v>
      </c>
      <c r="K317" s="28">
        <v>-2.9999999999999503</v>
      </c>
    </row>
    <row r="318" spans="10:11" x14ac:dyDescent="0.4">
      <c r="J318" s="26">
        <v>316</v>
      </c>
      <c r="K318" s="28">
        <v>39.50000000000005</v>
      </c>
    </row>
    <row r="319" spans="10:11" x14ac:dyDescent="0.4">
      <c r="J319" s="26">
        <v>317</v>
      </c>
      <c r="K319" s="28">
        <v>36.100000000000051</v>
      </c>
    </row>
    <row r="320" spans="10:11" x14ac:dyDescent="0.4">
      <c r="J320" s="26">
        <v>318</v>
      </c>
      <c r="K320" s="28">
        <v>-2.9999999999999503</v>
      </c>
    </row>
    <row r="321" spans="10:11" x14ac:dyDescent="0.4">
      <c r="J321" s="26">
        <v>319</v>
      </c>
      <c r="K321" s="28">
        <v>-8.5999999999999499</v>
      </c>
    </row>
    <row r="322" spans="10:11" x14ac:dyDescent="0.4">
      <c r="J322" s="26">
        <v>320</v>
      </c>
      <c r="K322" s="28">
        <v>62.000000000000043</v>
      </c>
    </row>
    <row r="323" spans="10:11" x14ac:dyDescent="0.4">
      <c r="J323" s="26">
        <v>321</v>
      </c>
      <c r="K323" s="28">
        <v>-2.9999999999999574</v>
      </c>
    </row>
    <row r="324" spans="10:11" x14ac:dyDescent="0.4">
      <c r="J324" s="26">
        <v>322</v>
      </c>
      <c r="K324" s="28">
        <v>-10.399999999999958</v>
      </c>
    </row>
    <row r="325" spans="10:11" x14ac:dyDescent="0.4">
      <c r="J325" s="26">
        <v>323</v>
      </c>
      <c r="K325" s="28">
        <v>20.100000000000044</v>
      </c>
    </row>
    <row r="326" spans="10:11" x14ac:dyDescent="0.4">
      <c r="J326" s="26">
        <v>324</v>
      </c>
      <c r="K326" s="28">
        <v>-2.9999999999999574</v>
      </c>
    </row>
    <row r="327" spans="10:11" x14ac:dyDescent="0.4">
      <c r="J327" s="26">
        <v>325</v>
      </c>
      <c r="K327" s="28">
        <v>-39.999999999999957</v>
      </c>
    </row>
    <row r="328" spans="10:11" x14ac:dyDescent="0.4">
      <c r="J328" s="26">
        <v>326</v>
      </c>
      <c r="K328" s="28">
        <v>-5.5999999999999588</v>
      </c>
    </row>
    <row r="329" spans="10:11" x14ac:dyDescent="0.4">
      <c r="J329" s="26">
        <v>327</v>
      </c>
      <c r="K329" s="28">
        <v>-2.9999999999999587</v>
      </c>
    </row>
    <row r="330" spans="10:11" x14ac:dyDescent="0.4">
      <c r="J330" s="26">
        <v>328</v>
      </c>
      <c r="K330" s="28">
        <v>-20.799999999999958</v>
      </c>
    </row>
    <row r="331" spans="10:11" x14ac:dyDescent="0.4">
      <c r="J331" s="26">
        <v>329</v>
      </c>
      <c r="K331" s="28">
        <v>-10.299999999999958</v>
      </c>
    </row>
    <row r="332" spans="10:11" x14ac:dyDescent="0.4">
      <c r="J332" s="26">
        <v>330</v>
      </c>
      <c r="K332" s="28">
        <v>-2.9999999999999583</v>
      </c>
    </row>
    <row r="333" spans="10:11" x14ac:dyDescent="0.4">
      <c r="J333" s="26">
        <v>331</v>
      </c>
      <c r="K333" s="28">
        <v>23.000000000000043</v>
      </c>
    </row>
    <row r="334" spans="10:11" x14ac:dyDescent="0.4">
      <c r="J334" s="26">
        <v>332</v>
      </c>
      <c r="K334" s="28">
        <v>32.100000000000044</v>
      </c>
    </row>
    <row r="335" spans="10:11" x14ac:dyDescent="0.4">
      <c r="J335" s="26">
        <v>333</v>
      </c>
      <c r="K335" s="28">
        <v>-2.9999999999999574</v>
      </c>
    </row>
    <row r="336" spans="10:11" x14ac:dyDescent="0.4">
      <c r="J336" s="26">
        <v>334</v>
      </c>
      <c r="K336" s="28">
        <v>40.600000000000044</v>
      </c>
    </row>
    <row r="337" spans="10:11" x14ac:dyDescent="0.4">
      <c r="J337" s="26">
        <v>335</v>
      </c>
      <c r="K337" s="28">
        <v>35.400000000000041</v>
      </c>
    </row>
    <row r="338" spans="10:11" x14ac:dyDescent="0.4">
      <c r="J338" s="26">
        <v>336</v>
      </c>
      <c r="K338" s="28">
        <v>-2.9999999999999574</v>
      </c>
    </row>
    <row r="339" spans="10:11" x14ac:dyDescent="0.4">
      <c r="J339" s="26">
        <v>337</v>
      </c>
      <c r="K339" s="28">
        <v>4.0000000000000426</v>
      </c>
    </row>
    <row r="340" spans="10:11" x14ac:dyDescent="0.4">
      <c r="J340" s="26">
        <v>338</v>
      </c>
      <c r="K340" s="28">
        <v>36.000000000000043</v>
      </c>
    </row>
    <row r="341" spans="10:11" x14ac:dyDescent="0.4">
      <c r="J341" s="26">
        <v>339</v>
      </c>
      <c r="K341" s="28">
        <v>-2.9999999999999574</v>
      </c>
    </row>
    <row r="342" spans="10:11" x14ac:dyDescent="0.4">
      <c r="J342" s="26">
        <v>340</v>
      </c>
      <c r="K342" s="28">
        <v>-13.299999999999958</v>
      </c>
    </row>
    <row r="343" spans="10:11" x14ac:dyDescent="0.4">
      <c r="J343" s="26">
        <v>341</v>
      </c>
      <c r="K343" s="28">
        <v>-8.0999999999999588</v>
      </c>
    </row>
    <row r="344" spans="10:11" x14ac:dyDescent="0.4">
      <c r="J344" s="26">
        <v>342</v>
      </c>
      <c r="K344" s="28">
        <v>-2.9999999999999591</v>
      </c>
    </row>
    <row r="345" spans="10:11" x14ac:dyDescent="0.4">
      <c r="J345" s="26">
        <v>343</v>
      </c>
      <c r="K345" s="28">
        <v>-18.499999999999957</v>
      </c>
    </row>
    <row r="346" spans="10:11" x14ac:dyDescent="0.4">
      <c r="J346" s="26">
        <v>344</v>
      </c>
      <c r="K346" s="28">
        <v>-52.999999999999957</v>
      </c>
    </row>
    <row r="347" spans="10:11" x14ac:dyDescent="0.4">
      <c r="J347" s="26">
        <v>345</v>
      </c>
      <c r="K347" s="28">
        <v>-2.9999999999999574</v>
      </c>
    </row>
    <row r="348" spans="10:11" x14ac:dyDescent="0.4">
      <c r="J348" s="26">
        <v>346</v>
      </c>
      <c r="K348" s="28">
        <v>-21.299999999999958</v>
      </c>
    </row>
    <row r="349" spans="10:11" x14ac:dyDescent="0.4">
      <c r="J349" s="26">
        <v>347</v>
      </c>
      <c r="K349" s="28">
        <v>-6.0999999999999588</v>
      </c>
    </row>
    <row r="350" spans="10:11" x14ac:dyDescent="0.4">
      <c r="J350" s="26">
        <v>348</v>
      </c>
      <c r="K350" s="28">
        <v>-2.9999999999999587</v>
      </c>
    </row>
    <row r="351" spans="10:11" x14ac:dyDescent="0.4">
      <c r="J351" s="26">
        <v>349</v>
      </c>
      <c r="K351" s="28">
        <v>20.000000000000043</v>
      </c>
    </row>
    <row r="352" spans="10:11" x14ac:dyDescent="0.4">
      <c r="J352" s="26">
        <v>350</v>
      </c>
      <c r="K352" s="28">
        <v>14.100000000000042</v>
      </c>
    </row>
    <row r="353" spans="10:11" x14ac:dyDescent="0.4">
      <c r="J353" s="26">
        <v>351</v>
      </c>
      <c r="K353" s="28">
        <v>-2.9999999999999591</v>
      </c>
    </row>
    <row r="354" spans="10:11" x14ac:dyDescent="0.4">
      <c r="J354" s="26">
        <v>352</v>
      </c>
      <c r="K354" s="28">
        <v>24.30000000000004</v>
      </c>
    </row>
    <row r="355" spans="10:11" x14ac:dyDescent="0.4">
      <c r="J355" s="26">
        <v>353</v>
      </c>
      <c r="K355" s="28">
        <v>5.1000000000000405</v>
      </c>
    </row>
    <row r="356" spans="10:11" x14ac:dyDescent="0.4">
      <c r="J356" s="26">
        <v>354</v>
      </c>
      <c r="K356" s="28">
        <v>-2.9999999999999591</v>
      </c>
    </row>
    <row r="357" spans="10:11" x14ac:dyDescent="0.4">
      <c r="J357" s="26">
        <v>355</v>
      </c>
      <c r="K357" s="28">
        <v>-33.499999999999957</v>
      </c>
    </row>
    <row r="358" spans="10:11" x14ac:dyDescent="0.4">
      <c r="J358" s="26">
        <v>356</v>
      </c>
      <c r="K358" s="28">
        <v>15.500000000000043</v>
      </c>
    </row>
    <row r="359" spans="10:11" x14ac:dyDescent="0.4">
      <c r="J359" s="26">
        <v>357</v>
      </c>
      <c r="K359" s="28">
        <v>-2.9999999999999574</v>
      </c>
    </row>
    <row r="360" spans="10:11" x14ac:dyDescent="0.4">
      <c r="J360" s="26">
        <v>358</v>
      </c>
      <c r="K360" s="28">
        <v>15.500000000000043</v>
      </c>
    </row>
    <row r="361" spans="10:11" x14ac:dyDescent="0.4">
      <c r="J361" s="26">
        <v>359</v>
      </c>
      <c r="K361" s="28">
        <v>4.400000000000043</v>
      </c>
    </row>
    <row r="362" spans="10:11" x14ac:dyDescent="0.4">
      <c r="J362" s="26">
        <v>360</v>
      </c>
      <c r="K362" s="28">
        <v>-2.9999999999999574</v>
      </c>
    </row>
    <row r="363" spans="10:11" x14ac:dyDescent="0.4">
      <c r="J363" s="26">
        <v>361</v>
      </c>
      <c r="K363" s="28">
        <v>-8.3999999999999577</v>
      </c>
    </row>
    <row r="364" spans="10:11" x14ac:dyDescent="0.4">
      <c r="J364" s="26">
        <v>362</v>
      </c>
      <c r="K364" s="28">
        <v>6.400000000000043</v>
      </c>
    </row>
    <row r="365" spans="10:11" x14ac:dyDescent="0.4">
      <c r="J365" s="26">
        <v>363</v>
      </c>
      <c r="K365" s="28">
        <v>-2.9999999999999574</v>
      </c>
    </row>
    <row r="366" spans="10:11" x14ac:dyDescent="0.4">
      <c r="J366" s="26">
        <v>364</v>
      </c>
      <c r="K366" s="28">
        <v>52.000000000000043</v>
      </c>
    </row>
    <row r="367" spans="10:11" x14ac:dyDescent="0.4">
      <c r="J367" s="26">
        <v>365</v>
      </c>
      <c r="K367" s="28">
        <v>34.000000000000043</v>
      </c>
    </row>
    <row r="368" spans="10:11" x14ac:dyDescent="0.4">
      <c r="J368" s="26">
        <v>366</v>
      </c>
      <c r="K368" s="28">
        <v>-2.9999999999999574</v>
      </c>
    </row>
    <row r="369" spans="10:11" x14ac:dyDescent="0.4">
      <c r="J369" s="26">
        <v>367</v>
      </c>
      <c r="K369" s="28">
        <v>39.000000000000043</v>
      </c>
    </row>
    <row r="370" spans="10:11" x14ac:dyDescent="0.4">
      <c r="J370" s="26">
        <v>368</v>
      </c>
      <c r="K370" s="28">
        <v>-0.99999999999995737</v>
      </c>
    </row>
    <row r="371" spans="10:11" x14ac:dyDescent="0.4">
      <c r="J371" s="26">
        <v>369</v>
      </c>
      <c r="K371" s="28">
        <v>-2.9999999999999574</v>
      </c>
    </row>
    <row r="372" spans="10:11" x14ac:dyDescent="0.4">
      <c r="J372" s="26">
        <v>370</v>
      </c>
      <c r="K372" s="28">
        <v>-15.999999999999957</v>
      </c>
    </row>
    <row r="373" spans="10:11" x14ac:dyDescent="0.4">
      <c r="J373" s="26">
        <v>371</v>
      </c>
      <c r="K373" s="28">
        <v>-23.199999999999957</v>
      </c>
    </row>
    <row r="374" spans="10:11" x14ac:dyDescent="0.4">
      <c r="J374" s="26">
        <v>372</v>
      </c>
      <c r="K374" s="28">
        <v>-2.9999999999999574</v>
      </c>
    </row>
    <row r="375" spans="10:11" x14ac:dyDescent="0.4">
      <c r="J375" s="26">
        <v>373</v>
      </c>
      <c r="K375" s="28">
        <v>-50.399999999999956</v>
      </c>
    </row>
    <row r="376" spans="10:11" x14ac:dyDescent="0.4">
      <c r="J376" s="26">
        <v>374</v>
      </c>
      <c r="K376" s="28">
        <v>-17.999999999999957</v>
      </c>
    </row>
    <row r="377" spans="10:11" x14ac:dyDescent="0.4">
      <c r="J377" s="26">
        <v>375</v>
      </c>
      <c r="K377" s="28">
        <v>-2.9999999999999574</v>
      </c>
    </row>
    <row r="378" spans="10:11" x14ac:dyDescent="0.4">
      <c r="J378" s="26">
        <v>376</v>
      </c>
      <c r="K378" s="28">
        <v>40.900000000000041</v>
      </c>
    </row>
    <row r="379" spans="10:11" x14ac:dyDescent="0.4">
      <c r="J379" s="26">
        <v>377</v>
      </c>
      <c r="K379" s="28">
        <v>35.30000000000004</v>
      </c>
    </row>
    <row r="380" spans="10:11" x14ac:dyDescent="0.4">
      <c r="J380" s="26">
        <v>378</v>
      </c>
      <c r="K380" s="28">
        <v>-2.9999999999999574</v>
      </c>
    </row>
    <row r="381" spans="10:11" x14ac:dyDescent="0.4">
      <c r="J381" s="26">
        <v>379</v>
      </c>
      <c r="K381" s="28">
        <v>13.100000000000044</v>
      </c>
    </row>
    <row r="382" spans="10:11" x14ac:dyDescent="0.4">
      <c r="J382" s="26">
        <v>380</v>
      </c>
      <c r="K382" s="28">
        <v>-12.899999999999956</v>
      </c>
    </row>
    <row r="383" spans="10:11" x14ac:dyDescent="0.4">
      <c r="J383" s="26">
        <v>381</v>
      </c>
      <c r="K383" s="28">
        <v>-2.9999999999999556</v>
      </c>
    </row>
    <row r="384" spans="10:11" x14ac:dyDescent="0.4">
      <c r="J384" s="26">
        <v>382</v>
      </c>
      <c r="K384" s="28">
        <v>-39.999999999999957</v>
      </c>
    </row>
    <row r="385" spans="10:11" x14ac:dyDescent="0.4">
      <c r="J385" s="26">
        <v>383</v>
      </c>
      <c r="K385" s="28">
        <v>-34.799999999999955</v>
      </c>
    </row>
    <row r="386" spans="10:11" x14ac:dyDescent="0.4">
      <c r="J386" s="26">
        <v>384</v>
      </c>
      <c r="K386" s="28">
        <v>-2.9999999999999574</v>
      </c>
    </row>
    <row r="387" spans="10:11" x14ac:dyDescent="0.4">
      <c r="J387" s="26">
        <v>385</v>
      </c>
      <c r="K387" s="28">
        <v>12.500000000000043</v>
      </c>
    </row>
    <row r="388" spans="10:11" x14ac:dyDescent="0.4">
      <c r="J388" s="26">
        <v>386</v>
      </c>
      <c r="K388" s="28">
        <v>4.8000000000000425</v>
      </c>
    </row>
    <row r="389" spans="10:11" x14ac:dyDescent="0.4">
      <c r="J389" s="26">
        <v>387</v>
      </c>
      <c r="K389" s="28">
        <v>-2.9999999999999583</v>
      </c>
    </row>
    <row r="390" spans="10:11" x14ac:dyDescent="0.4">
      <c r="J390" s="26">
        <v>388</v>
      </c>
      <c r="K390" s="28">
        <v>5.700000000000041</v>
      </c>
    </row>
    <row r="391" spans="10:11" x14ac:dyDescent="0.4">
      <c r="J391" s="26">
        <v>389</v>
      </c>
      <c r="K391" s="28">
        <v>16.30000000000004</v>
      </c>
    </row>
    <row r="392" spans="10:11" x14ac:dyDescent="0.4">
      <c r="J392" s="26">
        <v>390</v>
      </c>
      <c r="K392" s="28">
        <v>-2.9999999999999609</v>
      </c>
    </row>
    <row r="393" spans="10:11" x14ac:dyDescent="0.4">
      <c r="J393" s="26">
        <v>391</v>
      </c>
      <c r="K393" s="28">
        <v>17.700000000000038</v>
      </c>
    </row>
    <row r="394" spans="10:11" x14ac:dyDescent="0.4">
      <c r="J394" s="26">
        <v>392</v>
      </c>
      <c r="K394" s="28">
        <v>-24.799999999999962</v>
      </c>
    </row>
    <row r="395" spans="10:11" x14ac:dyDescent="0.4">
      <c r="J395" s="26">
        <v>393</v>
      </c>
      <c r="K395" s="28">
        <v>-2.9999999999999609</v>
      </c>
    </row>
    <row r="396" spans="10:11" x14ac:dyDescent="0.4">
      <c r="J396" s="26">
        <v>394</v>
      </c>
      <c r="K396" s="28">
        <v>11.30000000000004</v>
      </c>
    </row>
    <row r="397" spans="10:11" x14ac:dyDescent="0.4">
      <c r="J397" s="26">
        <v>395</v>
      </c>
      <c r="K397" s="28">
        <v>4.50000000000004</v>
      </c>
    </row>
    <row r="398" spans="10:11" x14ac:dyDescent="0.4">
      <c r="J398" s="26">
        <v>396</v>
      </c>
      <c r="K398" s="28">
        <v>-2.99999999999996</v>
      </c>
    </row>
    <row r="399" spans="10:11" x14ac:dyDescent="0.4">
      <c r="J399" s="26">
        <v>397</v>
      </c>
      <c r="K399" s="28">
        <v>8.6000000000000405</v>
      </c>
    </row>
    <row r="400" spans="10:11" x14ac:dyDescent="0.4">
      <c r="J400" s="26">
        <v>398</v>
      </c>
      <c r="K400" s="28">
        <v>27.200000000000042</v>
      </c>
    </row>
    <row r="401" spans="10:11" x14ac:dyDescent="0.4">
      <c r="J401" s="26">
        <v>399</v>
      </c>
      <c r="K401" s="28">
        <v>-2.9999999999999574</v>
      </c>
    </row>
    <row r="402" spans="10:11" x14ac:dyDescent="0.4">
      <c r="J402" s="26">
        <v>400</v>
      </c>
      <c r="K402" s="28">
        <v>4.2000000000000428</v>
      </c>
    </row>
    <row r="403" spans="10:11" x14ac:dyDescent="0.4">
      <c r="J403" s="26">
        <v>401</v>
      </c>
      <c r="K403" s="28">
        <v>-14.799999999999958</v>
      </c>
    </row>
    <row r="404" spans="10:11" x14ac:dyDescent="0.4">
      <c r="J404" s="26">
        <v>402</v>
      </c>
      <c r="K404" s="28">
        <v>-3.9999999999999574</v>
      </c>
    </row>
    <row r="405" spans="10:11" x14ac:dyDescent="0.4">
      <c r="J405" s="26">
        <v>403</v>
      </c>
      <c r="K405" s="28">
        <v>19.500000000000043</v>
      </c>
    </row>
    <row r="406" spans="10:11" x14ac:dyDescent="0.4">
      <c r="J406" s="26">
        <v>404</v>
      </c>
      <c r="K406" s="28">
        <v>14.600000000000042</v>
      </c>
    </row>
    <row r="407" spans="10:11" x14ac:dyDescent="0.4">
      <c r="J407" s="26">
        <v>405</v>
      </c>
      <c r="K407" s="28">
        <v>-3.9999999999999591</v>
      </c>
    </row>
    <row r="408" spans="10:11" x14ac:dyDescent="0.4">
      <c r="J408" s="26">
        <v>406</v>
      </c>
      <c r="K408" s="28">
        <v>11.900000000000039</v>
      </c>
    </row>
    <row r="409" spans="10:11" x14ac:dyDescent="0.4">
      <c r="J409" s="26">
        <v>407</v>
      </c>
      <c r="K409" s="28">
        <v>13.100000000000039</v>
      </c>
    </row>
    <row r="410" spans="10:11" x14ac:dyDescent="0.4">
      <c r="J410" s="26">
        <v>408</v>
      </c>
      <c r="K410" s="28">
        <v>-3.9999999999999627</v>
      </c>
    </row>
    <row r="411" spans="10:11" x14ac:dyDescent="0.4">
      <c r="J411" s="26">
        <v>409</v>
      </c>
      <c r="K411" s="28">
        <v>-40.499999999999964</v>
      </c>
    </row>
    <row r="412" spans="10:11" x14ac:dyDescent="0.4">
      <c r="J412" s="26">
        <v>410</v>
      </c>
      <c r="K412" s="28">
        <v>-15.999999999999964</v>
      </c>
    </row>
    <row r="413" spans="10:11" x14ac:dyDescent="0.4">
      <c r="J413" s="26">
        <v>411</v>
      </c>
      <c r="K413" s="28">
        <v>-3.9999999999999645</v>
      </c>
    </row>
    <row r="414" spans="10:11" x14ac:dyDescent="0.4">
      <c r="J414" s="26">
        <v>412</v>
      </c>
      <c r="K414" s="28">
        <v>33.500000000000036</v>
      </c>
    </row>
    <row r="415" spans="10:11" x14ac:dyDescent="0.4">
      <c r="J415" s="26">
        <v>413</v>
      </c>
      <c r="K415" s="28">
        <v>-3.4999999999999645</v>
      </c>
    </row>
    <row r="416" spans="10:11" x14ac:dyDescent="0.4">
      <c r="J416" s="26">
        <v>414</v>
      </c>
      <c r="K416" s="28">
        <v>-3.9999999999999645</v>
      </c>
    </row>
    <row r="417" spans="10:11" x14ac:dyDescent="0.4">
      <c r="J417" s="26">
        <v>415</v>
      </c>
      <c r="K417" s="28">
        <v>-49.499999999999964</v>
      </c>
    </row>
    <row r="418" spans="10:11" x14ac:dyDescent="0.4">
      <c r="J418" s="26">
        <v>416</v>
      </c>
      <c r="K418" s="28">
        <v>-44.999999999999964</v>
      </c>
    </row>
    <row r="419" spans="10:11" x14ac:dyDescent="0.4">
      <c r="J419" s="26">
        <v>417</v>
      </c>
      <c r="K419" s="28">
        <v>-3.9999999999999645</v>
      </c>
    </row>
    <row r="420" spans="10:11" x14ac:dyDescent="0.4">
      <c r="J420" s="26">
        <v>418</v>
      </c>
      <c r="K420" s="28">
        <v>8.2000000000000348</v>
      </c>
    </row>
    <row r="421" spans="10:11" x14ac:dyDescent="0.4">
      <c r="J421" s="26">
        <v>419</v>
      </c>
      <c r="K421" s="28">
        <v>1.8000000000000345</v>
      </c>
    </row>
    <row r="422" spans="10:11" x14ac:dyDescent="0.4">
      <c r="J422" s="26">
        <v>420</v>
      </c>
      <c r="K422" s="28">
        <v>-3.9999999999999654</v>
      </c>
    </row>
    <row r="423" spans="10:11" x14ac:dyDescent="0.4">
      <c r="J423" s="26">
        <v>421</v>
      </c>
      <c r="K423" s="28">
        <v>-22.499999999999964</v>
      </c>
    </row>
    <row r="424" spans="10:11" x14ac:dyDescent="0.4">
      <c r="J424" s="26">
        <v>422</v>
      </c>
      <c r="K424" s="28">
        <v>-5.6999999999999638</v>
      </c>
    </row>
    <row r="425" spans="10:11" x14ac:dyDescent="0.4">
      <c r="J425" s="26">
        <v>423</v>
      </c>
      <c r="K425" s="28">
        <v>-3.9999999999999636</v>
      </c>
    </row>
    <row r="426" spans="10:11" x14ac:dyDescent="0.4">
      <c r="J426" s="26">
        <v>424</v>
      </c>
      <c r="K426" s="28">
        <v>36.400000000000034</v>
      </c>
    </row>
    <row r="427" spans="10:11" x14ac:dyDescent="0.4">
      <c r="J427" s="26">
        <v>425</v>
      </c>
      <c r="K427" s="28">
        <v>11.000000000000036</v>
      </c>
    </row>
    <row r="428" spans="10:11" x14ac:dyDescent="0.4">
      <c r="J428" s="26">
        <v>426</v>
      </c>
      <c r="K428" s="28">
        <v>-3.9999999999999645</v>
      </c>
    </row>
    <row r="429" spans="10:11" x14ac:dyDescent="0.4">
      <c r="J429" s="26">
        <v>427</v>
      </c>
      <c r="K429" s="28">
        <v>22.100000000000037</v>
      </c>
    </row>
    <row r="430" spans="10:11" x14ac:dyDescent="0.4">
      <c r="J430" s="26">
        <v>428</v>
      </c>
      <c r="K430" s="28">
        <v>-27.499999999999964</v>
      </c>
    </row>
    <row r="431" spans="10:11" x14ac:dyDescent="0.4">
      <c r="J431" s="26">
        <v>429</v>
      </c>
      <c r="K431" s="28">
        <v>-3.9999999999999645</v>
      </c>
    </row>
    <row r="432" spans="10:11" x14ac:dyDescent="0.4">
      <c r="J432" s="26">
        <v>430</v>
      </c>
      <c r="K432" s="28">
        <v>4.5000000000000355</v>
      </c>
    </row>
    <row r="433" spans="10:11" x14ac:dyDescent="0.4">
      <c r="J433" s="26">
        <v>431</v>
      </c>
      <c r="K433" s="28">
        <v>29.200000000000035</v>
      </c>
    </row>
    <row r="434" spans="10:11" x14ac:dyDescent="0.4">
      <c r="J434" s="26">
        <v>432</v>
      </c>
      <c r="K434" s="28">
        <v>-3.999999999999968</v>
      </c>
    </row>
    <row r="435" spans="10:11" x14ac:dyDescent="0.4">
      <c r="J435" s="26">
        <v>433</v>
      </c>
      <c r="K435" s="28">
        <v>0.8000000000000318</v>
      </c>
    </row>
    <row r="436" spans="10:11" x14ac:dyDescent="0.4">
      <c r="J436" s="26">
        <v>434</v>
      </c>
      <c r="K436" s="28">
        <v>-14.999999999999968</v>
      </c>
    </row>
    <row r="437" spans="10:11" x14ac:dyDescent="0.4">
      <c r="J437" s="26">
        <v>435</v>
      </c>
      <c r="K437" s="28">
        <v>-3.999999999999968</v>
      </c>
    </row>
    <row r="438" spans="10:11" x14ac:dyDescent="0.4">
      <c r="J438" s="26">
        <v>436</v>
      </c>
      <c r="K438" s="28">
        <v>38.300000000000026</v>
      </c>
    </row>
    <row r="439" spans="10:11" x14ac:dyDescent="0.4">
      <c r="J439" s="26">
        <v>437</v>
      </c>
      <c r="K439" s="28">
        <v>30.500000000000025</v>
      </c>
    </row>
    <row r="440" spans="10:11" x14ac:dyDescent="0.4">
      <c r="J440" s="26">
        <v>438</v>
      </c>
      <c r="K440" s="28">
        <v>-3.9999999999999751</v>
      </c>
    </row>
    <row r="441" spans="10:11" x14ac:dyDescent="0.4">
      <c r="J441" s="26">
        <v>439</v>
      </c>
      <c r="K441" s="28">
        <v>21.000000000000025</v>
      </c>
    </row>
    <row r="442" spans="10:11" x14ac:dyDescent="0.4">
      <c r="J442" s="26">
        <v>440</v>
      </c>
      <c r="K442" s="28">
        <v>15.700000000000024</v>
      </c>
    </row>
    <row r="443" spans="10:11" x14ac:dyDescent="0.4">
      <c r="J443" s="26">
        <v>441</v>
      </c>
      <c r="K443" s="28">
        <v>-3.9999999999999751</v>
      </c>
    </row>
    <row r="444" spans="10:11" x14ac:dyDescent="0.4">
      <c r="J444" s="26">
        <v>442</v>
      </c>
      <c r="K444" s="28">
        <v>7.0000000000000249</v>
      </c>
    </row>
    <row r="445" spans="10:11" x14ac:dyDescent="0.4">
      <c r="J445" s="26">
        <v>443</v>
      </c>
      <c r="K445" s="28">
        <v>-24.799999999999972</v>
      </c>
    </row>
    <row r="446" spans="10:11" x14ac:dyDescent="0.4">
      <c r="J446" s="26">
        <v>444</v>
      </c>
      <c r="K446" s="28">
        <v>-3.9999999999999716</v>
      </c>
    </row>
    <row r="447" spans="10:11" x14ac:dyDescent="0.4">
      <c r="J447" s="26">
        <v>445</v>
      </c>
      <c r="K447" s="28">
        <v>36.000000000000028</v>
      </c>
    </row>
    <row r="448" spans="10:11" x14ac:dyDescent="0.4">
      <c r="J448" s="26">
        <v>446</v>
      </c>
      <c r="K448" s="28">
        <v>-8.4999999999999716</v>
      </c>
    </row>
    <row r="449" spans="10:11" x14ac:dyDescent="0.4">
      <c r="J449" s="26">
        <v>447</v>
      </c>
      <c r="K449" s="28">
        <v>-3.9999999999999716</v>
      </c>
    </row>
    <row r="450" spans="10:11" x14ac:dyDescent="0.4">
      <c r="J450" s="26">
        <v>448</v>
      </c>
      <c r="K450" s="28">
        <v>20.000000000000028</v>
      </c>
    </row>
    <row r="451" spans="10:11" x14ac:dyDescent="0.4">
      <c r="J451" s="26">
        <v>449</v>
      </c>
      <c r="K451" s="28">
        <v>-14.499999999999972</v>
      </c>
    </row>
    <row r="452" spans="10:11" x14ac:dyDescent="0.4">
      <c r="J452" s="26">
        <v>450</v>
      </c>
      <c r="K452" s="28">
        <v>-3.9999999999999716</v>
      </c>
    </row>
    <row r="453" spans="10:11" x14ac:dyDescent="0.4">
      <c r="J453" s="26">
        <v>451</v>
      </c>
      <c r="K453" s="28">
        <v>-22.799999999999972</v>
      </c>
    </row>
    <row r="454" spans="10:11" x14ac:dyDescent="0.4">
      <c r="J454" s="26">
        <v>452</v>
      </c>
      <c r="K454" s="28">
        <v>-32.799999999999969</v>
      </c>
    </row>
    <row r="455" spans="10:11" x14ac:dyDescent="0.4">
      <c r="J455" s="26">
        <v>453</v>
      </c>
      <c r="K455" s="28">
        <v>-3.999999999999968</v>
      </c>
    </row>
    <row r="456" spans="10:11" x14ac:dyDescent="0.4">
      <c r="J456" s="26">
        <v>454</v>
      </c>
      <c r="K456" s="28">
        <v>32.600000000000037</v>
      </c>
    </row>
    <row r="457" spans="10:11" x14ac:dyDescent="0.4">
      <c r="J457" s="26">
        <v>455</v>
      </c>
      <c r="K457" s="28">
        <v>31.500000000000036</v>
      </c>
    </row>
    <row r="458" spans="10:11" x14ac:dyDescent="0.4">
      <c r="J458" s="26">
        <v>456</v>
      </c>
      <c r="K458" s="28">
        <v>-3.9999999999999645</v>
      </c>
    </row>
    <row r="459" spans="10:11" x14ac:dyDescent="0.4">
      <c r="J459" s="26">
        <v>457</v>
      </c>
      <c r="K459" s="28">
        <v>3.8000000000000353</v>
      </c>
    </row>
    <row r="460" spans="10:11" x14ac:dyDescent="0.4">
      <c r="J460" s="26">
        <v>458</v>
      </c>
      <c r="K460" s="28">
        <v>-32.39999999999997</v>
      </c>
    </row>
    <row r="461" spans="10:11" x14ac:dyDescent="0.4">
      <c r="J461" s="26">
        <v>459</v>
      </c>
      <c r="K461" s="28">
        <v>-3.9999999999999716</v>
      </c>
    </row>
    <row r="462" spans="10:11" x14ac:dyDescent="0.4">
      <c r="J462" s="26">
        <v>460</v>
      </c>
      <c r="K462" s="28">
        <v>63.100000000000023</v>
      </c>
    </row>
    <row r="463" spans="10:11" x14ac:dyDescent="0.4">
      <c r="J463" s="26">
        <v>461</v>
      </c>
      <c r="K463" s="28">
        <v>22.800000000000026</v>
      </c>
    </row>
    <row r="464" spans="10:11" x14ac:dyDescent="0.4">
      <c r="J464" s="26">
        <v>462</v>
      </c>
      <c r="K464" s="28">
        <v>-3.9999999999999751</v>
      </c>
    </row>
    <row r="465" spans="10:11" x14ac:dyDescent="0.4">
      <c r="J465" s="26">
        <v>463</v>
      </c>
      <c r="K465" s="28">
        <v>-5.9999999999999751</v>
      </c>
    </row>
    <row r="466" spans="10:11" x14ac:dyDescent="0.4">
      <c r="J466" s="26">
        <v>464</v>
      </c>
      <c r="K466" s="28">
        <v>-21.399999999999974</v>
      </c>
    </row>
    <row r="467" spans="10:11" x14ac:dyDescent="0.4">
      <c r="J467" s="26">
        <v>465</v>
      </c>
      <c r="K467" s="28">
        <v>-3.9999999999999751</v>
      </c>
    </row>
    <row r="468" spans="10:11" x14ac:dyDescent="0.4">
      <c r="J468" s="26">
        <v>466</v>
      </c>
      <c r="K468" s="28">
        <v>1.200000000000025</v>
      </c>
    </row>
    <row r="469" spans="10:11" x14ac:dyDescent="0.4">
      <c r="J469" s="26">
        <v>467</v>
      </c>
      <c r="K469" s="28">
        <v>-29.499999999999975</v>
      </c>
    </row>
    <row r="470" spans="10:11" x14ac:dyDescent="0.4">
      <c r="J470" s="26">
        <v>468</v>
      </c>
      <c r="K470" s="28">
        <v>-3.9999999999999751</v>
      </c>
    </row>
    <row r="471" spans="10:11" x14ac:dyDescent="0.4">
      <c r="J471" s="26">
        <v>469</v>
      </c>
      <c r="K471" s="28">
        <v>11.200000000000024</v>
      </c>
    </row>
    <row r="472" spans="10:11" x14ac:dyDescent="0.4">
      <c r="J472" s="26">
        <v>470</v>
      </c>
      <c r="K472" s="28">
        <v>6.3000000000000238</v>
      </c>
    </row>
    <row r="473" spans="10:11" x14ac:dyDescent="0.4">
      <c r="J473" s="26">
        <v>471</v>
      </c>
      <c r="K473" s="28">
        <v>-3.9999999999999769</v>
      </c>
    </row>
    <row r="474" spans="10:11" x14ac:dyDescent="0.4">
      <c r="J474" s="26">
        <v>472</v>
      </c>
      <c r="K474" s="28">
        <v>19.200000000000024</v>
      </c>
    </row>
    <row r="475" spans="10:11" x14ac:dyDescent="0.4">
      <c r="J475" s="26">
        <v>473</v>
      </c>
      <c r="K475" s="28">
        <v>5.3000000000000238</v>
      </c>
    </row>
    <row r="476" spans="10:11" x14ac:dyDescent="0.4">
      <c r="J476" s="26">
        <v>474</v>
      </c>
      <c r="K476" s="28">
        <v>-3.9999999999999769</v>
      </c>
    </row>
    <row r="477" spans="10:11" x14ac:dyDescent="0.4">
      <c r="J477" s="26">
        <v>475</v>
      </c>
      <c r="K477" s="28">
        <v>16.600000000000023</v>
      </c>
    </row>
    <row r="478" spans="10:11" x14ac:dyDescent="0.4">
      <c r="J478" s="26">
        <v>476</v>
      </c>
      <c r="K478" s="28">
        <v>-28.09999999999998</v>
      </c>
    </row>
    <row r="479" spans="10:11" x14ac:dyDescent="0.4">
      <c r="J479" s="26">
        <v>477</v>
      </c>
      <c r="K479" s="28">
        <v>-3.9999999999999787</v>
      </c>
    </row>
    <row r="480" spans="10:11" x14ac:dyDescent="0.4">
      <c r="J480" s="26">
        <v>478</v>
      </c>
      <c r="K480" s="28">
        <v>3.3000000000000211</v>
      </c>
    </row>
    <row r="481" spans="10:11" x14ac:dyDescent="0.4">
      <c r="J481" s="26">
        <v>479</v>
      </c>
      <c r="K481" s="28">
        <v>28.500000000000021</v>
      </c>
    </row>
    <row r="482" spans="10:11" x14ac:dyDescent="0.4">
      <c r="J482" s="26">
        <v>480</v>
      </c>
      <c r="K482" s="28">
        <v>-3.9999999999999787</v>
      </c>
    </row>
    <row r="483" spans="10:11" x14ac:dyDescent="0.4">
      <c r="J483" s="26">
        <v>481</v>
      </c>
      <c r="K483" s="28">
        <v>0.80000000000002114</v>
      </c>
    </row>
    <row r="484" spans="10:11" x14ac:dyDescent="0.4">
      <c r="J484" s="26">
        <v>482</v>
      </c>
      <c r="K484" s="28">
        <v>32.500000000000021</v>
      </c>
    </row>
    <row r="485" spans="10:11" x14ac:dyDescent="0.4">
      <c r="J485" s="26">
        <v>483</v>
      </c>
      <c r="K485" s="28">
        <v>-3.9999999999999787</v>
      </c>
    </row>
    <row r="486" spans="10:11" x14ac:dyDescent="0.4">
      <c r="J486" s="26">
        <v>484</v>
      </c>
      <c r="K486" s="28">
        <v>0.10000000000002096</v>
      </c>
    </row>
    <row r="487" spans="10:11" x14ac:dyDescent="0.4">
      <c r="J487" s="26">
        <v>485</v>
      </c>
      <c r="K487" s="28">
        <v>4.4000000000000208</v>
      </c>
    </row>
    <row r="488" spans="10:11" x14ac:dyDescent="0.4">
      <c r="J488" s="26">
        <v>486</v>
      </c>
      <c r="K488" s="28">
        <v>-3.9999999999999796</v>
      </c>
    </row>
    <row r="489" spans="10:11" x14ac:dyDescent="0.4">
      <c r="J489" s="26">
        <v>487</v>
      </c>
      <c r="K489" s="28">
        <v>-14.999999999999979</v>
      </c>
    </row>
    <row r="490" spans="10:11" x14ac:dyDescent="0.4">
      <c r="J490" s="26">
        <v>488</v>
      </c>
      <c r="K490" s="28">
        <v>-5.4999999999999787</v>
      </c>
    </row>
    <row r="491" spans="10:11" x14ac:dyDescent="0.4">
      <c r="J491" s="26">
        <v>489</v>
      </c>
      <c r="K491" s="28">
        <v>-4.9999999999999787</v>
      </c>
    </row>
    <row r="492" spans="10:11" x14ac:dyDescent="0.4">
      <c r="J492" s="26">
        <v>490</v>
      </c>
      <c r="K492" s="28">
        <v>6.5000000000000213</v>
      </c>
    </row>
    <row r="493" spans="10:11" x14ac:dyDescent="0.4">
      <c r="J493" s="26">
        <v>491</v>
      </c>
      <c r="K493" s="28">
        <v>-4.5999999999999783</v>
      </c>
    </row>
    <row r="494" spans="10:11" x14ac:dyDescent="0.4">
      <c r="J494" s="26">
        <v>492</v>
      </c>
      <c r="K494" s="28">
        <v>-4.9999999999999787</v>
      </c>
    </row>
    <row r="495" spans="10:11" x14ac:dyDescent="0.4">
      <c r="J495" s="26">
        <v>493</v>
      </c>
      <c r="K495" s="28">
        <v>-16.899999999999977</v>
      </c>
    </row>
    <row r="496" spans="10:11" x14ac:dyDescent="0.4">
      <c r="J496" s="26">
        <v>494</v>
      </c>
      <c r="K496" s="28">
        <v>-22.099999999999977</v>
      </c>
    </row>
    <row r="497" spans="10:11" x14ac:dyDescent="0.4">
      <c r="J497" s="26">
        <v>495</v>
      </c>
      <c r="K497" s="28">
        <v>-4.9999999999999751</v>
      </c>
    </row>
    <row r="498" spans="10:11" x14ac:dyDescent="0.4">
      <c r="J498" s="26">
        <v>496</v>
      </c>
      <c r="K498" s="28">
        <v>10.600000000000025</v>
      </c>
    </row>
    <row r="499" spans="10:11" x14ac:dyDescent="0.4">
      <c r="J499" s="26">
        <v>497</v>
      </c>
      <c r="K499" s="28">
        <v>-26.799999999999976</v>
      </c>
    </row>
    <row r="500" spans="10:11" x14ac:dyDescent="0.4">
      <c r="J500" s="26">
        <v>498</v>
      </c>
      <c r="K500" s="28">
        <v>-4.9999999999999751</v>
      </c>
    </row>
    <row r="501" spans="10:11" x14ac:dyDescent="0.4">
      <c r="J501" s="26">
        <v>499</v>
      </c>
      <c r="K501" s="28">
        <v>9.6000000000000245</v>
      </c>
    </row>
    <row r="502" spans="10:11" x14ac:dyDescent="0.4">
      <c r="J502" s="26">
        <v>500</v>
      </c>
      <c r="K502" s="28">
        <v>-2.1999999999999762</v>
      </c>
    </row>
    <row r="503" spans="10:11" x14ac:dyDescent="0.4">
      <c r="J503" s="26">
        <v>501</v>
      </c>
      <c r="K503" s="28">
        <v>-4.999999999999976</v>
      </c>
    </row>
    <row r="504" spans="10:11" x14ac:dyDescent="0.4">
      <c r="J504" s="26">
        <v>502</v>
      </c>
      <c r="K504" s="28">
        <v>-39.999999999999979</v>
      </c>
    </row>
    <row r="505" spans="10:11" x14ac:dyDescent="0.4">
      <c r="J505" s="26">
        <v>503</v>
      </c>
      <c r="K505" s="28">
        <v>-4.9999999999999787</v>
      </c>
    </row>
    <row r="506" spans="10:11" x14ac:dyDescent="0.4">
      <c r="J506" s="26">
        <v>504</v>
      </c>
      <c r="K506" s="28">
        <v>-4.9999999999999787</v>
      </c>
    </row>
    <row r="507" spans="10:11" x14ac:dyDescent="0.4">
      <c r="J507" s="26">
        <v>505</v>
      </c>
      <c r="K507" s="28">
        <v>-34.59999999999998</v>
      </c>
    </row>
    <row r="508" spans="10:11" x14ac:dyDescent="0.4">
      <c r="J508" s="26">
        <v>506</v>
      </c>
      <c r="K508" s="28">
        <v>-82.699999999999989</v>
      </c>
    </row>
    <row r="509" spans="10:11" x14ac:dyDescent="0.4">
      <c r="J509" s="26">
        <v>507</v>
      </c>
      <c r="K509" s="28">
        <v>-4.9999999999999858</v>
      </c>
    </row>
    <row r="510" spans="10:11" x14ac:dyDescent="0.4">
      <c r="J510" s="26">
        <v>508</v>
      </c>
      <c r="K510" s="28">
        <v>0.80000000000001403</v>
      </c>
    </row>
    <row r="511" spans="10:11" x14ac:dyDescent="0.4">
      <c r="J511" s="26">
        <v>509</v>
      </c>
      <c r="K511" s="28">
        <v>-1.7999999999999861</v>
      </c>
    </row>
    <row r="512" spans="10:11" x14ac:dyDescent="0.4">
      <c r="J512" s="26">
        <v>510</v>
      </c>
      <c r="K512" s="28">
        <v>-4.9999999999999858</v>
      </c>
    </row>
    <row r="513" spans="10:11" x14ac:dyDescent="0.4">
      <c r="J513" s="26">
        <v>511</v>
      </c>
      <c r="K513" s="28">
        <v>-17.999999999999986</v>
      </c>
    </row>
    <row r="514" spans="10:11" x14ac:dyDescent="0.4">
      <c r="J514" s="26">
        <v>512</v>
      </c>
      <c r="K514" s="28">
        <v>-30.499999999999986</v>
      </c>
    </row>
    <row r="515" spans="10:11" x14ac:dyDescent="0.4">
      <c r="J515" s="26">
        <v>513</v>
      </c>
      <c r="K515" s="28">
        <v>-4.9999999999999858</v>
      </c>
    </row>
    <row r="516" spans="10:11" x14ac:dyDescent="0.4">
      <c r="J516" s="26">
        <v>514</v>
      </c>
      <c r="K516" s="28">
        <v>-14.999999999999986</v>
      </c>
    </row>
    <row r="517" spans="10:11" x14ac:dyDescent="0.4">
      <c r="J517" s="26">
        <v>515</v>
      </c>
      <c r="K517" s="28">
        <v>44.500000000000014</v>
      </c>
    </row>
    <row r="518" spans="10:11" x14ac:dyDescent="0.4">
      <c r="J518" s="26">
        <v>516</v>
      </c>
      <c r="K518" s="28">
        <v>-4.9999999999999858</v>
      </c>
    </row>
    <row r="519" spans="10:11" x14ac:dyDescent="0.4">
      <c r="J519" s="26">
        <v>517</v>
      </c>
      <c r="K519" s="28">
        <v>38.600000000000016</v>
      </c>
    </row>
    <row r="520" spans="10:11" x14ac:dyDescent="0.4">
      <c r="J520" s="26">
        <v>518</v>
      </c>
      <c r="K520" s="28">
        <v>10.100000000000016</v>
      </c>
    </row>
    <row r="521" spans="10:11" x14ac:dyDescent="0.4">
      <c r="J521" s="26">
        <v>519</v>
      </c>
      <c r="K521" s="28">
        <v>-4.999999999999984</v>
      </c>
    </row>
    <row r="522" spans="10:11" x14ac:dyDescent="0.4">
      <c r="J522" s="26">
        <v>520</v>
      </c>
      <c r="K522" s="28">
        <v>-9.6999999999999851</v>
      </c>
    </row>
    <row r="523" spans="10:11" x14ac:dyDescent="0.4">
      <c r="J523" s="26">
        <v>521</v>
      </c>
      <c r="K523" s="28">
        <v>7.9000000000000163</v>
      </c>
    </row>
    <row r="524" spans="10:11" x14ac:dyDescent="0.4">
      <c r="J524" s="26">
        <v>522</v>
      </c>
      <c r="K524" s="28">
        <v>-4.999999999999984</v>
      </c>
    </row>
    <row r="525" spans="10:11" x14ac:dyDescent="0.4">
      <c r="J525" s="26">
        <v>523</v>
      </c>
      <c r="K525" s="28">
        <v>6.500000000000016</v>
      </c>
    </row>
    <row r="526" spans="10:11" x14ac:dyDescent="0.4">
      <c r="J526" s="26">
        <v>524</v>
      </c>
      <c r="K526" s="28">
        <v>-6.6999999999999833</v>
      </c>
    </row>
    <row r="527" spans="10:11" x14ac:dyDescent="0.4">
      <c r="J527" s="26">
        <v>525</v>
      </c>
      <c r="K527" s="28">
        <v>-4.9999999999999831</v>
      </c>
    </row>
    <row r="528" spans="10:11" x14ac:dyDescent="0.4">
      <c r="J528" s="26">
        <v>526</v>
      </c>
      <c r="K528" s="28">
        <v>8.4000000000000163</v>
      </c>
    </row>
    <row r="529" spans="10:11" x14ac:dyDescent="0.4">
      <c r="J529" s="26">
        <v>527</v>
      </c>
      <c r="K529" s="28">
        <v>20.700000000000017</v>
      </c>
    </row>
    <row r="530" spans="10:11" x14ac:dyDescent="0.4">
      <c r="J530" s="26">
        <v>528</v>
      </c>
      <c r="K530" s="28">
        <v>-4.9999999999999822</v>
      </c>
    </row>
    <row r="531" spans="10:11" x14ac:dyDescent="0.4">
      <c r="J531" s="26">
        <v>529</v>
      </c>
      <c r="K531" s="28">
        <v>-18.999999999999982</v>
      </c>
    </row>
    <row r="532" spans="10:11" x14ac:dyDescent="0.4">
      <c r="J532" s="26">
        <v>530</v>
      </c>
      <c r="K532" s="28">
        <v>-78.299999999999983</v>
      </c>
    </row>
    <row r="533" spans="10:11" x14ac:dyDescent="0.4">
      <c r="J533" s="26">
        <v>531</v>
      </c>
      <c r="K533" s="28">
        <v>-4.9999999999999858</v>
      </c>
    </row>
    <row r="534" spans="10:11" x14ac:dyDescent="0.4">
      <c r="J534" s="26">
        <v>532</v>
      </c>
      <c r="K534" s="28">
        <v>1.1000000000000139</v>
      </c>
    </row>
    <row r="535" spans="10:11" x14ac:dyDescent="0.4">
      <c r="J535" s="26">
        <v>533</v>
      </c>
      <c r="K535" s="28">
        <v>-5.8999999999999861</v>
      </c>
    </row>
    <row r="536" spans="10:11" x14ac:dyDescent="0.4">
      <c r="J536" s="26">
        <v>534</v>
      </c>
      <c r="K536" s="28">
        <v>-4.9999999999999858</v>
      </c>
    </row>
    <row r="537" spans="10:11" x14ac:dyDescent="0.4">
      <c r="J537" s="26">
        <v>535</v>
      </c>
      <c r="K537" s="28">
        <v>13.700000000000014</v>
      </c>
    </row>
    <row r="538" spans="10:11" x14ac:dyDescent="0.4">
      <c r="J538" s="26">
        <v>536</v>
      </c>
      <c r="K538" s="28">
        <v>-1.1999999999999869</v>
      </c>
    </row>
    <row r="539" spans="10:11" x14ac:dyDescent="0.4">
      <c r="J539" s="26">
        <v>537</v>
      </c>
      <c r="K539" s="28">
        <v>-4.9999999999999867</v>
      </c>
    </row>
    <row r="540" spans="10:11" x14ac:dyDescent="0.4">
      <c r="J540" s="26">
        <v>538</v>
      </c>
      <c r="K540" s="28">
        <v>17.800000000000015</v>
      </c>
    </row>
    <row r="541" spans="10:11" x14ac:dyDescent="0.4">
      <c r="J541" s="26">
        <v>539</v>
      </c>
      <c r="K541" s="28">
        <v>19.500000000000014</v>
      </c>
    </row>
    <row r="542" spans="10:11" x14ac:dyDescent="0.4">
      <c r="J542" s="26">
        <v>540</v>
      </c>
      <c r="K542" s="28">
        <v>-4.9999999999999858</v>
      </c>
    </row>
    <row r="543" spans="10:11" x14ac:dyDescent="0.4">
      <c r="J543" s="26">
        <v>541</v>
      </c>
      <c r="K543" s="28">
        <v>-1.4999999999999858</v>
      </c>
    </row>
    <row r="544" spans="10:11" x14ac:dyDescent="0.4">
      <c r="J544" s="26">
        <v>542</v>
      </c>
      <c r="K544" s="28">
        <v>-9.9999999999999858</v>
      </c>
    </row>
    <row r="545" spans="10:11" x14ac:dyDescent="0.4">
      <c r="J545" s="26">
        <v>543</v>
      </c>
      <c r="K545" s="28">
        <v>-4.9999999999999858</v>
      </c>
    </row>
    <row r="546" spans="10:11" x14ac:dyDescent="0.4">
      <c r="J546" s="26">
        <v>544</v>
      </c>
      <c r="K546" s="28">
        <v>-9.7999999999999865</v>
      </c>
    </row>
    <row r="547" spans="10:11" x14ac:dyDescent="0.4">
      <c r="J547" s="26">
        <v>545</v>
      </c>
      <c r="K547" s="28">
        <v>15.000000000000014</v>
      </c>
    </row>
    <row r="548" spans="10:11" x14ac:dyDescent="0.4">
      <c r="J548" s="26">
        <v>546</v>
      </c>
      <c r="K548" s="28">
        <v>-4.9999999999999858</v>
      </c>
    </row>
    <row r="549" spans="10:11" x14ac:dyDescent="0.4">
      <c r="J549" s="26">
        <v>547</v>
      </c>
      <c r="K549" s="28">
        <v>26.500000000000014</v>
      </c>
    </row>
    <row r="550" spans="10:11" x14ac:dyDescent="0.4">
      <c r="J550" s="26">
        <v>548</v>
      </c>
      <c r="K550" s="28">
        <v>6.9000000000000128</v>
      </c>
    </row>
    <row r="551" spans="10:11" x14ac:dyDescent="0.4">
      <c r="J551" s="26">
        <v>549</v>
      </c>
      <c r="K551" s="28">
        <v>-4.9999999999999876</v>
      </c>
    </row>
    <row r="552" spans="10:11" x14ac:dyDescent="0.4">
      <c r="J552" s="26">
        <v>550</v>
      </c>
      <c r="K552" s="28">
        <v>11.100000000000014</v>
      </c>
    </row>
    <row r="553" spans="10:11" x14ac:dyDescent="0.4">
      <c r="J553" s="26">
        <v>551</v>
      </c>
      <c r="K553" s="28">
        <v>11.500000000000014</v>
      </c>
    </row>
    <row r="554" spans="10:11" x14ac:dyDescent="0.4">
      <c r="J554" s="26">
        <v>552</v>
      </c>
      <c r="K554" s="28">
        <v>-4.9999999999999858</v>
      </c>
    </row>
    <row r="555" spans="10:11" x14ac:dyDescent="0.4">
      <c r="J555" s="26">
        <v>553</v>
      </c>
      <c r="K555" s="28">
        <v>6.3000000000000149</v>
      </c>
    </row>
    <row r="556" spans="10:11" x14ac:dyDescent="0.4">
      <c r="J556" s="26">
        <v>554</v>
      </c>
      <c r="K556" s="28">
        <v>17.100000000000016</v>
      </c>
    </row>
    <row r="557" spans="10:11" x14ac:dyDescent="0.4">
      <c r="J557" s="26">
        <v>555</v>
      </c>
      <c r="K557" s="28">
        <v>-4.9999999999999858</v>
      </c>
    </row>
    <row r="558" spans="10:11" x14ac:dyDescent="0.4">
      <c r="J558" s="26">
        <v>556</v>
      </c>
      <c r="K558" s="28">
        <v>18.300000000000015</v>
      </c>
    </row>
    <row r="559" spans="10:11" x14ac:dyDescent="0.4">
      <c r="J559" s="26">
        <v>557</v>
      </c>
      <c r="K559" s="28">
        <v>6.4000000000000146</v>
      </c>
    </row>
    <row r="560" spans="10:11" x14ac:dyDescent="0.4">
      <c r="J560" s="26">
        <v>558</v>
      </c>
      <c r="K560" s="28">
        <v>-4.9999999999999858</v>
      </c>
    </row>
    <row r="561" spans="10:11" x14ac:dyDescent="0.4">
      <c r="J561" s="26">
        <v>559</v>
      </c>
      <c r="K561" s="28">
        <v>-16.199999999999985</v>
      </c>
    </row>
    <row r="562" spans="10:11" x14ac:dyDescent="0.4">
      <c r="J562" s="26">
        <v>560</v>
      </c>
      <c r="K562" s="28">
        <v>-11.299999999999985</v>
      </c>
    </row>
    <row r="563" spans="10:11" x14ac:dyDescent="0.4">
      <c r="J563" s="26">
        <v>561</v>
      </c>
      <c r="K563" s="28">
        <v>-4.9999999999999849</v>
      </c>
    </row>
    <row r="564" spans="10:11" x14ac:dyDescent="0.4">
      <c r="J564" s="26">
        <v>562</v>
      </c>
      <c r="K564" s="28">
        <v>-6.9999999999999849</v>
      </c>
    </row>
    <row r="565" spans="10:11" x14ac:dyDescent="0.4">
      <c r="J565" s="26">
        <v>563</v>
      </c>
      <c r="K565" s="28">
        <v>-1.3999999999999853</v>
      </c>
    </row>
    <row r="566" spans="10:11" x14ac:dyDescent="0.4">
      <c r="J566" s="26">
        <v>564</v>
      </c>
      <c r="K566" s="28">
        <v>-4.9999999999999849</v>
      </c>
    </row>
    <row r="567" spans="10:11" x14ac:dyDescent="0.4">
      <c r="J567" s="26">
        <v>565</v>
      </c>
      <c r="K567" s="28">
        <v>-44.599999999999987</v>
      </c>
    </row>
    <row r="568" spans="10:11" x14ac:dyDescent="0.4">
      <c r="J568" s="26">
        <v>566</v>
      </c>
      <c r="K568" s="28">
        <v>-80.499999999999986</v>
      </c>
    </row>
    <row r="569" spans="10:11" x14ac:dyDescent="0.4">
      <c r="J569" s="26">
        <v>567</v>
      </c>
      <c r="K569" s="28">
        <v>-4.9999999999999858</v>
      </c>
    </row>
    <row r="570" spans="10:11" x14ac:dyDescent="0.4">
      <c r="J570" s="26">
        <v>568</v>
      </c>
      <c r="K570" s="28">
        <v>15.700000000000014</v>
      </c>
    </row>
    <row r="571" spans="10:11" x14ac:dyDescent="0.4">
      <c r="J571" s="26">
        <v>569</v>
      </c>
      <c r="K571" s="28">
        <v>29.800000000000011</v>
      </c>
    </row>
    <row r="572" spans="10:11" x14ac:dyDescent="0.4">
      <c r="J572" s="26">
        <v>570</v>
      </c>
      <c r="K572" s="28">
        <v>-4.9999999999999858</v>
      </c>
    </row>
    <row r="573" spans="10:11" x14ac:dyDescent="0.4">
      <c r="J573" s="26">
        <v>571</v>
      </c>
      <c r="K573" s="28">
        <v>34.700000000000017</v>
      </c>
    </row>
    <row r="574" spans="10:11" x14ac:dyDescent="0.4">
      <c r="J574" s="26">
        <v>572</v>
      </c>
      <c r="K574" s="28">
        <v>-2.7999999999999829</v>
      </c>
    </row>
    <row r="575" spans="10:11" x14ac:dyDescent="0.4">
      <c r="J575" s="26">
        <v>573</v>
      </c>
      <c r="K575" s="28">
        <v>-4.9999999999999831</v>
      </c>
    </row>
  </sheetData>
  <sortState ref="E2:H575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A7293-77EC-412D-AC9A-096EF01F1EA2}">
  <sheetPr codeName="Sheet5"/>
  <dimension ref="A1:P17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137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169</v>
      </c>
      <c r="C2" s="88"/>
      <c r="E2" s="67" t="s">
        <v>73</v>
      </c>
      <c r="F2" s="63" t="s">
        <v>27</v>
      </c>
      <c r="G2" s="49">
        <v>257</v>
      </c>
      <c r="H2" s="24">
        <f>IF(B$25=0,0,G2/B$25)</f>
        <v>0.91459074733096091</v>
      </c>
      <c r="J2" s="23">
        <v>0</v>
      </c>
      <c r="K2" s="25">
        <v>0</v>
      </c>
      <c r="M2" s="23" t="s">
        <v>181</v>
      </c>
      <c r="N2" s="44">
        <f t="shared" ref="N2:N7" si="0">IF(P2=0,0,O2/P2)</f>
        <v>1026.060606060606</v>
      </c>
      <c r="O2" s="41">
        <v>169300</v>
      </c>
      <c r="P2" s="39">
        <v>165</v>
      </c>
    </row>
    <row r="3" spans="1:16" x14ac:dyDescent="0.4">
      <c r="A3" s="58" t="s">
        <v>8</v>
      </c>
      <c r="B3" s="93">
        <v>1262</v>
      </c>
      <c r="C3" s="94"/>
      <c r="E3" s="68" t="s">
        <v>71</v>
      </c>
      <c r="F3" s="64" t="s">
        <v>25</v>
      </c>
      <c r="G3" s="50">
        <v>182</v>
      </c>
      <c r="H3" s="27">
        <f>IF(B$25=0,0,G3/B$25)</f>
        <v>0.64768683274021355</v>
      </c>
      <c r="J3" s="26">
        <v>1</v>
      </c>
      <c r="K3" s="28">
        <v>14</v>
      </c>
      <c r="M3" s="26" t="s">
        <v>182</v>
      </c>
      <c r="N3" s="45">
        <f t="shared" si="0"/>
        <v>983.54430379746839</v>
      </c>
      <c r="O3" s="42">
        <v>155400</v>
      </c>
      <c r="P3" s="37">
        <v>158</v>
      </c>
    </row>
    <row r="4" spans="1:16" x14ac:dyDescent="0.4">
      <c r="A4" s="58" t="s">
        <v>6</v>
      </c>
      <c r="B4" s="95">
        <v>931.00000000000011</v>
      </c>
      <c r="C4" s="96"/>
      <c r="E4" s="68" t="s">
        <v>78</v>
      </c>
      <c r="F4" s="64" t="s">
        <v>31</v>
      </c>
      <c r="G4" s="50">
        <v>158</v>
      </c>
      <c r="H4" s="27">
        <f>IF(B$25=0,0,G4/B$25)</f>
        <v>0.56227758007117434</v>
      </c>
      <c r="J4" s="26">
        <v>2</v>
      </c>
      <c r="K4" s="28">
        <v>13</v>
      </c>
      <c r="M4" s="26" t="s">
        <v>183</v>
      </c>
      <c r="N4" s="45">
        <f t="shared" si="0"/>
        <v>1025.3424657534247</v>
      </c>
      <c r="O4" s="42">
        <v>149700</v>
      </c>
      <c r="P4" s="37">
        <v>146</v>
      </c>
    </row>
    <row r="5" spans="1:16" x14ac:dyDescent="0.4">
      <c r="A5" s="58" t="s">
        <v>7</v>
      </c>
      <c r="B5" s="95">
        <f>IF(B$2=0,0,B$4/B$2)</f>
        <v>5.5088757396449708</v>
      </c>
      <c r="C5" s="96"/>
      <c r="E5" s="68" t="s">
        <v>69</v>
      </c>
      <c r="F5" s="64" t="s">
        <v>23</v>
      </c>
      <c r="G5" s="50">
        <v>142</v>
      </c>
      <c r="H5" s="27">
        <f>IF(B$25=0,0,G5/B$25)</f>
        <v>0.50533807829181498</v>
      </c>
      <c r="J5" s="26">
        <v>3</v>
      </c>
      <c r="K5" s="28">
        <v>28.1</v>
      </c>
      <c r="M5" s="26" t="s">
        <v>184</v>
      </c>
      <c r="N5" s="45">
        <f t="shared" si="0"/>
        <v>1534.090909090909</v>
      </c>
      <c r="O5" s="42">
        <v>202500</v>
      </c>
      <c r="P5" s="37">
        <v>132</v>
      </c>
    </row>
    <row r="6" spans="1:16" x14ac:dyDescent="0.4">
      <c r="A6" s="58" t="s">
        <v>1</v>
      </c>
      <c r="B6" s="85">
        <f>IF(B$2=0,0,(B$7*1+B$8*2+B$9*3)/B$2)</f>
        <v>1.8047337278106508</v>
      </c>
      <c r="C6" s="86"/>
      <c r="E6" s="68" t="s">
        <v>74</v>
      </c>
      <c r="F6" s="64" t="s">
        <v>12</v>
      </c>
      <c r="G6" s="50">
        <v>78</v>
      </c>
      <c r="H6" s="27">
        <f>IF(B$25=0,0,G6/B$25)</f>
        <v>0.27758007117437722</v>
      </c>
      <c r="J6" s="26">
        <v>4</v>
      </c>
      <c r="K6" s="28">
        <v>112.30000000000001</v>
      </c>
      <c r="M6" s="26" t="s">
        <v>185</v>
      </c>
      <c r="N6" s="45">
        <f t="shared" si="0"/>
        <v>1088.3928571428571</v>
      </c>
      <c r="O6" s="42">
        <v>121900</v>
      </c>
      <c r="P6" s="37">
        <v>112</v>
      </c>
    </row>
    <row r="7" spans="1:16" x14ac:dyDescent="0.4">
      <c r="A7" s="58" t="s">
        <v>2</v>
      </c>
      <c r="B7" s="50">
        <v>72</v>
      </c>
      <c r="C7" s="27">
        <f>IF(B$2=0,0,B7/B$2)</f>
        <v>0.42603550295857989</v>
      </c>
      <c r="E7" s="68" t="s">
        <v>72</v>
      </c>
      <c r="F7" s="64" t="s">
        <v>26</v>
      </c>
      <c r="G7" s="50">
        <v>68</v>
      </c>
      <c r="H7" s="27">
        <f>IF(B$25=0,0,G7/B$25)</f>
        <v>0.24199288256227758</v>
      </c>
      <c r="J7" s="26">
        <v>5</v>
      </c>
      <c r="K7" s="28">
        <v>142.80000000000001</v>
      </c>
      <c r="M7" s="31" t="s">
        <v>186</v>
      </c>
      <c r="N7" s="46">
        <f t="shared" si="0"/>
        <v>1502.3255813953488</v>
      </c>
      <c r="O7" s="43">
        <v>129200</v>
      </c>
      <c r="P7" s="38">
        <v>86</v>
      </c>
    </row>
    <row r="8" spans="1:16" x14ac:dyDescent="0.4">
      <c r="A8" s="58" t="s">
        <v>3</v>
      </c>
      <c r="B8" s="50">
        <v>58</v>
      </c>
      <c r="C8" s="27">
        <f t="shared" ref="C8:C9" si="1">IF(B$2=0,0,B8/B$2)</f>
        <v>0.34319526627218933</v>
      </c>
      <c r="E8" s="68" t="s">
        <v>96</v>
      </c>
      <c r="F8" s="64" t="s">
        <v>49</v>
      </c>
      <c r="G8" s="50">
        <v>52</v>
      </c>
      <c r="H8" s="27">
        <f>IF(B$25=0,0,G8/B$25)</f>
        <v>0.18505338078291814</v>
      </c>
      <c r="J8" s="26">
        <v>6</v>
      </c>
      <c r="K8" s="28">
        <v>95.800000000000011</v>
      </c>
    </row>
    <row r="9" spans="1:16" x14ac:dyDescent="0.4">
      <c r="A9" s="59" t="s">
        <v>4</v>
      </c>
      <c r="B9" s="51">
        <v>39</v>
      </c>
      <c r="C9" s="29">
        <f t="shared" si="1"/>
        <v>0.23076923076923078</v>
      </c>
      <c r="E9" s="68" t="s">
        <v>75</v>
      </c>
      <c r="F9" s="64" t="s">
        <v>28</v>
      </c>
      <c r="G9" s="50">
        <v>45</v>
      </c>
      <c r="H9" s="27">
        <f>IF(B$25=0,0,G9/B$25)</f>
        <v>0.16014234875444841</v>
      </c>
      <c r="J9" s="26">
        <v>7</v>
      </c>
      <c r="K9" s="28">
        <v>90.700000000000017</v>
      </c>
    </row>
    <row r="10" spans="1:16" x14ac:dyDescent="0.4">
      <c r="A10" s="59" t="s">
        <v>21</v>
      </c>
      <c r="B10" s="51">
        <v>19</v>
      </c>
      <c r="C10" s="29">
        <f>IF(B$2=0,0,B10/B$2)</f>
        <v>0.11242603550295859</v>
      </c>
      <c r="E10" s="68" t="s">
        <v>70</v>
      </c>
      <c r="F10" s="64" t="s">
        <v>24</v>
      </c>
      <c r="G10" s="50">
        <v>28</v>
      </c>
      <c r="H10" s="27">
        <f>IF(B$25=0,0,G10/B$25)</f>
        <v>9.9644128113879002E-2</v>
      </c>
      <c r="J10" s="26">
        <v>8</v>
      </c>
      <c r="K10" s="28">
        <v>55.700000000000017</v>
      </c>
    </row>
    <row r="11" spans="1:16" x14ac:dyDescent="0.4">
      <c r="A11" s="60" t="s">
        <v>191</v>
      </c>
      <c r="B11" s="52">
        <v>34</v>
      </c>
      <c r="C11" s="32">
        <f>IF(B$2=0,0,B11/B$2)</f>
        <v>0.20118343195266272</v>
      </c>
      <c r="E11" s="68" t="s">
        <v>76</v>
      </c>
      <c r="F11" s="64" t="s">
        <v>29</v>
      </c>
      <c r="G11" s="50">
        <v>24</v>
      </c>
      <c r="H11" s="27">
        <f>IF(B$25=0,0,G11/B$25)</f>
        <v>8.5409252669039148E-2</v>
      </c>
      <c r="J11" s="26">
        <v>9</v>
      </c>
      <c r="K11" s="28">
        <v>15.700000000000017</v>
      </c>
    </row>
    <row r="12" spans="1:16" x14ac:dyDescent="0.4">
      <c r="A12" s="61" t="s">
        <v>130</v>
      </c>
      <c r="B12" s="53">
        <v>227</v>
      </c>
      <c r="C12" s="35">
        <f>IF(B$24=0,0,B12/B$24)</f>
        <v>0.28410513141426785</v>
      </c>
      <c r="E12" s="68" t="s">
        <v>77</v>
      </c>
      <c r="F12" s="64" t="s">
        <v>30</v>
      </c>
      <c r="G12" s="50">
        <v>17</v>
      </c>
      <c r="H12" s="27">
        <f>IF(B$25=0,0,G12/B$25)</f>
        <v>6.0498220640569395E-2</v>
      </c>
      <c r="J12" s="26">
        <v>10</v>
      </c>
      <c r="K12" s="28">
        <v>-15.799999999999983</v>
      </c>
    </row>
    <row r="13" spans="1:16" x14ac:dyDescent="0.4">
      <c r="A13" s="58" t="s">
        <v>125</v>
      </c>
      <c r="B13" s="50">
        <v>178</v>
      </c>
      <c r="C13" s="27">
        <f>IF(B$24=0,0,B13/B$24)</f>
        <v>0.2227784730913642</v>
      </c>
      <c r="E13" s="68" t="s">
        <v>93</v>
      </c>
      <c r="F13" s="64" t="s">
        <v>46</v>
      </c>
      <c r="G13" s="50">
        <v>16</v>
      </c>
      <c r="H13" s="27">
        <f>IF(B$25=0,0,G13/B$25)</f>
        <v>5.6939501779359428E-2</v>
      </c>
      <c r="J13" s="26">
        <v>11</v>
      </c>
      <c r="K13" s="28">
        <v>1.5000000000000178</v>
      </c>
    </row>
    <row r="14" spans="1:16" x14ac:dyDescent="0.4">
      <c r="A14" s="57" t="s">
        <v>132</v>
      </c>
      <c r="B14" s="49">
        <v>144</v>
      </c>
      <c r="C14" s="24">
        <f>IF(B$12=0,0,B14/B$12)</f>
        <v>0.63436123348017626</v>
      </c>
      <c r="E14" s="68" t="s">
        <v>90</v>
      </c>
      <c r="F14" s="64" t="s">
        <v>43</v>
      </c>
      <c r="G14" s="50">
        <v>10</v>
      </c>
      <c r="H14" s="27">
        <f>IF(B$25=0,0,G14/B$25)</f>
        <v>3.5587188612099648E-2</v>
      </c>
      <c r="J14" s="26">
        <v>12</v>
      </c>
      <c r="K14" s="28">
        <v>14.300000000000018</v>
      </c>
    </row>
    <row r="15" spans="1:16" x14ac:dyDescent="0.4">
      <c r="A15" s="57" t="s">
        <v>133</v>
      </c>
      <c r="B15" s="49">
        <v>85</v>
      </c>
      <c r="C15" s="24">
        <f>IF(B$13=0,0,B15/B$13)</f>
        <v>0.47752808988764045</v>
      </c>
      <c r="E15" s="68" t="s">
        <v>88</v>
      </c>
      <c r="F15" s="64" t="s">
        <v>41</v>
      </c>
      <c r="G15" s="50">
        <v>6</v>
      </c>
      <c r="H15" s="27">
        <f>IF(B$25=0,0,G15/B$25)</f>
        <v>2.1352313167259787E-2</v>
      </c>
      <c r="J15" s="26">
        <v>13</v>
      </c>
      <c r="K15" s="28">
        <v>70.300000000000011</v>
      </c>
    </row>
    <row r="16" spans="1:16" x14ac:dyDescent="0.4">
      <c r="A16" s="57" t="s">
        <v>10</v>
      </c>
      <c r="B16" s="49">
        <f>B18+B17</f>
        <v>440</v>
      </c>
      <c r="C16" s="24">
        <f>IF(B$3=0,0,B16/B$3)</f>
        <v>0.34865293185419971</v>
      </c>
      <c r="E16" s="68" t="s">
        <v>79</v>
      </c>
      <c r="F16" s="64" t="s">
        <v>32</v>
      </c>
      <c r="G16" s="50">
        <v>3</v>
      </c>
      <c r="H16" s="27">
        <f>IF(B$25=0,0,G16/B$25)</f>
        <v>1.0676156583629894E-2</v>
      </c>
      <c r="J16" s="26">
        <v>14</v>
      </c>
      <c r="K16" s="28">
        <v>27.300000000000011</v>
      </c>
    </row>
    <row r="17" spans="1:11" x14ac:dyDescent="0.4">
      <c r="A17" s="58" t="s">
        <v>12</v>
      </c>
      <c r="B17" s="50">
        <v>168</v>
      </c>
      <c r="C17" s="27">
        <f>IF(B$16=0,0,B17/B$16)</f>
        <v>0.38181818181818183</v>
      </c>
      <c r="E17" s="68" t="s">
        <v>81</v>
      </c>
      <c r="F17" s="64" t="s">
        <v>34</v>
      </c>
      <c r="G17" s="50">
        <v>3</v>
      </c>
      <c r="H17" s="27">
        <f>IF(B$25=0,0,G17/B$25)</f>
        <v>1.0676156583629894E-2</v>
      </c>
      <c r="J17" s="26">
        <v>15</v>
      </c>
      <c r="K17" s="28">
        <v>-8.6999999999999886</v>
      </c>
    </row>
    <row r="18" spans="1:11" x14ac:dyDescent="0.4">
      <c r="A18" s="58" t="s">
        <v>11</v>
      </c>
      <c r="B18" s="50">
        <v>272</v>
      </c>
      <c r="C18" s="27">
        <f>IF(B$16=0,0,B18/B$16)</f>
        <v>0.61818181818181817</v>
      </c>
      <c r="E18" s="68" t="s">
        <v>83</v>
      </c>
      <c r="F18" s="64" t="s">
        <v>36</v>
      </c>
      <c r="G18" s="50">
        <v>3</v>
      </c>
      <c r="H18" s="27">
        <f>IF(B$25=0,0,G18/B$25)</f>
        <v>1.0676156583629894E-2</v>
      </c>
      <c r="J18" s="26">
        <v>16</v>
      </c>
      <c r="K18" s="28">
        <v>-7.099999999999989</v>
      </c>
    </row>
    <row r="19" spans="1:11" x14ac:dyDescent="0.4">
      <c r="A19" s="58" t="s">
        <v>13</v>
      </c>
      <c r="B19" s="50">
        <v>182</v>
      </c>
      <c r="C19" s="27">
        <f>IF(B$3=0,0,B19/B$3)</f>
        <v>0.14421553090332806</v>
      </c>
      <c r="E19" s="68" t="s">
        <v>98</v>
      </c>
      <c r="F19" s="64" t="s">
        <v>51</v>
      </c>
      <c r="G19" s="50">
        <v>3</v>
      </c>
      <c r="H19" s="27">
        <f>IF(B$25=0,0,G19/B$25)</f>
        <v>1.0676156583629894E-2</v>
      </c>
      <c r="J19" s="26">
        <v>17</v>
      </c>
      <c r="K19" s="28">
        <v>-28.499999999999986</v>
      </c>
    </row>
    <row r="20" spans="1:11" x14ac:dyDescent="0.4">
      <c r="A20" s="58" t="s">
        <v>5</v>
      </c>
      <c r="B20" s="54">
        <f>IF(B$16=0,0,C20/B$16)</f>
        <v>9885.681818181818</v>
      </c>
      <c r="C20" s="30">
        <v>4349700</v>
      </c>
      <c r="E20" s="68" t="s">
        <v>85</v>
      </c>
      <c r="F20" s="64" t="s">
        <v>38</v>
      </c>
      <c r="G20" s="50">
        <v>2</v>
      </c>
      <c r="H20" s="27">
        <f>IF(B$25=0,0,G20/B$25)</f>
        <v>7.1174377224199285E-3</v>
      </c>
      <c r="J20" s="26">
        <v>18</v>
      </c>
      <c r="K20" s="28">
        <v>-14.599999999999985</v>
      </c>
    </row>
    <row r="21" spans="1:11" x14ac:dyDescent="0.4">
      <c r="A21" s="60" t="s">
        <v>14</v>
      </c>
      <c r="B21" s="55">
        <f>IF(B$19=0,0,C21/B$19)</f>
        <v>-9382.9670329670334</v>
      </c>
      <c r="C21" s="48">
        <v>-1707700</v>
      </c>
      <c r="E21" s="68" t="s">
        <v>94</v>
      </c>
      <c r="F21" s="64" t="s">
        <v>47</v>
      </c>
      <c r="G21" s="50">
        <v>2</v>
      </c>
      <c r="H21" s="27">
        <f>IF(B$25=0,0,G21/B$25)</f>
        <v>7.1174377224199285E-3</v>
      </c>
      <c r="J21" s="26">
        <v>19</v>
      </c>
      <c r="K21" s="28">
        <v>41.600000000000016</v>
      </c>
    </row>
    <row r="22" spans="1:11" x14ac:dyDescent="0.4">
      <c r="A22" s="57" t="s">
        <v>178</v>
      </c>
      <c r="B22" s="49">
        <v>438</v>
      </c>
      <c r="C22" s="24">
        <f>IF(B$3=0,0,B22/B$3)</f>
        <v>0.34706814580031697</v>
      </c>
      <c r="E22" s="68" t="s">
        <v>99</v>
      </c>
      <c r="F22" s="64" t="s">
        <v>52</v>
      </c>
      <c r="G22" s="50">
        <v>2</v>
      </c>
      <c r="H22" s="27">
        <f>IF(B$25=0,0,G22/B$25)</f>
        <v>7.1174377224199285E-3</v>
      </c>
      <c r="J22" s="26">
        <v>20</v>
      </c>
      <c r="K22" s="28">
        <v>66.800000000000011</v>
      </c>
    </row>
    <row r="23" spans="1:11" x14ac:dyDescent="0.4">
      <c r="A23" s="60" t="s">
        <v>179</v>
      </c>
      <c r="B23" s="52">
        <v>181</v>
      </c>
      <c r="C23" s="32">
        <f>IF(B$22=0,0,B23/B$22)</f>
        <v>0.4132420091324201</v>
      </c>
      <c r="E23" s="68" t="s">
        <v>80</v>
      </c>
      <c r="F23" s="64" t="s">
        <v>33</v>
      </c>
      <c r="G23" s="50">
        <v>1</v>
      </c>
      <c r="H23" s="27">
        <f>IF(B$25=0,0,G23/B$25)</f>
        <v>3.5587188612099642E-3</v>
      </c>
      <c r="J23" s="26">
        <v>21</v>
      </c>
      <c r="K23" s="28">
        <v>122.30000000000001</v>
      </c>
    </row>
    <row r="24" spans="1:11" x14ac:dyDescent="0.4">
      <c r="A24" s="57" t="s">
        <v>128</v>
      </c>
      <c r="B24" s="87">
        <v>799</v>
      </c>
      <c r="C24" s="88"/>
      <c r="E24" s="68" t="s">
        <v>84</v>
      </c>
      <c r="F24" s="64" t="s">
        <v>37</v>
      </c>
      <c r="G24" s="50">
        <v>1</v>
      </c>
      <c r="H24" s="27">
        <f>IF(B$25=0,0,G24/B$25)</f>
        <v>3.5587188612099642E-3</v>
      </c>
      <c r="J24" s="26">
        <v>22</v>
      </c>
      <c r="K24" s="28">
        <v>96.800000000000011</v>
      </c>
    </row>
    <row r="25" spans="1:11" x14ac:dyDescent="0.4">
      <c r="A25" s="60" t="s">
        <v>129</v>
      </c>
      <c r="B25" s="89">
        <v>281</v>
      </c>
      <c r="C25" s="90"/>
      <c r="E25" s="68" t="s">
        <v>92</v>
      </c>
      <c r="F25" s="64" t="s">
        <v>45</v>
      </c>
      <c r="G25" s="50">
        <v>1</v>
      </c>
      <c r="H25" s="27">
        <f>IF(B$25=0,0,G25/B$25)</f>
        <v>3.5587188612099642E-3</v>
      </c>
      <c r="J25" s="26">
        <v>23</v>
      </c>
      <c r="K25" s="28">
        <v>120.50000000000001</v>
      </c>
    </row>
    <row r="26" spans="1:11" x14ac:dyDescent="0.4">
      <c r="A26" s="75" t="s">
        <v>196</v>
      </c>
      <c r="B26" s="83">
        <v>10</v>
      </c>
      <c r="C26" s="84"/>
      <c r="E26" s="68" t="s">
        <v>97</v>
      </c>
      <c r="F26" s="64" t="s">
        <v>50</v>
      </c>
      <c r="G26" s="50">
        <v>1</v>
      </c>
      <c r="H26" s="27">
        <f>IF(B$25=0,0,G26/B$25)</f>
        <v>3.5587188612099642E-3</v>
      </c>
      <c r="J26" s="26">
        <v>24</v>
      </c>
      <c r="K26" s="28">
        <v>114.00000000000001</v>
      </c>
    </row>
    <row r="27" spans="1:11" x14ac:dyDescent="0.4">
      <c r="A27" s="60" t="s">
        <v>198</v>
      </c>
      <c r="B27" s="76">
        <v>1</v>
      </c>
      <c r="C27" s="32">
        <f>IF(B$3=0,0,B27/B$3)</f>
        <v>7.9239302694136295E-4</v>
      </c>
      <c r="E27" s="68" t="s">
        <v>102</v>
      </c>
      <c r="F27" s="64" t="s">
        <v>55</v>
      </c>
      <c r="G27" s="50">
        <v>1</v>
      </c>
      <c r="H27" s="27">
        <f>IF(B$25=0,0,G27/B$25)</f>
        <v>3.5587188612099642E-3</v>
      </c>
      <c r="J27" s="26">
        <v>25</v>
      </c>
      <c r="K27" s="28">
        <v>81.300000000000011</v>
      </c>
    </row>
    <row r="28" spans="1:11" x14ac:dyDescent="0.4">
      <c r="E28" s="68" t="s">
        <v>113</v>
      </c>
      <c r="F28" s="64" t="s">
        <v>120</v>
      </c>
      <c r="G28" s="50">
        <v>1</v>
      </c>
      <c r="H28" s="27">
        <f>IF(B$25=0,0,G28/B$25)</f>
        <v>3.5587188612099642E-3</v>
      </c>
      <c r="J28" s="26">
        <v>26</v>
      </c>
      <c r="K28" s="28">
        <v>104.20000000000002</v>
      </c>
    </row>
    <row r="29" spans="1:11" x14ac:dyDescent="0.4">
      <c r="E29" s="68" t="s">
        <v>82</v>
      </c>
      <c r="F29" s="64" t="s">
        <v>35</v>
      </c>
      <c r="G29" s="50">
        <v>0</v>
      </c>
      <c r="H29" s="27">
        <f>IF(B$25=0,0,G29/B$25)</f>
        <v>0</v>
      </c>
      <c r="J29" s="26">
        <v>27</v>
      </c>
      <c r="K29" s="28">
        <v>68.200000000000017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125.20000000000002</v>
      </c>
    </row>
    <row r="31" spans="1:11" x14ac:dyDescent="0.4">
      <c r="E31" s="68" t="s">
        <v>87</v>
      </c>
      <c r="F31" s="64" t="s">
        <v>40</v>
      </c>
      <c r="G31" s="50">
        <v>0</v>
      </c>
      <c r="H31" s="27">
        <f>IF(B$25=0,0,G31/B$25)</f>
        <v>0</v>
      </c>
      <c r="J31" s="26">
        <v>29</v>
      </c>
      <c r="K31" s="28">
        <v>116.80000000000001</v>
      </c>
    </row>
    <row r="32" spans="1:11" x14ac:dyDescent="0.4">
      <c r="E32" s="68" t="s">
        <v>89</v>
      </c>
      <c r="F32" s="64" t="s">
        <v>42</v>
      </c>
      <c r="G32" s="50">
        <v>0</v>
      </c>
      <c r="H32" s="27">
        <f>IF(B$25=0,0,G32/B$25)</f>
        <v>0</v>
      </c>
      <c r="J32" s="26">
        <v>30</v>
      </c>
      <c r="K32" s="28">
        <v>108.4</v>
      </c>
    </row>
    <row r="33" spans="5:11" x14ac:dyDescent="0.4">
      <c r="E33" s="68" t="s">
        <v>91</v>
      </c>
      <c r="F33" s="64" t="s">
        <v>44</v>
      </c>
      <c r="G33" s="50">
        <v>0</v>
      </c>
      <c r="H33" s="27">
        <f>IF(B$25=0,0,G33/B$25)</f>
        <v>0</v>
      </c>
      <c r="J33" s="26">
        <v>31</v>
      </c>
      <c r="K33" s="28">
        <v>160.69999999999999</v>
      </c>
    </row>
    <row r="34" spans="5:11" x14ac:dyDescent="0.4">
      <c r="E34" s="68" t="s">
        <v>95</v>
      </c>
      <c r="F34" s="64" t="s">
        <v>48</v>
      </c>
      <c r="G34" s="50">
        <v>0</v>
      </c>
      <c r="H34" s="27">
        <f>IF(B$25=0,0,G34/B$25)</f>
        <v>0</v>
      </c>
      <c r="J34" s="26">
        <v>32</v>
      </c>
      <c r="K34" s="28">
        <v>146.69999999999999</v>
      </c>
    </row>
    <row r="35" spans="5:11" x14ac:dyDescent="0.4">
      <c r="E35" s="68" t="s">
        <v>100</v>
      </c>
      <c r="F35" s="64" t="s">
        <v>53</v>
      </c>
      <c r="G35" s="50">
        <v>0</v>
      </c>
      <c r="H35" s="27">
        <f>IF(B$25=0,0,G35/B$25)</f>
        <v>0</v>
      </c>
      <c r="J35" s="26">
        <v>33</v>
      </c>
      <c r="K35" s="28">
        <v>206.39999999999998</v>
      </c>
    </row>
    <row r="36" spans="5:11" x14ac:dyDescent="0.4">
      <c r="E36" s="68" t="s">
        <v>101</v>
      </c>
      <c r="F36" s="64" t="s">
        <v>54</v>
      </c>
      <c r="G36" s="50">
        <v>0</v>
      </c>
      <c r="H36" s="27">
        <f>IF(B$25=0,0,G36/B$25)</f>
        <v>0</v>
      </c>
      <c r="J36" s="26">
        <v>34</v>
      </c>
      <c r="K36" s="28">
        <v>255.39999999999998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241.39999999999998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237.99999999999997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221.89999999999998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241.99999999999997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192.39999999999998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184.2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178.2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142.79999999999998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135.29999999999998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143.69999999999999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134.29999999999998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161.19999999999999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141.69999999999999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110.6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125.8</v>
      </c>
    </row>
    <row r="52" spans="5:11" x14ac:dyDescent="0.4">
      <c r="J52" s="26">
        <v>50</v>
      </c>
      <c r="K52" s="28">
        <v>120.89999999999999</v>
      </c>
    </row>
    <row r="53" spans="5:11" x14ac:dyDescent="0.4">
      <c r="J53" s="26">
        <v>51</v>
      </c>
      <c r="K53" s="28">
        <v>132.69999999999999</v>
      </c>
    </row>
    <row r="54" spans="5:11" x14ac:dyDescent="0.4">
      <c r="J54" s="26">
        <v>52</v>
      </c>
      <c r="K54" s="28">
        <v>133.39999999999998</v>
      </c>
    </row>
    <row r="55" spans="5:11" x14ac:dyDescent="0.4">
      <c r="J55" s="26">
        <v>53</v>
      </c>
      <c r="K55" s="28">
        <v>127.69999999999997</v>
      </c>
    </row>
    <row r="56" spans="5:11" x14ac:dyDescent="0.4">
      <c r="J56" s="26">
        <v>54</v>
      </c>
      <c r="K56" s="28">
        <v>99.699999999999974</v>
      </c>
    </row>
    <row r="57" spans="5:11" x14ac:dyDescent="0.4">
      <c r="J57" s="26">
        <v>55</v>
      </c>
      <c r="K57" s="28">
        <v>116.39999999999998</v>
      </c>
    </row>
    <row r="58" spans="5:11" x14ac:dyDescent="0.4">
      <c r="J58" s="26">
        <v>56</v>
      </c>
      <c r="K58" s="28">
        <v>110.39999999999998</v>
      </c>
    </row>
    <row r="59" spans="5:11" x14ac:dyDescent="0.4">
      <c r="J59" s="26">
        <v>57</v>
      </c>
      <c r="K59" s="28">
        <v>140.99999999999997</v>
      </c>
    </row>
    <row r="60" spans="5:11" x14ac:dyDescent="0.4">
      <c r="J60" s="26">
        <v>58</v>
      </c>
      <c r="K60" s="28">
        <v>156.79999999999998</v>
      </c>
    </row>
    <row r="61" spans="5:11" x14ac:dyDescent="0.4">
      <c r="J61" s="26">
        <v>59</v>
      </c>
      <c r="K61" s="28">
        <v>212.79999999999998</v>
      </c>
    </row>
    <row r="62" spans="5:11" x14ac:dyDescent="0.4">
      <c r="J62" s="26">
        <v>60</v>
      </c>
      <c r="K62" s="28">
        <v>218.1</v>
      </c>
    </row>
    <row r="63" spans="5:11" x14ac:dyDescent="0.4">
      <c r="J63" s="26">
        <v>61</v>
      </c>
      <c r="K63" s="28">
        <v>173</v>
      </c>
    </row>
    <row r="64" spans="5:11" x14ac:dyDescent="0.4">
      <c r="J64" s="26">
        <v>62</v>
      </c>
      <c r="K64" s="28">
        <v>193.1</v>
      </c>
    </row>
    <row r="65" spans="10:11" x14ac:dyDescent="0.4">
      <c r="J65" s="26">
        <v>63</v>
      </c>
      <c r="K65" s="28">
        <v>128.1</v>
      </c>
    </row>
    <row r="66" spans="10:11" x14ac:dyDescent="0.4">
      <c r="J66" s="26">
        <v>64</v>
      </c>
      <c r="K66" s="28">
        <v>123.1</v>
      </c>
    </row>
    <row r="67" spans="10:11" x14ac:dyDescent="0.4">
      <c r="J67" s="26">
        <v>65</v>
      </c>
      <c r="K67" s="28">
        <v>124.1</v>
      </c>
    </row>
    <row r="68" spans="10:11" x14ac:dyDescent="0.4">
      <c r="J68" s="26">
        <v>66</v>
      </c>
      <c r="K68" s="28">
        <v>154.69999999999999</v>
      </c>
    </row>
    <row r="69" spans="10:11" x14ac:dyDescent="0.4">
      <c r="J69" s="26">
        <v>67</v>
      </c>
      <c r="K69" s="28">
        <v>135.69999999999999</v>
      </c>
    </row>
    <row r="70" spans="10:11" x14ac:dyDescent="0.4">
      <c r="J70" s="26">
        <v>68</v>
      </c>
      <c r="K70" s="28">
        <v>126.79999999999998</v>
      </c>
    </row>
    <row r="71" spans="10:11" x14ac:dyDescent="0.4">
      <c r="J71" s="26">
        <v>69</v>
      </c>
      <c r="K71" s="28">
        <v>127.69999999999999</v>
      </c>
    </row>
    <row r="72" spans="10:11" x14ac:dyDescent="0.4">
      <c r="J72" s="26">
        <v>70</v>
      </c>
      <c r="K72" s="28">
        <v>159</v>
      </c>
    </row>
    <row r="73" spans="10:11" x14ac:dyDescent="0.4">
      <c r="J73" s="26">
        <v>71</v>
      </c>
      <c r="K73" s="28">
        <v>186.4</v>
      </c>
    </row>
    <row r="74" spans="10:11" x14ac:dyDescent="0.4">
      <c r="J74" s="26">
        <v>72</v>
      </c>
      <c r="K74" s="28">
        <v>179</v>
      </c>
    </row>
    <row r="75" spans="10:11" x14ac:dyDescent="0.4">
      <c r="J75" s="26">
        <v>73</v>
      </c>
      <c r="K75" s="28">
        <v>196.3</v>
      </c>
    </row>
    <row r="76" spans="10:11" x14ac:dyDescent="0.4">
      <c r="J76" s="26">
        <v>74</v>
      </c>
      <c r="K76" s="28">
        <v>182.4</v>
      </c>
    </row>
    <row r="77" spans="10:11" x14ac:dyDescent="0.4">
      <c r="J77" s="26">
        <v>75</v>
      </c>
      <c r="K77" s="28">
        <v>221.4</v>
      </c>
    </row>
    <row r="78" spans="10:11" x14ac:dyDescent="0.4">
      <c r="J78" s="26">
        <v>76</v>
      </c>
      <c r="K78" s="28">
        <v>226.6</v>
      </c>
    </row>
    <row r="79" spans="10:11" x14ac:dyDescent="0.4">
      <c r="J79" s="26">
        <v>77</v>
      </c>
      <c r="K79" s="28">
        <v>212.9</v>
      </c>
    </row>
    <row r="80" spans="10:11" x14ac:dyDescent="0.4">
      <c r="J80" s="26">
        <v>78</v>
      </c>
      <c r="K80" s="28">
        <v>218</v>
      </c>
    </row>
    <row r="81" spans="10:11" x14ac:dyDescent="0.4">
      <c r="J81" s="26">
        <v>79</v>
      </c>
      <c r="K81" s="28">
        <v>248.9</v>
      </c>
    </row>
    <row r="82" spans="10:11" x14ac:dyDescent="0.4">
      <c r="J82" s="26">
        <v>80</v>
      </c>
      <c r="K82" s="28">
        <v>287.89999999999998</v>
      </c>
    </row>
    <row r="83" spans="10:11" x14ac:dyDescent="0.4">
      <c r="J83" s="26">
        <v>81</v>
      </c>
      <c r="K83" s="28">
        <v>309.39999999999998</v>
      </c>
    </row>
    <row r="84" spans="10:11" x14ac:dyDescent="0.4">
      <c r="J84" s="26">
        <v>82</v>
      </c>
      <c r="K84" s="28">
        <v>339.9</v>
      </c>
    </row>
    <row r="85" spans="10:11" x14ac:dyDescent="0.4">
      <c r="J85" s="26">
        <v>83</v>
      </c>
      <c r="K85" s="28">
        <v>398.7</v>
      </c>
    </row>
    <row r="86" spans="10:11" x14ac:dyDescent="0.4">
      <c r="J86" s="26">
        <v>84</v>
      </c>
      <c r="K86" s="28">
        <v>409.8</v>
      </c>
    </row>
    <row r="87" spans="10:11" x14ac:dyDescent="0.4">
      <c r="J87" s="26">
        <v>85</v>
      </c>
      <c r="K87" s="28">
        <v>411.40000000000003</v>
      </c>
    </row>
    <row r="88" spans="10:11" x14ac:dyDescent="0.4">
      <c r="J88" s="26">
        <v>86</v>
      </c>
      <c r="K88" s="28">
        <v>391.00000000000006</v>
      </c>
    </row>
    <row r="89" spans="10:11" x14ac:dyDescent="0.4">
      <c r="J89" s="26">
        <v>87</v>
      </c>
      <c r="K89" s="28">
        <v>393.50000000000006</v>
      </c>
    </row>
    <row r="90" spans="10:11" x14ac:dyDescent="0.4">
      <c r="J90" s="26">
        <v>88</v>
      </c>
      <c r="K90" s="28">
        <v>349.00000000000006</v>
      </c>
    </row>
    <row r="91" spans="10:11" x14ac:dyDescent="0.4">
      <c r="J91" s="26">
        <v>89</v>
      </c>
      <c r="K91" s="28">
        <v>348.40000000000003</v>
      </c>
    </row>
    <row r="92" spans="10:11" x14ac:dyDescent="0.4">
      <c r="J92" s="26">
        <v>90</v>
      </c>
      <c r="K92" s="28">
        <v>373.8</v>
      </c>
    </row>
    <row r="93" spans="10:11" x14ac:dyDescent="0.4">
      <c r="J93" s="26">
        <v>91</v>
      </c>
      <c r="K93" s="28">
        <v>383.5</v>
      </c>
    </row>
    <row r="94" spans="10:11" x14ac:dyDescent="0.4">
      <c r="J94" s="26">
        <v>92</v>
      </c>
      <c r="K94" s="28">
        <v>403.6</v>
      </c>
    </row>
    <row r="95" spans="10:11" x14ac:dyDescent="0.4">
      <c r="J95" s="26">
        <v>93</v>
      </c>
      <c r="K95" s="28">
        <v>445.70000000000005</v>
      </c>
    </row>
    <row r="96" spans="10:11" x14ac:dyDescent="0.4">
      <c r="J96" s="26">
        <v>94</v>
      </c>
      <c r="K96" s="28">
        <v>439.70000000000005</v>
      </c>
    </row>
    <row r="97" spans="10:11" x14ac:dyDescent="0.4">
      <c r="J97" s="26">
        <v>95</v>
      </c>
      <c r="K97" s="28">
        <v>403.20000000000005</v>
      </c>
    </row>
    <row r="98" spans="10:11" x14ac:dyDescent="0.4">
      <c r="J98" s="26">
        <v>96</v>
      </c>
      <c r="K98" s="28">
        <v>364.70000000000005</v>
      </c>
    </row>
    <row r="99" spans="10:11" x14ac:dyDescent="0.4">
      <c r="J99" s="26">
        <v>97</v>
      </c>
      <c r="K99" s="28">
        <v>374.80000000000007</v>
      </c>
    </row>
    <row r="100" spans="10:11" x14ac:dyDescent="0.4">
      <c r="J100" s="26">
        <v>98</v>
      </c>
      <c r="K100" s="28">
        <v>372.80000000000007</v>
      </c>
    </row>
    <row r="101" spans="10:11" x14ac:dyDescent="0.4">
      <c r="J101" s="26">
        <v>99</v>
      </c>
      <c r="K101" s="28">
        <v>415.30000000000007</v>
      </c>
    </row>
    <row r="102" spans="10:11" x14ac:dyDescent="0.4">
      <c r="J102" s="26">
        <v>100</v>
      </c>
      <c r="K102" s="28">
        <v>409.70000000000005</v>
      </c>
    </row>
    <row r="103" spans="10:11" x14ac:dyDescent="0.4">
      <c r="J103" s="26">
        <v>101</v>
      </c>
      <c r="K103" s="28">
        <v>402.30000000000007</v>
      </c>
    </row>
    <row r="104" spans="10:11" x14ac:dyDescent="0.4">
      <c r="J104" s="26">
        <v>102</v>
      </c>
      <c r="K104" s="28">
        <v>365.30000000000007</v>
      </c>
    </row>
    <row r="105" spans="10:11" x14ac:dyDescent="0.4">
      <c r="J105" s="26">
        <v>103</v>
      </c>
      <c r="K105" s="28">
        <v>347.50000000000006</v>
      </c>
    </row>
    <row r="106" spans="10:11" x14ac:dyDescent="0.4">
      <c r="J106" s="26">
        <v>104</v>
      </c>
      <c r="K106" s="28">
        <v>373.50000000000006</v>
      </c>
    </row>
    <row r="107" spans="10:11" x14ac:dyDescent="0.4">
      <c r="J107" s="26">
        <v>105</v>
      </c>
      <c r="K107" s="28">
        <v>417.10000000000008</v>
      </c>
    </row>
    <row r="108" spans="10:11" x14ac:dyDescent="0.4">
      <c r="J108" s="26">
        <v>106</v>
      </c>
      <c r="K108" s="28">
        <v>424.10000000000008</v>
      </c>
    </row>
    <row r="109" spans="10:11" x14ac:dyDescent="0.4">
      <c r="J109" s="26">
        <v>107</v>
      </c>
      <c r="K109" s="28">
        <v>413.80000000000007</v>
      </c>
    </row>
    <row r="110" spans="10:11" x14ac:dyDescent="0.4">
      <c r="J110" s="26">
        <v>108</v>
      </c>
      <c r="K110" s="28">
        <v>398.30000000000007</v>
      </c>
    </row>
    <row r="111" spans="10:11" x14ac:dyDescent="0.4">
      <c r="J111" s="26">
        <v>109</v>
      </c>
      <c r="K111" s="28">
        <v>380.00000000000006</v>
      </c>
    </row>
    <row r="112" spans="10:11" x14ac:dyDescent="0.4">
      <c r="J112" s="26">
        <v>110</v>
      </c>
      <c r="K112" s="28">
        <v>403.00000000000006</v>
      </c>
    </row>
    <row r="113" spans="10:11" x14ac:dyDescent="0.4">
      <c r="J113" s="26">
        <v>111</v>
      </c>
      <c r="K113" s="28">
        <v>421.50000000000006</v>
      </c>
    </row>
    <row r="114" spans="10:11" x14ac:dyDescent="0.4">
      <c r="J114" s="26">
        <v>112</v>
      </c>
      <c r="K114" s="28">
        <v>416.10000000000008</v>
      </c>
    </row>
    <row r="115" spans="10:11" x14ac:dyDescent="0.4">
      <c r="J115" s="26">
        <v>113</v>
      </c>
      <c r="K115" s="28">
        <v>471.10000000000008</v>
      </c>
    </row>
    <row r="116" spans="10:11" x14ac:dyDescent="0.4">
      <c r="J116" s="26">
        <v>114</v>
      </c>
      <c r="K116" s="28">
        <v>487.2000000000001</v>
      </c>
    </row>
    <row r="117" spans="10:11" x14ac:dyDescent="0.4">
      <c r="J117" s="26">
        <v>115</v>
      </c>
      <c r="K117" s="28">
        <v>450.2000000000001</v>
      </c>
    </row>
    <row r="118" spans="10:11" x14ac:dyDescent="0.4">
      <c r="J118" s="26">
        <v>116</v>
      </c>
      <c r="K118" s="28">
        <v>465.7000000000001</v>
      </c>
    </row>
    <row r="119" spans="10:11" x14ac:dyDescent="0.4">
      <c r="J119" s="26">
        <v>117</v>
      </c>
      <c r="K119" s="28">
        <v>480.00000000000011</v>
      </c>
    </row>
    <row r="120" spans="10:11" x14ac:dyDescent="0.4">
      <c r="J120" s="26">
        <v>118</v>
      </c>
      <c r="K120" s="28">
        <v>491.60000000000014</v>
      </c>
    </row>
    <row r="121" spans="10:11" x14ac:dyDescent="0.4">
      <c r="J121" s="26">
        <v>119</v>
      </c>
      <c r="K121" s="28">
        <v>507.50000000000011</v>
      </c>
    </row>
    <row r="122" spans="10:11" x14ac:dyDescent="0.4">
      <c r="J122" s="26">
        <v>120</v>
      </c>
      <c r="K122" s="28">
        <v>471.00000000000011</v>
      </c>
    </row>
    <row r="123" spans="10:11" x14ac:dyDescent="0.4">
      <c r="J123" s="26">
        <v>121</v>
      </c>
      <c r="K123" s="28">
        <v>508.50000000000011</v>
      </c>
    </row>
    <row r="124" spans="10:11" x14ac:dyDescent="0.4">
      <c r="J124" s="26">
        <v>122</v>
      </c>
      <c r="K124" s="28">
        <v>463.00000000000011</v>
      </c>
    </row>
    <row r="125" spans="10:11" x14ac:dyDescent="0.4">
      <c r="J125" s="26">
        <v>123</v>
      </c>
      <c r="K125" s="28">
        <v>475.2000000000001</v>
      </c>
    </row>
    <row r="126" spans="10:11" x14ac:dyDescent="0.4">
      <c r="J126" s="26">
        <v>124</v>
      </c>
      <c r="K126" s="28">
        <v>456.7000000000001</v>
      </c>
    </row>
    <row r="127" spans="10:11" x14ac:dyDescent="0.4">
      <c r="J127" s="26">
        <v>125</v>
      </c>
      <c r="K127" s="28">
        <v>497.10000000000008</v>
      </c>
    </row>
    <row r="128" spans="10:11" x14ac:dyDescent="0.4">
      <c r="J128" s="26">
        <v>126</v>
      </c>
      <c r="K128" s="28">
        <v>523.20000000000005</v>
      </c>
    </row>
    <row r="129" spans="10:11" x14ac:dyDescent="0.4">
      <c r="J129" s="26">
        <v>127</v>
      </c>
      <c r="K129" s="28">
        <v>531.70000000000005</v>
      </c>
    </row>
    <row r="130" spans="10:11" x14ac:dyDescent="0.4">
      <c r="J130" s="26">
        <v>128</v>
      </c>
      <c r="K130" s="28">
        <v>574</v>
      </c>
    </row>
    <row r="131" spans="10:11" x14ac:dyDescent="0.4">
      <c r="J131" s="26">
        <v>129</v>
      </c>
      <c r="K131" s="28">
        <v>599</v>
      </c>
    </row>
    <row r="132" spans="10:11" x14ac:dyDescent="0.4">
      <c r="J132" s="26">
        <v>130</v>
      </c>
      <c r="K132" s="28">
        <v>610</v>
      </c>
    </row>
    <row r="133" spans="10:11" x14ac:dyDescent="0.4">
      <c r="J133" s="26">
        <v>131</v>
      </c>
      <c r="K133" s="28">
        <v>650</v>
      </c>
    </row>
    <row r="134" spans="10:11" x14ac:dyDescent="0.4">
      <c r="J134" s="26">
        <v>132</v>
      </c>
      <c r="K134" s="28">
        <v>631.20000000000005</v>
      </c>
    </row>
    <row r="135" spans="10:11" x14ac:dyDescent="0.4">
      <c r="J135" s="26">
        <v>133</v>
      </c>
      <c r="K135" s="28">
        <v>667.80000000000007</v>
      </c>
    </row>
    <row r="136" spans="10:11" x14ac:dyDescent="0.4">
      <c r="J136" s="26">
        <v>134</v>
      </c>
      <c r="K136" s="28">
        <v>675.6</v>
      </c>
    </row>
    <row r="137" spans="10:11" x14ac:dyDescent="0.4">
      <c r="J137" s="26">
        <v>135</v>
      </c>
      <c r="K137" s="28">
        <v>742.7</v>
      </c>
    </row>
    <row r="138" spans="10:11" x14ac:dyDescent="0.4">
      <c r="J138" s="26">
        <v>136</v>
      </c>
      <c r="K138" s="28">
        <v>747.90000000000009</v>
      </c>
    </row>
    <row r="139" spans="10:11" x14ac:dyDescent="0.4">
      <c r="J139" s="26">
        <v>137</v>
      </c>
      <c r="K139" s="28">
        <v>763.10000000000014</v>
      </c>
    </row>
    <row r="140" spans="10:11" x14ac:dyDescent="0.4">
      <c r="J140" s="26">
        <v>138</v>
      </c>
      <c r="K140" s="28">
        <v>786.30000000000018</v>
      </c>
    </row>
    <row r="141" spans="10:11" x14ac:dyDescent="0.4">
      <c r="J141" s="26">
        <v>139</v>
      </c>
      <c r="K141" s="28">
        <v>806.9000000000002</v>
      </c>
    </row>
    <row r="142" spans="10:11" x14ac:dyDescent="0.4">
      <c r="J142" s="26">
        <v>140</v>
      </c>
      <c r="K142" s="28">
        <v>814.20000000000016</v>
      </c>
    </row>
    <row r="143" spans="10:11" x14ac:dyDescent="0.4">
      <c r="J143" s="26">
        <v>141</v>
      </c>
      <c r="K143" s="28">
        <v>819.00000000000011</v>
      </c>
    </row>
    <row r="144" spans="10:11" x14ac:dyDescent="0.4">
      <c r="J144" s="26">
        <v>142</v>
      </c>
      <c r="K144" s="28">
        <v>823.10000000000014</v>
      </c>
    </row>
    <row r="145" spans="10:11" x14ac:dyDescent="0.4">
      <c r="J145" s="26">
        <v>143</v>
      </c>
      <c r="K145" s="28">
        <v>812.10000000000014</v>
      </c>
    </row>
    <row r="146" spans="10:11" x14ac:dyDescent="0.4">
      <c r="J146" s="26">
        <v>144</v>
      </c>
      <c r="K146" s="28">
        <v>823.60000000000014</v>
      </c>
    </row>
    <row r="147" spans="10:11" x14ac:dyDescent="0.4">
      <c r="J147" s="26">
        <v>145</v>
      </c>
      <c r="K147" s="28">
        <v>811.70000000000016</v>
      </c>
    </row>
    <row r="148" spans="10:11" x14ac:dyDescent="0.4">
      <c r="J148" s="26">
        <v>146</v>
      </c>
      <c r="K148" s="28">
        <v>827.30000000000018</v>
      </c>
    </row>
    <row r="149" spans="10:11" x14ac:dyDescent="0.4">
      <c r="J149" s="26">
        <v>147</v>
      </c>
      <c r="K149" s="28">
        <v>841.9000000000002</v>
      </c>
    </row>
    <row r="150" spans="10:11" x14ac:dyDescent="0.4">
      <c r="J150" s="26">
        <v>148</v>
      </c>
      <c r="K150" s="28">
        <v>806.9000000000002</v>
      </c>
    </row>
    <row r="151" spans="10:11" x14ac:dyDescent="0.4">
      <c r="J151" s="26">
        <v>149</v>
      </c>
      <c r="K151" s="28">
        <v>777.30000000000018</v>
      </c>
    </row>
    <row r="152" spans="10:11" x14ac:dyDescent="0.4">
      <c r="J152" s="26">
        <v>150</v>
      </c>
      <c r="K152" s="28">
        <v>783.10000000000014</v>
      </c>
    </row>
    <row r="153" spans="10:11" x14ac:dyDescent="0.4">
      <c r="J153" s="26">
        <v>151</v>
      </c>
      <c r="K153" s="28">
        <v>770.10000000000014</v>
      </c>
    </row>
    <row r="154" spans="10:11" x14ac:dyDescent="0.4">
      <c r="J154" s="26">
        <v>152</v>
      </c>
      <c r="K154" s="28">
        <v>760.10000000000014</v>
      </c>
    </row>
    <row r="155" spans="10:11" x14ac:dyDescent="0.4">
      <c r="J155" s="26">
        <v>153</v>
      </c>
      <c r="K155" s="28">
        <v>803.70000000000016</v>
      </c>
    </row>
    <row r="156" spans="10:11" x14ac:dyDescent="0.4">
      <c r="J156" s="26">
        <v>154</v>
      </c>
      <c r="K156" s="28">
        <v>799.00000000000011</v>
      </c>
    </row>
    <row r="157" spans="10:11" x14ac:dyDescent="0.4">
      <c r="J157" s="26">
        <v>155</v>
      </c>
      <c r="K157" s="28">
        <v>812.40000000000009</v>
      </c>
    </row>
    <row r="158" spans="10:11" x14ac:dyDescent="0.4">
      <c r="J158" s="26">
        <v>156</v>
      </c>
      <c r="K158" s="28">
        <v>798.40000000000009</v>
      </c>
    </row>
    <row r="159" spans="10:11" x14ac:dyDescent="0.4">
      <c r="J159" s="26">
        <v>157</v>
      </c>
      <c r="K159" s="28">
        <v>804.50000000000011</v>
      </c>
    </row>
    <row r="160" spans="10:11" x14ac:dyDescent="0.4">
      <c r="J160" s="26">
        <v>158</v>
      </c>
      <c r="K160" s="28">
        <v>823.20000000000016</v>
      </c>
    </row>
    <row r="161" spans="10:11" x14ac:dyDescent="0.4">
      <c r="J161" s="26">
        <v>159</v>
      </c>
      <c r="K161" s="28">
        <v>846.00000000000011</v>
      </c>
    </row>
    <row r="162" spans="10:11" x14ac:dyDescent="0.4">
      <c r="J162" s="26">
        <v>160</v>
      </c>
      <c r="K162" s="28">
        <v>841.20000000000016</v>
      </c>
    </row>
    <row r="163" spans="10:11" x14ac:dyDescent="0.4">
      <c r="J163" s="26">
        <v>161</v>
      </c>
      <c r="K163" s="28">
        <v>872.70000000000016</v>
      </c>
    </row>
    <row r="164" spans="10:11" x14ac:dyDescent="0.4">
      <c r="J164" s="26">
        <v>162</v>
      </c>
      <c r="K164" s="28">
        <v>888.80000000000018</v>
      </c>
    </row>
    <row r="165" spans="10:11" x14ac:dyDescent="0.4">
      <c r="J165" s="26">
        <v>163</v>
      </c>
      <c r="K165" s="28">
        <v>900.10000000000014</v>
      </c>
    </row>
    <row r="166" spans="10:11" x14ac:dyDescent="0.4">
      <c r="J166" s="26">
        <v>164</v>
      </c>
      <c r="K166" s="28">
        <v>923.40000000000009</v>
      </c>
    </row>
    <row r="167" spans="10:11" x14ac:dyDescent="0.4">
      <c r="J167" s="26">
        <v>165</v>
      </c>
      <c r="K167" s="28">
        <v>912.2</v>
      </c>
    </row>
    <row r="168" spans="10:11" x14ac:dyDescent="0.4">
      <c r="J168" s="26">
        <v>166</v>
      </c>
      <c r="K168" s="28">
        <v>910.2</v>
      </c>
    </row>
    <row r="169" spans="10:11" x14ac:dyDescent="0.4">
      <c r="J169" s="26">
        <v>167</v>
      </c>
      <c r="K169" s="28">
        <v>870.6</v>
      </c>
    </row>
    <row r="170" spans="10:11" x14ac:dyDescent="0.4">
      <c r="J170" s="26">
        <v>168</v>
      </c>
      <c r="K170" s="28">
        <v>891.30000000000007</v>
      </c>
    </row>
    <row r="171" spans="10:11" x14ac:dyDescent="0.4">
      <c r="J171" s="26">
        <v>169</v>
      </c>
      <c r="K171" s="28">
        <v>931.00000000000011</v>
      </c>
    </row>
  </sheetData>
  <sortState ref="E2:H17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4A883-7F23-4696-B68F-3E3F56C52C27}">
  <sheetPr codeName="Sheet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138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4</v>
      </c>
      <c r="C2" s="88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181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">
      <c r="A3" s="58" t="s">
        <v>8</v>
      </c>
      <c r="B3" s="93">
        <v>25</v>
      </c>
      <c r="C3" s="94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-21</v>
      </c>
      <c r="M3" s="26" t="s">
        <v>182</v>
      </c>
      <c r="N3" s="45">
        <f t="shared" si="0"/>
        <v>-7225</v>
      </c>
      <c r="O3" s="42">
        <v>-28900</v>
      </c>
      <c r="P3" s="37">
        <v>4</v>
      </c>
    </row>
    <row r="4" spans="1:16" x14ac:dyDescent="0.4">
      <c r="A4" s="58" t="s">
        <v>6</v>
      </c>
      <c r="B4" s="95">
        <v>-128.1</v>
      </c>
      <c r="C4" s="96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-58.4</v>
      </c>
      <c r="M4" s="26" t="s">
        <v>183</v>
      </c>
      <c r="N4" s="45">
        <f t="shared" si="0"/>
        <v>-10875</v>
      </c>
      <c r="O4" s="42">
        <v>-43500</v>
      </c>
      <c r="P4" s="37">
        <v>4</v>
      </c>
    </row>
    <row r="5" spans="1:16" x14ac:dyDescent="0.4">
      <c r="A5" s="58" t="s">
        <v>7</v>
      </c>
      <c r="B5" s="95">
        <f>IF(B$2=0,0,B$4/B$2)</f>
        <v>-32.024999999999999</v>
      </c>
      <c r="C5" s="96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-82.6</v>
      </c>
      <c r="M5" s="26" t="s">
        <v>184</v>
      </c>
      <c r="N5" s="45">
        <f t="shared" si="0"/>
        <v>-2850</v>
      </c>
      <c r="O5" s="42">
        <v>-5700</v>
      </c>
      <c r="P5" s="37">
        <v>2</v>
      </c>
    </row>
    <row r="6" spans="1:16" x14ac:dyDescent="0.4">
      <c r="A6" s="58" t="s">
        <v>1</v>
      </c>
      <c r="B6" s="85">
        <f>IF(B$2=0,0,(B$7*1+B$8*2+B$9*3)/B$2)</f>
        <v>3</v>
      </c>
      <c r="C6" s="86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-128.1</v>
      </c>
      <c r="M6" s="26" t="s">
        <v>185</v>
      </c>
      <c r="N6" s="45">
        <f t="shared" si="0"/>
        <v>-6000</v>
      </c>
      <c r="O6" s="42">
        <v>-12000</v>
      </c>
      <c r="P6" s="37">
        <v>2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186</v>
      </c>
      <c r="N7" s="46">
        <f t="shared" si="0"/>
        <v>-5000</v>
      </c>
      <c r="O7" s="43">
        <v>-5000</v>
      </c>
      <c r="P7" s="38">
        <v>1</v>
      </c>
    </row>
    <row r="8" spans="1:16" x14ac:dyDescent="0.4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1</v>
      </c>
      <c r="C17" s="27">
        <f>IF(B$16=0,0,B17/B$16)</f>
        <v>1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7">
        <v>0</v>
      </c>
      <c r="C24" s="88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9">
        <v>0</v>
      </c>
      <c r="C25" s="90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5" t="s">
        <v>196</v>
      </c>
      <c r="B26" s="83">
        <v>0</v>
      </c>
      <c r="C26" s="84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198</v>
      </c>
      <c r="B27" s="76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1324D-45A6-4616-AF7E-633AAA2AA895}">
  <sheetPr codeName="Sheet7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139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3</v>
      </c>
      <c r="C2" s="88"/>
      <c r="E2" s="67" t="s">
        <v>72</v>
      </c>
      <c r="F2" s="63" t="s">
        <v>26</v>
      </c>
      <c r="G2" s="49">
        <v>2</v>
      </c>
      <c r="H2" s="24">
        <f>IF(B$25=0,0,G2/B$25)</f>
        <v>2</v>
      </c>
      <c r="J2" s="23">
        <v>0</v>
      </c>
      <c r="K2" s="25">
        <v>0</v>
      </c>
      <c r="M2" s="23" t="s">
        <v>181</v>
      </c>
      <c r="N2" s="44">
        <f t="shared" ref="N2:N7" si="0">IF(P2=0,0,O2/P2)</f>
        <v>-8666.6666666666661</v>
      </c>
      <c r="O2" s="41">
        <v>-26000</v>
      </c>
      <c r="P2" s="39">
        <v>3</v>
      </c>
    </row>
    <row r="3" spans="1:16" x14ac:dyDescent="0.4">
      <c r="A3" s="58" t="s">
        <v>8</v>
      </c>
      <c r="B3" s="93">
        <v>16</v>
      </c>
      <c r="C3" s="94"/>
      <c r="E3" s="68" t="s">
        <v>69</v>
      </c>
      <c r="F3" s="64" t="s">
        <v>23</v>
      </c>
      <c r="G3" s="50">
        <v>1</v>
      </c>
      <c r="H3" s="27">
        <f>IF(B$25=0,0,G3/B$25)</f>
        <v>1</v>
      </c>
      <c r="J3" s="26">
        <v>1</v>
      </c>
      <c r="K3" s="28">
        <v>7</v>
      </c>
      <c r="M3" s="26" t="s">
        <v>182</v>
      </c>
      <c r="N3" s="45">
        <f t="shared" si="0"/>
        <v>-250</v>
      </c>
      <c r="O3" s="42">
        <v>-500</v>
      </c>
      <c r="P3" s="37">
        <v>2</v>
      </c>
    </row>
    <row r="4" spans="1:16" x14ac:dyDescent="0.4">
      <c r="A4" s="58" t="s">
        <v>6</v>
      </c>
      <c r="B4" s="95">
        <v>-25.5</v>
      </c>
      <c r="C4" s="96"/>
      <c r="E4" s="68" t="s">
        <v>75</v>
      </c>
      <c r="F4" s="64" t="s">
        <v>28</v>
      </c>
      <c r="G4" s="50">
        <v>1</v>
      </c>
      <c r="H4" s="27">
        <f>IF(B$25=0,0,G4/B$25)</f>
        <v>1</v>
      </c>
      <c r="J4" s="26">
        <v>2</v>
      </c>
      <c r="K4" s="28">
        <v>-23.5</v>
      </c>
      <c r="M4" s="26" t="s">
        <v>183</v>
      </c>
      <c r="N4" s="45">
        <f t="shared" si="0"/>
        <v>-3500</v>
      </c>
      <c r="O4" s="42">
        <v>-7000</v>
      </c>
      <c r="P4" s="37">
        <v>2</v>
      </c>
    </row>
    <row r="5" spans="1:16" x14ac:dyDescent="0.4">
      <c r="A5" s="58" t="s">
        <v>7</v>
      </c>
      <c r="B5" s="95">
        <f>IF(B$2=0,0,B$4/B$2)</f>
        <v>-8.5</v>
      </c>
      <c r="C5" s="96"/>
      <c r="E5" s="68" t="s">
        <v>77</v>
      </c>
      <c r="F5" s="64" t="s">
        <v>30</v>
      </c>
      <c r="G5" s="50">
        <v>1</v>
      </c>
      <c r="H5" s="27">
        <f>IF(B$25=0,0,G5/B$25)</f>
        <v>1</v>
      </c>
      <c r="J5" s="26">
        <v>3</v>
      </c>
      <c r="K5" s="28">
        <v>-25.5</v>
      </c>
      <c r="M5" s="26" t="s">
        <v>184</v>
      </c>
      <c r="N5" s="45">
        <f t="shared" si="0"/>
        <v>0</v>
      </c>
      <c r="O5" s="42">
        <v>0</v>
      </c>
      <c r="P5" s="37">
        <v>1</v>
      </c>
    </row>
    <row r="6" spans="1:16" x14ac:dyDescent="0.4">
      <c r="A6" s="58" t="s">
        <v>1</v>
      </c>
      <c r="B6" s="85">
        <f>IF(B$2=0,0,(B$7*1+B$8*2+B$9*3)/B$2)</f>
        <v>2.3333333333333335</v>
      </c>
      <c r="C6" s="86"/>
      <c r="E6" s="68" t="s">
        <v>70</v>
      </c>
      <c r="F6" s="64" t="s">
        <v>24</v>
      </c>
      <c r="G6" s="50">
        <v>0</v>
      </c>
      <c r="H6" s="27">
        <f>IF(B$25=0,0,G6/B$25)</f>
        <v>0</v>
      </c>
      <c r="M6" s="26" t="s">
        <v>185</v>
      </c>
      <c r="N6" s="45">
        <f t="shared" si="0"/>
        <v>8000</v>
      </c>
      <c r="O6" s="42">
        <v>8000</v>
      </c>
      <c r="P6" s="37">
        <v>1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71</v>
      </c>
      <c r="F7" s="64" t="s">
        <v>25</v>
      </c>
      <c r="G7" s="50">
        <v>0</v>
      </c>
      <c r="H7" s="27">
        <f>IF(B$25=0,0,G7/B$25)</f>
        <v>0</v>
      </c>
      <c r="M7" s="31" t="s">
        <v>186</v>
      </c>
      <c r="N7" s="46">
        <f t="shared" si="0"/>
        <v>-1000</v>
      </c>
      <c r="O7" s="43">
        <v>-1000</v>
      </c>
      <c r="P7" s="38">
        <v>1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0.66666666666666663</v>
      </c>
      <c r="E8" s="68" t="s">
        <v>73</v>
      </c>
      <c r="F8" s="64" t="s">
        <v>27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1</v>
      </c>
      <c r="C9" s="29">
        <f t="shared" si="1"/>
        <v>0.33333333333333331</v>
      </c>
      <c r="E9" s="68" t="s">
        <v>74</v>
      </c>
      <c r="F9" s="64" t="s">
        <v>12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76</v>
      </c>
      <c r="F10" s="64" t="s">
        <v>29</v>
      </c>
      <c r="G10" s="50">
        <v>0</v>
      </c>
      <c r="H10" s="27">
        <f>IF(B$25=0,0,G10/B$25)</f>
        <v>0</v>
      </c>
    </row>
    <row r="11" spans="1:16" x14ac:dyDescent="0.4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5</v>
      </c>
      <c r="C12" s="35">
        <f>IF(B$24=0,0,B12/B$24)</f>
        <v>0.45454545454545453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1</v>
      </c>
      <c r="C14" s="24">
        <f>IF(B$12=0,0,B14/B$12)</f>
        <v>0.2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3</v>
      </c>
      <c r="C16" s="24">
        <f>IF(B$3=0,0,B16/B$3)</f>
        <v>0.1875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3</v>
      </c>
      <c r="C18" s="27">
        <f>IF(B$16=0,0,B18/B$16)</f>
        <v>1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2</v>
      </c>
      <c r="C19" s="27">
        <f>IF(B$3=0,0,B19/B$3)</f>
        <v>0.125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8000</v>
      </c>
      <c r="C20" s="30">
        <v>24000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3</v>
      </c>
      <c r="C22" s="24">
        <f>IF(B$3=0,0,B22/B$3)</f>
        <v>0.1875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7">
        <v>11</v>
      </c>
      <c r="C24" s="88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9">
        <v>1</v>
      </c>
      <c r="C25" s="90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5" t="s">
        <v>196</v>
      </c>
      <c r="B26" s="83">
        <v>2</v>
      </c>
      <c r="C26" s="84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198</v>
      </c>
      <c r="B27" s="76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C9BE1-7A52-44F8-998A-0D29AE985D65}">
  <sheetPr codeName="Sheet8"/>
  <dimension ref="A1:P11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141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109</v>
      </c>
      <c r="C2" s="88"/>
      <c r="E2" s="67" t="s">
        <v>73</v>
      </c>
      <c r="F2" s="63" t="s">
        <v>27</v>
      </c>
      <c r="G2" s="49">
        <v>118</v>
      </c>
      <c r="H2" s="24">
        <f>IF(B$25=0,0,G2/B$25)</f>
        <v>0.76623376623376627</v>
      </c>
      <c r="J2" s="23">
        <v>0</v>
      </c>
      <c r="K2" s="25">
        <v>0</v>
      </c>
      <c r="M2" s="23" t="s">
        <v>181</v>
      </c>
      <c r="N2" s="44">
        <f t="shared" ref="N2:N7" si="0">IF(P2=0,0,O2/P2)</f>
        <v>-485.98130841121497</v>
      </c>
      <c r="O2" s="41">
        <v>-52000</v>
      </c>
      <c r="P2" s="39">
        <v>107</v>
      </c>
    </row>
    <row r="3" spans="1:16" x14ac:dyDescent="0.4">
      <c r="A3" s="58" t="s">
        <v>8</v>
      </c>
      <c r="B3" s="93">
        <v>838</v>
      </c>
      <c r="C3" s="94"/>
      <c r="E3" s="68" t="s">
        <v>71</v>
      </c>
      <c r="F3" s="64" t="s">
        <v>25</v>
      </c>
      <c r="G3" s="50">
        <v>104</v>
      </c>
      <c r="H3" s="27">
        <f>IF(B$25=0,0,G3/B$25)</f>
        <v>0.67532467532467533</v>
      </c>
      <c r="J3" s="26">
        <v>1</v>
      </c>
      <c r="K3" s="28">
        <v>39.9</v>
      </c>
      <c r="M3" s="26" t="s">
        <v>182</v>
      </c>
      <c r="N3" s="45">
        <f t="shared" si="0"/>
        <v>-1833.9805825242718</v>
      </c>
      <c r="O3" s="42">
        <v>-188900</v>
      </c>
      <c r="P3" s="37">
        <v>103</v>
      </c>
    </row>
    <row r="4" spans="1:16" x14ac:dyDescent="0.4">
      <c r="A4" s="58" t="s">
        <v>6</v>
      </c>
      <c r="B4" s="95">
        <v>-448.89999999999992</v>
      </c>
      <c r="C4" s="96"/>
      <c r="E4" s="68" t="s">
        <v>69</v>
      </c>
      <c r="F4" s="64" t="s">
        <v>23</v>
      </c>
      <c r="G4" s="50">
        <v>94</v>
      </c>
      <c r="H4" s="27">
        <f>IF(B$25=0,0,G4/B$25)</f>
        <v>0.61038961038961037</v>
      </c>
      <c r="J4" s="26">
        <v>2</v>
      </c>
      <c r="K4" s="28">
        <v>-0.89999999999999858</v>
      </c>
      <c r="M4" s="26" t="s">
        <v>183</v>
      </c>
      <c r="N4" s="45">
        <f t="shared" si="0"/>
        <v>2561</v>
      </c>
      <c r="O4" s="42">
        <v>256100</v>
      </c>
      <c r="P4" s="37">
        <v>100</v>
      </c>
    </row>
    <row r="5" spans="1:16" x14ac:dyDescent="0.4">
      <c r="A5" s="58" t="s">
        <v>7</v>
      </c>
      <c r="B5" s="95">
        <f>IF(B$2=0,0,B$4/B$2)</f>
        <v>-4.1183486238532101</v>
      </c>
      <c r="C5" s="96"/>
      <c r="E5" s="68" t="s">
        <v>78</v>
      </c>
      <c r="F5" s="64" t="s">
        <v>31</v>
      </c>
      <c r="G5" s="50">
        <v>86</v>
      </c>
      <c r="H5" s="27">
        <f>IF(B$25=0,0,G5/B$25)</f>
        <v>0.55844155844155841</v>
      </c>
      <c r="J5" s="26">
        <v>3</v>
      </c>
      <c r="K5" s="28">
        <v>-35.4</v>
      </c>
      <c r="M5" s="26" t="s">
        <v>184</v>
      </c>
      <c r="N5" s="45">
        <f t="shared" si="0"/>
        <v>-1471.9101123595506</v>
      </c>
      <c r="O5" s="42">
        <v>-131000</v>
      </c>
      <c r="P5" s="37">
        <v>89</v>
      </c>
    </row>
    <row r="6" spans="1:16" x14ac:dyDescent="0.4">
      <c r="A6" s="58" t="s">
        <v>1</v>
      </c>
      <c r="B6" s="85">
        <f>IF(B$2=0,0,(B$7*1+B$8*2+B$9*3)/B$2)</f>
        <v>2.1284403669724772</v>
      </c>
      <c r="C6" s="86"/>
      <c r="E6" s="68" t="s">
        <v>74</v>
      </c>
      <c r="F6" s="64" t="s">
        <v>12</v>
      </c>
      <c r="G6" s="50">
        <v>54</v>
      </c>
      <c r="H6" s="27">
        <f>IF(B$25=0,0,G6/B$25)</f>
        <v>0.35064935064935066</v>
      </c>
      <c r="J6" s="26">
        <v>4</v>
      </c>
      <c r="K6" s="28">
        <v>3.6000000000000014</v>
      </c>
      <c r="M6" s="26" t="s">
        <v>185</v>
      </c>
      <c r="N6" s="45">
        <f t="shared" si="0"/>
        <v>-3098.6486486486488</v>
      </c>
      <c r="O6" s="42">
        <v>-229300</v>
      </c>
      <c r="P6" s="37">
        <v>74</v>
      </c>
    </row>
    <row r="7" spans="1:16" x14ac:dyDescent="0.4">
      <c r="A7" s="58" t="s">
        <v>2</v>
      </c>
      <c r="B7" s="50">
        <v>31</v>
      </c>
      <c r="C7" s="27">
        <f>IF(B$2=0,0,B7/B$2)</f>
        <v>0.28440366972477066</v>
      </c>
      <c r="E7" s="68" t="s">
        <v>72</v>
      </c>
      <c r="F7" s="64" t="s">
        <v>26</v>
      </c>
      <c r="G7" s="50">
        <v>46</v>
      </c>
      <c r="H7" s="27">
        <f>IF(B$25=0,0,G7/B$25)</f>
        <v>0.29870129870129869</v>
      </c>
      <c r="J7" s="26">
        <v>5</v>
      </c>
      <c r="K7" s="28">
        <v>13.600000000000001</v>
      </c>
      <c r="M7" s="31" t="s">
        <v>186</v>
      </c>
      <c r="N7" s="46">
        <f t="shared" si="0"/>
        <v>-2686.2068965517242</v>
      </c>
      <c r="O7" s="43">
        <v>-155800</v>
      </c>
      <c r="P7" s="38">
        <v>58</v>
      </c>
    </row>
    <row r="8" spans="1:16" x14ac:dyDescent="0.4">
      <c r="A8" s="58" t="s">
        <v>3</v>
      </c>
      <c r="B8" s="50">
        <v>33</v>
      </c>
      <c r="C8" s="27">
        <f t="shared" ref="C8:C9" si="1">IF(B$2=0,0,B8/B$2)</f>
        <v>0.30275229357798167</v>
      </c>
      <c r="E8" s="68" t="s">
        <v>96</v>
      </c>
      <c r="F8" s="64" t="s">
        <v>49</v>
      </c>
      <c r="G8" s="50">
        <v>26</v>
      </c>
      <c r="H8" s="27">
        <f>IF(B$25=0,0,G8/B$25)</f>
        <v>0.16883116883116883</v>
      </c>
      <c r="J8" s="26">
        <v>6</v>
      </c>
      <c r="K8" s="28">
        <v>45.6</v>
      </c>
    </row>
    <row r="9" spans="1:16" x14ac:dyDescent="0.4">
      <c r="A9" s="59" t="s">
        <v>4</v>
      </c>
      <c r="B9" s="51">
        <v>45</v>
      </c>
      <c r="C9" s="29">
        <f t="shared" si="1"/>
        <v>0.41284403669724773</v>
      </c>
      <c r="E9" s="68" t="s">
        <v>70</v>
      </c>
      <c r="F9" s="64" t="s">
        <v>24</v>
      </c>
      <c r="G9" s="50">
        <v>24</v>
      </c>
      <c r="H9" s="27">
        <f>IF(B$25=0,0,G9/B$25)</f>
        <v>0.15584415584415584</v>
      </c>
      <c r="J9" s="26">
        <v>7</v>
      </c>
      <c r="K9" s="28">
        <v>97.1</v>
      </c>
    </row>
    <row r="10" spans="1:16" x14ac:dyDescent="0.4">
      <c r="A10" s="59" t="s">
        <v>21</v>
      </c>
      <c r="B10" s="51">
        <v>23</v>
      </c>
      <c r="C10" s="29">
        <f>IF(B$2=0,0,B10/B$2)</f>
        <v>0.21100917431192662</v>
      </c>
      <c r="E10" s="68" t="s">
        <v>75</v>
      </c>
      <c r="F10" s="64" t="s">
        <v>28</v>
      </c>
      <c r="G10" s="50">
        <v>23</v>
      </c>
      <c r="H10" s="27">
        <f>IF(B$25=0,0,G10/B$25)</f>
        <v>0.14935064935064934</v>
      </c>
      <c r="J10" s="26">
        <v>8</v>
      </c>
      <c r="K10" s="28">
        <v>58.199999999999996</v>
      </c>
    </row>
    <row r="11" spans="1:16" x14ac:dyDescent="0.4">
      <c r="A11" s="60" t="s">
        <v>191</v>
      </c>
      <c r="B11" s="52">
        <v>15</v>
      </c>
      <c r="C11" s="32">
        <f>IF(B$2=0,0,B11/B$2)</f>
        <v>0.13761467889908258</v>
      </c>
      <c r="E11" s="68" t="s">
        <v>76</v>
      </c>
      <c r="F11" s="64" t="s">
        <v>29</v>
      </c>
      <c r="G11" s="50">
        <v>23</v>
      </c>
      <c r="H11" s="27">
        <f>IF(B$25=0,0,G11/B$25)</f>
        <v>0.14935064935064934</v>
      </c>
      <c r="J11" s="26">
        <v>9</v>
      </c>
      <c r="K11" s="28">
        <v>23.4</v>
      </c>
    </row>
    <row r="12" spans="1:16" x14ac:dyDescent="0.4">
      <c r="A12" s="61" t="s">
        <v>130</v>
      </c>
      <c r="B12" s="53">
        <v>168</v>
      </c>
      <c r="C12" s="35">
        <f>IF(B$24=0,0,B12/B$24)</f>
        <v>0.29116117850953205</v>
      </c>
      <c r="E12" s="68" t="s">
        <v>93</v>
      </c>
      <c r="F12" s="64" t="s">
        <v>46</v>
      </c>
      <c r="G12" s="50">
        <v>14</v>
      </c>
      <c r="H12" s="27">
        <f>IF(B$25=0,0,G12/B$25)</f>
        <v>9.0909090909090912E-2</v>
      </c>
      <c r="J12" s="26">
        <v>10</v>
      </c>
      <c r="K12" s="28">
        <v>-20.100000000000001</v>
      </c>
    </row>
    <row r="13" spans="1:16" x14ac:dyDescent="0.4">
      <c r="A13" s="58" t="s">
        <v>125</v>
      </c>
      <c r="B13" s="50">
        <v>103</v>
      </c>
      <c r="C13" s="27">
        <f>IF(B$24=0,0,B13/B$24)</f>
        <v>0.17850953206239167</v>
      </c>
      <c r="E13" s="68" t="s">
        <v>90</v>
      </c>
      <c r="F13" s="64" t="s">
        <v>43</v>
      </c>
      <c r="G13" s="50">
        <v>13</v>
      </c>
      <c r="H13" s="27">
        <f>IF(B$25=0,0,G13/B$25)</f>
        <v>8.4415584415584416E-2</v>
      </c>
      <c r="J13" s="26">
        <v>11</v>
      </c>
      <c r="K13" s="28">
        <v>-3.6000000000000014</v>
      </c>
    </row>
    <row r="14" spans="1:16" x14ac:dyDescent="0.4">
      <c r="A14" s="57" t="s">
        <v>132</v>
      </c>
      <c r="B14" s="49">
        <v>95</v>
      </c>
      <c r="C14" s="24">
        <f>IF(B$12=0,0,B14/B$12)</f>
        <v>0.56547619047619047</v>
      </c>
      <c r="E14" s="68" t="s">
        <v>98</v>
      </c>
      <c r="F14" s="64" t="s">
        <v>51</v>
      </c>
      <c r="G14" s="50">
        <v>7</v>
      </c>
      <c r="H14" s="27">
        <f>IF(B$25=0,0,G14/B$25)</f>
        <v>4.5454545454545456E-2</v>
      </c>
      <c r="J14" s="26">
        <v>12</v>
      </c>
      <c r="K14" s="28">
        <v>-12.000000000000002</v>
      </c>
    </row>
    <row r="15" spans="1:16" x14ac:dyDescent="0.4">
      <c r="A15" s="57" t="s">
        <v>133</v>
      </c>
      <c r="B15" s="49">
        <v>39</v>
      </c>
      <c r="C15" s="24">
        <f>IF(B$13=0,0,B15/B$13)</f>
        <v>0.37864077669902912</v>
      </c>
      <c r="E15" s="68" t="s">
        <v>88</v>
      </c>
      <c r="F15" s="64" t="s">
        <v>41</v>
      </c>
      <c r="G15" s="50">
        <v>6</v>
      </c>
      <c r="H15" s="27">
        <f>IF(B$25=0,0,G15/B$25)</f>
        <v>3.896103896103896E-2</v>
      </c>
      <c r="J15" s="26">
        <v>13</v>
      </c>
      <c r="K15" s="28">
        <v>48.5</v>
      </c>
    </row>
    <row r="16" spans="1:16" x14ac:dyDescent="0.4">
      <c r="A16" s="57" t="s">
        <v>10</v>
      </c>
      <c r="B16" s="49">
        <f>B18+B17</f>
        <v>215</v>
      </c>
      <c r="C16" s="24">
        <f>IF(B$3=0,0,B16/B$3)</f>
        <v>0.25656324582338902</v>
      </c>
      <c r="E16" s="68" t="s">
        <v>77</v>
      </c>
      <c r="F16" s="64" t="s">
        <v>30</v>
      </c>
      <c r="G16" s="50">
        <v>4</v>
      </c>
      <c r="H16" s="27">
        <f>IF(B$25=0,0,G16/B$25)</f>
        <v>2.5974025974025976E-2</v>
      </c>
      <c r="J16" s="26">
        <v>14</v>
      </c>
      <c r="K16" s="28">
        <v>32</v>
      </c>
    </row>
    <row r="17" spans="1:11" x14ac:dyDescent="0.4">
      <c r="A17" s="58" t="s">
        <v>12</v>
      </c>
      <c r="B17" s="50">
        <v>91</v>
      </c>
      <c r="C17" s="27">
        <f>IF(B$16=0,0,B17/B$16)</f>
        <v>0.42325581395348838</v>
      </c>
      <c r="E17" s="68" t="s">
        <v>84</v>
      </c>
      <c r="F17" s="64" t="s">
        <v>37</v>
      </c>
      <c r="G17" s="50">
        <v>3</v>
      </c>
      <c r="H17" s="27">
        <f>IF(B$25=0,0,G17/B$25)</f>
        <v>1.948051948051948E-2</v>
      </c>
      <c r="J17" s="26">
        <v>15</v>
      </c>
      <c r="K17" s="28">
        <v>36.5</v>
      </c>
    </row>
    <row r="18" spans="1:11" x14ac:dyDescent="0.4">
      <c r="A18" s="58" t="s">
        <v>11</v>
      </c>
      <c r="B18" s="50">
        <v>124</v>
      </c>
      <c r="C18" s="27">
        <f>IF(B$16=0,0,B18/B$16)</f>
        <v>0.57674418604651168</v>
      </c>
      <c r="E18" s="68" t="s">
        <v>85</v>
      </c>
      <c r="F18" s="64" t="s">
        <v>38</v>
      </c>
      <c r="G18" s="50">
        <v>2</v>
      </c>
      <c r="H18" s="27">
        <f>IF(B$25=0,0,G18/B$25)</f>
        <v>1.2987012987012988E-2</v>
      </c>
      <c r="J18" s="26">
        <v>16</v>
      </c>
      <c r="K18" s="28">
        <v>13.600000000000001</v>
      </c>
    </row>
    <row r="19" spans="1:11" x14ac:dyDescent="0.4">
      <c r="A19" s="58" t="s">
        <v>13</v>
      </c>
      <c r="B19" s="50">
        <v>164</v>
      </c>
      <c r="C19" s="27">
        <f>IF(B$3=0,0,B19/B$3)</f>
        <v>0.19570405727923629</v>
      </c>
      <c r="E19" s="68" t="s">
        <v>92</v>
      </c>
      <c r="F19" s="64" t="s">
        <v>45</v>
      </c>
      <c r="G19" s="50">
        <v>2</v>
      </c>
      <c r="H19" s="27">
        <f>IF(B$25=0,0,G19/B$25)</f>
        <v>1.2987012987012988E-2</v>
      </c>
      <c r="J19" s="26">
        <v>17</v>
      </c>
      <c r="K19" s="28">
        <v>12.900000000000002</v>
      </c>
    </row>
    <row r="20" spans="1:11" x14ac:dyDescent="0.4">
      <c r="A20" s="58" t="s">
        <v>5</v>
      </c>
      <c r="B20" s="54">
        <f>IF(B$16=0,0,C20/B$16)</f>
        <v>11211.627906976744</v>
      </c>
      <c r="C20" s="30">
        <v>2410500</v>
      </c>
      <c r="E20" s="68" t="s">
        <v>99</v>
      </c>
      <c r="F20" s="64" t="s">
        <v>52</v>
      </c>
      <c r="G20" s="50">
        <v>2</v>
      </c>
      <c r="H20" s="27">
        <f>IF(B$25=0,0,G20/B$25)</f>
        <v>1.2987012987012988E-2</v>
      </c>
      <c r="J20" s="26">
        <v>18</v>
      </c>
      <c r="K20" s="28">
        <v>-21.999999999999996</v>
      </c>
    </row>
    <row r="21" spans="1:11" x14ac:dyDescent="0.4">
      <c r="A21" s="60" t="s">
        <v>14</v>
      </c>
      <c r="B21" s="55">
        <f>IF(B$19=0,0,C21/B$19)</f>
        <v>-9938.414634146342</v>
      </c>
      <c r="C21" s="48">
        <v>-1629900</v>
      </c>
      <c r="E21" s="68" t="s">
        <v>87</v>
      </c>
      <c r="F21" s="64" t="s">
        <v>40</v>
      </c>
      <c r="G21" s="50">
        <v>1</v>
      </c>
      <c r="H21" s="27">
        <f>IF(B$25=0,0,G21/B$25)</f>
        <v>6.4935064935064939E-3</v>
      </c>
      <c r="J21" s="26">
        <v>19</v>
      </c>
      <c r="K21" s="28">
        <v>-26.699999999999996</v>
      </c>
    </row>
    <row r="22" spans="1:11" x14ac:dyDescent="0.4">
      <c r="A22" s="57" t="s">
        <v>178</v>
      </c>
      <c r="B22" s="49">
        <v>267</v>
      </c>
      <c r="C22" s="24">
        <f>IF(B$3=0,0,B22/B$3)</f>
        <v>0.31861575178997614</v>
      </c>
      <c r="E22" s="68" t="s">
        <v>91</v>
      </c>
      <c r="F22" s="64" t="s">
        <v>44</v>
      </c>
      <c r="G22" s="50">
        <v>1</v>
      </c>
      <c r="H22" s="27">
        <f>IF(B$25=0,0,G22/B$25)</f>
        <v>6.4935064935064939E-3</v>
      </c>
      <c r="J22" s="26">
        <v>20</v>
      </c>
      <c r="K22" s="28">
        <v>-56.899999999999991</v>
      </c>
    </row>
    <row r="23" spans="1:11" x14ac:dyDescent="0.4">
      <c r="A23" s="60" t="s">
        <v>179</v>
      </c>
      <c r="B23" s="52">
        <v>83</v>
      </c>
      <c r="C23" s="32">
        <f>IF(B$22=0,0,B23/B$22)</f>
        <v>0.31086142322097376</v>
      </c>
      <c r="E23" s="68" t="s">
        <v>94</v>
      </c>
      <c r="F23" s="64" t="s">
        <v>47</v>
      </c>
      <c r="G23" s="50">
        <v>1</v>
      </c>
      <c r="H23" s="27">
        <f>IF(B$25=0,0,G23/B$25)</f>
        <v>6.4935064935064939E-3</v>
      </c>
      <c r="J23" s="26">
        <v>21</v>
      </c>
      <c r="K23" s="28">
        <v>-80.699999999999989</v>
      </c>
    </row>
    <row r="24" spans="1:11" x14ac:dyDescent="0.4">
      <c r="A24" s="57" t="s">
        <v>128</v>
      </c>
      <c r="B24" s="87">
        <v>577</v>
      </c>
      <c r="C24" s="88"/>
      <c r="E24" s="68" t="s">
        <v>95</v>
      </c>
      <c r="F24" s="64" t="s">
        <v>48</v>
      </c>
      <c r="G24" s="50">
        <v>1</v>
      </c>
      <c r="H24" s="27">
        <f>IF(B$25=0,0,G24/B$25)</f>
        <v>6.4935064935064939E-3</v>
      </c>
      <c r="J24" s="26">
        <v>22</v>
      </c>
      <c r="K24" s="28">
        <v>-91.6</v>
      </c>
    </row>
    <row r="25" spans="1:11" x14ac:dyDescent="0.4">
      <c r="A25" s="60" t="s">
        <v>129</v>
      </c>
      <c r="B25" s="89">
        <v>154</v>
      </c>
      <c r="C25" s="90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-107.3</v>
      </c>
    </row>
    <row r="26" spans="1:11" x14ac:dyDescent="0.4">
      <c r="A26" s="75" t="s">
        <v>196</v>
      </c>
      <c r="B26" s="83">
        <v>10</v>
      </c>
      <c r="C26" s="84"/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-65.099999999999994</v>
      </c>
    </row>
    <row r="27" spans="1:11" x14ac:dyDescent="0.4">
      <c r="A27" s="60" t="s">
        <v>198</v>
      </c>
      <c r="B27" s="76">
        <v>4</v>
      </c>
      <c r="C27" s="32">
        <f>IF(B$3=0,0,B27/B$3)</f>
        <v>4.7732696897374704E-3</v>
      </c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-67.899999999999991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-121.89999999999999</v>
      </c>
    </row>
    <row r="29" spans="1:11" x14ac:dyDescent="0.4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-158.6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-164.5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-158.30000000000001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-203.4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-252.9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-247.6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-229.9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-224.8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-248.3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-199.3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-243.3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-237.5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-238.6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-272.7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-312.09999999999997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-307.29999999999995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-278.79999999999995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-234.89999999999995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-250.29999999999995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-274.59999999999997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-259.59999999999997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-282.79999999999995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-276.99999999999994</v>
      </c>
    </row>
    <row r="52" spans="5:11" x14ac:dyDescent="0.4">
      <c r="J52" s="26">
        <v>50</v>
      </c>
      <c r="K52" s="28">
        <v>-280.09999999999997</v>
      </c>
    </row>
    <row r="53" spans="5:11" x14ac:dyDescent="0.4">
      <c r="J53" s="26">
        <v>51</v>
      </c>
      <c r="K53" s="28">
        <v>-262.59999999999997</v>
      </c>
    </row>
    <row r="54" spans="5:11" x14ac:dyDescent="0.4">
      <c r="J54" s="26">
        <v>52</v>
      </c>
      <c r="K54" s="28">
        <v>-300.09999999999997</v>
      </c>
    </row>
    <row r="55" spans="5:11" x14ac:dyDescent="0.4">
      <c r="J55" s="26">
        <v>53</v>
      </c>
      <c r="K55" s="28">
        <v>-327.49999999999994</v>
      </c>
    </row>
    <row r="56" spans="5:11" x14ac:dyDescent="0.4">
      <c r="J56" s="26">
        <v>54</v>
      </c>
      <c r="K56" s="28">
        <v>-368.89999999999992</v>
      </c>
    </row>
    <row r="57" spans="5:11" x14ac:dyDescent="0.4">
      <c r="J57" s="26">
        <v>55</v>
      </c>
      <c r="K57" s="28">
        <v>-354.2999999999999</v>
      </c>
    </row>
    <row r="58" spans="5:11" x14ac:dyDescent="0.4">
      <c r="J58" s="26">
        <v>56</v>
      </c>
      <c r="K58" s="28">
        <v>-307.2999999999999</v>
      </c>
    </row>
    <row r="59" spans="5:11" x14ac:dyDescent="0.4">
      <c r="J59" s="26">
        <v>57</v>
      </c>
      <c r="K59" s="28">
        <v>-303.49999999999989</v>
      </c>
    </row>
    <row r="60" spans="5:11" x14ac:dyDescent="0.4">
      <c r="J60" s="26">
        <v>58</v>
      </c>
      <c r="K60" s="28">
        <v>-246.59999999999988</v>
      </c>
    </row>
    <row r="61" spans="5:11" x14ac:dyDescent="0.4">
      <c r="J61" s="26">
        <v>59</v>
      </c>
      <c r="K61" s="28">
        <v>-198.09999999999988</v>
      </c>
    </row>
    <row r="62" spans="5:11" x14ac:dyDescent="0.4">
      <c r="J62" s="26">
        <v>60</v>
      </c>
      <c r="K62" s="28">
        <v>-207.59999999999988</v>
      </c>
    </row>
    <row r="63" spans="5:11" x14ac:dyDescent="0.4">
      <c r="J63" s="26">
        <v>61</v>
      </c>
      <c r="K63" s="28">
        <v>-204.89999999999989</v>
      </c>
    </row>
    <row r="64" spans="5:11" x14ac:dyDescent="0.4">
      <c r="J64" s="26">
        <v>62</v>
      </c>
      <c r="K64" s="28">
        <v>-242.89999999999989</v>
      </c>
    </row>
    <row r="65" spans="10:11" x14ac:dyDescent="0.4">
      <c r="J65" s="26">
        <v>63</v>
      </c>
      <c r="K65" s="28">
        <v>-281.99999999999989</v>
      </c>
    </row>
    <row r="66" spans="10:11" x14ac:dyDescent="0.4">
      <c r="J66" s="26">
        <v>64</v>
      </c>
      <c r="K66" s="28">
        <v>-346.99999999999989</v>
      </c>
    </row>
    <row r="67" spans="10:11" x14ac:dyDescent="0.4">
      <c r="J67" s="26">
        <v>65</v>
      </c>
      <c r="K67" s="28">
        <v>-370.09999999999991</v>
      </c>
    </row>
    <row r="68" spans="10:11" x14ac:dyDescent="0.4">
      <c r="J68" s="26">
        <v>66</v>
      </c>
      <c r="K68" s="28">
        <v>-367.49999999999989</v>
      </c>
    </row>
    <row r="69" spans="10:11" x14ac:dyDescent="0.4">
      <c r="J69" s="26">
        <v>67</v>
      </c>
      <c r="K69" s="28">
        <v>-360.19999999999987</v>
      </c>
    </row>
    <row r="70" spans="10:11" x14ac:dyDescent="0.4">
      <c r="J70" s="26">
        <v>68</v>
      </c>
      <c r="K70" s="28">
        <v>-395.2999999999999</v>
      </c>
    </row>
    <row r="71" spans="10:11" x14ac:dyDescent="0.4">
      <c r="J71" s="26">
        <v>69</v>
      </c>
      <c r="K71" s="28">
        <v>-400.49999999999989</v>
      </c>
    </row>
    <row r="72" spans="10:11" x14ac:dyDescent="0.4">
      <c r="J72" s="26">
        <v>70</v>
      </c>
      <c r="K72" s="28">
        <v>-368.49999999999989</v>
      </c>
    </row>
    <row r="73" spans="10:11" x14ac:dyDescent="0.4">
      <c r="J73" s="26">
        <v>71</v>
      </c>
      <c r="K73" s="28">
        <v>-363.2999999999999</v>
      </c>
    </row>
    <row r="74" spans="10:11" x14ac:dyDescent="0.4">
      <c r="J74" s="26">
        <v>72</v>
      </c>
      <c r="K74" s="28">
        <v>-397.7999999999999</v>
      </c>
    </row>
    <row r="75" spans="10:11" x14ac:dyDescent="0.4">
      <c r="J75" s="26">
        <v>73</v>
      </c>
      <c r="K75" s="28">
        <v>-382.59999999999991</v>
      </c>
    </row>
    <row r="76" spans="10:11" x14ac:dyDescent="0.4">
      <c r="J76" s="26">
        <v>74</v>
      </c>
      <c r="K76" s="28">
        <v>-388.49999999999989</v>
      </c>
    </row>
    <row r="77" spans="10:11" x14ac:dyDescent="0.4">
      <c r="J77" s="26">
        <v>75</v>
      </c>
      <c r="K77" s="28">
        <v>-407.69999999999987</v>
      </c>
    </row>
    <row r="78" spans="10:11" x14ac:dyDescent="0.4">
      <c r="J78" s="26">
        <v>76</v>
      </c>
      <c r="K78" s="28">
        <v>-358.69999999999987</v>
      </c>
    </row>
    <row r="79" spans="10:11" x14ac:dyDescent="0.4">
      <c r="J79" s="26">
        <v>77</v>
      </c>
      <c r="K79" s="28">
        <v>-369.7999999999999</v>
      </c>
    </row>
    <row r="80" spans="10:11" x14ac:dyDescent="0.4">
      <c r="J80" s="26">
        <v>78</v>
      </c>
      <c r="K80" s="28">
        <v>-354.99999999999989</v>
      </c>
    </row>
    <row r="81" spans="10:11" x14ac:dyDescent="0.4">
      <c r="J81" s="26">
        <v>79</v>
      </c>
      <c r="K81" s="28">
        <v>-372.99999999999989</v>
      </c>
    </row>
    <row r="82" spans="10:11" x14ac:dyDescent="0.4">
      <c r="J82" s="26">
        <v>80</v>
      </c>
      <c r="K82" s="28">
        <v>-379.7999999999999</v>
      </c>
    </row>
    <row r="83" spans="10:11" x14ac:dyDescent="0.4">
      <c r="J83" s="26">
        <v>81</v>
      </c>
      <c r="K83" s="28">
        <v>-368.99999999999989</v>
      </c>
    </row>
    <row r="84" spans="10:11" x14ac:dyDescent="0.4">
      <c r="J84" s="26">
        <v>82</v>
      </c>
      <c r="K84" s="28">
        <v>-387.59999999999991</v>
      </c>
    </row>
    <row r="85" spans="10:11" x14ac:dyDescent="0.4">
      <c r="J85" s="26">
        <v>83</v>
      </c>
      <c r="K85" s="28">
        <v>-386.39999999999992</v>
      </c>
    </row>
    <row r="86" spans="10:11" x14ac:dyDescent="0.4">
      <c r="J86" s="26">
        <v>84</v>
      </c>
      <c r="K86" s="28">
        <v>-361.89999999999992</v>
      </c>
    </row>
    <row r="87" spans="10:11" x14ac:dyDescent="0.4">
      <c r="J87" s="26">
        <v>85</v>
      </c>
      <c r="K87" s="28">
        <v>-398.89999999999992</v>
      </c>
    </row>
    <row r="88" spans="10:11" x14ac:dyDescent="0.4">
      <c r="J88" s="26">
        <v>86</v>
      </c>
      <c r="K88" s="28">
        <v>-375.39999999999992</v>
      </c>
    </row>
    <row r="89" spans="10:11" x14ac:dyDescent="0.4">
      <c r="J89" s="26">
        <v>87</v>
      </c>
      <c r="K89" s="28">
        <v>-350.69999999999993</v>
      </c>
    </row>
    <row r="90" spans="10:11" x14ac:dyDescent="0.4">
      <c r="J90" s="26">
        <v>88</v>
      </c>
      <c r="K90" s="28">
        <v>-366.49999999999994</v>
      </c>
    </row>
    <row r="91" spans="10:11" x14ac:dyDescent="0.4">
      <c r="J91" s="26">
        <v>89</v>
      </c>
      <c r="K91" s="28">
        <v>-398.29999999999995</v>
      </c>
    </row>
    <row r="92" spans="10:11" x14ac:dyDescent="0.4">
      <c r="J92" s="26">
        <v>90</v>
      </c>
      <c r="K92" s="28">
        <v>-393.79999999999995</v>
      </c>
    </row>
    <row r="93" spans="10:11" x14ac:dyDescent="0.4">
      <c r="J93" s="26">
        <v>91</v>
      </c>
      <c r="K93" s="28">
        <v>-383.29999999999995</v>
      </c>
    </row>
    <row r="94" spans="10:11" x14ac:dyDescent="0.4">
      <c r="J94" s="26">
        <v>92</v>
      </c>
      <c r="K94" s="28">
        <v>-354.49999999999994</v>
      </c>
    </row>
    <row r="95" spans="10:11" x14ac:dyDescent="0.4">
      <c r="J95" s="26">
        <v>93</v>
      </c>
      <c r="K95" s="28">
        <v>-389.99999999999994</v>
      </c>
    </row>
    <row r="96" spans="10:11" x14ac:dyDescent="0.4">
      <c r="J96" s="26">
        <v>94</v>
      </c>
      <c r="K96" s="28">
        <v>-361.59999999999997</v>
      </c>
    </row>
    <row r="97" spans="10:11" x14ac:dyDescent="0.4">
      <c r="J97" s="26">
        <v>95</v>
      </c>
      <c r="K97" s="28">
        <v>-388.4</v>
      </c>
    </row>
    <row r="98" spans="10:11" x14ac:dyDescent="0.4">
      <c r="J98" s="26">
        <v>96</v>
      </c>
      <c r="K98" s="28">
        <v>-371</v>
      </c>
    </row>
    <row r="99" spans="10:11" x14ac:dyDescent="0.4">
      <c r="J99" s="26">
        <v>97</v>
      </c>
      <c r="K99" s="28">
        <v>-383.5</v>
      </c>
    </row>
    <row r="100" spans="10:11" x14ac:dyDescent="0.4">
      <c r="J100" s="26">
        <v>98</v>
      </c>
      <c r="K100" s="28">
        <v>-324</v>
      </c>
    </row>
    <row r="101" spans="10:11" x14ac:dyDescent="0.4">
      <c r="J101" s="26">
        <v>99</v>
      </c>
      <c r="K101" s="28">
        <v>-352.5</v>
      </c>
    </row>
    <row r="102" spans="10:11" x14ac:dyDescent="0.4">
      <c r="J102" s="26">
        <v>100</v>
      </c>
      <c r="K102" s="28">
        <v>-365.4</v>
      </c>
    </row>
    <row r="103" spans="10:11" x14ac:dyDescent="0.4">
      <c r="J103" s="26">
        <v>101</v>
      </c>
      <c r="K103" s="28">
        <v>-363.7</v>
      </c>
    </row>
    <row r="104" spans="10:11" x14ac:dyDescent="0.4">
      <c r="J104" s="26">
        <v>102</v>
      </c>
      <c r="K104" s="28">
        <v>-389.4</v>
      </c>
    </row>
    <row r="105" spans="10:11" x14ac:dyDescent="0.4">
      <c r="J105" s="26">
        <v>103</v>
      </c>
      <c r="K105" s="28">
        <v>-413.9</v>
      </c>
    </row>
    <row r="106" spans="10:11" x14ac:dyDescent="0.4">
      <c r="J106" s="26">
        <v>104</v>
      </c>
      <c r="K106" s="28">
        <v>-422.4</v>
      </c>
    </row>
    <row r="107" spans="10:11" x14ac:dyDescent="0.4">
      <c r="J107" s="26">
        <v>105</v>
      </c>
      <c r="K107" s="28">
        <v>-411.59999999999997</v>
      </c>
    </row>
    <row r="108" spans="10:11" x14ac:dyDescent="0.4">
      <c r="J108" s="26">
        <v>106</v>
      </c>
      <c r="K108" s="28">
        <v>-423.49999999999994</v>
      </c>
    </row>
    <row r="109" spans="10:11" x14ac:dyDescent="0.4">
      <c r="J109" s="26">
        <v>107</v>
      </c>
      <c r="K109" s="28">
        <v>-418.59999999999997</v>
      </c>
    </row>
    <row r="110" spans="10:11" x14ac:dyDescent="0.4">
      <c r="J110" s="26">
        <v>108</v>
      </c>
      <c r="K110" s="28">
        <v>-412.99999999999994</v>
      </c>
    </row>
    <row r="111" spans="10:11" x14ac:dyDescent="0.4">
      <c r="J111" s="26">
        <v>109</v>
      </c>
      <c r="K111" s="28">
        <v>-448.89999999999992</v>
      </c>
    </row>
  </sheetData>
  <sortState ref="E2:H11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20378-4504-43C4-87A1-34FA80DF6C3B}">
  <sheetPr codeName="Sheet9"/>
  <dimension ref="A1:P56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142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54</v>
      </c>
      <c r="C2" s="88"/>
      <c r="E2" s="67" t="s">
        <v>71</v>
      </c>
      <c r="F2" s="63" t="s">
        <v>25</v>
      </c>
      <c r="G2" s="49">
        <v>49</v>
      </c>
      <c r="H2" s="24">
        <f>IF(B$25=0,0,G2/B$25)</f>
        <v>0.98</v>
      </c>
      <c r="J2" s="23">
        <v>0</v>
      </c>
      <c r="K2" s="25">
        <v>0</v>
      </c>
      <c r="M2" s="23" t="s">
        <v>181</v>
      </c>
      <c r="N2" s="44">
        <f t="shared" ref="N2:N7" si="0">IF(P2=0,0,O2/P2)</f>
        <v>-590.74074074074076</v>
      </c>
      <c r="O2" s="41">
        <v>-31900</v>
      </c>
      <c r="P2" s="39">
        <v>54</v>
      </c>
    </row>
    <row r="3" spans="1:16" x14ac:dyDescent="0.4">
      <c r="A3" s="58" t="s">
        <v>8</v>
      </c>
      <c r="B3" s="93">
        <v>385</v>
      </c>
      <c r="C3" s="94"/>
      <c r="E3" s="68" t="s">
        <v>73</v>
      </c>
      <c r="F3" s="64" t="s">
        <v>27</v>
      </c>
      <c r="G3" s="50">
        <v>46</v>
      </c>
      <c r="H3" s="27">
        <f>IF(B$25=0,0,G3/B$25)</f>
        <v>0.92</v>
      </c>
      <c r="J3" s="26">
        <v>1</v>
      </c>
      <c r="K3" s="28">
        <v>-38.9</v>
      </c>
      <c r="M3" s="26" t="s">
        <v>182</v>
      </c>
      <c r="N3" s="45">
        <f t="shared" si="0"/>
        <v>2784.3137254901962</v>
      </c>
      <c r="O3" s="42">
        <v>142000</v>
      </c>
      <c r="P3" s="37">
        <v>51</v>
      </c>
    </row>
    <row r="4" spans="1:16" x14ac:dyDescent="0.4">
      <c r="A4" s="58" t="s">
        <v>6</v>
      </c>
      <c r="B4" s="95">
        <v>244.50000000000003</v>
      </c>
      <c r="C4" s="96"/>
      <c r="E4" s="68" t="s">
        <v>78</v>
      </c>
      <c r="F4" s="64" t="s">
        <v>31</v>
      </c>
      <c r="G4" s="50">
        <v>30</v>
      </c>
      <c r="H4" s="27">
        <f>IF(B$25=0,0,G4/B$25)</f>
        <v>0.6</v>
      </c>
      <c r="J4" s="26">
        <v>2</v>
      </c>
      <c r="K4" s="28">
        <v>-13.2</v>
      </c>
      <c r="M4" s="26" t="s">
        <v>183</v>
      </c>
      <c r="N4" s="45">
        <f t="shared" si="0"/>
        <v>-2071.4285714285716</v>
      </c>
      <c r="O4" s="42">
        <v>-101500</v>
      </c>
      <c r="P4" s="37">
        <v>49</v>
      </c>
    </row>
    <row r="5" spans="1:16" x14ac:dyDescent="0.4">
      <c r="A5" s="58" t="s">
        <v>7</v>
      </c>
      <c r="B5" s="95">
        <f>IF(B$2=0,0,B$4/B$2)</f>
        <v>4.5277777777777786</v>
      </c>
      <c r="C5" s="96"/>
      <c r="E5" s="68" t="s">
        <v>69</v>
      </c>
      <c r="F5" s="64" t="s">
        <v>23</v>
      </c>
      <c r="G5" s="50">
        <v>22</v>
      </c>
      <c r="H5" s="27">
        <f>IF(B$25=0,0,G5/B$25)</f>
        <v>0.44</v>
      </c>
      <c r="J5" s="26">
        <v>3</v>
      </c>
      <c r="K5" s="28">
        <v>-56.7</v>
      </c>
      <c r="M5" s="26" t="s">
        <v>184</v>
      </c>
      <c r="N5" s="45">
        <f t="shared" si="0"/>
        <v>-595.1219512195122</v>
      </c>
      <c r="O5" s="42">
        <v>-24400</v>
      </c>
      <c r="P5" s="37">
        <v>41</v>
      </c>
    </row>
    <row r="6" spans="1:16" x14ac:dyDescent="0.4">
      <c r="A6" s="58" t="s">
        <v>1</v>
      </c>
      <c r="B6" s="85">
        <f>IF(B$2=0,0,(B$7*1+B$8*2+B$9*3)/B$2)</f>
        <v>1.8888888888888888</v>
      </c>
      <c r="C6" s="86"/>
      <c r="E6" s="68" t="s">
        <v>72</v>
      </c>
      <c r="F6" s="64" t="s">
        <v>26</v>
      </c>
      <c r="G6" s="50">
        <v>17</v>
      </c>
      <c r="H6" s="27">
        <f>IF(B$25=0,0,G6/B$25)</f>
        <v>0.34</v>
      </c>
      <c r="J6" s="26">
        <v>4</v>
      </c>
      <c r="K6" s="28">
        <v>-52.7</v>
      </c>
      <c r="M6" s="26" t="s">
        <v>185</v>
      </c>
      <c r="N6" s="45">
        <f t="shared" si="0"/>
        <v>7894.2857142857147</v>
      </c>
      <c r="O6" s="42">
        <v>276300</v>
      </c>
      <c r="P6" s="37">
        <v>35</v>
      </c>
    </row>
    <row r="7" spans="1:16" x14ac:dyDescent="0.4">
      <c r="A7" s="58" t="s">
        <v>2</v>
      </c>
      <c r="B7" s="50">
        <v>19</v>
      </c>
      <c r="C7" s="27">
        <f>IF(B$2=0,0,B7/B$2)</f>
        <v>0.35185185185185186</v>
      </c>
      <c r="E7" s="68" t="s">
        <v>74</v>
      </c>
      <c r="F7" s="64" t="s">
        <v>12</v>
      </c>
      <c r="G7" s="50">
        <v>16</v>
      </c>
      <c r="H7" s="27">
        <f>IF(B$25=0,0,G7/B$25)</f>
        <v>0.32</v>
      </c>
      <c r="J7" s="26">
        <v>5</v>
      </c>
      <c r="K7" s="28">
        <v>-44.7</v>
      </c>
      <c r="M7" s="31" t="s">
        <v>186</v>
      </c>
      <c r="N7" s="46">
        <f t="shared" si="0"/>
        <v>-316.66666666666669</v>
      </c>
      <c r="O7" s="43">
        <v>-7600</v>
      </c>
      <c r="P7" s="38">
        <v>24</v>
      </c>
    </row>
    <row r="8" spans="1:16" x14ac:dyDescent="0.4">
      <c r="A8" s="58" t="s">
        <v>3</v>
      </c>
      <c r="B8" s="50">
        <v>22</v>
      </c>
      <c r="C8" s="27">
        <f t="shared" ref="C8:C9" si="1">IF(B$2=0,0,B8/B$2)</f>
        <v>0.40740740740740738</v>
      </c>
      <c r="E8" s="68" t="s">
        <v>75</v>
      </c>
      <c r="F8" s="64" t="s">
        <v>28</v>
      </c>
      <c r="G8" s="50">
        <v>5</v>
      </c>
      <c r="H8" s="27">
        <f>IF(B$25=0,0,G8/B$25)</f>
        <v>0.1</v>
      </c>
      <c r="J8" s="26">
        <v>6</v>
      </c>
      <c r="K8" s="28">
        <v>-49.6</v>
      </c>
    </row>
    <row r="9" spans="1:16" x14ac:dyDescent="0.4">
      <c r="A9" s="59" t="s">
        <v>4</v>
      </c>
      <c r="B9" s="51">
        <v>13</v>
      </c>
      <c r="C9" s="29">
        <f t="shared" si="1"/>
        <v>0.24074074074074073</v>
      </c>
      <c r="E9" s="68" t="s">
        <v>76</v>
      </c>
      <c r="F9" s="64" t="s">
        <v>29</v>
      </c>
      <c r="G9" s="50">
        <v>4</v>
      </c>
      <c r="H9" s="27">
        <f>IF(B$25=0,0,G9/B$25)</f>
        <v>0.08</v>
      </c>
      <c r="J9" s="26">
        <v>7</v>
      </c>
      <c r="K9" s="28">
        <v>-46.6</v>
      </c>
    </row>
    <row r="10" spans="1:16" x14ac:dyDescent="0.4">
      <c r="A10" s="59" t="s">
        <v>21</v>
      </c>
      <c r="B10" s="51">
        <v>7</v>
      </c>
      <c r="C10" s="29">
        <f>IF(B$2=0,0,B10/B$2)</f>
        <v>0.12962962962962962</v>
      </c>
      <c r="E10" s="68" t="s">
        <v>70</v>
      </c>
      <c r="F10" s="64" t="s">
        <v>24</v>
      </c>
      <c r="G10" s="50">
        <v>3</v>
      </c>
      <c r="H10" s="27">
        <f>IF(B$25=0,0,G10/B$25)</f>
        <v>0.06</v>
      </c>
      <c r="J10" s="26">
        <v>8</v>
      </c>
      <c r="K10" s="28">
        <v>-58.1</v>
      </c>
    </row>
    <row r="11" spans="1:16" x14ac:dyDescent="0.4">
      <c r="A11" s="60" t="s">
        <v>191</v>
      </c>
      <c r="B11" s="52">
        <v>10</v>
      </c>
      <c r="C11" s="32">
        <f>IF(B$2=0,0,B11/B$2)</f>
        <v>0.18518518518518517</v>
      </c>
      <c r="E11" s="68" t="s">
        <v>90</v>
      </c>
      <c r="F11" s="64" t="s">
        <v>43</v>
      </c>
      <c r="G11" s="50">
        <v>3</v>
      </c>
      <c r="H11" s="27">
        <f>IF(B$25=0,0,G11/B$25)</f>
        <v>0.06</v>
      </c>
      <c r="J11" s="26">
        <v>9</v>
      </c>
      <c r="K11" s="28">
        <v>-76.900000000000006</v>
      </c>
    </row>
    <row r="12" spans="1:16" x14ac:dyDescent="0.4">
      <c r="A12" s="61" t="s">
        <v>130</v>
      </c>
      <c r="B12" s="53">
        <v>33</v>
      </c>
      <c r="C12" s="35">
        <f>IF(B$24=0,0,B12/B$24)</f>
        <v>0.22448979591836735</v>
      </c>
      <c r="E12" s="68" t="s">
        <v>93</v>
      </c>
      <c r="F12" s="64" t="s">
        <v>46</v>
      </c>
      <c r="G12" s="50">
        <v>3</v>
      </c>
      <c r="H12" s="27">
        <f>IF(B$25=0,0,G12/B$25)</f>
        <v>0.06</v>
      </c>
      <c r="J12" s="26">
        <v>10</v>
      </c>
      <c r="K12" s="28">
        <v>-77.900000000000006</v>
      </c>
    </row>
    <row r="13" spans="1:16" x14ac:dyDescent="0.4">
      <c r="A13" s="58" t="s">
        <v>125</v>
      </c>
      <c r="B13" s="50">
        <v>48</v>
      </c>
      <c r="C13" s="27">
        <f>IF(B$24=0,0,B13/B$24)</f>
        <v>0.32653061224489793</v>
      </c>
      <c r="E13" s="68" t="s">
        <v>96</v>
      </c>
      <c r="F13" s="64" t="s">
        <v>49</v>
      </c>
      <c r="G13" s="50">
        <v>3</v>
      </c>
      <c r="H13" s="27">
        <f>IF(B$25=0,0,G13/B$25)</f>
        <v>0.06</v>
      </c>
      <c r="J13" s="26">
        <v>11</v>
      </c>
      <c r="K13" s="28">
        <v>-87.9</v>
      </c>
    </row>
    <row r="14" spans="1:16" x14ac:dyDescent="0.4">
      <c r="A14" s="57" t="s">
        <v>132</v>
      </c>
      <c r="B14" s="49">
        <v>22</v>
      </c>
      <c r="C14" s="24">
        <f>IF(B$12=0,0,B14/B$12)</f>
        <v>0.66666666666666663</v>
      </c>
      <c r="E14" s="68" t="s">
        <v>88</v>
      </c>
      <c r="F14" s="64" t="s">
        <v>41</v>
      </c>
      <c r="G14" s="50">
        <v>2</v>
      </c>
      <c r="H14" s="27">
        <f>IF(B$25=0,0,G14/B$25)</f>
        <v>0.04</v>
      </c>
      <c r="J14" s="26">
        <v>12</v>
      </c>
      <c r="K14" s="28">
        <v>-23.5</v>
      </c>
    </row>
    <row r="15" spans="1:16" x14ac:dyDescent="0.4">
      <c r="A15" s="57" t="s">
        <v>133</v>
      </c>
      <c r="B15" s="49">
        <v>17</v>
      </c>
      <c r="C15" s="24">
        <f>IF(B$13=0,0,B15/B$13)</f>
        <v>0.35416666666666669</v>
      </c>
      <c r="E15" s="68" t="s">
        <v>77</v>
      </c>
      <c r="F15" s="64" t="s">
        <v>30</v>
      </c>
      <c r="G15" s="50">
        <v>1</v>
      </c>
      <c r="H15" s="27">
        <f>IF(B$25=0,0,G15/B$25)</f>
        <v>0.02</v>
      </c>
      <c r="J15" s="26">
        <v>13</v>
      </c>
      <c r="K15" s="28">
        <v>-12.4</v>
      </c>
    </row>
    <row r="16" spans="1:16" x14ac:dyDescent="0.4">
      <c r="A16" s="57" t="s">
        <v>10</v>
      </c>
      <c r="B16" s="49">
        <f>B18+B17</f>
        <v>137</v>
      </c>
      <c r="C16" s="24">
        <f>IF(B$3=0,0,B16/B$3)</f>
        <v>0.35584415584415585</v>
      </c>
      <c r="E16" s="68" t="s">
        <v>84</v>
      </c>
      <c r="F16" s="64" t="s">
        <v>37</v>
      </c>
      <c r="G16" s="50">
        <v>1</v>
      </c>
      <c r="H16" s="27">
        <f>IF(B$25=0,0,G16/B$25)</f>
        <v>0.02</v>
      </c>
      <c r="J16" s="26">
        <v>14</v>
      </c>
      <c r="K16" s="28">
        <v>37.6</v>
      </c>
    </row>
    <row r="17" spans="1:11" x14ac:dyDescent="0.4">
      <c r="A17" s="58" t="s">
        <v>12</v>
      </c>
      <c r="B17" s="50">
        <v>63</v>
      </c>
      <c r="C17" s="27">
        <f>IF(B$16=0,0,B17/B$16)</f>
        <v>0.45985401459854014</v>
      </c>
      <c r="E17" s="68" t="s">
        <v>100</v>
      </c>
      <c r="F17" s="64" t="s">
        <v>53</v>
      </c>
      <c r="G17" s="50">
        <v>1</v>
      </c>
      <c r="H17" s="27">
        <f>IF(B$25=0,0,G17/B$25)</f>
        <v>0.02</v>
      </c>
      <c r="J17" s="26">
        <v>15</v>
      </c>
      <c r="K17" s="28">
        <v>53.8</v>
      </c>
    </row>
    <row r="18" spans="1:11" x14ac:dyDescent="0.4">
      <c r="A18" s="58" t="s">
        <v>11</v>
      </c>
      <c r="B18" s="50">
        <v>74</v>
      </c>
      <c r="C18" s="27">
        <f>IF(B$16=0,0,B18/B$16)</f>
        <v>0.54014598540145986</v>
      </c>
      <c r="E18" s="68" t="s">
        <v>79</v>
      </c>
      <c r="F18" s="64" t="s">
        <v>32</v>
      </c>
      <c r="G18" s="50">
        <v>0</v>
      </c>
      <c r="H18" s="27">
        <f>IF(B$25=0,0,G18/B$25)</f>
        <v>0</v>
      </c>
      <c r="J18" s="26">
        <v>16</v>
      </c>
      <c r="K18" s="28">
        <v>39.299999999999997</v>
      </c>
    </row>
    <row r="19" spans="1:11" x14ac:dyDescent="0.4">
      <c r="A19" s="58" t="s">
        <v>13</v>
      </c>
      <c r="B19" s="50">
        <v>61</v>
      </c>
      <c r="C19" s="27">
        <f>IF(B$3=0,0,B19/B$3)</f>
        <v>0.15844155844155844</v>
      </c>
      <c r="E19" s="68" t="s">
        <v>80</v>
      </c>
      <c r="F19" s="64" t="s">
        <v>33</v>
      </c>
      <c r="G19" s="50">
        <v>0</v>
      </c>
      <c r="H19" s="27">
        <f>IF(B$25=0,0,G19/B$25)</f>
        <v>0</v>
      </c>
      <c r="J19" s="26">
        <v>17</v>
      </c>
      <c r="K19" s="28">
        <v>14.799999999999997</v>
      </c>
    </row>
    <row r="20" spans="1:11" x14ac:dyDescent="0.4">
      <c r="A20" s="58" t="s">
        <v>5</v>
      </c>
      <c r="B20" s="54">
        <f>IF(B$16=0,0,C20/B$16)</f>
        <v>9855.4744525547449</v>
      </c>
      <c r="C20" s="30">
        <v>1350200</v>
      </c>
      <c r="E20" s="68" t="s">
        <v>81</v>
      </c>
      <c r="F20" s="64" t="s">
        <v>34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60" t="s">
        <v>14</v>
      </c>
      <c r="B21" s="55">
        <f>IF(B$19=0,0,C21/B$19)</f>
        <v>-9145.9016393442616</v>
      </c>
      <c r="C21" s="48">
        <v>-557900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57" t="s">
        <v>178</v>
      </c>
      <c r="B22" s="49">
        <v>142</v>
      </c>
      <c r="C22" s="24">
        <f>IF(B$3=0,0,B22/B$3)</f>
        <v>0.36883116883116884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6.4999999999999964</v>
      </c>
    </row>
    <row r="23" spans="1:11" x14ac:dyDescent="0.4">
      <c r="A23" s="60" t="s">
        <v>179</v>
      </c>
      <c r="B23" s="52">
        <v>53</v>
      </c>
      <c r="C23" s="32">
        <f>IF(B$22=0,0,B23/B$22)</f>
        <v>0.37323943661971831</v>
      </c>
      <c r="E23" s="68" t="s">
        <v>85</v>
      </c>
      <c r="F23" s="64" t="s">
        <v>38</v>
      </c>
      <c r="G23" s="50">
        <v>0</v>
      </c>
      <c r="H23" s="27">
        <f>IF(B$25=0,0,G23/B$25)</f>
        <v>0</v>
      </c>
      <c r="J23" s="26">
        <v>21</v>
      </c>
      <c r="K23" s="28">
        <v>67.8</v>
      </c>
    </row>
    <row r="24" spans="1:11" x14ac:dyDescent="0.4">
      <c r="A24" s="57" t="s">
        <v>128</v>
      </c>
      <c r="B24" s="87">
        <v>147</v>
      </c>
      <c r="C24" s="88"/>
      <c r="E24" s="68" t="s">
        <v>86</v>
      </c>
      <c r="F24" s="64" t="s">
        <v>39</v>
      </c>
      <c r="G24" s="50">
        <v>0</v>
      </c>
      <c r="H24" s="27">
        <f>IF(B$25=0,0,G24/B$25)</f>
        <v>0</v>
      </c>
      <c r="J24" s="26">
        <v>22</v>
      </c>
      <c r="K24" s="28">
        <v>76.399999999999991</v>
      </c>
    </row>
    <row r="25" spans="1:11" x14ac:dyDescent="0.4">
      <c r="A25" s="60" t="s">
        <v>129</v>
      </c>
      <c r="B25" s="89">
        <v>50</v>
      </c>
      <c r="C25" s="90"/>
      <c r="E25" s="68" t="s">
        <v>87</v>
      </c>
      <c r="F25" s="64" t="s">
        <v>40</v>
      </c>
      <c r="G25" s="50">
        <v>0</v>
      </c>
      <c r="H25" s="27">
        <f>IF(B$25=0,0,G25/B$25)</f>
        <v>0</v>
      </c>
      <c r="J25" s="26">
        <v>23</v>
      </c>
      <c r="K25" s="28">
        <v>90.199999999999989</v>
      </c>
    </row>
    <row r="26" spans="1:11" x14ac:dyDescent="0.4">
      <c r="A26" s="75" t="s">
        <v>196</v>
      </c>
      <c r="B26" s="83">
        <v>7</v>
      </c>
      <c r="C26" s="84"/>
      <c r="E26" s="68" t="s">
        <v>89</v>
      </c>
      <c r="F26" s="64" t="s">
        <v>42</v>
      </c>
      <c r="G26" s="50">
        <v>0</v>
      </c>
      <c r="H26" s="27">
        <f>IF(B$25=0,0,G26/B$25)</f>
        <v>0</v>
      </c>
      <c r="J26" s="26">
        <v>24</v>
      </c>
      <c r="K26" s="28">
        <v>47.29999999999999</v>
      </c>
    </row>
    <row r="27" spans="1:11" x14ac:dyDescent="0.4">
      <c r="A27" s="60" t="s">
        <v>198</v>
      </c>
      <c r="B27" s="76">
        <v>1</v>
      </c>
      <c r="C27" s="32">
        <f>IF(B$3=0,0,B27/B$3)</f>
        <v>2.5974025974025974E-3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  <c r="J27" s="26">
        <v>25</v>
      </c>
      <c r="K27" s="28">
        <v>55.79999999999999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137.79999999999998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157.79999999999998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168.7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198</v>
      </c>
    </row>
    <row r="32" spans="1:11" x14ac:dyDescent="0.4">
      <c r="E32" s="68" t="s">
        <v>98</v>
      </c>
      <c r="F32" s="64" t="s">
        <v>51</v>
      </c>
      <c r="G32" s="50">
        <v>0</v>
      </c>
      <c r="H32" s="27">
        <f>IF(B$25=0,0,G32/B$25)</f>
        <v>0</v>
      </c>
      <c r="J32" s="26">
        <v>30</v>
      </c>
      <c r="K32" s="28">
        <v>191.5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180.9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198.4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238.4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227.9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182.9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229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243.8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226.60000000000002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227.00000000000003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230.10000000000002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228.10000000000002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248.3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280.10000000000002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272.3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242.10000000000002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207.60000000000002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187.90000000000003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208.70000000000005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205.90000000000003</v>
      </c>
    </row>
    <row r="52" spans="5:11" x14ac:dyDescent="0.4">
      <c r="J52" s="26">
        <v>50</v>
      </c>
      <c r="K52" s="28">
        <v>205.90000000000003</v>
      </c>
    </row>
    <row r="53" spans="5:11" x14ac:dyDescent="0.4">
      <c r="J53" s="26">
        <v>51</v>
      </c>
      <c r="K53" s="28">
        <v>283.60000000000002</v>
      </c>
    </row>
    <row r="54" spans="5:11" x14ac:dyDescent="0.4">
      <c r="J54" s="26">
        <v>52</v>
      </c>
      <c r="K54" s="28">
        <v>309.10000000000002</v>
      </c>
    </row>
    <row r="55" spans="5:11" x14ac:dyDescent="0.4">
      <c r="J55" s="26">
        <v>53</v>
      </c>
      <c r="K55" s="28">
        <v>259.60000000000002</v>
      </c>
    </row>
    <row r="56" spans="5:11" x14ac:dyDescent="0.4">
      <c r="J56" s="26">
        <v>54</v>
      </c>
      <c r="K56" s="28">
        <v>244.50000000000003</v>
      </c>
    </row>
  </sheetData>
  <sortState ref="E2:H56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2177C-C05C-446A-8A47-2BF3600D2EAE}">
  <sheetPr codeName="Sheet10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145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5</v>
      </c>
      <c r="C2" s="88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181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">
      <c r="A3" s="58" t="s">
        <v>8</v>
      </c>
      <c r="B3" s="93">
        <v>37</v>
      </c>
      <c r="C3" s="94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182</v>
      </c>
      <c r="N3" s="45">
        <f t="shared" si="0"/>
        <v>1500</v>
      </c>
      <c r="O3" s="42">
        <v>7500</v>
      </c>
      <c r="P3" s="37">
        <v>5</v>
      </c>
    </row>
    <row r="4" spans="1:16" x14ac:dyDescent="0.4">
      <c r="A4" s="58" t="s">
        <v>6</v>
      </c>
      <c r="B4" s="95">
        <v>-85.4</v>
      </c>
      <c r="C4" s="96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-80.7</v>
      </c>
      <c r="M4" s="26" t="s">
        <v>183</v>
      </c>
      <c r="N4" s="45">
        <f t="shared" si="0"/>
        <v>-11250</v>
      </c>
      <c r="O4" s="42">
        <v>-45000</v>
      </c>
      <c r="P4" s="37">
        <v>4</v>
      </c>
    </row>
    <row r="5" spans="1:16" x14ac:dyDescent="0.4">
      <c r="A5" s="58" t="s">
        <v>7</v>
      </c>
      <c r="B5" s="95">
        <f>IF(B$2=0,0,B$4/B$2)</f>
        <v>-17.080000000000002</v>
      </c>
      <c r="C5" s="96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-87.9</v>
      </c>
      <c r="M5" s="26" t="s">
        <v>184</v>
      </c>
      <c r="N5" s="45">
        <f t="shared" si="0"/>
        <v>-12000</v>
      </c>
      <c r="O5" s="42">
        <v>-36000</v>
      </c>
      <c r="P5" s="37">
        <v>3</v>
      </c>
    </row>
    <row r="6" spans="1:16" x14ac:dyDescent="0.4">
      <c r="A6" s="58" t="s">
        <v>1</v>
      </c>
      <c r="B6" s="85">
        <f>IF(B$2=0,0,(B$7*1+B$8*2+B$9*3)/B$2)</f>
        <v>2.2000000000000002</v>
      </c>
      <c r="C6" s="86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-107.2</v>
      </c>
      <c r="M6" s="26" t="s">
        <v>185</v>
      </c>
      <c r="N6" s="45">
        <f t="shared" si="0"/>
        <v>5400</v>
      </c>
      <c r="O6" s="42">
        <v>10800</v>
      </c>
      <c r="P6" s="37">
        <v>2</v>
      </c>
    </row>
    <row r="7" spans="1:16" x14ac:dyDescent="0.4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-85.4</v>
      </c>
      <c r="M7" s="31" t="s">
        <v>186</v>
      </c>
      <c r="N7" s="46">
        <f t="shared" si="0"/>
        <v>-5000</v>
      </c>
      <c r="O7" s="43">
        <v>-10000</v>
      </c>
      <c r="P7" s="38">
        <v>2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191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3</v>
      </c>
      <c r="C17" s="27">
        <f>IF(B$16=0,0,B17/B$16)</f>
        <v>0.3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7</v>
      </c>
      <c r="C18" s="27">
        <f>IF(B$16=0,0,B18/B$16)</f>
        <v>0.7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7">
        <v>31</v>
      </c>
      <c r="C24" s="88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9">
        <v>9</v>
      </c>
      <c r="C25" s="90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">
      <c r="A26" s="75" t="s">
        <v>196</v>
      </c>
      <c r="B26" s="83">
        <v>3</v>
      </c>
      <c r="C26" s="84"/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">
      <c r="A27" s="60" t="s">
        <v>198</v>
      </c>
      <c r="B27" s="76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2A9C1-3FC5-4C15-91EA-DB8170074A30}">
  <sheetPr codeName="Sheet11"/>
  <dimension ref="A1:P54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148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52</v>
      </c>
      <c r="C2" s="88"/>
      <c r="E2" s="67" t="s">
        <v>73</v>
      </c>
      <c r="F2" s="63" t="s">
        <v>27</v>
      </c>
      <c r="G2" s="49">
        <v>45</v>
      </c>
      <c r="H2" s="24">
        <f>IF(B$25=0,0,G2/B$25)</f>
        <v>0.9</v>
      </c>
      <c r="J2" s="23">
        <v>0</v>
      </c>
      <c r="K2" s="25">
        <v>0</v>
      </c>
      <c r="M2" s="23" t="s">
        <v>181</v>
      </c>
      <c r="N2" s="44">
        <f t="shared" ref="N2:N7" si="0">IF(P2=0,0,O2/P2)</f>
        <v>-2221.1538461538462</v>
      </c>
      <c r="O2" s="41">
        <v>-115500</v>
      </c>
      <c r="P2" s="39">
        <v>52</v>
      </c>
    </row>
    <row r="3" spans="1:16" x14ac:dyDescent="0.4">
      <c r="A3" s="58" t="s">
        <v>8</v>
      </c>
      <c r="B3" s="93">
        <v>405</v>
      </c>
      <c r="C3" s="94"/>
      <c r="E3" s="68" t="s">
        <v>71</v>
      </c>
      <c r="F3" s="64" t="s">
        <v>25</v>
      </c>
      <c r="G3" s="50">
        <v>35</v>
      </c>
      <c r="H3" s="27">
        <f>IF(B$25=0,0,G3/B$25)</f>
        <v>0.7</v>
      </c>
      <c r="J3" s="26">
        <v>1</v>
      </c>
      <c r="K3" s="28">
        <v>67.2</v>
      </c>
      <c r="M3" s="26" t="s">
        <v>182</v>
      </c>
      <c r="N3" s="45">
        <f t="shared" si="0"/>
        <v>-3755.1020408163267</v>
      </c>
      <c r="O3" s="42">
        <v>-184000</v>
      </c>
      <c r="P3" s="37">
        <v>49</v>
      </c>
    </row>
    <row r="4" spans="1:16" x14ac:dyDescent="0.4">
      <c r="A4" s="58" t="s">
        <v>6</v>
      </c>
      <c r="B4" s="95">
        <v>-378.59999999999997</v>
      </c>
      <c r="C4" s="96"/>
      <c r="E4" s="68" t="s">
        <v>78</v>
      </c>
      <c r="F4" s="64" t="s">
        <v>31</v>
      </c>
      <c r="G4" s="50">
        <v>34</v>
      </c>
      <c r="H4" s="27">
        <f>IF(B$25=0,0,G4/B$25)</f>
        <v>0.68</v>
      </c>
      <c r="J4" s="26">
        <v>2</v>
      </c>
      <c r="K4" s="28">
        <v>58.5</v>
      </c>
      <c r="M4" s="26" t="s">
        <v>183</v>
      </c>
      <c r="N4" s="45">
        <f t="shared" si="0"/>
        <v>-1088.0952380952381</v>
      </c>
      <c r="O4" s="42">
        <v>-45700</v>
      </c>
      <c r="P4" s="37">
        <v>42</v>
      </c>
    </row>
    <row r="5" spans="1:16" x14ac:dyDescent="0.4">
      <c r="A5" s="58" t="s">
        <v>7</v>
      </c>
      <c r="B5" s="95">
        <f>IF(B$2=0,0,B$4/B$2)</f>
        <v>-7.2807692307692298</v>
      </c>
      <c r="C5" s="96"/>
      <c r="E5" s="68" t="s">
        <v>69</v>
      </c>
      <c r="F5" s="64" t="s">
        <v>23</v>
      </c>
      <c r="G5" s="50">
        <v>22</v>
      </c>
      <c r="H5" s="27">
        <f>IF(B$25=0,0,G5/B$25)</f>
        <v>0.44</v>
      </c>
      <c r="J5" s="26">
        <v>3</v>
      </c>
      <c r="K5" s="28">
        <v>81.099999999999994</v>
      </c>
      <c r="M5" s="26" t="s">
        <v>184</v>
      </c>
      <c r="N5" s="45">
        <f t="shared" si="0"/>
        <v>1575</v>
      </c>
      <c r="O5" s="42">
        <v>63000</v>
      </c>
      <c r="P5" s="37">
        <v>40</v>
      </c>
    </row>
    <row r="6" spans="1:16" x14ac:dyDescent="0.4">
      <c r="A6" s="58" t="s">
        <v>1</v>
      </c>
      <c r="B6" s="85">
        <f>IF(B$2=0,0,(B$7*1+B$8*2+B$9*3)/B$2)</f>
        <v>2.2115384615384617</v>
      </c>
      <c r="C6" s="86"/>
      <c r="E6" s="68" t="s">
        <v>74</v>
      </c>
      <c r="F6" s="64" t="s">
        <v>12</v>
      </c>
      <c r="G6" s="50">
        <v>11</v>
      </c>
      <c r="H6" s="27">
        <f>IF(B$25=0,0,G6/B$25)</f>
        <v>0.22</v>
      </c>
      <c r="J6" s="26">
        <v>4</v>
      </c>
      <c r="K6" s="28">
        <v>56.699999999999996</v>
      </c>
      <c r="M6" s="26" t="s">
        <v>185</v>
      </c>
      <c r="N6" s="45">
        <f t="shared" si="0"/>
        <v>-2561.2903225806454</v>
      </c>
      <c r="O6" s="42">
        <v>-79400</v>
      </c>
      <c r="P6" s="37">
        <v>31</v>
      </c>
    </row>
    <row r="7" spans="1:16" x14ac:dyDescent="0.4">
      <c r="A7" s="58" t="s">
        <v>2</v>
      </c>
      <c r="B7" s="50">
        <v>11</v>
      </c>
      <c r="C7" s="27">
        <f>IF(B$2=0,0,B7/B$2)</f>
        <v>0.21153846153846154</v>
      </c>
      <c r="E7" s="68" t="s">
        <v>70</v>
      </c>
      <c r="F7" s="64" t="s">
        <v>24</v>
      </c>
      <c r="G7" s="50">
        <v>7</v>
      </c>
      <c r="H7" s="27">
        <f>IF(B$25=0,0,G7/B$25)</f>
        <v>0.14000000000000001</v>
      </c>
      <c r="J7" s="26">
        <v>5</v>
      </c>
      <c r="K7" s="28">
        <v>121.69999999999999</v>
      </c>
      <c r="M7" s="31" t="s">
        <v>186</v>
      </c>
      <c r="N7" s="46">
        <f t="shared" si="0"/>
        <v>-1120</v>
      </c>
      <c r="O7" s="43">
        <v>-28000</v>
      </c>
      <c r="P7" s="38">
        <v>25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0.36538461538461536</v>
      </c>
      <c r="E8" s="68" t="s">
        <v>72</v>
      </c>
      <c r="F8" s="64" t="s">
        <v>26</v>
      </c>
      <c r="G8" s="50">
        <v>5</v>
      </c>
      <c r="H8" s="27">
        <f>IF(B$25=0,0,G8/B$25)</f>
        <v>0.1</v>
      </c>
      <c r="J8" s="26">
        <v>6</v>
      </c>
      <c r="K8" s="28">
        <v>123.19999999999999</v>
      </c>
    </row>
    <row r="9" spans="1:16" x14ac:dyDescent="0.4">
      <c r="A9" s="59" t="s">
        <v>4</v>
      </c>
      <c r="B9" s="51">
        <v>22</v>
      </c>
      <c r="C9" s="29">
        <f t="shared" si="1"/>
        <v>0.42307692307692307</v>
      </c>
      <c r="E9" s="68" t="s">
        <v>75</v>
      </c>
      <c r="F9" s="64" t="s">
        <v>28</v>
      </c>
      <c r="G9" s="50">
        <v>4</v>
      </c>
      <c r="H9" s="27">
        <f>IF(B$25=0,0,G9/B$25)</f>
        <v>0.08</v>
      </c>
      <c r="J9" s="26">
        <v>7</v>
      </c>
      <c r="K9" s="28">
        <v>125.99999999999999</v>
      </c>
    </row>
    <row r="10" spans="1:16" x14ac:dyDescent="0.4">
      <c r="A10" s="59" t="s">
        <v>21</v>
      </c>
      <c r="B10" s="51">
        <v>11</v>
      </c>
      <c r="C10" s="29">
        <f>IF(B$2=0,0,B10/B$2)</f>
        <v>0.21153846153846154</v>
      </c>
      <c r="E10" s="68" t="s">
        <v>96</v>
      </c>
      <c r="F10" s="64" t="s">
        <v>49</v>
      </c>
      <c r="G10" s="50">
        <v>4</v>
      </c>
      <c r="H10" s="27">
        <f>IF(B$25=0,0,G10/B$25)</f>
        <v>0.08</v>
      </c>
      <c r="J10" s="26">
        <v>8</v>
      </c>
      <c r="K10" s="28">
        <v>94.499999999999986</v>
      </c>
    </row>
    <row r="11" spans="1:16" x14ac:dyDescent="0.4">
      <c r="A11" s="60" t="s">
        <v>191</v>
      </c>
      <c r="B11" s="52">
        <v>7</v>
      </c>
      <c r="C11" s="32">
        <f>IF(B$2=0,0,B11/B$2)</f>
        <v>0.13461538461538461</v>
      </c>
      <c r="E11" s="68" t="s">
        <v>76</v>
      </c>
      <c r="F11" s="64" t="s">
        <v>29</v>
      </c>
      <c r="G11" s="50">
        <v>3</v>
      </c>
      <c r="H11" s="27">
        <f>IF(B$25=0,0,G11/B$25)</f>
        <v>0.06</v>
      </c>
      <c r="J11" s="26">
        <v>9</v>
      </c>
      <c r="K11" s="28">
        <v>81.799999999999983</v>
      </c>
    </row>
    <row r="12" spans="1:16" x14ac:dyDescent="0.4">
      <c r="A12" s="61" t="s">
        <v>130</v>
      </c>
      <c r="B12" s="53">
        <v>52</v>
      </c>
      <c r="C12" s="35">
        <f>IF(B$24=0,0,B12/B$24)</f>
        <v>0.23853211009174313</v>
      </c>
      <c r="E12" s="68" t="s">
        <v>77</v>
      </c>
      <c r="F12" s="64" t="s">
        <v>30</v>
      </c>
      <c r="G12" s="50">
        <v>3</v>
      </c>
      <c r="H12" s="27">
        <f>IF(B$25=0,0,G12/B$25)</f>
        <v>0.06</v>
      </c>
      <c r="J12" s="26">
        <v>10</v>
      </c>
      <c r="K12" s="28">
        <v>108.49999999999999</v>
      </c>
    </row>
    <row r="13" spans="1:16" x14ac:dyDescent="0.4">
      <c r="A13" s="58" t="s">
        <v>125</v>
      </c>
      <c r="B13" s="50">
        <v>59</v>
      </c>
      <c r="C13" s="27">
        <f>IF(B$24=0,0,B13/B$24)</f>
        <v>0.27064220183486237</v>
      </c>
      <c r="E13" s="68" t="s">
        <v>84</v>
      </c>
      <c r="F13" s="64" t="s">
        <v>37</v>
      </c>
      <c r="G13" s="50">
        <v>2</v>
      </c>
      <c r="H13" s="27">
        <f>IF(B$25=0,0,G13/B$25)</f>
        <v>0.04</v>
      </c>
      <c r="J13" s="26">
        <v>11</v>
      </c>
      <c r="K13" s="28">
        <v>135.19999999999999</v>
      </c>
    </row>
    <row r="14" spans="1:16" x14ac:dyDescent="0.4">
      <c r="A14" s="57" t="s">
        <v>132</v>
      </c>
      <c r="B14" s="49">
        <v>21</v>
      </c>
      <c r="C14" s="24">
        <f>IF(B$12=0,0,B14/B$12)</f>
        <v>0.40384615384615385</v>
      </c>
      <c r="E14" s="68" t="s">
        <v>85</v>
      </c>
      <c r="F14" s="64" t="s">
        <v>38</v>
      </c>
      <c r="G14" s="50">
        <v>2</v>
      </c>
      <c r="H14" s="27">
        <f>IF(B$25=0,0,G14/B$25)</f>
        <v>0.04</v>
      </c>
      <c r="J14" s="26">
        <v>12</v>
      </c>
      <c r="K14" s="28">
        <v>97.299999999999983</v>
      </c>
    </row>
    <row r="15" spans="1:16" x14ac:dyDescent="0.4">
      <c r="A15" s="57" t="s">
        <v>133</v>
      </c>
      <c r="B15" s="49">
        <v>22</v>
      </c>
      <c r="C15" s="24">
        <f>IF(B$13=0,0,B15/B$13)</f>
        <v>0.3728813559322034</v>
      </c>
      <c r="E15" s="68" t="s">
        <v>93</v>
      </c>
      <c r="F15" s="64" t="s">
        <v>46</v>
      </c>
      <c r="G15" s="50">
        <v>2</v>
      </c>
      <c r="H15" s="27">
        <f>IF(B$25=0,0,G15/B$25)</f>
        <v>0.04</v>
      </c>
      <c r="J15" s="26">
        <v>13</v>
      </c>
      <c r="K15" s="28">
        <v>60.299999999999983</v>
      </c>
    </row>
    <row r="16" spans="1:16" x14ac:dyDescent="0.4">
      <c r="A16" s="57" t="s">
        <v>10</v>
      </c>
      <c r="B16" s="49">
        <f>B18+B17</f>
        <v>104</v>
      </c>
      <c r="C16" s="24">
        <f>IF(B$3=0,0,B16/B$3)</f>
        <v>0.25679012345679014</v>
      </c>
      <c r="E16" s="68" t="s">
        <v>81</v>
      </c>
      <c r="F16" s="64" t="s">
        <v>34</v>
      </c>
      <c r="G16" s="50">
        <v>1</v>
      </c>
      <c r="H16" s="27">
        <f>IF(B$25=0,0,G16/B$25)</f>
        <v>0.02</v>
      </c>
      <c r="J16" s="26">
        <v>14</v>
      </c>
      <c r="K16" s="28">
        <v>39.999999999999986</v>
      </c>
    </row>
    <row r="17" spans="1:11" x14ac:dyDescent="0.4">
      <c r="A17" s="58" t="s">
        <v>12</v>
      </c>
      <c r="B17" s="50">
        <v>46</v>
      </c>
      <c r="C17" s="27">
        <f>IF(B$16=0,0,B17/B$16)</f>
        <v>0.44230769230769229</v>
      </c>
      <c r="E17" s="68" t="s">
        <v>88</v>
      </c>
      <c r="F17" s="64" t="s">
        <v>41</v>
      </c>
      <c r="G17" s="50">
        <v>1</v>
      </c>
      <c r="H17" s="27">
        <f>IF(B$25=0,0,G17/B$25)</f>
        <v>0.02</v>
      </c>
      <c r="J17" s="26">
        <v>15</v>
      </c>
      <c r="K17" s="28">
        <v>31.499999999999986</v>
      </c>
    </row>
    <row r="18" spans="1:11" x14ac:dyDescent="0.4">
      <c r="A18" s="58" t="s">
        <v>11</v>
      </c>
      <c r="B18" s="50">
        <v>58</v>
      </c>
      <c r="C18" s="27">
        <f>IF(B$16=0,0,B18/B$16)</f>
        <v>0.55769230769230771</v>
      </c>
      <c r="E18" s="68" t="s">
        <v>90</v>
      </c>
      <c r="F18" s="64" t="s">
        <v>43</v>
      </c>
      <c r="G18" s="50">
        <v>1</v>
      </c>
      <c r="H18" s="27">
        <f>IF(B$25=0,0,G18/B$25)</f>
        <v>0.02</v>
      </c>
      <c r="J18" s="26">
        <v>16</v>
      </c>
      <c r="K18" s="28">
        <v>-6.0000000000000142</v>
      </c>
    </row>
    <row r="19" spans="1:11" x14ac:dyDescent="0.4">
      <c r="A19" s="58" t="s">
        <v>13</v>
      </c>
      <c r="B19" s="50">
        <v>81</v>
      </c>
      <c r="C19" s="27">
        <f>IF(B$3=0,0,B19/B$3)</f>
        <v>0.2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-16.600000000000016</v>
      </c>
    </row>
    <row r="20" spans="1:11" x14ac:dyDescent="0.4">
      <c r="A20" s="58" t="s">
        <v>5</v>
      </c>
      <c r="B20" s="54">
        <f>IF(B$16=0,0,C20/B$16)</f>
        <v>9467.3076923076915</v>
      </c>
      <c r="C20" s="30">
        <v>984600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-16.300000000000015</v>
      </c>
    </row>
    <row r="21" spans="1:11" x14ac:dyDescent="0.4">
      <c r="A21" s="60" t="s">
        <v>14</v>
      </c>
      <c r="B21" s="55">
        <f>IF(B$19=0,0,C21/B$19)</f>
        <v>-9117.2839506172841</v>
      </c>
      <c r="C21" s="48">
        <v>-738500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-1.6000000000000156</v>
      </c>
    </row>
    <row r="22" spans="1:11" x14ac:dyDescent="0.4">
      <c r="A22" s="57" t="s">
        <v>178</v>
      </c>
      <c r="B22" s="49">
        <v>114</v>
      </c>
      <c r="C22" s="24">
        <f>IF(B$3=0,0,B22/B$3)</f>
        <v>0.2814814814814815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45.399999999999984</v>
      </c>
    </row>
    <row r="23" spans="1:11" x14ac:dyDescent="0.4">
      <c r="A23" s="60" t="s">
        <v>179</v>
      </c>
      <c r="B23" s="52">
        <v>40</v>
      </c>
      <c r="C23" s="32">
        <f>IF(B$22=0,0,B23/B$22)</f>
        <v>0.35087719298245612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4.5999999999999872</v>
      </c>
    </row>
    <row r="24" spans="1:11" x14ac:dyDescent="0.4">
      <c r="A24" s="57" t="s">
        <v>128</v>
      </c>
      <c r="B24" s="87">
        <v>218</v>
      </c>
      <c r="C24" s="88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-0.90000000000001279</v>
      </c>
    </row>
    <row r="25" spans="1:11" x14ac:dyDescent="0.4">
      <c r="A25" s="60" t="s">
        <v>129</v>
      </c>
      <c r="B25" s="89">
        <v>50</v>
      </c>
      <c r="C25" s="90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22.999999999999986</v>
      </c>
    </row>
    <row r="26" spans="1:11" x14ac:dyDescent="0.4">
      <c r="A26" s="75" t="s">
        <v>196</v>
      </c>
      <c r="B26" s="83">
        <v>5</v>
      </c>
      <c r="C26" s="84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10.099999999999985</v>
      </c>
    </row>
    <row r="27" spans="1:11" x14ac:dyDescent="0.4">
      <c r="A27" s="60" t="s">
        <v>198</v>
      </c>
      <c r="B27" s="76">
        <v>2</v>
      </c>
      <c r="C27" s="32">
        <f>IF(B$3=0,0,B27/B$3)</f>
        <v>4.9382716049382715E-3</v>
      </c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1.7999999999999847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-8.2000000000000153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-30.100000000000016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-24.000000000000014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-23.400000000000013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15.79999999999999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-18.900000000000013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-33.900000000000013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-39.70000000000001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-90.600000000000009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-102.60000000000001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-70.200000000000017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-75.800000000000011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-101.80000000000001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-96.600000000000009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-104.30000000000001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-119.30000000000001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-168.9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-164.1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-208.6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-209.7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-245.89999999999998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-286.2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-289.39999999999998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-348.7</v>
      </c>
    </row>
    <row r="52" spans="5:11" x14ac:dyDescent="0.4">
      <c r="J52" s="26">
        <v>50</v>
      </c>
      <c r="K52" s="28">
        <v>-363.59999999999997</v>
      </c>
    </row>
    <row r="53" spans="5:11" x14ac:dyDescent="0.4">
      <c r="J53" s="26">
        <v>51</v>
      </c>
      <c r="K53" s="28">
        <v>-358.59999999999997</v>
      </c>
    </row>
    <row r="54" spans="5:11" x14ac:dyDescent="0.4">
      <c r="J54" s="26">
        <v>52</v>
      </c>
      <c r="K54" s="28">
        <v>-378.59999999999997</v>
      </c>
    </row>
  </sheetData>
  <sortState ref="E2:H54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F8A5F-117D-44F7-87B8-B7A9156BB0CC}">
  <sheetPr codeName="Sheet12"/>
  <dimension ref="A1:P7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149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69</v>
      </c>
      <c r="C2" s="88"/>
      <c r="E2" s="67" t="s">
        <v>73</v>
      </c>
      <c r="F2" s="63" t="s">
        <v>27</v>
      </c>
      <c r="G2" s="49">
        <v>116</v>
      </c>
      <c r="H2" s="24">
        <f>IF(B$25=0,0,G2/B$25)</f>
        <v>0.89230769230769236</v>
      </c>
      <c r="J2" s="23">
        <v>0</v>
      </c>
      <c r="K2" s="25">
        <v>0</v>
      </c>
      <c r="M2" s="23" t="s">
        <v>181</v>
      </c>
      <c r="N2" s="44">
        <f t="shared" ref="N2:N7" si="0">IF(P2=0,0,O2/P2)</f>
        <v>2820.8955223880598</v>
      </c>
      <c r="O2" s="41">
        <v>189000</v>
      </c>
      <c r="P2" s="39">
        <v>67</v>
      </c>
    </row>
    <row r="3" spans="1:16" x14ac:dyDescent="0.4">
      <c r="A3" s="58" t="s">
        <v>8</v>
      </c>
      <c r="B3" s="93">
        <v>522</v>
      </c>
      <c r="C3" s="94"/>
      <c r="E3" s="68" t="s">
        <v>71</v>
      </c>
      <c r="F3" s="64" t="s">
        <v>25</v>
      </c>
      <c r="G3" s="50">
        <v>101</v>
      </c>
      <c r="H3" s="27">
        <f>IF(B$25=0,0,G3/B$25)</f>
        <v>0.77692307692307694</v>
      </c>
      <c r="J3" s="26">
        <v>1</v>
      </c>
      <c r="K3" s="28">
        <v>-35.700000000000003</v>
      </c>
      <c r="M3" s="26" t="s">
        <v>182</v>
      </c>
      <c r="N3" s="45">
        <f t="shared" si="0"/>
        <v>214.28571428571428</v>
      </c>
      <c r="O3" s="42">
        <v>13500</v>
      </c>
      <c r="P3" s="37">
        <v>63</v>
      </c>
    </row>
    <row r="4" spans="1:16" x14ac:dyDescent="0.4">
      <c r="A4" s="58" t="s">
        <v>6</v>
      </c>
      <c r="B4" s="95">
        <v>154.49999999999997</v>
      </c>
      <c r="C4" s="96"/>
      <c r="E4" s="68" t="s">
        <v>69</v>
      </c>
      <c r="F4" s="64" t="s">
        <v>23</v>
      </c>
      <c r="G4" s="50">
        <v>77</v>
      </c>
      <c r="H4" s="27">
        <f>IF(B$25=0,0,G4/B$25)</f>
        <v>0.59230769230769231</v>
      </c>
      <c r="J4" s="26">
        <v>2</v>
      </c>
      <c r="K4" s="28">
        <v>-44.300000000000004</v>
      </c>
      <c r="M4" s="26" t="s">
        <v>183</v>
      </c>
      <c r="N4" s="45">
        <f t="shared" si="0"/>
        <v>477.58620689655174</v>
      </c>
      <c r="O4" s="42">
        <v>27700</v>
      </c>
      <c r="P4" s="37">
        <v>58</v>
      </c>
    </row>
    <row r="5" spans="1:16" x14ac:dyDescent="0.4">
      <c r="A5" s="58" t="s">
        <v>7</v>
      </c>
      <c r="B5" s="95">
        <f>IF(B$2=0,0,B$4/B$2)</f>
        <v>2.2391304347826084</v>
      </c>
      <c r="C5" s="96"/>
      <c r="E5" s="68" t="s">
        <v>78</v>
      </c>
      <c r="F5" s="64" t="s">
        <v>31</v>
      </c>
      <c r="G5" s="50">
        <v>73</v>
      </c>
      <c r="H5" s="27">
        <f>IF(B$25=0,0,G5/B$25)</f>
        <v>0.56153846153846154</v>
      </c>
      <c r="J5" s="26">
        <v>3</v>
      </c>
      <c r="K5" s="28">
        <v>-79.7</v>
      </c>
      <c r="M5" s="26" t="s">
        <v>184</v>
      </c>
      <c r="N5" s="45">
        <f t="shared" si="0"/>
        <v>-1627.2727272727273</v>
      </c>
      <c r="O5" s="42">
        <v>-89500</v>
      </c>
      <c r="P5" s="37">
        <v>55</v>
      </c>
    </row>
    <row r="6" spans="1:16" x14ac:dyDescent="0.4">
      <c r="A6" s="58" t="s">
        <v>1</v>
      </c>
      <c r="B6" s="85">
        <f>IF(B$2=0,0,(B$7*1+B$8*2+B$9*3)/B$2)</f>
        <v>1.9275362318840579</v>
      </c>
      <c r="C6" s="86"/>
      <c r="E6" s="68" t="s">
        <v>72</v>
      </c>
      <c r="F6" s="64" t="s">
        <v>26</v>
      </c>
      <c r="G6" s="50">
        <v>44</v>
      </c>
      <c r="H6" s="27">
        <f>IF(B$25=0,0,G6/B$25)</f>
        <v>0.33846153846153848</v>
      </c>
      <c r="J6" s="26">
        <v>4</v>
      </c>
      <c r="K6" s="28">
        <v>-111.30000000000001</v>
      </c>
      <c r="M6" s="26" t="s">
        <v>185</v>
      </c>
      <c r="N6" s="45">
        <f t="shared" si="0"/>
        <v>211.11111111111111</v>
      </c>
      <c r="O6" s="42">
        <v>9500</v>
      </c>
      <c r="P6" s="37">
        <v>45</v>
      </c>
    </row>
    <row r="7" spans="1:16" x14ac:dyDescent="0.4">
      <c r="A7" s="58" t="s">
        <v>2</v>
      </c>
      <c r="B7" s="50">
        <v>26</v>
      </c>
      <c r="C7" s="27">
        <f>IF(B$2=0,0,B7/B$2)</f>
        <v>0.37681159420289856</v>
      </c>
      <c r="E7" s="68" t="s">
        <v>74</v>
      </c>
      <c r="F7" s="64" t="s">
        <v>12</v>
      </c>
      <c r="G7" s="50">
        <v>41</v>
      </c>
      <c r="H7" s="27">
        <f>IF(B$25=0,0,G7/B$25)</f>
        <v>0.31538461538461537</v>
      </c>
      <c r="J7" s="26">
        <v>5</v>
      </c>
      <c r="K7" s="28">
        <v>-133.30000000000001</v>
      </c>
      <c r="M7" s="31" t="s">
        <v>186</v>
      </c>
      <c r="N7" s="46">
        <f t="shared" si="0"/>
        <v>-805.12820512820508</v>
      </c>
      <c r="O7" s="43">
        <v>-31400</v>
      </c>
      <c r="P7" s="38">
        <v>39</v>
      </c>
    </row>
    <row r="8" spans="1:16" x14ac:dyDescent="0.4">
      <c r="A8" s="58" t="s">
        <v>3</v>
      </c>
      <c r="B8" s="50">
        <v>22</v>
      </c>
      <c r="C8" s="27">
        <f t="shared" ref="C8:C9" si="1">IF(B$2=0,0,B8/B$2)</f>
        <v>0.3188405797101449</v>
      </c>
      <c r="E8" s="68" t="s">
        <v>75</v>
      </c>
      <c r="F8" s="64" t="s">
        <v>28</v>
      </c>
      <c r="G8" s="50">
        <v>23</v>
      </c>
      <c r="H8" s="27">
        <f>IF(B$25=0,0,G8/B$25)</f>
        <v>0.17692307692307693</v>
      </c>
      <c r="J8" s="26">
        <v>6</v>
      </c>
      <c r="K8" s="28">
        <v>-98.800000000000011</v>
      </c>
    </row>
    <row r="9" spans="1:16" x14ac:dyDescent="0.4">
      <c r="A9" s="59" t="s">
        <v>4</v>
      </c>
      <c r="B9" s="51">
        <v>21</v>
      </c>
      <c r="C9" s="29">
        <f t="shared" si="1"/>
        <v>0.30434782608695654</v>
      </c>
      <c r="E9" s="68" t="s">
        <v>70</v>
      </c>
      <c r="F9" s="64" t="s">
        <v>24</v>
      </c>
      <c r="G9" s="50">
        <v>20</v>
      </c>
      <c r="H9" s="27">
        <f>IF(B$25=0,0,G9/B$25)</f>
        <v>0.15384615384615385</v>
      </c>
      <c r="J9" s="26">
        <v>7</v>
      </c>
      <c r="K9" s="28">
        <v>-103.20000000000002</v>
      </c>
    </row>
    <row r="10" spans="1:16" x14ac:dyDescent="0.4">
      <c r="A10" s="59" t="s">
        <v>21</v>
      </c>
      <c r="B10" s="51">
        <v>10</v>
      </c>
      <c r="C10" s="29">
        <f>IF(B$2=0,0,B10/B$2)</f>
        <v>0.14492753623188406</v>
      </c>
      <c r="E10" s="68" t="s">
        <v>96</v>
      </c>
      <c r="F10" s="64" t="s">
        <v>49</v>
      </c>
      <c r="G10" s="50">
        <v>19</v>
      </c>
      <c r="H10" s="27">
        <f>IF(B$25=0,0,G10/B$25)</f>
        <v>0.14615384615384616</v>
      </c>
      <c r="J10" s="26">
        <v>8</v>
      </c>
      <c r="K10" s="28">
        <v>-50.300000000000018</v>
      </c>
    </row>
    <row r="11" spans="1:16" x14ac:dyDescent="0.4">
      <c r="A11" s="60" t="s">
        <v>191</v>
      </c>
      <c r="B11" s="52">
        <v>12</v>
      </c>
      <c r="C11" s="32">
        <f>IF(B$2=0,0,B11/B$2)</f>
        <v>0.17391304347826086</v>
      </c>
      <c r="E11" s="68" t="s">
        <v>76</v>
      </c>
      <c r="F11" s="64" t="s">
        <v>29</v>
      </c>
      <c r="G11" s="50">
        <v>8</v>
      </c>
      <c r="H11" s="27">
        <f>IF(B$25=0,0,G11/B$25)</f>
        <v>6.1538461538461542E-2</v>
      </c>
      <c r="J11" s="26">
        <v>9</v>
      </c>
      <c r="K11" s="28">
        <v>-51.500000000000021</v>
      </c>
    </row>
    <row r="12" spans="1:16" x14ac:dyDescent="0.4">
      <c r="A12" s="61" t="s">
        <v>130</v>
      </c>
      <c r="B12" s="53">
        <v>127</v>
      </c>
      <c r="C12" s="35">
        <f>IF(B$24=0,0,B12/B$24)</f>
        <v>0.32647814910025708</v>
      </c>
      <c r="E12" s="68" t="s">
        <v>77</v>
      </c>
      <c r="F12" s="64" t="s">
        <v>30</v>
      </c>
      <c r="G12" s="50">
        <v>8</v>
      </c>
      <c r="H12" s="27">
        <f>IF(B$25=0,0,G12/B$25)</f>
        <v>6.1538461538461542E-2</v>
      </c>
      <c r="J12" s="26">
        <v>10</v>
      </c>
      <c r="K12" s="28">
        <v>-69.800000000000026</v>
      </c>
    </row>
    <row r="13" spans="1:16" x14ac:dyDescent="0.4">
      <c r="A13" s="58" t="s">
        <v>125</v>
      </c>
      <c r="B13" s="50">
        <v>91</v>
      </c>
      <c r="C13" s="27">
        <f>IF(B$24=0,0,B13/B$24)</f>
        <v>0.23393316195372751</v>
      </c>
      <c r="E13" s="68" t="s">
        <v>84</v>
      </c>
      <c r="F13" s="64" t="s">
        <v>37</v>
      </c>
      <c r="G13" s="50">
        <v>7</v>
      </c>
      <c r="H13" s="27">
        <f>IF(B$25=0,0,G13/B$25)</f>
        <v>5.3846153846153849E-2</v>
      </c>
      <c r="J13" s="26">
        <v>11</v>
      </c>
      <c r="K13" s="28">
        <v>-88.100000000000023</v>
      </c>
    </row>
    <row r="14" spans="1:16" x14ac:dyDescent="0.4">
      <c r="A14" s="57" t="s">
        <v>132</v>
      </c>
      <c r="B14" s="49">
        <v>79</v>
      </c>
      <c r="C14" s="24">
        <f>IF(B$12=0,0,B14/B$12)</f>
        <v>0.62204724409448819</v>
      </c>
      <c r="E14" s="68" t="s">
        <v>93</v>
      </c>
      <c r="F14" s="64" t="s">
        <v>46</v>
      </c>
      <c r="G14" s="50">
        <v>7</v>
      </c>
      <c r="H14" s="27">
        <f>IF(B$25=0,0,G14/B$25)</f>
        <v>5.3846153846153849E-2</v>
      </c>
      <c r="J14" s="26">
        <v>12</v>
      </c>
      <c r="K14" s="28">
        <v>-85.100000000000023</v>
      </c>
    </row>
    <row r="15" spans="1:16" x14ac:dyDescent="0.4">
      <c r="A15" s="57" t="s">
        <v>133</v>
      </c>
      <c r="B15" s="49">
        <v>36</v>
      </c>
      <c r="C15" s="24">
        <f>IF(B$13=0,0,B15/B$13)</f>
        <v>0.39560439560439559</v>
      </c>
      <c r="E15" s="68" t="s">
        <v>83</v>
      </c>
      <c r="F15" s="64" t="s">
        <v>36</v>
      </c>
      <c r="G15" s="50">
        <v>2</v>
      </c>
      <c r="H15" s="27">
        <f>IF(B$25=0,0,G15/B$25)</f>
        <v>1.5384615384615385E-2</v>
      </c>
      <c r="J15" s="26">
        <v>13</v>
      </c>
      <c r="K15" s="28">
        <v>-70.600000000000023</v>
      </c>
    </row>
    <row r="16" spans="1:16" x14ac:dyDescent="0.4">
      <c r="A16" s="57" t="s">
        <v>10</v>
      </c>
      <c r="B16" s="49">
        <f>B18+B17</f>
        <v>168</v>
      </c>
      <c r="C16" s="24">
        <f>IF(B$3=0,0,B16/B$3)</f>
        <v>0.32183908045977011</v>
      </c>
      <c r="E16" s="68" t="s">
        <v>88</v>
      </c>
      <c r="F16" s="64" t="s">
        <v>41</v>
      </c>
      <c r="G16" s="50">
        <v>2</v>
      </c>
      <c r="H16" s="27">
        <f>IF(B$25=0,0,G16/B$25)</f>
        <v>1.5384615384615385E-2</v>
      </c>
      <c r="J16" s="26">
        <v>14</v>
      </c>
      <c r="K16" s="28">
        <v>-60.500000000000021</v>
      </c>
    </row>
    <row r="17" spans="1:11" x14ac:dyDescent="0.4">
      <c r="A17" s="58" t="s">
        <v>12</v>
      </c>
      <c r="B17" s="50">
        <v>72</v>
      </c>
      <c r="C17" s="27">
        <f>IF(B$16=0,0,B17/B$16)</f>
        <v>0.42857142857142855</v>
      </c>
      <c r="E17" s="68" t="s">
        <v>98</v>
      </c>
      <c r="F17" s="64" t="s">
        <v>51</v>
      </c>
      <c r="G17" s="50">
        <v>2</v>
      </c>
      <c r="H17" s="27">
        <f>IF(B$25=0,0,G17/B$25)</f>
        <v>1.5384615384615385E-2</v>
      </c>
      <c r="J17" s="26">
        <v>15</v>
      </c>
      <c r="K17" s="28">
        <v>-67.700000000000017</v>
      </c>
    </row>
    <row r="18" spans="1:11" x14ac:dyDescent="0.4">
      <c r="A18" s="58" t="s">
        <v>11</v>
      </c>
      <c r="B18" s="50">
        <v>96</v>
      </c>
      <c r="C18" s="27">
        <f>IF(B$16=0,0,B18/B$16)</f>
        <v>0.5714285714285714</v>
      </c>
      <c r="E18" s="68" t="s">
        <v>80</v>
      </c>
      <c r="F18" s="64" t="s">
        <v>33</v>
      </c>
      <c r="G18" s="50">
        <v>1</v>
      </c>
      <c r="H18" s="27">
        <f>IF(B$25=0,0,G18/B$25)</f>
        <v>7.6923076923076927E-3</v>
      </c>
      <c r="J18" s="26">
        <v>16</v>
      </c>
      <c r="K18" s="28">
        <v>5.5999999999999801</v>
      </c>
    </row>
    <row r="19" spans="1:11" x14ac:dyDescent="0.4">
      <c r="A19" s="58" t="s">
        <v>13</v>
      </c>
      <c r="B19" s="50">
        <v>83</v>
      </c>
      <c r="C19" s="27">
        <f>IF(B$3=0,0,B19/B$3)</f>
        <v>0.15900383141762453</v>
      </c>
      <c r="E19" s="68" t="s">
        <v>81</v>
      </c>
      <c r="F19" s="64" t="s">
        <v>34</v>
      </c>
      <c r="G19" s="50">
        <v>1</v>
      </c>
      <c r="H19" s="27">
        <f>IF(B$25=0,0,G19/B$25)</f>
        <v>7.6923076923076927E-3</v>
      </c>
      <c r="J19" s="26">
        <v>17</v>
      </c>
      <c r="K19" s="28">
        <v>39.59999999999998</v>
      </c>
    </row>
    <row r="20" spans="1:11" x14ac:dyDescent="0.4">
      <c r="A20" s="58" t="s">
        <v>5</v>
      </c>
      <c r="B20" s="54">
        <f>IF(B$16=0,0,C20/B$16)</f>
        <v>10189.285714285714</v>
      </c>
      <c r="C20" s="30">
        <v>1711800</v>
      </c>
      <c r="E20" s="68" t="s">
        <v>90</v>
      </c>
      <c r="F20" s="64" t="s">
        <v>43</v>
      </c>
      <c r="G20" s="50">
        <v>1</v>
      </c>
      <c r="H20" s="27">
        <f>IF(B$25=0,0,G20/B$25)</f>
        <v>7.6923076923076927E-3</v>
      </c>
      <c r="J20" s="26">
        <v>18</v>
      </c>
      <c r="K20" s="28">
        <v>39.299999999999983</v>
      </c>
    </row>
    <row r="21" spans="1:11" x14ac:dyDescent="0.4">
      <c r="A21" s="60" t="s">
        <v>14</v>
      </c>
      <c r="B21" s="55">
        <f>IF(B$19=0,0,C21/B$19)</f>
        <v>-9569.87951807229</v>
      </c>
      <c r="C21" s="48">
        <v>-794300</v>
      </c>
      <c r="E21" s="68" t="s">
        <v>91</v>
      </c>
      <c r="F21" s="64" t="s">
        <v>44</v>
      </c>
      <c r="G21" s="50">
        <v>1</v>
      </c>
      <c r="H21" s="27">
        <f>IF(B$25=0,0,G21/B$25)</f>
        <v>7.6923076923076927E-3</v>
      </c>
      <c r="J21" s="26">
        <v>19</v>
      </c>
      <c r="K21" s="28">
        <v>102.29999999999998</v>
      </c>
    </row>
    <row r="22" spans="1:11" x14ac:dyDescent="0.4">
      <c r="A22" s="57" t="s">
        <v>178</v>
      </c>
      <c r="B22" s="49">
        <v>185</v>
      </c>
      <c r="C22" s="24">
        <f>IF(B$3=0,0,B22/B$3)</f>
        <v>0.35440613026819923</v>
      </c>
      <c r="E22" s="68" t="s">
        <v>79</v>
      </c>
      <c r="F22" s="64" t="s">
        <v>32</v>
      </c>
      <c r="G22" s="50">
        <v>0</v>
      </c>
      <c r="H22" s="27">
        <f>IF(B$25=0,0,G22/B$25)</f>
        <v>0</v>
      </c>
      <c r="J22" s="26">
        <v>20</v>
      </c>
      <c r="K22" s="28">
        <v>105.39999999999998</v>
      </c>
    </row>
    <row r="23" spans="1:11" x14ac:dyDescent="0.4">
      <c r="A23" s="60" t="s">
        <v>179</v>
      </c>
      <c r="B23" s="52">
        <v>65</v>
      </c>
      <c r="C23" s="32">
        <f>IF(B$22=0,0,B23/B$22)</f>
        <v>0.35135135135135137</v>
      </c>
      <c r="E23" s="68" t="s">
        <v>82</v>
      </c>
      <c r="F23" s="64" t="s">
        <v>35</v>
      </c>
      <c r="G23" s="50">
        <v>0</v>
      </c>
      <c r="H23" s="27">
        <f>IF(B$25=0,0,G23/B$25)</f>
        <v>0</v>
      </c>
      <c r="J23" s="26">
        <v>21</v>
      </c>
      <c r="K23" s="28">
        <v>105.59999999999998</v>
      </c>
    </row>
    <row r="24" spans="1:11" x14ac:dyDescent="0.4">
      <c r="A24" s="57" t="s">
        <v>128</v>
      </c>
      <c r="B24" s="87">
        <v>389</v>
      </c>
      <c r="C24" s="88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108.39999999999998</v>
      </c>
    </row>
    <row r="25" spans="1:11" x14ac:dyDescent="0.4">
      <c r="A25" s="60" t="s">
        <v>129</v>
      </c>
      <c r="B25" s="89">
        <v>130</v>
      </c>
      <c r="C25" s="90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151.99999999999997</v>
      </c>
    </row>
    <row r="26" spans="1:11" x14ac:dyDescent="0.4">
      <c r="A26" s="75" t="s">
        <v>196</v>
      </c>
      <c r="B26" s="83">
        <v>9</v>
      </c>
      <c r="C26" s="84"/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150.59999999999997</v>
      </c>
    </row>
    <row r="27" spans="1:11" x14ac:dyDescent="0.4">
      <c r="A27" s="60" t="s">
        <v>198</v>
      </c>
      <c r="B27" s="76">
        <v>3</v>
      </c>
      <c r="C27" s="32">
        <f>IF(B$3=0,0,B27/B$3)</f>
        <v>5.7471264367816091E-3</v>
      </c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111.89999999999996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97.099999999999966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107.39999999999996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64.399999999999963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24.399999999999963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13.599999999999962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28.19999999999996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-14.200000000000038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-13.500000000000039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-2.3000000000000398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-38.600000000000037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9.3999999999999631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-3.4000000000000377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36.599999999999966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33.199999999999967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103.79999999999995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134.29999999999995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168.69999999999996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179.19999999999996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188.29999999999995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140.89999999999995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184.79999999999995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194.69999999999996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175.69999999999996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170.79999999999995</v>
      </c>
    </row>
    <row r="52" spans="5:11" x14ac:dyDescent="0.4">
      <c r="J52" s="26">
        <v>50</v>
      </c>
      <c r="K52" s="28">
        <v>187.59999999999997</v>
      </c>
    </row>
    <row r="53" spans="5:11" x14ac:dyDescent="0.4">
      <c r="J53" s="26">
        <v>51</v>
      </c>
      <c r="K53" s="28">
        <v>162.19999999999996</v>
      </c>
    </row>
    <row r="54" spans="5:11" x14ac:dyDescent="0.4">
      <c r="J54" s="26">
        <v>52</v>
      </c>
      <c r="K54" s="28">
        <v>171.69999999999996</v>
      </c>
    </row>
    <row r="55" spans="5:11" x14ac:dyDescent="0.4">
      <c r="J55" s="26">
        <v>53</v>
      </c>
      <c r="K55" s="28">
        <v>171.29999999999995</v>
      </c>
    </row>
    <row r="56" spans="5:11" x14ac:dyDescent="0.4">
      <c r="J56" s="26">
        <v>54</v>
      </c>
      <c r="K56" s="28">
        <v>188.39999999999995</v>
      </c>
    </row>
    <row r="57" spans="5:11" x14ac:dyDescent="0.4">
      <c r="J57" s="26">
        <v>55</v>
      </c>
      <c r="K57" s="28">
        <v>210.19999999999996</v>
      </c>
    </row>
    <row r="58" spans="5:11" x14ac:dyDescent="0.4">
      <c r="J58" s="26">
        <v>56</v>
      </c>
      <c r="K58" s="28">
        <v>198.39999999999995</v>
      </c>
    </row>
    <row r="59" spans="5:11" x14ac:dyDescent="0.4">
      <c r="J59" s="26">
        <v>57</v>
      </c>
      <c r="K59" s="28">
        <v>233.39999999999995</v>
      </c>
    </row>
    <row r="60" spans="5:11" x14ac:dyDescent="0.4">
      <c r="J60" s="26">
        <v>58</v>
      </c>
      <c r="K60" s="28">
        <v>185.29999999999995</v>
      </c>
    </row>
    <row r="61" spans="5:11" x14ac:dyDescent="0.4">
      <c r="J61" s="26">
        <v>59</v>
      </c>
      <c r="K61" s="28">
        <v>182.69999999999996</v>
      </c>
    </row>
    <row r="62" spans="5:11" x14ac:dyDescent="0.4">
      <c r="J62" s="26">
        <v>60</v>
      </c>
      <c r="K62" s="28">
        <v>194.19999999999996</v>
      </c>
    </row>
    <row r="63" spans="5:11" x14ac:dyDescent="0.4">
      <c r="J63" s="26">
        <v>61</v>
      </c>
      <c r="K63" s="28">
        <v>206.49999999999997</v>
      </c>
    </row>
    <row r="64" spans="5:11" x14ac:dyDescent="0.4">
      <c r="J64" s="26">
        <v>62</v>
      </c>
      <c r="K64" s="28">
        <v>207.39999999999998</v>
      </c>
    </row>
    <row r="65" spans="10:11" x14ac:dyDescent="0.4">
      <c r="J65" s="26">
        <v>63</v>
      </c>
      <c r="K65" s="28">
        <v>203.59999999999997</v>
      </c>
    </row>
    <row r="66" spans="10:11" x14ac:dyDescent="0.4">
      <c r="J66" s="26">
        <v>64</v>
      </c>
      <c r="K66" s="28">
        <v>191.69999999999996</v>
      </c>
    </row>
    <row r="67" spans="10:11" x14ac:dyDescent="0.4">
      <c r="J67" s="26">
        <v>65</v>
      </c>
      <c r="K67" s="28">
        <v>175.19999999999996</v>
      </c>
    </row>
    <row r="68" spans="10:11" x14ac:dyDescent="0.4">
      <c r="J68" s="26">
        <v>66</v>
      </c>
      <c r="K68" s="28">
        <v>181.49999999999997</v>
      </c>
    </row>
    <row r="69" spans="10:11" x14ac:dyDescent="0.4">
      <c r="J69" s="26">
        <v>67</v>
      </c>
      <c r="K69" s="28">
        <v>177.89999999999998</v>
      </c>
    </row>
    <row r="70" spans="10:11" x14ac:dyDescent="0.4">
      <c r="J70" s="26">
        <v>68</v>
      </c>
      <c r="K70" s="28">
        <v>191.99999999999997</v>
      </c>
    </row>
    <row r="71" spans="10:11" x14ac:dyDescent="0.4">
      <c r="J71" s="26">
        <v>69</v>
      </c>
      <c r="K71" s="28">
        <v>154.49999999999997</v>
      </c>
    </row>
  </sheetData>
  <sortState ref="E2:H7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2B371-4F31-4DC2-83CE-9722980D3855}">
  <sheetPr codeName="Sheet13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156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19</v>
      </c>
      <c r="C2" s="88"/>
      <c r="E2" s="67" t="s">
        <v>73</v>
      </c>
      <c r="F2" s="63" t="s">
        <v>27</v>
      </c>
      <c r="G2" s="49">
        <v>18</v>
      </c>
      <c r="H2" s="24">
        <f>IF(B$25=0,0,G2/B$25)</f>
        <v>0.9</v>
      </c>
      <c r="J2" s="23">
        <v>0</v>
      </c>
      <c r="K2" s="25">
        <v>0</v>
      </c>
      <c r="M2" s="23" t="s">
        <v>181</v>
      </c>
      <c r="N2" s="44">
        <f t="shared" ref="N2:N7" si="0">IF(P2=0,0,O2/P2)</f>
        <v>1878.9473684210527</v>
      </c>
      <c r="O2" s="41">
        <v>35700</v>
      </c>
      <c r="P2" s="39">
        <v>19</v>
      </c>
    </row>
    <row r="3" spans="1:16" x14ac:dyDescent="0.4">
      <c r="A3" s="58" t="s">
        <v>8</v>
      </c>
      <c r="B3" s="93">
        <v>149</v>
      </c>
      <c r="C3" s="94"/>
      <c r="E3" s="68" t="s">
        <v>69</v>
      </c>
      <c r="F3" s="64" t="s">
        <v>23</v>
      </c>
      <c r="G3" s="50">
        <v>15</v>
      </c>
      <c r="H3" s="27">
        <f>IF(B$25=0,0,G3/B$25)</f>
        <v>0.75</v>
      </c>
      <c r="J3" s="26">
        <v>1</v>
      </c>
      <c r="K3" s="28">
        <v>-14.4</v>
      </c>
      <c r="M3" s="26" t="s">
        <v>182</v>
      </c>
      <c r="N3" s="45">
        <f t="shared" si="0"/>
        <v>6941.1764705882351</v>
      </c>
      <c r="O3" s="42">
        <v>118000</v>
      </c>
      <c r="P3" s="37">
        <v>17</v>
      </c>
    </row>
    <row r="4" spans="1:16" x14ac:dyDescent="0.4">
      <c r="A4" s="58" t="s">
        <v>6</v>
      </c>
      <c r="B4" s="95">
        <v>140.60000000000002</v>
      </c>
      <c r="C4" s="96"/>
      <c r="E4" s="68" t="s">
        <v>72</v>
      </c>
      <c r="F4" s="64" t="s">
        <v>26</v>
      </c>
      <c r="G4" s="50">
        <v>14</v>
      </c>
      <c r="H4" s="27">
        <f>IF(B$25=0,0,G4/B$25)</f>
        <v>0.7</v>
      </c>
      <c r="J4" s="26">
        <v>2</v>
      </c>
      <c r="K4" s="28">
        <v>36.6</v>
      </c>
      <c r="M4" s="26" t="s">
        <v>183</v>
      </c>
      <c r="N4" s="45">
        <f t="shared" si="0"/>
        <v>-1892.8571428571429</v>
      </c>
      <c r="O4" s="42">
        <v>-26500</v>
      </c>
      <c r="P4" s="37">
        <v>14</v>
      </c>
    </row>
    <row r="5" spans="1:16" x14ac:dyDescent="0.4">
      <c r="A5" s="58" t="s">
        <v>7</v>
      </c>
      <c r="B5" s="95">
        <f>IF(B$2=0,0,B$4/B$2)</f>
        <v>7.4000000000000012</v>
      </c>
      <c r="C5" s="96"/>
      <c r="E5" s="68" t="s">
        <v>71</v>
      </c>
      <c r="F5" s="64" t="s">
        <v>25</v>
      </c>
      <c r="G5" s="50">
        <v>10</v>
      </c>
      <c r="H5" s="27">
        <f>IF(B$25=0,0,G5/B$25)</f>
        <v>0.5</v>
      </c>
      <c r="J5" s="26">
        <v>3</v>
      </c>
      <c r="K5" s="28">
        <v>-2.7999999999999972</v>
      </c>
      <c r="M5" s="26" t="s">
        <v>184</v>
      </c>
      <c r="N5" s="45">
        <f t="shared" si="0"/>
        <v>1964.2857142857142</v>
      </c>
      <c r="O5" s="42">
        <v>27500</v>
      </c>
      <c r="P5" s="37">
        <v>14</v>
      </c>
    </row>
    <row r="6" spans="1:16" x14ac:dyDescent="0.4">
      <c r="A6" s="58" t="s">
        <v>1</v>
      </c>
      <c r="B6" s="85">
        <f>IF(B$2=0,0,(B$7*1+B$8*2+B$9*3)/B$2)</f>
        <v>1.8421052631578947</v>
      </c>
      <c r="C6" s="86"/>
      <c r="E6" s="68" t="s">
        <v>74</v>
      </c>
      <c r="F6" s="64" t="s">
        <v>12</v>
      </c>
      <c r="G6" s="50">
        <v>7</v>
      </c>
      <c r="H6" s="27">
        <f>IF(B$25=0,0,G6/B$25)</f>
        <v>0.35</v>
      </c>
      <c r="J6" s="26">
        <v>4</v>
      </c>
      <c r="K6" s="28">
        <v>-43.3</v>
      </c>
      <c r="M6" s="26" t="s">
        <v>185</v>
      </c>
      <c r="N6" s="45">
        <f t="shared" si="0"/>
        <v>-483.33333333333331</v>
      </c>
      <c r="O6" s="42">
        <v>-5800</v>
      </c>
      <c r="P6" s="37">
        <v>12</v>
      </c>
    </row>
    <row r="7" spans="1:16" x14ac:dyDescent="0.4">
      <c r="A7" s="58" t="s">
        <v>2</v>
      </c>
      <c r="B7" s="50">
        <v>8</v>
      </c>
      <c r="C7" s="27">
        <f>IF(B$2=0,0,B7/B$2)</f>
        <v>0.42105263157894735</v>
      </c>
      <c r="E7" s="68" t="s">
        <v>78</v>
      </c>
      <c r="F7" s="64" t="s">
        <v>31</v>
      </c>
      <c r="G7" s="50">
        <v>7</v>
      </c>
      <c r="H7" s="27">
        <f>IF(B$25=0,0,G7/B$25)</f>
        <v>0.35</v>
      </c>
      <c r="J7" s="26">
        <v>5</v>
      </c>
      <c r="K7" s="28">
        <v>8.2000000000000028</v>
      </c>
      <c r="M7" s="31" t="s">
        <v>186</v>
      </c>
      <c r="N7" s="46">
        <f t="shared" si="0"/>
        <v>-530</v>
      </c>
      <c r="O7" s="43">
        <v>-5300</v>
      </c>
      <c r="P7" s="38">
        <v>10</v>
      </c>
    </row>
    <row r="8" spans="1:16" x14ac:dyDescent="0.4">
      <c r="A8" s="58" t="s">
        <v>3</v>
      </c>
      <c r="B8" s="50">
        <v>6</v>
      </c>
      <c r="C8" s="27">
        <f t="shared" ref="C8:C9" si="1">IF(B$2=0,0,B8/B$2)</f>
        <v>0.31578947368421051</v>
      </c>
      <c r="E8" s="68" t="s">
        <v>70</v>
      </c>
      <c r="F8" s="64" t="s">
        <v>24</v>
      </c>
      <c r="G8" s="50">
        <v>4</v>
      </c>
      <c r="H8" s="27">
        <f>IF(B$25=0,0,G8/B$25)</f>
        <v>0.2</v>
      </c>
      <c r="J8" s="26">
        <v>6</v>
      </c>
      <c r="K8" s="28">
        <v>22.200000000000003</v>
      </c>
    </row>
    <row r="9" spans="1:16" x14ac:dyDescent="0.4">
      <c r="A9" s="59" t="s">
        <v>4</v>
      </c>
      <c r="B9" s="51">
        <v>5</v>
      </c>
      <c r="C9" s="29">
        <f t="shared" si="1"/>
        <v>0.26315789473684209</v>
      </c>
      <c r="E9" s="68" t="s">
        <v>75</v>
      </c>
      <c r="F9" s="64" t="s">
        <v>28</v>
      </c>
      <c r="G9" s="50">
        <v>3</v>
      </c>
      <c r="H9" s="27">
        <f>IF(B$25=0,0,G9/B$25)</f>
        <v>0.15</v>
      </c>
      <c r="J9" s="26">
        <v>7</v>
      </c>
      <c r="K9" s="28">
        <v>38</v>
      </c>
    </row>
    <row r="10" spans="1:16" x14ac:dyDescent="0.4">
      <c r="A10" s="59" t="s">
        <v>21</v>
      </c>
      <c r="B10" s="51">
        <v>3</v>
      </c>
      <c r="C10" s="29">
        <f>IF(B$2=0,0,B10/B$2)</f>
        <v>0.15789473684210525</v>
      </c>
      <c r="E10" s="68" t="s">
        <v>76</v>
      </c>
      <c r="F10" s="64" t="s">
        <v>29</v>
      </c>
      <c r="G10" s="50">
        <v>1</v>
      </c>
      <c r="H10" s="27">
        <f>IF(B$25=0,0,G10/B$25)</f>
        <v>0.05</v>
      </c>
      <c r="J10" s="26">
        <v>8</v>
      </c>
      <c r="K10" s="28">
        <v>3.2000000000000028</v>
      </c>
    </row>
    <row r="11" spans="1:16" x14ac:dyDescent="0.4">
      <c r="A11" s="60" t="s">
        <v>191</v>
      </c>
      <c r="B11" s="52">
        <v>4</v>
      </c>
      <c r="C11" s="32">
        <f>IF(B$2=0,0,B11/B$2)</f>
        <v>0.21052631578947367</v>
      </c>
      <c r="E11" s="68" t="s">
        <v>77</v>
      </c>
      <c r="F11" s="64" t="s">
        <v>30</v>
      </c>
      <c r="G11" s="50">
        <v>1</v>
      </c>
      <c r="H11" s="27">
        <f>IF(B$25=0,0,G11/B$25)</f>
        <v>0.05</v>
      </c>
      <c r="J11" s="26">
        <v>9</v>
      </c>
      <c r="K11" s="28">
        <v>5.8000000000000025</v>
      </c>
    </row>
    <row r="12" spans="1:16" x14ac:dyDescent="0.4">
      <c r="A12" s="61" t="s">
        <v>130</v>
      </c>
      <c r="B12" s="53">
        <v>26</v>
      </c>
      <c r="C12" s="35">
        <f>IF(B$24=0,0,B12/B$24)</f>
        <v>0.38805970149253732</v>
      </c>
      <c r="E12" s="68" t="s">
        <v>84</v>
      </c>
      <c r="F12" s="64" t="s">
        <v>37</v>
      </c>
      <c r="G12" s="50">
        <v>1</v>
      </c>
      <c r="H12" s="27">
        <f>IF(B$25=0,0,G12/B$25)</f>
        <v>0.05</v>
      </c>
      <c r="J12" s="26">
        <v>10</v>
      </c>
      <c r="K12" s="28">
        <v>54.800000000000004</v>
      </c>
    </row>
    <row r="13" spans="1:16" x14ac:dyDescent="0.4">
      <c r="A13" s="58" t="s">
        <v>125</v>
      </c>
      <c r="B13" s="50">
        <v>15</v>
      </c>
      <c r="C13" s="27">
        <f>IF(B$24=0,0,B13/B$24)</f>
        <v>0.22388059701492538</v>
      </c>
      <c r="E13" s="68" t="s">
        <v>93</v>
      </c>
      <c r="F13" s="64" t="s">
        <v>46</v>
      </c>
      <c r="G13" s="50">
        <v>1</v>
      </c>
      <c r="H13" s="27">
        <f>IF(B$25=0,0,G13/B$25)</f>
        <v>0.05</v>
      </c>
      <c r="J13" s="26">
        <v>11</v>
      </c>
      <c r="K13" s="28">
        <v>66.300000000000011</v>
      </c>
    </row>
    <row r="14" spans="1:16" x14ac:dyDescent="0.4">
      <c r="A14" s="57" t="s">
        <v>132</v>
      </c>
      <c r="B14" s="49">
        <v>14</v>
      </c>
      <c r="C14" s="24">
        <f>IF(B$12=0,0,B14/B$12)</f>
        <v>0.53846153846153844</v>
      </c>
      <c r="E14" s="68" t="s">
        <v>96</v>
      </c>
      <c r="F14" s="64" t="s">
        <v>49</v>
      </c>
      <c r="G14" s="50">
        <v>1</v>
      </c>
      <c r="H14" s="27">
        <f>IF(B$25=0,0,G14/B$25)</f>
        <v>0.05</v>
      </c>
      <c r="J14" s="26">
        <v>12</v>
      </c>
      <c r="K14" s="28">
        <v>77.800000000000011</v>
      </c>
    </row>
    <row r="15" spans="1:16" x14ac:dyDescent="0.4">
      <c r="A15" s="57" t="s">
        <v>133</v>
      </c>
      <c r="B15" s="49">
        <v>3</v>
      </c>
      <c r="C15" s="24">
        <f>IF(B$13=0,0,B15/B$13)</f>
        <v>0.2</v>
      </c>
      <c r="E15" s="68" t="s">
        <v>99</v>
      </c>
      <c r="F15" s="64" t="s">
        <v>52</v>
      </c>
      <c r="G15" s="50">
        <v>1</v>
      </c>
      <c r="H15" s="27">
        <f>IF(B$25=0,0,G15/B$25)</f>
        <v>0.05</v>
      </c>
      <c r="J15" s="26">
        <v>13</v>
      </c>
      <c r="K15" s="28">
        <v>151.10000000000002</v>
      </c>
    </row>
    <row r="16" spans="1:16" x14ac:dyDescent="0.4">
      <c r="A16" s="57" t="s">
        <v>10</v>
      </c>
      <c r="B16" s="49">
        <f>B18+B17</f>
        <v>48</v>
      </c>
      <c r="C16" s="24">
        <f>IF(B$3=0,0,B16/B$3)</f>
        <v>0.32214765100671139</v>
      </c>
      <c r="E16" s="68" t="s">
        <v>79</v>
      </c>
      <c r="F16" s="64" t="s">
        <v>32</v>
      </c>
      <c r="G16" s="50">
        <v>0</v>
      </c>
      <c r="H16" s="27">
        <f>IF(B$25=0,0,G16/B$25)</f>
        <v>0</v>
      </c>
      <c r="J16" s="26">
        <v>14</v>
      </c>
      <c r="K16" s="28">
        <v>144.10000000000002</v>
      </c>
    </row>
    <row r="17" spans="1:11" x14ac:dyDescent="0.4">
      <c r="A17" s="58" t="s">
        <v>12</v>
      </c>
      <c r="B17" s="50">
        <v>21</v>
      </c>
      <c r="C17" s="27">
        <f>IF(B$16=0,0,B17/B$16)</f>
        <v>0.4375</v>
      </c>
      <c r="E17" s="68" t="s">
        <v>80</v>
      </c>
      <c r="F17" s="64" t="s">
        <v>33</v>
      </c>
      <c r="G17" s="50">
        <v>0</v>
      </c>
      <c r="H17" s="27">
        <f>IF(B$25=0,0,G17/B$25)</f>
        <v>0</v>
      </c>
      <c r="J17" s="26">
        <v>15</v>
      </c>
      <c r="K17" s="28">
        <v>145.80000000000001</v>
      </c>
    </row>
    <row r="18" spans="1:11" x14ac:dyDescent="0.4">
      <c r="A18" s="58" t="s">
        <v>11</v>
      </c>
      <c r="B18" s="50">
        <v>27</v>
      </c>
      <c r="C18" s="27">
        <f>IF(B$16=0,0,B18/B$16)</f>
        <v>0.5625</v>
      </c>
      <c r="E18" s="68" t="s">
        <v>81</v>
      </c>
      <c r="F18" s="64" t="s">
        <v>34</v>
      </c>
      <c r="G18" s="50">
        <v>0</v>
      </c>
      <c r="H18" s="27">
        <f>IF(B$25=0,0,G18/B$25)</f>
        <v>0</v>
      </c>
      <c r="J18" s="26">
        <v>16</v>
      </c>
      <c r="K18" s="28">
        <v>149.30000000000001</v>
      </c>
    </row>
    <row r="19" spans="1:11" x14ac:dyDescent="0.4">
      <c r="A19" s="58" t="s">
        <v>13</v>
      </c>
      <c r="B19" s="50">
        <v>24</v>
      </c>
      <c r="C19" s="27">
        <f>IF(B$3=0,0,B19/B$3)</f>
        <v>0.16107382550335569</v>
      </c>
      <c r="E19" s="68" t="s">
        <v>82</v>
      </c>
      <c r="F19" s="64" t="s">
        <v>35</v>
      </c>
      <c r="G19" s="50">
        <v>0</v>
      </c>
      <c r="H19" s="27">
        <f>IF(B$25=0,0,G19/B$25)</f>
        <v>0</v>
      </c>
      <c r="J19" s="26">
        <v>17</v>
      </c>
      <c r="K19" s="28">
        <v>174.10000000000002</v>
      </c>
    </row>
    <row r="20" spans="1:11" x14ac:dyDescent="0.4">
      <c r="A20" s="58" t="s">
        <v>5</v>
      </c>
      <c r="B20" s="54">
        <f>IF(B$16=0,0,C20/B$16)</f>
        <v>11364.583333333334</v>
      </c>
      <c r="C20" s="30">
        <v>545500</v>
      </c>
      <c r="E20" s="68" t="s">
        <v>83</v>
      </c>
      <c r="F20" s="64" t="s">
        <v>36</v>
      </c>
      <c r="G20" s="50">
        <v>0</v>
      </c>
      <c r="H20" s="27">
        <f>IF(B$25=0,0,G20/B$25)</f>
        <v>0</v>
      </c>
      <c r="J20" s="26">
        <v>18</v>
      </c>
      <c r="K20" s="28">
        <v>152.00000000000003</v>
      </c>
    </row>
    <row r="21" spans="1:11" x14ac:dyDescent="0.4">
      <c r="A21" s="60" t="s">
        <v>14</v>
      </c>
      <c r="B21" s="55">
        <f>IF(B$19=0,0,C21/B$19)</f>
        <v>-8883.3333333333339</v>
      </c>
      <c r="C21" s="48">
        <v>-213200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  <c r="J21" s="26">
        <v>19</v>
      </c>
      <c r="K21" s="28">
        <v>140.60000000000002</v>
      </c>
    </row>
    <row r="22" spans="1:11" x14ac:dyDescent="0.4">
      <c r="A22" s="57" t="s">
        <v>178</v>
      </c>
      <c r="B22" s="49">
        <v>58</v>
      </c>
      <c r="C22" s="24">
        <f>IF(B$3=0,0,B22/B$3)</f>
        <v>0.38926174496644295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11" x14ac:dyDescent="0.4">
      <c r="A23" s="60" t="s">
        <v>179</v>
      </c>
      <c r="B23" s="52">
        <v>26</v>
      </c>
      <c r="C23" s="32">
        <f>IF(B$22=0,0,B23/B$22)</f>
        <v>0.44827586206896552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11" x14ac:dyDescent="0.4">
      <c r="A24" s="57" t="s">
        <v>128</v>
      </c>
      <c r="B24" s="87">
        <v>67</v>
      </c>
      <c r="C24" s="88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11" x14ac:dyDescent="0.4">
      <c r="A25" s="60" t="s">
        <v>129</v>
      </c>
      <c r="B25" s="89">
        <v>20</v>
      </c>
      <c r="C25" s="90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11" x14ac:dyDescent="0.4">
      <c r="A26" s="75" t="s">
        <v>196</v>
      </c>
      <c r="B26" s="83">
        <v>6</v>
      </c>
      <c r="C26" s="84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11" x14ac:dyDescent="0.4">
      <c r="A27" s="60" t="s">
        <v>198</v>
      </c>
      <c r="B27" s="76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11" x14ac:dyDescent="0.4">
      <c r="E32" s="68" t="s">
        <v>98</v>
      </c>
      <c r="F32" s="64" t="s">
        <v>51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53CBA-33C9-4E25-B6CD-AAA23764C936}">
  <sheetPr codeName="Sheet14"/>
  <dimension ref="A1:P67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160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65</v>
      </c>
      <c r="C2" s="88"/>
      <c r="E2" s="67" t="s">
        <v>73</v>
      </c>
      <c r="F2" s="63" t="s">
        <v>27</v>
      </c>
      <c r="G2" s="49">
        <v>140</v>
      </c>
      <c r="H2" s="24">
        <f>IF(B$25=0,0,G2/B$25)</f>
        <v>1.0294117647058822</v>
      </c>
      <c r="J2" s="23">
        <v>0</v>
      </c>
      <c r="K2" s="25">
        <v>0</v>
      </c>
      <c r="M2" s="23" t="s">
        <v>181</v>
      </c>
      <c r="N2" s="44">
        <f t="shared" ref="N2:N7" si="0">IF(P2=0,0,O2/P2)</f>
        <v>-1462.295081967213</v>
      </c>
      <c r="O2" s="41">
        <v>-89200</v>
      </c>
      <c r="P2" s="39">
        <v>61</v>
      </c>
    </row>
    <row r="3" spans="1:16" x14ac:dyDescent="0.4">
      <c r="A3" s="58" t="s">
        <v>8</v>
      </c>
      <c r="B3" s="93">
        <v>508</v>
      </c>
      <c r="C3" s="94"/>
      <c r="E3" s="68" t="s">
        <v>71</v>
      </c>
      <c r="F3" s="64" t="s">
        <v>25</v>
      </c>
      <c r="G3" s="50">
        <v>108</v>
      </c>
      <c r="H3" s="27">
        <f>IF(B$25=0,0,G3/B$25)</f>
        <v>0.79411764705882348</v>
      </c>
      <c r="J3" s="26">
        <v>1</v>
      </c>
      <c r="K3" s="28">
        <v>3.9</v>
      </c>
      <c r="M3" s="26" t="s">
        <v>182</v>
      </c>
      <c r="N3" s="45">
        <f t="shared" si="0"/>
        <v>-1288.5245901639344</v>
      </c>
      <c r="O3" s="42">
        <v>-78600</v>
      </c>
      <c r="P3" s="37">
        <v>61</v>
      </c>
    </row>
    <row r="4" spans="1:16" x14ac:dyDescent="0.4">
      <c r="A4" s="58" t="s">
        <v>6</v>
      </c>
      <c r="B4" s="95">
        <v>-439.09999999999985</v>
      </c>
      <c r="C4" s="96"/>
      <c r="E4" s="68" t="s">
        <v>78</v>
      </c>
      <c r="F4" s="64" t="s">
        <v>31</v>
      </c>
      <c r="G4" s="50">
        <v>91</v>
      </c>
      <c r="H4" s="27">
        <f>IF(B$25=0,0,G4/B$25)</f>
        <v>0.66911764705882348</v>
      </c>
      <c r="J4" s="26">
        <v>2</v>
      </c>
      <c r="K4" s="28">
        <v>-32.9</v>
      </c>
      <c r="M4" s="26" t="s">
        <v>183</v>
      </c>
      <c r="N4" s="45">
        <f t="shared" si="0"/>
        <v>-3039.655172413793</v>
      </c>
      <c r="O4" s="42">
        <v>-176300</v>
      </c>
      <c r="P4" s="37">
        <v>58</v>
      </c>
    </row>
    <row r="5" spans="1:16" x14ac:dyDescent="0.4">
      <c r="A5" s="58" t="s">
        <v>7</v>
      </c>
      <c r="B5" s="95">
        <f>IF(B$2=0,0,B$4/B$2)</f>
        <v>-6.7553846153846129</v>
      </c>
      <c r="C5" s="96"/>
      <c r="E5" s="68" t="s">
        <v>69</v>
      </c>
      <c r="F5" s="64" t="s">
        <v>23</v>
      </c>
      <c r="G5" s="50">
        <v>82</v>
      </c>
      <c r="H5" s="27">
        <f>IF(B$25=0,0,G5/B$25)</f>
        <v>0.6029411764705882</v>
      </c>
      <c r="J5" s="26">
        <v>3</v>
      </c>
      <c r="K5" s="28">
        <v>-68.099999999999994</v>
      </c>
      <c r="M5" s="26" t="s">
        <v>184</v>
      </c>
      <c r="N5" s="45">
        <f t="shared" si="0"/>
        <v>-975.92592592592598</v>
      </c>
      <c r="O5" s="42">
        <v>-52700</v>
      </c>
      <c r="P5" s="37">
        <v>54</v>
      </c>
    </row>
    <row r="6" spans="1:16" x14ac:dyDescent="0.4">
      <c r="A6" s="58" t="s">
        <v>1</v>
      </c>
      <c r="B6" s="85">
        <f>IF(B$2=0,0,(B$7*1+B$8*2+B$9*3)/B$2)</f>
        <v>2.2307692307692308</v>
      </c>
      <c r="C6" s="86"/>
      <c r="E6" s="68" t="s">
        <v>72</v>
      </c>
      <c r="F6" s="64" t="s">
        <v>26</v>
      </c>
      <c r="G6" s="50">
        <v>49</v>
      </c>
      <c r="H6" s="27">
        <f>IF(B$25=0,0,G6/B$25)</f>
        <v>0.36029411764705882</v>
      </c>
      <c r="J6" s="26">
        <v>4</v>
      </c>
      <c r="K6" s="28">
        <v>-34.099999999999994</v>
      </c>
      <c r="M6" s="26" t="s">
        <v>185</v>
      </c>
      <c r="N6" s="45">
        <f t="shared" si="0"/>
        <v>-1385.7142857142858</v>
      </c>
      <c r="O6" s="42">
        <v>-67900</v>
      </c>
      <c r="P6" s="37">
        <v>49</v>
      </c>
    </row>
    <row r="7" spans="1:16" x14ac:dyDescent="0.4">
      <c r="A7" s="58" t="s">
        <v>2</v>
      </c>
      <c r="B7" s="50">
        <v>15</v>
      </c>
      <c r="C7" s="27">
        <f>IF(B$2=0,0,B7/B$2)</f>
        <v>0.23076923076923078</v>
      </c>
      <c r="E7" s="68" t="s">
        <v>74</v>
      </c>
      <c r="F7" s="64" t="s">
        <v>12</v>
      </c>
      <c r="G7" s="50">
        <v>46</v>
      </c>
      <c r="H7" s="27">
        <f>IF(B$25=0,0,G7/B$25)</f>
        <v>0.33823529411764708</v>
      </c>
      <c r="J7" s="26">
        <v>5</v>
      </c>
      <c r="K7" s="28">
        <v>-78.099999999999994</v>
      </c>
      <c r="M7" s="31" t="s">
        <v>186</v>
      </c>
      <c r="N7" s="46">
        <f t="shared" si="0"/>
        <v>3413.8888888888887</v>
      </c>
      <c r="O7" s="43">
        <v>122900</v>
      </c>
      <c r="P7" s="38">
        <v>36</v>
      </c>
    </row>
    <row r="8" spans="1:16" x14ac:dyDescent="0.4">
      <c r="A8" s="58" t="s">
        <v>3</v>
      </c>
      <c r="B8" s="50">
        <v>20</v>
      </c>
      <c r="C8" s="27">
        <f t="shared" ref="C8:C9" si="1">IF(B$2=0,0,B8/B$2)</f>
        <v>0.30769230769230771</v>
      </c>
      <c r="E8" s="68" t="s">
        <v>75</v>
      </c>
      <c r="F8" s="64" t="s">
        <v>28</v>
      </c>
      <c r="G8" s="50">
        <v>19</v>
      </c>
      <c r="H8" s="27">
        <f>IF(B$25=0,0,G8/B$25)</f>
        <v>0.13970588235294118</v>
      </c>
      <c r="J8" s="26">
        <v>6</v>
      </c>
      <c r="K8" s="28">
        <v>-113.1</v>
      </c>
    </row>
    <row r="9" spans="1:16" x14ac:dyDescent="0.4">
      <c r="A9" s="59" t="s">
        <v>4</v>
      </c>
      <c r="B9" s="51">
        <v>30</v>
      </c>
      <c r="C9" s="29">
        <f t="shared" si="1"/>
        <v>0.46153846153846156</v>
      </c>
      <c r="E9" s="68" t="s">
        <v>96</v>
      </c>
      <c r="F9" s="64" t="s">
        <v>49</v>
      </c>
      <c r="G9" s="50">
        <v>17</v>
      </c>
      <c r="H9" s="27">
        <f>IF(B$25=0,0,G9/B$25)</f>
        <v>0.125</v>
      </c>
      <c r="J9" s="26">
        <v>7</v>
      </c>
      <c r="K9" s="28">
        <v>-143.4</v>
      </c>
    </row>
    <row r="10" spans="1:16" x14ac:dyDescent="0.4">
      <c r="A10" s="59" t="s">
        <v>21</v>
      </c>
      <c r="B10" s="51">
        <v>14</v>
      </c>
      <c r="C10" s="29">
        <f>IF(B$2=0,0,B10/B$2)</f>
        <v>0.2153846153846154</v>
      </c>
      <c r="E10" s="68" t="s">
        <v>76</v>
      </c>
      <c r="F10" s="64" t="s">
        <v>29</v>
      </c>
      <c r="G10" s="50">
        <v>15</v>
      </c>
      <c r="H10" s="27">
        <f>IF(B$25=0,0,G10/B$25)</f>
        <v>0.11029411764705882</v>
      </c>
      <c r="J10" s="26">
        <v>8</v>
      </c>
      <c r="K10" s="28">
        <v>-142</v>
      </c>
    </row>
    <row r="11" spans="1:16" x14ac:dyDescent="0.4">
      <c r="A11" s="60" t="s">
        <v>191</v>
      </c>
      <c r="B11" s="52">
        <v>8</v>
      </c>
      <c r="C11" s="32">
        <f>IF(B$2=0,0,B11/B$2)</f>
        <v>0.12307692307692308</v>
      </c>
      <c r="E11" s="68" t="s">
        <v>70</v>
      </c>
      <c r="F11" s="64" t="s">
        <v>24</v>
      </c>
      <c r="G11" s="50">
        <v>12</v>
      </c>
      <c r="H11" s="27">
        <f>IF(B$25=0,0,G11/B$25)</f>
        <v>8.8235294117647065E-2</v>
      </c>
      <c r="J11" s="26">
        <v>9</v>
      </c>
      <c r="K11" s="28">
        <v>-168</v>
      </c>
    </row>
    <row r="12" spans="1:16" x14ac:dyDescent="0.4">
      <c r="A12" s="61" t="s">
        <v>130</v>
      </c>
      <c r="B12" s="53">
        <v>143</v>
      </c>
      <c r="C12" s="35">
        <f>IF(B$24=0,0,B12/B$24)</f>
        <v>0.30360934182590232</v>
      </c>
      <c r="E12" s="68" t="s">
        <v>93</v>
      </c>
      <c r="F12" s="64" t="s">
        <v>46</v>
      </c>
      <c r="G12" s="50">
        <v>10</v>
      </c>
      <c r="H12" s="27">
        <f>IF(B$25=0,0,G12/B$25)</f>
        <v>7.3529411764705885E-2</v>
      </c>
      <c r="J12" s="26">
        <v>10</v>
      </c>
      <c r="K12" s="28">
        <v>-200.1</v>
      </c>
    </row>
    <row r="13" spans="1:16" x14ac:dyDescent="0.4">
      <c r="A13" s="58" t="s">
        <v>125</v>
      </c>
      <c r="B13" s="50">
        <v>99</v>
      </c>
      <c r="C13" s="27">
        <f>IF(B$24=0,0,B13/B$24)</f>
        <v>0.21019108280254778</v>
      </c>
      <c r="E13" s="68" t="s">
        <v>84</v>
      </c>
      <c r="F13" s="64" t="s">
        <v>37</v>
      </c>
      <c r="G13" s="50">
        <v>9</v>
      </c>
      <c r="H13" s="27">
        <f>IF(B$25=0,0,G13/B$25)</f>
        <v>6.6176470588235295E-2</v>
      </c>
      <c r="J13" s="26">
        <v>11</v>
      </c>
      <c r="K13" s="28">
        <v>-169</v>
      </c>
    </row>
    <row r="14" spans="1:16" x14ac:dyDescent="0.4">
      <c r="A14" s="57" t="s">
        <v>132</v>
      </c>
      <c r="B14" s="49">
        <v>85</v>
      </c>
      <c r="C14" s="24">
        <f>IF(B$12=0,0,B14/B$12)</f>
        <v>0.59440559440559437</v>
      </c>
      <c r="E14" s="68" t="s">
        <v>77</v>
      </c>
      <c r="F14" s="64" t="s">
        <v>30</v>
      </c>
      <c r="G14" s="50">
        <v>4</v>
      </c>
      <c r="H14" s="27">
        <f>IF(B$25=0,0,G14/B$25)</f>
        <v>2.9411764705882353E-2</v>
      </c>
      <c r="J14" s="26">
        <v>12</v>
      </c>
      <c r="K14" s="28">
        <v>-191</v>
      </c>
    </row>
    <row r="15" spans="1:16" x14ac:dyDescent="0.4">
      <c r="A15" s="57" t="s">
        <v>133</v>
      </c>
      <c r="B15" s="49">
        <v>37</v>
      </c>
      <c r="C15" s="24">
        <f>IF(B$13=0,0,B15/B$13)</f>
        <v>0.37373737373737376</v>
      </c>
      <c r="E15" s="68" t="s">
        <v>79</v>
      </c>
      <c r="F15" s="64" t="s">
        <v>32</v>
      </c>
      <c r="G15" s="50">
        <v>4</v>
      </c>
      <c r="H15" s="27">
        <f>IF(B$25=0,0,G15/B$25)</f>
        <v>2.9411764705882353E-2</v>
      </c>
      <c r="J15" s="26">
        <v>13</v>
      </c>
      <c r="K15" s="28">
        <v>-228</v>
      </c>
    </row>
    <row r="16" spans="1:16" x14ac:dyDescent="0.4">
      <c r="A16" s="57" t="s">
        <v>10</v>
      </c>
      <c r="B16" s="49">
        <f>B18+B17</f>
        <v>146</v>
      </c>
      <c r="C16" s="24">
        <f>IF(B$3=0,0,B16/B$3)</f>
        <v>0.2874015748031496</v>
      </c>
      <c r="E16" s="68" t="s">
        <v>90</v>
      </c>
      <c r="F16" s="64" t="s">
        <v>43</v>
      </c>
      <c r="G16" s="50">
        <v>4</v>
      </c>
      <c r="H16" s="27">
        <f>IF(B$25=0,0,G16/B$25)</f>
        <v>2.9411764705882353E-2</v>
      </c>
      <c r="J16" s="26">
        <v>14</v>
      </c>
      <c r="K16" s="28">
        <v>-224</v>
      </c>
    </row>
    <row r="17" spans="1:11" x14ac:dyDescent="0.4">
      <c r="A17" s="58" t="s">
        <v>12</v>
      </c>
      <c r="B17" s="50">
        <v>68</v>
      </c>
      <c r="C17" s="27">
        <f>IF(B$16=0,0,B17/B$16)</f>
        <v>0.46575342465753422</v>
      </c>
      <c r="E17" s="68" t="s">
        <v>88</v>
      </c>
      <c r="F17" s="64" t="s">
        <v>41</v>
      </c>
      <c r="G17" s="50">
        <v>3</v>
      </c>
      <c r="H17" s="27">
        <f>IF(B$25=0,0,G17/B$25)</f>
        <v>2.2058823529411766E-2</v>
      </c>
      <c r="J17" s="26">
        <v>15</v>
      </c>
      <c r="K17" s="28">
        <v>-205.5</v>
      </c>
    </row>
    <row r="18" spans="1:11" x14ac:dyDescent="0.4">
      <c r="A18" s="58" t="s">
        <v>11</v>
      </c>
      <c r="B18" s="50">
        <v>78</v>
      </c>
      <c r="C18" s="27">
        <f>IF(B$16=0,0,B18/B$16)</f>
        <v>0.53424657534246578</v>
      </c>
      <c r="E18" s="68" t="s">
        <v>81</v>
      </c>
      <c r="F18" s="64" t="s">
        <v>34</v>
      </c>
      <c r="G18" s="50">
        <v>1</v>
      </c>
      <c r="H18" s="27">
        <f>IF(B$25=0,0,G18/B$25)</f>
        <v>7.3529411764705881E-3</v>
      </c>
      <c r="J18" s="26">
        <v>16</v>
      </c>
      <c r="K18" s="28">
        <v>-225.2</v>
      </c>
    </row>
    <row r="19" spans="1:11" x14ac:dyDescent="0.4">
      <c r="A19" s="58" t="s">
        <v>13</v>
      </c>
      <c r="B19" s="50">
        <v>119</v>
      </c>
      <c r="C19" s="27">
        <f>IF(B$3=0,0,B19/B$3)</f>
        <v>0.23425196850393701</v>
      </c>
      <c r="E19" s="68" t="s">
        <v>83</v>
      </c>
      <c r="F19" s="64" t="s">
        <v>36</v>
      </c>
      <c r="G19" s="50">
        <v>1</v>
      </c>
      <c r="H19" s="27">
        <f>IF(B$25=0,0,G19/B$25)</f>
        <v>7.3529411764705881E-3</v>
      </c>
      <c r="J19" s="26">
        <v>17</v>
      </c>
      <c r="K19" s="28">
        <v>-259.7</v>
      </c>
    </row>
    <row r="20" spans="1:11" x14ac:dyDescent="0.4">
      <c r="A20" s="58" t="s">
        <v>5</v>
      </c>
      <c r="B20" s="54">
        <f>IF(B$16=0,0,C20/B$16)</f>
        <v>10562.328767123288</v>
      </c>
      <c r="C20" s="30">
        <v>1542100</v>
      </c>
      <c r="E20" s="68" t="s">
        <v>85</v>
      </c>
      <c r="F20" s="64" t="s">
        <v>38</v>
      </c>
      <c r="G20" s="50">
        <v>1</v>
      </c>
      <c r="H20" s="27">
        <f>IF(B$25=0,0,G20/B$25)</f>
        <v>7.3529411764705881E-3</v>
      </c>
      <c r="J20" s="26">
        <v>18</v>
      </c>
      <c r="K20" s="28">
        <v>-285.8</v>
      </c>
    </row>
    <row r="21" spans="1:11" x14ac:dyDescent="0.4">
      <c r="A21" s="60" t="s">
        <v>14</v>
      </c>
      <c r="B21" s="55">
        <f>IF(B$19=0,0,C21/B$19)</f>
        <v>-9650.4201680672268</v>
      </c>
      <c r="C21" s="48">
        <v>-1148400</v>
      </c>
      <c r="E21" s="68" t="s">
        <v>91</v>
      </c>
      <c r="F21" s="64" t="s">
        <v>44</v>
      </c>
      <c r="G21" s="50">
        <v>1</v>
      </c>
      <c r="H21" s="27">
        <f>IF(B$25=0,0,G21/B$25)</f>
        <v>7.3529411764705881E-3</v>
      </c>
      <c r="J21" s="26">
        <v>19</v>
      </c>
      <c r="K21" s="28">
        <v>-264.2</v>
      </c>
    </row>
    <row r="22" spans="1:11" x14ac:dyDescent="0.4">
      <c r="A22" s="57" t="s">
        <v>178</v>
      </c>
      <c r="B22" s="49">
        <v>161</v>
      </c>
      <c r="C22" s="24">
        <f>IF(B$3=0,0,B22/B$3)</f>
        <v>0.31692913385826771</v>
      </c>
      <c r="E22" s="68" t="s">
        <v>98</v>
      </c>
      <c r="F22" s="64" t="s">
        <v>51</v>
      </c>
      <c r="G22" s="50">
        <v>1</v>
      </c>
      <c r="H22" s="27">
        <f>IF(B$25=0,0,G22/B$25)</f>
        <v>7.3529411764705881E-3</v>
      </c>
      <c r="J22" s="26">
        <v>20</v>
      </c>
      <c r="K22" s="28">
        <v>-261</v>
      </c>
    </row>
    <row r="23" spans="1:11" x14ac:dyDescent="0.4">
      <c r="A23" s="60" t="s">
        <v>179</v>
      </c>
      <c r="B23" s="52">
        <v>51</v>
      </c>
      <c r="C23" s="32">
        <f>IF(B$22=0,0,B23/B$22)</f>
        <v>0.31677018633540371</v>
      </c>
      <c r="E23" s="68" t="s">
        <v>100</v>
      </c>
      <c r="F23" s="64" t="s">
        <v>53</v>
      </c>
      <c r="G23" s="50">
        <v>1</v>
      </c>
      <c r="H23" s="27">
        <f>IF(B$25=0,0,G23/B$25)</f>
        <v>7.3529411764705881E-3</v>
      </c>
      <c r="J23" s="26">
        <v>21</v>
      </c>
      <c r="K23" s="28">
        <v>-234</v>
      </c>
    </row>
    <row r="24" spans="1:11" x14ac:dyDescent="0.4">
      <c r="A24" s="57" t="s">
        <v>128</v>
      </c>
      <c r="B24" s="87">
        <v>471</v>
      </c>
      <c r="C24" s="88"/>
      <c r="E24" s="68" t="s">
        <v>80</v>
      </c>
      <c r="F24" s="64" t="s">
        <v>33</v>
      </c>
      <c r="G24" s="50">
        <v>0</v>
      </c>
      <c r="H24" s="27">
        <f>IF(B$25=0,0,G24/B$25)</f>
        <v>0</v>
      </c>
      <c r="J24" s="26">
        <v>22</v>
      </c>
      <c r="K24" s="28">
        <v>-195.9</v>
      </c>
    </row>
    <row r="25" spans="1:11" x14ac:dyDescent="0.4">
      <c r="A25" s="60" t="s">
        <v>129</v>
      </c>
      <c r="B25" s="89">
        <v>136</v>
      </c>
      <c r="C25" s="90"/>
      <c r="E25" s="68" t="s">
        <v>82</v>
      </c>
      <c r="F25" s="64" t="s">
        <v>35</v>
      </c>
      <c r="G25" s="50">
        <v>0</v>
      </c>
      <c r="H25" s="27">
        <f>IF(B$25=0,0,G25/B$25)</f>
        <v>0</v>
      </c>
      <c r="J25" s="26">
        <v>23</v>
      </c>
      <c r="K25" s="28">
        <v>-193.9</v>
      </c>
    </row>
    <row r="26" spans="1:11" x14ac:dyDescent="0.4">
      <c r="A26" s="75" t="s">
        <v>196</v>
      </c>
      <c r="B26" s="83">
        <v>7</v>
      </c>
      <c r="C26" s="84"/>
      <c r="E26" s="68" t="s">
        <v>86</v>
      </c>
      <c r="F26" s="64" t="s">
        <v>39</v>
      </c>
      <c r="G26" s="50">
        <v>0</v>
      </c>
      <c r="H26" s="27">
        <f>IF(B$25=0,0,G26/B$25)</f>
        <v>0</v>
      </c>
      <c r="J26" s="26">
        <v>24</v>
      </c>
      <c r="K26" s="28">
        <v>-162.19999999999999</v>
      </c>
    </row>
    <row r="27" spans="1:11" x14ac:dyDescent="0.4">
      <c r="A27" s="60" t="s">
        <v>198</v>
      </c>
      <c r="B27" s="76">
        <v>6</v>
      </c>
      <c r="C27" s="32">
        <f>IF(B$3=0,0,B27/B$3)</f>
        <v>1.1811023622047244E-2</v>
      </c>
      <c r="E27" s="68" t="s">
        <v>87</v>
      </c>
      <c r="F27" s="64" t="s">
        <v>40</v>
      </c>
      <c r="G27" s="50">
        <v>0</v>
      </c>
      <c r="H27" s="27">
        <f>IF(B$25=0,0,G27/B$25)</f>
        <v>0</v>
      </c>
      <c r="J27" s="26">
        <v>25</v>
      </c>
      <c r="K27" s="28">
        <v>-209.89999999999998</v>
      </c>
    </row>
    <row r="28" spans="1:11" x14ac:dyDescent="0.4">
      <c r="E28" s="68" t="s">
        <v>89</v>
      </c>
      <c r="F28" s="64" t="s">
        <v>42</v>
      </c>
      <c r="G28" s="50">
        <v>0</v>
      </c>
      <c r="H28" s="27">
        <f>IF(B$25=0,0,G28/B$25)</f>
        <v>0</v>
      </c>
      <c r="J28" s="26">
        <v>26</v>
      </c>
      <c r="K28" s="28">
        <v>-248.29999999999998</v>
      </c>
    </row>
    <row r="29" spans="1:11" x14ac:dyDescent="0.4">
      <c r="E29" s="68" t="s">
        <v>92</v>
      </c>
      <c r="F29" s="64" t="s">
        <v>45</v>
      </c>
      <c r="G29" s="50">
        <v>0</v>
      </c>
      <c r="H29" s="27">
        <f>IF(B$25=0,0,G29/B$25)</f>
        <v>0</v>
      </c>
      <c r="J29" s="26">
        <v>27</v>
      </c>
      <c r="K29" s="28">
        <v>-287.29999999999995</v>
      </c>
    </row>
    <row r="30" spans="1:11" x14ac:dyDescent="0.4">
      <c r="E30" s="68" t="s">
        <v>94</v>
      </c>
      <c r="F30" s="64" t="s">
        <v>47</v>
      </c>
      <c r="G30" s="50">
        <v>0</v>
      </c>
      <c r="H30" s="27">
        <f>IF(B$25=0,0,G30/B$25)</f>
        <v>0</v>
      </c>
      <c r="J30" s="26">
        <v>28</v>
      </c>
      <c r="K30" s="28">
        <v>-282.19999999999993</v>
      </c>
    </row>
    <row r="31" spans="1:11" x14ac:dyDescent="0.4">
      <c r="E31" s="68" t="s">
        <v>95</v>
      </c>
      <c r="F31" s="64" t="s">
        <v>48</v>
      </c>
      <c r="G31" s="50">
        <v>0</v>
      </c>
      <c r="H31" s="27">
        <f>IF(B$25=0,0,G31/B$25)</f>
        <v>0</v>
      </c>
      <c r="J31" s="26">
        <v>29</v>
      </c>
      <c r="K31" s="28">
        <v>-232.19999999999993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-249.29999999999993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-257.39999999999992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-275.89999999999992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-283.2999999999999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-292.69999999999987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-329.69999999999987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-319.09999999999985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-361.59999999999985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-369.09999999999985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-350.49999999999983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-367.59999999999985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-355.59999999999985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-356.09999999999985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-315.09999999999985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-320.89999999999986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-319.19999999999987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-352.39999999999986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-341.39999999999986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-349.19999999999987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-354.49999999999989</v>
      </c>
    </row>
    <row r="52" spans="5:11" x14ac:dyDescent="0.4">
      <c r="J52" s="26">
        <v>50</v>
      </c>
      <c r="K52" s="28">
        <v>-388.99999999999989</v>
      </c>
    </row>
    <row r="53" spans="5:11" x14ac:dyDescent="0.4">
      <c r="J53" s="26">
        <v>51</v>
      </c>
      <c r="K53" s="28">
        <v>-398.99999999999989</v>
      </c>
    </row>
    <row r="54" spans="5:11" x14ac:dyDescent="0.4">
      <c r="J54" s="26">
        <v>52</v>
      </c>
      <c r="K54" s="28">
        <v>-414.39999999999986</v>
      </c>
    </row>
    <row r="55" spans="5:11" x14ac:dyDescent="0.4">
      <c r="J55" s="26">
        <v>53</v>
      </c>
      <c r="K55" s="28">
        <v>-388.89999999999986</v>
      </c>
    </row>
    <row r="56" spans="5:11" x14ac:dyDescent="0.4">
      <c r="J56" s="26">
        <v>54</v>
      </c>
      <c r="K56" s="28">
        <v>-399.19999999999987</v>
      </c>
    </row>
    <row r="57" spans="5:11" x14ac:dyDescent="0.4">
      <c r="J57" s="26">
        <v>55</v>
      </c>
      <c r="K57" s="28">
        <v>-408.49999999999989</v>
      </c>
    </row>
    <row r="58" spans="5:11" x14ac:dyDescent="0.4">
      <c r="J58" s="26">
        <v>56</v>
      </c>
      <c r="K58" s="28">
        <v>-384.39999999999986</v>
      </c>
    </row>
    <row r="59" spans="5:11" x14ac:dyDescent="0.4">
      <c r="J59" s="26">
        <v>57</v>
      </c>
      <c r="K59" s="28">
        <v>-416.89999999999986</v>
      </c>
    </row>
    <row r="60" spans="5:11" x14ac:dyDescent="0.4">
      <c r="J60" s="26">
        <v>58</v>
      </c>
      <c r="K60" s="28">
        <v>-453.39999999999986</v>
      </c>
    </row>
    <row r="61" spans="5:11" x14ac:dyDescent="0.4">
      <c r="J61" s="26">
        <v>59</v>
      </c>
      <c r="K61" s="28">
        <v>-461.79999999999984</v>
      </c>
    </row>
    <row r="62" spans="5:11" x14ac:dyDescent="0.4">
      <c r="J62" s="26">
        <v>60</v>
      </c>
      <c r="K62" s="28">
        <v>-461.29999999999984</v>
      </c>
    </row>
    <row r="63" spans="5:11" x14ac:dyDescent="0.4">
      <c r="J63" s="26">
        <v>61</v>
      </c>
      <c r="K63" s="28">
        <v>-472.39999999999986</v>
      </c>
    </row>
    <row r="64" spans="5:11" x14ac:dyDescent="0.4">
      <c r="J64" s="26">
        <v>62</v>
      </c>
      <c r="K64" s="28">
        <v>-477.59999999999985</v>
      </c>
    </row>
    <row r="65" spans="10:11" x14ac:dyDescent="0.4">
      <c r="J65" s="26">
        <v>63</v>
      </c>
      <c r="K65" s="28">
        <v>-402.09999999999985</v>
      </c>
    </row>
    <row r="66" spans="10:11" x14ac:dyDescent="0.4">
      <c r="J66" s="26">
        <v>64</v>
      </c>
      <c r="K66" s="28">
        <v>-436.89999999999986</v>
      </c>
    </row>
    <row r="67" spans="10:11" x14ac:dyDescent="0.4">
      <c r="J67" s="26">
        <v>65</v>
      </c>
      <c r="K67" s="28">
        <v>-439.09999999999985</v>
      </c>
    </row>
  </sheetData>
  <sortState ref="E2:H67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4A28-2D2E-493F-918F-89C3AC95EFBD}">
  <sheetPr codeName="Sheet1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194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5</v>
      </c>
      <c r="C2" s="88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181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">
      <c r="A3" s="58" t="s">
        <v>8</v>
      </c>
      <c r="B3" s="93">
        <v>46</v>
      </c>
      <c r="C3" s="94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27.3</v>
      </c>
      <c r="M3" s="26" t="s">
        <v>182</v>
      </c>
      <c r="N3" s="45">
        <f t="shared" si="0"/>
        <v>-4740</v>
      </c>
      <c r="O3" s="42">
        <v>-23700</v>
      </c>
      <c r="P3" s="37">
        <v>5</v>
      </c>
    </row>
    <row r="4" spans="1:16" x14ac:dyDescent="0.4">
      <c r="A4" s="58" t="s">
        <v>6</v>
      </c>
      <c r="B4" s="95">
        <v>87</v>
      </c>
      <c r="C4" s="96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69.3</v>
      </c>
      <c r="M4" s="26" t="s">
        <v>183</v>
      </c>
      <c r="N4" s="45">
        <f t="shared" si="0"/>
        <v>3000</v>
      </c>
      <c r="O4" s="42">
        <v>15000</v>
      </c>
      <c r="P4" s="37">
        <v>5</v>
      </c>
    </row>
    <row r="5" spans="1:16" x14ac:dyDescent="0.4">
      <c r="A5" s="58" t="s">
        <v>7</v>
      </c>
      <c r="B5" s="95">
        <f>IF(B$2=0,0,B$4/B$2)</f>
        <v>17.399999999999999</v>
      </c>
      <c r="C5" s="96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56.3</v>
      </c>
      <c r="M5" s="26" t="s">
        <v>184</v>
      </c>
      <c r="N5" s="45">
        <f t="shared" si="0"/>
        <v>10700</v>
      </c>
      <c r="O5" s="42">
        <v>42800</v>
      </c>
      <c r="P5" s="37">
        <v>4</v>
      </c>
    </row>
    <row r="6" spans="1:16" x14ac:dyDescent="0.4">
      <c r="A6" s="58" t="s">
        <v>1</v>
      </c>
      <c r="B6" s="85">
        <f>IF(B$2=0,0,(B$7*1+B$8*2+B$9*3)/B$2)</f>
        <v>1.6</v>
      </c>
      <c r="C6" s="86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63.5</v>
      </c>
      <c r="M6" s="26" t="s">
        <v>185</v>
      </c>
      <c r="N6" s="45">
        <f t="shared" si="0"/>
        <v>-1000</v>
      </c>
      <c r="O6" s="42">
        <v>-4000</v>
      </c>
      <c r="P6" s="37">
        <v>4</v>
      </c>
    </row>
    <row r="7" spans="1:16" x14ac:dyDescent="0.4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87</v>
      </c>
      <c r="M7" s="31" t="s">
        <v>186</v>
      </c>
      <c r="N7" s="46">
        <f t="shared" si="0"/>
        <v>2500</v>
      </c>
      <c r="O7" s="43">
        <v>10000</v>
      </c>
      <c r="P7" s="38">
        <v>4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">
      <c r="A11" s="60" t="s">
        <v>191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5</v>
      </c>
      <c r="C17" s="27">
        <f>IF(B$16=0,0,B17/B$16)</f>
        <v>0.27777777777777779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13</v>
      </c>
      <c r="C18" s="27">
        <f>IF(B$16=0,0,B18/B$16)</f>
        <v>0.72222222222222221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7">
        <v>46</v>
      </c>
      <c r="C24" s="88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9">
        <v>18</v>
      </c>
      <c r="C25" s="90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75" t="s">
        <v>196</v>
      </c>
      <c r="B26" s="83">
        <v>5</v>
      </c>
      <c r="C26" s="84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">
      <c r="A27" s="60" t="s">
        <v>198</v>
      </c>
      <c r="B27" s="76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4FA68-3282-4E8C-8AEF-819CA4337E7A}">
  <sheetPr codeName="Sheet1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195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19</v>
      </c>
      <c r="C2" s="88"/>
      <c r="E2" s="67" t="s">
        <v>73</v>
      </c>
      <c r="F2" s="63" t="s">
        <v>27</v>
      </c>
      <c r="G2" s="49">
        <v>43</v>
      </c>
      <c r="H2" s="24">
        <f>IF(B$25=0,0,G2/B$25)</f>
        <v>1.075</v>
      </c>
      <c r="J2" s="23">
        <v>0</v>
      </c>
      <c r="K2" s="25">
        <v>0</v>
      </c>
      <c r="M2" s="23" t="s">
        <v>181</v>
      </c>
      <c r="N2" s="44">
        <f t="shared" ref="N2:N7" si="0">IF(P2=0,0,O2/P2)</f>
        <v>-4400</v>
      </c>
      <c r="O2" s="41">
        <v>-83600</v>
      </c>
      <c r="P2" s="39">
        <v>19</v>
      </c>
    </row>
    <row r="3" spans="1:16" x14ac:dyDescent="0.4">
      <c r="A3" s="58" t="s">
        <v>8</v>
      </c>
      <c r="B3" s="93">
        <v>151</v>
      </c>
      <c r="C3" s="94"/>
      <c r="E3" s="68" t="s">
        <v>71</v>
      </c>
      <c r="F3" s="64" t="s">
        <v>25</v>
      </c>
      <c r="G3" s="50">
        <v>29</v>
      </c>
      <c r="H3" s="27">
        <f>IF(B$25=0,0,G3/B$25)</f>
        <v>0.72499999999999998</v>
      </c>
      <c r="J3" s="26">
        <v>1</v>
      </c>
      <c r="K3" s="28">
        <v>15</v>
      </c>
      <c r="M3" s="26" t="s">
        <v>182</v>
      </c>
      <c r="N3" s="45">
        <f t="shared" si="0"/>
        <v>3484.2105263157896</v>
      </c>
      <c r="O3" s="42">
        <v>66200</v>
      </c>
      <c r="P3" s="37">
        <v>19</v>
      </c>
    </row>
    <row r="4" spans="1:16" x14ac:dyDescent="0.4">
      <c r="A4" s="58" t="s">
        <v>6</v>
      </c>
      <c r="B4" s="95">
        <v>-57</v>
      </c>
      <c r="C4" s="96"/>
      <c r="E4" s="68" t="s">
        <v>78</v>
      </c>
      <c r="F4" s="64" t="s">
        <v>31</v>
      </c>
      <c r="G4" s="50">
        <v>29</v>
      </c>
      <c r="H4" s="27">
        <f>IF(B$25=0,0,G4/B$25)</f>
        <v>0.72499999999999998</v>
      </c>
      <c r="J4" s="26">
        <v>2</v>
      </c>
      <c r="K4" s="28">
        <v>-23.299999999999997</v>
      </c>
      <c r="M4" s="26" t="s">
        <v>183</v>
      </c>
      <c r="N4" s="45">
        <f t="shared" si="0"/>
        <v>125</v>
      </c>
      <c r="O4" s="42">
        <v>2000</v>
      </c>
      <c r="P4" s="37">
        <v>16</v>
      </c>
    </row>
    <row r="5" spans="1:16" x14ac:dyDescent="0.4">
      <c r="A5" s="58" t="s">
        <v>7</v>
      </c>
      <c r="B5" s="95">
        <f>IF(B$2=0,0,B$4/B$2)</f>
        <v>-3</v>
      </c>
      <c r="C5" s="96"/>
      <c r="E5" s="68" t="s">
        <v>69</v>
      </c>
      <c r="F5" s="64" t="s">
        <v>23</v>
      </c>
      <c r="G5" s="50">
        <v>13</v>
      </c>
      <c r="H5" s="27">
        <f>IF(B$25=0,0,G5/B$25)</f>
        <v>0.32500000000000001</v>
      </c>
      <c r="J5" s="26">
        <v>3</v>
      </c>
      <c r="K5" s="28">
        <v>-14.599999999999998</v>
      </c>
      <c r="M5" s="26" t="s">
        <v>184</v>
      </c>
      <c r="N5" s="45">
        <f t="shared" si="0"/>
        <v>300</v>
      </c>
      <c r="O5" s="42">
        <v>4500</v>
      </c>
      <c r="P5" s="37">
        <v>15</v>
      </c>
    </row>
    <row r="6" spans="1:16" x14ac:dyDescent="0.4">
      <c r="A6" s="58" t="s">
        <v>1</v>
      </c>
      <c r="B6" s="85">
        <f>IF(B$2=0,0,(B$7*1+B$8*2+B$9*3)/B$2)</f>
        <v>2.1578947368421053</v>
      </c>
      <c r="C6" s="86"/>
      <c r="E6" s="68" t="s">
        <v>96</v>
      </c>
      <c r="F6" s="64" t="s">
        <v>49</v>
      </c>
      <c r="G6" s="50">
        <v>8</v>
      </c>
      <c r="H6" s="27">
        <f>IF(B$25=0,0,G6/B$25)</f>
        <v>0.2</v>
      </c>
      <c r="J6" s="26">
        <v>4</v>
      </c>
      <c r="K6" s="28">
        <v>6.1000000000000014</v>
      </c>
      <c r="M6" s="26" t="s">
        <v>185</v>
      </c>
      <c r="N6" s="45">
        <f t="shared" si="0"/>
        <v>-1935.7142857142858</v>
      </c>
      <c r="O6" s="42">
        <v>-27100</v>
      </c>
      <c r="P6" s="37">
        <v>14</v>
      </c>
    </row>
    <row r="7" spans="1:16" x14ac:dyDescent="0.4">
      <c r="A7" s="58" t="s">
        <v>2</v>
      </c>
      <c r="B7" s="50">
        <v>5</v>
      </c>
      <c r="C7" s="27">
        <f>IF(B$2=0,0,B7/B$2)</f>
        <v>0.26315789473684209</v>
      </c>
      <c r="E7" s="68" t="s">
        <v>74</v>
      </c>
      <c r="F7" s="64" t="s">
        <v>12</v>
      </c>
      <c r="G7" s="50">
        <v>7</v>
      </c>
      <c r="H7" s="27">
        <f>IF(B$25=0,0,G7/B$25)</f>
        <v>0.17499999999999999</v>
      </c>
      <c r="J7" s="26">
        <v>5</v>
      </c>
      <c r="K7" s="28">
        <v>10.600000000000001</v>
      </c>
      <c r="M7" s="31" t="s">
        <v>186</v>
      </c>
      <c r="N7" s="46">
        <f t="shared" si="0"/>
        <v>-2000</v>
      </c>
      <c r="O7" s="43">
        <v>-22000</v>
      </c>
      <c r="P7" s="38">
        <v>11</v>
      </c>
    </row>
    <row r="8" spans="1:16" x14ac:dyDescent="0.4">
      <c r="A8" s="58" t="s">
        <v>3</v>
      </c>
      <c r="B8" s="50">
        <v>6</v>
      </c>
      <c r="C8" s="27">
        <f t="shared" ref="C8:C9" si="1">IF(B$2=0,0,B8/B$2)</f>
        <v>0.31578947368421051</v>
      </c>
      <c r="E8" s="68" t="s">
        <v>90</v>
      </c>
      <c r="F8" s="64" t="s">
        <v>43</v>
      </c>
      <c r="G8" s="50">
        <v>7</v>
      </c>
      <c r="H8" s="27">
        <f>IF(B$25=0,0,G8/B$25)</f>
        <v>0.17499999999999999</v>
      </c>
      <c r="J8" s="26">
        <v>6</v>
      </c>
      <c r="K8" s="28">
        <v>4.2000000000000011</v>
      </c>
    </row>
    <row r="9" spans="1:16" x14ac:dyDescent="0.4">
      <c r="A9" s="59" t="s">
        <v>4</v>
      </c>
      <c r="B9" s="51">
        <v>8</v>
      </c>
      <c r="C9" s="29">
        <f t="shared" si="1"/>
        <v>0.42105263157894735</v>
      </c>
      <c r="E9" s="68" t="s">
        <v>70</v>
      </c>
      <c r="F9" s="64" t="s">
        <v>24</v>
      </c>
      <c r="G9" s="50">
        <v>5</v>
      </c>
      <c r="H9" s="27">
        <f>IF(B$25=0,0,G9/B$25)</f>
        <v>0.125</v>
      </c>
      <c r="J9" s="26">
        <v>7</v>
      </c>
      <c r="K9" s="28">
        <v>28.200000000000003</v>
      </c>
    </row>
    <row r="10" spans="1:16" x14ac:dyDescent="0.4">
      <c r="A10" s="59" t="s">
        <v>21</v>
      </c>
      <c r="B10" s="51">
        <v>3</v>
      </c>
      <c r="C10" s="29">
        <f>IF(B$2=0,0,B10/B$2)</f>
        <v>0.15789473684210525</v>
      </c>
      <c r="E10" s="68" t="s">
        <v>72</v>
      </c>
      <c r="F10" s="64" t="s">
        <v>26</v>
      </c>
      <c r="G10" s="50">
        <v>5</v>
      </c>
      <c r="H10" s="27">
        <f>IF(B$25=0,0,G10/B$25)</f>
        <v>0.125</v>
      </c>
      <c r="J10" s="26">
        <v>8</v>
      </c>
      <c r="K10" s="28">
        <v>-2.4999999999999964</v>
      </c>
    </row>
    <row r="11" spans="1:16" x14ac:dyDescent="0.4">
      <c r="A11" s="60" t="s">
        <v>191</v>
      </c>
      <c r="B11" s="52">
        <v>2</v>
      </c>
      <c r="C11" s="32">
        <f>IF(B$2=0,0,B11/B$2)</f>
        <v>0.10526315789473684</v>
      </c>
      <c r="E11" s="68" t="s">
        <v>76</v>
      </c>
      <c r="F11" s="64" t="s">
        <v>29</v>
      </c>
      <c r="G11" s="50">
        <v>5</v>
      </c>
      <c r="H11" s="27">
        <f>IF(B$25=0,0,G11/B$25)</f>
        <v>0.125</v>
      </c>
      <c r="J11" s="26">
        <v>9</v>
      </c>
      <c r="K11" s="28">
        <v>-7.3999999999999968</v>
      </c>
    </row>
    <row r="12" spans="1:16" x14ac:dyDescent="0.4">
      <c r="A12" s="61" t="s">
        <v>130</v>
      </c>
      <c r="B12" s="53">
        <v>27</v>
      </c>
      <c r="C12" s="35">
        <f>IF(B$24=0,0,B12/B$24)</f>
        <v>0.17880794701986755</v>
      </c>
      <c r="E12" s="68" t="s">
        <v>93</v>
      </c>
      <c r="F12" s="64" t="s">
        <v>46</v>
      </c>
      <c r="G12" s="50">
        <v>4</v>
      </c>
      <c r="H12" s="27">
        <f>IF(B$25=0,0,G12/B$25)</f>
        <v>0.1</v>
      </c>
      <c r="J12" s="26">
        <v>10</v>
      </c>
      <c r="K12" s="28">
        <v>-21.299999999999997</v>
      </c>
    </row>
    <row r="13" spans="1:16" x14ac:dyDescent="0.4">
      <c r="A13" s="58" t="s">
        <v>125</v>
      </c>
      <c r="B13" s="50">
        <v>58</v>
      </c>
      <c r="C13" s="27">
        <f>IF(B$24=0,0,B13/B$24)</f>
        <v>0.38410596026490068</v>
      </c>
      <c r="E13" s="68" t="s">
        <v>75</v>
      </c>
      <c r="F13" s="64" t="s">
        <v>28</v>
      </c>
      <c r="G13" s="50">
        <v>2</v>
      </c>
      <c r="H13" s="27">
        <f>IF(B$25=0,0,G13/B$25)</f>
        <v>0.05</v>
      </c>
      <c r="J13" s="26">
        <v>11</v>
      </c>
      <c r="K13" s="28">
        <v>-66</v>
      </c>
    </row>
    <row r="14" spans="1:16" x14ac:dyDescent="0.4">
      <c r="A14" s="57" t="s">
        <v>132</v>
      </c>
      <c r="B14" s="49">
        <v>14</v>
      </c>
      <c r="C14" s="24">
        <f>IF(B$12=0,0,B14/B$12)</f>
        <v>0.51851851851851849</v>
      </c>
      <c r="E14" s="68" t="s">
        <v>77</v>
      </c>
      <c r="F14" s="64" t="s">
        <v>30</v>
      </c>
      <c r="G14" s="50">
        <v>2</v>
      </c>
      <c r="H14" s="27">
        <f>IF(B$25=0,0,G14/B$25)</f>
        <v>0.05</v>
      </c>
      <c r="J14" s="26">
        <v>12</v>
      </c>
      <c r="K14" s="28">
        <v>-40.799999999999997</v>
      </c>
    </row>
    <row r="15" spans="1:16" x14ac:dyDescent="0.4">
      <c r="A15" s="57" t="s">
        <v>133</v>
      </c>
      <c r="B15" s="49">
        <v>21</v>
      </c>
      <c r="C15" s="24">
        <f>IF(B$13=0,0,B15/B$13)</f>
        <v>0.36206896551724138</v>
      </c>
      <c r="E15" s="68" t="s">
        <v>85</v>
      </c>
      <c r="F15" s="64" t="s">
        <v>38</v>
      </c>
      <c r="G15" s="50">
        <v>2</v>
      </c>
      <c r="H15" s="27">
        <f>IF(B$25=0,0,G15/B$25)</f>
        <v>0.05</v>
      </c>
      <c r="J15" s="26">
        <v>13</v>
      </c>
      <c r="K15" s="28">
        <v>-9.0999999999999943</v>
      </c>
    </row>
    <row r="16" spans="1:16" x14ac:dyDescent="0.4">
      <c r="A16" s="57" t="s">
        <v>10</v>
      </c>
      <c r="B16" s="49">
        <f>B18+B17</f>
        <v>40</v>
      </c>
      <c r="C16" s="24">
        <f>IF(B$3=0,0,B16/B$3)</f>
        <v>0.26490066225165565</v>
      </c>
      <c r="E16" s="68" t="s">
        <v>88</v>
      </c>
      <c r="F16" s="64" t="s">
        <v>41</v>
      </c>
      <c r="G16" s="50">
        <v>2</v>
      </c>
      <c r="H16" s="27">
        <f>IF(B$25=0,0,G16/B$25)</f>
        <v>0.05</v>
      </c>
      <c r="J16" s="26">
        <v>14</v>
      </c>
      <c r="K16" s="28">
        <v>-4.7999999999999945</v>
      </c>
    </row>
    <row r="17" spans="1:11" x14ac:dyDescent="0.4">
      <c r="A17" s="58" t="s">
        <v>12</v>
      </c>
      <c r="B17" s="50">
        <v>11</v>
      </c>
      <c r="C17" s="27">
        <f>IF(B$16=0,0,B17/B$16)</f>
        <v>0.27500000000000002</v>
      </c>
      <c r="E17" s="68" t="s">
        <v>83</v>
      </c>
      <c r="F17" s="64" t="s">
        <v>36</v>
      </c>
      <c r="G17" s="50">
        <v>1</v>
      </c>
      <c r="H17" s="27">
        <f>IF(B$25=0,0,G17/B$25)</f>
        <v>2.5000000000000001E-2</v>
      </c>
      <c r="J17" s="26">
        <v>15</v>
      </c>
      <c r="K17" s="28">
        <v>-42.199999999999996</v>
      </c>
    </row>
    <row r="18" spans="1:11" x14ac:dyDescent="0.4">
      <c r="A18" s="58" t="s">
        <v>11</v>
      </c>
      <c r="B18" s="50">
        <v>29</v>
      </c>
      <c r="C18" s="27">
        <f>IF(B$16=0,0,B18/B$16)</f>
        <v>0.72499999999999998</v>
      </c>
      <c r="E18" s="68" t="s">
        <v>84</v>
      </c>
      <c r="F18" s="64" t="s">
        <v>37</v>
      </c>
      <c r="G18" s="50">
        <v>1</v>
      </c>
      <c r="H18" s="27">
        <f>IF(B$25=0,0,G18/B$25)</f>
        <v>2.5000000000000001E-2</v>
      </c>
      <c r="J18" s="26">
        <v>16</v>
      </c>
      <c r="K18" s="28">
        <v>-24.599999999999994</v>
      </c>
    </row>
    <row r="19" spans="1:11" x14ac:dyDescent="0.4">
      <c r="A19" s="58" t="s">
        <v>13</v>
      </c>
      <c r="B19" s="50">
        <v>26</v>
      </c>
      <c r="C19" s="27">
        <f>IF(B$3=0,0,B19/B$3)</f>
        <v>0.17218543046357615</v>
      </c>
      <c r="E19" s="68" t="s">
        <v>92</v>
      </c>
      <c r="F19" s="64" t="s">
        <v>45</v>
      </c>
      <c r="G19" s="50">
        <v>1</v>
      </c>
      <c r="H19" s="27">
        <f>IF(B$25=0,0,G19/B$25)</f>
        <v>2.5000000000000001E-2</v>
      </c>
      <c r="J19" s="26">
        <v>17</v>
      </c>
      <c r="K19" s="28">
        <v>-37.799999999999997</v>
      </c>
    </row>
    <row r="20" spans="1:11" x14ac:dyDescent="0.4">
      <c r="A20" s="58" t="s">
        <v>5</v>
      </c>
      <c r="B20" s="54">
        <f>IF(B$16=0,0,C20/B$16)</f>
        <v>9597.5</v>
      </c>
      <c r="C20" s="30">
        <v>383900</v>
      </c>
      <c r="E20" s="68" t="s">
        <v>98</v>
      </c>
      <c r="F20" s="64" t="s">
        <v>51</v>
      </c>
      <c r="G20" s="50">
        <v>1</v>
      </c>
      <c r="H20" s="27">
        <f>IF(B$25=0,0,G20/B$25)</f>
        <v>2.5000000000000001E-2</v>
      </c>
      <c r="J20" s="26">
        <v>18</v>
      </c>
      <c r="K20" s="28">
        <v>-57.4</v>
      </c>
    </row>
    <row r="21" spans="1:11" x14ac:dyDescent="0.4">
      <c r="A21" s="60" t="s">
        <v>14</v>
      </c>
      <c r="B21" s="55">
        <f>IF(B$19=0,0,C21/B$19)</f>
        <v>-8165.3846153846152</v>
      </c>
      <c r="C21" s="48">
        <v>-212300</v>
      </c>
      <c r="E21" s="68" t="s">
        <v>79</v>
      </c>
      <c r="F21" s="64" t="s">
        <v>32</v>
      </c>
      <c r="G21" s="50">
        <v>0</v>
      </c>
      <c r="H21" s="27">
        <f>IF(B$25=0,0,G21/B$25)</f>
        <v>0</v>
      </c>
      <c r="J21" s="26">
        <v>19</v>
      </c>
      <c r="K21" s="28">
        <v>-57</v>
      </c>
    </row>
    <row r="22" spans="1:11" x14ac:dyDescent="0.4">
      <c r="A22" s="57" t="s">
        <v>178</v>
      </c>
      <c r="B22" s="49">
        <v>45</v>
      </c>
      <c r="C22" s="24">
        <f>IF(B$3=0,0,B22/B$3)</f>
        <v>0.29801324503311261</v>
      </c>
      <c r="E22" s="68" t="s">
        <v>80</v>
      </c>
      <c r="F22" s="64" t="s">
        <v>33</v>
      </c>
      <c r="G22" s="50">
        <v>0</v>
      </c>
      <c r="H22" s="27">
        <f>IF(B$25=0,0,G22/B$25)</f>
        <v>0</v>
      </c>
    </row>
    <row r="23" spans="1:11" x14ac:dyDescent="0.4">
      <c r="A23" s="60" t="s">
        <v>179</v>
      </c>
      <c r="B23" s="52">
        <v>12</v>
      </c>
      <c r="C23" s="32">
        <f>IF(B$22=0,0,B23/B$22)</f>
        <v>0.26666666666666666</v>
      </c>
      <c r="E23" s="68" t="s">
        <v>81</v>
      </c>
      <c r="F23" s="64" t="s">
        <v>34</v>
      </c>
      <c r="G23" s="50">
        <v>0</v>
      </c>
      <c r="H23" s="27">
        <f>IF(B$25=0,0,G23/B$25)</f>
        <v>0</v>
      </c>
    </row>
    <row r="24" spans="1:11" x14ac:dyDescent="0.4">
      <c r="A24" s="57" t="s">
        <v>128</v>
      </c>
      <c r="B24" s="87">
        <v>151</v>
      </c>
      <c r="C24" s="88"/>
      <c r="E24" s="68" t="s">
        <v>82</v>
      </c>
      <c r="F24" s="64" t="s">
        <v>35</v>
      </c>
      <c r="G24" s="50">
        <v>0</v>
      </c>
      <c r="H24" s="27">
        <f>IF(B$25=0,0,G24/B$25)</f>
        <v>0</v>
      </c>
    </row>
    <row r="25" spans="1:11" x14ac:dyDescent="0.4">
      <c r="A25" s="60" t="s">
        <v>129</v>
      </c>
      <c r="B25" s="89">
        <v>40</v>
      </c>
      <c r="C25" s="90"/>
      <c r="E25" s="68" t="s">
        <v>86</v>
      </c>
      <c r="F25" s="64" t="s">
        <v>39</v>
      </c>
      <c r="G25" s="50">
        <v>0</v>
      </c>
      <c r="H25" s="27">
        <f>IF(B$25=0,0,G25/B$25)</f>
        <v>0</v>
      </c>
    </row>
    <row r="26" spans="1:11" x14ac:dyDescent="0.4">
      <c r="A26" s="75" t="s">
        <v>196</v>
      </c>
      <c r="B26" s="83">
        <v>5</v>
      </c>
      <c r="C26" s="84"/>
      <c r="E26" s="68" t="s">
        <v>87</v>
      </c>
      <c r="F26" s="64" t="s">
        <v>40</v>
      </c>
      <c r="G26" s="50">
        <v>0</v>
      </c>
      <c r="H26" s="27">
        <f>IF(B$25=0,0,G26/B$25)</f>
        <v>0</v>
      </c>
    </row>
    <row r="27" spans="1:11" x14ac:dyDescent="0.4">
      <c r="A27" s="60" t="s">
        <v>198</v>
      </c>
      <c r="B27" s="76">
        <v>0</v>
      </c>
      <c r="C27" s="32">
        <f>IF(B$3=0,0,B27/B$3)</f>
        <v>0</v>
      </c>
      <c r="E27" s="68" t="s">
        <v>89</v>
      </c>
      <c r="F27" s="64" t="s">
        <v>42</v>
      </c>
      <c r="G27" s="50">
        <v>0</v>
      </c>
      <c r="H27" s="27">
        <f>IF(B$25=0,0,G27/B$25)</f>
        <v>0</v>
      </c>
    </row>
    <row r="28" spans="1:11" x14ac:dyDescent="0.4">
      <c r="E28" s="68" t="s">
        <v>91</v>
      </c>
      <c r="F28" s="64" t="s">
        <v>44</v>
      </c>
      <c r="G28" s="50">
        <v>0</v>
      </c>
      <c r="H28" s="27">
        <f>IF(B$25=0,0,G28/B$25)</f>
        <v>0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Template</vt:lpstr>
      <vt:lpstr>Cache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2019-01-28T07:17:28Z</dcterms:modified>
</cp:coreProperties>
</file>