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DA96275-A0F3-478C-8164-9E2B910621F2}" xr6:coauthVersionLast="36" xr6:coauthVersionMax="36" xr10:uidLastSave="{00000000-0000-0000-0000-000000000000}"/>
  <bookViews>
    <workbookView xWindow="0" yWindow="0" windowWidth="28800" windowHeight="13056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467" r:id="rId6"/>
    <sheet name="だいち" sheetId="3469" r:id="rId7"/>
    <sheet name="かこたろう" sheetId="3471" r:id="rId8"/>
    <sheet name="ともき" sheetId="3473" r:id="rId9"/>
    <sheet name="りくと" sheetId="3475" r:id="rId10"/>
    <sheet name="いっしー" sheetId="3477" r:id="rId11"/>
    <sheet name="がくと" sheetId="3479" r:id="rId12"/>
    <sheet name="たかの" sheetId="3481" r:id="rId13"/>
    <sheet name="ただ" sheetId="3483" r:id="rId14"/>
    <sheet name="やがさき" sheetId="3485" r:id="rId15"/>
    <sheet name="れんたろう" sheetId="3487" r:id="rId16"/>
    <sheet name="あさひ" sheetId="3489" r:id="rId17"/>
    <sheet name="まっつん" sheetId="3491" r:id="rId18"/>
    <sheet name="まっつん2" sheetId="3492" state="hidden" r:id="rId19"/>
    <sheet name="あさひ2" sheetId="3490" state="hidden" r:id="rId20"/>
    <sheet name="れんたろう2" sheetId="3488" state="hidden" r:id="rId21"/>
    <sheet name="やがさき2" sheetId="3486" state="hidden" r:id="rId22"/>
    <sheet name="ただ2" sheetId="3484" state="hidden" r:id="rId23"/>
    <sheet name="たかの2" sheetId="3482" state="hidden" r:id="rId24"/>
    <sheet name="がくと2" sheetId="3480" state="hidden" r:id="rId25"/>
    <sheet name="いっしー2" sheetId="3478" state="hidden" r:id="rId26"/>
    <sheet name="りくと2" sheetId="3476" state="hidden" r:id="rId27"/>
    <sheet name="ともき2" sheetId="3474" state="hidden" r:id="rId28"/>
    <sheet name="かこたろう2" sheetId="3472" state="hidden" r:id="rId29"/>
    <sheet name="だいち2" sheetId="3470" state="hidden" r:id="rId30"/>
    <sheet name="全体2" sheetId="3468" state="hidden" r:id="rId31"/>
    <sheet name="通算スコア" sheetId="3331" state="hidden" r:id="rId32"/>
    <sheet name="平均スコア" sheetId="3182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491" l="1"/>
  <c r="H50" i="3491"/>
  <c r="H49" i="3491"/>
  <c r="H48" i="3491"/>
  <c r="H47" i="3491"/>
  <c r="H46" i="3491"/>
  <c r="H45" i="3491"/>
  <c r="H44" i="3491"/>
  <c r="H43" i="3491"/>
  <c r="H42" i="3491"/>
  <c r="H41" i="3491"/>
  <c r="H40" i="3491"/>
  <c r="H39" i="3491"/>
  <c r="H38" i="3491"/>
  <c r="H37" i="3491"/>
  <c r="H36" i="3491"/>
  <c r="H35" i="3491"/>
  <c r="H34" i="3491"/>
  <c r="H33" i="3491"/>
  <c r="H32" i="3491"/>
  <c r="H20" i="3491"/>
  <c r="H31" i="3491"/>
  <c r="H6" i="3491"/>
  <c r="H30" i="3491"/>
  <c r="C28" i="3491"/>
  <c r="H29" i="3491"/>
  <c r="H12" i="3491"/>
  <c r="H19" i="3491"/>
  <c r="H28" i="3491"/>
  <c r="H8" i="3491"/>
  <c r="C23" i="3491"/>
  <c r="H27" i="3491"/>
  <c r="C22" i="3491"/>
  <c r="H16" i="3491"/>
  <c r="B21" i="3491"/>
  <c r="H26" i="3491"/>
  <c r="H25" i="3491"/>
  <c r="C19" i="3491"/>
  <c r="H15" i="3491"/>
  <c r="H18" i="3491"/>
  <c r="H17" i="3491"/>
  <c r="B16" i="3491"/>
  <c r="C17" i="3491" s="1"/>
  <c r="H24" i="3491"/>
  <c r="C15" i="3491"/>
  <c r="H23" i="3491"/>
  <c r="C14" i="3491"/>
  <c r="H22" i="3491"/>
  <c r="C13" i="3491"/>
  <c r="H21" i="3491"/>
  <c r="C12" i="3491"/>
  <c r="H4" i="3491"/>
  <c r="C11" i="3491"/>
  <c r="H14" i="3491"/>
  <c r="C10" i="3491"/>
  <c r="H11" i="3491"/>
  <c r="C9" i="3491"/>
  <c r="H13" i="3491"/>
  <c r="C8" i="3491"/>
  <c r="O7" i="3491"/>
  <c r="H7" i="3491"/>
  <c r="C7" i="3491"/>
  <c r="O6" i="3491"/>
  <c r="H2" i="3491"/>
  <c r="B6" i="3491"/>
  <c r="O5" i="3491"/>
  <c r="H10" i="3491"/>
  <c r="B5" i="3491"/>
  <c r="O4" i="3491"/>
  <c r="H3" i="3491"/>
  <c r="O3" i="3491"/>
  <c r="H9" i="3491"/>
  <c r="O2" i="3491"/>
  <c r="H5" i="3491"/>
  <c r="C18" i="3491" l="1"/>
  <c r="B20" i="3491"/>
  <c r="C16" i="3491"/>
  <c r="H51" i="3489" l="1"/>
  <c r="H50" i="3489"/>
  <c r="H49" i="3489"/>
  <c r="H48" i="3489"/>
  <c r="H47" i="3489"/>
  <c r="H46" i="3489"/>
  <c r="H45" i="3489"/>
  <c r="H44" i="3489"/>
  <c r="H43" i="3489"/>
  <c r="H42" i="3489"/>
  <c r="H41" i="3489"/>
  <c r="H40" i="3489"/>
  <c r="H39" i="3489"/>
  <c r="H38" i="3489"/>
  <c r="H37" i="3489"/>
  <c r="H36" i="3489"/>
  <c r="H35" i="3489"/>
  <c r="H34" i="3489"/>
  <c r="H33" i="3489"/>
  <c r="H32" i="3489"/>
  <c r="H14" i="3489"/>
  <c r="H31" i="3489"/>
  <c r="H11" i="3489"/>
  <c r="H30" i="3489"/>
  <c r="C28" i="3489"/>
  <c r="H29" i="3489"/>
  <c r="H10" i="3489"/>
  <c r="H28" i="3489"/>
  <c r="H27" i="3489"/>
  <c r="H26" i="3489"/>
  <c r="C23" i="3489"/>
  <c r="H25" i="3489"/>
  <c r="C22" i="3489"/>
  <c r="H24" i="3489"/>
  <c r="B21" i="3489"/>
  <c r="H23" i="3489"/>
  <c r="H22" i="3489"/>
  <c r="C19" i="3489"/>
  <c r="H21" i="3489"/>
  <c r="H20" i="3489"/>
  <c r="H19" i="3489"/>
  <c r="B16" i="3489"/>
  <c r="C17" i="3489" s="1"/>
  <c r="H18" i="3489"/>
  <c r="C15" i="3489"/>
  <c r="H17" i="3489"/>
  <c r="C14" i="3489"/>
  <c r="H16" i="3489"/>
  <c r="C13" i="3489"/>
  <c r="H15" i="3489"/>
  <c r="C12" i="3489"/>
  <c r="H5" i="3489"/>
  <c r="C11" i="3489"/>
  <c r="H13" i="3489"/>
  <c r="C10" i="3489"/>
  <c r="H7" i="3489"/>
  <c r="C9" i="3489"/>
  <c r="H9" i="3489"/>
  <c r="C8" i="3489"/>
  <c r="O7" i="3489"/>
  <c r="H8" i="3489"/>
  <c r="C7" i="3489"/>
  <c r="O6" i="3489"/>
  <c r="H3" i="3489"/>
  <c r="B6" i="3489"/>
  <c r="O5" i="3489"/>
  <c r="H6" i="3489"/>
  <c r="B5" i="3489"/>
  <c r="O4" i="3489"/>
  <c r="H2" i="3489"/>
  <c r="O3" i="3489"/>
  <c r="H12" i="3489"/>
  <c r="O2" i="3489"/>
  <c r="H4" i="3489"/>
  <c r="C16" i="3489" l="1"/>
  <c r="C18" i="3489"/>
  <c r="B20" i="3489"/>
  <c r="H51" i="3487" l="1"/>
  <c r="H50" i="3487"/>
  <c r="H49" i="3487"/>
  <c r="H48" i="3487"/>
  <c r="H47" i="3487"/>
  <c r="H46" i="3487"/>
  <c r="H45" i="3487"/>
  <c r="H44" i="3487"/>
  <c r="H43" i="3487"/>
  <c r="H42" i="3487"/>
  <c r="H41" i="3487"/>
  <c r="H40" i="3487"/>
  <c r="H39" i="3487"/>
  <c r="H38" i="3487"/>
  <c r="H37" i="3487"/>
  <c r="H36" i="3487"/>
  <c r="H35" i="3487"/>
  <c r="H34" i="3487"/>
  <c r="H23" i="3487"/>
  <c r="H33" i="3487"/>
  <c r="H22" i="3487"/>
  <c r="H32" i="3487"/>
  <c r="H9" i="3487"/>
  <c r="H31" i="3487"/>
  <c r="C28" i="3487"/>
  <c r="H30" i="3487"/>
  <c r="H12" i="3487"/>
  <c r="H29" i="3487"/>
  <c r="H21" i="3487"/>
  <c r="H16" i="3487"/>
  <c r="C23" i="3487"/>
  <c r="H28" i="3487"/>
  <c r="C22" i="3487"/>
  <c r="H17" i="3487"/>
  <c r="B21" i="3487"/>
  <c r="H27" i="3487"/>
  <c r="H26" i="3487"/>
  <c r="C19" i="3487"/>
  <c r="H20" i="3487"/>
  <c r="H13" i="3487"/>
  <c r="H19" i="3487"/>
  <c r="B16" i="3487"/>
  <c r="C17" i="3487" s="1"/>
  <c r="H25" i="3487"/>
  <c r="C15" i="3487"/>
  <c r="H18" i="3487"/>
  <c r="C14" i="3487"/>
  <c r="H24" i="3487"/>
  <c r="C13" i="3487"/>
  <c r="H15" i="3487"/>
  <c r="C12" i="3487"/>
  <c r="H4" i="3487"/>
  <c r="C11" i="3487"/>
  <c r="H14" i="3487"/>
  <c r="C10" i="3487"/>
  <c r="H10" i="3487"/>
  <c r="C9" i="3487"/>
  <c r="H8" i="3487"/>
  <c r="C8" i="3487"/>
  <c r="O7" i="3487"/>
  <c r="H7" i="3487"/>
  <c r="C7" i="3487"/>
  <c r="O6" i="3487"/>
  <c r="H2" i="3487"/>
  <c r="B6" i="3487"/>
  <c r="O5" i="3487"/>
  <c r="H6" i="3487"/>
  <c r="B5" i="3487"/>
  <c r="O4" i="3487"/>
  <c r="H3" i="3487"/>
  <c r="O3" i="3487"/>
  <c r="H11" i="3487"/>
  <c r="O2" i="3487"/>
  <c r="H5" i="3487"/>
  <c r="C18" i="3487" l="1"/>
  <c r="C16" i="3487"/>
  <c r="B20" i="3487"/>
  <c r="H51" i="3485" l="1"/>
  <c r="H50" i="3485"/>
  <c r="H49" i="3485"/>
  <c r="H48" i="3485"/>
  <c r="H47" i="3485"/>
  <c r="H46" i="3485"/>
  <c r="H45" i="3485"/>
  <c r="H44" i="3485"/>
  <c r="H43" i="3485"/>
  <c r="H42" i="3485"/>
  <c r="H41" i="3485"/>
  <c r="H40" i="3485"/>
  <c r="H39" i="3485"/>
  <c r="H38" i="3485"/>
  <c r="H37" i="3485"/>
  <c r="H36" i="3485"/>
  <c r="H35" i="3485"/>
  <c r="H34" i="3485"/>
  <c r="H33" i="3485"/>
  <c r="H15" i="3485"/>
  <c r="H32" i="3485"/>
  <c r="H31" i="3485"/>
  <c r="H14" i="3485"/>
  <c r="H30" i="3485"/>
  <c r="C28" i="3485"/>
  <c r="H29" i="3485"/>
  <c r="H13" i="3485"/>
  <c r="H28" i="3485"/>
  <c r="H27" i="3485"/>
  <c r="H26" i="3485"/>
  <c r="C23" i="3485"/>
  <c r="H25" i="3485"/>
  <c r="C22" i="3485"/>
  <c r="H24" i="3485"/>
  <c r="B21" i="3485"/>
  <c r="H23" i="3485"/>
  <c r="H22" i="3485"/>
  <c r="C19" i="3485"/>
  <c r="H21" i="3485"/>
  <c r="H12" i="3485"/>
  <c r="H20" i="3485"/>
  <c r="B16" i="3485"/>
  <c r="C17" i="3485" s="1"/>
  <c r="H19" i="3485"/>
  <c r="C15" i="3485"/>
  <c r="H18" i="3485"/>
  <c r="C14" i="3485"/>
  <c r="H17" i="3485"/>
  <c r="C13" i="3485"/>
  <c r="H16" i="3485"/>
  <c r="C12" i="3485"/>
  <c r="H7" i="3485"/>
  <c r="C11" i="3485"/>
  <c r="H11" i="3485"/>
  <c r="C10" i="3485"/>
  <c r="H10" i="3485"/>
  <c r="C9" i="3485"/>
  <c r="H9" i="3485"/>
  <c r="C8" i="3485"/>
  <c r="O7" i="3485"/>
  <c r="H6" i="3485"/>
  <c r="C7" i="3485"/>
  <c r="O6" i="3485"/>
  <c r="H2" i="3485"/>
  <c r="B6" i="3485"/>
  <c r="O5" i="3485"/>
  <c r="H4" i="3485"/>
  <c r="B5" i="3485"/>
  <c r="O4" i="3485"/>
  <c r="H5" i="3485"/>
  <c r="O3" i="3485"/>
  <c r="H8" i="3485"/>
  <c r="O2" i="3485"/>
  <c r="H3" i="3485"/>
  <c r="C16" i="3485" l="1"/>
  <c r="C18" i="3485"/>
  <c r="B20" i="3485"/>
  <c r="H51" i="3483" l="1"/>
  <c r="H50" i="3483"/>
  <c r="H49" i="3483"/>
  <c r="H48" i="3483"/>
  <c r="H47" i="3483"/>
  <c r="H46" i="3483"/>
  <c r="H45" i="3483"/>
  <c r="H44" i="3483"/>
  <c r="H43" i="3483"/>
  <c r="H42" i="3483"/>
  <c r="H41" i="3483"/>
  <c r="H40" i="3483"/>
  <c r="H39" i="3483"/>
  <c r="H38" i="3483"/>
  <c r="H37" i="3483"/>
  <c r="H36" i="3483"/>
  <c r="H35" i="3483"/>
  <c r="H34" i="3483"/>
  <c r="H33" i="3483"/>
  <c r="H32" i="3483"/>
  <c r="H17" i="3483"/>
  <c r="H31" i="3483"/>
  <c r="H10" i="3483"/>
  <c r="H30" i="3483"/>
  <c r="C28" i="3483"/>
  <c r="H29" i="3483"/>
  <c r="H14" i="3483"/>
  <c r="H28" i="3483"/>
  <c r="H21" i="3483"/>
  <c r="H20" i="3483"/>
  <c r="C23" i="3483"/>
  <c r="H27" i="3483"/>
  <c r="C22" i="3483"/>
  <c r="H16" i="3483"/>
  <c r="B21" i="3483"/>
  <c r="H26" i="3483"/>
  <c r="H25" i="3483"/>
  <c r="C19" i="3483"/>
  <c r="H24" i="3483"/>
  <c r="H13" i="3483"/>
  <c r="H15" i="3483"/>
  <c r="B16" i="3483"/>
  <c r="B20" i="3483" s="1"/>
  <c r="H23" i="3483"/>
  <c r="C15" i="3483"/>
  <c r="H19" i="3483"/>
  <c r="C14" i="3483"/>
  <c r="H18" i="3483"/>
  <c r="C13" i="3483"/>
  <c r="H22" i="3483"/>
  <c r="C12" i="3483"/>
  <c r="H5" i="3483"/>
  <c r="C11" i="3483"/>
  <c r="H12" i="3483"/>
  <c r="C10" i="3483"/>
  <c r="H11" i="3483"/>
  <c r="C9" i="3483"/>
  <c r="H8" i="3483"/>
  <c r="C8" i="3483"/>
  <c r="O7" i="3483"/>
  <c r="H7" i="3483"/>
  <c r="C7" i="3483"/>
  <c r="O6" i="3483"/>
  <c r="H2" i="3483"/>
  <c r="B6" i="3483"/>
  <c r="O5" i="3483"/>
  <c r="H6" i="3483"/>
  <c r="B5" i="3483"/>
  <c r="O4" i="3483"/>
  <c r="H3" i="3483"/>
  <c r="O3" i="3483"/>
  <c r="H9" i="3483"/>
  <c r="O2" i="3483"/>
  <c r="H4" i="3483"/>
  <c r="H51" i="3481"/>
  <c r="H50" i="3481"/>
  <c r="H49" i="3481"/>
  <c r="H48" i="3481"/>
  <c r="H47" i="3481"/>
  <c r="H46" i="3481"/>
  <c r="H45" i="3481"/>
  <c r="H44" i="3481"/>
  <c r="H43" i="3481"/>
  <c r="H42" i="3481"/>
  <c r="H41" i="3481"/>
  <c r="H40" i="3481"/>
  <c r="H39" i="3481"/>
  <c r="H38" i="3481"/>
  <c r="H37" i="3481"/>
  <c r="H36" i="3481"/>
  <c r="H35" i="3481"/>
  <c r="H34" i="3481"/>
  <c r="H33" i="3481"/>
  <c r="H32" i="3481"/>
  <c r="H31" i="3481"/>
  <c r="H30" i="3481"/>
  <c r="H10" i="3481"/>
  <c r="H29" i="3481"/>
  <c r="C28" i="3481"/>
  <c r="H28" i="3481"/>
  <c r="H15" i="3481"/>
  <c r="H27" i="3481"/>
  <c r="H26" i="3481"/>
  <c r="H18" i="3481"/>
  <c r="C23" i="3481"/>
  <c r="H25" i="3481"/>
  <c r="C22" i="3481"/>
  <c r="H17" i="3481"/>
  <c r="B21" i="3481"/>
  <c r="H24" i="3481"/>
  <c r="H23" i="3481"/>
  <c r="C19" i="3481"/>
  <c r="H14" i="3481"/>
  <c r="H13" i="3481"/>
  <c r="H22" i="3481"/>
  <c r="B16" i="3481"/>
  <c r="C18" i="3481" s="1"/>
  <c r="H21" i="3481"/>
  <c r="C15" i="3481"/>
  <c r="H16" i="3481"/>
  <c r="C14" i="3481"/>
  <c r="H20" i="3481"/>
  <c r="C13" i="3481"/>
  <c r="H19" i="3481"/>
  <c r="C12" i="3481"/>
  <c r="H4" i="3481"/>
  <c r="C11" i="3481"/>
  <c r="H12" i="3481"/>
  <c r="C10" i="3481"/>
  <c r="H11" i="3481"/>
  <c r="C9" i="3481"/>
  <c r="H9" i="3481"/>
  <c r="C8" i="3481"/>
  <c r="O7" i="3481"/>
  <c r="H6" i="3481"/>
  <c r="C7" i="3481"/>
  <c r="O6" i="3481"/>
  <c r="H2" i="3481"/>
  <c r="B6" i="3481"/>
  <c r="O5" i="3481"/>
  <c r="H8" i="3481"/>
  <c r="B5" i="3481"/>
  <c r="O4" i="3481"/>
  <c r="H3" i="3481"/>
  <c r="O3" i="3481"/>
  <c r="H7" i="3481"/>
  <c r="O2" i="3481"/>
  <c r="H5" i="3481"/>
  <c r="C16" i="3483" l="1"/>
  <c r="C17" i="3483"/>
  <c r="C18" i="3483"/>
  <c r="C17" i="3481"/>
  <c r="C16" i="3481"/>
  <c r="B20" i="3481"/>
  <c r="H51" i="3479" l="1"/>
  <c r="H50" i="3479"/>
  <c r="H49" i="3479"/>
  <c r="H48" i="3479"/>
  <c r="H47" i="3479"/>
  <c r="H46" i="3479"/>
  <c r="H45" i="3479"/>
  <c r="H44" i="3479"/>
  <c r="H43" i="3479"/>
  <c r="H42" i="3479"/>
  <c r="H41" i="3479"/>
  <c r="H40" i="3479"/>
  <c r="H39" i="3479"/>
  <c r="H38" i="3479"/>
  <c r="H37" i="3479"/>
  <c r="H36" i="3479"/>
  <c r="H35" i="3479"/>
  <c r="H34" i="3479"/>
  <c r="H33" i="3479"/>
  <c r="H32" i="3479"/>
  <c r="H31" i="3479"/>
  <c r="H30" i="3479"/>
  <c r="H29" i="3479"/>
  <c r="H28" i="3479"/>
  <c r="C28" i="3479"/>
  <c r="H27" i="3479"/>
  <c r="H11" i="3479"/>
  <c r="H26" i="3479"/>
  <c r="H25" i="3479"/>
  <c r="H24" i="3479"/>
  <c r="C23" i="3479"/>
  <c r="H23" i="3479"/>
  <c r="C22" i="3479"/>
  <c r="H22" i="3479"/>
  <c r="B21" i="3479"/>
  <c r="H21" i="3479"/>
  <c r="H20" i="3479"/>
  <c r="C19" i="3479"/>
  <c r="H8" i="3479"/>
  <c r="H19" i="3479"/>
  <c r="H18" i="3479"/>
  <c r="B16" i="3479"/>
  <c r="C18" i="3479" s="1"/>
  <c r="H17" i="3479"/>
  <c r="C15" i="3479"/>
  <c r="H16" i="3479"/>
  <c r="C14" i="3479"/>
  <c r="H15" i="3479"/>
  <c r="C13" i="3479"/>
  <c r="H14" i="3479"/>
  <c r="C12" i="3479"/>
  <c r="H5" i="3479"/>
  <c r="C11" i="3479"/>
  <c r="H13" i="3479"/>
  <c r="C10" i="3479"/>
  <c r="H12" i="3479"/>
  <c r="C9" i="3479"/>
  <c r="H10" i="3479"/>
  <c r="C8" i="3479"/>
  <c r="O7" i="3479"/>
  <c r="H6" i="3479"/>
  <c r="C7" i="3479"/>
  <c r="O6" i="3479"/>
  <c r="H3" i="3479"/>
  <c r="B6" i="3479"/>
  <c r="O5" i="3479"/>
  <c r="H7" i="3479"/>
  <c r="B5" i="3479"/>
  <c r="O4" i="3479"/>
  <c r="H9" i="3479"/>
  <c r="O3" i="3479"/>
  <c r="H4" i="3479"/>
  <c r="O2" i="3479"/>
  <c r="H2" i="3479"/>
  <c r="C16" i="3479" l="1"/>
  <c r="B20" i="3479"/>
  <c r="C17" i="3479"/>
  <c r="H51" i="3477" l="1"/>
  <c r="H50" i="3477"/>
  <c r="H49" i="3477"/>
  <c r="H48" i="3477"/>
  <c r="H47" i="3477"/>
  <c r="H46" i="3477"/>
  <c r="H45" i="3477"/>
  <c r="H44" i="3477"/>
  <c r="H43" i="3477"/>
  <c r="H42" i="3477"/>
  <c r="H41" i="3477"/>
  <c r="H40" i="3477"/>
  <c r="H39" i="3477"/>
  <c r="H38" i="3477"/>
  <c r="H37" i="3477"/>
  <c r="H36" i="3477"/>
  <c r="H35" i="3477"/>
  <c r="H34" i="3477"/>
  <c r="H17" i="3477"/>
  <c r="H33" i="3477"/>
  <c r="H32" i="3477"/>
  <c r="H31" i="3477"/>
  <c r="H13" i="3477"/>
  <c r="H30" i="3477"/>
  <c r="C28" i="3477"/>
  <c r="H29" i="3477"/>
  <c r="H12" i="3477"/>
  <c r="H28" i="3477"/>
  <c r="H27" i="3477"/>
  <c r="H11" i="3477"/>
  <c r="C23" i="3477"/>
  <c r="H26" i="3477"/>
  <c r="C22" i="3477"/>
  <c r="H14" i="3477"/>
  <c r="B21" i="3477"/>
  <c r="H25" i="3477"/>
  <c r="H24" i="3477"/>
  <c r="C19" i="3477"/>
  <c r="H23" i="3477"/>
  <c r="H16" i="3477"/>
  <c r="H22" i="3477"/>
  <c r="B16" i="3477"/>
  <c r="C17" i="3477" s="1"/>
  <c r="H21" i="3477"/>
  <c r="C15" i="3477"/>
  <c r="H20" i="3477"/>
  <c r="C14" i="3477"/>
  <c r="H19" i="3477"/>
  <c r="C13" i="3477"/>
  <c r="H18" i="3477"/>
  <c r="C12" i="3477"/>
  <c r="H4" i="3477"/>
  <c r="C11" i="3477"/>
  <c r="H15" i="3477"/>
  <c r="C10" i="3477"/>
  <c r="H9" i="3477"/>
  <c r="C9" i="3477"/>
  <c r="H8" i="3477"/>
  <c r="C8" i="3477"/>
  <c r="O7" i="3477"/>
  <c r="H7" i="3477"/>
  <c r="C7" i="3477"/>
  <c r="O6" i="3477"/>
  <c r="H3" i="3477"/>
  <c r="B6" i="3477"/>
  <c r="O5" i="3477"/>
  <c r="H6" i="3477"/>
  <c r="B5" i="3477"/>
  <c r="O4" i="3477"/>
  <c r="H2" i="3477"/>
  <c r="O3" i="3477"/>
  <c r="H10" i="3477"/>
  <c r="O2" i="3477"/>
  <c r="H5" i="3477"/>
  <c r="H51" i="3475"/>
  <c r="H50" i="3475"/>
  <c r="H49" i="3475"/>
  <c r="H48" i="3475"/>
  <c r="H47" i="3475"/>
  <c r="H46" i="3475"/>
  <c r="H45" i="3475"/>
  <c r="H44" i="3475"/>
  <c r="H43" i="3475"/>
  <c r="H42" i="3475"/>
  <c r="H41" i="3475"/>
  <c r="H40" i="3475"/>
  <c r="H39" i="3475"/>
  <c r="H38" i="3475"/>
  <c r="H37" i="3475"/>
  <c r="H36" i="3475"/>
  <c r="H35" i="3475"/>
  <c r="H34" i="3475"/>
  <c r="H33" i="3475"/>
  <c r="H20" i="3475"/>
  <c r="H14" i="3475"/>
  <c r="H32" i="3475"/>
  <c r="H8" i="3475"/>
  <c r="H24" i="3475"/>
  <c r="C28" i="3475"/>
  <c r="H23" i="3475"/>
  <c r="H12" i="3475"/>
  <c r="H19" i="3475"/>
  <c r="H22" i="3475"/>
  <c r="H13" i="3475"/>
  <c r="C23" i="3475"/>
  <c r="H31" i="3475"/>
  <c r="C22" i="3475"/>
  <c r="H15" i="3475"/>
  <c r="B21" i="3475"/>
  <c r="H21" i="3475"/>
  <c r="H30" i="3475"/>
  <c r="C19" i="3475"/>
  <c r="H18" i="3475"/>
  <c r="H17" i="3475"/>
  <c r="H29" i="3475"/>
  <c r="B16" i="3475"/>
  <c r="C17" i="3475" s="1"/>
  <c r="H28" i="3475"/>
  <c r="C15" i="3475"/>
  <c r="H27" i="3475"/>
  <c r="C14" i="3475"/>
  <c r="H26" i="3475"/>
  <c r="C13" i="3475"/>
  <c r="H25" i="3475"/>
  <c r="C12" i="3475"/>
  <c r="H5" i="3475"/>
  <c r="C11" i="3475"/>
  <c r="H16" i="3475"/>
  <c r="C10" i="3475"/>
  <c r="H11" i="3475"/>
  <c r="C9" i="3475"/>
  <c r="H10" i="3475"/>
  <c r="C8" i="3475"/>
  <c r="O7" i="3475"/>
  <c r="H6" i="3475"/>
  <c r="C7" i="3475"/>
  <c r="O6" i="3475"/>
  <c r="H2" i="3475"/>
  <c r="B6" i="3475"/>
  <c r="O5" i="3475"/>
  <c r="H7" i="3475"/>
  <c r="B5" i="3475"/>
  <c r="O4" i="3475"/>
  <c r="H3" i="3475"/>
  <c r="O3" i="3475"/>
  <c r="H9" i="3475"/>
  <c r="O2" i="3475"/>
  <c r="H4" i="3475"/>
  <c r="C18" i="3475" l="1"/>
  <c r="C16" i="3477"/>
  <c r="C18" i="3477"/>
  <c r="B20" i="3477"/>
  <c r="C16" i="3475"/>
  <c r="B20" i="3475"/>
  <c r="H51" i="3473" l="1"/>
  <c r="H50" i="3473"/>
  <c r="H49" i="3473"/>
  <c r="H48" i="3473"/>
  <c r="H47" i="3473"/>
  <c r="H46" i="3473"/>
  <c r="H45" i="3473"/>
  <c r="H44" i="3473"/>
  <c r="H43" i="3473"/>
  <c r="H42" i="3473"/>
  <c r="H41" i="3473"/>
  <c r="H40" i="3473"/>
  <c r="H39" i="3473"/>
  <c r="H38" i="3473"/>
  <c r="H37" i="3473"/>
  <c r="H36" i="3473"/>
  <c r="H35" i="3473"/>
  <c r="H34" i="3473"/>
  <c r="H33" i="3473"/>
  <c r="H32" i="3473"/>
  <c r="H31" i="3473"/>
  <c r="H30" i="3473"/>
  <c r="H29" i="3473"/>
  <c r="H28" i="3473"/>
  <c r="C28" i="3473"/>
  <c r="H27" i="3473"/>
  <c r="H26" i="3473"/>
  <c r="H25" i="3473"/>
  <c r="H24" i="3473"/>
  <c r="H23" i="3473"/>
  <c r="C23" i="3473"/>
  <c r="H22" i="3473"/>
  <c r="C22" i="3473"/>
  <c r="H21" i="3473"/>
  <c r="B21" i="3473"/>
  <c r="H20" i="3473"/>
  <c r="H19" i="3473"/>
  <c r="C19" i="3473"/>
  <c r="H18" i="3473"/>
  <c r="H17" i="3473"/>
  <c r="H16" i="3473"/>
  <c r="B16" i="3473"/>
  <c r="C18" i="3473" s="1"/>
  <c r="H15" i="3473"/>
  <c r="C15" i="3473"/>
  <c r="H14" i="3473"/>
  <c r="C14" i="3473"/>
  <c r="H13" i="3473"/>
  <c r="C13" i="3473"/>
  <c r="H12" i="3473"/>
  <c r="C12" i="3473"/>
  <c r="H11" i="3473"/>
  <c r="C11" i="3473"/>
  <c r="H5" i="3473"/>
  <c r="C10" i="3473"/>
  <c r="H10" i="3473"/>
  <c r="C9" i="3473"/>
  <c r="H4" i="3473"/>
  <c r="C8" i="3473"/>
  <c r="O7" i="3473"/>
  <c r="H9" i="3473"/>
  <c r="C7" i="3473"/>
  <c r="O6" i="3473"/>
  <c r="H8" i="3473"/>
  <c r="B6" i="3473"/>
  <c r="O5" i="3473"/>
  <c r="H2" i="3473"/>
  <c r="B5" i="3473"/>
  <c r="O4" i="3473"/>
  <c r="H7" i="3473"/>
  <c r="O3" i="3473"/>
  <c r="H6" i="3473"/>
  <c r="O2" i="3473"/>
  <c r="H3" i="3473"/>
  <c r="H51" i="3471"/>
  <c r="H50" i="3471"/>
  <c r="H49" i="3471"/>
  <c r="H48" i="3471"/>
  <c r="H47" i="3471"/>
  <c r="H46" i="3471"/>
  <c r="H45" i="3471"/>
  <c r="H44" i="3471"/>
  <c r="H43" i="3471"/>
  <c r="H42" i="3471"/>
  <c r="H41" i="3471"/>
  <c r="H40" i="3471"/>
  <c r="H39" i="3471"/>
  <c r="H38" i="3471"/>
  <c r="H37" i="3471"/>
  <c r="H36" i="3471"/>
  <c r="H35" i="3471"/>
  <c r="H34" i="3471"/>
  <c r="H33" i="3471"/>
  <c r="H32" i="3471"/>
  <c r="H31" i="3471"/>
  <c r="H30" i="3471"/>
  <c r="H29" i="3471"/>
  <c r="H28" i="3471"/>
  <c r="C28" i="3471"/>
  <c r="H27" i="3471"/>
  <c r="H26" i="3471"/>
  <c r="H25" i="3471"/>
  <c r="H24" i="3471"/>
  <c r="H23" i="3471"/>
  <c r="C23" i="3471"/>
  <c r="H22" i="3471"/>
  <c r="C22" i="3471"/>
  <c r="H21" i="3471"/>
  <c r="B21" i="3471"/>
  <c r="H20" i="3471"/>
  <c r="H19" i="3471"/>
  <c r="C19" i="3471"/>
  <c r="H18" i="3471"/>
  <c r="H17" i="3471"/>
  <c r="H16" i="3471"/>
  <c r="B16" i="3471"/>
  <c r="C17" i="3471" s="1"/>
  <c r="H15" i="3471"/>
  <c r="C15" i="3471"/>
  <c r="H14" i="3471"/>
  <c r="C14" i="3471"/>
  <c r="H13" i="3471"/>
  <c r="C13" i="3471"/>
  <c r="H12" i="3471"/>
  <c r="C12" i="3471"/>
  <c r="H11" i="3471"/>
  <c r="C11" i="3471"/>
  <c r="H10" i="3471"/>
  <c r="C10" i="3471"/>
  <c r="H9" i="3471"/>
  <c r="C9" i="3471"/>
  <c r="H8" i="3471"/>
  <c r="C8" i="3471"/>
  <c r="O7" i="3471"/>
  <c r="H7" i="3471"/>
  <c r="C7" i="3471"/>
  <c r="O6" i="3471"/>
  <c r="H6" i="3471"/>
  <c r="B6" i="3471"/>
  <c r="O5" i="3471"/>
  <c r="H5" i="3471"/>
  <c r="B5" i="3471"/>
  <c r="O4" i="3471"/>
  <c r="H4" i="3471"/>
  <c r="O3" i="3471"/>
  <c r="H3" i="3471"/>
  <c r="O2" i="3471"/>
  <c r="H2" i="3471"/>
  <c r="H51" i="3469"/>
  <c r="H50" i="3469"/>
  <c r="H49" i="3469"/>
  <c r="H48" i="3469"/>
  <c r="H47" i="3469"/>
  <c r="H28" i="3469"/>
  <c r="H46" i="3469"/>
  <c r="H45" i="3469"/>
  <c r="H44" i="3469"/>
  <c r="H43" i="3469"/>
  <c r="H42" i="3469"/>
  <c r="H41" i="3469"/>
  <c r="H40" i="3469"/>
  <c r="H39" i="3469"/>
  <c r="H38" i="3469"/>
  <c r="H37" i="3469"/>
  <c r="H27" i="3469"/>
  <c r="H36" i="3469"/>
  <c r="H35" i="3469"/>
  <c r="H22" i="3469"/>
  <c r="H19" i="3469"/>
  <c r="H26" i="3469"/>
  <c r="H8" i="3469"/>
  <c r="H34" i="3469"/>
  <c r="C28" i="3469"/>
  <c r="H21" i="3469"/>
  <c r="H13" i="3469"/>
  <c r="H25" i="3469"/>
  <c r="H33" i="3469"/>
  <c r="H14" i="3469"/>
  <c r="C23" i="3469"/>
  <c r="H32" i="3469"/>
  <c r="C22" i="3469"/>
  <c r="H15" i="3469"/>
  <c r="B21" i="3469"/>
  <c r="H31" i="3469"/>
  <c r="H30" i="3469"/>
  <c r="C19" i="3469"/>
  <c r="H20" i="3469"/>
  <c r="H24" i="3469"/>
  <c r="H18" i="3469"/>
  <c r="B16" i="3469"/>
  <c r="B20" i="3469" s="1"/>
  <c r="H29" i="3469"/>
  <c r="C15" i="3469"/>
  <c r="H17" i="3469"/>
  <c r="C14" i="3469"/>
  <c r="H23" i="3469"/>
  <c r="C13" i="3469"/>
  <c r="H16" i="3469"/>
  <c r="C12" i="3469"/>
  <c r="H4" i="3469"/>
  <c r="C11" i="3469"/>
  <c r="H12" i="3469"/>
  <c r="C10" i="3469"/>
  <c r="H11" i="3469"/>
  <c r="C9" i="3469"/>
  <c r="H9" i="3469"/>
  <c r="C8" i="3469"/>
  <c r="O7" i="3469"/>
  <c r="H6" i="3469"/>
  <c r="C7" i="3469"/>
  <c r="O6" i="3469"/>
  <c r="H2" i="3469"/>
  <c r="B6" i="3469"/>
  <c r="O5" i="3469"/>
  <c r="H7" i="3469"/>
  <c r="B5" i="3469"/>
  <c r="O4" i="3469"/>
  <c r="H3" i="3469"/>
  <c r="O3" i="3469"/>
  <c r="H10" i="3469"/>
  <c r="O2" i="3469"/>
  <c r="H5" i="3469"/>
  <c r="H51" i="3467"/>
  <c r="H50" i="3467"/>
  <c r="H49" i="3467"/>
  <c r="H48" i="3467"/>
  <c r="H47" i="3467"/>
  <c r="H32" i="3467"/>
  <c r="H46" i="3467"/>
  <c r="H45" i="3467"/>
  <c r="H44" i="3467"/>
  <c r="H43" i="3467"/>
  <c r="H42" i="3467"/>
  <c r="H41" i="3467"/>
  <c r="H40" i="3467"/>
  <c r="H39" i="3467"/>
  <c r="H38" i="3467"/>
  <c r="H37" i="3467"/>
  <c r="H31" i="3467"/>
  <c r="H36" i="3467"/>
  <c r="H27" i="3467"/>
  <c r="H22" i="3467"/>
  <c r="H17" i="3467"/>
  <c r="H30" i="3467"/>
  <c r="H8" i="3467"/>
  <c r="H29" i="3467"/>
  <c r="C28" i="3467"/>
  <c r="H25" i="3467"/>
  <c r="H12" i="3467"/>
  <c r="H23" i="3467"/>
  <c r="H24" i="3467"/>
  <c r="H14" i="3467"/>
  <c r="C23" i="3467"/>
  <c r="H35" i="3467"/>
  <c r="C22" i="3467"/>
  <c r="H16" i="3467"/>
  <c r="B21" i="3467"/>
  <c r="H28" i="3467"/>
  <c r="H34" i="3467"/>
  <c r="C19" i="3467"/>
  <c r="H18" i="3467"/>
  <c r="H15" i="3467"/>
  <c r="H20" i="3467"/>
  <c r="B16" i="3467"/>
  <c r="C17" i="3467" s="1"/>
  <c r="H33" i="3467"/>
  <c r="C15" i="3467"/>
  <c r="H21" i="3467"/>
  <c r="C14" i="3467"/>
  <c r="H26" i="3467"/>
  <c r="C13" i="3467"/>
  <c r="H19" i="3467"/>
  <c r="C12" i="3467"/>
  <c r="H4" i="3467"/>
  <c r="C11" i="3467"/>
  <c r="H13" i="3467"/>
  <c r="C10" i="3467"/>
  <c r="H11" i="3467"/>
  <c r="C9" i="3467"/>
  <c r="H9" i="3467"/>
  <c r="C8" i="3467"/>
  <c r="O7" i="3467"/>
  <c r="H6" i="3467"/>
  <c r="C7" i="3467"/>
  <c r="O6" i="3467"/>
  <c r="H2" i="3467"/>
  <c r="B6" i="3467"/>
  <c r="O5" i="3467"/>
  <c r="H7" i="3467"/>
  <c r="B5" i="3467"/>
  <c r="O4" i="3467"/>
  <c r="H3" i="3467"/>
  <c r="O3" i="3467"/>
  <c r="H10" i="3467"/>
  <c r="O2" i="3467"/>
  <c r="H5" i="3467"/>
  <c r="C16" i="3471" l="1"/>
  <c r="C18" i="3471"/>
  <c r="C16" i="3473"/>
  <c r="B20" i="3473"/>
  <c r="C17" i="3473"/>
  <c r="C18" i="3467"/>
  <c r="B20" i="3471"/>
  <c r="C16" i="3469"/>
  <c r="C17" i="3469"/>
  <c r="C18" i="3469"/>
  <c r="C16" i="3467"/>
  <c r="B20" i="3467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<sst xmlns="http://schemas.openxmlformats.org/spreadsheetml/2006/main" count="3019" uniqueCount="234">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</sst>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C-403B-858A-934F4BA17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C-41E9-B125-BB7C4BBF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だいち!$L$2:$L$171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32-4CD4-B05C-576DD9214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92-4CAE-ACF9-3B20135FF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F-412B-824D-5C080423C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D-4266-ABE5-74EC8134F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E-4510-B55D-C56BCECDC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4D-49A8-B8AF-F5F69E133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9-4D99-83C2-79530776E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9C-433A-8B0E-054572D6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06-4DC0-BCC3-4886EFCFE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E-4645-B5A5-CB821B565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A-49A9-B3B4-A963117A7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37E-802A-AF97BDE42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F-4B20-B28D-AAAD35FDC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01-4D69-A646-CE61FEC3F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6-46CA-9879-94C70D7FE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ADA-B9B5-69F72BE5C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11-4205-B871-48C88959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FB-4D70-A227-65AE3F7F8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A-48EF-87A6-DFACB8E98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7-4EF0-BCD3-DF29E6CE9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CF-45D4-99C8-1DC22E37C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DB-4950-AE45-24D56D95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2-4226-854E-830F87A0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D-4EA5-864A-442AD611C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3A42D0-AACB-4723-9154-9D12E1594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AFBCBFC-2CA8-4558-8AB7-8C456F891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19C0DD-F460-45FD-80EE-FC23640F7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4E30E87-9227-4038-AD27-7E2B48555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1FF3DC-3AC3-4FAB-8D43-8ACA96F54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0F0D27-85E9-40C0-A472-804E68CE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BDC2B0-BA43-4F0C-AE6A-3160BC736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22F28A-9C92-4CC5-BA1C-B0C04A646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F603EF-F96F-47DB-93C4-11DC6CDFF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9D05D2-B093-4AB2-B2C6-B3A49586F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AE29A7-5827-4D1B-AF1F-4A5E3C7A3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E1338D-C7F6-4862-82CF-39127E1EE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9416A5-ADD7-44B2-B36A-39A76CD73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6412B80-FDBF-47B1-8B4A-BA33102C4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1741B5-31B8-4093-8B28-371257AE9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7B56BB-FC62-4399-A227-5A3AF873C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9F50A2A-58F1-45C8-8959-1D097A074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0A48F6-AF65-4D68-92C6-B9D739850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3322D6-0258-4457-9D9E-92C094907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CE9A97-97BE-42BB-804C-2372FBDDD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688ECD-C346-4C74-A72B-2059E355A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01A513-93B2-4218-9F98-2FCCC9A96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DBE41C6-5184-4CC3-9A6D-8BF2681A5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C9463D-1490-4C57-A735-A637CFBBF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2AFC93-2435-462C-9B5F-5761C27260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8503DF-BF5F-45C2-8E82-3826D43276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3349" cy="60744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5">
      <c r="A1" s="38" t="s">
        <v>0</v>
      </c>
      <c r="B1" s="142"/>
      <c r="C1" s="14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5">
      <c r="A2" s="39" t="s">
        <v>9</v>
      </c>
      <c r="B2" s="144">
        <v>0</v>
      </c>
      <c r="C2" s="145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9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5">
      <c r="A3" s="40" t="s">
        <v>8</v>
      </c>
      <c r="B3" s="146">
        <v>0</v>
      </c>
      <c r="C3" s="147"/>
      <c r="E3" s="50" t="s">
        <v>68</v>
      </c>
      <c r="F3" s="46" t="s">
        <v>22</v>
      </c>
      <c r="G3" s="32">
        <v>0</v>
      </c>
      <c r="H3" s="9">
        <f t="shared" si="0"/>
        <v>0</v>
      </c>
      <c r="I3" s="140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5">
      <c r="A4" s="40" t="s">
        <v>6</v>
      </c>
      <c r="B4" s="148">
        <v>0</v>
      </c>
      <c r="C4" s="149"/>
      <c r="E4" s="50" t="s">
        <v>69</v>
      </c>
      <c r="F4" s="46" t="s">
        <v>23</v>
      </c>
      <c r="G4" s="32">
        <v>0</v>
      </c>
      <c r="H4" s="9">
        <f t="shared" si="0"/>
        <v>0</v>
      </c>
      <c r="I4" s="140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5">
      <c r="A5" s="40" t="s">
        <v>7</v>
      </c>
      <c r="B5" s="148">
        <f>IF(B$2=0,0,B$4/B$2)</f>
        <v>0</v>
      </c>
      <c r="C5" s="149"/>
      <c r="E5" s="50" t="s">
        <v>70</v>
      </c>
      <c r="F5" s="46" t="s">
        <v>24</v>
      </c>
      <c r="G5" s="32">
        <v>0</v>
      </c>
      <c r="H5" s="9">
        <f t="shared" si="0"/>
        <v>0</v>
      </c>
      <c r="I5" s="140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5">
      <c r="A6" s="40" t="s">
        <v>1</v>
      </c>
      <c r="B6" s="154">
        <f>IF(B$2=0,0,(B$7*1+B$8*2+B$9*3)/B$2)</f>
        <v>0</v>
      </c>
      <c r="C6" s="155"/>
      <c r="E6" s="50" t="s">
        <v>71</v>
      </c>
      <c r="F6" s="46" t="s">
        <v>25</v>
      </c>
      <c r="G6" s="32">
        <v>0</v>
      </c>
      <c r="H6" s="9">
        <f t="shared" si="0"/>
        <v>0</v>
      </c>
      <c r="I6" s="140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40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40"/>
    </row>
    <row r="9" spans="1:17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40"/>
    </row>
    <row r="10" spans="1:17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40"/>
    </row>
    <row r="11" spans="1:17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40"/>
    </row>
    <row r="12" spans="1:17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40"/>
    </row>
    <row r="13" spans="1:17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40"/>
    </row>
    <row r="14" spans="1:17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40"/>
    </row>
    <row r="15" spans="1:17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40"/>
    </row>
    <row r="16" spans="1:17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40"/>
    </row>
    <row r="17" spans="1:9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40"/>
    </row>
    <row r="18" spans="1:9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40"/>
    </row>
    <row r="19" spans="1:9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40"/>
    </row>
    <row r="20" spans="1:9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40"/>
    </row>
    <row r="21" spans="1:9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40"/>
    </row>
    <row r="22" spans="1:9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40"/>
    </row>
    <row r="23" spans="1:9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40"/>
    </row>
    <row r="24" spans="1:9" x14ac:dyDescent="0.45">
      <c r="A24" s="39" t="s">
        <v>126</v>
      </c>
      <c r="B24" s="144">
        <v>0</v>
      </c>
      <c r="C24" s="145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40"/>
    </row>
    <row r="25" spans="1:9" x14ac:dyDescent="0.45">
      <c r="A25" s="42" t="s">
        <v>127</v>
      </c>
      <c r="B25" s="156">
        <v>0</v>
      </c>
      <c r="C25" s="157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40"/>
    </row>
    <row r="26" spans="1:9" x14ac:dyDescent="0.45">
      <c r="A26" s="133" t="s">
        <v>164</v>
      </c>
      <c r="B26" s="152">
        <v>0</v>
      </c>
      <c r="C26" s="153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40"/>
    </row>
    <row r="27" spans="1:9" x14ac:dyDescent="0.45">
      <c r="A27" s="96" t="s">
        <v>205</v>
      </c>
      <c r="B27" s="150"/>
      <c r="C27" s="151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40"/>
    </row>
    <row r="28" spans="1:9" x14ac:dyDescent="0.45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40"/>
    </row>
    <row r="29" spans="1:9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40"/>
    </row>
    <row r="30" spans="1:9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40"/>
    </row>
    <row r="31" spans="1:9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40"/>
    </row>
    <row r="32" spans="1:9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40"/>
    </row>
    <row r="33" spans="5:9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40"/>
    </row>
    <row r="34" spans="5:9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40"/>
    </row>
    <row r="35" spans="5:9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40"/>
    </row>
    <row r="36" spans="5:9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40"/>
    </row>
    <row r="37" spans="5:9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40"/>
    </row>
    <row r="38" spans="5:9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40"/>
    </row>
    <row r="39" spans="5:9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40"/>
    </row>
    <row r="40" spans="5:9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40"/>
    </row>
    <row r="41" spans="5:9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40"/>
    </row>
    <row r="42" spans="5:9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40"/>
    </row>
    <row r="43" spans="5:9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40"/>
    </row>
    <row r="44" spans="5:9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40"/>
    </row>
    <row r="45" spans="5:9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40"/>
    </row>
    <row r="46" spans="5:9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40"/>
    </row>
    <row r="47" spans="5:9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40"/>
    </row>
    <row r="48" spans="5:9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40"/>
    </row>
    <row r="49" spans="5:9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40"/>
    </row>
    <row r="50" spans="5:9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40"/>
    </row>
    <row r="51" spans="5:9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41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171</v>
      </c>
      <c r="B2" s="54">
        <v>43472.765682870369</v>
      </c>
      <c r="C2" s="53" t="s">
        <v>140</v>
      </c>
    </row>
    <row r="3" spans="1:14" x14ac:dyDescent="0.45">
      <c r="A3" s="53" t="s">
        <v>174</v>
      </c>
      <c r="B3" s="54">
        <v>43472.765682870369</v>
      </c>
      <c r="C3" s="53" t="s">
        <v>140</v>
      </c>
    </row>
    <row r="4" spans="1:14" x14ac:dyDescent="0.45">
      <c r="A4" s="53" t="s">
        <v>175</v>
      </c>
      <c r="B4" s="54">
        <v>43472.765682870369</v>
      </c>
      <c r="C4" s="53" t="s">
        <v>140</v>
      </c>
    </row>
    <row r="5" spans="1:14" x14ac:dyDescent="0.45">
      <c r="A5" s="53" t="s">
        <v>176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178</v>
      </c>
      <c r="B6" s="54">
        <v>43472.765682870369</v>
      </c>
      <c r="C6" s="53" t="s">
        <v>140</v>
      </c>
    </row>
    <row r="7" spans="1:14" x14ac:dyDescent="0.45">
      <c r="A7" s="53" t="s">
        <v>179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180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181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182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183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184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185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5">
      <c r="A14" s="53" t="s">
        <v>191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192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193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194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195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196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197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198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199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218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5">
      <c r="A35" s="53" t="s">
        <v>219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5">
      <c r="A36" s="53" t="s">
        <v>220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221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222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223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224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225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226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227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228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229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230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231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  <row r="48" spans="1:10" x14ac:dyDescent="0.45">
      <c r="A48" s="53" t="s">
        <v>232</v>
      </c>
      <c r="B48" s="54">
        <v>43493.787962962961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167</v>
      </c>
    </row>
    <row r="2" spans="1:1" x14ac:dyDescent="0.45">
      <c r="A2" t="s">
        <v>133</v>
      </c>
    </row>
    <row r="3" spans="1:1" x14ac:dyDescent="0.45">
      <c r="A3" t="s">
        <v>172</v>
      </c>
    </row>
    <row r="4" spans="1:1" x14ac:dyDescent="0.45">
      <c r="A4" t="s">
        <v>173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177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200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" x14ac:dyDescent="0.45"/>
  <cols>
    <col min="1" max="1" width="6" style="123" customWidth="1"/>
    <col min="2" max="2" width="10.69921875" style="124" customWidth="1"/>
    <col min="3" max="3" width="10.69921875" style="125" customWidth="1"/>
    <col min="4" max="4" width="10.69921875" style="126" customWidth="1"/>
    <col min="5" max="5" width="10.69921875" style="125" customWidth="1"/>
    <col min="6" max="6" width="10.69921875" style="126" customWidth="1"/>
    <col min="7" max="7" width="10.69921875" style="127" customWidth="1"/>
    <col min="8" max="8" width="10.69921875" style="126" customWidth="1"/>
    <col min="9" max="9" width="10.69921875" style="128" customWidth="1"/>
    <col min="10" max="10" width="10.69921875" style="126" customWidth="1"/>
    <col min="11" max="11" width="10.69921875" style="129" customWidth="1"/>
    <col min="12" max="12" width="10.69921875" style="126" customWidth="1"/>
    <col min="13" max="13" width="10.69921875" style="129" customWidth="1"/>
    <col min="14" max="14" width="10.69921875" style="126" customWidth="1"/>
    <col min="15" max="15" width="10.69921875" style="130" customWidth="1"/>
    <col min="16" max="16" width="10.69921875" style="126" customWidth="1"/>
    <col min="17" max="17" width="10.69921875" style="130" customWidth="1"/>
    <col min="18" max="18" width="10.69921875" style="126" customWidth="1"/>
    <col min="19" max="19" width="10.69921875" style="128" customWidth="1"/>
    <col min="20" max="20" width="10.69921875" style="126" customWidth="1"/>
    <col min="21" max="21" width="10.69921875" style="128" customWidth="1"/>
    <col min="22" max="22" width="10.69921875" style="126" customWidth="1"/>
    <col min="23" max="23" width="10.69921875" style="129" customWidth="1"/>
    <col min="24" max="24" width="10.69921875" style="126" customWidth="1"/>
    <col min="25" max="25" width="10.69921875" style="129" customWidth="1"/>
    <col min="26" max="26" width="10.69921875" style="126" customWidth="1"/>
    <col min="27" max="27" width="10.69921875" style="129" customWidth="1"/>
    <col min="28" max="28" width="10.69921875" style="126" customWidth="1"/>
    <col min="29" max="29" width="10.69921875" style="129" customWidth="1"/>
    <col min="30" max="30" width="10.69921875" style="126" customWidth="1"/>
    <col min="31" max="31" width="10.69921875" style="129" customWidth="1"/>
    <col min="32" max="32" width="10.69921875" style="126" customWidth="1"/>
    <col min="33" max="33" width="10.69921875" style="129" customWidth="1"/>
    <col min="34" max="34" width="10.69921875" style="126" customWidth="1"/>
    <col min="35" max="35" width="10.69921875" style="131" customWidth="1"/>
    <col min="36" max="36" width="10.69921875" style="126" customWidth="1"/>
    <col min="37" max="37" width="10.69921875" style="135" customWidth="1"/>
    <col min="38" max="38" width="10.69921875" style="126" customWidth="1"/>
    <col min="39" max="39" width="10.69921875" style="132" customWidth="1"/>
    <col min="40" max="16384" width="9" style="112"/>
  </cols>
  <sheetData>
    <row r="1" spans="1:39" x14ac:dyDescent="0.45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5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120200</v>
      </c>
      <c r="AL2" s="116" t="s">
        <v>167</v>
      </c>
      <c r="AM2" s="122">
        <v>17</v>
      </c>
    </row>
    <row r="3" spans="1:39" x14ac:dyDescent="0.45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5">
        <v>120200</v>
      </c>
      <c r="AL3" s="126" t="s">
        <v>139</v>
      </c>
      <c r="AM3" s="132">
        <v>6</v>
      </c>
    </row>
    <row r="4" spans="1:39" x14ac:dyDescent="0.45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5">
        <v>118000</v>
      </c>
      <c r="AL4" s="126" t="s">
        <v>134</v>
      </c>
      <c r="AM4" s="132">
        <v>4</v>
      </c>
    </row>
    <row r="5" spans="1:39" x14ac:dyDescent="0.45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5">
        <v>111500</v>
      </c>
      <c r="AL5" s="126" t="s">
        <v>137</v>
      </c>
      <c r="AM5" s="132">
        <v>3</v>
      </c>
    </row>
    <row r="6" spans="1:39" x14ac:dyDescent="0.45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5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5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5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5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5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5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5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5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95E5-3339-4E05-900A-03B713AF30C5}">
  <sheetPr codeName="Sheet4"/>
  <dimension ref="A1:Q575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167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573</v>
      </c>
      <c r="C2" s="145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I2" s="139">
        <v>5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-10.695187165775401</v>
      </c>
      <c r="P2" s="77">
        <v>-6000</v>
      </c>
      <c r="Q2" s="75">
        <v>561</v>
      </c>
    </row>
    <row r="3" spans="1:17" x14ac:dyDescent="0.45">
      <c r="A3" s="93" t="s">
        <v>8</v>
      </c>
      <c r="B3" s="146">
        <v>4344</v>
      </c>
      <c r="C3" s="147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I3" s="140">
        <v>5</v>
      </c>
      <c r="K3" s="62">
        <v>1</v>
      </c>
      <c r="L3" s="64">
        <v>15</v>
      </c>
      <c r="N3" s="62" t="s">
        <v>151</v>
      </c>
      <c r="O3" s="81">
        <f t="shared" si="0"/>
        <v>-3.7243947858472999</v>
      </c>
      <c r="P3" s="78">
        <v>-2000</v>
      </c>
      <c r="Q3" s="73">
        <v>537</v>
      </c>
    </row>
    <row r="4" spans="1:17" x14ac:dyDescent="0.45">
      <c r="A4" s="93" t="s">
        <v>6</v>
      </c>
      <c r="B4" s="148">
        <v>-4.9999999999999831</v>
      </c>
      <c r="C4" s="149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I4" s="140">
        <v>5</v>
      </c>
      <c r="K4" s="62">
        <v>2</v>
      </c>
      <c r="L4" s="64">
        <v>-7</v>
      </c>
      <c r="N4" s="62" t="s">
        <v>152</v>
      </c>
      <c r="O4" s="81">
        <f t="shared" si="0"/>
        <v>10.040160642570282</v>
      </c>
      <c r="P4" s="78">
        <v>5000</v>
      </c>
      <c r="Q4" s="73">
        <v>498</v>
      </c>
    </row>
    <row r="5" spans="1:17" x14ac:dyDescent="0.45">
      <c r="A5" s="93" t="s">
        <v>7</v>
      </c>
      <c r="B5" s="148">
        <f>IF(B$2=0,0,B$4/B$2)</f>
        <v>-8.7260034904013666E-3</v>
      </c>
      <c r="C5" s="149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I5" s="140">
        <v>8</v>
      </c>
      <c r="K5" s="62">
        <v>3</v>
      </c>
      <c r="L5" s="64">
        <v>0</v>
      </c>
      <c r="N5" s="62" t="s">
        <v>153</v>
      </c>
      <c r="O5" s="81">
        <f t="shared" si="0"/>
        <v>2.2222222222222223</v>
      </c>
      <c r="P5" s="78">
        <v>1000</v>
      </c>
      <c r="Q5" s="73">
        <v>450</v>
      </c>
    </row>
    <row r="6" spans="1:17" x14ac:dyDescent="0.45">
      <c r="A6" s="93" t="s">
        <v>1</v>
      </c>
      <c r="B6" s="154">
        <f>IF(B$2=0,0,(B$7*1+B$8*2+B$9*3)/B$2)</f>
        <v>2</v>
      </c>
      <c r="C6" s="155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I6" s="140">
        <v>7</v>
      </c>
      <c r="K6" s="62">
        <v>4</v>
      </c>
      <c r="L6" s="64">
        <v>-1</v>
      </c>
      <c r="N6" s="62" t="s">
        <v>154</v>
      </c>
      <c r="O6" s="81">
        <f t="shared" si="0"/>
        <v>2.6246719160104988</v>
      </c>
      <c r="P6" s="78">
        <v>1000</v>
      </c>
      <c r="Q6" s="73">
        <v>381</v>
      </c>
    </row>
    <row r="7" spans="1:17" x14ac:dyDescent="0.45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I7" s="140">
        <v>8</v>
      </c>
      <c r="K7" s="62">
        <v>5</v>
      </c>
      <c r="L7" s="64">
        <v>39.9</v>
      </c>
      <c r="N7" s="67" t="s">
        <v>155</v>
      </c>
      <c r="O7" s="82">
        <f t="shared" si="0"/>
        <v>-13.468013468013469</v>
      </c>
      <c r="P7" s="79">
        <v>-4000</v>
      </c>
      <c r="Q7" s="74">
        <v>297</v>
      </c>
    </row>
    <row r="8" spans="1:17" x14ac:dyDescent="0.45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I8" s="140">
        <v>5</v>
      </c>
      <c r="K8" s="62">
        <v>6</v>
      </c>
      <c r="L8" s="64">
        <v>0</v>
      </c>
    </row>
    <row r="9" spans="1:17" x14ac:dyDescent="0.45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I9" s="140">
        <v>7</v>
      </c>
      <c r="K9" s="62">
        <v>7</v>
      </c>
      <c r="L9" s="64">
        <v>15.1</v>
      </c>
    </row>
    <row r="10" spans="1:17" x14ac:dyDescent="0.45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I10" s="140">
        <v>7</v>
      </c>
      <c r="K10" s="62">
        <v>8</v>
      </c>
      <c r="L10" s="64">
        <v>-26.699999999999996</v>
      </c>
    </row>
    <row r="11" spans="1:17" x14ac:dyDescent="0.45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I11" s="140">
        <v>5</v>
      </c>
      <c r="K11" s="62">
        <v>9</v>
      </c>
      <c r="L11" s="64">
        <v>3.5527136788005009E-15</v>
      </c>
    </row>
    <row r="12" spans="1:17" x14ac:dyDescent="0.45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I12" s="140">
        <v>6</v>
      </c>
      <c r="K12" s="62">
        <v>10</v>
      </c>
      <c r="L12" s="64">
        <v>85.2</v>
      </c>
    </row>
    <row r="13" spans="1:17" x14ac:dyDescent="0.45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I13" s="140">
        <v>8</v>
      </c>
      <c r="K13" s="62">
        <v>11</v>
      </c>
      <c r="L13" s="64">
        <v>44.5</v>
      </c>
    </row>
    <row r="14" spans="1:17" x14ac:dyDescent="0.45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I14" s="140">
        <v>4</v>
      </c>
      <c r="K14" s="62">
        <v>12</v>
      </c>
      <c r="L14" s="64">
        <v>0</v>
      </c>
    </row>
    <row r="15" spans="1:17" x14ac:dyDescent="0.45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I15" s="140">
        <v>5</v>
      </c>
      <c r="K15" s="62">
        <v>13</v>
      </c>
      <c r="L15" s="64">
        <v>31.5</v>
      </c>
    </row>
    <row r="16" spans="1:17" x14ac:dyDescent="0.45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I16" s="140">
        <v>4</v>
      </c>
      <c r="K16" s="62">
        <v>14</v>
      </c>
      <c r="L16" s="64">
        <v>-4</v>
      </c>
    </row>
    <row r="17" spans="1:12" x14ac:dyDescent="0.45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I17" s="140">
        <v>4</v>
      </c>
      <c r="K17" s="62">
        <v>15</v>
      </c>
      <c r="L17" s="64">
        <v>0</v>
      </c>
    </row>
    <row r="18" spans="1:12" x14ac:dyDescent="0.45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I18" s="140">
        <v>5</v>
      </c>
      <c r="K18" s="62">
        <v>16</v>
      </c>
      <c r="L18" s="64">
        <v>-48</v>
      </c>
    </row>
    <row r="19" spans="1:12" x14ac:dyDescent="0.45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I19" s="140">
        <v>3</v>
      </c>
      <c r="K19" s="62">
        <v>17</v>
      </c>
      <c r="L19" s="64">
        <v>-8</v>
      </c>
    </row>
    <row r="20" spans="1:12" x14ac:dyDescent="0.45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I20" s="140">
        <v>4</v>
      </c>
      <c r="K20" s="62">
        <v>18</v>
      </c>
      <c r="L20" s="64">
        <v>0</v>
      </c>
    </row>
    <row r="21" spans="1:12" x14ac:dyDescent="0.45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I21" s="140">
        <v>5</v>
      </c>
      <c r="K21" s="62">
        <v>19</v>
      </c>
      <c r="L21" s="64">
        <v>-6.1</v>
      </c>
    </row>
    <row r="22" spans="1:12" x14ac:dyDescent="0.45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I22" s="140">
        <v>4</v>
      </c>
      <c r="K22" s="62">
        <v>20</v>
      </c>
      <c r="L22" s="64">
        <v>4.9000000000000004</v>
      </c>
    </row>
    <row r="23" spans="1:12" x14ac:dyDescent="0.45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I23" s="140">
        <v>3</v>
      </c>
      <c r="K23" s="62">
        <v>21</v>
      </c>
      <c r="L23" s="64">
        <v>0</v>
      </c>
    </row>
    <row r="24" spans="1:12" x14ac:dyDescent="0.45">
      <c r="A24" s="92" t="s">
        <v>126</v>
      </c>
      <c r="B24" s="144">
        <v>2907</v>
      </c>
      <c r="C24" s="145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I24" s="140">
        <v>4</v>
      </c>
      <c r="K24" s="62">
        <v>22</v>
      </c>
      <c r="L24" s="64">
        <v>-36</v>
      </c>
    </row>
    <row r="25" spans="1:12" x14ac:dyDescent="0.45">
      <c r="A25" s="95" t="s">
        <v>127</v>
      </c>
      <c r="B25" s="156">
        <v>889</v>
      </c>
      <c r="C25" s="157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I25" s="140">
        <v>3</v>
      </c>
      <c r="K25" s="62">
        <v>23</v>
      </c>
      <c r="L25" s="64">
        <v>-3</v>
      </c>
    </row>
    <row r="26" spans="1:12" x14ac:dyDescent="0.45">
      <c r="A26" s="133" t="s">
        <v>164</v>
      </c>
      <c r="B26" s="152">
        <v>10</v>
      </c>
      <c r="C26" s="153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I26" s="140">
        <v>3</v>
      </c>
      <c r="K26" s="62">
        <v>24</v>
      </c>
      <c r="L26" s="64">
        <v>0</v>
      </c>
    </row>
    <row r="27" spans="1:12" x14ac:dyDescent="0.45">
      <c r="A27" s="96" t="s">
        <v>205</v>
      </c>
      <c r="B27" s="150">
        <v>120200</v>
      </c>
      <c r="C27" s="151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I27" s="140">
        <v>3</v>
      </c>
      <c r="K27" s="62">
        <v>25</v>
      </c>
      <c r="L27" s="64">
        <v>-41</v>
      </c>
    </row>
    <row r="28" spans="1:12" x14ac:dyDescent="0.45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I28" s="140">
        <v>2</v>
      </c>
      <c r="K28" s="62">
        <v>26</v>
      </c>
      <c r="L28" s="64">
        <v>11.5</v>
      </c>
    </row>
    <row r="29" spans="1:12" x14ac:dyDescent="0.45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I29" s="140">
        <v>2</v>
      </c>
      <c r="K29" s="62">
        <v>27</v>
      </c>
      <c r="L29" s="64">
        <v>0</v>
      </c>
    </row>
    <row r="30" spans="1:12" x14ac:dyDescent="0.45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I30" s="140">
        <v>2</v>
      </c>
      <c r="K30" s="62">
        <v>28</v>
      </c>
      <c r="L30" s="64">
        <v>-31.5</v>
      </c>
    </row>
    <row r="31" spans="1:12" x14ac:dyDescent="0.45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I31" s="140">
        <v>2</v>
      </c>
      <c r="K31" s="62">
        <v>29</v>
      </c>
      <c r="L31" s="64">
        <v>36.700000000000003</v>
      </c>
    </row>
    <row r="32" spans="1:12" x14ac:dyDescent="0.45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I32" s="140">
        <v>2</v>
      </c>
      <c r="K32" s="62">
        <v>30</v>
      </c>
      <c r="L32" s="64">
        <v>0</v>
      </c>
    </row>
    <row r="33" spans="5:12" x14ac:dyDescent="0.45">
      <c r="E33" s="102" t="s">
        <v>80</v>
      </c>
      <c r="F33" s="98" t="s">
        <v>33</v>
      </c>
      <c r="G33" s="85">
        <v>0</v>
      </c>
      <c r="H33" s="63">
        <f>IF(B$25=0,0,G33/B$25)</f>
        <v>0</v>
      </c>
      <c r="I33" s="140">
        <v>1</v>
      </c>
      <c r="K33" s="62">
        <v>31</v>
      </c>
      <c r="L33" s="64">
        <v>18.3</v>
      </c>
    </row>
    <row r="34" spans="5:12" x14ac:dyDescent="0.45">
      <c r="E34" s="102" t="s">
        <v>84</v>
      </c>
      <c r="F34" s="98" t="s">
        <v>37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8.6000000000000014</v>
      </c>
    </row>
    <row r="35" spans="5:12" x14ac:dyDescent="0.45">
      <c r="E35" s="102" t="s">
        <v>87</v>
      </c>
      <c r="F35" s="98" t="s">
        <v>40</v>
      </c>
      <c r="G35" s="85">
        <v>0</v>
      </c>
      <c r="H35" s="63">
        <f>IF(B$25=0,0,G35/B$25)</f>
        <v>0</v>
      </c>
      <c r="I35" s="140">
        <v>1</v>
      </c>
      <c r="K35" s="62">
        <v>33</v>
      </c>
      <c r="L35" s="64">
        <v>1.7763568394002505E-15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12.800000000000002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36.400000000000006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7.1054273576010019E-15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57.000000000000007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32.600000000000009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7.1054273576010019E-15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-43.999999999999993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22.000000000000007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7.1054273576010019E-15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-36.999999999999993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40">
        <v>1</v>
      </c>
      <c r="K46" s="62">
        <v>44</v>
      </c>
      <c r="L46" s="64">
        <v>-35.499999999999993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7.1054273576010019E-15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1.6000000000000072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5.4000000000000075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7.1054273576010019E-15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-21.399999999999991</v>
      </c>
    </row>
    <row r="52" spans="5:12" x14ac:dyDescent="0.45">
      <c r="K52" s="62">
        <v>50</v>
      </c>
      <c r="L52" s="64">
        <v>-53.899999999999991</v>
      </c>
    </row>
    <row r="53" spans="5:12" x14ac:dyDescent="0.45">
      <c r="K53" s="62">
        <v>51</v>
      </c>
      <c r="L53" s="64">
        <v>7.1054273576010019E-15</v>
      </c>
    </row>
    <row r="54" spans="5:12" x14ac:dyDescent="0.45">
      <c r="K54" s="62">
        <v>52</v>
      </c>
      <c r="L54" s="64">
        <v>14.900000000000007</v>
      </c>
    </row>
    <row r="55" spans="5:12" x14ac:dyDescent="0.45">
      <c r="K55" s="62">
        <v>53</v>
      </c>
      <c r="L55" s="64">
        <v>1.2000000000000082</v>
      </c>
    </row>
    <row r="56" spans="5:12" x14ac:dyDescent="0.45">
      <c r="K56" s="62">
        <v>54</v>
      </c>
      <c r="L56" s="64">
        <v>8.2156503822261584E-15</v>
      </c>
    </row>
    <row r="57" spans="5:12" x14ac:dyDescent="0.45">
      <c r="K57" s="62">
        <v>55</v>
      </c>
      <c r="L57" s="64">
        <v>57.20000000000001</v>
      </c>
    </row>
    <row r="58" spans="5:12" x14ac:dyDescent="0.45">
      <c r="K58" s="62">
        <v>56</v>
      </c>
      <c r="L58" s="64">
        <v>18.800000000000011</v>
      </c>
    </row>
    <row r="59" spans="5:12" x14ac:dyDescent="0.45">
      <c r="K59" s="62">
        <v>57</v>
      </c>
      <c r="L59" s="64">
        <v>1.0658141036401503E-14</v>
      </c>
    </row>
    <row r="60" spans="5:12" x14ac:dyDescent="0.45">
      <c r="K60" s="62">
        <v>58</v>
      </c>
      <c r="L60" s="64">
        <v>26.20000000000001</v>
      </c>
    </row>
    <row r="61" spans="5:12" x14ac:dyDescent="0.45">
      <c r="K61" s="62">
        <v>59</v>
      </c>
      <c r="L61" s="64">
        <v>1.0000000000000107</v>
      </c>
    </row>
    <row r="62" spans="5:12" x14ac:dyDescent="0.45">
      <c r="K62" s="62">
        <v>60</v>
      </c>
      <c r="L62" s="64">
        <v>1.0658141036401503E-14</v>
      </c>
    </row>
    <row r="63" spans="5:12" x14ac:dyDescent="0.45">
      <c r="K63" s="62">
        <v>61</v>
      </c>
      <c r="L63" s="64">
        <v>56.500000000000014</v>
      </c>
    </row>
    <row r="64" spans="5:12" x14ac:dyDescent="0.45">
      <c r="K64" s="62">
        <v>62</v>
      </c>
      <c r="L64" s="64">
        <v>10.000000000000014</v>
      </c>
    </row>
    <row r="65" spans="11:12" x14ac:dyDescent="0.45">
      <c r="K65" s="62">
        <v>63</v>
      </c>
      <c r="L65" s="64">
        <v>1.4210854715202004E-14</v>
      </c>
    </row>
    <row r="66" spans="11:12" x14ac:dyDescent="0.45">
      <c r="K66" s="62">
        <v>64</v>
      </c>
      <c r="L66" s="64">
        <v>-25.499999999999986</v>
      </c>
    </row>
    <row r="67" spans="11:12" x14ac:dyDescent="0.45">
      <c r="K67" s="62">
        <v>65</v>
      </c>
      <c r="L67" s="64">
        <v>-65.399999999999977</v>
      </c>
    </row>
    <row r="68" spans="11:12" x14ac:dyDescent="0.45">
      <c r="K68" s="62">
        <v>66</v>
      </c>
      <c r="L68" s="64">
        <v>2.8421709430404007E-14</v>
      </c>
    </row>
    <row r="69" spans="11:12" x14ac:dyDescent="0.45">
      <c r="K69" s="62">
        <v>67</v>
      </c>
      <c r="L69" s="64">
        <v>24.700000000000028</v>
      </c>
    </row>
    <row r="70" spans="11:12" x14ac:dyDescent="0.45">
      <c r="K70" s="62">
        <v>68</v>
      </c>
      <c r="L70" s="64">
        <v>-11.099999999999969</v>
      </c>
    </row>
    <row r="71" spans="11:12" x14ac:dyDescent="0.45">
      <c r="K71" s="62">
        <v>69</v>
      </c>
      <c r="L71" s="64">
        <v>3.0198066269804258E-14</v>
      </c>
    </row>
    <row r="72" spans="11:12" x14ac:dyDescent="0.45">
      <c r="K72" s="62">
        <v>70</v>
      </c>
      <c r="L72" s="64">
        <v>-6.4999999999999698</v>
      </c>
    </row>
    <row r="73" spans="11:12" x14ac:dyDescent="0.45">
      <c r="K73" s="62">
        <v>71</v>
      </c>
      <c r="L73" s="64">
        <v>-50.999999999999972</v>
      </c>
    </row>
    <row r="74" spans="11:12" x14ac:dyDescent="0.45">
      <c r="K74" s="62">
        <v>72</v>
      </c>
      <c r="L74" s="64">
        <v>2.8421709430404007E-14</v>
      </c>
    </row>
    <row r="75" spans="11:12" x14ac:dyDescent="0.45">
      <c r="K75" s="62">
        <v>73</v>
      </c>
      <c r="L75" s="64">
        <v>-33.699999999999974</v>
      </c>
    </row>
    <row r="76" spans="11:12" x14ac:dyDescent="0.45">
      <c r="K76" s="62">
        <v>74</v>
      </c>
      <c r="L76" s="64">
        <v>-17.199999999999974</v>
      </c>
    </row>
    <row r="77" spans="11:12" x14ac:dyDescent="0.45">
      <c r="K77" s="62">
        <v>75</v>
      </c>
      <c r="L77" s="64">
        <v>2.4868995751603507E-14</v>
      </c>
    </row>
    <row r="78" spans="11:12" x14ac:dyDescent="0.45">
      <c r="K78" s="62">
        <v>76</v>
      </c>
      <c r="L78" s="64">
        <v>23.900000000000023</v>
      </c>
    </row>
    <row r="79" spans="11:12" x14ac:dyDescent="0.45">
      <c r="K79" s="62">
        <v>77</v>
      </c>
      <c r="L79" s="64">
        <v>15.500000000000023</v>
      </c>
    </row>
    <row r="80" spans="11:12" x14ac:dyDescent="0.45">
      <c r="K80" s="62">
        <v>78</v>
      </c>
      <c r="L80" s="64">
        <v>2.3092638912203256E-14</v>
      </c>
    </row>
    <row r="81" spans="11:12" x14ac:dyDescent="0.45">
      <c r="K81" s="62">
        <v>79</v>
      </c>
      <c r="L81" s="64">
        <v>-36.999999999999979</v>
      </c>
    </row>
    <row r="82" spans="11:12" x14ac:dyDescent="0.45">
      <c r="K82" s="62">
        <v>80</v>
      </c>
      <c r="L82" s="64">
        <v>24.500000000000021</v>
      </c>
    </row>
    <row r="83" spans="11:12" x14ac:dyDescent="0.45">
      <c r="K83" s="62">
        <v>81</v>
      </c>
      <c r="L83" s="64">
        <v>2.1316282072803006E-14</v>
      </c>
    </row>
    <row r="84" spans="11:12" x14ac:dyDescent="0.45">
      <c r="K84" s="62">
        <v>82</v>
      </c>
      <c r="L84" s="64">
        <v>58.000000000000021</v>
      </c>
    </row>
    <row r="85" spans="11:12" x14ac:dyDescent="0.45">
      <c r="K85" s="62">
        <v>83</v>
      </c>
      <c r="L85" s="64">
        <v>41.500000000000021</v>
      </c>
    </row>
    <row r="86" spans="11:12" x14ac:dyDescent="0.45">
      <c r="K86" s="62">
        <v>84</v>
      </c>
      <c r="L86" s="64">
        <v>2.1316282072803006E-14</v>
      </c>
    </row>
    <row r="87" spans="11:12" x14ac:dyDescent="0.45">
      <c r="K87" s="62">
        <v>85</v>
      </c>
      <c r="L87" s="64">
        <v>-8.399999999999979</v>
      </c>
    </row>
    <row r="88" spans="11:12" x14ac:dyDescent="0.45">
      <c r="K88" s="62">
        <v>86</v>
      </c>
      <c r="L88" s="64">
        <v>19.300000000000018</v>
      </c>
    </row>
    <row r="89" spans="11:12" x14ac:dyDescent="0.45">
      <c r="K89" s="62">
        <v>87</v>
      </c>
      <c r="L89" s="64">
        <v>1.7763568394002505E-14</v>
      </c>
    </row>
    <row r="90" spans="11:12" x14ac:dyDescent="0.45">
      <c r="K90" s="62">
        <v>88</v>
      </c>
      <c r="L90" s="64">
        <v>-8.3999999999999826</v>
      </c>
    </row>
    <row r="91" spans="11:12" x14ac:dyDescent="0.45">
      <c r="K91" s="62">
        <v>89</v>
      </c>
      <c r="L91" s="64">
        <v>19.300000000000018</v>
      </c>
    </row>
    <row r="92" spans="11:12" x14ac:dyDescent="0.45">
      <c r="K92" s="62">
        <v>90</v>
      </c>
      <c r="L92" s="64">
        <v>1.7763568394002505E-14</v>
      </c>
    </row>
    <row r="93" spans="11:12" x14ac:dyDescent="0.45">
      <c r="K93" s="62">
        <v>91</v>
      </c>
      <c r="L93" s="64">
        <v>53.300000000000011</v>
      </c>
    </row>
    <row r="94" spans="11:12" x14ac:dyDescent="0.45">
      <c r="K94" s="62">
        <v>92</v>
      </c>
      <c r="L94" s="64">
        <v>14.400000000000013</v>
      </c>
    </row>
    <row r="95" spans="11:12" x14ac:dyDescent="0.45">
      <c r="K95" s="62">
        <v>93</v>
      </c>
      <c r="L95" s="64">
        <v>1.2434497875801753E-14</v>
      </c>
    </row>
    <row r="96" spans="11:12" x14ac:dyDescent="0.45">
      <c r="K96" s="62">
        <v>94</v>
      </c>
      <c r="L96" s="64">
        <v>-13.999999999999988</v>
      </c>
    </row>
    <row r="97" spans="11:12" x14ac:dyDescent="0.45">
      <c r="K97" s="62">
        <v>95</v>
      </c>
      <c r="L97" s="64">
        <v>-51.999999999999986</v>
      </c>
    </row>
    <row r="98" spans="11:12" x14ac:dyDescent="0.45">
      <c r="K98" s="62">
        <v>96</v>
      </c>
      <c r="L98" s="64">
        <v>1.4210854715202004E-14</v>
      </c>
    </row>
    <row r="99" spans="11:12" x14ac:dyDescent="0.45">
      <c r="K99" s="62">
        <v>97</v>
      </c>
      <c r="L99" s="64">
        <v>60.700000000000017</v>
      </c>
    </row>
    <row r="100" spans="11:12" x14ac:dyDescent="0.45">
      <c r="K100" s="62">
        <v>98</v>
      </c>
      <c r="L100" s="64">
        <v>40.40000000000002</v>
      </c>
    </row>
    <row r="101" spans="11:12" x14ac:dyDescent="0.45">
      <c r="K101" s="62">
        <v>99</v>
      </c>
      <c r="L101" s="64">
        <v>2.1316282072803006E-14</v>
      </c>
    </row>
    <row r="102" spans="11:12" x14ac:dyDescent="0.45">
      <c r="K102" s="62">
        <v>100</v>
      </c>
      <c r="L102" s="64">
        <v>50.000000000000021</v>
      </c>
    </row>
    <row r="103" spans="11:12" x14ac:dyDescent="0.45">
      <c r="K103" s="62">
        <v>101</v>
      </c>
      <c r="L103" s="64">
        <v>41.500000000000021</v>
      </c>
    </row>
    <row r="104" spans="11:12" x14ac:dyDescent="0.45">
      <c r="K104" s="62">
        <v>102</v>
      </c>
      <c r="L104" s="64">
        <v>2.1316282072803006E-14</v>
      </c>
    </row>
    <row r="105" spans="11:12" x14ac:dyDescent="0.45">
      <c r="K105" s="62">
        <v>103</v>
      </c>
      <c r="L105" s="64">
        <v>-13.999999999999979</v>
      </c>
    </row>
    <row r="106" spans="11:12" x14ac:dyDescent="0.45">
      <c r="K106" s="62">
        <v>104</v>
      </c>
      <c r="L106" s="64">
        <v>-52.499999999999979</v>
      </c>
    </row>
    <row r="107" spans="11:12" x14ac:dyDescent="0.45">
      <c r="K107" s="62">
        <v>105</v>
      </c>
      <c r="L107" s="64">
        <v>2.1316282072803006E-14</v>
      </c>
    </row>
    <row r="108" spans="11:12" x14ac:dyDescent="0.45">
      <c r="K108" s="62">
        <v>106</v>
      </c>
      <c r="L108" s="64">
        <v>-3.3999999999999786</v>
      </c>
    </row>
    <row r="109" spans="11:12" x14ac:dyDescent="0.45">
      <c r="K109" s="62">
        <v>107</v>
      </c>
      <c r="L109" s="64">
        <v>-14.999999999999979</v>
      </c>
    </row>
    <row r="110" spans="11:12" x14ac:dyDescent="0.45">
      <c r="K110" s="62">
        <v>108</v>
      </c>
      <c r="L110" s="64">
        <v>2.1316282072803006E-14</v>
      </c>
    </row>
    <row r="111" spans="11:12" x14ac:dyDescent="0.45">
      <c r="K111" s="62">
        <v>109</v>
      </c>
      <c r="L111" s="64">
        <v>-17.09999999999998</v>
      </c>
    </row>
    <row r="112" spans="11:12" x14ac:dyDescent="0.45">
      <c r="K112" s="62">
        <v>110</v>
      </c>
      <c r="L112" s="64">
        <v>-16.799999999999979</v>
      </c>
    </row>
    <row r="113" spans="11:12" x14ac:dyDescent="0.45">
      <c r="K113" s="62">
        <v>111</v>
      </c>
      <c r="L113" s="64">
        <v>2.1316282072803006E-14</v>
      </c>
    </row>
    <row r="114" spans="11:12" x14ac:dyDescent="0.45">
      <c r="K114" s="62">
        <v>112</v>
      </c>
      <c r="L114" s="64">
        <v>21.100000000000023</v>
      </c>
    </row>
    <row r="115" spans="11:12" x14ac:dyDescent="0.45">
      <c r="K115" s="62">
        <v>113</v>
      </c>
      <c r="L115" s="64">
        <v>35.800000000000026</v>
      </c>
    </row>
    <row r="116" spans="11:12" x14ac:dyDescent="0.45">
      <c r="K116" s="62">
        <v>114</v>
      </c>
      <c r="L116" s="64">
        <v>2.8421709430404007E-14</v>
      </c>
    </row>
    <row r="117" spans="11:12" x14ac:dyDescent="0.45">
      <c r="K117" s="62">
        <v>115</v>
      </c>
      <c r="L117" s="64">
        <v>-50.599999999999973</v>
      </c>
    </row>
    <row r="118" spans="11:12" x14ac:dyDescent="0.45">
      <c r="K118" s="62">
        <v>116</v>
      </c>
      <c r="L118" s="64">
        <v>-2.599999999999973</v>
      </c>
    </row>
    <row r="119" spans="11:12" x14ac:dyDescent="0.45">
      <c r="K119" s="62">
        <v>117</v>
      </c>
      <c r="L119" s="64">
        <v>2.708944180085382E-14</v>
      </c>
    </row>
    <row r="120" spans="11:12" x14ac:dyDescent="0.45">
      <c r="K120" s="62">
        <v>118</v>
      </c>
      <c r="L120" s="64">
        <v>-8.1999999999999726</v>
      </c>
    </row>
    <row r="121" spans="11:12" x14ac:dyDescent="0.45">
      <c r="K121" s="62">
        <v>119</v>
      </c>
      <c r="L121" s="64">
        <v>-49.999999999999972</v>
      </c>
    </row>
    <row r="122" spans="11:12" x14ac:dyDescent="0.45">
      <c r="K122" s="62">
        <v>120</v>
      </c>
      <c r="L122" s="64">
        <v>2.8421709430404007E-14</v>
      </c>
    </row>
    <row r="123" spans="11:12" x14ac:dyDescent="0.45">
      <c r="K123" s="62">
        <v>121</v>
      </c>
      <c r="L123" s="64">
        <v>-6.9999999999999716</v>
      </c>
    </row>
    <row r="124" spans="11:12" x14ac:dyDescent="0.45">
      <c r="K124" s="62">
        <v>122</v>
      </c>
      <c r="L124" s="64">
        <v>-12.499999999999972</v>
      </c>
    </row>
    <row r="125" spans="11:12" x14ac:dyDescent="0.45">
      <c r="K125" s="62">
        <v>123</v>
      </c>
      <c r="L125" s="64">
        <v>2.8421709430404007E-14</v>
      </c>
    </row>
    <row r="126" spans="11:12" x14ac:dyDescent="0.45">
      <c r="K126" s="62">
        <v>124</v>
      </c>
      <c r="L126" s="64">
        <v>-36.39999999999997</v>
      </c>
    </row>
    <row r="127" spans="11:12" x14ac:dyDescent="0.45">
      <c r="K127" s="62">
        <v>125</v>
      </c>
      <c r="L127" s="64">
        <v>-11.499999999999972</v>
      </c>
    </row>
    <row r="128" spans="11:12" x14ac:dyDescent="0.45">
      <c r="K128" s="62">
        <v>126</v>
      </c>
      <c r="L128" s="64">
        <v>2.8421709430404007E-14</v>
      </c>
    </row>
    <row r="129" spans="11:12" x14ac:dyDescent="0.45">
      <c r="K129" s="62">
        <v>127</v>
      </c>
      <c r="L129" s="64">
        <v>-8.4999999999999716</v>
      </c>
    </row>
    <row r="130" spans="11:12" x14ac:dyDescent="0.45">
      <c r="K130" s="62">
        <v>128</v>
      </c>
      <c r="L130" s="64">
        <v>-5.4999999999999716</v>
      </c>
    </row>
    <row r="131" spans="11:12" x14ac:dyDescent="0.45">
      <c r="K131" s="62">
        <v>129</v>
      </c>
      <c r="L131" s="64">
        <v>2.8421709430404007E-14</v>
      </c>
    </row>
    <row r="132" spans="11:12" x14ac:dyDescent="0.45">
      <c r="K132" s="62">
        <v>130</v>
      </c>
      <c r="L132" s="64">
        <v>8.4000000000000288</v>
      </c>
    </row>
    <row r="133" spans="11:12" x14ac:dyDescent="0.45">
      <c r="K133" s="62">
        <v>131</v>
      </c>
      <c r="L133" s="64">
        <v>23.900000000000027</v>
      </c>
    </row>
    <row r="134" spans="11:12" x14ac:dyDescent="0.45">
      <c r="K134" s="62">
        <v>132</v>
      </c>
      <c r="L134" s="64">
        <v>2.8421709430404007E-14</v>
      </c>
    </row>
    <row r="135" spans="11:12" x14ac:dyDescent="0.45">
      <c r="K135" s="62">
        <v>133</v>
      </c>
      <c r="L135" s="64">
        <v>-10.399999999999972</v>
      </c>
    </row>
    <row r="136" spans="11:12" x14ac:dyDescent="0.45">
      <c r="K136" s="62">
        <v>134</v>
      </c>
      <c r="L136" s="64">
        <v>0.70000000000002771</v>
      </c>
    </row>
    <row r="137" spans="11:12" x14ac:dyDescent="0.45">
      <c r="K137" s="62">
        <v>135</v>
      </c>
      <c r="L137" s="64">
        <v>2.7755575615628914E-14</v>
      </c>
    </row>
    <row r="138" spans="11:12" x14ac:dyDescent="0.45">
      <c r="K138" s="62">
        <v>136</v>
      </c>
      <c r="L138" s="64">
        <v>27.900000000000027</v>
      </c>
    </row>
    <row r="139" spans="11:12" x14ac:dyDescent="0.45">
      <c r="K139" s="62">
        <v>137</v>
      </c>
      <c r="L139" s="64">
        <v>-7.9999999999999716</v>
      </c>
    </row>
    <row r="140" spans="11:12" x14ac:dyDescent="0.45">
      <c r="K140" s="62">
        <v>138</v>
      </c>
      <c r="L140" s="64">
        <v>2.8421709430404007E-14</v>
      </c>
    </row>
    <row r="141" spans="11:12" x14ac:dyDescent="0.45">
      <c r="K141" s="62">
        <v>139</v>
      </c>
      <c r="L141" s="64">
        <v>-20.499999999999972</v>
      </c>
    </row>
    <row r="142" spans="11:12" x14ac:dyDescent="0.45">
      <c r="K142" s="62">
        <v>140</v>
      </c>
      <c r="L142" s="64">
        <v>-25.199999999999971</v>
      </c>
    </row>
    <row r="143" spans="11:12" x14ac:dyDescent="0.45">
      <c r="K143" s="62">
        <v>141</v>
      </c>
      <c r="L143" s="64">
        <v>2.8421709430404007E-14</v>
      </c>
    </row>
    <row r="144" spans="11:12" x14ac:dyDescent="0.45">
      <c r="K144" s="62">
        <v>142</v>
      </c>
      <c r="L144" s="64">
        <v>-31.099999999999973</v>
      </c>
    </row>
    <row r="145" spans="11:12" x14ac:dyDescent="0.45">
      <c r="K145" s="62">
        <v>143</v>
      </c>
      <c r="L145" s="64">
        <v>-62.299999999999969</v>
      </c>
    </row>
    <row r="146" spans="11:12" x14ac:dyDescent="0.45">
      <c r="K146" s="62">
        <v>144</v>
      </c>
      <c r="L146" s="64">
        <v>2.8421709430404007E-14</v>
      </c>
    </row>
    <row r="147" spans="11:12" x14ac:dyDescent="0.45">
      <c r="K147" s="62">
        <v>145</v>
      </c>
      <c r="L147" s="64">
        <v>16.200000000000028</v>
      </c>
    </row>
    <row r="148" spans="11:12" x14ac:dyDescent="0.45">
      <c r="K148" s="62">
        <v>146</v>
      </c>
      <c r="L148" s="64">
        <v>-8.599999999999973</v>
      </c>
    </row>
    <row r="149" spans="11:12" x14ac:dyDescent="0.45">
      <c r="K149" s="62">
        <v>147</v>
      </c>
      <c r="L149" s="64">
        <v>2.6645352591003757E-14</v>
      </c>
    </row>
    <row r="150" spans="11:12" x14ac:dyDescent="0.45">
      <c r="K150" s="62">
        <v>148</v>
      </c>
      <c r="L150" s="64">
        <v>-4.8999999999999737</v>
      </c>
    </row>
    <row r="151" spans="11:12" x14ac:dyDescent="0.45">
      <c r="K151" s="62">
        <v>149</v>
      </c>
      <c r="L151" s="64">
        <v>-16.799999999999976</v>
      </c>
    </row>
    <row r="152" spans="11:12" x14ac:dyDescent="0.45">
      <c r="K152" s="62">
        <v>150</v>
      </c>
      <c r="L152" s="64">
        <v>-1.9999999999999751</v>
      </c>
    </row>
    <row r="153" spans="11:12" x14ac:dyDescent="0.45">
      <c r="K153" s="62">
        <v>151</v>
      </c>
      <c r="L153" s="64">
        <v>10.800000000000026</v>
      </c>
    </row>
    <row r="154" spans="11:12" x14ac:dyDescent="0.45">
      <c r="K154" s="62">
        <v>152</v>
      </c>
      <c r="L154" s="64">
        <v>14.700000000000026</v>
      </c>
    </row>
    <row r="155" spans="11:12" x14ac:dyDescent="0.45">
      <c r="K155" s="62">
        <v>153</v>
      </c>
      <c r="L155" s="64">
        <v>-1.9999999999999734</v>
      </c>
    </row>
    <row r="156" spans="11:12" x14ac:dyDescent="0.45">
      <c r="K156" s="62">
        <v>154</v>
      </c>
      <c r="L156" s="64">
        <v>-1.2999999999999734</v>
      </c>
    </row>
    <row r="157" spans="11:12" x14ac:dyDescent="0.45">
      <c r="K157" s="62">
        <v>155</v>
      </c>
      <c r="L157" s="64">
        <v>41.900000000000027</v>
      </c>
    </row>
    <row r="158" spans="11:12" x14ac:dyDescent="0.45">
      <c r="K158" s="62">
        <v>156</v>
      </c>
      <c r="L158" s="64">
        <v>-1.9999999999999716</v>
      </c>
    </row>
    <row r="159" spans="11:12" x14ac:dyDescent="0.45">
      <c r="K159" s="62">
        <v>157</v>
      </c>
      <c r="L159" s="64">
        <v>-8.6999999999999709</v>
      </c>
    </row>
    <row r="160" spans="11:12" x14ac:dyDescent="0.45">
      <c r="K160" s="62">
        <v>158</v>
      </c>
      <c r="L160" s="64">
        <v>-11.499999999999972</v>
      </c>
    </row>
    <row r="161" spans="11:12" x14ac:dyDescent="0.45">
      <c r="K161" s="62">
        <v>159</v>
      </c>
      <c r="L161" s="64">
        <v>-1.9999999999999716</v>
      </c>
    </row>
    <row r="162" spans="11:12" x14ac:dyDescent="0.45">
      <c r="K162" s="62">
        <v>160</v>
      </c>
      <c r="L162" s="64">
        <v>-29.999999999999972</v>
      </c>
    </row>
    <row r="163" spans="11:12" x14ac:dyDescent="0.45">
      <c r="K163" s="62">
        <v>161</v>
      </c>
      <c r="L163" s="64">
        <v>-84.999999999999972</v>
      </c>
    </row>
    <row r="164" spans="11:12" x14ac:dyDescent="0.45">
      <c r="K164" s="62">
        <v>162</v>
      </c>
      <c r="L164" s="64">
        <v>-1.9999999999999716</v>
      </c>
    </row>
    <row r="165" spans="11:12" x14ac:dyDescent="0.45">
      <c r="K165" s="62">
        <v>163</v>
      </c>
      <c r="L165" s="64">
        <v>14.700000000000028</v>
      </c>
    </row>
    <row r="166" spans="11:12" x14ac:dyDescent="0.45">
      <c r="K166" s="62">
        <v>164</v>
      </c>
      <c r="L166" s="64">
        <v>-22.999999999999975</v>
      </c>
    </row>
    <row r="167" spans="11:12" x14ac:dyDescent="0.45">
      <c r="K167" s="62">
        <v>165</v>
      </c>
      <c r="L167" s="64">
        <v>-1.9999999999999751</v>
      </c>
    </row>
    <row r="168" spans="11:12" x14ac:dyDescent="0.45">
      <c r="K168" s="62">
        <v>166</v>
      </c>
      <c r="L168" s="64">
        <v>-8.9999999999999751</v>
      </c>
    </row>
    <row r="169" spans="11:12" x14ac:dyDescent="0.45">
      <c r="K169" s="62">
        <v>167</v>
      </c>
      <c r="L169" s="64">
        <v>-14.899999999999975</v>
      </c>
    </row>
    <row r="170" spans="11:12" x14ac:dyDescent="0.45">
      <c r="K170" s="62">
        <v>168</v>
      </c>
      <c r="L170" s="64">
        <v>-2.9999999999999751</v>
      </c>
    </row>
    <row r="171" spans="11:12" x14ac:dyDescent="0.45">
      <c r="K171" s="62">
        <v>169</v>
      </c>
      <c r="L171" s="64">
        <v>28.600000000000026</v>
      </c>
    </row>
    <row r="172" spans="11:12" x14ac:dyDescent="0.45">
      <c r="K172" s="62">
        <v>170</v>
      </c>
      <c r="L172" s="64">
        <v>34.800000000000026</v>
      </c>
    </row>
    <row r="173" spans="11:12" x14ac:dyDescent="0.45">
      <c r="K173" s="62">
        <v>171</v>
      </c>
      <c r="L173" s="64">
        <v>-2.9999999999999716</v>
      </c>
    </row>
    <row r="174" spans="11:12" x14ac:dyDescent="0.45">
      <c r="K174" s="62">
        <v>172</v>
      </c>
      <c r="L174" s="64">
        <v>12.800000000000029</v>
      </c>
    </row>
    <row r="175" spans="11:12" x14ac:dyDescent="0.45">
      <c r="K175" s="62">
        <v>173</v>
      </c>
      <c r="L175" s="64">
        <v>-33.299999999999969</v>
      </c>
    </row>
    <row r="176" spans="11:12" x14ac:dyDescent="0.45">
      <c r="K176" s="62">
        <v>174</v>
      </c>
      <c r="L176" s="64">
        <v>-2.999999999999968</v>
      </c>
    </row>
    <row r="177" spans="11:12" x14ac:dyDescent="0.45">
      <c r="K177" s="62">
        <v>175</v>
      </c>
      <c r="L177" s="64">
        <v>54.000000000000028</v>
      </c>
    </row>
    <row r="178" spans="11:12" x14ac:dyDescent="0.45">
      <c r="K178" s="62">
        <v>176</v>
      </c>
      <c r="L178" s="64">
        <v>3.5000000000000284</v>
      </c>
    </row>
    <row r="179" spans="11:12" x14ac:dyDescent="0.45">
      <c r="K179" s="62">
        <v>177</v>
      </c>
      <c r="L179" s="64">
        <v>-2.9999999999999716</v>
      </c>
    </row>
    <row r="180" spans="11:12" x14ac:dyDescent="0.45">
      <c r="K180" s="62">
        <v>178</v>
      </c>
      <c r="L180" s="64">
        <v>2.3000000000000282</v>
      </c>
    </row>
    <row r="181" spans="11:12" x14ac:dyDescent="0.45">
      <c r="K181" s="62">
        <v>179</v>
      </c>
      <c r="L181" s="64">
        <v>8.6000000000000281</v>
      </c>
    </row>
    <row r="182" spans="11:12" x14ac:dyDescent="0.45">
      <c r="K182" s="62">
        <v>180</v>
      </c>
      <c r="L182" s="64">
        <v>-2.9999999999999716</v>
      </c>
    </row>
    <row r="183" spans="11:12" x14ac:dyDescent="0.45">
      <c r="K183" s="62">
        <v>181</v>
      </c>
      <c r="L183" s="64">
        <v>-39.199999999999974</v>
      </c>
    </row>
    <row r="184" spans="11:12" x14ac:dyDescent="0.45">
      <c r="K184" s="62">
        <v>182</v>
      </c>
      <c r="L184" s="64">
        <v>-20.499999999999975</v>
      </c>
    </row>
    <row r="185" spans="11:12" x14ac:dyDescent="0.45">
      <c r="K185" s="62">
        <v>183</v>
      </c>
      <c r="L185" s="64">
        <v>-2.9999999999999751</v>
      </c>
    </row>
    <row r="186" spans="11:12" x14ac:dyDescent="0.45">
      <c r="K186" s="62">
        <v>184</v>
      </c>
      <c r="L186" s="64">
        <v>-49.09999999999998</v>
      </c>
    </row>
    <row r="187" spans="11:12" x14ac:dyDescent="0.45">
      <c r="K187" s="62">
        <v>185</v>
      </c>
      <c r="L187" s="64">
        <v>-43.999999999999979</v>
      </c>
    </row>
    <row r="188" spans="11:12" x14ac:dyDescent="0.45">
      <c r="K188" s="62">
        <v>186</v>
      </c>
      <c r="L188" s="64">
        <v>-2.9999999999999787</v>
      </c>
    </row>
    <row r="189" spans="11:12" x14ac:dyDescent="0.45">
      <c r="K189" s="62">
        <v>187</v>
      </c>
      <c r="L189" s="64">
        <v>32.000000000000021</v>
      </c>
    </row>
    <row r="190" spans="11:12" x14ac:dyDescent="0.45">
      <c r="K190" s="62">
        <v>188</v>
      </c>
      <c r="L190" s="64">
        <v>7.5000000000000213</v>
      </c>
    </row>
    <row r="191" spans="11:12" x14ac:dyDescent="0.45">
      <c r="K191" s="62">
        <v>189</v>
      </c>
      <c r="L191" s="64">
        <v>-2.9999999999999787</v>
      </c>
    </row>
    <row r="192" spans="11:12" x14ac:dyDescent="0.45">
      <c r="K192" s="62">
        <v>190</v>
      </c>
      <c r="L192" s="64">
        <v>18.100000000000023</v>
      </c>
    </row>
    <row r="193" spans="11:12" x14ac:dyDescent="0.45">
      <c r="K193" s="62">
        <v>191</v>
      </c>
      <c r="L193" s="64">
        <v>4.2000000000000224</v>
      </c>
    </row>
    <row r="194" spans="11:12" x14ac:dyDescent="0.45">
      <c r="K194" s="62">
        <v>192</v>
      </c>
      <c r="L194" s="64">
        <v>-2.9999999999999778</v>
      </c>
    </row>
    <row r="195" spans="11:12" x14ac:dyDescent="0.45">
      <c r="K195" s="62">
        <v>193</v>
      </c>
      <c r="L195" s="64">
        <v>-68.999999999999972</v>
      </c>
    </row>
    <row r="196" spans="11:12" x14ac:dyDescent="0.45">
      <c r="K196" s="62">
        <v>194</v>
      </c>
      <c r="L196" s="64">
        <v>-77.299999999999969</v>
      </c>
    </row>
    <row r="197" spans="11:12" x14ac:dyDescent="0.45">
      <c r="K197" s="62">
        <v>195</v>
      </c>
      <c r="L197" s="64">
        <v>-2.9999999999999716</v>
      </c>
    </row>
    <row r="198" spans="11:12" x14ac:dyDescent="0.45">
      <c r="K198" s="62">
        <v>196</v>
      </c>
      <c r="L198" s="64">
        <v>-7.9999999999999716</v>
      </c>
    </row>
    <row r="199" spans="11:12" x14ac:dyDescent="0.45">
      <c r="K199" s="62">
        <v>197</v>
      </c>
      <c r="L199" s="64">
        <v>-52.999999999999972</v>
      </c>
    </row>
    <row r="200" spans="11:12" x14ac:dyDescent="0.45">
      <c r="K200" s="62">
        <v>198</v>
      </c>
      <c r="L200" s="64">
        <v>-2.9999999999999716</v>
      </c>
    </row>
    <row r="201" spans="11:12" x14ac:dyDescent="0.45">
      <c r="K201" s="62">
        <v>199</v>
      </c>
      <c r="L201" s="64">
        <v>-1.9999999999999716</v>
      </c>
    </row>
    <row r="202" spans="11:12" x14ac:dyDescent="0.45">
      <c r="K202" s="62">
        <v>200</v>
      </c>
      <c r="L202" s="64">
        <v>-37.999999999999972</v>
      </c>
    </row>
    <row r="203" spans="11:12" x14ac:dyDescent="0.45">
      <c r="K203" s="62">
        <v>201</v>
      </c>
      <c r="L203" s="64">
        <v>-2.9999999999999716</v>
      </c>
    </row>
    <row r="204" spans="11:12" x14ac:dyDescent="0.45">
      <c r="K204" s="62">
        <v>202</v>
      </c>
      <c r="L204" s="64">
        <v>28.60000000000003</v>
      </c>
    </row>
    <row r="205" spans="11:12" x14ac:dyDescent="0.45">
      <c r="K205" s="62">
        <v>203</v>
      </c>
      <c r="L205" s="64">
        <v>-2.6999999999999709</v>
      </c>
    </row>
    <row r="206" spans="11:12" x14ac:dyDescent="0.45">
      <c r="K206" s="62">
        <v>204</v>
      </c>
      <c r="L206" s="64">
        <v>-2.9999999999999707</v>
      </c>
    </row>
    <row r="207" spans="11:12" x14ac:dyDescent="0.45">
      <c r="K207" s="62">
        <v>205</v>
      </c>
      <c r="L207" s="64">
        <v>-21.999999999999972</v>
      </c>
    </row>
    <row r="208" spans="11:12" x14ac:dyDescent="0.45">
      <c r="K208" s="62">
        <v>206</v>
      </c>
      <c r="L208" s="64">
        <v>42.000000000000028</v>
      </c>
    </row>
    <row r="209" spans="11:12" x14ac:dyDescent="0.45">
      <c r="K209" s="62">
        <v>207</v>
      </c>
      <c r="L209" s="64">
        <v>-2.9999999999999716</v>
      </c>
    </row>
    <row r="210" spans="11:12" x14ac:dyDescent="0.45">
      <c r="K210" s="62">
        <v>208</v>
      </c>
      <c r="L210" s="64">
        <v>-12.899999999999972</v>
      </c>
    </row>
    <row r="211" spans="11:12" x14ac:dyDescent="0.45">
      <c r="K211" s="62">
        <v>209</v>
      </c>
      <c r="L211" s="64">
        <v>-9.7999999999999723</v>
      </c>
    </row>
    <row r="212" spans="11:12" x14ac:dyDescent="0.45">
      <c r="K212" s="62">
        <v>210</v>
      </c>
      <c r="L212" s="64">
        <v>-2.9999999999999725</v>
      </c>
    </row>
    <row r="213" spans="11:12" x14ac:dyDescent="0.45">
      <c r="K213" s="62">
        <v>211</v>
      </c>
      <c r="L213" s="64">
        <v>-2.0999999999999726</v>
      </c>
    </row>
    <row r="214" spans="11:12" x14ac:dyDescent="0.45">
      <c r="K214" s="62">
        <v>212</v>
      </c>
      <c r="L214" s="64">
        <v>-0.8999999999999726</v>
      </c>
    </row>
    <row r="215" spans="11:12" x14ac:dyDescent="0.45">
      <c r="K215" s="62">
        <v>213</v>
      </c>
      <c r="L215" s="64">
        <v>-2.9999999999999725</v>
      </c>
    </row>
    <row r="216" spans="11:12" x14ac:dyDescent="0.45">
      <c r="K216" s="62">
        <v>214</v>
      </c>
      <c r="L216" s="64">
        <v>29.300000000000026</v>
      </c>
    </row>
    <row r="217" spans="11:12" x14ac:dyDescent="0.45">
      <c r="K217" s="62">
        <v>215</v>
      </c>
      <c r="L217" s="64">
        <v>32.100000000000023</v>
      </c>
    </row>
    <row r="218" spans="11:12" x14ac:dyDescent="0.45">
      <c r="K218" s="62">
        <v>216</v>
      </c>
      <c r="L218" s="64">
        <v>-2.9999999999999787</v>
      </c>
    </row>
    <row r="219" spans="11:12" x14ac:dyDescent="0.45">
      <c r="K219" s="62">
        <v>217</v>
      </c>
      <c r="L219" s="64">
        <v>-48.999999999999979</v>
      </c>
    </row>
    <row r="220" spans="11:12" x14ac:dyDescent="0.45">
      <c r="K220" s="62">
        <v>218</v>
      </c>
      <c r="L220" s="64">
        <v>-4.3999999999999773</v>
      </c>
    </row>
    <row r="221" spans="11:12" x14ac:dyDescent="0.45">
      <c r="K221" s="62">
        <v>219</v>
      </c>
      <c r="L221" s="64">
        <v>-2.9999999999999774</v>
      </c>
    </row>
    <row r="222" spans="11:12" x14ac:dyDescent="0.45">
      <c r="K222" s="62">
        <v>220</v>
      </c>
      <c r="L222" s="64">
        <v>25.40000000000002</v>
      </c>
    </row>
    <row r="223" spans="11:12" x14ac:dyDescent="0.45">
      <c r="K223" s="62">
        <v>221</v>
      </c>
      <c r="L223" s="64">
        <v>24.000000000000021</v>
      </c>
    </row>
    <row r="224" spans="11:12" x14ac:dyDescent="0.45">
      <c r="K224" s="62">
        <v>222</v>
      </c>
      <c r="L224" s="64">
        <v>-2.9999999999999787</v>
      </c>
    </row>
    <row r="225" spans="11:12" x14ac:dyDescent="0.45">
      <c r="K225" s="62">
        <v>223</v>
      </c>
      <c r="L225" s="64">
        <v>-10.399999999999979</v>
      </c>
    </row>
    <row r="226" spans="11:12" x14ac:dyDescent="0.45">
      <c r="K226" s="62">
        <v>224</v>
      </c>
      <c r="L226" s="64">
        <v>-50.09999999999998</v>
      </c>
    </row>
    <row r="227" spans="11:12" x14ac:dyDescent="0.45">
      <c r="K227" s="62">
        <v>225</v>
      </c>
      <c r="L227" s="64">
        <v>-2.9999999999999787</v>
      </c>
    </row>
    <row r="228" spans="11:12" x14ac:dyDescent="0.45">
      <c r="K228" s="62">
        <v>226</v>
      </c>
      <c r="L228" s="64">
        <v>15.300000000000022</v>
      </c>
    </row>
    <row r="229" spans="11:12" x14ac:dyDescent="0.45">
      <c r="K229" s="62">
        <v>227</v>
      </c>
      <c r="L229" s="64">
        <v>-17.799999999999979</v>
      </c>
    </row>
    <row r="230" spans="11:12" x14ac:dyDescent="0.45">
      <c r="K230" s="62">
        <v>228</v>
      </c>
      <c r="L230" s="64">
        <v>-2.9999999999999787</v>
      </c>
    </row>
    <row r="231" spans="11:12" x14ac:dyDescent="0.45">
      <c r="K231" s="62">
        <v>229</v>
      </c>
      <c r="L231" s="64">
        <v>-16.899999999999977</v>
      </c>
    </row>
    <row r="232" spans="11:12" x14ac:dyDescent="0.45">
      <c r="K232" s="62">
        <v>230</v>
      </c>
      <c r="L232" s="64">
        <v>-35.09999999999998</v>
      </c>
    </row>
    <row r="233" spans="11:12" x14ac:dyDescent="0.45">
      <c r="K233" s="62">
        <v>231</v>
      </c>
      <c r="L233" s="64">
        <v>-2.9999999999999787</v>
      </c>
    </row>
    <row r="234" spans="11:12" x14ac:dyDescent="0.45">
      <c r="K234" s="62">
        <v>232</v>
      </c>
      <c r="L234" s="64">
        <v>37.000000000000021</v>
      </c>
    </row>
    <row r="235" spans="11:12" x14ac:dyDescent="0.45">
      <c r="K235" s="62">
        <v>233</v>
      </c>
      <c r="L235" s="64">
        <v>-3.3999999999999773</v>
      </c>
    </row>
    <row r="236" spans="11:12" x14ac:dyDescent="0.45">
      <c r="K236" s="62">
        <v>234</v>
      </c>
      <c r="L236" s="64">
        <v>-2.9999999999999774</v>
      </c>
    </row>
    <row r="237" spans="11:12" x14ac:dyDescent="0.45">
      <c r="K237" s="62">
        <v>235</v>
      </c>
      <c r="L237" s="64">
        <v>2.2000000000000228</v>
      </c>
    </row>
    <row r="238" spans="11:12" x14ac:dyDescent="0.45">
      <c r="K238" s="62">
        <v>236</v>
      </c>
      <c r="L238" s="64">
        <v>-8.7999999999999776</v>
      </c>
    </row>
    <row r="239" spans="11:12" x14ac:dyDescent="0.45">
      <c r="K239" s="62">
        <v>237</v>
      </c>
      <c r="L239" s="64">
        <v>-2.9999999999999778</v>
      </c>
    </row>
    <row r="240" spans="11:12" x14ac:dyDescent="0.45">
      <c r="K240" s="62">
        <v>238</v>
      </c>
      <c r="L240" s="64">
        <v>-16.699999999999978</v>
      </c>
    </row>
    <row r="241" spans="11:12" x14ac:dyDescent="0.45">
      <c r="K241" s="62">
        <v>239</v>
      </c>
      <c r="L241" s="64">
        <v>-32.499999999999979</v>
      </c>
    </row>
    <row r="242" spans="11:12" x14ac:dyDescent="0.45">
      <c r="K242" s="62">
        <v>240</v>
      </c>
      <c r="L242" s="64">
        <v>-2.9999999999999787</v>
      </c>
    </row>
    <row r="243" spans="11:12" x14ac:dyDescent="0.45">
      <c r="K243" s="62">
        <v>241</v>
      </c>
      <c r="L243" s="64">
        <v>-25.999999999999979</v>
      </c>
    </row>
    <row r="244" spans="11:12" x14ac:dyDescent="0.45">
      <c r="K244" s="62">
        <v>242</v>
      </c>
      <c r="L244" s="64">
        <v>-47.899999999999977</v>
      </c>
    </row>
    <row r="245" spans="11:12" x14ac:dyDescent="0.45">
      <c r="K245" s="62">
        <v>243</v>
      </c>
      <c r="L245" s="64">
        <v>-2.9999999999999787</v>
      </c>
    </row>
    <row r="246" spans="11:12" x14ac:dyDescent="0.45">
      <c r="K246" s="62">
        <v>244</v>
      </c>
      <c r="L246" s="64">
        <v>2.100000000000021</v>
      </c>
    </row>
    <row r="247" spans="11:12" x14ac:dyDescent="0.45">
      <c r="K247" s="62">
        <v>245</v>
      </c>
      <c r="L247" s="64">
        <v>13.400000000000022</v>
      </c>
    </row>
    <row r="248" spans="11:12" x14ac:dyDescent="0.45">
      <c r="K248" s="62">
        <v>246</v>
      </c>
      <c r="L248" s="64">
        <v>-2.9999999999999769</v>
      </c>
    </row>
    <row r="249" spans="11:12" x14ac:dyDescent="0.45">
      <c r="K249" s="62">
        <v>247</v>
      </c>
      <c r="L249" s="64">
        <v>28.90000000000002</v>
      </c>
    </row>
    <row r="250" spans="11:12" x14ac:dyDescent="0.45">
      <c r="K250" s="62">
        <v>248</v>
      </c>
      <c r="L250" s="64">
        <v>35.000000000000021</v>
      </c>
    </row>
    <row r="251" spans="11:12" x14ac:dyDescent="0.45">
      <c r="K251" s="62">
        <v>249</v>
      </c>
      <c r="L251" s="64">
        <v>-2.9999999999999787</v>
      </c>
    </row>
    <row r="252" spans="11:12" x14ac:dyDescent="0.45">
      <c r="K252" s="62">
        <v>250</v>
      </c>
      <c r="L252" s="64">
        <v>37.000000000000021</v>
      </c>
    </row>
    <row r="253" spans="11:12" x14ac:dyDescent="0.45">
      <c r="K253" s="62">
        <v>251</v>
      </c>
      <c r="L253" s="64">
        <v>-6.9999999999999787</v>
      </c>
    </row>
    <row r="254" spans="11:12" x14ac:dyDescent="0.45">
      <c r="K254" s="62">
        <v>252</v>
      </c>
      <c r="L254" s="64">
        <v>-2.9999999999999787</v>
      </c>
    </row>
    <row r="255" spans="11:12" x14ac:dyDescent="0.45">
      <c r="K255" s="62">
        <v>253</v>
      </c>
      <c r="L255" s="64">
        <v>19.500000000000021</v>
      </c>
    </row>
    <row r="256" spans="11:12" x14ac:dyDescent="0.45">
      <c r="K256" s="62">
        <v>254</v>
      </c>
      <c r="L256" s="64">
        <v>-21.499999999999979</v>
      </c>
    </row>
    <row r="257" spans="11:12" x14ac:dyDescent="0.45">
      <c r="K257" s="62">
        <v>255</v>
      </c>
      <c r="L257" s="64">
        <v>-2.9999999999999787</v>
      </c>
    </row>
    <row r="258" spans="11:12" x14ac:dyDescent="0.45">
      <c r="K258" s="62">
        <v>256</v>
      </c>
      <c r="L258" s="64">
        <v>28.500000000000021</v>
      </c>
    </row>
    <row r="259" spans="11:12" x14ac:dyDescent="0.45">
      <c r="K259" s="62">
        <v>257</v>
      </c>
      <c r="L259" s="64">
        <v>17.700000000000021</v>
      </c>
    </row>
    <row r="260" spans="11:12" x14ac:dyDescent="0.45">
      <c r="K260" s="62">
        <v>258</v>
      </c>
      <c r="L260" s="64">
        <v>-2.9999999999999787</v>
      </c>
    </row>
    <row r="261" spans="11:12" x14ac:dyDescent="0.45">
      <c r="K261" s="62">
        <v>259</v>
      </c>
      <c r="L261" s="64">
        <v>56.800000000000018</v>
      </c>
    </row>
    <row r="262" spans="11:12" x14ac:dyDescent="0.45">
      <c r="K262" s="62">
        <v>260</v>
      </c>
      <c r="L262" s="64">
        <v>21.300000000000018</v>
      </c>
    </row>
    <row r="263" spans="11:12" x14ac:dyDescent="0.45">
      <c r="K263" s="62">
        <v>261</v>
      </c>
      <c r="L263" s="64">
        <v>-2.9999999999999822</v>
      </c>
    </row>
    <row r="264" spans="11:12" x14ac:dyDescent="0.45">
      <c r="K264" s="62">
        <v>262</v>
      </c>
      <c r="L264" s="64">
        <v>8.1000000000000174</v>
      </c>
    </row>
    <row r="265" spans="11:12" x14ac:dyDescent="0.45">
      <c r="K265" s="62">
        <v>263</v>
      </c>
      <c r="L265" s="64">
        <v>-18.999999999999986</v>
      </c>
    </row>
    <row r="266" spans="11:12" x14ac:dyDescent="0.45">
      <c r="K266" s="62">
        <v>264</v>
      </c>
      <c r="L266" s="64">
        <v>-2.9999999999999858</v>
      </c>
    </row>
    <row r="267" spans="11:12" x14ac:dyDescent="0.45">
      <c r="K267" s="62">
        <v>265</v>
      </c>
      <c r="L267" s="64">
        <v>-1.3999999999999857</v>
      </c>
    </row>
    <row r="268" spans="11:12" x14ac:dyDescent="0.45">
      <c r="K268" s="62">
        <v>266</v>
      </c>
      <c r="L268" s="64">
        <v>21.200000000000017</v>
      </c>
    </row>
    <row r="269" spans="11:12" x14ac:dyDescent="0.45">
      <c r="K269" s="62">
        <v>267</v>
      </c>
      <c r="L269" s="64">
        <v>-2.9999999999999822</v>
      </c>
    </row>
    <row r="270" spans="11:12" x14ac:dyDescent="0.45">
      <c r="K270" s="62">
        <v>268</v>
      </c>
      <c r="L270" s="64">
        <v>-24.399999999999981</v>
      </c>
    </row>
    <row r="271" spans="11:12" x14ac:dyDescent="0.45">
      <c r="K271" s="62">
        <v>269</v>
      </c>
      <c r="L271" s="64">
        <v>-8.7999999999999812</v>
      </c>
    </row>
    <row r="272" spans="11:12" x14ac:dyDescent="0.45">
      <c r="K272" s="62">
        <v>270</v>
      </c>
      <c r="L272" s="64">
        <v>-2.9999999999999813</v>
      </c>
    </row>
    <row r="273" spans="11:12" x14ac:dyDescent="0.45">
      <c r="K273" s="62">
        <v>271</v>
      </c>
      <c r="L273" s="64">
        <v>0.50000000000001865</v>
      </c>
    </row>
    <row r="274" spans="11:12" x14ac:dyDescent="0.45">
      <c r="K274" s="62">
        <v>272</v>
      </c>
      <c r="L274" s="64">
        <v>1.1000000000000187</v>
      </c>
    </row>
    <row r="275" spans="11:12" x14ac:dyDescent="0.45">
      <c r="K275" s="62">
        <v>273</v>
      </c>
      <c r="L275" s="64">
        <v>-2.9999999999999809</v>
      </c>
    </row>
    <row r="276" spans="11:12" x14ac:dyDescent="0.45">
      <c r="K276" s="62">
        <v>274</v>
      </c>
      <c r="L276" s="64">
        <v>-46.399999999999977</v>
      </c>
    </row>
    <row r="277" spans="11:12" x14ac:dyDescent="0.45">
      <c r="K277" s="62">
        <v>275</v>
      </c>
      <c r="L277" s="64">
        <v>-6.1999999999999744</v>
      </c>
    </row>
    <row r="278" spans="11:12" x14ac:dyDescent="0.45">
      <c r="K278" s="62">
        <v>276</v>
      </c>
      <c r="L278" s="64">
        <v>-2.9999999999999742</v>
      </c>
    </row>
    <row r="279" spans="11:12" x14ac:dyDescent="0.45">
      <c r="K279" s="62">
        <v>277</v>
      </c>
      <c r="L279" s="64">
        <v>-48.499999999999972</v>
      </c>
    </row>
    <row r="280" spans="11:12" x14ac:dyDescent="0.45">
      <c r="K280" s="62">
        <v>278</v>
      </c>
      <c r="L280" s="64">
        <v>-30.999999999999972</v>
      </c>
    </row>
    <row r="281" spans="11:12" x14ac:dyDescent="0.45">
      <c r="K281" s="62">
        <v>279</v>
      </c>
      <c r="L281" s="64">
        <v>-2.9999999999999716</v>
      </c>
    </row>
    <row r="282" spans="11:12" x14ac:dyDescent="0.45">
      <c r="K282" s="62">
        <v>280</v>
      </c>
      <c r="L282" s="64">
        <v>-3.5999999999999717</v>
      </c>
    </row>
    <row r="283" spans="11:12" x14ac:dyDescent="0.45">
      <c r="K283" s="62">
        <v>281</v>
      </c>
      <c r="L283" s="64">
        <v>-42.099999999999973</v>
      </c>
    </row>
    <row r="284" spans="11:12" x14ac:dyDescent="0.45">
      <c r="K284" s="62">
        <v>282</v>
      </c>
      <c r="L284" s="64">
        <v>-2.9999999999999716</v>
      </c>
    </row>
    <row r="285" spans="11:12" x14ac:dyDescent="0.45">
      <c r="K285" s="62">
        <v>283</v>
      </c>
      <c r="L285" s="64">
        <v>23.400000000000027</v>
      </c>
    </row>
    <row r="286" spans="11:12" x14ac:dyDescent="0.45">
      <c r="K286" s="62">
        <v>284</v>
      </c>
      <c r="L286" s="64">
        <v>-4.9999999999999716</v>
      </c>
    </row>
    <row r="287" spans="11:12" x14ac:dyDescent="0.45">
      <c r="K287" s="62">
        <v>285</v>
      </c>
      <c r="L287" s="64">
        <v>-2.9999999999999716</v>
      </c>
    </row>
    <row r="288" spans="11:12" x14ac:dyDescent="0.45">
      <c r="K288" s="62">
        <v>286</v>
      </c>
      <c r="L288" s="64">
        <v>6.7000000000000277</v>
      </c>
    </row>
    <row r="289" spans="11:12" x14ac:dyDescent="0.45">
      <c r="K289" s="62">
        <v>287</v>
      </c>
      <c r="L289" s="64">
        <v>-35.699999999999974</v>
      </c>
    </row>
    <row r="290" spans="11:12" x14ac:dyDescent="0.45">
      <c r="K290" s="62">
        <v>288</v>
      </c>
      <c r="L290" s="64">
        <v>-2.9999999999999716</v>
      </c>
    </row>
    <row r="291" spans="11:12" x14ac:dyDescent="0.45">
      <c r="K291" s="62">
        <v>289</v>
      </c>
      <c r="L291" s="64">
        <v>18.10000000000003</v>
      </c>
    </row>
    <row r="292" spans="11:12" x14ac:dyDescent="0.45">
      <c r="K292" s="62">
        <v>290</v>
      </c>
      <c r="L292" s="64">
        <v>-17.599999999999973</v>
      </c>
    </row>
    <row r="293" spans="11:12" x14ac:dyDescent="0.45">
      <c r="K293" s="62">
        <v>291</v>
      </c>
      <c r="L293" s="64">
        <v>-2.9999999999999734</v>
      </c>
    </row>
    <row r="294" spans="11:12" x14ac:dyDescent="0.45">
      <c r="K294" s="62">
        <v>292</v>
      </c>
      <c r="L294" s="64">
        <v>-51.699999999999974</v>
      </c>
    </row>
    <row r="295" spans="11:12" x14ac:dyDescent="0.45">
      <c r="K295" s="62">
        <v>293</v>
      </c>
      <c r="L295" s="64">
        <v>-50.999999999999972</v>
      </c>
    </row>
    <row r="296" spans="11:12" x14ac:dyDescent="0.45">
      <c r="K296" s="62">
        <v>294</v>
      </c>
      <c r="L296" s="64">
        <v>-2.9999999999999716</v>
      </c>
    </row>
    <row r="297" spans="11:12" x14ac:dyDescent="0.45">
      <c r="K297" s="62">
        <v>295</v>
      </c>
      <c r="L297" s="64">
        <v>-18.999999999999972</v>
      </c>
    </row>
    <row r="298" spans="11:12" x14ac:dyDescent="0.45">
      <c r="K298" s="62">
        <v>296</v>
      </c>
      <c r="L298" s="64">
        <v>-6.7999999999999723</v>
      </c>
    </row>
    <row r="299" spans="11:12" x14ac:dyDescent="0.45">
      <c r="K299" s="62">
        <v>297</v>
      </c>
      <c r="L299" s="64">
        <v>-2.9999999999999725</v>
      </c>
    </row>
    <row r="300" spans="11:12" x14ac:dyDescent="0.45">
      <c r="K300" s="62">
        <v>298</v>
      </c>
      <c r="L300" s="64">
        <v>40.10000000000003</v>
      </c>
    </row>
    <row r="301" spans="11:12" x14ac:dyDescent="0.45">
      <c r="K301" s="62">
        <v>299</v>
      </c>
      <c r="L301" s="64">
        <v>2.8000000000000327</v>
      </c>
    </row>
    <row r="302" spans="11:12" x14ac:dyDescent="0.45">
      <c r="K302" s="62">
        <v>300</v>
      </c>
      <c r="L302" s="64">
        <v>-2.9999999999999671</v>
      </c>
    </row>
    <row r="303" spans="11:12" x14ac:dyDescent="0.45">
      <c r="K303" s="62">
        <v>301</v>
      </c>
      <c r="L303" s="64">
        <v>-8.999999999999968</v>
      </c>
    </row>
    <row r="304" spans="11:12" x14ac:dyDescent="0.45">
      <c r="K304" s="62">
        <v>302</v>
      </c>
      <c r="L304" s="64">
        <v>-60.899999999999963</v>
      </c>
    </row>
    <row r="305" spans="11:12" x14ac:dyDescent="0.45">
      <c r="K305" s="62">
        <v>303</v>
      </c>
      <c r="L305" s="64">
        <v>-2.9999999999999645</v>
      </c>
    </row>
    <row r="306" spans="11:12" x14ac:dyDescent="0.45">
      <c r="K306" s="62">
        <v>304</v>
      </c>
      <c r="L306" s="64">
        <v>-40.499999999999964</v>
      </c>
    </row>
    <row r="307" spans="11:12" x14ac:dyDescent="0.45">
      <c r="K307" s="62">
        <v>305</v>
      </c>
      <c r="L307" s="64">
        <v>-52.499999999999964</v>
      </c>
    </row>
    <row r="308" spans="11:12" x14ac:dyDescent="0.45">
      <c r="K308" s="62">
        <v>306</v>
      </c>
      <c r="L308" s="64">
        <v>-2.9999999999999645</v>
      </c>
    </row>
    <row r="309" spans="11:12" x14ac:dyDescent="0.45">
      <c r="K309" s="62">
        <v>307</v>
      </c>
      <c r="L309" s="64">
        <v>-42.499999999999964</v>
      </c>
    </row>
    <row r="310" spans="11:12" x14ac:dyDescent="0.45">
      <c r="K310" s="62">
        <v>308</v>
      </c>
      <c r="L310" s="64">
        <v>6.5000000000000355</v>
      </c>
    </row>
    <row r="311" spans="11:12" x14ac:dyDescent="0.45">
      <c r="K311" s="62">
        <v>309</v>
      </c>
      <c r="L311" s="64">
        <v>-2.9999999999999645</v>
      </c>
    </row>
    <row r="312" spans="11:12" x14ac:dyDescent="0.45">
      <c r="K312" s="62">
        <v>310</v>
      </c>
      <c r="L312" s="64">
        <v>8.1000000000000352</v>
      </c>
    </row>
    <row r="313" spans="11:12" x14ac:dyDescent="0.45">
      <c r="K313" s="62">
        <v>311</v>
      </c>
      <c r="L313" s="64">
        <v>-5.6999999999999655</v>
      </c>
    </row>
    <row r="314" spans="11:12" x14ac:dyDescent="0.45">
      <c r="K314" s="62">
        <v>312</v>
      </c>
      <c r="L314" s="64">
        <v>-2.9999999999999654</v>
      </c>
    </row>
    <row r="315" spans="11:12" x14ac:dyDescent="0.45">
      <c r="K315" s="62">
        <v>313</v>
      </c>
      <c r="L315" s="64">
        <v>-4.9999999999999654</v>
      </c>
    </row>
    <row r="316" spans="11:12" x14ac:dyDescent="0.45">
      <c r="K316" s="62">
        <v>314</v>
      </c>
      <c r="L316" s="64">
        <v>36.000000000000036</v>
      </c>
    </row>
    <row r="317" spans="11:12" x14ac:dyDescent="0.45">
      <c r="K317" s="62">
        <v>315</v>
      </c>
      <c r="L317" s="64">
        <v>-2.9999999999999645</v>
      </c>
    </row>
    <row r="318" spans="11:12" x14ac:dyDescent="0.45">
      <c r="K318" s="62">
        <v>316</v>
      </c>
      <c r="L318" s="64">
        <v>40.500000000000036</v>
      </c>
    </row>
    <row r="319" spans="11:12" x14ac:dyDescent="0.45">
      <c r="K319" s="62">
        <v>317</v>
      </c>
      <c r="L319" s="64">
        <v>37.100000000000037</v>
      </c>
    </row>
    <row r="320" spans="11:12" x14ac:dyDescent="0.45">
      <c r="K320" s="62">
        <v>318</v>
      </c>
      <c r="L320" s="64">
        <v>-2.9999999999999645</v>
      </c>
    </row>
    <row r="321" spans="11:12" x14ac:dyDescent="0.45">
      <c r="K321" s="62">
        <v>319</v>
      </c>
      <c r="L321" s="64">
        <v>-8.5999999999999641</v>
      </c>
    </row>
    <row r="322" spans="11:12" x14ac:dyDescent="0.45">
      <c r="K322" s="62">
        <v>320</v>
      </c>
      <c r="L322" s="64">
        <v>63.000000000000028</v>
      </c>
    </row>
    <row r="323" spans="11:12" x14ac:dyDescent="0.45">
      <c r="K323" s="62">
        <v>321</v>
      </c>
      <c r="L323" s="64">
        <v>-2.9999999999999716</v>
      </c>
    </row>
    <row r="324" spans="11:12" x14ac:dyDescent="0.45">
      <c r="K324" s="62">
        <v>322</v>
      </c>
      <c r="L324" s="64">
        <v>-10.399999999999972</v>
      </c>
    </row>
    <row r="325" spans="11:12" x14ac:dyDescent="0.45">
      <c r="K325" s="62">
        <v>323</v>
      </c>
      <c r="L325" s="64">
        <v>21.10000000000003</v>
      </c>
    </row>
    <row r="326" spans="11:12" x14ac:dyDescent="0.45">
      <c r="K326" s="62">
        <v>324</v>
      </c>
      <c r="L326" s="64">
        <v>-2.9999999999999716</v>
      </c>
    </row>
    <row r="327" spans="11:12" x14ac:dyDescent="0.45">
      <c r="K327" s="62">
        <v>325</v>
      </c>
      <c r="L327" s="64">
        <v>-40.999999999999972</v>
      </c>
    </row>
    <row r="328" spans="11:12" x14ac:dyDescent="0.45">
      <c r="K328" s="62">
        <v>326</v>
      </c>
      <c r="L328" s="64">
        <v>-5.599999999999973</v>
      </c>
    </row>
    <row r="329" spans="11:12" x14ac:dyDescent="0.45">
      <c r="K329" s="62">
        <v>327</v>
      </c>
      <c r="L329" s="64">
        <v>-2.9999999999999729</v>
      </c>
    </row>
    <row r="330" spans="11:12" x14ac:dyDescent="0.45">
      <c r="K330" s="62">
        <v>328</v>
      </c>
      <c r="L330" s="64">
        <v>-21.799999999999972</v>
      </c>
    </row>
    <row r="331" spans="11:12" x14ac:dyDescent="0.45">
      <c r="K331" s="62">
        <v>329</v>
      </c>
      <c r="L331" s="64">
        <v>-10.299999999999972</v>
      </c>
    </row>
    <row r="332" spans="11:12" x14ac:dyDescent="0.45">
      <c r="K332" s="62">
        <v>330</v>
      </c>
      <c r="L332" s="64">
        <v>-2.9999999999999725</v>
      </c>
    </row>
    <row r="333" spans="11:12" x14ac:dyDescent="0.45">
      <c r="K333" s="62">
        <v>331</v>
      </c>
      <c r="L333" s="64">
        <v>24.000000000000028</v>
      </c>
    </row>
    <row r="334" spans="11:12" x14ac:dyDescent="0.45">
      <c r="K334" s="62">
        <v>332</v>
      </c>
      <c r="L334" s="64">
        <v>33.10000000000003</v>
      </c>
    </row>
    <row r="335" spans="11:12" x14ac:dyDescent="0.45">
      <c r="K335" s="62">
        <v>333</v>
      </c>
      <c r="L335" s="64">
        <v>-2.9999999999999716</v>
      </c>
    </row>
    <row r="336" spans="11:12" x14ac:dyDescent="0.45">
      <c r="K336" s="62">
        <v>334</v>
      </c>
      <c r="L336" s="64">
        <v>41.60000000000003</v>
      </c>
    </row>
    <row r="337" spans="11:12" x14ac:dyDescent="0.45">
      <c r="K337" s="62">
        <v>335</v>
      </c>
      <c r="L337" s="64">
        <v>36.400000000000027</v>
      </c>
    </row>
    <row r="338" spans="11:12" x14ac:dyDescent="0.45">
      <c r="K338" s="62">
        <v>336</v>
      </c>
      <c r="L338" s="64">
        <v>-2.9999999999999716</v>
      </c>
    </row>
    <row r="339" spans="11:12" x14ac:dyDescent="0.45">
      <c r="K339" s="62">
        <v>337</v>
      </c>
      <c r="L339" s="64">
        <v>4.0000000000000284</v>
      </c>
    </row>
    <row r="340" spans="11:12" x14ac:dyDescent="0.45">
      <c r="K340" s="62">
        <v>338</v>
      </c>
      <c r="L340" s="64">
        <v>37.000000000000028</v>
      </c>
    </row>
    <row r="341" spans="11:12" x14ac:dyDescent="0.45">
      <c r="K341" s="62">
        <v>339</v>
      </c>
      <c r="L341" s="64">
        <v>-2.9999999999999716</v>
      </c>
    </row>
    <row r="342" spans="11:12" x14ac:dyDescent="0.45">
      <c r="K342" s="62">
        <v>340</v>
      </c>
      <c r="L342" s="64">
        <v>-14.299999999999972</v>
      </c>
    </row>
    <row r="343" spans="11:12" x14ac:dyDescent="0.45">
      <c r="K343" s="62">
        <v>341</v>
      </c>
      <c r="L343" s="64">
        <v>-9.099999999999973</v>
      </c>
    </row>
    <row r="344" spans="11:12" x14ac:dyDescent="0.45">
      <c r="K344" s="62">
        <v>342</v>
      </c>
      <c r="L344" s="64">
        <v>-2.9999999999999734</v>
      </c>
    </row>
    <row r="345" spans="11:12" x14ac:dyDescent="0.45">
      <c r="K345" s="62">
        <v>343</v>
      </c>
      <c r="L345" s="64">
        <v>-18.499999999999972</v>
      </c>
    </row>
    <row r="346" spans="11:12" x14ac:dyDescent="0.45">
      <c r="K346" s="62">
        <v>344</v>
      </c>
      <c r="L346" s="64">
        <v>-53.999999999999972</v>
      </c>
    </row>
    <row r="347" spans="11:12" x14ac:dyDescent="0.45">
      <c r="K347" s="62">
        <v>345</v>
      </c>
      <c r="L347" s="64">
        <v>-2.9999999999999716</v>
      </c>
    </row>
    <row r="348" spans="11:12" x14ac:dyDescent="0.45">
      <c r="K348" s="62">
        <v>346</v>
      </c>
      <c r="L348" s="64">
        <v>-22.299999999999972</v>
      </c>
    </row>
    <row r="349" spans="11:12" x14ac:dyDescent="0.45">
      <c r="K349" s="62">
        <v>347</v>
      </c>
      <c r="L349" s="64">
        <v>-6.099999999999973</v>
      </c>
    </row>
    <row r="350" spans="11:12" x14ac:dyDescent="0.45">
      <c r="K350" s="62">
        <v>348</v>
      </c>
      <c r="L350" s="64">
        <v>-2.9999999999999729</v>
      </c>
    </row>
    <row r="351" spans="11:12" x14ac:dyDescent="0.45">
      <c r="K351" s="62">
        <v>349</v>
      </c>
      <c r="L351" s="64">
        <v>21.000000000000028</v>
      </c>
    </row>
    <row r="352" spans="11:12" x14ac:dyDescent="0.45">
      <c r="K352" s="62">
        <v>350</v>
      </c>
      <c r="L352" s="64">
        <v>15.100000000000028</v>
      </c>
    </row>
    <row r="353" spans="11:12" x14ac:dyDescent="0.45">
      <c r="K353" s="62">
        <v>351</v>
      </c>
      <c r="L353" s="64">
        <v>-2.9999999999999734</v>
      </c>
    </row>
    <row r="354" spans="11:12" x14ac:dyDescent="0.45">
      <c r="K354" s="62">
        <v>352</v>
      </c>
      <c r="L354" s="64">
        <v>25.300000000000026</v>
      </c>
    </row>
    <row r="355" spans="11:12" x14ac:dyDescent="0.45">
      <c r="K355" s="62">
        <v>353</v>
      </c>
      <c r="L355" s="64">
        <v>5.1000000000000263</v>
      </c>
    </row>
    <row r="356" spans="11:12" x14ac:dyDescent="0.45">
      <c r="K356" s="62">
        <v>354</v>
      </c>
      <c r="L356" s="64">
        <v>-2.9999999999999734</v>
      </c>
    </row>
    <row r="357" spans="11:12" x14ac:dyDescent="0.45">
      <c r="K357" s="62">
        <v>355</v>
      </c>
      <c r="L357" s="64">
        <v>-34.499999999999972</v>
      </c>
    </row>
    <row r="358" spans="11:12" x14ac:dyDescent="0.45">
      <c r="K358" s="62">
        <v>356</v>
      </c>
      <c r="L358" s="64">
        <v>15.500000000000028</v>
      </c>
    </row>
    <row r="359" spans="11:12" x14ac:dyDescent="0.45">
      <c r="K359" s="62">
        <v>357</v>
      </c>
      <c r="L359" s="64">
        <v>-2.9999999999999716</v>
      </c>
    </row>
    <row r="360" spans="11:12" x14ac:dyDescent="0.45">
      <c r="K360" s="62">
        <v>358</v>
      </c>
      <c r="L360" s="64">
        <v>16.500000000000028</v>
      </c>
    </row>
    <row r="361" spans="11:12" x14ac:dyDescent="0.45">
      <c r="K361" s="62">
        <v>359</v>
      </c>
      <c r="L361" s="64">
        <v>4.4000000000000288</v>
      </c>
    </row>
    <row r="362" spans="11:12" x14ac:dyDescent="0.45">
      <c r="K362" s="62">
        <v>360</v>
      </c>
      <c r="L362" s="64">
        <v>-2.9999999999999716</v>
      </c>
    </row>
    <row r="363" spans="11:12" x14ac:dyDescent="0.45">
      <c r="K363" s="62">
        <v>361</v>
      </c>
      <c r="L363" s="64">
        <v>-8.3999999999999719</v>
      </c>
    </row>
    <row r="364" spans="11:12" x14ac:dyDescent="0.45">
      <c r="K364" s="62">
        <v>362</v>
      </c>
      <c r="L364" s="64">
        <v>7.4000000000000288</v>
      </c>
    </row>
    <row r="365" spans="11:12" x14ac:dyDescent="0.45">
      <c r="K365" s="62">
        <v>363</v>
      </c>
      <c r="L365" s="64">
        <v>-2.9999999999999716</v>
      </c>
    </row>
    <row r="366" spans="11:12" x14ac:dyDescent="0.45">
      <c r="K366" s="62">
        <v>364</v>
      </c>
      <c r="L366" s="64">
        <v>53.000000000000028</v>
      </c>
    </row>
    <row r="367" spans="11:12" x14ac:dyDescent="0.45">
      <c r="K367" s="62">
        <v>365</v>
      </c>
      <c r="L367" s="64">
        <v>35.000000000000028</v>
      </c>
    </row>
    <row r="368" spans="11:12" x14ac:dyDescent="0.45">
      <c r="K368" s="62">
        <v>366</v>
      </c>
      <c r="L368" s="64">
        <v>-2.9999999999999716</v>
      </c>
    </row>
    <row r="369" spans="11:12" x14ac:dyDescent="0.45">
      <c r="K369" s="62">
        <v>367</v>
      </c>
      <c r="L369" s="64">
        <v>40.000000000000028</v>
      </c>
    </row>
    <row r="370" spans="11:12" x14ac:dyDescent="0.45">
      <c r="K370" s="62">
        <v>368</v>
      </c>
      <c r="L370" s="64">
        <v>-0.99999999999997158</v>
      </c>
    </row>
    <row r="371" spans="11:12" x14ac:dyDescent="0.45">
      <c r="K371" s="62">
        <v>369</v>
      </c>
      <c r="L371" s="64">
        <v>-2.9999999999999716</v>
      </c>
    </row>
    <row r="372" spans="11:12" x14ac:dyDescent="0.45">
      <c r="K372" s="62">
        <v>370</v>
      </c>
      <c r="L372" s="64">
        <v>-16.999999999999972</v>
      </c>
    </row>
    <row r="373" spans="11:12" x14ac:dyDescent="0.45">
      <c r="K373" s="62">
        <v>371</v>
      </c>
      <c r="L373" s="64">
        <v>-24.199999999999971</v>
      </c>
    </row>
    <row r="374" spans="11:12" x14ac:dyDescent="0.45">
      <c r="K374" s="62">
        <v>372</v>
      </c>
      <c r="L374" s="64">
        <v>-2.9999999999999716</v>
      </c>
    </row>
    <row r="375" spans="11:12" x14ac:dyDescent="0.45">
      <c r="K375" s="62">
        <v>373</v>
      </c>
      <c r="L375" s="64">
        <v>-51.39999999999997</v>
      </c>
    </row>
    <row r="376" spans="11:12" x14ac:dyDescent="0.45">
      <c r="K376" s="62">
        <v>374</v>
      </c>
      <c r="L376" s="64">
        <v>-17.999999999999972</v>
      </c>
    </row>
    <row r="377" spans="11:12" x14ac:dyDescent="0.45">
      <c r="K377" s="62">
        <v>375</v>
      </c>
      <c r="L377" s="64">
        <v>-2.9999999999999716</v>
      </c>
    </row>
    <row r="378" spans="11:12" x14ac:dyDescent="0.45">
      <c r="K378" s="62">
        <v>376</v>
      </c>
      <c r="L378" s="64">
        <v>41.900000000000027</v>
      </c>
    </row>
    <row r="379" spans="11:12" x14ac:dyDescent="0.45">
      <c r="K379" s="62">
        <v>377</v>
      </c>
      <c r="L379" s="64">
        <v>36.300000000000026</v>
      </c>
    </row>
    <row r="380" spans="11:12" x14ac:dyDescent="0.45">
      <c r="K380" s="62">
        <v>378</v>
      </c>
      <c r="L380" s="64">
        <v>-2.9999999999999716</v>
      </c>
    </row>
    <row r="381" spans="11:12" x14ac:dyDescent="0.45">
      <c r="K381" s="62">
        <v>379</v>
      </c>
      <c r="L381" s="64">
        <v>14.10000000000003</v>
      </c>
    </row>
    <row r="382" spans="11:12" x14ac:dyDescent="0.45">
      <c r="K382" s="62">
        <v>380</v>
      </c>
      <c r="L382" s="64">
        <v>-12.89999999999997</v>
      </c>
    </row>
    <row r="383" spans="11:12" x14ac:dyDescent="0.45">
      <c r="K383" s="62">
        <v>381</v>
      </c>
      <c r="L383" s="64">
        <v>-2.9999999999999698</v>
      </c>
    </row>
    <row r="384" spans="11:12" x14ac:dyDescent="0.45">
      <c r="K384" s="62">
        <v>382</v>
      </c>
      <c r="L384" s="64">
        <v>-40.999999999999972</v>
      </c>
    </row>
    <row r="385" spans="11:12" x14ac:dyDescent="0.45">
      <c r="K385" s="62">
        <v>383</v>
      </c>
      <c r="L385" s="64">
        <v>-35.799999999999969</v>
      </c>
    </row>
    <row r="386" spans="11:12" x14ac:dyDescent="0.45">
      <c r="K386" s="62">
        <v>384</v>
      </c>
      <c r="L386" s="64">
        <v>-2.9999999999999716</v>
      </c>
    </row>
    <row r="387" spans="11:12" x14ac:dyDescent="0.45">
      <c r="K387" s="62">
        <v>385</v>
      </c>
      <c r="L387" s="64">
        <v>13.500000000000028</v>
      </c>
    </row>
    <row r="388" spans="11:12" x14ac:dyDescent="0.45">
      <c r="K388" s="62">
        <v>386</v>
      </c>
      <c r="L388" s="64">
        <v>5.8000000000000282</v>
      </c>
    </row>
    <row r="389" spans="11:12" x14ac:dyDescent="0.45">
      <c r="K389" s="62">
        <v>387</v>
      </c>
      <c r="L389" s="64">
        <v>-2.9999999999999725</v>
      </c>
    </row>
    <row r="390" spans="11:12" x14ac:dyDescent="0.45">
      <c r="K390" s="62">
        <v>388</v>
      </c>
      <c r="L390" s="64">
        <v>5.7000000000000268</v>
      </c>
    </row>
    <row r="391" spans="11:12" x14ac:dyDescent="0.45">
      <c r="K391" s="62">
        <v>389</v>
      </c>
      <c r="L391" s="64">
        <v>17.300000000000026</v>
      </c>
    </row>
    <row r="392" spans="11:12" x14ac:dyDescent="0.45">
      <c r="K392" s="62">
        <v>390</v>
      </c>
      <c r="L392" s="64">
        <v>-2.9999999999999751</v>
      </c>
    </row>
    <row r="393" spans="11:12" x14ac:dyDescent="0.45">
      <c r="K393" s="62">
        <v>391</v>
      </c>
      <c r="L393" s="64">
        <v>17.700000000000024</v>
      </c>
    </row>
    <row r="394" spans="11:12" x14ac:dyDescent="0.45">
      <c r="K394" s="62">
        <v>392</v>
      </c>
      <c r="L394" s="64">
        <v>-25.799999999999976</v>
      </c>
    </row>
    <row r="395" spans="11:12" x14ac:dyDescent="0.45">
      <c r="K395" s="62">
        <v>393</v>
      </c>
      <c r="L395" s="64">
        <v>-2.9999999999999751</v>
      </c>
    </row>
    <row r="396" spans="11:12" x14ac:dyDescent="0.45">
      <c r="K396" s="62">
        <v>394</v>
      </c>
      <c r="L396" s="64">
        <v>12.300000000000026</v>
      </c>
    </row>
    <row r="397" spans="11:12" x14ac:dyDescent="0.45">
      <c r="K397" s="62">
        <v>395</v>
      </c>
      <c r="L397" s="64">
        <v>5.5000000000000258</v>
      </c>
    </row>
    <row r="398" spans="11:12" x14ac:dyDescent="0.45">
      <c r="K398" s="62">
        <v>396</v>
      </c>
      <c r="L398" s="64">
        <v>-2.9999999999999742</v>
      </c>
    </row>
    <row r="399" spans="11:12" x14ac:dyDescent="0.45">
      <c r="K399" s="62">
        <v>397</v>
      </c>
      <c r="L399" s="64">
        <v>8.6000000000000263</v>
      </c>
    </row>
    <row r="400" spans="11:12" x14ac:dyDescent="0.45">
      <c r="K400" s="62">
        <v>398</v>
      </c>
      <c r="L400" s="64">
        <v>28.200000000000028</v>
      </c>
    </row>
    <row r="401" spans="11:12" x14ac:dyDescent="0.45">
      <c r="K401" s="62">
        <v>399</v>
      </c>
      <c r="L401" s="64">
        <v>-2.9999999999999716</v>
      </c>
    </row>
    <row r="402" spans="11:12" x14ac:dyDescent="0.45">
      <c r="K402" s="62">
        <v>400</v>
      </c>
      <c r="L402" s="64">
        <v>4.2000000000000286</v>
      </c>
    </row>
    <row r="403" spans="11:12" x14ac:dyDescent="0.45">
      <c r="K403" s="62">
        <v>401</v>
      </c>
      <c r="L403" s="64">
        <v>-15.799999999999972</v>
      </c>
    </row>
    <row r="404" spans="11:12" x14ac:dyDescent="0.45">
      <c r="K404" s="62">
        <v>402</v>
      </c>
      <c r="L404" s="64">
        <v>-3.9999999999999716</v>
      </c>
    </row>
    <row r="405" spans="11:12" x14ac:dyDescent="0.45">
      <c r="K405" s="62">
        <v>403</v>
      </c>
      <c r="L405" s="64">
        <v>20.500000000000028</v>
      </c>
    </row>
    <row r="406" spans="11:12" x14ac:dyDescent="0.45">
      <c r="K406" s="62">
        <v>404</v>
      </c>
      <c r="L406" s="64">
        <v>15.600000000000028</v>
      </c>
    </row>
    <row r="407" spans="11:12" x14ac:dyDescent="0.45">
      <c r="K407" s="62">
        <v>405</v>
      </c>
      <c r="L407" s="64">
        <v>-3.9999999999999734</v>
      </c>
    </row>
    <row r="408" spans="11:12" x14ac:dyDescent="0.45">
      <c r="K408" s="62">
        <v>406</v>
      </c>
      <c r="L408" s="64">
        <v>12.900000000000025</v>
      </c>
    </row>
    <row r="409" spans="11:12" x14ac:dyDescent="0.45">
      <c r="K409" s="62">
        <v>407</v>
      </c>
      <c r="L409" s="64">
        <v>14.100000000000025</v>
      </c>
    </row>
    <row r="410" spans="11:12" x14ac:dyDescent="0.45">
      <c r="K410" s="62">
        <v>408</v>
      </c>
      <c r="L410" s="64">
        <v>-3.9999999999999769</v>
      </c>
    </row>
    <row r="411" spans="11:12" x14ac:dyDescent="0.45">
      <c r="K411" s="62">
        <v>409</v>
      </c>
      <c r="L411" s="64">
        <v>-41.499999999999979</v>
      </c>
    </row>
    <row r="412" spans="11:12" x14ac:dyDescent="0.45">
      <c r="K412" s="62">
        <v>410</v>
      </c>
      <c r="L412" s="64">
        <v>-15.999999999999979</v>
      </c>
    </row>
    <row r="413" spans="11:12" x14ac:dyDescent="0.45">
      <c r="K413" s="62">
        <v>411</v>
      </c>
      <c r="L413" s="64">
        <v>-3.9999999999999787</v>
      </c>
    </row>
    <row r="414" spans="11:12" x14ac:dyDescent="0.45">
      <c r="K414" s="62">
        <v>412</v>
      </c>
      <c r="L414" s="64">
        <v>34.500000000000021</v>
      </c>
    </row>
    <row r="415" spans="11:12" x14ac:dyDescent="0.45">
      <c r="K415" s="62">
        <v>413</v>
      </c>
      <c r="L415" s="64">
        <v>-3.4999999999999787</v>
      </c>
    </row>
    <row r="416" spans="11:12" x14ac:dyDescent="0.45">
      <c r="K416" s="62">
        <v>414</v>
      </c>
      <c r="L416" s="64">
        <v>-3.9999999999999787</v>
      </c>
    </row>
    <row r="417" spans="11:12" x14ac:dyDescent="0.45">
      <c r="K417" s="62">
        <v>415</v>
      </c>
      <c r="L417" s="64">
        <v>-50.499999999999979</v>
      </c>
    </row>
    <row r="418" spans="11:12" x14ac:dyDescent="0.45">
      <c r="K418" s="62">
        <v>416</v>
      </c>
      <c r="L418" s="64">
        <v>-45.999999999999979</v>
      </c>
    </row>
    <row r="419" spans="11:12" x14ac:dyDescent="0.45">
      <c r="K419" s="62">
        <v>417</v>
      </c>
      <c r="L419" s="64">
        <v>-3.9999999999999787</v>
      </c>
    </row>
    <row r="420" spans="11:12" x14ac:dyDescent="0.45">
      <c r="K420" s="62">
        <v>418</v>
      </c>
      <c r="L420" s="64">
        <v>9.2000000000000206</v>
      </c>
    </row>
    <row r="421" spans="11:12" x14ac:dyDescent="0.45">
      <c r="K421" s="62">
        <v>419</v>
      </c>
      <c r="L421" s="64">
        <v>1.8000000000000203</v>
      </c>
    </row>
    <row r="422" spans="11:12" x14ac:dyDescent="0.45">
      <c r="K422" s="62">
        <v>420</v>
      </c>
      <c r="L422" s="64">
        <v>-3.9999999999999796</v>
      </c>
    </row>
    <row r="423" spans="11:12" x14ac:dyDescent="0.45">
      <c r="K423" s="62">
        <v>421</v>
      </c>
      <c r="L423" s="64">
        <v>-23.499999999999979</v>
      </c>
    </row>
    <row r="424" spans="11:12" x14ac:dyDescent="0.45">
      <c r="K424" s="62">
        <v>422</v>
      </c>
      <c r="L424" s="64">
        <v>-5.699999999999978</v>
      </c>
    </row>
    <row r="425" spans="11:12" x14ac:dyDescent="0.45">
      <c r="K425" s="62">
        <v>423</v>
      </c>
      <c r="L425" s="64">
        <v>-3.9999999999999778</v>
      </c>
    </row>
    <row r="426" spans="11:12" x14ac:dyDescent="0.45">
      <c r="K426" s="62">
        <v>424</v>
      </c>
      <c r="L426" s="64">
        <v>37.40000000000002</v>
      </c>
    </row>
    <row r="427" spans="11:12" x14ac:dyDescent="0.45">
      <c r="K427" s="62">
        <v>425</v>
      </c>
      <c r="L427" s="64">
        <v>11.000000000000021</v>
      </c>
    </row>
    <row r="428" spans="11:12" x14ac:dyDescent="0.45">
      <c r="K428" s="62">
        <v>426</v>
      </c>
      <c r="L428" s="64">
        <v>-3.9999999999999787</v>
      </c>
    </row>
    <row r="429" spans="11:12" x14ac:dyDescent="0.45">
      <c r="K429" s="62">
        <v>427</v>
      </c>
      <c r="L429" s="64">
        <v>23.100000000000023</v>
      </c>
    </row>
    <row r="430" spans="11:12" x14ac:dyDescent="0.45">
      <c r="K430" s="62">
        <v>428</v>
      </c>
      <c r="L430" s="64">
        <v>-27.499999999999979</v>
      </c>
    </row>
    <row r="431" spans="11:12" x14ac:dyDescent="0.45">
      <c r="K431" s="62">
        <v>429</v>
      </c>
      <c r="L431" s="64">
        <v>-3.9999999999999787</v>
      </c>
    </row>
    <row r="432" spans="11:12" x14ac:dyDescent="0.45">
      <c r="K432" s="62">
        <v>430</v>
      </c>
      <c r="L432" s="64">
        <v>4.5000000000000213</v>
      </c>
    </row>
    <row r="433" spans="11:12" x14ac:dyDescent="0.45">
      <c r="K433" s="62">
        <v>431</v>
      </c>
      <c r="L433" s="64">
        <v>30.200000000000021</v>
      </c>
    </row>
    <row r="434" spans="11:12" x14ac:dyDescent="0.45">
      <c r="K434" s="62">
        <v>432</v>
      </c>
      <c r="L434" s="64">
        <v>-3.9999999999999822</v>
      </c>
    </row>
    <row r="435" spans="11:12" x14ac:dyDescent="0.45">
      <c r="K435" s="62">
        <v>433</v>
      </c>
      <c r="L435" s="64">
        <v>0.80000000000001759</v>
      </c>
    </row>
    <row r="436" spans="11:12" x14ac:dyDescent="0.45">
      <c r="K436" s="62">
        <v>434</v>
      </c>
      <c r="L436" s="64">
        <v>-15.999999999999982</v>
      </c>
    </row>
    <row r="437" spans="11:12" x14ac:dyDescent="0.45">
      <c r="K437" s="62">
        <v>435</v>
      </c>
      <c r="L437" s="64">
        <v>-3.9999999999999822</v>
      </c>
    </row>
    <row r="438" spans="11:12" x14ac:dyDescent="0.45">
      <c r="K438" s="62">
        <v>436</v>
      </c>
      <c r="L438" s="64">
        <v>39.300000000000011</v>
      </c>
    </row>
    <row r="439" spans="11:12" x14ac:dyDescent="0.45">
      <c r="K439" s="62">
        <v>437</v>
      </c>
      <c r="L439" s="64">
        <v>31.500000000000011</v>
      </c>
    </row>
    <row r="440" spans="11:12" x14ac:dyDescent="0.45">
      <c r="K440" s="62">
        <v>438</v>
      </c>
      <c r="L440" s="64">
        <v>-3.9999999999999893</v>
      </c>
    </row>
    <row r="441" spans="11:12" x14ac:dyDescent="0.45">
      <c r="K441" s="62">
        <v>439</v>
      </c>
      <c r="L441" s="64">
        <v>22.000000000000011</v>
      </c>
    </row>
    <row r="442" spans="11:12" x14ac:dyDescent="0.45">
      <c r="K442" s="62">
        <v>440</v>
      </c>
      <c r="L442" s="64">
        <v>16.70000000000001</v>
      </c>
    </row>
    <row r="443" spans="11:12" x14ac:dyDescent="0.45">
      <c r="K443" s="62">
        <v>441</v>
      </c>
      <c r="L443" s="64">
        <v>-3.9999999999999893</v>
      </c>
    </row>
    <row r="444" spans="11:12" x14ac:dyDescent="0.45">
      <c r="K444" s="62">
        <v>442</v>
      </c>
      <c r="L444" s="64">
        <v>7.0000000000000107</v>
      </c>
    </row>
    <row r="445" spans="11:12" x14ac:dyDescent="0.45">
      <c r="K445" s="62">
        <v>443</v>
      </c>
      <c r="L445" s="64">
        <v>-25.799999999999986</v>
      </c>
    </row>
    <row r="446" spans="11:12" x14ac:dyDescent="0.45">
      <c r="K446" s="62">
        <v>444</v>
      </c>
      <c r="L446" s="64">
        <v>-3.9999999999999858</v>
      </c>
    </row>
    <row r="447" spans="11:12" x14ac:dyDescent="0.45">
      <c r="K447" s="62">
        <v>445</v>
      </c>
      <c r="L447" s="64">
        <v>37.000000000000014</v>
      </c>
    </row>
    <row r="448" spans="11:12" x14ac:dyDescent="0.45">
      <c r="K448" s="62">
        <v>446</v>
      </c>
      <c r="L448" s="64">
        <v>-8.4999999999999858</v>
      </c>
    </row>
    <row r="449" spans="11:12" x14ac:dyDescent="0.45">
      <c r="K449" s="62">
        <v>447</v>
      </c>
      <c r="L449" s="64">
        <v>-3.9999999999999858</v>
      </c>
    </row>
    <row r="450" spans="11:12" x14ac:dyDescent="0.45">
      <c r="K450" s="62">
        <v>448</v>
      </c>
      <c r="L450" s="64">
        <v>21.000000000000014</v>
      </c>
    </row>
    <row r="451" spans="11:12" x14ac:dyDescent="0.45">
      <c r="K451" s="62">
        <v>449</v>
      </c>
      <c r="L451" s="64">
        <v>-14.499999999999986</v>
      </c>
    </row>
    <row r="452" spans="11:12" x14ac:dyDescent="0.45">
      <c r="K452" s="62">
        <v>450</v>
      </c>
      <c r="L452" s="64">
        <v>-3.9999999999999858</v>
      </c>
    </row>
    <row r="453" spans="11:12" x14ac:dyDescent="0.45">
      <c r="K453" s="62">
        <v>451</v>
      </c>
      <c r="L453" s="64">
        <v>-23.799999999999986</v>
      </c>
    </row>
    <row r="454" spans="11:12" x14ac:dyDescent="0.45">
      <c r="K454" s="62">
        <v>452</v>
      </c>
      <c r="L454" s="64">
        <v>-33.799999999999983</v>
      </c>
    </row>
    <row r="455" spans="11:12" x14ac:dyDescent="0.45">
      <c r="K455" s="62">
        <v>453</v>
      </c>
      <c r="L455" s="64">
        <v>-3.9999999999999822</v>
      </c>
    </row>
    <row r="456" spans="11:12" x14ac:dyDescent="0.45">
      <c r="K456" s="62">
        <v>454</v>
      </c>
      <c r="L456" s="64">
        <v>33.600000000000023</v>
      </c>
    </row>
    <row r="457" spans="11:12" x14ac:dyDescent="0.45">
      <c r="K457" s="62">
        <v>455</v>
      </c>
      <c r="L457" s="64">
        <v>32.500000000000021</v>
      </c>
    </row>
    <row r="458" spans="11:12" x14ac:dyDescent="0.45">
      <c r="K458" s="62">
        <v>456</v>
      </c>
      <c r="L458" s="64">
        <v>-3.9999999999999787</v>
      </c>
    </row>
    <row r="459" spans="11:12" x14ac:dyDescent="0.45">
      <c r="K459" s="62">
        <v>457</v>
      </c>
      <c r="L459" s="64">
        <v>3.8000000000000211</v>
      </c>
    </row>
    <row r="460" spans="11:12" x14ac:dyDescent="0.45">
      <c r="K460" s="62">
        <v>458</v>
      </c>
      <c r="L460" s="64">
        <v>-33.399999999999984</v>
      </c>
    </row>
    <row r="461" spans="11:12" x14ac:dyDescent="0.45">
      <c r="K461" s="62">
        <v>459</v>
      </c>
      <c r="L461" s="64">
        <v>-3.9999999999999858</v>
      </c>
    </row>
    <row r="462" spans="11:12" x14ac:dyDescent="0.45">
      <c r="K462" s="62">
        <v>460</v>
      </c>
      <c r="L462" s="64">
        <v>64.100000000000009</v>
      </c>
    </row>
    <row r="463" spans="11:12" x14ac:dyDescent="0.45">
      <c r="K463" s="62">
        <v>461</v>
      </c>
      <c r="L463" s="64">
        <v>22.800000000000011</v>
      </c>
    </row>
    <row r="464" spans="11:12" x14ac:dyDescent="0.45">
      <c r="K464" s="62">
        <v>462</v>
      </c>
      <c r="L464" s="64">
        <v>-3.9999999999999893</v>
      </c>
    </row>
    <row r="465" spans="11:12" x14ac:dyDescent="0.45">
      <c r="K465" s="62">
        <v>463</v>
      </c>
      <c r="L465" s="64">
        <v>-5.9999999999999893</v>
      </c>
    </row>
    <row r="466" spans="11:12" x14ac:dyDescent="0.45">
      <c r="K466" s="62">
        <v>464</v>
      </c>
      <c r="L466" s="64">
        <v>-22.399999999999988</v>
      </c>
    </row>
    <row r="467" spans="11:12" x14ac:dyDescent="0.45">
      <c r="K467" s="62">
        <v>465</v>
      </c>
      <c r="L467" s="64">
        <v>-3.9999999999999893</v>
      </c>
    </row>
    <row r="468" spans="11:12" x14ac:dyDescent="0.45">
      <c r="K468" s="62">
        <v>466</v>
      </c>
      <c r="L468" s="64">
        <v>1.2000000000000108</v>
      </c>
    </row>
    <row r="469" spans="11:12" x14ac:dyDescent="0.45">
      <c r="K469" s="62">
        <v>467</v>
      </c>
      <c r="L469" s="64">
        <v>-30.499999999999989</v>
      </c>
    </row>
    <row r="470" spans="11:12" x14ac:dyDescent="0.45">
      <c r="K470" s="62">
        <v>468</v>
      </c>
      <c r="L470" s="64">
        <v>-3.9999999999999893</v>
      </c>
    </row>
    <row r="471" spans="11:12" x14ac:dyDescent="0.45">
      <c r="K471" s="62">
        <v>469</v>
      </c>
      <c r="L471" s="64">
        <v>12.20000000000001</v>
      </c>
    </row>
    <row r="472" spans="11:12" x14ac:dyDescent="0.45">
      <c r="K472" s="62">
        <v>470</v>
      </c>
      <c r="L472" s="64">
        <v>7.3000000000000096</v>
      </c>
    </row>
    <row r="473" spans="11:12" x14ac:dyDescent="0.45">
      <c r="K473" s="62">
        <v>471</v>
      </c>
      <c r="L473" s="64">
        <v>-3.9999999999999911</v>
      </c>
    </row>
    <row r="474" spans="11:12" x14ac:dyDescent="0.45">
      <c r="K474" s="62">
        <v>472</v>
      </c>
      <c r="L474" s="64">
        <v>20.20000000000001</v>
      </c>
    </row>
    <row r="475" spans="11:12" x14ac:dyDescent="0.45">
      <c r="K475" s="62">
        <v>473</v>
      </c>
      <c r="L475" s="64">
        <v>5.3000000000000096</v>
      </c>
    </row>
    <row r="476" spans="11:12" x14ac:dyDescent="0.45">
      <c r="K476" s="62">
        <v>474</v>
      </c>
      <c r="L476" s="64">
        <v>-3.9999999999999911</v>
      </c>
    </row>
    <row r="477" spans="11:12" x14ac:dyDescent="0.45">
      <c r="K477" s="62">
        <v>475</v>
      </c>
      <c r="L477" s="64">
        <v>16.600000000000009</v>
      </c>
    </row>
    <row r="478" spans="11:12" x14ac:dyDescent="0.45">
      <c r="K478" s="62">
        <v>476</v>
      </c>
      <c r="L478" s="64">
        <v>-29.099999999999994</v>
      </c>
    </row>
    <row r="479" spans="11:12" x14ac:dyDescent="0.45">
      <c r="K479" s="62">
        <v>477</v>
      </c>
      <c r="L479" s="64">
        <v>-3.9999999999999929</v>
      </c>
    </row>
    <row r="480" spans="11:12" x14ac:dyDescent="0.45">
      <c r="K480" s="62">
        <v>478</v>
      </c>
      <c r="L480" s="64">
        <v>3.3000000000000069</v>
      </c>
    </row>
    <row r="481" spans="11:12" x14ac:dyDescent="0.45">
      <c r="K481" s="62">
        <v>479</v>
      </c>
      <c r="L481" s="64">
        <v>29.500000000000007</v>
      </c>
    </row>
    <row r="482" spans="11:12" x14ac:dyDescent="0.45">
      <c r="K482" s="62">
        <v>480</v>
      </c>
      <c r="L482" s="64">
        <v>-3.9999999999999929</v>
      </c>
    </row>
    <row r="483" spans="11:12" x14ac:dyDescent="0.45">
      <c r="K483" s="62">
        <v>481</v>
      </c>
      <c r="L483" s="64">
        <v>0.80000000000000693</v>
      </c>
    </row>
    <row r="484" spans="11:12" x14ac:dyDescent="0.45">
      <c r="K484" s="62">
        <v>482</v>
      </c>
      <c r="L484" s="64">
        <v>33.500000000000007</v>
      </c>
    </row>
    <row r="485" spans="11:12" x14ac:dyDescent="0.45">
      <c r="K485" s="62">
        <v>483</v>
      </c>
      <c r="L485" s="64">
        <v>-3.9999999999999929</v>
      </c>
    </row>
    <row r="486" spans="11:12" x14ac:dyDescent="0.45">
      <c r="K486" s="62">
        <v>484</v>
      </c>
      <c r="L486" s="64">
        <v>0.10000000000000675</v>
      </c>
    </row>
    <row r="487" spans="11:12" x14ac:dyDescent="0.45">
      <c r="K487" s="62">
        <v>485</v>
      </c>
      <c r="L487" s="64">
        <v>5.4000000000000066</v>
      </c>
    </row>
    <row r="488" spans="11:12" x14ac:dyDescent="0.45">
      <c r="K488" s="62">
        <v>486</v>
      </c>
      <c r="L488" s="64">
        <v>-3.9999999999999938</v>
      </c>
    </row>
    <row r="489" spans="11:12" x14ac:dyDescent="0.45">
      <c r="K489" s="62">
        <v>487</v>
      </c>
      <c r="L489" s="64">
        <v>-15.999999999999993</v>
      </c>
    </row>
    <row r="490" spans="11:12" x14ac:dyDescent="0.45">
      <c r="K490" s="62">
        <v>488</v>
      </c>
      <c r="L490" s="64">
        <v>-5.4999999999999929</v>
      </c>
    </row>
    <row r="491" spans="11:12" x14ac:dyDescent="0.45">
      <c r="K491" s="62">
        <v>489</v>
      </c>
      <c r="L491" s="64">
        <v>-4.9999999999999929</v>
      </c>
    </row>
    <row r="492" spans="11:12" x14ac:dyDescent="0.45">
      <c r="K492" s="62">
        <v>490</v>
      </c>
      <c r="L492" s="64">
        <v>7.5000000000000071</v>
      </c>
    </row>
    <row r="493" spans="11:12" x14ac:dyDescent="0.45">
      <c r="K493" s="62">
        <v>491</v>
      </c>
      <c r="L493" s="64">
        <v>-4.5999999999999925</v>
      </c>
    </row>
    <row r="494" spans="11:12" x14ac:dyDescent="0.45">
      <c r="K494" s="62">
        <v>492</v>
      </c>
      <c r="L494" s="64">
        <v>-4.9999999999999929</v>
      </c>
    </row>
    <row r="495" spans="11:12" x14ac:dyDescent="0.45">
      <c r="K495" s="62">
        <v>493</v>
      </c>
      <c r="L495" s="64">
        <v>-17.899999999999991</v>
      </c>
    </row>
    <row r="496" spans="11:12" x14ac:dyDescent="0.45">
      <c r="K496" s="62">
        <v>494</v>
      </c>
      <c r="L496" s="64">
        <v>-23.099999999999991</v>
      </c>
    </row>
    <row r="497" spans="11:12" x14ac:dyDescent="0.45">
      <c r="K497" s="62">
        <v>495</v>
      </c>
      <c r="L497" s="64">
        <v>-4.9999999999999893</v>
      </c>
    </row>
    <row r="498" spans="11:12" x14ac:dyDescent="0.45">
      <c r="K498" s="62">
        <v>496</v>
      </c>
      <c r="L498" s="64">
        <v>10.60000000000001</v>
      </c>
    </row>
    <row r="499" spans="11:12" x14ac:dyDescent="0.45">
      <c r="K499" s="62">
        <v>497</v>
      </c>
      <c r="L499" s="64">
        <v>-27.79999999999999</v>
      </c>
    </row>
    <row r="500" spans="11:12" x14ac:dyDescent="0.45">
      <c r="K500" s="62">
        <v>498</v>
      </c>
      <c r="L500" s="64">
        <v>-4.9999999999999893</v>
      </c>
    </row>
    <row r="501" spans="11:12" x14ac:dyDescent="0.45">
      <c r="K501" s="62">
        <v>499</v>
      </c>
      <c r="L501" s="64">
        <v>10.60000000000001</v>
      </c>
    </row>
    <row r="502" spans="11:12" x14ac:dyDescent="0.45">
      <c r="K502" s="62">
        <v>500</v>
      </c>
      <c r="L502" s="64">
        <v>-2.1999999999999904</v>
      </c>
    </row>
    <row r="503" spans="11:12" x14ac:dyDescent="0.45">
      <c r="K503" s="62">
        <v>501</v>
      </c>
      <c r="L503" s="64">
        <v>-4.9999999999999902</v>
      </c>
    </row>
    <row r="504" spans="11:12" x14ac:dyDescent="0.45">
      <c r="K504" s="62">
        <v>502</v>
      </c>
      <c r="L504" s="64">
        <v>-40.999999999999993</v>
      </c>
    </row>
    <row r="505" spans="11:12" x14ac:dyDescent="0.45">
      <c r="K505" s="62">
        <v>503</v>
      </c>
      <c r="L505" s="64">
        <v>-4.9999999999999929</v>
      </c>
    </row>
    <row r="506" spans="11:12" x14ac:dyDescent="0.45">
      <c r="K506" s="62">
        <v>504</v>
      </c>
      <c r="L506" s="64">
        <v>-4.9999999999999929</v>
      </c>
    </row>
    <row r="507" spans="11:12" x14ac:dyDescent="0.45">
      <c r="K507" s="62">
        <v>505</v>
      </c>
      <c r="L507" s="64">
        <v>-34.599999999999994</v>
      </c>
    </row>
    <row r="508" spans="11:12" x14ac:dyDescent="0.45">
      <c r="K508" s="62">
        <v>506</v>
      </c>
      <c r="L508" s="64">
        <v>-83.699999999999989</v>
      </c>
    </row>
    <row r="509" spans="11:12" x14ac:dyDescent="0.45">
      <c r="K509" s="62">
        <v>507</v>
      </c>
      <c r="L509" s="64">
        <v>-4.9999999999999858</v>
      </c>
    </row>
    <row r="510" spans="11:12" x14ac:dyDescent="0.45">
      <c r="K510" s="62">
        <v>508</v>
      </c>
      <c r="L510" s="64">
        <v>1.800000000000014</v>
      </c>
    </row>
    <row r="511" spans="11:12" x14ac:dyDescent="0.45">
      <c r="K511" s="62">
        <v>509</v>
      </c>
      <c r="L511" s="64">
        <v>-0.79999999999998606</v>
      </c>
    </row>
    <row r="512" spans="11:12" x14ac:dyDescent="0.45">
      <c r="K512" s="62">
        <v>510</v>
      </c>
      <c r="L512" s="64">
        <v>-4.9999999999999858</v>
      </c>
    </row>
    <row r="513" spans="11:12" x14ac:dyDescent="0.45">
      <c r="K513" s="62">
        <v>511</v>
      </c>
      <c r="L513" s="64">
        <v>-18.999999999999986</v>
      </c>
    </row>
    <row r="514" spans="11:12" x14ac:dyDescent="0.45">
      <c r="K514" s="62">
        <v>512</v>
      </c>
      <c r="L514" s="64">
        <v>-31.499999999999986</v>
      </c>
    </row>
    <row r="515" spans="11:12" x14ac:dyDescent="0.45">
      <c r="K515" s="62">
        <v>513</v>
      </c>
      <c r="L515" s="64">
        <v>-4.9999999999999858</v>
      </c>
    </row>
    <row r="516" spans="11:12" x14ac:dyDescent="0.45">
      <c r="K516" s="62">
        <v>514</v>
      </c>
      <c r="L516" s="64">
        <v>-14.999999999999986</v>
      </c>
    </row>
    <row r="517" spans="11:12" x14ac:dyDescent="0.45">
      <c r="K517" s="62">
        <v>515</v>
      </c>
      <c r="L517" s="64">
        <v>45.500000000000014</v>
      </c>
    </row>
    <row r="518" spans="11:12" x14ac:dyDescent="0.45">
      <c r="K518" s="62">
        <v>516</v>
      </c>
      <c r="L518" s="64">
        <v>-4.9999999999999858</v>
      </c>
    </row>
    <row r="519" spans="11:12" x14ac:dyDescent="0.45">
      <c r="K519" s="62">
        <v>517</v>
      </c>
      <c r="L519" s="64">
        <v>39.600000000000016</v>
      </c>
    </row>
    <row r="520" spans="11:12" x14ac:dyDescent="0.45">
      <c r="K520" s="62">
        <v>518</v>
      </c>
      <c r="L520" s="64">
        <v>10.100000000000016</v>
      </c>
    </row>
    <row r="521" spans="11:12" x14ac:dyDescent="0.45">
      <c r="K521" s="62">
        <v>519</v>
      </c>
      <c r="L521" s="64">
        <v>-4.999999999999984</v>
      </c>
    </row>
    <row r="522" spans="11:12" x14ac:dyDescent="0.45">
      <c r="K522" s="62">
        <v>520</v>
      </c>
      <c r="L522" s="64">
        <v>-9.6999999999999851</v>
      </c>
    </row>
    <row r="523" spans="11:12" x14ac:dyDescent="0.45">
      <c r="K523" s="62">
        <v>521</v>
      </c>
      <c r="L523" s="64">
        <v>8.9000000000000163</v>
      </c>
    </row>
    <row r="524" spans="11:12" x14ac:dyDescent="0.45">
      <c r="K524" s="62">
        <v>522</v>
      </c>
      <c r="L524" s="64">
        <v>-4.999999999999984</v>
      </c>
    </row>
    <row r="525" spans="11:12" x14ac:dyDescent="0.45">
      <c r="K525" s="62">
        <v>523</v>
      </c>
      <c r="L525" s="64">
        <v>7.500000000000016</v>
      </c>
    </row>
    <row r="526" spans="11:12" x14ac:dyDescent="0.45">
      <c r="K526" s="62">
        <v>524</v>
      </c>
      <c r="L526" s="64">
        <v>-6.6999999999999833</v>
      </c>
    </row>
    <row r="527" spans="11:12" x14ac:dyDescent="0.45">
      <c r="K527" s="62">
        <v>525</v>
      </c>
      <c r="L527" s="64">
        <v>-4.9999999999999831</v>
      </c>
    </row>
    <row r="528" spans="11:12" x14ac:dyDescent="0.45">
      <c r="K528" s="62">
        <v>526</v>
      </c>
      <c r="L528" s="64">
        <v>9.4000000000000163</v>
      </c>
    </row>
    <row r="529" spans="11:12" x14ac:dyDescent="0.45">
      <c r="K529" s="62">
        <v>527</v>
      </c>
      <c r="L529" s="64">
        <v>21.700000000000017</v>
      </c>
    </row>
    <row r="530" spans="11:12" x14ac:dyDescent="0.45">
      <c r="K530" s="62">
        <v>528</v>
      </c>
      <c r="L530" s="64">
        <v>-4.9999999999999822</v>
      </c>
    </row>
    <row r="531" spans="11:12" x14ac:dyDescent="0.45">
      <c r="K531" s="62">
        <v>529</v>
      </c>
      <c r="L531" s="64">
        <v>-18.999999999999982</v>
      </c>
    </row>
    <row r="532" spans="11:12" x14ac:dyDescent="0.45">
      <c r="K532" s="62">
        <v>530</v>
      </c>
      <c r="L532" s="64">
        <v>-79.299999999999983</v>
      </c>
    </row>
    <row r="533" spans="11:12" x14ac:dyDescent="0.45">
      <c r="K533" s="62">
        <v>531</v>
      </c>
      <c r="L533" s="64">
        <v>-4.9999999999999858</v>
      </c>
    </row>
    <row r="534" spans="11:12" x14ac:dyDescent="0.45">
      <c r="K534" s="62">
        <v>532</v>
      </c>
      <c r="L534" s="64">
        <v>2.1000000000000139</v>
      </c>
    </row>
    <row r="535" spans="11:12" x14ac:dyDescent="0.45">
      <c r="K535" s="62">
        <v>533</v>
      </c>
      <c r="L535" s="64">
        <v>-5.8999999999999861</v>
      </c>
    </row>
    <row r="536" spans="11:12" x14ac:dyDescent="0.45">
      <c r="K536" s="62">
        <v>534</v>
      </c>
      <c r="L536" s="64">
        <v>-4.9999999999999858</v>
      </c>
    </row>
    <row r="537" spans="11:12" x14ac:dyDescent="0.45">
      <c r="K537" s="62">
        <v>535</v>
      </c>
      <c r="L537" s="64">
        <v>14.700000000000014</v>
      </c>
    </row>
    <row r="538" spans="11:12" x14ac:dyDescent="0.45">
      <c r="K538" s="62">
        <v>536</v>
      </c>
      <c r="L538" s="64">
        <v>-1.1999999999999869</v>
      </c>
    </row>
    <row r="539" spans="11:12" x14ac:dyDescent="0.45">
      <c r="K539" s="62">
        <v>537</v>
      </c>
      <c r="L539" s="64">
        <v>-4.9999999999999867</v>
      </c>
    </row>
    <row r="540" spans="11:12" x14ac:dyDescent="0.45">
      <c r="K540" s="62">
        <v>538</v>
      </c>
      <c r="L540" s="64">
        <v>18.800000000000015</v>
      </c>
    </row>
    <row r="541" spans="11:12" x14ac:dyDescent="0.45">
      <c r="K541" s="62">
        <v>539</v>
      </c>
      <c r="L541" s="64">
        <v>20.500000000000014</v>
      </c>
    </row>
    <row r="542" spans="11:12" x14ac:dyDescent="0.45">
      <c r="K542" s="62">
        <v>540</v>
      </c>
      <c r="L542" s="64">
        <v>-4.9999999999999858</v>
      </c>
    </row>
    <row r="543" spans="11:12" x14ac:dyDescent="0.45">
      <c r="K543" s="62">
        <v>541</v>
      </c>
      <c r="L543" s="64">
        <v>-1.4999999999999858</v>
      </c>
    </row>
    <row r="544" spans="11:12" x14ac:dyDescent="0.45">
      <c r="K544" s="62">
        <v>542</v>
      </c>
      <c r="L544" s="64">
        <v>-10.999999999999986</v>
      </c>
    </row>
    <row r="545" spans="11:12" x14ac:dyDescent="0.45">
      <c r="K545" s="62">
        <v>543</v>
      </c>
      <c r="L545" s="64">
        <v>-4.9999999999999858</v>
      </c>
    </row>
    <row r="546" spans="11:12" x14ac:dyDescent="0.45">
      <c r="K546" s="62">
        <v>544</v>
      </c>
      <c r="L546" s="64">
        <v>-9.7999999999999865</v>
      </c>
    </row>
    <row r="547" spans="11:12" x14ac:dyDescent="0.45">
      <c r="K547" s="62">
        <v>545</v>
      </c>
      <c r="L547" s="64">
        <v>16.000000000000014</v>
      </c>
    </row>
    <row r="548" spans="11:12" x14ac:dyDescent="0.45">
      <c r="K548" s="62">
        <v>546</v>
      </c>
      <c r="L548" s="64">
        <v>-4.9999999999999858</v>
      </c>
    </row>
    <row r="549" spans="11:12" x14ac:dyDescent="0.45">
      <c r="K549" s="62">
        <v>547</v>
      </c>
      <c r="L549" s="64">
        <v>27.500000000000014</v>
      </c>
    </row>
    <row r="550" spans="11:12" x14ac:dyDescent="0.45">
      <c r="K550" s="62">
        <v>548</v>
      </c>
      <c r="L550" s="64">
        <v>6.9000000000000128</v>
      </c>
    </row>
    <row r="551" spans="11:12" x14ac:dyDescent="0.45">
      <c r="K551" s="62">
        <v>549</v>
      </c>
      <c r="L551" s="64">
        <v>-4.9999999999999876</v>
      </c>
    </row>
    <row r="552" spans="11:12" x14ac:dyDescent="0.45">
      <c r="K552" s="62">
        <v>550</v>
      </c>
      <c r="L552" s="64">
        <v>12.100000000000014</v>
      </c>
    </row>
    <row r="553" spans="11:12" x14ac:dyDescent="0.45">
      <c r="K553" s="62">
        <v>551</v>
      </c>
      <c r="L553" s="64">
        <v>12.500000000000014</v>
      </c>
    </row>
    <row r="554" spans="11:12" x14ac:dyDescent="0.45">
      <c r="K554" s="62">
        <v>552</v>
      </c>
      <c r="L554" s="64">
        <v>-4.9999999999999858</v>
      </c>
    </row>
    <row r="555" spans="11:12" x14ac:dyDescent="0.45">
      <c r="K555" s="62">
        <v>553</v>
      </c>
      <c r="L555" s="64">
        <v>7.3000000000000149</v>
      </c>
    </row>
    <row r="556" spans="11:12" x14ac:dyDescent="0.45">
      <c r="K556" s="62">
        <v>554</v>
      </c>
      <c r="L556" s="64">
        <v>18.100000000000016</v>
      </c>
    </row>
    <row r="557" spans="11:12" x14ac:dyDescent="0.45">
      <c r="K557" s="62">
        <v>555</v>
      </c>
      <c r="L557" s="64">
        <v>-4.9999999999999858</v>
      </c>
    </row>
    <row r="558" spans="11:12" x14ac:dyDescent="0.45">
      <c r="K558" s="62">
        <v>556</v>
      </c>
      <c r="L558" s="64">
        <v>19.300000000000015</v>
      </c>
    </row>
    <row r="559" spans="11:12" x14ac:dyDescent="0.45">
      <c r="K559" s="62">
        <v>557</v>
      </c>
      <c r="L559" s="64">
        <v>6.4000000000000146</v>
      </c>
    </row>
    <row r="560" spans="11:12" x14ac:dyDescent="0.45">
      <c r="K560" s="62">
        <v>558</v>
      </c>
      <c r="L560" s="64">
        <v>-4.9999999999999858</v>
      </c>
    </row>
    <row r="561" spans="11:12" x14ac:dyDescent="0.45">
      <c r="K561" s="62">
        <v>559</v>
      </c>
      <c r="L561" s="64">
        <v>-17.199999999999985</v>
      </c>
    </row>
    <row r="562" spans="11:12" x14ac:dyDescent="0.45">
      <c r="K562" s="62">
        <v>560</v>
      </c>
      <c r="L562" s="64">
        <v>-12.299999999999985</v>
      </c>
    </row>
    <row r="563" spans="11:12" x14ac:dyDescent="0.45">
      <c r="K563" s="62">
        <v>561</v>
      </c>
      <c r="L563" s="64">
        <v>-4.9999999999999849</v>
      </c>
    </row>
    <row r="564" spans="11:12" x14ac:dyDescent="0.45">
      <c r="K564" s="62">
        <v>562</v>
      </c>
      <c r="L564" s="64">
        <v>-6.9999999999999849</v>
      </c>
    </row>
    <row r="565" spans="11:12" x14ac:dyDescent="0.45">
      <c r="K565" s="62">
        <v>563</v>
      </c>
      <c r="L565" s="64">
        <v>-0.39999999999998526</v>
      </c>
    </row>
    <row r="566" spans="11:12" x14ac:dyDescent="0.45">
      <c r="K566" s="62">
        <v>564</v>
      </c>
      <c r="L566" s="64">
        <v>-4.9999999999999849</v>
      </c>
    </row>
    <row r="567" spans="11:12" x14ac:dyDescent="0.45">
      <c r="K567" s="62">
        <v>565</v>
      </c>
      <c r="L567" s="64">
        <v>-45.599999999999987</v>
      </c>
    </row>
    <row r="568" spans="11:12" x14ac:dyDescent="0.45">
      <c r="K568" s="62">
        <v>566</v>
      </c>
      <c r="L568" s="64">
        <v>-81.499999999999986</v>
      </c>
    </row>
    <row r="569" spans="11:12" x14ac:dyDescent="0.45">
      <c r="K569" s="62">
        <v>567</v>
      </c>
      <c r="L569" s="64">
        <v>-4.9999999999999858</v>
      </c>
    </row>
    <row r="570" spans="11:12" x14ac:dyDescent="0.45">
      <c r="K570" s="62">
        <v>568</v>
      </c>
      <c r="L570" s="64">
        <v>16.700000000000014</v>
      </c>
    </row>
    <row r="571" spans="11:12" x14ac:dyDescent="0.45">
      <c r="K571" s="62">
        <v>569</v>
      </c>
      <c r="L571" s="64">
        <v>30.800000000000011</v>
      </c>
    </row>
    <row r="572" spans="11:12" x14ac:dyDescent="0.45">
      <c r="K572" s="62">
        <v>570</v>
      </c>
      <c r="L572" s="64">
        <v>-4.9999999999999858</v>
      </c>
    </row>
    <row r="573" spans="11:12" x14ac:dyDescent="0.45">
      <c r="K573" s="62">
        <v>571</v>
      </c>
      <c r="L573" s="64">
        <v>35.700000000000017</v>
      </c>
    </row>
    <row r="574" spans="11:12" x14ac:dyDescent="0.45">
      <c r="K574" s="62">
        <v>572</v>
      </c>
      <c r="L574" s="64">
        <v>-2.7999999999999829</v>
      </c>
    </row>
    <row r="575" spans="11:12" x14ac:dyDescent="0.45">
      <c r="K575" s="62">
        <v>573</v>
      </c>
      <c r="L575" s="64">
        <v>-4.9999999999999831</v>
      </c>
    </row>
  </sheetData>
  <sortState ref="E2:I57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6D94C-C790-494C-9FEE-6E5344D0AF58}">
  <sheetPr codeName="Sheet7"/>
  <dimension ref="A1:Q1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133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169</v>
      </c>
      <c r="C2" s="145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I2" s="139">
        <v>4</v>
      </c>
      <c r="K2" s="59">
        <v>0</v>
      </c>
      <c r="L2" s="61">
        <v>0</v>
      </c>
      <c r="N2" s="59" t="s">
        <v>150</v>
      </c>
      <c r="O2" s="80">
        <f t="shared" ref="O2:O7" si="0">IF(Q2=0,0,P2/Q2)</f>
        <v>1026.060606060606</v>
      </c>
      <c r="P2" s="77">
        <v>169300</v>
      </c>
      <c r="Q2" s="75">
        <v>165</v>
      </c>
    </row>
    <row r="3" spans="1:17" x14ac:dyDescent="0.45">
      <c r="A3" s="93" t="s">
        <v>8</v>
      </c>
      <c r="B3" s="146">
        <v>1262</v>
      </c>
      <c r="C3" s="147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I3" s="140">
        <v>9</v>
      </c>
      <c r="K3" s="62">
        <v>1</v>
      </c>
      <c r="L3" s="64">
        <v>15</v>
      </c>
      <c r="N3" s="62" t="s">
        <v>151</v>
      </c>
      <c r="O3" s="81">
        <f t="shared" si="0"/>
        <v>983.54430379746839</v>
      </c>
      <c r="P3" s="78">
        <v>155400</v>
      </c>
      <c r="Q3" s="73">
        <v>158</v>
      </c>
    </row>
    <row r="4" spans="1:17" x14ac:dyDescent="0.45">
      <c r="A4" s="93" t="s">
        <v>6</v>
      </c>
      <c r="B4" s="148">
        <v>964.00000000000023</v>
      </c>
      <c r="C4" s="149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I4" s="140">
        <v>6</v>
      </c>
      <c r="K4" s="62">
        <v>2</v>
      </c>
      <c r="L4" s="64">
        <v>14</v>
      </c>
      <c r="N4" s="62" t="s">
        <v>152</v>
      </c>
      <c r="O4" s="81">
        <f t="shared" si="0"/>
        <v>1025.3424657534247</v>
      </c>
      <c r="P4" s="78">
        <v>149700</v>
      </c>
      <c r="Q4" s="73">
        <v>146</v>
      </c>
    </row>
    <row r="5" spans="1:17" x14ac:dyDescent="0.45">
      <c r="A5" s="93" t="s">
        <v>7</v>
      </c>
      <c r="B5" s="148">
        <f>IF(B$2=0,0,B$4/B$2)</f>
        <v>5.7041420118343211</v>
      </c>
      <c r="C5" s="149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I5" s="140">
        <v>9</v>
      </c>
      <c r="K5" s="62">
        <v>3</v>
      </c>
      <c r="L5" s="64">
        <v>29.1</v>
      </c>
      <c r="N5" s="62" t="s">
        <v>153</v>
      </c>
      <c r="O5" s="81">
        <f t="shared" si="0"/>
        <v>1534.090909090909</v>
      </c>
      <c r="P5" s="78">
        <v>202500</v>
      </c>
      <c r="Q5" s="73">
        <v>132</v>
      </c>
    </row>
    <row r="6" spans="1:17" x14ac:dyDescent="0.45">
      <c r="A6" s="93" t="s">
        <v>1</v>
      </c>
      <c r="B6" s="154">
        <f>IF(B$2=0,0,(B$7*1+B$8*2+B$9*3)/B$2)</f>
        <v>1.8047337278106508</v>
      </c>
      <c r="C6" s="155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I6" s="140">
        <v>8</v>
      </c>
      <c r="K6" s="62">
        <v>4</v>
      </c>
      <c r="L6" s="64">
        <v>114.30000000000001</v>
      </c>
      <c r="N6" s="62" t="s">
        <v>154</v>
      </c>
      <c r="O6" s="81">
        <f t="shared" si="0"/>
        <v>1088.3928571428571</v>
      </c>
      <c r="P6" s="78">
        <v>121900</v>
      </c>
      <c r="Q6" s="73">
        <v>112</v>
      </c>
    </row>
    <row r="7" spans="1:17" x14ac:dyDescent="0.45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I7" s="140">
        <v>9</v>
      </c>
      <c r="K7" s="62">
        <v>5</v>
      </c>
      <c r="L7" s="64">
        <v>145.80000000000001</v>
      </c>
      <c r="N7" s="67" t="s">
        <v>155</v>
      </c>
      <c r="O7" s="82">
        <f t="shared" si="0"/>
        <v>1502.3255813953488</v>
      </c>
      <c r="P7" s="79">
        <v>129200</v>
      </c>
      <c r="Q7" s="74">
        <v>86</v>
      </c>
    </row>
    <row r="8" spans="1:17" x14ac:dyDescent="0.45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I8" s="140">
        <v>2</v>
      </c>
      <c r="K8" s="62">
        <v>6</v>
      </c>
      <c r="L8" s="64">
        <v>97.800000000000011</v>
      </c>
    </row>
    <row r="9" spans="1:17" x14ac:dyDescent="0.45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I9" s="140">
        <v>4</v>
      </c>
      <c r="K9" s="62">
        <v>7</v>
      </c>
      <c r="L9" s="64">
        <v>91.700000000000017</v>
      </c>
    </row>
    <row r="10" spans="1:17" x14ac:dyDescent="0.45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I10" s="140">
        <v>9</v>
      </c>
      <c r="K10" s="62">
        <v>8</v>
      </c>
      <c r="L10" s="64">
        <v>55.700000000000017</v>
      </c>
    </row>
    <row r="11" spans="1:17" x14ac:dyDescent="0.45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I11" s="140">
        <v>6</v>
      </c>
      <c r="K11" s="62">
        <v>9</v>
      </c>
      <c r="L11" s="64">
        <v>14.700000000000017</v>
      </c>
    </row>
    <row r="12" spans="1:17" x14ac:dyDescent="0.45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I12" s="140">
        <v>3</v>
      </c>
      <c r="K12" s="62">
        <v>10</v>
      </c>
      <c r="L12" s="64">
        <v>-16.799999999999983</v>
      </c>
    </row>
    <row r="13" spans="1:17" x14ac:dyDescent="0.45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I13" s="140">
        <v>8</v>
      </c>
      <c r="K13" s="62">
        <v>11</v>
      </c>
      <c r="L13" s="64">
        <v>1.5000000000000178</v>
      </c>
    </row>
    <row r="14" spans="1:17" x14ac:dyDescent="0.45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I14" s="140">
        <v>5</v>
      </c>
      <c r="K14" s="62">
        <v>12</v>
      </c>
      <c r="L14" s="64">
        <v>14.300000000000018</v>
      </c>
    </row>
    <row r="15" spans="1:17" x14ac:dyDescent="0.45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I15" s="140">
        <v>6</v>
      </c>
      <c r="K15" s="62">
        <v>13</v>
      </c>
      <c r="L15" s="64">
        <v>71.300000000000011</v>
      </c>
    </row>
    <row r="16" spans="1:17" x14ac:dyDescent="0.45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I16" s="140">
        <v>2</v>
      </c>
      <c r="K16" s="62">
        <v>14</v>
      </c>
      <c r="L16" s="64">
        <v>27.300000000000011</v>
      </c>
    </row>
    <row r="17" spans="1:12" x14ac:dyDescent="0.45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I17" s="140">
        <v>2</v>
      </c>
      <c r="K17" s="62">
        <v>15</v>
      </c>
      <c r="L17" s="64">
        <v>-9.6999999999999886</v>
      </c>
    </row>
    <row r="18" spans="1:12" x14ac:dyDescent="0.45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I18" s="140">
        <v>3</v>
      </c>
      <c r="K18" s="62">
        <v>16</v>
      </c>
      <c r="L18" s="64">
        <v>-8.099999999999989</v>
      </c>
    </row>
    <row r="19" spans="1:12" x14ac:dyDescent="0.45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I19" s="140">
        <v>6</v>
      </c>
      <c r="K19" s="62">
        <v>17</v>
      </c>
      <c r="L19" s="64">
        <v>-29.499999999999986</v>
      </c>
    </row>
    <row r="20" spans="1:12" x14ac:dyDescent="0.45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I20" s="140">
        <v>7</v>
      </c>
      <c r="K20" s="62">
        <v>18</v>
      </c>
      <c r="L20" s="64">
        <v>-14.599999999999985</v>
      </c>
    </row>
    <row r="21" spans="1:12" x14ac:dyDescent="0.45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I21" s="140">
        <v>1</v>
      </c>
      <c r="K21" s="62">
        <v>19</v>
      </c>
      <c r="L21" s="64">
        <v>42.600000000000016</v>
      </c>
    </row>
    <row r="22" spans="1:12" x14ac:dyDescent="0.45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I22" s="140">
        <v>3</v>
      </c>
      <c r="K22" s="62">
        <v>20</v>
      </c>
      <c r="L22" s="64">
        <v>68.800000000000011</v>
      </c>
    </row>
    <row r="23" spans="1:12" x14ac:dyDescent="0.45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I23" s="140">
        <v>2</v>
      </c>
      <c r="K23" s="62">
        <v>21</v>
      </c>
      <c r="L23" s="64">
        <v>125.30000000000001</v>
      </c>
    </row>
    <row r="24" spans="1:12" x14ac:dyDescent="0.45">
      <c r="A24" s="92" t="s">
        <v>126</v>
      </c>
      <c r="B24" s="144">
        <v>799</v>
      </c>
      <c r="C24" s="145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I24" s="140">
        <v>9</v>
      </c>
      <c r="K24" s="62">
        <v>22</v>
      </c>
      <c r="L24" s="64">
        <v>99.800000000000011</v>
      </c>
    </row>
    <row r="25" spans="1:12" x14ac:dyDescent="0.45">
      <c r="A25" s="95" t="s">
        <v>127</v>
      </c>
      <c r="B25" s="156">
        <v>281</v>
      </c>
      <c r="C25" s="157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I25" s="140">
        <v>4</v>
      </c>
      <c r="K25" s="62">
        <v>23</v>
      </c>
      <c r="L25" s="64">
        <v>124.50000000000001</v>
      </c>
    </row>
    <row r="26" spans="1:12" x14ac:dyDescent="0.45">
      <c r="A26" s="133" t="s">
        <v>164</v>
      </c>
      <c r="B26" s="152">
        <v>10</v>
      </c>
      <c r="C26" s="153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I26" s="140">
        <v>1</v>
      </c>
      <c r="K26" s="62">
        <v>24</v>
      </c>
      <c r="L26" s="64">
        <v>118.00000000000001</v>
      </c>
    </row>
    <row r="27" spans="1:12" x14ac:dyDescent="0.45">
      <c r="A27" s="96" t="s">
        <v>205</v>
      </c>
      <c r="B27" s="150">
        <v>120200</v>
      </c>
      <c r="C27" s="151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I27" s="140">
        <v>1</v>
      </c>
      <c r="K27" s="62">
        <v>25</v>
      </c>
      <c r="L27" s="64">
        <v>84.300000000000011</v>
      </c>
    </row>
    <row r="28" spans="1:12" x14ac:dyDescent="0.45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I28" s="140">
        <v>1</v>
      </c>
      <c r="K28" s="62">
        <v>26</v>
      </c>
      <c r="L28" s="64">
        <v>108.20000000000002</v>
      </c>
    </row>
    <row r="29" spans="1:12" x14ac:dyDescent="0.45">
      <c r="E29" s="102" t="s">
        <v>80</v>
      </c>
      <c r="F29" s="98" t="s">
        <v>33</v>
      </c>
      <c r="G29" s="85">
        <v>0</v>
      </c>
      <c r="H29" s="63">
        <f>IF(B$25=0,0,G29/B$25)</f>
        <v>0</v>
      </c>
      <c r="I29" s="140">
        <v>1</v>
      </c>
      <c r="K29" s="62">
        <v>27</v>
      </c>
      <c r="L29" s="64">
        <v>71.200000000000017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40">
        <v>1</v>
      </c>
      <c r="K30" s="62">
        <v>28</v>
      </c>
      <c r="L30" s="64">
        <v>129.20000000000002</v>
      </c>
    </row>
    <row r="31" spans="1:12" x14ac:dyDescent="0.45">
      <c r="E31" s="102" t="s">
        <v>85</v>
      </c>
      <c r="F31" s="98" t="s">
        <v>38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120.80000000000001</v>
      </c>
    </row>
    <row r="32" spans="1:12" x14ac:dyDescent="0.45">
      <c r="E32" s="102" t="s">
        <v>87</v>
      </c>
      <c r="F32" s="98" t="s">
        <v>40</v>
      </c>
      <c r="G32" s="85">
        <v>0</v>
      </c>
      <c r="H32" s="63">
        <f>IF(B$25=0,0,G32/B$25)</f>
        <v>0</v>
      </c>
      <c r="I32" s="140">
        <v>1</v>
      </c>
      <c r="K32" s="62">
        <v>30</v>
      </c>
      <c r="L32" s="64">
        <v>112.4</v>
      </c>
    </row>
    <row r="33" spans="5:12" x14ac:dyDescent="0.45">
      <c r="E33" s="102" t="s">
        <v>89</v>
      </c>
      <c r="F33" s="98" t="s">
        <v>42</v>
      </c>
      <c r="G33" s="85">
        <v>0</v>
      </c>
      <c r="H33" s="63">
        <f>IF(B$25=0,0,G33/B$25)</f>
        <v>0</v>
      </c>
      <c r="I33" s="140">
        <v>5</v>
      </c>
      <c r="K33" s="62">
        <v>31</v>
      </c>
      <c r="L33" s="64">
        <v>165.7</v>
      </c>
    </row>
    <row r="34" spans="5:12" x14ac:dyDescent="0.45">
      <c r="E34" s="102" t="s">
        <v>93</v>
      </c>
      <c r="F34" s="98" t="s">
        <v>46</v>
      </c>
      <c r="G34" s="85">
        <v>0</v>
      </c>
      <c r="H34" s="63">
        <f>IF(B$25=0,0,G34/B$25)</f>
        <v>0</v>
      </c>
      <c r="I34" s="140">
        <v>3</v>
      </c>
      <c r="K34" s="62">
        <v>32</v>
      </c>
      <c r="L34" s="64">
        <v>151.69999999999999</v>
      </c>
    </row>
    <row r="35" spans="5:12" x14ac:dyDescent="0.45">
      <c r="E35" s="102" t="s">
        <v>98</v>
      </c>
      <c r="F35" s="98" t="s">
        <v>51</v>
      </c>
      <c r="G35" s="85">
        <v>0</v>
      </c>
      <c r="H35" s="63">
        <f>IF(B$25=0,0,G35/B$25)</f>
        <v>0</v>
      </c>
      <c r="I35" s="140">
        <v>4</v>
      </c>
      <c r="K35" s="62">
        <v>33</v>
      </c>
      <c r="L35" s="64">
        <v>212.39999999999998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262.39999999999998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248.39999999999998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244.99999999999997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227.89999999999998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248.99999999999997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198.39999999999998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190.2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183.2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146.79999999999998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138.29999999999998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40">
        <v>1</v>
      </c>
      <c r="K46" s="62">
        <v>44</v>
      </c>
      <c r="L46" s="64">
        <v>146.69999999999999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136.29999999999998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164.2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143.69999999999999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112.6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128.79999999999998</v>
      </c>
    </row>
    <row r="52" spans="5:12" x14ac:dyDescent="0.45">
      <c r="K52" s="62">
        <v>50</v>
      </c>
      <c r="L52" s="64">
        <v>123.89999999999998</v>
      </c>
    </row>
    <row r="53" spans="5:12" x14ac:dyDescent="0.45">
      <c r="K53" s="62">
        <v>51</v>
      </c>
      <c r="L53" s="64">
        <v>136.69999999999999</v>
      </c>
    </row>
    <row r="54" spans="5:12" x14ac:dyDescent="0.45">
      <c r="K54" s="62">
        <v>52</v>
      </c>
      <c r="L54" s="64">
        <v>137.39999999999998</v>
      </c>
    </row>
    <row r="55" spans="5:12" x14ac:dyDescent="0.45">
      <c r="K55" s="62">
        <v>53</v>
      </c>
      <c r="L55" s="64">
        <v>130.69999999999999</v>
      </c>
    </row>
    <row r="56" spans="5:12" x14ac:dyDescent="0.45">
      <c r="K56" s="62">
        <v>54</v>
      </c>
      <c r="L56" s="64">
        <v>102.69999999999999</v>
      </c>
    </row>
    <row r="57" spans="5:12" x14ac:dyDescent="0.45">
      <c r="K57" s="62">
        <v>55</v>
      </c>
      <c r="L57" s="64">
        <v>119.39999999999999</v>
      </c>
    </row>
    <row r="58" spans="5:12" x14ac:dyDescent="0.45">
      <c r="K58" s="62">
        <v>56</v>
      </c>
      <c r="L58" s="64">
        <v>112.39999999999999</v>
      </c>
    </row>
    <row r="59" spans="5:12" x14ac:dyDescent="0.45">
      <c r="K59" s="62">
        <v>57</v>
      </c>
      <c r="L59" s="64">
        <v>144</v>
      </c>
    </row>
    <row r="60" spans="5:12" x14ac:dyDescent="0.45">
      <c r="K60" s="62">
        <v>58</v>
      </c>
      <c r="L60" s="64">
        <v>159.80000000000001</v>
      </c>
    </row>
    <row r="61" spans="5:12" x14ac:dyDescent="0.45">
      <c r="K61" s="62">
        <v>59</v>
      </c>
      <c r="L61" s="64">
        <v>216.8</v>
      </c>
    </row>
    <row r="62" spans="5:12" x14ac:dyDescent="0.45">
      <c r="K62" s="62">
        <v>60</v>
      </c>
      <c r="L62" s="64">
        <v>222.10000000000002</v>
      </c>
    </row>
    <row r="63" spans="5:12" x14ac:dyDescent="0.45">
      <c r="K63" s="62">
        <v>61</v>
      </c>
      <c r="L63" s="64">
        <v>176.00000000000003</v>
      </c>
    </row>
    <row r="64" spans="5:12" x14ac:dyDescent="0.45">
      <c r="K64" s="62">
        <v>62</v>
      </c>
      <c r="L64" s="64">
        <v>197.10000000000002</v>
      </c>
    </row>
    <row r="65" spans="11:12" x14ac:dyDescent="0.45">
      <c r="K65" s="62">
        <v>63</v>
      </c>
      <c r="L65" s="64">
        <v>131.10000000000002</v>
      </c>
    </row>
    <row r="66" spans="11:12" x14ac:dyDescent="0.45">
      <c r="K66" s="62">
        <v>64</v>
      </c>
      <c r="L66" s="64">
        <v>126.10000000000002</v>
      </c>
    </row>
    <row r="67" spans="11:12" x14ac:dyDescent="0.45">
      <c r="K67" s="62">
        <v>65</v>
      </c>
      <c r="L67" s="64">
        <v>127.10000000000002</v>
      </c>
    </row>
    <row r="68" spans="11:12" x14ac:dyDescent="0.45">
      <c r="K68" s="62">
        <v>66</v>
      </c>
      <c r="L68" s="64">
        <v>158.70000000000002</v>
      </c>
    </row>
    <row r="69" spans="11:12" x14ac:dyDescent="0.45">
      <c r="K69" s="62">
        <v>67</v>
      </c>
      <c r="L69" s="64">
        <v>139.70000000000002</v>
      </c>
    </row>
    <row r="70" spans="11:12" x14ac:dyDescent="0.45">
      <c r="K70" s="62">
        <v>68</v>
      </c>
      <c r="L70" s="64">
        <v>129.80000000000001</v>
      </c>
    </row>
    <row r="71" spans="11:12" x14ac:dyDescent="0.45">
      <c r="K71" s="62">
        <v>69</v>
      </c>
      <c r="L71" s="64">
        <v>130.70000000000002</v>
      </c>
    </row>
    <row r="72" spans="11:12" x14ac:dyDescent="0.45">
      <c r="K72" s="62">
        <v>70</v>
      </c>
      <c r="L72" s="64">
        <v>163</v>
      </c>
    </row>
    <row r="73" spans="11:12" x14ac:dyDescent="0.45">
      <c r="K73" s="62">
        <v>71</v>
      </c>
      <c r="L73" s="64">
        <v>191.4</v>
      </c>
    </row>
    <row r="74" spans="11:12" x14ac:dyDescent="0.45">
      <c r="K74" s="62">
        <v>72</v>
      </c>
      <c r="L74" s="64">
        <v>184</v>
      </c>
    </row>
    <row r="75" spans="11:12" x14ac:dyDescent="0.45">
      <c r="K75" s="62">
        <v>73</v>
      </c>
      <c r="L75" s="64">
        <v>202.3</v>
      </c>
    </row>
    <row r="76" spans="11:12" x14ac:dyDescent="0.45">
      <c r="K76" s="62">
        <v>74</v>
      </c>
      <c r="L76" s="64">
        <v>188.4</v>
      </c>
    </row>
    <row r="77" spans="11:12" x14ac:dyDescent="0.45">
      <c r="K77" s="62">
        <v>75</v>
      </c>
      <c r="L77" s="64">
        <v>228.4</v>
      </c>
    </row>
    <row r="78" spans="11:12" x14ac:dyDescent="0.45">
      <c r="K78" s="62">
        <v>76</v>
      </c>
      <c r="L78" s="64">
        <v>233.6</v>
      </c>
    </row>
    <row r="79" spans="11:12" x14ac:dyDescent="0.45">
      <c r="K79" s="62">
        <v>77</v>
      </c>
      <c r="L79" s="64">
        <v>219.9</v>
      </c>
    </row>
    <row r="80" spans="11:12" x14ac:dyDescent="0.45">
      <c r="K80" s="62">
        <v>78</v>
      </c>
      <c r="L80" s="64">
        <v>225</v>
      </c>
    </row>
    <row r="81" spans="11:12" x14ac:dyDescent="0.45">
      <c r="K81" s="62">
        <v>79</v>
      </c>
      <c r="L81" s="64">
        <v>256.89999999999998</v>
      </c>
    </row>
    <row r="82" spans="11:12" x14ac:dyDescent="0.45">
      <c r="K82" s="62">
        <v>80</v>
      </c>
      <c r="L82" s="64">
        <v>296.89999999999998</v>
      </c>
    </row>
    <row r="83" spans="11:12" x14ac:dyDescent="0.45">
      <c r="K83" s="62">
        <v>81</v>
      </c>
      <c r="L83" s="64">
        <v>319.39999999999998</v>
      </c>
    </row>
    <row r="84" spans="11:12" x14ac:dyDescent="0.45">
      <c r="K84" s="62">
        <v>82</v>
      </c>
      <c r="L84" s="64">
        <v>350.9</v>
      </c>
    </row>
    <row r="85" spans="11:12" x14ac:dyDescent="0.45">
      <c r="K85" s="62">
        <v>83</v>
      </c>
      <c r="L85" s="64">
        <v>410.7</v>
      </c>
    </row>
    <row r="86" spans="11:12" x14ac:dyDescent="0.45">
      <c r="K86" s="62">
        <v>84</v>
      </c>
      <c r="L86" s="64">
        <v>421.8</v>
      </c>
    </row>
    <row r="87" spans="11:12" x14ac:dyDescent="0.45">
      <c r="K87" s="62">
        <v>85</v>
      </c>
      <c r="L87" s="64">
        <v>423.40000000000003</v>
      </c>
    </row>
    <row r="88" spans="11:12" x14ac:dyDescent="0.45">
      <c r="K88" s="62">
        <v>86</v>
      </c>
      <c r="L88" s="64">
        <v>402.00000000000006</v>
      </c>
    </row>
    <row r="89" spans="11:12" x14ac:dyDescent="0.45">
      <c r="K89" s="62">
        <v>87</v>
      </c>
      <c r="L89" s="64">
        <v>405.50000000000006</v>
      </c>
    </row>
    <row r="90" spans="11:12" x14ac:dyDescent="0.45">
      <c r="K90" s="62">
        <v>88</v>
      </c>
      <c r="L90" s="64">
        <v>360.00000000000006</v>
      </c>
    </row>
    <row r="91" spans="11:12" x14ac:dyDescent="0.45">
      <c r="K91" s="62">
        <v>89</v>
      </c>
      <c r="L91" s="64">
        <v>359.40000000000003</v>
      </c>
    </row>
    <row r="92" spans="11:12" x14ac:dyDescent="0.45">
      <c r="K92" s="62">
        <v>90</v>
      </c>
      <c r="L92" s="64">
        <v>385.8</v>
      </c>
    </row>
    <row r="93" spans="11:12" x14ac:dyDescent="0.45">
      <c r="K93" s="62">
        <v>91</v>
      </c>
      <c r="L93" s="64">
        <v>395.5</v>
      </c>
    </row>
    <row r="94" spans="11:12" x14ac:dyDescent="0.45">
      <c r="K94" s="62">
        <v>92</v>
      </c>
      <c r="L94" s="64">
        <v>416.6</v>
      </c>
    </row>
    <row r="95" spans="11:12" x14ac:dyDescent="0.45">
      <c r="K95" s="62">
        <v>93</v>
      </c>
      <c r="L95" s="64">
        <v>459.70000000000005</v>
      </c>
    </row>
    <row r="96" spans="11:12" x14ac:dyDescent="0.45">
      <c r="K96" s="62">
        <v>94</v>
      </c>
      <c r="L96" s="64">
        <v>453.70000000000005</v>
      </c>
    </row>
    <row r="97" spans="11:12" x14ac:dyDescent="0.45">
      <c r="K97" s="62">
        <v>95</v>
      </c>
      <c r="L97" s="64">
        <v>416.20000000000005</v>
      </c>
    </row>
    <row r="98" spans="11:12" x14ac:dyDescent="0.45">
      <c r="K98" s="62">
        <v>96</v>
      </c>
      <c r="L98" s="64">
        <v>376.70000000000005</v>
      </c>
    </row>
    <row r="99" spans="11:12" x14ac:dyDescent="0.45">
      <c r="K99" s="62">
        <v>97</v>
      </c>
      <c r="L99" s="64">
        <v>387.80000000000007</v>
      </c>
    </row>
    <row r="100" spans="11:12" x14ac:dyDescent="0.45">
      <c r="K100" s="62">
        <v>98</v>
      </c>
      <c r="L100" s="64">
        <v>385.80000000000007</v>
      </c>
    </row>
    <row r="101" spans="11:12" x14ac:dyDescent="0.45">
      <c r="K101" s="62">
        <v>99</v>
      </c>
      <c r="L101" s="64">
        <v>429.30000000000007</v>
      </c>
    </row>
    <row r="102" spans="11:12" x14ac:dyDescent="0.45">
      <c r="K102" s="62">
        <v>100</v>
      </c>
      <c r="L102" s="64">
        <v>423.70000000000005</v>
      </c>
    </row>
    <row r="103" spans="11:12" x14ac:dyDescent="0.45">
      <c r="K103" s="62">
        <v>101</v>
      </c>
      <c r="L103" s="64">
        <v>416.30000000000007</v>
      </c>
    </row>
    <row r="104" spans="11:12" x14ac:dyDescent="0.45">
      <c r="K104" s="62">
        <v>102</v>
      </c>
      <c r="L104" s="64">
        <v>378.30000000000007</v>
      </c>
    </row>
    <row r="105" spans="11:12" x14ac:dyDescent="0.45">
      <c r="K105" s="62">
        <v>103</v>
      </c>
      <c r="L105" s="64">
        <v>359.50000000000006</v>
      </c>
    </row>
    <row r="106" spans="11:12" x14ac:dyDescent="0.45">
      <c r="K106" s="62">
        <v>104</v>
      </c>
      <c r="L106" s="64">
        <v>386.50000000000006</v>
      </c>
    </row>
    <row r="107" spans="11:12" x14ac:dyDescent="0.45">
      <c r="K107" s="62">
        <v>105</v>
      </c>
      <c r="L107" s="64">
        <v>431.10000000000008</v>
      </c>
    </row>
    <row r="108" spans="11:12" x14ac:dyDescent="0.45">
      <c r="K108" s="62">
        <v>106</v>
      </c>
      <c r="L108" s="64">
        <v>438.10000000000008</v>
      </c>
    </row>
    <row r="109" spans="11:12" x14ac:dyDescent="0.45">
      <c r="K109" s="62">
        <v>107</v>
      </c>
      <c r="L109" s="64">
        <v>426.80000000000007</v>
      </c>
    </row>
    <row r="110" spans="11:12" x14ac:dyDescent="0.45">
      <c r="K110" s="62">
        <v>108</v>
      </c>
      <c r="L110" s="64">
        <v>411.30000000000007</v>
      </c>
    </row>
    <row r="111" spans="11:12" x14ac:dyDescent="0.45">
      <c r="K111" s="62">
        <v>109</v>
      </c>
      <c r="L111" s="64">
        <v>392.00000000000006</v>
      </c>
    </row>
    <row r="112" spans="11:12" x14ac:dyDescent="0.45">
      <c r="K112" s="62">
        <v>110</v>
      </c>
      <c r="L112" s="64">
        <v>416.00000000000006</v>
      </c>
    </row>
    <row r="113" spans="11:12" x14ac:dyDescent="0.45">
      <c r="K113" s="62">
        <v>111</v>
      </c>
      <c r="L113" s="64">
        <v>435.50000000000006</v>
      </c>
    </row>
    <row r="114" spans="11:12" x14ac:dyDescent="0.45">
      <c r="K114" s="62">
        <v>112</v>
      </c>
      <c r="L114" s="64">
        <v>430.10000000000008</v>
      </c>
    </row>
    <row r="115" spans="11:12" x14ac:dyDescent="0.45">
      <c r="K115" s="62">
        <v>113</v>
      </c>
      <c r="L115" s="64">
        <v>486.10000000000008</v>
      </c>
    </row>
    <row r="116" spans="11:12" x14ac:dyDescent="0.45">
      <c r="K116" s="62">
        <v>114</v>
      </c>
      <c r="L116" s="64">
        <v>503.2000000000001</v>
      </c>
    </row>
    <row r="117" spans="11:12" x14ac:dyDescent="0.45">
      <c r="K117" s="62">
        <v>115</v>
      </c>
      <c r="L117" s="64">
        <v>465.2000000000001</v>
      </c>
    </row>
    <row r="118" spans="11:12" x14ac:dyDescent="0.45">
      <c r="K118" s="62">
        <v>116</v>
      </c>
      <c r="L118" s="64">
        <v>481.7000000000001</v>
      </c>
    </row>
    <row r="119" spans="11:12" x14ac:dyDescent="0.45">
      <c r="K119" s="62">
        <v>117</v>
      </c>
      <c r="L119" s="64">
        <v>497.00000000000011</v>
      </c>
    </row>
    <row r="120" spans="11:12" x14ac:dyDescent="0.45">
      <c r="K120" s="62">
        <v>118</v>
      </c>
      <c r="L120" s="64">
        <v>508.60000000000014</v>
      </c>
    </row>
    <row r="121" spans="11:12" x14ac:dyDescent="0.45">
      <c r="K121" s="62">
        <v>119</v>
      </c>
      <c r="L121" s="64">
        <v>525.50000000000011</v>
      </c>
    </row>
    <row r="122" spans="11:12" x14ac:dyDescent="0.45">
      <c r="K122" s="62">
        <v>120</v>
      </c>
      <c r="L122" s="64">
        <v>488.00000000000011</v>
      </c>
    </row>
    <row r="123" spans="11:12" x14ac:dyDescent="0.45">
      <c r="K123" s="62">
        <v>121</v>
      </c>
      <c r="L123" s="64">
        <v>526.50000000000011</v>
      </c>
    </row>
    <row r="124" spans="11:12" x14ac:dyDescent="0.45">
      <c r="K124" s="62">
        <v>122</v>
      </c>
      <c r="L124" s="64">
        <v>480.00000000000011</v>
      </c>
    </row>
    <row r="125" spans="11:12" x14ac:dyDescent="0.45">
      <c r="K125" s="62">
        <v>123</v>
      </c>
      <c r="L125" s="64">
        <v>493.2000000000001</v>
      </c>
    </row>
    <row r="126" spans="11:12" x14ac:dyDescent="0.45">
      <c r="K126" s="62">
        <v>124</v>
      </c>
      <c r="L126" s="64">
        <v>473.7000000000001</v>
      </c>
    </row>
    <row r="127" spans="11:12" x14ac:dyDescent="0.45">
      <c r="K127" s="62">
        <v>125</v>
      </c>
      <c r="L127" s="64">
        <v>515.10000000000014</v>
      </c>
    </row>
    <row r="128" spans="11:12" x14ac:dyDescent="0.45">
      <c r="K128" s="62">
        <v>126</v>
      </c>
      <c r="L128" s="64">
        <v>542.20000000000016</v>
      </c>
    </row>
    <row r="129" spans="11:12" x14ac:dyDescent="0.45">
      <c r="K129" s="62">
        <v>127</v>
      </c>
      <c r="L129" s="64">
        <v>550.70000000000016</v>
      </c>
    </row>
    <row r="130" spans="11:12" x14ac:dyDescent="0.45">
      <c r="K130" s="62">
        <v>128</v>
      </c>
      <c r="L130" s="64">
        <v>594.00000000000011</v>
      </c>
    </row>
    <row r="131" spans="11:12" x14ac:dyDescent="0.45">
      <c r="K131" s="62">
        <v>129</v>
      </c>
      <c r="L131" s="64">
        <v>620.00000000000011</v>
      </c>
    </row>
    <row r="132" spans="11:12" x14ac:dyDescent="0.45">
      <c r="K132" s="62">
        <v>130</v>
      </c>
      <c r="L132" s="64">
        <v>631.00000000000011</v>
      </c>
    </row>
    <row r="133" spans="11:12" x14ac:dyDescent="0.45">
      <c r="K133" s="62">
        <v>131</v>
      </c>
      <c r="L133" s="64">
        <v>672.00000000000011</v>
      </c>
    </row>
    <row r="134" spans="11:12" x14ac:dyDescent="0.45">
      <c r="K134" s="62">
        <v>132</v>
      </c>
      <c r="L134" s="64">
        <v>652.20000000000016</v>
      </c>
    </row>
    <row r="135" spans="11:12" x14ac:dyDescent="0.45">
      <c r="K135" s="62">
        <v>133</v>
      </c>
      <c r="L135" s="64">
        <v>689.80000000000018</v>
      </c>
    </row>
    <row r="136" spans="11:12" x14ac:dyDescent="0.45">
      <c r="K136" s="62">
        <v>134</v>
      </c>
      <c r="L136" s="64">
        <v>697.60000000000014</v>
      </c>
    </row>
    <row r="137" spans="11:12" x14ac:dyDescent="0.45">
      <c r="K137" s="62">
        <v>135</v>
      </c>
      <c r="L137" s="64">
        <v>765.70000000000016</v>
      </c>
    </row>
    <row r="138" spans="11:12" x14ac:dyDescent="0.45">
      <c r="K138" s="62">
        <v>136</v>
      </c>
      <c r="L138" s="64">
        <v>770.9000000000002</v>
      </c>
    </row>
    <row r="139" spans="11:12" x14ac:dyDescent="0.45">
      <c r="K139" s="62">
        <v>137</v>
      </c>
      <c r="L139" s="64">
        <v>787.10000000000025</v>
      </c>
    </row>
    <row r="140" spans="11:12" x14ac:dyDescent="0.45">
      <c r="K140" s="62">
        <v>138</v>
      </c>
      <c r="L140" s="64">
        <v>811.3000000000003</v>
      </c>
    </row>
    <row r="141" spans="11:12" x14ac:dyDescent="0.45">
      <c r="K141" s="62">
        <v>139</v>
      </c>
      <c r="L141" s="64">
        <v>831.90000000000032</v>
      </c>
    </row>
    <row r="142" spans="11:12" x14ac:dyDescent="0.45">
      <c r="K142" s="62">
        <v>140</v>
      </c>
      <c r="L142" s="64">
        <v>839.20000000000027</v>
      </c>
    </row>
    <row r="143" spans="11:12" x14ac:dyDescent="0.45">
      <c r="K143" s="62">
        <v>141</v>
      </c>
      <c r="L143" s="64">
        <v>844.00000000000023</v>
      </c>
    </row>
    <row r="144" spans="11:12" x14ac:dyDescent="0.45">
      <c r="K144" s="62">
        <v>142</v>
      </c>
      <c r="L144" s="64">
        <v>848.10000000000025</v>
      </c>
    </row>
    <row r="145" spans="11:12" x14ac:dyDescent="0.45">
      <c r="K145" s="62">
        <v>143</v>
      </c>
      <c r="L145" s="64">
        <v>836.10000000000025</v>
      </c>
    </row>
    <row r="146" spans="11:12" x14ac:dyDescent="0.45">
      <c r="K146" s="62">
        <v>144</v>
      </c>
      <c r="L146" s="64">
        <v>848.60000000000025</v>
      </c>
    </row>
    <row r="147" spans="11:12" x14ac:dyDescent="0.45">
      <c r="K147" s="62">
        <v>145</v>
      </c>
      <c r="L147" s="64">
        <v>835.70000000000027</v>
      </c>
    </row>
    <row r="148" spans="11:12" x14ac:dyDescent="0.45">
      <c r="K148" s="62">
        <v>146</v>
      </c>
      <c r="L148" s="64">
        <v>851.3000000000003</v>
      </c>
    </row>
    <row r="149" spans="11:12" x14ac:dyDescent="0.45">
      <c r="K149" s="62">
        <v>147</v>
      </c>
      <c r="L149" s="64">
        <v>866.90000000000032</v>
      </c>
    </row>
    <row r="150" spans="11:12" x14ac:dyDescent="0.45">
      <c r="K150" s="62">
        <v>148</v>
      </c>
      <c r="L150" s="64">
        <v>830.90000000000032</v>
      </c>
    </row>
    <row r="151" spans="11:12" x14ac:dyDescent="0.45">
      <c r="K151" s="62">
        <v>149</v>
      </c>
      <c r="L151" s="64">
        <v>801.3000000000003</v>
      </c>
    </row>
    <row r="152" spans="11:12" x14ac:dyDescent="0.45">
      <c r="K152" s="62">
        <v>150</v>
      </c>
      <c r="L152" s="64">
        <v>808.10000000000025</v>
      </c>
    </row>
    <row r="153" spans="11:12" x14ac:dyDescent="0.45">
      <c r="K153" s="62">
        <v>151</v>
      </c>
      <c r="L153" s="64">
        <v>794.10000000000025</v>
      </c>
    </row>
    <row r="154" spans="11:12" x14ac:dyDescent="0.45">
      <c r="K154" s="62">
        <v>152</v>
      </c>
      <c r="L154" s="64">
        <v>784.10000000000025</v>
      </c>
    </row>
    <row r="155" spans="11:12" x14ac:dyDescent="0.45">
      <c r="K155" s="62">
        <v>153</v>
      </c>
      <c r="L155" s="64">
        <v>828.70000000000027</v>
      </c>
    </row>
    <row r="156" spans="11:12" x14ac:dyDescent="0.45">
      <c r="K156" s="62">
        <v>154</v>
      </c>
      <c r="L156" s="64">
        <v>824.00000000000023</v>
      </c>
    </row>
    <row r="157" spans="11:12" x14ac:dyDescent="0.45">
      <c r="K157" s="62">
        <v>155</v>
      </c>
      <c r="L157" s="64">
        <v>838.4000000000002</v>
      </c>
    </row>
    <row r="158" spans="11:12" x14ac:dyDescent="0.45">
      <c r="K158" s="62">
        <v>156</v>
      </c>
      <c r="L158" s="64">
        <v>824.4000000000002</v>
      </c>
    </row>
    <row r="159" spans="11:12" x14ac:dyDescent="0.45">
      <c r="K159" s="62">
        <v>157</v>
      </c>
      <c r="L159" s="64">
        <v>831.50000000000023</v>
      </c>
    </row>
    <row r="160" spans="11:12" x14ac:dyDescent="0.45">
      <c r="K160" s="62">
        <v>158</v>
      </c>
      <c r="L160" s="64">
        <v>851.20000000000027</v>
      </c>
    </row>
    <row r="161" spans="11:12" x14ac:dyDescent="0.45">
      <c r="K161" s="62">
        <v>159</v>
      </c>
      <c r="L161" s="64">
        <v>875.00000000000023</v>
      </c>
    </row>
    <row r="162" spans="11:12" x14ac:dyDescent="0.45">
      <c r="K162" s="62">
        <v>160</v>
      </c>
      <c r="L162" s="64">
        <v>870.20000000000027</v>
      </c>
    </row>
    <row r="163" spans="11:12" x14ac:dyDescent="0.45">
      <c r="K163" s="62">
        <v>161</v>
      </c>
      <c r="L163" s="64">
        <v>902.70000000000027</v>
      </c>
    </row>
    <row r="164" spans="11:12" x14ac:dyDescent="0.45">
      <c r="K164" s="62">
        <v>162</v>
      </c>
      <c r="L164" s="64">
        <v>919.8000000000003</v>
      </c>
    </row>
    <row r="165" spans="11:12" x14ac:dyDescent="0.45">
      <c r="K165" s="62">
        <v>163</v>
      </c>
      <c r="L165" s="64">
        <v>932.10000000000025</v>
      </c>
    </row>
    <row r="166" spans="11:12" x14ac:dyDescent="0.45">
      <c r="K166" s="62">
        <v>164</v>
      </c>
      <c r="L166" s="64">
        <v>956.4000000000002</v>
      </c>
    </row>
    <row r="167" spans="11:12" x14ac:dyDescent="0.45">
      <c r="K167" s="62">
        <v>165</v>
      </c>
      <c r="L167" s="64">
        <v>944.20000000000016</v>
      </c>
    </row>
    <row r="168" spans="11:12" x14ac:dyDescent="0.45">
      <c r="K168" s="62">
        <v>166</v>
      </c>
      <c r="L168" s="64">
        <v>942.20000000000016</v>
      </c>
    </row>
    <row r="169" spans="11:12" x14ac:dyDescent="0.45">
      <c r="K169" s="62">
        <v>167</v>
      </c>
      <c r="L169" s="64">
        <v>901.60000000000014</v>
      </c>
    </row>
    <row r="170" spans="11:12" x14ac:dyDescent="0.45">
      <c r="K170" s="62">
        <v>168</v>
      </c>
      <c r="L170" s="64">
        <v>923.30000000000018</v>
      </c>
    </row>
    <row r="171" spans="11:12" x14ac:dyDescent="0.45">
      <c r="K171" s="62">
        <v>169</v>
      </c>
      <c r="L171" s="64">
        <v>964.00000000000023</v>
      </c>
    </row>
  </sheetData>
  <sortState ref="E2:I1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CE265-8337-47E1-8D8F-A07937E041DA}">
  <sheetPr codeName="Sheet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172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4</v>
      </c>
      <c r="C2" s="145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39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5">
      <c r="A3" s="93" t="s">
        <v>8</v>
      </c>
      <c r="B3" s="146">
        <v>25</v>
      </c>
      <c r="C3" s="147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40">
        <v>12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5">
      <c r="A4" s="93" t="s">
        <v>6</v>
      </c>
      <c r="B4" s="148">
        <v>-132.1</v>
      </c>
      <c r="C4" s="149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40">
        <v>12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5">
      <c r="A5" s="93" t="s">
        <v>7</v>
      </c>
      <c r="B5" s="148">
        <f>IF(B$2=0,0,B$4/B$2)</f>
        <v>-33.024999999999999</v>
      </c>
      <c r="C5" s="149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40">
        <v>13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5">
      <c r="A6" s="93" t="s">
        <v>1</v>
      </c>
      <c r="B6" s="154">
        <f>IF(B$2=0,0,(B$7*1+B$8*2+B$9*3)/B$2)</f>
        <v>3</v>
      </c>
      <c r="C6" s="155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40">
        <v>12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40">
        <v>12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5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40">
        <v>13</v>
      </c>
    </row>
    <row r="9" spans="1:17" x14ac:dyDescent="0.45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40">
        <v>11</v>
      </c>
    </row>
    <row r="10" spans="1:17" x14ac:dyDescent="0.45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40">
        <v>12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40">
        <v>12</v>
      </c>
    </row>
    <row r="12" spans="1:17" x14ac:dyDescent="0.45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4">
        <v>0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6">
        <v>0</v>
      </c>
      <c r="C25" s="157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52">
        <v>0</v>
      </c>
      <c r="C26" s="153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40">
        <v>12</v>
      </c>
    </row>
    <row r="27" spans="1:9" x14ac:dyDescent="0.45">
      <c r="A27" s="96" t="s">
        <v>205</v>
      </c>
      <c r="B27" s="150">
        <v>13000</v>
      </c>
      <c r="C27" s="151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CEA5E-91BF-4551-90A2-3A53EAC92CDB}">
  <sheetPr codeName="Sheet11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173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3</v>
      </c>
      <c r="C2" s="145"/>
      <c r="E2" s="101" t="s">
        <v>70</v>
      </c>
      <c r="F2" s="97" t="s">
        <v>24</v>
      </c>
      <c r="G2" s="84">
        <v>2</v>
      </c>
      <c r="H2" s="60">
        <f>IF(B$25=0,0,G2/B$25)</f>
        <v>2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5">
      <c r="A3" s="93" t="s">
        <v>8</v>
      </c>
      <c r="B3" s="146">
        <v>16</v>
      </c>
      <c r="C3" s="147"/>
      <c r="E3" s="102" t="s">
        <v>67</v>
      </c>
      <c r="F3" s="98" t="s">
        <v>21</v>
      </c>
      <c r="G3" s="85">
        <v>1</v>
      </c>
      <c r="H3" s="63">
        <f>IF(B$25=0,0,G3/B$25)</f>
        <v>1</v>
      </c>
      <c r="I3" s="140">
        <v>1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5">
      <c r="A4" s="93" t="s">
        <v>6</v>
      </c>
      <c r="B4" s="148">
        <v>-26.5</v>
      </c>
      <c r="C4" s="149"/>
      <c r="E4" s="102" t="s">
        <v>73</v>
      </c>
      <c r="F4" s="98" t="s">
        <v>26</v>
      </c>
      <c r="G4" s="85">
        <v>1</v>
      </c>
      <c r="H4" s="63">
        <f>IF(B$25=0,0,G4/B$25)</f>
        <v>1</v>
      </c>
      <c r="I4" s="140">
        <v>1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5">
      <c r="A5" s="93" t="s">
        <v>7</v>
      </c>
      <c r="B5" s="148">
        <f>IF(B$2=0,0,B$4/B$2)</f>
        <v>-8.8333333333333339</v>
      </c>
      <c r="C5" s="149"/>
      <c r="E5" s="102" t="s">
        <v>75</v>
      </c>
      <c r="F5" s="98" t="s">
        <v>28</v>
      </c>
      <c r="G5" s="85">
        <v>1</v>
      </c>
      <c r="H5" s="63">
        <f>IF(B$25=0,0,G5/B$25)</f>
        <v>1</v>
      </c>
      <c r="I5" s="140">
        <v>1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5">
      <c r="A6" s="93" t="s">
        <v>1</v>
      </c>
      <c r="B6" s="154">
        <f>IF(B$2=0,0,(B$7*1+B$8*2+B$9*3)/B$2)</f>
        <v>2.3333333333333335</v>
      </c>
      <c r="C6" s="155"/>
      <c r="E6" s="102" t="s">
        <v>68</v>
      </c>
      <c r="F6" s="98" t="s">
        <v>22</v>
      </c>
      <c r="G6" s="85">
        <v>0</v>
      </c>
      <c r="H6" s="63">
        <f>IF(B$25=0,0,G6/B$25)</f>
        <v>0</v>
      </c>
      <c r="I6" s="140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I7" s="140">
        <v>12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  <c r="I8" s="140">
        <v>12</v>
      </c>
    </row>
    <row r="9" spans="1:17" x14ac:dyDescent="0.45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  <c r="I9" s="140">
        <v>12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  <c r="I10" s="140">
        <v>11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40">
        <v>12</v>
      </c>
    </row>
    <row r="12" spans="1:17" x14ac:dyDescent="0.45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40">
        <v>4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40">
        <v>4</v>
      </c>
    </row>
    <row r="14" spans="1:17" x14ac:dyDescent="0.45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40">
        <v>6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40">
        <v>1</v>
      </c>
    </row>
    <row r="16" spans="1:17" x14ac:dyDescent="0.45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40">
        <v>10</v>
      </c>
    </row>
    <row r="18" spans="1:9" x14ac:dyDescent="0.45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40">
        <v>8</v>
      </c>
    </row>
    <row r="19" spans="1:9" x14ac:dyDescent="0.45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40">
        <v>1</v>
      </c>
    </row>
    <row r="20" spans="1:9" x14ac:dyDescent="0.45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40">
        <v>3</v>
      </c>
    </row>
    <row r="21" spans="1:9" x14ac:dyDescent="0.45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40">
        <v>9</v>
      </c>
    </row>
    <row r="22" spans="1:9" x14ac:dyDescent="0.45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40">
        <v>9</v>
      </c>
    </row>
    <row r="24" spans="1:9" x14ac:dyDescent="0.45">
      <c r="A24" s="92" t="s">
        <v>126</v>
      </c>
      <c r="B24" s="144">
        <v>11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40">
        <v>5</v>
      </c>
    </row>
    <row r="25" spans="1:9" x14ac:dyDescent="0.45">
      <c r="A25" s="95" t="s">
        <v>127</v>
      </c>
      <c r="B25" s="156">
        <v>1</v>
      </c>
      <c r="C25" s="157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52">
        <v>2</v>
      </c>
      <c r="C26" s="153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40">
        <v>12</v>
      </c>
    </row>
    <row r="27" spans="1:9" x14ac:dyDescent="0.45">
      <c r="A27" s="96" t="s">
        <v>205</v>
      </c>
      <c r="B27" s="150">
        <v>42000</v>
      </c>
      <c r="C27" s="151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FB047-6015-4394-A226-6FBC8F3BB2ED}">
  <sheetPr codeName="Sheet13"/>
  <dimension ref="A1:Q11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134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109</v>
      </c>
      <c r="C2" s="145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I2" s="139">
        <v>9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5">
      <c r="A3" s="93" t="s">
        <v>8</v>
      </c>
      <c r="B3" s="146">
        <v>838</v>
      </c>
      <c r="C3" s="147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I3" s="140">
        <v>7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5">
      <c r="A4" s="93" t="s">
        <v>6</v>
      </c>
      <c r="B4" s="148">
        <v>-462.89999999999992</v>
      </c>
      <c r="C4" s="149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I4" s="140">
        <v>5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5">
      <c r="A5" s="93" t="s">
        <v>7</v>
      </c>
      <c r="B5" s="148">
        <f>IF(B$2=0,0,B$4/B$2)</f>
        <v>-4.2467889908256877</v>
      </c>
      <c r="C5" s="149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I5" s="140">
        <v>8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5">
      <c r="A6" s="93" t="s">
        <v>1</v>
      </c>
      <c r="B6" s="154">
        <f>IF(B$2=0,0,(B$7*1+B$8*2+B$9*3)/B$2)</f>
        <v>2.1284403669724772</v>
      </c>
      <c r="C6" s="155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I6" s="140">
        <v>1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5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I7" s="140">
        <v>7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5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I8" s="140">
        <v>3</v>
      </c>
      <c r="K8" s="62">
        <v>6</v>
      </c>
      <c r="L8" s="64">
        <v>47.6</v>
      </c>
    </row>
    <row r="9" spans="1:17" x14ac:dyDescent="0.45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I9" s="140">
        <v>3</v>
      </c>
      <c r="K9" s="62">
        <v>7</v>
      </c>
      <c r="L9" s="64">
        <v>100.1</v>
      </c>
    </row>
    <row r="10" spans="1:17" x14ac:dyDescent="0.45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I10" s="140">
        <v>6</v>
      </c>
      <c r="K10" s="62">
        <v>8</v>
      </c>
      <c r="L10" s="64">
        <v>60.199999999999996</v>
      </c>
    </row>
    <row r="11" spans="1:17" x14ac:dyDescent="0.45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I11" s="140">
        <v>2</v>
      </c>
      <c r="K11" s="62">
        <v>9</v>
      </c>
      <c r="L11" s="64">
        <v>24.4</v>
      </c>
    </row>
    <row r="12" spans="1:17" x14ac:dyDescent="0.45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I12" s="140">
        <v>4</v>
      </c>
      <c r="K12" s="62">
        <v>10</v>
      </c>
      <c r="L12" s="64">
        <v>-20.100000000000001</v>
      </c>
    </row>
    <row r="13" spans="1:17" x14ac:dyDescent="0.45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I13" s="140">
        <v>2</v>
      </c>
      <c r="K13" s="62">
        <v>11</v>
      </c>
      <c r="L13" s="64">
        <v>-3.6000000000000014</v>
      </c>
    </row>
    <row r="14" spans="1:17" x14ac:dyDescent="0.45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I14" s="140">
        <v>2</v>
      </c>
      <c r="K14" s="62">
        <v>12</v>
      </c>
      <c r="L14" s="64">
        <v>-12.000000000000002</v>
      </c>
    </row>
    <row r="15" spans="1:17" x14ac:dyDescent="0.45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I15" s="140">
        <v>3</v>
      </c>
      <c r="K15" s="62">
        <v>13</v>
      </c>
      <c r="L15" s="64">
        <v>49.5</v>
      </c>
    </row>
    <row r="16" spans="1:17" x14ac:dyDescent="0.45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I16" s="140">
        <v>10</v>
      </c>
      <c r="K16" s="62">
        <v>14</v>
      </c>
      <c r="L16" s="64">
        <v>33</v>
      </c>
    </row>
    <row r="17" spans="1:12" x14ac:dyDescent="0.45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40">
        <v>8</v>
      </c>
      <c r="K17" s="62">
        <v>15</v>
      </c>
      <c r="L17" s="64">
        <v>38.5</v>
      </c>
    </row>
    <row r="18" spans="1:12" x14ac:dyDescent="0.45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40">
        <v>4</v>
      </c>
      <c r="K18" s="62">
        <v>16</v>
      </c>
      <c r="L18" s="64">
        <v>14.600000000000001</v>
      </c>
    </row>
    <row r="19" spans="1:12" x14ac:dyDescent="0.45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I19" s="140">
        <v>2</v>
      </c>
      <c r="K19" s="62">
        <v>17</v>
      </c>
      <c r="L19" s="64">
        <v>13.900000000000002</v>
      </c>
    </row>
    <row r="20" spans="1:12" x14ac:dyDescent="0.45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I20" s="140">
        <v>2</v>
      </c>
      <c r="K20" s="62">
        <v>18</v>
      </c>
      <c r="L20" s="64">
        <v>-21.999999999999996</v>
      </c>
    </row>
    <row r="21" spans="1:12" x14ac:dyDescent="0.45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I21" s="140">
        <v>1</v>
      </c>
      <c r="K21" s="62">
        <v>19</v>
      </c>
      <c r="L21" s="64">
        <v>-26.699999999999996</v>
      </c>
    </row>
    <row r="22" spans="1:12" x14ac:dyDescent="0.45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I22" s="140">
        <v>3</v>
      </c>
      <c r="K22" s="62">
        <v>20</v>
      </c>
      <c r="L22" s="64">
        <v>-57.899999999999991</v>
      </c>
    </row>
    <row r="23" spans="1:12" x14ac:dyDescent="0.45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I23" s="140">
        <v>2</v>
      </c>
      <c r="K23" s="62">
        <v>21</v>
      </c>
      <c r="L23" s="64">
        <v>-82.699999999999989</v>
      </c>
    </row>
    <row r="24" spans="1:12" x14ac:dyDescent="0.45">
      <c r="A24" s="92" t="s">
        <v>126</v>
      </c>
      <c r="B24" s="144">
        <v>577</v>
      </c>
      <c r="C24" s="145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I24" s="140">
        <v>1</v>
      </c>
      <c r="K24" s="62">
        <v>22</v>
      </c>
      <c r="L24" s="64">
        <v>-94.6</v>
      </c>
    </row>
    <row r="25" spans="1:12" x14ac:dyDescent="0.45">
      <c r="A25" s="95" t="s">
        <v>127</v>
      </c>
      <c r="B25" s="156">
        <v>154</v>
      </c>
      <c r="C25" s="157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I25" s="140">
        <v>4</v>
      </c>
      <c r="K25" s="62">
        <v>23</v>
      </c>
      <c r="L25" s="64">
        <v>-111.3</v>
      </c>
    </row>
    <row r="26" spans="1:12" x14ac:dyDescent="0.45">
      <c r="A26" s="133" t="s">
        <v>164</v>
      </c>
      <c r="B26" s="152">
        <v>10</v>
      </c>
      <c r="C26" s="153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I26" s="140">
        <v>4</v>
      </c>
      <c r="K26" s="62">
        <v>24</v>
      </c>
      <c r="L26" s="64">
        <v>-68.099999999999994</v>
      </c>
    </row>
    <row r="27" spans="1:12" x14ac:dyDescent="0.45">
      <c r="A27" s="96" t="s">
        <v>205</v>
      </c>
      <c r="B27" s="150">
        <v>96500</v>
      </c>
      <c r="C27" s="151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I27" s="140">
        <v>6</v>
      </c>
      <c r="K27" s="62">
        <v>25</v>
      </c>
      <c r="L27" s="64">
        <v>-70.899999999999991</v>
      </c>
    </row>
    <row r="28" spans="1:12" x14ac:dyDescent="0.45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I28" s="140">
        <v>1</v>
      </c>
      <c r="K28" s="62">
        <v>26</v>
      </c>
      <c r="L28" s="64">
        <v>-125.89999999999999</v>
      </c>
    </row>
    <row r="29" spans="1:12" x14ac:dyDescent="0.45">
      <c r="E29" s="102" t="s">
        <v>81</v>
      </c>
      <c r="F29" s="98" t="s">
        <v>34</v>
      </c>
      <c r="G29" s="85">
        <v>0</v>
      </c>
      <c r="H29" s="63">
        <f>IF(B$25=0,0,G29/B$25)</f>
        <v>0</v>
      </c>
      <c r="I29" s="140">
        <v>6</v>
      </c>
      <c r="K29" s="62">
        <v>27</v>
      </c>
      <c r="L29" s="64">
        <v>-163.6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40">
        <v>1</v>
      </c>
      <c r="K30" s="62">
        <v>28</v>
      </c>
      <c r="L30" s="64">
        <v>-169.5</v>
      </c>
    </row>
    <row r="31" spans="1:12" x14ac:dyDescent="0.45">
      <c r="E31" s="102" t="s">
        <v>87</v>
      </c>
      <c r="F31" s="98" t="s">
        <v>40</v>
      </c>
      <c r="G31" s="85">
        <v>0</v>
      </c>
      <c r="H31" s="63">
        <f>IF(B$25=0,0,G31/B$25)</f>
        <v>0</v>
      </c>
      <c r="I31" s="140">
        <v>1</v>
      </c>
      <c r="K31" s="62">
        <v>29</v>
      </c>
      <c r="L31" s="64">
        <v>-163.30000000000001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40">
        <v>3</v>
      </c>
      <c r="K32" s="62">
        <v>30</v>
      </c>
      <c r="L32" s="64">
        <v>-209.4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-259.89999999999998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-253.59999999999997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-234.89999999999998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-229.79999999999998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-254.29999999999998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-204.29999999999998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-249.29999999999998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-242.49999999999997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-244.59999999999997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-279.7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-320.09999999999997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-314.29999999999995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-284.79999999999995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-239.89999999999995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-256.29999999999995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-280.59999999999997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-264.59999999999997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-288.79999999999995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-282.99999999999994</v>
      </c>
    </row>
    <row r="52" spans="5:12" x14ac:dyDescent="0.45">
      <c r="K52" s="62">
        <v>50</v>
      </c>
      <c r="L52" s="64">
        <v>-287.09999999999997</v>
      </c>
    </row>
    <row r="53" spans="5:12" x14ac:dyDescent="0.45">
      <c r="K53" s="62">
        <v>51</v>
      </c>
      <c r="L53" s="64">
        <v>-269.59999999999997</v>
      </c>
    </row>
    <row r="54" spans="5:12" x14ac:dyDescent="0.45">
      <c r="K54" s="62">
        <v>52</v>
      </c>
      <c r="L54" s="64">
        <v>-308.09999999999997</v>
      </c>
    </row>
    <row r="55" spans="5:12" x14ac:dyDescent="0.45">
      <c r="K55" s="62">
        <v>53</v>
      </c>
      <c r="L55" s="64">
        <v>-336.49999999999994</v>
      </c>
    </row>
    <row r="56" spans="5:12" x14ac:dyDescent="0.45">
      <c r="K56" s="62">
        <v>54</v>
      </c>
      <c r="L56" s="64">
        <v>-378.89999999999992</v>
      </c>
    </row>
    <row r="57" spans="5:12" x14ac:dyDescent="0.45">
      <c r="K57" s="62">
        <v>55</v>
      </c>
      <c r="L57" s="64">
        <v>-364.2999999999999</v>
      </c>
    </row>
    <row r="58" spans="5:12" x14ac:dyDescent="0.45">
      <c r="K58" s="62">
        <v>56</v>
      </c>
      <c r="L58" s="64">
        <v>-316.2999999999999</v>
      </c>
    </row>
    <row r="59" spans="5:12" x14ac:dyDescent="0.45">
      <c r="K59" s="62">
        <v>57</v>
      </c>
      <c r="L59" s="64">
        <v>-312.49999999999989</v>
      </c>
    </row>
    <row r="60" spans="5:12" x14ac:dyDescent="0.45">
      <c r="K60" s="62">
        <v>58</v>
      </c>
      <c r="L60" s="64">
        <v>-254.59999999999988</v>
      </c>
    </row>
    <row r="61" spans="5:12" x14ac:dyDescent="0.45">
      <c r="K61" s="62">
        <v>59</v>
      </c>
      <c r="L61" s="64">
        <v>-205.09999999999988</v>
      </c>
    </row>
    <row r="62" spans="5:12" x14ac:dyDescent="0.45">
      <c r="K62" s="62">
        <v>60</v>
      </c>
      <c r="L62" s="64">
        <v>-214.59999999999988</v>
      </c>
    </row>
    <row r="63" spans="5:12" x14ac:dyDescent="0.45">
      <c r="K63" s="62">
        <v>61</v>
      </c>
      <c r="L63" s="64">
        <v>-211.89999999999989</v>
      </c>
    </row>
    <row r="64" spans="5:12" x14ac:dyDescent="0.45">
      <c r="K64" s="62">
        <v>62</v>
      </c>
      <c r="L64" s="64">
        <v>-250.89999999999989</v>
      </c>
    </row>
    <row r="65" spans="11:12" x14ac:dyDescent="0.45">
      <c r="K65" s="62">
        <v>63</v>
      </c>
      <c r="L65" s="64">
        <v>-290.99999999999989</v>
      </c>
    </row>
    <row r="66" spans="11:12" x14ac:dyDescent="0.45">
      <c r="K66" s="62">
        <v>64</v>
      </c>
      <c r="L66" s="64">
        <v>-356.99999999999989</v>
      </c>
    </row>
    <row r="67" spans="11:12" x14ac:dyDescent="0.45">
      <c r="K67" s="62">
        <v>65</v>
      </c>
      <c r="L67" s="64">
        <v>-381.09999999999991</v>
      </c>
    </row>
    <row r="68" spans="11:12" x14ac:dyDescent="0.45">
      <c r="K68" s="62">
        <v>66</v>
      </c>
      <c r="L68" s="64">
        <v>-378.49999999999989</v>
      </c>
    </row>
    <row r="69" spans="11:12" x14ac:dyDescent="0.45">
      <c r="K69" s="62">
        <v>67</v>
      </c>
      <c r="L69" s="64">
        <v>-371.19999999999987</v>
      </c>
    </row>
    <row r="70" spans="11:12" x14ac:dyDescent="0.45">
      <c r="K70" s="62">
        <v>68</v>
      </c>
      <c r="L70" s="64">
        <v>-407.2999999999999</v>
      </c>
    </row>
    <row r="71" spans="11:12" x14ac:dyDescent="0.45">
      <c r="K71" s="62">
        <v>69</v>
      </c>
      <c r="L71" s="64">
        <v>-412.49999999999989</v>
      </c>
    </row>
    <row r="72" spans="11:12" x14ac:dyDescent="0.45">
      <c r="K72" s="62">
        <v>70</v>
      </c>
      <c r="L72" s="64">
        <v>-379.49999999999989</v>
      </c>
    </row>
    <row r="73" spans="11:12" x14ac:dyDescent="0.45">
      <c r="K73" s="62">
        <v>71</v>
      </c>
      <c r="L73" s="64">
        <v>-374.2999999999999</v>
      </c>
    </row>
    <row r="74" spans="11:12" x14ac:dyDescent="0.45">
      <c r="K74" s="62">
        <v>72</v>
      </c>
      <c r="L74" s="64">
        <v>-409.7999999999999</v>
      </c>
    </row>
    <row r="75" spans="11:12" x14ac:dyDescent="0.45">
      <c r="K75" s="62">
        <v>73</v>
      </c>
      <c r="L75" s="64">
        <v>-393.59999999999991</v>
      </c>
    </row>
    <row r="76" spans="11:12" x14ac:dyDescent="0.45">
      <c r="K76" s="62">
        <v>74</v>
      </c>
      <c r="L76" s="64">
        <v>-399.49999999999989</v>
      </c>
    </row>
    <row r="77" spans="11:12" x14ac:dyDescent="0.45">
      <c r="K77" s="62">
        <v>75</v>
      </c>
      <c r="L77" s="64">
        <v>-419.69999999999987</v>
      </c>
    </row>
    <row r="78" spans="11:12" x14ac:dyDescent="0.45">
      <c r="K78" s="62">
        <v>76</v>
      </c>
      <c r="L78" s="64">
        <v>-369.69999999999987</v>
      </c>
    </row>
    <row r="79" spans="11:12" x14ac:dyDescent="0.45">
      <c r="K79" s="62">
        <v>77</v>
      </c>
      <c r="L79" s="64">
        <v>-381.7999999999999</v>
      </c>
    </row>
    <row r="80" spans="11:12" x14ac:dyDescent="0.45">
      <c r="K80" s="62">
        <v>78</v>
      </c>
      <c r="L80" s="64">
        <v>-365.99999999999989</v>
      </c>
    </row>
    <row r="81" spans="11:12" x14ac:dyDescent="0.45">
      <c r="K81" s="62">
        <v>79</v>
      </c>
      <c r="L81" s="64">
        <v>-383.99999999999989</v>
      </c>
    </row>
    <row r="82" spans="11:12" x14ac:dyDescent="0.45">
      <c r="K82" s="62">
        <v>80</v>
      </c>
      <c r="L82" s="64">
        <v>-390.7999999999999</v>
      </c>
    </row>
    <row r="83" spans="11:12" x14ac:dyDescent="0.45">
      <c r="K83" s="62">
        <v>81</v>
      </c>
      <c r="L83" s="64">
        <v>-378.99999999999989</v>
      </c>
    </row>
    <row r="84" spans="11:12" x14ac:dyDescent="0.45">
      <c r="K84" s="62">
        <v>82</v>
      </c>
      <c r="L84" s="64">
        <v>-398.59999999999991</v>
      </c>
    </row>
    <row r="85" spans="11:12" x14ac:dyDescent="0.45">
      <c r="K85" s="62">
        <v>83</v>
      </c>
      <c r="L85" s="64">
        <v>-397.39999999999992</v>
      </c>
    </row>
    <row r="86" spans="11:12" x14ac:dyDescent="0.45">
      <c r="K86" s="62">
        <v>84</v>
      </c>
      <c r="L86" s="64">
        <v>-371.89999999999992</v>
      </c>
    </row>
    <row r="87" spans="11:12" x14ac:dyDescent="0.45">
      <c r="K87" s="62">
        <v>85</v>
      </c>
      <c r="L87" s="64">
        <v>-409.89999999999992</v>
      </c>
    </row>
    <row r="88" spans="11:12" x14ac:dyDescent="0.45">
      <c r="K88" s="62">
        <v>86</v>
      </c>
      <c r="L88" s="64">
        <v>-386.39999999999992</v>
      </c>
    </row>
    <row r="89" spans="11:12" x14ac:dyDescent="0.45">
      <c r="K89" s="62">
        <v>87</v>
      </c>
      <c r="L89" s="64">
        <v>-360.69999999999993</v>
      </c>
    </row>
    <row r="90" spans="11:12" x14ac:dyDescent="0.45">
      <c r="K90" s="62">
        <v>88</v>
      </c>
      <c r="L90" s="64">
        <v>-377.49999999999994</v>
      </c>
    </row>
    <row r="91" spans="11:12" x14ac:dyDescent="0.45">
      <c r="K91" s="62">
        <v>89</v>
      </c>
      <c r="L91" s="64">
        <v>-410.29999999999995</v>
      </c>
    </row>
    <row r="92" spans="11:12" x14ac:dyDescent="0.45">
      <c r="K92" s="62">
        <v>90</v>
      </c>
      <c r="L92" s="64">
        <v>-405.79999999999995</v>
      </c>
    </row>
    <row r="93" spans="11:12" x14ac:dyDescent="0.45">
      <c r="K93" s="62">
        <v>91</v>
      </c>
      <c r="L93" s="64">
        <v>-395.29999999999995</v>
      </c>
    </row>
    <row r="94" spans="11:12" x14ac:dyDescent="0.45">
      <c r="K94" s="62">
        <v>92</v>
      </c>
      <c r="L94" s="64">
        <v>-365.49999999999994</v>
      </c>
    </row>
    <row r="95" spans="11:12" x14ac:dyDescent="0.45">
      <c r="K95" s="62">
        <v>93</v>
      </c>
      <c r="L95" s="64">
        <v>-401.99999999999994</v>
      </c>
    </row>
    <row r="96" spans="11:12" x14ac:dyDescent="0.45">
      <c r="K96" s="62">
        <v>94</v>
      </c>
      <c r="L96" s="64">
        <v>-372.59999999999997</v>
      </c>
    </row>
    <row r="97" spans="11:12" x14ac:dyDescent="0.45">
      <c r="K97" s="62">
        <v>95</v>
      </c>
      <c r="L97" s="64">
        <v>-399.4</v>
      </c>
    </row>
    <row r="98" spans="11:12" x14ac:dyDescent="0.45">
      <c r="K98" s="62">
        <v>96</v>
      </c>
      <c r="L98" s="64">
        <v>-381</v>
      </c>
    </row>
    <row r="99" spans="11:12" x14ac:dyDescent="0.45">
      <c r="K99" s="62">
        <v>97</v>
      </c>
      <c r="L99" s="64">
        <v>-393.5</v>
      </c>
    </row>
    <row r="100" spans="11:12" x14ac:dyDescent="0.45">
      <c r="K100" s="62">
        <v>98</v>
      </c>
      <c r="L100" s="64">
        <v>-333</v>
      </c>
    </row>
    <row r="101" spans="11:12" x14ac:dyDescent="0.45">
      <c r="K101" s="62">
        <v>99</v>
      </c>
      <c r="L101" s="64">
        <v>-362.5</v>
      </c>
    </row>
    <row r="102" spans="11:12" x14ac:dyDescent="0.45">
      <c r="K102" s="62">
        <v>100</v>
      </c>
      <c r="L102" s="64">
        <v>-376.4</v>
      </c>
    </row>
    <row r="103" spans="11:12" x14ac:dyDescent="0.45">
      <c r="K103" s="62">
        <v>101</v>
      </c>
      <c r="L103" s="64">
        <v>-374.7</v>
      </c>
    </row>
    <row r="104" spans="11:12" x14ac:dyDescent="0.45">
      <c r="K104" s="62">
        <v>102</v>
      </c>
      <c r="L104" s="64">
        <v>-401.4</v>
      </c>
    </row>
    <row r="105" spans="11:12" x14ac:dyDescent="0.45">
      <c r="K105" s="62">
        <v>103</v>
      </c>
      <c r="L105" s="64">
        <v>-426.9</v>
      </c>
    </row>
    <row r="106" spans="11:12" x14ac:dyDescent="0.45">
      <c r="K106" s="62">
        <v>104</v>
      </c>
      <c r="L106" s="64">
        <v>-436.4</v>
      </c>
    </row>
    <row r="107" spans="11:12" x14ac:dyDescent="0.45">
      <c r="K107" s="62">
        <v>105</v>
      </c>
      <c r="L107" s="64">
        <v>-425.59999999999997</v>
      </c>
    </row>
    <row r="108" spans="11:12" x14ac:dyDescent="0.45">
      <c r="K108" s="62">
        <v>106</v>
      </c>
      <c r="L108" s="64">
        <v>-438.49999999999994</v>
      </c>
    </row>
    <row r="109" spans="11:12" x14ac:dyDescent="0.45">
      <c r="K109" s="62">
        <v>107</v>
      </c>
      <c r="L109" s="64">
        <v>-433.59999999999997</v>
      </c>
    </row>
    <row r="110" spans="11:12" x14ac:dyDescent="0.45">
      <c r="K110" s="62">
        <v>108</v>
      </c>
      <c r="L110" s="64">
        <v>-426.99999999999994</v>
      </c>
    </row>
    <row r="111" spans="11:12" x14ac:dyDescent="0.45">
      <c r="K111" s="62">
        <v>109</v>
      </c>
      <c r="L111" s="64">
        <v>-462.89999999999992</v>
      </c>
    </row>
  </sheetData>
  <sortState ref="E2:I11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5DA8-A83F-4B96-9AA6-3B53A75B33E5}">
  <sheetPr codeName="Sheet15"/>
  <dimension ref="A1:Q56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135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54</v>
      </c>
      <c r="C2" s="145"/>
      <c r="E2" s="101" t="s">
        <v>69</v>
      </c>
      <c r="F2" s="97" t="s">
        <v>23</v>
      </c>
      <c r="G2" s="84">
        <v>49</v>
      </c>
      <c r="H2" s="60">
        <f>IF(B$25=0,0,G2/B$25)</f>
        <v>0.98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5">
      <c r="A3" s="93" t="s">
        <v>8</v>
      </c>
      <c r="B3" s="146">
        <v>385</v>
      </c>
      <c r="C3" s="147"/>
      <c r="E3" s="102" t="s">
        <v>71</v>
      </c>
      <c r="F3" s="98" t="s">
        <v>25</v>
      </c>
      <c r="G3" s="85">
        <v>46</v>
      </c>
      <c r="H3" s="63">
        <f>IF(B$25=0,0,G3/B$25)</f>
        <v>0.92</v>
      </c>
      <c r="I3" s="140">
        <v>3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5">
      <c r="A4" s="93" t="s">
        <v>6</v>
      </c>
      <c r="B4" s="148">
        <v>250.50000000000003</v>
      </c>
      <c r="C4" s="149"/>
      <c r="E4" s="102" t="s">
        <v>76</v>
      </c>
      <c r="F4" s="98" t="s">
        <v>29</v>
      </c>
      <c r="G4" s="85">
        <v>30</v>
      </c>
      <c r="H4" s="63">
        <f>IF(B$25=0,0,G4/B$25)</f>
        <v>0.6</v>
      </c>
      <c r="I4" s="140">
        <v>4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5">
      <c r="A5" s="93" t="s">
        <v>7</v>
      </c>
      <c r="B5" s="148">
        <f>IF(B$2=0,0,B$4/B$2)</f>
        <v>4.6388888888888893</v>
      </c>
      <c r="C5" s="149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40">
        <v>10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5">
      <c r="A6" s="93" t="s">
        <v>1</v>
      </c>
      <c r="B6" s="154">
        <f>IF(B$2=0,0,(B$7*1+B$8*2+B$9*3)/B$2)</f>
        <v>1.8888888888888888</v>
      </c>
      <c r="C6" s="155"/>
      <c r="E6" s="102" t="s">
        <v>70</v>
      </c>
      <c r="F6" s="98" t="s">
        <v>24</v>
      </c>
      <c r="G6" s="85">
        <v>17</v>
      </c>
      <c r="H6" s="63">
        <f>IF(B$25=0,0,G6/B$25)</f>
        <v>0.34</v>
      </c>
      <c r="I6" s="140">
        <v>4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5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40">
        <v>5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40">
        <v>10</v>
      </c>
      <c r="K8" s="62">
        <v>6</v>
      </c>
      <c r="L8" s="64">
        <v>-50.6</v>
      </c>
    </row>
    <row r="9" spans="1:17" x14ac:dyDescent="0.45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40">
        <v>7</v>
      </c>
      <c r="K9" s="62">
        <v>7</v>
      </c>
      <c r="L9" s="64">
        <v>-47.6</v>
      </c>
    </row>
    <row r="10" spans="1:17" x14ac:dyDescent="0.45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I10" s="140">
        <v>11</v>
      </c>
      <c r="K10" s="62">
        <v>8</v>
      </c>
      <c r="L10" s="64">
        <v>-59.1</v>
      </c>
    </row>
    <row r="11" spans="1:17" x14ac:dyDescent="0.45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I11" s="140">
        <v>3</v>
      </c>
      <c r="K11" s="62">
        <v>9</v>
      </c>
      <c r="L11" s="64">
        <v>-77.900000000000006</v>
      </c>
    </row>
    <row r="12" spans="1:17" x14ac:dyDescent="0.45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I12" s="140">
        <v>7</v>
      </c>
      <c r="K12" s="62">
        <v>10</v>
      </c>
      <c r="L12" s="64">
        <v>-78.900000000000006</v>
      </c>
    </row>
    <row r="13" spans="1:17" x14ac:dyDescent="0.45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I13" s="140">
        <v>9</v>
      </c>
      <c r="K13" s="62">
        <v>11</v>
      </c>
      <c r="L13" s="64">
        <v>-88.9</v>
      </c>
    </row>
    <row r="14" spans="1:17" x14ac:dyDescent="0.45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I14" s="140">
        <v>2</v>
      </c>
      <c r="K14" s="62">
        <v>12</v>
      </c>
      <c r="L14" s="64">
        <v>-23.5</v>
      </c>
    </row>
    <row r="15" spans="1:17" x14ac:dyDescent="0.45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I15" s="140">
        <v>11</v>
      </c>
      <c r="K15" s="62">
        <v>13</v>
      </c>
      <c r="L15" s="64">
        <v>-12.4</v>
      </c>
    </row>
    <row r="16" spans="1:17" x14ac:dyDescent="0.45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I16" s="140">
        <v>7</v>
      </c>
      <c r="K16" s="62">
        <v>14</v>
      </c>
      <c r="L16" s="64">
        <v>38.6</v>
      </c>
    </row>
    <row r="17" spans="1:12" x14ac:dyDescent="0.45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I17" s="140">
        <v>1</v>
      </c>
      <c r="K17" s="62">
        <v>15</v>
      </c>
      <c r="L17" s="64">
        <v>55.8</v>
      </c>
    </row>
    <row r="18" spans="1:12" x14ac:dyDescent="0.45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I18" s="140">
        <v>4</v>
      </c>
      <c r="K18" s="62">
        <v>16</v>
      </c>
      <c r="L18" s="64">
        <v>40.299999999999997</v>
      </c>
    </row>
    <row r="19" spans="1:12" x14ac:dyDescent="0.45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I19" s="140">
        <v>4</v>
      </c>
      <c r="K19" s="62">
        <v>17</v>
      </c>
      <c r="L19" s="64">
        <v>15.799999999999997</v>
      </c>
    </row>
    <row r="20" spans="1:12" x14ac:dyDescent="0.45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I20" s="140">
        <v>6</v>
      </c>
      <c r="K20" s="62">
        <v>18</v>
      </c>
      <c r="L20" s="64">
        <v>-25.700000000000003</v>
      </c>
    </row>
    <row r="21" spans="1:12" x14ac:dyDescent="0.45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40">
        <v>1</v>
      </c>
      <c r="K21" s="62">
        <v>19</v>
      </c>
      <c r="L21" s="64">
        <v>-17.700000000000003</v>
      </c>
    </row>
    <row r="22" spans="1:12" x14ac:dyDescent="0.45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40">
        <v>6</v>
      </c>
      <c r="K22" s="62">
        <v>20</v>
      </c>
      <c r="L22" s="64">
        <v>7.4999999999999964</v>
      </c>
    </row>
    <row r="23" spans="1:12" x14ac:dyDescent="0.45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I23" s="140">
        <v>8</v>
      </c>
      <c r="K23" s="62">
        <v>21</v>
      </c>
      <c r="L23" s="64">
        <v>69.8</v>
      </c>
    </row>
    <row r="24" spans="1:12" x14ac:dyDescent="0.45">
      <c r="A24" s="92" t="s">
        <v>126</v>
      </c>
      <c r="B24" s="144">
        <v>147</v>
      </c>
      <c r="C24" s="145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I24" s="140">
        <v>1</v>
      </c>
      <c r="K24" s="62">
        <v>22</v>
      </c>
      <c r="L24" s="64">
        <v>78.399999999999991</v>
      </c>
    </row>
    <row r="25" spans="1:12" x14ac:dyDescent="0.45">
      <c r="A25" s="95" t="s">
        <v>127</v>
      </c>
      <c r="B25" s="156">
        <v>50</v>
      </c>
      <c r="C25" s="157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I25" s="140">
        <v>3</v>
      </c>
      <c r="K25" s="62">
        <v>23</v>
      </c>
      <c r="L25" s="64">
        <v>93.199999999999989</v>
      </c>
    </row>
    <row r="26" spans="1:12" x14ac:dyDescent="0.45">
      <c r="A26" s="133" t="s">
        <v>164</v>
      </c>
      <c r="B26" s="152">
        <v>7</v>
      </c>
      <c r="C26" s="153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I26" s="140">
        <v>1</v>
      </c>
      <c r="K26" s="62">
        <v>24</v>
      </c>
      <c r="L26" s="64">
        <v>49.29999999999999</v>
      </c>
    </row>
    <row r="27" spans="1:12" x14ac:dyDescent="0.45">
      <c r="A27" s="96" t="s">
        <v>205</v>
      </c>
      <c r="B27" s="150">
        <v>118000</v>
      </c>
      <c r="C27" s="151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40">
        <v>5</v>
      </c>
      <c r="K27" s="62">
        <v>25</v>
      </c>
      <c r="L27" s="64">
        <v>58.79999999999999</v>
      </c>
    </row>
    <row r="28" spans="1:12" x14ac:dyDescent="0.45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  <c r="K28" s="62">
        <v>26</v>
      </c>
      <c r="L28" s="64">
        <v>141.79999999999998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  <c r="K29" s="62">
        <v>27</v>
      </c>
      <c r="L29" s="64">
        <v>162.79999999999998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174.7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205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40">
        <v>8</v>
      </c>
      <c r="K32" s="62">
        <v>30</v>
      </c>
      <c r="L32" s="64">
        <v>198.5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40">
        <v>5</v>
      </c>
      <c r="K33" s="62">
        <v>31</v>
      </c>
      <c r="L33" s="64">
        <v>186.9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204.4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245.4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234.9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188.9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236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250.8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232.60000000000002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233.00000000000003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236.10000000000002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234.10000000000002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255.3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288.10000000000002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279.3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248.10000000000002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212.60000000000002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191.90000000000003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213.70000000000005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210.90000000000003</v>
      </c>
    </row>
    <row r="52" spans="5:12" x14ac:dyDescent="0.45">
      <c r="K52" s="62">
        <v>50</v>
      </c>
      <c r="L52" s="64">
        <v>210.90000000000003</v>
      </c>
    </row>
    <row r="53" spans="5:12" x14ac:dyDescent="0.45">
      <c r="K53" s="62">
        <v>51</v>
      </c>
      <c r="L53" s="64">
        <v>289.60000000000002</v>
      </c>
    </row>
    <row r="54" spans="5:12" x14ac:dyDescent="0.45">
      <c r="K54" s="62">
        <v>52</v>
      </c>
      <c r="L54" s="64">
        <v>316.10000000000002</v>
      </c>
    </row>
    <row r="55" spans="5:12" x14ac:dyDescent="0.45">
      <c r="K55" s="62">
        <v>53</v>
      </c>
      <c r="L55" s="64">
        <v>265.60000000000002</v>
      </c>
    </row>
    <row r="56" spans="5:12" x14ac:dyDescent="0.45">
      <c r="K56" s="62">
        <v>54</v>
      </c>
      <c r="L56" s="64">
        <v>250.50000000000003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E0B6-2754-41AE-B34F-1586806F4573}">
  <sheetPr codeName="Sheet1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177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</v>
      </c>
      <c r="C2" s="145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39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5">
      <c r="A3" s="93" t="s">
        <v>8</v>
      </c>
      <c r="B3" s="146">
        <v>37</v>
      </c>
      <c r="C3" s="147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I3" s="140">
        <v>10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5">
      <c r="A4" s="93" t="s">
        <v>6</v>
      </c>
      <c r="B4" s="148">
        <v>-86.4</v>
      </c>
      <c r="C4" s="149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I4" s="140">
        <v>1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5">
      <c r="A5" s="93" t="s">
        <v>7</v>
      </c>
      <c r="B5" s="148">
        <f>IF(B$2=0,0,B$4/B$2)</f>
        <v>-17.28</v>
      </c>
      <c r="C5" s="149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I5" s="140">
        <v>10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5">
      <c r="A6" s="93" t="s">
        <v>1</v>
      </c>
      <c r="B6" s="154">
        <f>IF(B$2=0,0,(B$7*1+B$8*2+B$9*3)/B$2)</f>
        <v>2.2000000000000002</v>
      </c>
      <c r="C6" s="155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I6" s="140">
        <v>4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5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I7" s="140">
        <v>10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  <c r="I8" s="140">
        <v>1</v>
      </c>
    </row>
    <row r="9" spans="1:17" x14ac:dyDescent="0.45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  <c r="I9" s="140">
        <v>11</v>
      </c>
    </row>
    <row r="10" spans="1:17" x14ac:dyDescent="0.45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  <c r="I10" s="140">
        <v>9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  <c r="I11" s="140">
        <v>2</v>
      </c>
    </row>
    <row r="12" spans="1:17" x14ac:dyDescent="0.45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  <c r="I12" s="140">
        <v>11</v>
      </c>
    </row>
    <row r="13" spans="1:17" x14ac:dyDescent="0.45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  <c r="I13" s="140">
        <v>12</v>
      </c>
    </row>
    <row r="14" spans="1:17" x14ac:dyDescent="0.45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  <c r="I14" s="140">
        <v>4</v>
      </c>
    </row>
    <row r="15" spans="1:17" x14ac:dyDescent="0.45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  <c r="I15" s="140">
        <v>4</v>
      </c>
    </row>
    <row r="16" spans="1:17" x14ac:dyDescent="0.45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  <c r="I16" s="140">
        <v>6</v>
      </c>
    </row>
    <row r="17" spans="1:9" x14ac:dyDescent="0.45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  <c r="I17" s="140">
        <v>1</v>
      </c>
    </row>
    <row r="18" spans="1:9" x14ac:dyDescent="0.45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  <c r="I18" s="140">
        <v>6</v>
      </c>
    </row>
    <row r="19" spans="1:9" x14ac:dyDescent="0.45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  <c r="I19" s="140">
        <v>10</v>
      </c>
    </row>
    <row r="20" spans="1:9" x14ac:dyDescent="0.45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  <c r="I20" s="140">
        <v>1</v>
      </c>
    </row>
    <row r="21" spans="1:9" x14ac:dyDescent="0.45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  <c r="I21" s="140">
        <v>3</v>
      </c>
    </row>
    <row r="22" spans="1:9" x14ac:dyDescent="0.45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  <c r="I22" s="140">
        <v>9</v>
      </c>
    </row>
    <row r="23" spans="1:9" x14ac:dyDescent="0.45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  <c r="I23" s="140">
        <v>1</v>
      </c>
    </row>
    <row r="24" spans="1:9" x14ac:dyDescent="0.45">
      <c r="A24" s="92" t="s">
        <v>126</v>
      </c>
      <c r="B24" s="144">
        <v>31</v>
      </c>
      <c r="C24" s="145"/>
      <c r="E24" s="102" t="s">
        <v>88</v>
      </c>
      <c r="F24" s="98" t="s">
        <v>41</v>
      </c>
      <c r="G24" s="85">
        <v>0</v>
      </c>
      <c r="H24" s="63">
        <f>IF(B$25=0,0,G24/B$25)</f>
        <v>0</v>
      </c>
      <c r="I24" s="140">
        <v>9</v>
      </c>
    </row>
    <row r="25" spans="1:9" x14ac:dyDescent="0.45">
      <c r="A25" s="95" t="s">
        <v>127</v>
      </c>
      <c r="B25" s="156">
        <v>9</v>
      </c>
      <c r="C25" s="157"/>
      <c r="E25" s="102" t="s">
        <v>89</v>
      </c>
      <c r="F25" s="98" t="s">
        <v>42</v>
      </c>
      <c r="G25" s="85">
        <v>0</v>
      </c>
      <c r="H25" s="63">
        <f>IF(B$25=0,0,G25/B$25)</f>
        <v>0</v>
      </c>
      <c r="I25" s="140">
        <v>5</v>
      </c>
    </row>
    <row r="26" spans="1:9" x14ac:dyDescent="0.45">
      <c r="A26" s="133" t="s">
        <v>164</v>
      </c>
      <c r="B26" s="152">
        <v>3</v>
      </c>
      <c r="C26" s="153"/>
      <c r="E26" s="102" t="s">
        <v>90</v>
      </c>
      <c r="F26" s="98" t="s">
        <v>43</v>
      </c>
      <c r="G26" s="85">
        <v>0</v>
      </c>
      <c r="H26" s="63">
        <f>IF(B$25=0,0,G26/B$25)</f>
        <v>0</v>
      </c>
      <c r="I26" s="140">
        <v>5</v>
      </c>
    </row>
    <row r="27" spans="1:9" x14ac:dyDescent="0.45">
      <c r="A27" s="96" t="s">
        <v>205</v>
      </c>
      <c r="B27" s="150">
        <v>57800</v>
      </c>
      <c r="C27" s="151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40">
        <v>4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40">
        <v>3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40">
        <v>11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1D93-7563-43A0-A4F5-E26BAD737743}">
  <sheetPr codeName="Sheet19"/>
  <dimension ref="A1:Q54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136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52</v>
      </c>
      <c r="C2" s="145"/>
      <c r="E2" s="101" t="s">
        <v>71</v>
      </c>
      <c r="F2" s="97" t="s">
        <v>25</v>
      </c>
      <c r="G2" s="84">
        <v>45</v>
      </c>
      <c r="H2" s="60">
        <f>IF(B$25=0,0,G2/B$25)</f>
        <v>0.9</v>
      </c>
      <c r="I2" s="139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5">
      <c r="A3" s="93" t="s">
        <v>8</v>
      </c>
      <c r="B3" s="146">
        <v>405</v>
      </c>
      <c r="C3" s="147"/>
      <c r="E3" s="102" t="s">
        <v>69</v>
      </c>
      <c r="F3" s="98" t="s">
        <v>23</v>
      </c>
      <c r="G3" s="85">
        <v>35</v>
      </c>
      <c r="H3" s="63">
        <f>IF(B$25=0,0,G3/B$25)</f>
        <v>0.7</v>
      </c>
      <c r="I3" s="140">
        <v>6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5">
      <c r="A4" s="93" t="s">
        <v>6</v>
      </c>
      <c r="B4" s="148">
        <v>-389.59999999999997</v>
      </c>
      <c r="C4" s="149"/>
      <c r="E4" s="102" t="s">
        <v>76</v>
      </c>
      <c r="F4" s="98" t="s">
        <v>29</v>
      </c>
      <c r="G4" s="85">
        <v>34</v>
      </c>
      <c r="H4" s="63">
        <f>IF(B$25=0,0,G4/B$25)</f>
        <v>0.68</v>
      </c>
      <c r="I4" s="140">
        <v>2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5">
      <c r="A5" s="93" t="s">
        <v>7</v>
      </c>
      <c r="B5" s="148">
        <f>IF(B$2=0,0,B$4/B$2)</f>
        <v>-7.4923076923076914</v>
      </c>
      <c r="C5" s="149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40">
        <v>10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5">
      <c r="A6" s="93" t="s">
        <v>1</v>
      </c>
      <c r="B6" s="154">
        <f>IF(B$2=0,0,(B$7*1+B$8*2+B$9*3)/B$2)</f>
        <v>2.2115384615384617</v>
      </c>
      <c r="C6" s="155"/>
      <c r="E6" s="102" t="s">
        <v>72</v>
      </c>
      <c r="F6" s="98" t="s">
        <v>12</v>
      </c>
      <c r="G6" s="85">
        <v>11</v>
      </c>
      <c r="H6" s="63">
        <f>IF(B$25=0,0,G6/B$25)</f>
        <v>0.22</v>
      </c>
      <c r="I6" s="140">
        <v>9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5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I7" s="140">
        <v>5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5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I8" s="140">
        <v>12</v>
      </c>
      <c r="K8" s="62">
        <v>6</v>
      </c>
      <c r="L8" s="64">
        <v>125.19999999999999</v>
      </c>
    </row>
    <row r="9" spans="1:17" x14ac:dyDescent="0.45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I9" s="140">
        <v>11</v>
      </c>
      <c r="K9" s="62">
        <v>7</v>
      </c>
      <c r="L9" s="64">
        <v>129</v>
      </c>
    </row>
    <row r="10" spans="1:17" x14ac:dyDescent="0.45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I10" s="140">
        <v>8</v>
      </c>
      <c r="K10" s="62">
        <v>8</v>
      </c>
      <c r="L10" s="64">
        <v>96.5</v>
      </c>
    </row>
    <row r="11" spans="1:17" x14ac:dyDescent="0.45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I11" s="140">
        <v>9</v>
      </c>
      <c r="K11" s="62">
        <v>9</v>
      </c>
      <c r="L11" s="64">
        <v>82.8</v>
      </c>
    </row>
    <row r="12" spans="1:17" x14ac:dyDescent="0.45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I12" s="140">
        <v>4</v>
      </c>
      <c r="K12" s="62">
        <v>10</v>
      </c>
      <c r="L12" s="64">
        <v>110.5</v>
      </c>
    </row>
    <row r="13" spans="1:17" x14ac:dyDescent="0.45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I13" s="140">
        <v>4</v>
      </c>
      <c r="K13" s="62">
        <v>11</v>
      </c>
      <c r="L13" s="64">
        <v>138.19999999999999</v>
      </c>
    </row>
    <row r="14" spans="1:17" x14ac:dyDescent="0.45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I14" s="140">
        <v>3</v>
      </c>
      <c r="K14" s="62">
        <v>12</v>
      </c>
      <c r="L14" s="64">
        <v>99.299999999999983</v>
      </c>
    </row>
    <row r="15" spans="1:17" x14ac:dyDescent="0.45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I15" s="140">
        <v>11</v>
      </c>
      <c r="K15" s="62">
        <v>13</v>
      </c>
      <c r="L15" s="64">
        <v>61.299999999999983</v>
      </c>
    </row>
    <row r="16" spans="1:17" x14ac:dyDescent="0.45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I16" s="140">
        <v>1</v>
      </c>
      <c r="K16" s="62">
        <v>14</v>
      </c>
      <c r="L16" s="64">
        <v>40.999999999999986</v>
      </c>
    </row>
    <row r="17" spans="1:12" x14ac:dyDescent="0.45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I17" s="140">
        <v>7</v>
      </c>
      <c r="K17" s="62">
        <v>15</v>
      </c>
      <c r="L17" s="64">
        <v>32.499999999999986</v>
      </c>
    </row>
    <row r="18" spans="1:12" x14ac:dyDescent="0.45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I18" s="140">
        <v>7</v>
      </c>
      <c r="K18" s="62">
        <v>16</v>
      </c>
      <c r="L18" s="64">
        <v>-6.0000000000000142</v>
      </c>
    </row>
    <row r="19" spans="1:12" x14ac:dyDescent="0.45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I19" s="140">
        <v>4</v>
      </c>
      <c r="K19" s="62">
        <v>17</v>
      </c>
      <c r="L19" s="64">
        <v>-17.600000000000016</v>
      </c>
    </row>
    <row r="20" spans="1:12" x14ac:dyDescent="0.45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I20" s="140">
        <v>4</v>
      </c>
      <c r="K20" s="62">
        <v>18</v>
      </c>
      <c r="L20" s="64">
        <v>-17.300000000000015</v>
      </c>
    </row>
    <row r="21" spans="1:12" x14ac:dyDescent="0.45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40">
        <v>1</v>
      </c>
      <c r="K21" s="62">
        <v>19</v>
      </c>
      <c r="L21" s="64">
        <v>-2.6000000000000156</v>
      </c>
    </row>
    <row r="22" spans="1:12" x14ac:dyDescent="0.45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40">
        <v>6</v>
      </c>
      <c r="K22" s="62">
        <v>20</v>
      </c>
      <c r="L22" s="64">
        <v>45.399999999999984</v>
      </c>
    </row>
    <row r="23" spans="1:12" x14ac:dyDescent="0.45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I23" s="140">
        <v>1</v>
      </c>
      <c r="K23" s="62">
        <v>21</v>
      </c>
      <c r="L23" s="64">
        <v>3.5999999999999872</v>
      </c>
    </row>
    <row r="24" spans="1:12" x14ac:dyDescent="0.45">
      <c r="A24" s="92" t="s">
        <v>126</v>
      </c>
      <c r="B24" s="144">
        <v>218</v>
      </c>
      <c r="C24" s="145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I24" s="140">
        <v>3</v>
      </c>
      <c r="K24" s="62">
        <v>22</v>
      </c>
      <c r="L24" s="64">
        <v>-1.9000000000000128</v>
      </c>
    </row>
    <row r="25" spans="1:12" x14ac:dyDescent="0.45">
      <c r="A25" s="95" t="s">
        <v>127</v>
      </c>
      <c r="B25" s="156">
        <v>50</v>
      </c>
      <c r="C25" s="15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40">
        <v>1</v>
      </c>
      <c r="K25" s="62">
        <v>23</v>
      </c>
      <c r="L25" s="64">
        <v>22.999999999999986</v>
      </c>
    </row>
    <row r="26" spans="1:12" x14ac:dyDescent="0.45">
      <c r="A26" s="133" t="s">
        <v>164</v>
      </c>
      <c r="B26" s="152">
        <v>5</v>
      </c>
      <c r="C26" s="153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I26" s="140">
        <v>5</v>
      </c>
      <c r="K26" s="62">
        <v>24</v>
      </c>
      <c r="L26" s="64">
        <v>9.0999999999999854</v>
      </c>
    </row>
    <row r="27" spans="1:12" x14ac:dyDescent="0.45">
      <c r="A27" s="96" t="s">
        <v>205</v>
      </c>
      <c r="B27" s="150">
        <v>103200</v>
      </c>
      <c r="C27" s="151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I27" s="140">
        <v>5</v>
      </c>
      <c r="K27" s="62">
        <v>25</v>
      </c>
      <c r="L27" s="64">
        <v>0.79999999999998472</v>
      </c>
    </row>
    <row r="28" spans="1:12" x14ac:dyDescent="0.45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I28" s="140">
        <v>4</v>
      </c>
      <c r="K28" s="62">
        <v>26</v>
      </c>
      <c r="L28" s="64">
        <v>-10.200000000000015</v>
      </c>
    </row>
    <row r="29" spans="1:12" x14ac:dyDescent="0.45">
      <c r="E29" s="102" t="s">
        <v>93</v>
      </c>
      <c r="F29" s="98" t="s">
        <v>46</v>
      </c>
      <c r="G29" s="85">
        <v>0</v>
      </c>
      <c r="H29" s="63">
        <f>IF(B$25=0,0,G29/B$25)</f>
        <v>0</v>
      </c>
      <c r="I29" s="140">
        <v>3</v>
      </c>
      <c r="K29" s="62">
        <v>27</v>
      </c>
      <c r="L29" s="64">
        <v>-32.100000000000016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-26.000000000000014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40">
        <v>8</v>
      </c>
      <c r="K31" s="62">
        <v>29</v>
      </c>
      <c r="L31" s="64">
        <v>-25.400000000000013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14.79999999999999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-20.900000000000013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-36.900000000000013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-42.70000000000001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-94.600000000000009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-106.60000000000001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-73.200000000000017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-78.800000000000011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-105.80000000000001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-100.60000000000001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-108.30000000000001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-123.30000000000001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-173.9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-169.1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-214.6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-215.7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-252.89999999999998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-294.2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-298.39999999999998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-358.7</v>
      </c>
    </row>
    <row r="52" spans="5:12" x14ac:dyDescent="0.45">
      <c r="K52" s="62">
        <v>50</v>
      </c>
      <c r="L52" s="64">
        <v>-374.59999999999997</v>
      </c>
    </row>
    <row r="53" spans="5:12" x14ac:dyDescent="0.45">
      <c r="K53" s="62">
        <v>51</v>
      </c>
      <c r="L53" s="64">
        <v>-368.59999999999997</v>
      </c>
    </row>
    <row r="54" spans="5:12" x14ac:dyDescent="0.45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6B55-E331-491B-9D83-02454F3392FF}">
  <sheetPr codeName="Sheet21"/>
  <dimension ref="A1:Q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137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69</v>
      </c>
      <c r="C2" s="145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I2" s="139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2820.8955223880598</v>
      </c>
      <c r="P2" s="77">
        <v>189000</v>
      </c>
      <c r="Q2" s="75">
        <v>67</v>
      </c>
    </row>
    <row r="3" spans="1:17" x14ac:dyDescent="0.45">
      <c r="A3" s="93" t="s">
        <v>8</v>
      </c>
      <c r="B3" s="146">
        <v>522</v>
      </c>
      <c r="C3" s="147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I3" s="140">
        <v>3</v>
      </c>
      <c r="K3" s="62">
        <v>1</v>
      </c>
      <c r="L3" s="64">
        <v>-36.700000000000003</v>
      </c>
      <c r="N3" s="62" t="s">
        <v>151</v>
      </c>
      <c r="O3" s="81">
        <f t="shared" si="0"/>
        <v>214.28571428571428</v>
      </c>
      <c r="P3" s="78">
        <v>13500</v>
      </c>
      <c r="Q3" s="73">
        <v>63</v>
      </c>
    </row>
    <row r="4" spans="1:17" x14ac:dyDescent="0.45">
      <c r="A4" s="93" t="s">
        <v>6</v>
      </c>
      <c r="B4" s="148">
        <v>159.49999999999997</v>
      </c>
      <c r="C4" s="149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I4" s="140">
        <v>7</v>
      </c>
      <c r="K4" s="62">
        <v>2</v>
      </c>
      <c r="L4" s="64">
        <v>-45.300000000000004</v>
      </c>
      <c r="N4" s="62" t="s">
        <v>152</v>
      </c>
      <c r="O4" s="81">
        <f t="shared" si="0"/>
        <v>477.58620689655174</v>
      </c>
      <c r="P4" s="78">
        <v>27700</v>
      </c>
      <c r="Q4" s="73">
        <v>58</v>
      </c>
    </row>
    <row r="5" spans="1:17" x14ac:dyDescent="0.45">
      <c r="A5" s="93" t="s">
        <v>7</v>
      </c>
      <c r="B5" s="148">
        <f>IF(B$2=0,0,B$4/B$2)</f>
        <v>2.3115942028985503</v>
      </c>
      <c r="C5" s="149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I5" s="140">
        <v>7</v>
      </c>
      <c r="K5" s="62">
        <v>3</v>
      </c>
      <c r="L5" s="64">
        <v>-81.7</v>
      </c>
      <c r="N5" s="62" t="s">
        <v>153</v>
      </c>
      <c r="O5" s="81">
        <f t="shared" si="0"/>
        <v>-1627.2727272727273</v>
      </c>
      <c r="P5" s="78">
        <v>-89500</v>
      </c>
      <c r="Q5" s="73">
        <v>55</v>
      </c>
    </row>
    <row r="6" spans="1:17" x14ac:dyDescent="0.45">
      <c r="A6" s="93" t="s">
        <v>1</v>
      </c>
      <c r="B6" s="154">
        <f>IF(B$2=0,0,(B$7*1+B$8*2+B$9*3)/B$2)</f>
        <v>1.9275362318840579</v>
      </c>
      <c r="C6" s="155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I6" s="140">
        <v>5</v>
      </c>
      <c r="K6" s="62">
        <v>4</v>
      </c>
      <c r="L6" s="64">
        <v>-114.30000000000001</v>
      </c>
      <c r="N6" s="62" t="s">
        <v>154</v>
      </c>
      <c r="O6" s="81">
        <f t="shared" si="0"/>
        <v>211.11111111111111</v>
      </c>
      <c r="P6" s="78">
        <v>9500</v>
      </c>
      <c r="Q6" s="73">
        <v>45</v>
      </c>
    </row>
    <row r="7" spans="1:17" x14ac:dyDescent="0.45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I7" s="140">
        <v>6</v>
      </c>
      <c r="K7" s="62">
        <v>5</v>
      </c>
      <c r="L7" s="64">
        <v>-136.30000000000001</v>
      </c>
      <c r="N7" s="67" t="s">
        <v>155</v>
      </c>
      <c r="O7" s="82">
        <f t="shared" si="0"/>
        <v>-805.12820512820508</v>
      </c>
      <c r="P7" s="79">
        <v>-31400</v>
      </c>
      <c r="Q7" s="74">
        <v>39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I8" s="140">
        <v>2</v>
      </c>
      <c r="K8" s="62">
        <v>6</v>
      </c>
      <c r="L8" s="64">
        <v>-100.80000000000001</v>
      </c>
    </row>
    <row r="9" spans="1:17" x14ac:dyDescent="0.45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I9" s="140">
        <v>4</v>
      </c>
      <c r="K9" s="62">
        <v>7</v>
      </c>
      <c r="L9" s="64">
        <v>-106.20000000000002</v>
      </c>
    </row>
    <row r="10" spans="1:17" x14ac:dyDescent="0.45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I10" s="140">
        <v>6</v>
      </c>
      <c r="K10" s="62">
        <v>8</v>
      </c>
      <c r="L10" s="64">
        <v>-52.300000000000018</v>
      </c>
    </row>
    <row r="11" spans="1:17" x14ac:dyDescent="0.45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I11" s="140">
        <v>8</v>
      </c>
      <c r="K11" s="62">
        <v>9</v>
      </c>
      <c r="L11" s="64">
        <v>-53.500000000000021</v>
      </c>
    </row>
    <row r="12" spans="1:17" x14ac:dyDescent="0.45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I12" s="140">
        <v>2</v>
      </c>
      <c r="K12" s="62">
        <v>10</v>
      </c>
      <c r="L12" s="64">
        <v>-72.800000000000026</v>
      </c>
    </row>
    <row r="13" spans="1:17" x14ac:dyDescent="0.45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I13" s="140">
        <v>2</v>
      </c>
      <c r="K13" s="62">
        <v>11</v>
      </c>
      <c r="L13" s="64">
        <v>-92.100000000000023</v>
      </c>
    </row>
    <row r="14" spans="1:17" x14ac:dyDescent="0.45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I14" s="140">
        <v>9</v>
      </c>
      <c r="K14" s="62">
        <v>12</v>
      </c>
      <c r="L14" s="64">
        <v>-89.100000000000023</v>
      </c>
    </row>
    <row r="15" spans="1:17" x14ac:dyDescent="0.45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I15" s="140">
        <v>2</v>
      </c>
      <c r="K15" s="62">
        <v>13</v>
      </c>
      <c r="L15" s="64">
        <v>-73.600000000000023</v>
      </c>
    </row>
    <row r="16" spans="1:17" x14ac:dyDescent="0.45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I16" s="140">
        <v>8</v>
      </c>
      <c r="K16" s="62">
        <v>14</v>
      </c>
      <c r="L16" s="64">
        <v>-62.500000000000021</v>
      </c>
    </row>
    <row r="17" spans="1:12" x14ac:dyDescent="0.45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I17" s="140">
        <v>5</v>
      </c>
      <c r="K17" s="62">
        <v>15</v>
      </c>
      <c r="L17" s="64">
        <v>-69.700000000000017</v>
      </c>
    </row>
    <row r="18" spans="1:12" x14ac:dyDescent="0.45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I18" s="140">
        <v>1</v>
      </c>
      <c r="K18" s="62">
        <v>16</v>
      </c>
      <c r="L18" s="64">
        <v>4.5999999999999801</v>
      </c>
    </row>
    <row r="19" spans="1:12" x14ac:dyDescent="0.45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I19" s="140">
        <v>3</v>
      </c>
      <c r="K19" s="62">
        <v>17</v>
      </c>
      <c r="L19" s="64">
        <v>39.59999999999998</v>
      </c>
    </row>
    <row r="20" spans="1:12" x14ac:dyDescent="0.45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I20" s="140">
        <v>8</v>
      </c>
      <c r="K20" s="62">
        <v>18</v>
      </c>
      <c r="L20" s="64">
        <v>39.299999999999983</v>
      </c>
    </row>
    <row r="21" spans="1:12" x14ac:dyDescent="0.45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I21" s="140">
        <v>1</v>
      </c>
      <c r="K21" s="62">
        <v>19</v>
      </c>
      <c r="L21" s="64">
        <v>103.29999999999998</v>
      </c>
    </row>
    <row r="22" spans="1:12" x14ac:dyDescent="0.45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I22" s="140">
        <v>4</v>
      </c>
      <c r="K22" s="62">
        <v>20</v>
      </c>
      <c r="L22" s="64">
        <v>106.39999999999998</v>
      </c>
    </row>
    <row r="23" spans="1:12" x14ac:dyDescent="0.45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I23" s="140">
        <v>1</v>
      </c>
      <c r="K23" s="62">
        <v>21</v>
      </c>
      <c r="L23" s="64">
        <v>107.59999999999998</v>
      </c>
    </row>
    <row r="24" spans="1:12" x14ac:dyDescent="0.45">
      <c r="A24" s="92" t="s">
        <v>126</v>
      </c>
      <c r="B24" s="144">
        <v>389</v>
      </c>
      <c r="C24" s="145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I24" s="140">
        <v>8</v>
      </c>
      <c r="K24" s="62">
        <v>22</v>
      </c>
      <c r="L24" s="64">
        <v>110.39999999999998</v>
      </c>
    </row>
    <row r="25" spans="1:12" x14ac:dyDescent="0.45">
      <c r="A25" s="95" t="s">
        <v>127</v>
      </c>
      <c r="B25" s="156">
        <v>130</v>
      </c>
      <c r="C25" s="15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40">
        <v>1</v>
      </c>
      <c r="K25" s="62">
        <v>23</v>
      </c>
      <c r="L25" s="64">
        <v>154.99999999999997</v>
      </c>
    </row>
    <row r="26" spans="1:12" x14ac:dyDescent="0.45">
      <c r="A26" s="133" t="s">
        <v>164</v>
      </c>
      <c r="B26" s="152">
        <v>9</v>
      </c>
      <c r="C26" s="153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40">
        <v>3</v>
      </c>
      <c r="K26" s="62">
        <v>24</v>
      </c>
      <c r="L26" s="64">
        <v>153.59999999999997</v>
      </c>
    </row>
    <row r="27" spans="1:12" x14ac:dyDescent="0.45">
      <c r="A27" s="96" t="s">
        <v>205</v>
      </c>
      <c r="B27" s="150">
        <v>109300</v>
      </c>
      <c r="C27" s="151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40">
        <v>1</v>
      </c>
      <c r="K27" s="62">
        <v>25</v>
      </c>
      <c r="L27" s="64">
        <v>113.89999999999996</v>
      </c>
    </row>
    <row r="28" spans="1:12" x14ac:dyDescent="0.45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  <c r="K28" s="62">
        <v>26</v>
      </c>
      <c r="L28" s="64">
        <v>98.099999999999966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  <c r="K29" s="62">
        <v>27</v>
      </c>
      <c r="L29" s="64">
        <v>109.39999999999996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  <c r="K30" s="62">
        <v>28</v>
      </c>
      <c r="L30" s="64">
        <v>65.399999999999963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24.399999999999963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  <c r="K32" s="62">
        <v>30</v>
      </c>
      <c r="L32" s="64">
        <v>13.599999999999962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  <c r="K33" s="62">
        <v>31</v>
      </c>
      <c r="L33" s="64">
        <v>29.19999999999996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-14.200000000000038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-13.500000000000039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-1.3000000000000398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-38.600000000000037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10.399999999999963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-3.4000000000000377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37.599999999999966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34.199999999999967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105.79999999999995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137.29999999999995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172.69999999999996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184.19999999999996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193.29999999999995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144.89999999999995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189.79999999999995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199.69999999999996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179.69999999999996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174.79999999999995</v>
      </c>
    </row>
    <row r="52" spans="5:12" x14ac:dyDescent="0.45">
      <c r="K52" s="62">
        <v>50</v>
      </c>
      <c r="L52" s="64">
        <v>192.59999999999997</v>
      </c>
    </row>
    <row r="53" spans="5:12" x14ac:dyDescent="0.45">
      <c r="K53" s="62">
        <v>51</v>
      </c>
      <c r="L53" s="64">
        <v>166.19999999999996</v>
      </c>
    </row>
    <row r="54" spans="5:12" x14ac:dyDescent="0.45">
      <c r="K54" s="62">
        <v>52</v>
      </c>
      <c r="L54" s="64">
        <v>176.69999999999996</v>
      </c>
    </row>
    <row r="55" spans="5:12" x14ac:dyDescent="0.45">
      <c r="K55" s="62">
        <v>53</v>
      </c>
      <c r="L55" s="64">
        <v>176.29999999999995</v>
      </c>
    </row>
    <row r="56" spans="5:12" x14ac:dyDescent="0.45">
      <c r="K56" s="62">
        <v>54</v>
      </c>
      <c r="L56" s="64">
        <v>194.39999999999995</v>
      </c>
    </row>
    <row r="57" spans="5:12" x14ac:dyDescent="0.45">
      <c r="K57" s="62">
        <v>55</v>
      </c>
      <c r="L57" s="64">
        <v>217.19999999999996</v>
      </c>
    </row>
    <row r="58" spans="5:12" x14ac:dyDescent="0.45">
      <c r="K58" s="62">
        <v>56</v>
      </c>
      <c r="L58" s="64">
        <v>204.39999999999995</v>
      </c>
    </row>
    <row r="59" spans="5:12" x14ac:dyDescent="0.45">
      <c r="K59" s="62">
        <v>57</v>
      </c>
      <c r="L59" s="64">
        <v>240.39999999999995</v>
      </c>
    </row>
    <row r="60" spans="5:12" x14ac:dyDescent="0.45">
      <c r="K60" s="62">
        <v>58</v>
      </c>
      <c r="L60" s="64">
        <v>191.29999999999995</v>
      </c>
    </row>
    <row r="61" spans="5:12" x14ac:dyDescent="0.45">
      <c r="K61" s="62">
        <v>59</v>
      </c>
      <c r="L61" s="64">
        <v>188.69999999999996</v>
      </c>
    </row>
    <row r="62" spans="5:12" x14ac:dyDescent="0.45">
      <c r="K62" s="62">
        <v>60</v>
      </c>
      <c r="L62" s="64">
        <v>201.19999999999996</v>
      </c>
    </row>
    <row r="63" spans="5:12" x14ac:dyDescent="0.45">
      <c r="K63" s="62">
        <v>61</v>
      </c>
      <c r="L63" s="64">
        <v>213.49999999999997</v>
      </c>
    </row>
    <row r="64" spans="5:12" x14ac:dyDescent="0.45">
      <c r="K64" s="62">
        <v>62</v>
      </c>
      <c r="L64" s="64">
        <v>214.39999999999998</v>
      </c>
    </row>
    <row r="65" spans="11:12" x14ac:dyDescent="0.45">
      <c r="K65" s="62">
        <v>63</v>
      </c>
      <c r="L65" s="64">
        <v>210.59999999999997</v>
      </c>
    </row>
    <row r="66" spans="11:12" x14ac:dyDescent="0.45">
      <c r="K66" s="62">
        <v>64</v>
      </c>
      <c r="L66" s="64">
        <v>198.69999999999996</v>
      </c>
    </row>
    <row r="67" spans="11:12" x14ac:dyDescent="0.45">
      <c r="K67" s="62">
        <v>65</v>
      </c>
      <c r="L67" s="64">
        <v>181.19999999999996</v>
      </c>
    </row>
    <row r="68" spans="11:12" x14ac:dyDescent="0.45">
      <c r="K68" s="62">
        <v>66</v>
      </c>
      <c r="L68" s="64">
        <v>188.49999999999997</v>
      </c>
    </row>
    <row r="69" spans="11:12" x14ac:dyDescent="0.45">
      <c r="K69" s="62">
        <v>67</v>
      </c>
      <c r="L69" s="64">
        <v>183.89999999999998</v>
      </c>
    </row>
    <row r="70" spans="11:12" x14ac:dyDescent="0.45">
      <c r="K70" s="62">
        <v>68</v>
      </c>
      <c r="L70" s="64">
        <v>197.99999999999997</v>
      </c>
    </row>
    <row r="71" spans="11:12" x14ac:dyDescent="0.45">
      <c r="K71" s="62">
        <v>69</v>
      </c>
      <c r="L71" s="64">
        <v>159.49999999999997</v>
      </c>
    </row>
  </sheetData>
  <sortState ref="E2:I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B179-8742-4997-A735-3F763DFEA757}">
  <sheetPr codeName="Sheet23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138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18</v>
      </c>
      <c r="H2" s="60">
        <f>IF(B$25=0,0,G2/B$25)</f>
        <v>0.9</v>
      </c>
      <c r="I2" s="139">
        <v>6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5">
      <c r="A3" s="93" t="s">
        <v>8</v>
      </c>
      <c r="B3" s="146">
        <v>149</v>
      </c>
      <c r="C3" s="147"/>
      <c r="E3" s="102" t="s">
        <v>67</v>
      </c>
      <c r="F3" s="98" t="s">
        <v>21</v>
      </c>
      <c r="G3" s="85">
        <v>15</v>
      </c>
      <c r="H3" s="63">
        <f>IF(B$25=0,0,G3/B$25)</f>
        <v>0.75</v>
      </c>
      <c r="I3" s="140">
        <v>2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5">
      <c r="A4" s="93" t="s">
        <v>6</v>
      </c>
      <c r="B4" s="148">
        <v>143.60000000000002</v>
      </c>
      <c r="C4" s="149"/>
      <c r="E4" s="102" t="s">
        <v>70</v>
      </c>
      <c r="F4" s="98" t="s">
        <v>24</v>
      </c>
      <c r="G4" s="85">
        <v>14</v>
      </c>
      <c r="H4" s="63">
        <f>IF(B$25=0,0,G4/B$25)</f>
        <v>0.7</v>
      </c>
      <c r="I4" s="140">
        <v>2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5">
      <c r="A5" s="93" t="s">
        <v>7</v>
      </c>
      <c r="B5" s="148">
        <f>IF(B$2=0,0,B$4/B$2)</f>
        <v>7.5578947368421066</v>
      </c>
      <c r="C5" s="149"/>
      <c r="E5" s="102" t="s">
        <v>69</v>
      </c>
      <c r="F5" s="98" t="s">
        <v>23</v>
      </c>
      <c r="G5" s="85">
        <v>10</v>
      </c>
      <c r="H5" s="63">
        <f>IF(B$25=0,0,G5/B$25)</f>
        <v>0.5</v>
      </c>
      <c r="I5" s="140">
        <v>10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5">
      <c r="A6" s="93" t="s">
        <v>1</v>
      </c>
      <c r="B6" s="154">
        <f>IF(B$2=0,0,(B$7*1+B$8*2+B$9*3)/B$2)</f>
        <v>1.8421052631578947</v>
      </c>
      <c r="C6" s="155"/>
      <c r="E6" s="102" t="s">
        <v>72</v>
      </c>
      <c r="F6" s="98" t="s">
        <v>12</v>
      </c>
      <c r="G6" s="85">
        <v>7</v>
      </c>
      <c r="H6" s="63">
        <f>IF(B$25=0,0,G6/B$25)</f>
        <v>0.35</v>
      </c>
      <c r="I6" s="140">
        <v>2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5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I7" s="140">
        <v>11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I8" s="140">
        <v>2</v>
      </c>
      <c r="K8" s="62">
        <v>6</v>
      </c>
      <c r="L8" s="64">
        <v>23.200000000000003</v>
      </c>
    </row>
    <row r="9" spans="1:17" x14ac:dyDescent="0.45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I9" s="140">
        <v>5</v>
      </c>
      <c r="K9" s="62">
        <v>7</v>
      </c>
      <c r="L9" s="64">
        <v>40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I10" s="140">
        <v>10</v>
      </c>
      <c r="K10" s="62">
        <v>8</v>
      </c>
      <c r="L10" s="64">
        <v>4.2000000000000028</v>
      </c>
    </row>
    <row r="11" spans="1:17" x14ac:dyDescent="0.45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I11" s="140">
        <v>6</v>
      </c>
      <c r="K11" s="62">
        <v>9</v>
      </c>
      <c r="L11" s="64">
        <v>6.8000000000000025</v>
      </c>
    </row>
    <row r="12" spans="1:17" x14ac:dyDescent="0.45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I12" s="140">
        <v>3</v>
      </c>
      <c r="K12" s="62">
        <v>10</v>
      </c>
      <c r="L12" s="64">
        <v>56.800000000000004</v>
      </c>
    </row>
    <row r="13" spans="1:17" x14ac:dyDescent="0.45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I13" s="140">
        <v>10</v>
      </c>
      <c r="K13" s="62">
        <v>11</v>
      </c>
      <c r="L13" s="64">
        <v>69.300000000000011</v>
      </c>
    </row>
    <row r="14" spans="1:17" x14ac:dyDescent="0.45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I14" s="140">
        <v>10</v>
      </c>
      <c r="K14" s="62">
        <v>12</v>
      </c>
      <c r="L14" s="64">
        <v>80.800000000000011</v>
      </c>
    </row>
    <row r="15" spans="1:17" x14ac:dyDescent="0.45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I15" s="140">
        <v>1</v>
      </c>
      <c r="K15" s="62">
        <v>13</v>
      </c>
      <c r="L15" s="64">
        <v>155.10000000000002</v>
      </c>
    </row>
    <row r="16" spans="1:17" x14ac:dyDescent="0.45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I16" s="140">
        <v>4</v>
      </c>
      <c r="K16" s="62">
        <v>14</v>
      </c>
      <c r="L16" s="64">
        <v>147.10000000000002</v>
      </c>
    </row>
    <row r="17" spans="1:12" x14ac:dyDescent="0.45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I17" s="140">
        <v>4</v>
      </c>
      <c r="K17" s="62">
        <v>15</v>
      </c>
      <c r="L17" s="64">
        <v>148.80000000000001</v>
      </c>
    </row>
    <row r="18" spans="1:12" x14ac:dyDescent="0.45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I18" s="140">
        <v>6</v>
      </c>
      <c r="K18" s="62">
        <v>16</v>
      </c>
      <c r="L18" s="64">
        <v>152.30000000000001</v>
      </c>
    </row>
    <row r="19" spans="1:12" x14ac:dyDescent="0.45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I19" s="140">
        <v>1</v>
      </c>
      <c r="K19" s="62">
        <v>17</v>
      </c>
      <c r="L19" s="64">
        <v>178.10000000000002</v>
      </c>
    </row>
    <row r="20" spans="1:12" x14ac:dyDescent="0.45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I20" s="140">
        <v>6</v>
      </c>
      <c r="K20" s="62">
        <v>18</v>
      </c>
      <c r="L20" s="64">
        <v>155.00000000000003</v>
      </c>
    </row>
    <row r="21" spans="1:12" x14ac:dyDescent="0.45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40">
        <v>8</v>
      </c>
      <c r="K21" s="62">
        <v>19</v>
      </c>
      <c r="L21" s="64">
        <v>143.60000000000002</v>
      </c>
    </row>
    <row r="22" spans="1:12" x14ac:dyDescent="0.45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40">
        <v>1</v>
      </c>
    </row>
    <row r="23" spans="1:12" x14ac:dyDescent="0.45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40">
        <v>3</v>
      </c>
    </row>
    <row r="24" spans="1:12" x14ac:dyDescent="0.45">
      <c r="A24" s="92" t="s">
        <v>126</v>
      </c>
      <c r="B24" s="144">
        <v>67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40">
        <v>9</v>
      </c>
    </row>
    <row r="25" spans="1:12" x14ac:dyDescent="0.45">
      <c r="A25" s="95" t="s">
        <v>127</v>
      </c>
      <c r="B25" s="156">
        <v>20</v>
      </c>
      <c r="C25" s="15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40">
        <v>1</v>
      </c>
    </row>
    <row r="26" spans="1:12" x14ac:dyDescent="0.45">
      <c r="A26" s="133" t="s">
        <v>164</v>
      </c>
      <c r="B26" s="152">
        <v>6</v>
      </c>
      <c r="C26" s="153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40">
        <v>9</v>
      </c>
    </row>
    <row r="27" spans="1:12" x14ac:dyDescent="0.45">
      <c r="A27" s="96" t="s">
        <v>205</v>
      </c>
      <c r="B27" s="150">
        <v>109300</v>
      </c>
      <c r="C27" s="151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40">
        <v>5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40">
        <v>8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27D5-4976-48FE-BF14-0122C97A5586}">
  <sheetPr codeName="Sheet25"/>
  <dimension ref="A1:Q67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139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65</v>
      </c>
      <c r="C2" s="145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I2" s="139">
        <v>2</v>
      </c>
      <c r="K2" s="59">
        <v>0</v>
      </c>
      <c r="L2" s="61">
        <v>0</v>
      </c>
      <c r="N2" s="59" t="s">
        <v>150</v>
      </c>
      <c r="O2" s="80">
        <f t="shared" ref="O2:O7" si="0">IF(Q2=0,0,P2/Q2)</f>
        <v>-1462.295081967213</v>
      </c>
      <c r="P2" s="77">
        <v>-89200</v>
      </c>
      <c r="Q2" s="75">
        <v>61</v>
      </c>
    </row>
    <row r="3" spans="1:17" x14ac:dyDescent="0.45">
      <c r="A3" s="93" t="s">
        <v>8</v>
      </c>
      <c r="B3" s="146">
        <v>508</v>
      </c>
      <c r="C3" s="147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I3" s="140">
        <v>2</v>
      </c>
      <c r="K3" s="62">
        <v>1</v>
      </c>
      <c r="L3" s="64">
        <v>3.9</v>
      </c>
      <c r="N3" s="62" t="s">
        <v>151</v>
      </c>
      <c r="O3" s="81">
        <f t="shared" si="0"/>
        <v>-1288.5245901639344</v>
      </c>
      <c r="P3" s="78">
        <v>-78600</v>
      </c>
      <c r="Q3" s="73">
        <v>61</v>
      </c>
    </row>
    <row r="4" spans="1:17" x14ac:dyDescent="0.45">
      <c r="A4" s="93" t="s">
        <v>6</v>
      </c>
      <c r="B4" s="148">
        <v>-454.09999999999991</v>
      </c>
      <c r="C4" s="149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I4" s="140">
        <v>3</v>
      </c>
      <c r="K4" s="62">
        <v>2</v>
      </c>
      <c r="L4" s="64">
        <v>-33.9</v>
      </c>
      <c r="N4" s="62" t="s">
        <v>152</v>
      </c>
      <c r="O4" s="81">
        <f t="shared" si="0"/>
        <v>-3039.655172413793</v>
      </c>
      <c r="P4" s="78">
        <v>-176300</v>
      </c>
      <c r="Q4" s="73">
        <v>58</v>
      </c>
    </row>
    <row r="5" spans="1:17" x14ac:dyDescent="0.45">
      <c r="A5" s="93" t="s">
        <v>7</v>
      </c>
      <c r="B5" s="148">
        <f>IF(B$2=0,0,B$4/B$2)</f>
        <v>-6.9861538461538446</v>
      </c>
      <c r="C5" s="149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I5" s="140">
        <v>6</v>
      </c>
      <c r="K5" s="62">
        <v>3</v>
      </c>
      <c r="L5" s="64">
        <v>-70.099999999999994</v>
      </c>
      <c r="N5" s="62" t="s">
        <v>153</v>
      </c>
      <c r="O5" s="81">
        <f t="shared" si="0"/>
        <v>-975.92592592592598</v>
      </c>
      <c r="P5" s="78">
        <v>-52700</v>
      </c>
      <c r="Q5" s="73">
        <v>54</v>
      </c>
    </row>
    <row r="6" spans="1:17" x14ac:dyDescent="0.45">
      <c r="A6" s="93" t="s">
        <v>1</v>
      </c>
      <c r="B6" s="154">
        <f>IF(B$2=0,0,(B$7*1+B$8*2+B$9*3)/B$2)</f>
        <v>2.2307692307692308</v>
      </c>
      <c r="C6" s="155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I6" s="140">
        <v>3</v>
      </c>
      <c r="K6" s="62">
        <v>4</v>
      </c>
      <c r="L6" s="64">
        <v>-35.099999999999994</v>
      </c>
      <c r="N6" s="62" t="s">
        <v>154</v>
      </c>
      <c r="O6" s="81">
        <f t="shared" si="0"/>
        <v>-1385.7142857142858</v>
      </c>
      <c r="P6" s="78">
        <v>-67900</v>
      </c>
      <c r="Q6" s="73">
        <v>49</v>
      </c>
    </row>
    <row r="7" spans="1:17" x14ac:dyDescent="0.45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I7" s="140">
        <v>3</v>
      </c>
      <c r="K7" s="62">
        <v>5</v>
      </c>
      <c r="L7" s="64">
        <v>-80.099999999999994</v>
      </c>
      <c r="N7" s="67" t="s">
        <v>155</v>
      </c>
      <c r="O7" s="82">
        <f t="shared" si="0"/>
        <v>3413.8888888888887</v>
      </c>
      <c r="P7" s="79">
        <v>122900</v>
      </c>
      <c r="Q7" s="74">
        <v>36</v>
      </c>
    </row>
    <row r="8" spans="1:17" x14ac:dyDescent="0.45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I8" s="140">
        <v>8</v>
      </c>
      <c r="K8" s="62">
        <v>6</v>
      </c>
      <c r="L8" s="64">
        <v>-116.1</v>
      </c>
    </row>
    <row r="9" spans="1:17" x14ac:dyDescent="0.45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I9" s="140">
        <v>7</v>
      </c>
      <c r="K9" s="62">
        <v>7</v>
      </c>
      <c r="L9" s="64">
        <v>-147.4</v>
      </c>
    </row>
    <row r="10" spans="1:17" x14ac:dyDescent="0.45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I10" s="140">
        <v>4</v>
      </c>
      <c r="K10" s="62">
        <v>8</v>
      </c>
      <c r="L10" s="64">
        <v>-146</v>
      </c>
    </row>
    <row r="11" spans="1:17" x14ac:dyDescent="0.45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I11" s="140">
        <v>10</v>
      </c>
      <c r="K11" s="62">
        <v>9</v>
      </c>
      <c r="L11" s="64">
        <v>-173</v>
      </c>
    </row>
    <row r="12" spans="1:17" x14ac:dyDescent="0.45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I12" s="140">
        <v>5</v>
      </c>
      <c r="K12" s="62">
        <v>10</v>
      </c>
      <c r="L12" s="64">
        <v>-206.1</v>
      </c>
    </row>
    <row r="13" spans="1:17" x14ac:dyDescent="0.45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I13" s="140">
        <v>1</v>
      </c>
      <c r="K13" s="62">
        <v>11</v>
      </c>
      <c r="L13" s="64">
        <v>-174</v>
      </c>
    </row>
    <row r="14" spans="1:17" x14ac:dyDescent="0.45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I14" s="140">
        <v>9</v>
      </c>
      <c r="K14" s="62">
        <v>12</v>
      </c>
      <c r="L14" s="64">
        <v>-197</v>
      </c>
    </row>
    <row r="15" spans="1:17" x14ac:dyDescent="0.45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I15" s="140">
        <v>1</v>
      </c>
      <c r="K15" s="62">
        <v>13</v>
      </c>
      <c r="L15" s="64">
        <v>-235</v>
      </c>
    </row>
    <row r="16" spans="1:17" x14ac:dyDescent="0.45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I16" s="140">
        <v>6</v>
      </c>
      <c r="K16" s="62">
        <v>14</v>
      </c>
      <c r="L16" s="64">
        <v>-231</v>
      </c>
    </row>
    <row r="17" spans="1:12" x14ac:dyDescent="0.45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I17" s="140">
        <v>5</v>
      </c>
      <c r="K17" s="62">
        <v>15</v>
      </c>
      <c r="L17" s="64">
        <v>-212.5</v>
      </c>
    </row>
    <row r="18" spans="1:12" x14ac:dyDescent="0.45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I18" s="140">
        <v>4</v>
      </c>
      <c r="K18" s="62">
        <v>16</v>
      </c>
      <c r="L18" s="64">
        <v>-233.2</v>
      </c>
    </row>
    <row r="19" spans="1:12" x14ac:dyDescent="0.45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I19" s="140">
        <v>5</v>
      </c>
      <c r="K19" s="62">
        <v>17</v>
      </c>
      <c r="L19" s="64">
        <v>-268.7</v>
      </c>
    </row>
    <row r="20" spans="1:12" x14ac:dyDescent="0.45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I20" s="140">
        <v>6</v>
      </c>
      <c r="K20" s="62">
        <v>18</v>
      </c>
      <c r="L20" s="64">
        <v>-295.8</v>
      </c>
    </row>
    <row r="21" spans="1:12" x14ac:dyDescent="0.45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I21" s="140">
        <v>2</v>
      </c>
      <c r="K21" s="62">
        <v>19</v>
      </c>
      <c r="L21" s="64">
        <v>-273.2</v>
      </c>
    </row>
    <row r="22" spans="1:12" x14ac:dyDescent="0.45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I22" s="140">
        <v>7</v>
      </c>
      <c r="K22" s="62">
        <v>20</v>
      </c>
      <c r="L22" s="64">
        <v>-270</v>
      </c>
    </row>
    <row r="23" spans="1:12" x14ac:dyDescent="0.45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I23" s="140">
        <v>2</v>
      </c>
      <c r="K23" s="62">
        <v>21</v>
      </c>
      <c r="L23" s="64">
        <v>-242</v>
      </c>
    </row>
    <row r="24" spans="1:12" x14ac:dyDescent="0.45">
      <c r="A24" s="92" t="s">
        <v>126</v>
      </c>
      <c r="B24" s="144">
        <v>471</v>
      </c>
      <c r="C24" s="145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I24" s="140">
        <v>4</v>
      </c>
      <c r="K24" s="62">
        <v>22</v>
      </c>
      <c r="L24" s="64">
        <v>-202.9</v>
      </c>
    </row>
    <row r="25" spans="1:12" x14ac:dyDescent="0.45">
      <c r="A25" s="95" t="s">
        <v>127</v>
      </c>
      <c r="B25" s="156">
        <v>136</v>
      </c>
      <c r="C25" s="157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I25" s="140">
        <v>1</v>
      </c>
      <c r="K25" s="62">
        <v>23</v>
      </c>
      <c r="L25" s="64">
        <v>-200.9</v>
      </c>
    </row>
    <row r="26" spans="1:12" x14ac:dyDescent="0.45">
      <c r="A26" s="133" t="s">
        <v>164</v>
      </c>
      <c r="B26" s="152">
        <v>7</v>
      </c>
      <c r="C26" s="153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I26" s="140">
        <v>1</v>
      </c>
      <c r="K26" s="62">
        <v>24</v>
      </c>
      <c r="L26" s="64">
        <v>-168.2</v>
      </c>
    </row>
    <row r="27" spans="1:12" x14ac:dyDescent="0.45">
      <c r="A27" s="96" t="s">
        <v>205</v>
      </c>
      <c r="B27" s="150">
        <v>111500</v>
      </c>
      <c r="C27" s="151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I27" s="140">
        <v>3</v>
      </c>
      <c r="K27" s="62">
        <v>25</v>
      </c>
      <c r="L27" s="64">
        <v>-216.89999999999998</v>
      </c>
    </row>
    <row r="28" spans="1:12" x14ac:dyDescent="0.45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I28" s="140">
        <v>1</v>
      </c>
      <c r="K28" s="62">
        <v>26</v>
      </c>
      <c r="L28" s="64">
        <v>-256.29999999999995</v>
      </c>
    </row>
    <row r="29" spans="1:12" x14ac:dyDescent="0.45">
      <c r="E29" s="102" t="s">
        <v>90</v>
      </c>
      <c r="F29" s="98" t="s">
        <v>43</v>
      </c>
      <c r="G29" s="85">
        <v>0</v>
      </c>
      <c r="H29" s="63">
        <f>IF(B$25=0,0,G29/B$25)</f>
        <v>0</v>
      </c>
      <c r="I29" s="140">
        <v>5</v>
      </c>
      <c r="K29" s="62">
        <v>27</v>
      </c>
      <c r="L29" s="64">
        <v>-296.29999999999995</v>
      </c>
    </row>
    <row r="30" spans="1:12" x14ac:dyDescent="0.45">
      <c r="E30" s="102" t="s">
        <v>92</v>
      </c>
      <c r="F30" s="98" t="s">
        <v>45</v>
      </c>
      <c r="G30" s="85">
        <v>0</v>
      </c>
      <c r="H30" s="63">
        <f>IF(B$25=0,0,G30/B$25)</f>
        <v>0</v>
      </c>
      <c r="I30" s="140">
        <v>4</v>
      </c>
      <c r="K30" s="62">
        <v>28</v>
      </c>
      <c r="L30" s="64">
        <v>-290.19999999999993</v>
      </c>
    </row>
    <row r="31" spans="1:12" x14ac:dyDescent="0.45">
      <c r="E31" s="102" t="s">
        <v>93</v>
      </c>
      <c r="F31" s="98" t="s">
        <v>46</v>
      </c>
      <c r="G31" s="85">
        <v>0</v>
      </c>
      <c r="H31" s="63">
        <f>IF(B$25=0,0,G31/B$25)</f>
        <v>0</v>
      </c>
      <c r="I31" s="140">
        <v>3</v>
      </c>
      <c r="K31" s="62">
        <v>29</v>
      </c>
      <c r="L31" s="64">
        <v>-239.19999999999993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40">
        <v>3</v>
      </c>
      <c r="K32" s="62">
        <v>30</v>
      </c>
      <c r="L32" s="64">
        <v>-257.29999999999995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40">
        <v>5</v>
      </c>
      <c r="K33" s="62">
        <v>31</v>
      </c>
      <c r="L33" s="64">
        <v>-265.39999999999998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  <c r="K34" s="62">
        <v>32</v>
      </c>
      <c r="L34" s="64">
        <v>-283.89999999999998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  <c r="K35" s="62">
        <v>33</v>
      </c>
      <c r="L35" s="64">
        <v>-291.29999999999995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  <c r="K36" s="62">
        <v>34</v>
      </c>
      <c r="L36" s="64">
        <v>-301.69999999999993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  <c r="K37" s="62">
        <v>35</v>
      </c>
      <c r="L37" s="64">
        <v>-339.69999999999993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  <c r="K38" s="62">
        <v>36</v>
      </c>
      <c r="L38" s="64">
        <v>-328.09999999999991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  <c r="K39" s="62">
        <v>37</v>
      </c>
      <c r="L39" s="64">
        <v>-371.59999999999991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  <c r="K40" s="62">
        <v>38</v>
      </c>
      <c r="L40" s="64">
        <v>-380.09999999999991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  <c r="K41" s="62">
        <v>39</v>
      </c>
      <c r="L41" s="64">
        <v>-360.49999999999989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  <c r="K42" s="62">
        <v>40</v>
      </c>
      <c r="L42" s="64">
        <v>-378.59999999999991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  <c r="K43" s="62">
        <v>41</v>
      </c>
      <c r="L43" s="64">
        <v>-366.59999999999991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  <c r="K44" s="62">
        <v>42</v>
      </c>
      <c r="L44" s="64">
        <v>-367.09999999999991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  <c r="K45" s="62">
        <v>43</v>
      </c>
      <c r="L45" s="64">
        <v>-325.09999999999991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  <c r="K46" s="62">
        <v>44</v>
      </c>
      <c r="L46" s="64">
        <v>-330.89999999999992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  <c r="K47" s="62">
        <v>45</v>
      </c>
      <c r="L47" s="64">
        <v>-329.19999999999993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  <c r="K48" s="62">
        <v>46</v>
      </c>
      <c r="L48" s="64">
        <v>-363.39999999999992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  <c r="K49" s="62">
        <v>47</v>
      </c>
      <c r="L49" s="64">
        <v>-351.39999999999992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  <c r="K50" s="62">
        <v>48</v>
      </c>
      <c r="L50" s="64">
        <v>-359.19999999999993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  <c r="K51" s="62">
        <v>49</v>
      </c>
      <c r="L51" s="64">
        <v>-364.49999999999994</v>
      </c>
    </row>
    <row r="52" spans="5:12" x14ac:dyDescent="0.45">
      <c r="K52" s="62">
        <v>50</v>
      </c>
      <c r="L52" s="64">
        <v>-399.99999999999994</v>
      </c>
    </row>
    <row r="53" spans="5:12" x14ac:dyDescent="0.45">
      <c r="K53" s="62">
        <v>51</v>
      </c>
      <c r="L53" s="64">
        <v>-409.99999999999994</v>
      </c>
    </row>
    <row r="54" spans="5:12" x14ac:dyDescent="0.45">
      <c r="K54" s="62">
        <v>52</v>
      </c>
      <c r="L54" s="64">
        <v>-426.39999999999992</v>
      </c>
    </row>
    <row r="55" spans="5:12" x14ac:dyDescent="0.45">
      <c r="K55" s="62">
        <v>53</v>
      </c>
      <c r="L55" s="64">
        <v>-399.89999999999992</v>
      </c>
    </row>
    <row r="56" spans="5:12" x14ac:dyDescent="0.45">
      <c r="K56" s="62">
        <v>54</v>
      </c>
      <c r="L56" s="64">
        <v>-411.19999999999993</v>
      </c>
    </row>
    <row r="57" spans="5:12" x14ac:dyDescent="0.45">
      <c r="K57" s="62">
        <v>55</v>
      </c>
      <c r="L57" s="64">
        <v>-420.49999999999994</v>
      </c>
    </row>
    <row r="58" spans="5:12" x14ac:dyDescent="0.45">
      <c r="K58" s="62">
        <v>56</v>
      </c>
      <c r="L58" s="64">
        <v>-395.39999999999992</v>
      </c>
    </row>
    <row r="59" spans="5:12" x14ac:dyDescent="0.45">
      <c r="K59" s="62">
        <v>57</v>
      </c>
      <c r="L59" s="64">
        <v>-428.89999999999992</v>
      </c>
    </row>
    <row r="60" spans="5:12" x14ac:dyDescent="0.45">
      <c r="K60" s="62">
        <v>58</v>
      </c>
      <c r="L60" s="64">
        <v>-466.39999999999992</v>
      </c>
    </row>
    <row r="61" spans="5:12" x14ac:dyDescent="0.45">
      <c r="K61" s="62">
        <v>59</v>
      </c>
      <c r="L61" s="64">
        <v>-475.7999999999999</v>
      </c>
    </row>
    <row r="62" spans="5:12" x14ac:dyDescent="0.45">
      <c r="K62" s="62">
        <v>60</v>
      </c>
      <c r="L62" s="64">
        <v>-475.2999999999999</v>
      </c>
    </row>
    <row r="63" spans="5:12" x14ac:dyDescent="0.45">
      <c r="K63" s="62">
        <v>61</v>
      </c>
      <c r="L63" s="64">
        <v>-487.39999999999992</v>
      </c>
    </row>
    <row r="64" spans="5:12" x14ac:dyDescent="0.45">
      <c r="K64" s="62">
        <v>62</v>
      </c>
      <c r="L64" s="64">
        <v>-492.59999999999991</v>
      </c>
    </row>
    <row r="65" spans="11:12" x14ac:dyDescent="0.45">
      <c r="K65" s="62">
        <v>63</v>
      </c>
      <c r="L65" s="64">
        <v>-416.09999999999991</v>
      </c>
    </row>
    <row r="66" spans="11:12" x14ac:dyDescent="0.45">
      <c r="K66" s="62">
        <v>64</v>
      </c>
      <c r="L66" s="64">
        <v>-451.89999999999992</v>
      </c>
    </row>
    <row r="67" spans="11:12" x14ac:dyDescent="0.45">
      <c r="K67" s="62">
        <v>65</v>
      </c>
      <c r="L67" s="64">
        <v>-454.09999999999991</v>
      </c>
    </row>
  </sheetData>
  <sortState ref="E2:I6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D547-6FA5-40B3-96E4-5A6835167CEA}">
  <sheetPr codeName="Sheet2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200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</v>
      </c>
      <c r="C2" s="145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I2" s="139">
        <v>8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5">
      <c r="A3" s="93" t="s">
        <v>8</v>
      </c>
      <c r="B3" s="146">
        <v>46</v>
      </c>
      <c r="C3" s="147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I3" s="140">
        <v>10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5">
      <c r="A4" s="93" t="s">
        <v>6</v>
      </c>
      <c r="B4" s="148">
        <v>89</v>
      </c>
      <c r="C4" s="149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I4" s="140">
        <v>4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5">
      <c r="A5" s="93" t="s">
        <v>7</v>
      </c>
      <c r="B5" s="148">
        <f>IF(B$2=0,0,B$4/B$2)</f>
        <v>17.8</v>
      </c>
      <c r="C5" s="149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I5" s="140">
        <v>9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5">
      <c r="A6" s="93" t="s">
        <v>1</v>
      </c>
      <c r="B6" s="154">
        <f>IF(B$2=0,0,(B$7*1+B$8*2+B$9*3)/B$2)</f>
        <v>1.6</v>
      </c>
      <c r="C6" s="155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I6" s="140">
        <v>6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5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I7" s="140">
        <v>1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5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  <c r="I8" s="140">
        <v>11</v>
      </c>
    </row>
    <row r="9" spans="1:17" x14ac:dyDescent="0.45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  <c r="I9" s="140">
        <v>3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  <c r="I10" s="140">
        <v>1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  <c r="I11" s="140">
        <v>4</v>
      </c>
    </row>
    <row r="12" spans="1:17" x14ac:dyDescent="0.45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  <c r="I12" s="140">
        <v>8</v>
      </c>
    </row>
    <row r="13" spans="1:17" x14ac:dyDescent="0.45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  <c r="I13" s="140">
        <v>5</v>
      </c>
    </row>
    <row r="14" spans="1:17" x14ac:dyDescent="0.45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  <c r="I14" s="140">
        <v>1</v>
      </c>
    </row>
    <row r="15" spans="1:17" x14ac:dyDescent="0.45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  <c r="I15" s="140">
        <v>4</v>
      </c>
    </row>
    <row r="16" spans="1:17" x14ac:dyDescent="0.45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  <c r="I16" s="140">
        <v>4</v>
      </c>
    </row>
    <row r="17" spans="1:9" x14ac:dyDescent="0.45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  <c r="I17" s="140">
        <v>6</v>
      </c>
    </row>
    <row r="18" spans="1:9" x14ac:dyDescent="0.45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  <c r="I18" s="140">
        <v>1</v>
      </c>
    </row>
    <row r="19" spans="1:9" x14ac:dyDescent="0.45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  <c r="I19" s="140">
        <v>6</v>
      </c>
    </row>
    <row r="20" spans="1:9" x14ac:dyDescent="0.45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  <c r="I20" s="140">
        <v>10</v>
      </c>
    </row>
    <row r="21" spans="1:9" x14ac:dyDescent="0.45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40">
        <v>8</v>
      </c>
    </row>
    <row r="22" spans="1:9" x14ac:dyDescent="0.45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40">
        <v>1</v>
      </c>
    </row>
    <row r="23" spans="1:9" x14ac:dyDescent="0.45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40">
        <v>3</v>
      </c>
    </row>
    <row r="24" spans="1:9" x14ac:dyDescent="0.45">
      <c r="A24" s="92" t="s">
        <v>126</v>
      </c>
      <c r="B24" s="144">
        <v>46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40">
        <v>9</v>
      </c>
    </row>
    <row r="25" spans="1:9" x14ac:dyDescent="0.45">
      <c r="A25" s="95" t="s">
        <v>127</v>
      </c>
      <c r="B25" s="156">
        <v>18</v>
      </c>
      <c r="C25" s="15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40">
        <v>1</v>
      </c>
    </row>
    <row r="26" spans="1:9" x14ac:dyDescent="0.45">
      <c r="A26" s="133" t="s">
        <v>164</v>
      </c>
      <c r="B26" s="152">
        <v>5</v>
      </c>
      <c r="C26" s="153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40">
        <v>9</v>
      </c>
    </row>
    <row r="27" spans="1:9" x14ac:dyDescent="0.45">
      <c r="A27" s="96" t="s">
        <v>205</v>
      </c>
      <c r="B27" s="150">
        <v>78000</v>
      </c>
      <c r="C27" s="151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40">
        <v>5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40">
        <v>5</v>
      </c>
    </row>
    <row r="29" spans="1:9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</row>
    <row r="30" spans="1:9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</row>
    <row r="31" spans="1:9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B3320-575A-405F-A086-B5586AC50562}">
  <sheetPr codeName="Sheet2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163</v>
      </c>
      <c r="C1" s="143"/>
      <c r="E1" s="100" t="s">
        <v>162</v>
      </c>
      <c r="F1" s="138" t="s">
        <v>120</v>
      </c>
      <c r="G1" s="137" t="s">
        <v>121</v>
      </c>
      <c r="H1" s="138" t="s">
        <v>122</v>
      </c>
      <c r="I1" s="138" t="s">
        <v>233</v>
      </c>
      <c r="K1" s="57" t="s">
        <v>20</v>
      </c>
      <c r="L1" s="58" t="s">
        <v>125</v>
      </c>
      <c r="N1" s="57" t="s">
        <v>156</v>
      </c>
      <c r="O1" s="138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I2" s="139">
        <v>1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-4400</v>
      </c>
      <c r="P2" s="77">
        <v>-83600</v>
      </c>
      <c r="Q2" s="75">
        <v>19</v>
      </c>
    </row>
    <row r="3" spans="1:17" x14ac:dyDescent="0.45">
      <c r="A3" s="93" t="s">
        <v>8</v>
      </c>
      <c r="B3" s="146">
        <v>151</v>
      </c>
      <c r="C3" s="147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I3" s="140">
        <v>4</v>
      </c>
      <c r="K3" s="62">
        <v>1</v>
      </c>
      <c r="L3" s="64">
        <v>15</v>
      </c>
      <c r="N3" s="62" t="s">
        <v>151</v>
      </c>
      <c r="O3" s="81">
        <f t="shared" si="0"/>
        <v>3484.2105263157896</v>
      </c>
      <c r="P3" s="78">
        <v>66200</v>
      </c>
      <c r="Q3" s="73">
        <v>19</v>
      </c>
    </row>
    <row r="4" spans="1:17" x14ac:dyDescent="0.45">
      <c r="A4" s="93" t="s">
        <v>6</v>
      </c>
      <c r="B4" s="148">
        <v>-60</v>
      </c>
      <c r="C4" s="149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I4" s="140">
        <v>1</v>
      </c>
      <c r="K4" s="62">
        <v>2</v>
      </c>
      <c r="L4" s="64">
        <v>-24.299999999999997</v>
      </c>
      <c r="N4" s="62" t="s">
        <v>152</v>
      </c>
      <c r="O4" s="81">
        <f t="shared" si="0"/>
        <v>125</v>
      </c>
      <c r="P4" s="78">
        <v>2000</v>
      </c>
      <c r="Q4" s="73">
        <v>16</v>
      </c>
    </row>
    <row r="5" spans="1:17" x14ac:dyDescent="0.45">
      <c r="A5" s="93" t="s">
        <v>7</v>
      </c>
      <c r="B5" s="148">
        <f>IF(B$2=0,0,B$4/B$2)</f>
        <v>-3.1578947368421053</v>
      </c>
      <c r="C5" s="149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I5" s="140">
        <v>12</v>
      </c>
      <c r="K5" s="62">
        <v>3</v>
      </c>
      <c r="L5" s="64">
        <v>-15.599999999999998</v>
      </c>
      <c r="N5" s="62" t="s">
        <v>153</v>
      </c>
      <c r="O5" s="81">
        <f t="shared" si="0"/>
        <v>300</v>
      </c>
      <c r="P5" s="78">
        <v>4500</v>
      </c>
      <c r="Q5" s="73">
        <v>15</v>
      </c>
    </row>
    <row r="6" spans="1:17" x14ac:dyDescent="0.45">
      <c r="A6" s="93" t="s">
        <v>1</v>
      </c>
      <c r="B6" s="154">
        <f>IF(B$2=0,0,(B$7*1+B$8*2+B$9*3)/B$2)</f>
        <v>2.1578947368421053</v>
      </c>
      <c r="C6" s="155"/>
      <c r="E6" s="102" t="s">
        <v>94</v>
      </c>
      <c r="F6" s="98" t="s">
        <v>47</v>
      </c>
      <c r="G6" s="85">
        <v>8</v>
      </c>
      <c r="H6" s="63">
        <f>IF(B$25=0,0,G6/B$25)</f>
        <v>0.2</v>
      </c>
      <c r="I6" s="140">
        <v>1</v>
      </c>
      <c r="K6" s="62">
        <v>4</v>
      </c>
      <c r="L6" s="64">
        <v>5.1000000000000014</v>
      </c>
      <c r="N6" s="62" t="s">
        <v>154</v>
      </c>
      <c r="O6" s="81">
        <f t="shared" si="0"/>
        <v>-1935.7142857142858</v>
      </c>
      <c r="P6" s="78">
        <v>-27100</v>
      </c>
      <c r="Q6" s="73">
        <v>14</v>
      </c>
    </row>
    <row r="7" spans="1:17" x14ac:dyDescent="0.45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I7" s="140">
        <v>10</v>
      </c>
      <c r="K7" s="62">
        <v>5</v>
      </c>
      <c r="L7" s="64">
        <v>9.6000000000000014</v>
      </c>
      <c r="N7" s="67" t="s">
        <v>155</v>
      </c>
      <c r="O7" s="82">
        <f t="shared" si="0"/>
        <v>-2000</v>
      </c>
      <c r="P7" s="79">
        <v>-22000</v>
      </c>
      <c r="Q7" s="74">
        <v>11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I8" s="140">
        <v>1</v>
      </c>
      <c r="K8" s="62">
        <v>6</v>
      </c>
      <c r="L8" s="64">
        <v>2.2000000000000011</v>
      </c>
    </row>
    <row r="9" spans="1:17" x14ac:dyDescent="0.45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I9" s="140">
        <v>6</v>
      </c>
      <c r="K9" s="62">
        <v>7</v>
      </c>
      <c r="L9" s="64">
        <v>27.200000000000003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I10" s="140">
        <v>11</v>
      </c>
      <c r="K10" s="62">
        <v>8</v>
      </c>
      <c r="L10" s="64">
        <v>-4.4999999999999964</v>
      </c>
    </row>
    <row r="11" spans="1:17" x14ac:dyDescent="0.45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I11" s="140">
        <v>3</v>
      </c>
      <c r="K11" s="62">
        <v>9</v>
      </c>
      <c r="L11" s="64">
        <v>-9.3999999999999968</v>
      </c>
    </row>
    <row r="12" spans="1:17" x14ac:dyDescent="0.45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I12" s="140">
        <v>3</v>
      </c>
      <c r="K12" s="62">
        <v>10</v>
      </c>
      <c r="L12" s="64">
        <v>-24.299999999999997</v>
      </c>
    </row>
    <row r="13" spans="1:17" x14ac:dyDescent="0.45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I13" s="140">
        <v>12</v>
      </c>
      <c r="K13" s="62">
        <v>11</v>
      </c>
      <c r="L13" s="64">
        <v>-70</v>
      </c>
    </row>
    <row r="14" spans="1:17" x14ac:dyDescent="0.45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I14" s="140">
        <v>6</v>
      </c>
      <c r="K14" s="62">
        <v>12</v>
      </c>
      <c r="L14" s="64">
        <v>-43.8</v>
      </c>
    </row>
    <row r="15" spans="1:17" x14ac:dyDescent="0.45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I15" s="140">
        <v>2</v>
      </c>
      <c r="K15" s="62">
        <v>13</v>
      </c>
      <c r="L15" s="64">
        <v>-11.099999999999994</v>
      </c>
    </row>
    <row r="16" spans="1:17" x14ac:dyDescent="0.45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I16" s="140">
        <v>1</v>
      </c>
      <c r="K16" s="62">
        <v>14</v>
      </c>
      <c r="L16" s="64">
        <v>-5.7999999999999945</v>
      </c>
    </row>
    <row r="17" spans="1:12" x14ac:dyDescent="0.45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I17" s="140">
        <v>1</v>
      </c>
      <c r="K17" s="62">
        <v>15</v>
      </c>
      <c r="L17" s="64">
        <v>-44.199999999999996</v>
      </c>
    </row>
    <row r="18" spans="1:12" x14ac:dyDescent="0.45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I18" s="140">
        <v>6</v>
      </c>
      <c r="K18" s="62">
        <v>16</v>
      </c>
      <c r="L18" s="64">
        <v>-25.599999999999994</v>
      </c>
    </row>
    <row r="19" spans="1:12" x14ac:dyDescent="0.45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I19" s="140">
        <v>1</v>
      </c>
      <c r="K19" s="62">
        <v>17</v>
      </c>
      <c r="L19" s="64">
        <v>-39.799999999999997</v>
      </c>
    </row>
    <row r="20" spans="1:12" x14ac:dyDescent="0.45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I20" s="140">
        <v>3</v>
      </c>
      <c r="K20" s="62">
        <v>18</v>
      </c>
      <c r="L20" s="64">
        <v>-60.4</v>
      </c>
    </row>
    <row r="21" spans="1:12" x14ac:dyDescent="0.45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I21" s="140">
        <v>4</v>
      </c>
      <c r="K21" s="62">
        <v>19</v>
      </c>
      <c r="L21" s="64">
        <v>-60</v>
      </c>
    </row>
    <row r="22" spans="1:12" x14ac:dyDescent="0.45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  <c r="I22" s="140">
        <v>4</v>
      </c>
    </row>
    <row r="23" spans="1:12" x14ac:dyDescent="0.45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  <c r="I23" s="140">
        <v>6</v>
      </c>
    </row>
    <row r="24" spans="1:12" x14ac:dyDescent="0.45">
      <c r="A24" s="92" t="s">
        <v>126</v>
      </c>
      <c r="B24" s="144">
        <v>151</v>
      </c>
      <c r="C24" s="145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40">
        <v>1</v>
      </c>
    </row>
    <row r="25" spans="1:12" x14ac:dyDescent="0.45">
      <c r="A25" s="95" t="s">
        <v>127</v>
      </c>
      <c r="B25" s="156">
        <v>40</v>
      </c>
      <c r="C25" s="15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40">
        <v>1</v>
      </c>
    </row>
    <row r="26" spans="1:12" x14ac:dyDescent="0.45">
      <c r="A26" s="133" t="s">
        <v>164</v>
      </c>
      <c r="B26" s="152">
        <v>5</v>
      </c>
      <c r="C26" s="153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40">
        <v>3</v>
      </c>
    </row>
    <row r="27" spans="1:12" x14ac:dyDescent="0.45">
      <c r="A27" s="96" t="s">
        <v>205</v>
      </c>
      <c r="B27" s="150">
        <v>67700</v>
      </c>
      <c r="C27" s="151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40">
        <v>1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  <c r="I28" s="140">
        <v>5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40">
        <v>4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40">
        <v>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40">
        <v>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40">
        <v>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40">
        <v>4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40">
        <v>1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40">
        <v>3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40">
        <v>1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40">
        <v>1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40">
        <v>1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40">
        <v>1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40">
        <v>1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40">
        <v>1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40">
        <v>1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40">
        <v>1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40">
        <v>1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40">
        <v>1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40">
        <v>3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40">
        <v>1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40">
        <v>1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40">
        <v>1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40">
        <v>1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41">
        <v>1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474A3-2F6B-4559-B913-B6D07EEAB7A6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5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5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5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5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5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5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5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5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5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5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5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5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5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5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5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5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5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5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2EF3-235A-4413-B66E-8188762FEFDA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5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5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5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5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3CBAA-A9FD-4BA1-A6F1-A7304DD9A74E}">
  <sheetPr codeName="Sheet26"/>
  <dimension ref="A1:Q6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5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5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5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5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5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5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5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5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5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5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5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5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5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5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5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5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5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5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5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5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5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5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5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5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5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5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5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5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5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5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5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5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5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5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5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5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5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5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5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5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5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5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5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5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5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5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5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5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5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5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5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5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5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5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5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5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5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5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5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5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5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5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5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5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6F37-FC50-4ECE-A709-D3BC2818B2CE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5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5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5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5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5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5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5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5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5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5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5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5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5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5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5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5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5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5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7E18B-E4C2-4BC6-ADCF-259EE2749ADD}">
  <sheetPr codeName="Sheet22"/>
  <dimension ref="A1:Q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5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5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5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5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5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5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5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5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5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5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5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5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5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5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5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5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5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5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5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5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5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5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5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5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5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5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5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5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5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5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5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5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5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5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5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5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5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5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5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5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5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5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5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5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5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5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5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5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5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5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5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5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5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5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5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5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5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5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5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5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5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5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5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5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5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5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5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798-E671-428F-AD2D-41C28B376FC1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5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5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5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5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5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5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5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5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5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5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5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5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5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5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5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5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5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5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5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5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5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5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5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5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5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5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5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5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5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5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5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5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5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5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5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5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5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5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5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5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5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5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5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5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5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5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5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5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5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5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5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004E-D156-4BA7-95DC-79AAFB0DB6AC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5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5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5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6619C-A1A9-4C3D-AAC1-DCF82CFE47E7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5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5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5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5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5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5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5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5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5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5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5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5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5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5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5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5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5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5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5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5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5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5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5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5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5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5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5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5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5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5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5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5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5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5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5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5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5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5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5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5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5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5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5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5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5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5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5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5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5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5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5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5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36542-FDF6-4A1D-A8D3-397140500A4E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5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5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5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5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5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5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5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5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5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5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5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5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5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5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5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5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5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5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5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5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5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5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5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5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5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5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5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5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5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5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5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5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5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5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5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5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5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5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5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5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5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5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5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5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5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5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5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5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5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5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5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5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5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5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5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5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5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5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5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5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5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5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5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5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5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5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5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5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5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5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5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5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5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5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5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5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5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5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5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5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5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5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5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5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5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5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5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5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5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5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5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5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5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5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5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5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5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5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5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5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5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5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5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5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5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5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5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5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E3DD-942D-4B72-BA11-718D90EB6F08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5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BEBE-E092-419B-BBFB-C75915381CAB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5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5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63B8-76FC-4ABF-8014-A72A266B38C5}">
  <sheetPr codeName="Sheet8"/>
  <dimension ref="A1:Q1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5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5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5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5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5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5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5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5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5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5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5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5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5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5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5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5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5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5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5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5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5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5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5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5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5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5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5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5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5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5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5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5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5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5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5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5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5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5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5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5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5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5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5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5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5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5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5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5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5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5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5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5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5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5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5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5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5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5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5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5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5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5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5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5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5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5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5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5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5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5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5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5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5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5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5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5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5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5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5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5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5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5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5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5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5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5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5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5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5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5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5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5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5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5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5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5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5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5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5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5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5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5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5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5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5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5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5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5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5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5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5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5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5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5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5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5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5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5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5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5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5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5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5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5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5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5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5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5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5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5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5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5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5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5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5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5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5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5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5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5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5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5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5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5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5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5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5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5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5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5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5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5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5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5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5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5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5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5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5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5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5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5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5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5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5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5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5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5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A8087-6A6F-4710-B1BA-1A6182A4DE78}">
  <sheetPr codeName="Sheet6"/>
  <dimension ref="A1:Q194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  <c r="C3" s="105">
        <v>0</v>
      </c>
    </row>
    <row r="4" spans="1:17" x14ac:dyDescent="0.45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5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5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5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5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5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5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5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5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5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5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5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5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5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5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5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5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5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5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5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5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5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5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5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5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5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5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5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5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5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5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5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5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5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5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5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5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5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5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5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5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5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5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5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5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5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5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5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5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5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5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5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5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5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5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5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5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5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5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5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5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5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5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5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5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5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5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5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5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5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5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5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5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5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5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5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5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5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5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5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5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5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5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5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5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5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5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5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5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5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5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5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5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5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5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5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5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5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5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5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5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5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5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5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5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5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5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5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5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5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5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5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5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5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5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5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5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5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5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5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5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5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5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5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5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5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5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5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5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5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5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5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5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5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5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5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5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5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5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5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5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5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5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5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5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5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5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5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5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5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5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5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5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5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5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5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5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5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5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5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5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5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5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5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5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5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5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5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5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5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5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5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5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5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5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5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5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5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5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5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5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5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5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5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5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5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5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5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5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5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5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2019-01-28T14:14:15Z</dcterms:modified>
</cp:coreProperties>
</file>