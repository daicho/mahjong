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B3574D0-3F86-4266-B54A-8C5010ABA96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212" r:id="rId6"/>
    <sheet name="だいち" sheetId="4214" r:id="rId7"/>
    <sheet name="かこたろう" sheetId="4216" r:id="rId8"/>
    <sheet name="ともき" sheetId="4218" r:id="rId9"/>
    <sheet name="りくと" sheetId="4220" r:id="rId10"/>
    <sheet name="いっしー" sheetId="4222" r:id="rId11"/>
    <sheet name="がくと" sheetId="4224" r:id="rId12"/>
    <sheet name="たかの" sheetId="4226" r:id="rId13"/>
    <sheet name="ただ" sheetId="4228" r:id="rId14"/>
    <sheet name="やがさき" sheetId="4230" r:id="rId15"/>
    <sheet name="れんたろう" sheetId="4232" r:id="rId16"/>
    <sheet name="あさひ" sheetId="4234" r:id="rId17"/>
    <sheet name="まっつん" sheetId="4236" r:id="rId18"/>
    <sheet name="ぱぱ" sheetId="4238" r:id="rId19"/>
    <sheet name="ぱぱ2" sheetId="4239" state="hidden" r:id="rId20"/>
    <sheet name="まっつん2" sheetId="4237" state="hidden" r:id="rId21"/>
    <sheet name="あさひ2" sheetId="4235" state="hidden" r:id="rId22"/>
    <sheet name="れんたろう2" sheetId="4233" state="hidden" r:id="rId23"/>
    <sheet name="やがさき2" sheetId="4231" state="hidden" r:id="rId24"/>
    <sheet name="ただ2" sheetId="4229" state="hidden" r:id="rId25"/>
    <sheet name="たかの2" sheetId="4227" state="hidden" r:id="rId26"/>
    <sheet name="がくと2" sheetId="4225" state="hidden" r:id="rId27"/>
    <sheet name="いっしー2" sheetId="4223" state="hidden" r:id="rId28"/>
    <sheet name="りくと2" sheetId="4221" state="hidden" r:id="rId29"/>
    <sheet name="ともき2" sheetId="4219" state="hidden" r:id="rId30"/>
    <sheet name="かこたろう2" sheetId="4217" state="hidden" r:id="rId31"/>
    <sheet name="だいち2" sheetId="4215" state="hidden" r:id="rId32"/>
    <sheet name="全体2" sheetId="421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232" l="1"/>
  <c r="O18" i="4238"/>
  <c r="O15" i="4220" l="1"/>
  <c r="O20" i="4238"/>
  <c r="O18" i="4230" l="1"/>
  <c r="O19" i="4238"/>
  <c r="O16" i="4238"/>
  <c r="O17" i="4214"/>
  <c r="O22" i="4222"/>
  <c r="O17" i="4222"/>
  <c r="O15" i="4238"/>
  <c r="O17" i="4238"/>
  <c r="H51" i="4238"/>
  <c r="H50" i="4238"/>
  <c r="H49" i="4238"/>
  <c r="H48" i="4238"/>
  <c r="H47" i="4238"/>
  <c r="H46" i="4238"/>
  <c r="H45" i="4238"/>
  <c r="H44" i="4238"/>
  <c r="H43" i="4238"/>
  <c r="H42" i="4238"/>
  <c r="H41" i="4238"/>
  <c r="H40" i="4238"/>
  <c r="H39" i="4238"/>
  <c r="H38" i="4238"/>
  <c r="H37" i="4238"/>
  <c r="H36" i="4238"/>
  <c r="H35" i="4238"/>
  <c r="H34" i="4238"/>
  <c r="H33" i="4238"/>
  <c r="H32" i="4238"/>
  <c r="H31" i="4238"/>
  <c r="H30" i="4238"/>
  <c r="H9" i="4238"/>
  <c r="H29" i="4238"/>
  <c r="H28" i="4238"/>
  <c r="H13" i="4238"/>
  <c r="H27" i="4238"/>
  <c r="C25" i="4238"/>
  <c r="H26" i="4238"/>
  <c r="H10" i="4238"/>
  <c r="H25" i="4238"/>
  <c r="B22" i="4238"/>
  <c r="H12" i="4238"/>
  <c r="H24" i="4238"/>
  <c r="C20" i="4238"/>
  <c r="H23" i="4238"/>
  <c r="H11" i="4238"/>
  <c r="H22" i="4238"/>
  <c r="B17" i="4238"/>
  <c r="C18" i="4238" s="1"/>
  <c r="H21" i="4238"/>
  <c r="C16" i="4238"/>
  <c r="H20" i="4238"/>
  <c r="C15" i="4238"/>
  <c r="H19" i="4238"/>
  <c r="C14" i="4238"/>
  <c r="H18" i="4238"/>
  <c r="C13" i="4238"/>
  <c r="O12" i="4238"/>
  <c r="H17" i="4238"/>
  <c r="C12" i="4238"/>
  <c r="O11" i="4238"/>
  <c r="H3" i="4238"/>
  <c r="C11" i="4238"/>
  <c r="O10" i="4238"/>
  <c r="H16" i="4238"/>
  <c r="C10" i="4238"/>
  <c r="H8" i="4238"/>
  <c r="C9" i="4238"/>
  <c r="H15" i="4238"/>
  <c r="C8" i="4238"/>
  <c r="O7" i="4238"/>
  <c r="H7" i="4238"/>
  <c r="C7" i="4238"/>
  <c r="O6" i="4238"/>
  <c r="H2" i="4238"/>
  <c r="B6" i="4238"/>
  <c r="O5" i="4238"/>
  <c r="H6" i="4238"/>
  <c r="B5" i="4238"/>
  <c r="O4" i="4238"/>
  <c r="H4" i="4238"/>
  <c r="O3" i="4238"/>
  <c r="H14" i="4238"/>
  <c r="O2" i="4238"/>
  <c r="H5" i="4238"/>
  <c r="O21" i="4236"/>
  <c r="O19" i="4236"/>
  <c r="O17" i="4212"/>
  <c r="C17" i="4238" l="1"/>
  <c r="C19" i="4238"/>
  <c r="B21" i="4238"/>
  <c r="O15" i="4222" l="1"/>
  <c r="O21" i="4230"/>
  <c r="O20" i="4230"/>
  <c r="O17" i="4232"/>
  <c r="O19" i="4220" l="1"/>
  <c r="O16" i="4230"/>
  <c r="O18" i="4228"/>
  <c r="O17" i="4230"/>
  <c r="O21" i="4220" l="1"/>
  <c r="O16" i="4236"/>
  <c r="O22" i="4236" l="1"/>
  <c r="O18" i="4214"/>
  <c r="O21" i="4228" l="1"/>
  <c r="O17" i="4234"/>
  <c r="O15" i="4224"/>
  <c r="O16" i="4224"/>
  <c r="O18" i="4232"/>
  <c r="O25" i="4232"/>
  <c r="O15" i="4236"/>
  <c r="O17" i="4236"/>
  <c r="O21" i="4222"/>
  <c r="O18" i="4226"/>
  <c r="O20" i="4236" l="1"/>
  <c r="O18" i="4236"/>
  <c r="H51" i="4236"/>
  <c r="H50" i="4236"/>
  <c r="H49" i="4236"/>
  <c r="H48" i="4236"/>
  <c r="H47" i="4236"/>
  <c r="H46" i="4236"/>
  <c r="H45" i="4236"/>
  <c r="H44" i="4236"/>
  <c r="H43" i="4236"/>
  <c r="H42" i="4236"/>
  <c r="H41" i="4236"/>
  <c r="H40" i="4236"/>
  <c r="H39" i="4236"/>
  <c r="H38" i="4236"/>
  <c r="H37" i="4236"/>
  <c r="H36" i="4236"/>
  <c r="H35" i="4236"/>
  <c r="H34" i="4236"/>
  <c r="H33" i="4236"/>
  <c r="H21" i="4236"/>
  <c r="H20" i="4236"/>
  <c r="H32" i="4236"/>
  <c r="H8" i="4236"/>
  <c r="H31" i="4236"/>
  <c r="H30" i="4236"/>
  <c r="H12" i="4236"/>
  <c r="H19" i="4236"/>
  <c r="C25" i="4236"/>
  <c r="H29" i="4236"/>
  <c r="H7" i="4236"/>
  <c r="H28" i="4236"/>
  <c r="B22" i="4236"/>
  <c r="H17" i="4236"/>
  <c r="H27" i="4236"/>
  <c r="C20" i="4236"/>
  <c r="H26" i="4236"/>
  <c r="H16" i="4236"/>
  <c r="H13" i="4236"/>
  <c r="B17" i="4236"/>
  <c r="B21" i="4236" s="1"/>
  <c r="H18" i="4236"/>
  <c r="C16" i="4236"/>
  <c r="H25" i="4236"/>
  <c r="C15" i="4236"/>
  <c r="H24" i="4236"/>
  <c r="C14" i="4236"/>
  <c r="H23" i="4236"/>
  <c r="C13" i="4236"/>
  <c r="O12" i="4236"/>
  <c r="H22" i="4236"/>
  <c r="C12" i="4236"/>
  <c r="O11" i="4236"/>
  <c r="H3" i="4236"/>
  <c r="C11" i="4236"/>
  <c r="O10" i="4236"/>
  <c r="H15" i="4236"/>
  <c r="C10" i="4236"/>
  <c r="H10" i="4236"/>
  <c r="C9" i="4236"/>
  <c r="H14" i="4236"/>
  <c r="C8" i="4236"/>
  <c r="O7" i="4236"/>
  <c r="H6" i="4236"/>
  <c r="C7" i="4236"/>
  <c r="O6" i="4236"/>
  <c r="H2" i="4236"/>
  <c r="B6" i="4236"/>
  <c r="O5" i="4236"/>
  <c r="H9" i="4236"/>
  <c r="B5" i="4236"/>
  <c r="O4" i="4236"/>
  <c r="H4" i="4236"/>
  <c r="O3" i="4236"/>
  <c r="H11" i="4236"/>
  <c r="O2" i="4236"/>
  <c r="H5" i="4236"/>
  <c r="O15" i="4226"/>
  <c r="O16" i="4228"/>
  <c r="O18" i="4212"/>
  <c r="O24" i="4222"/>
  <c r="O18" i="4224"/>
  <c r="O18" i="4234"/>
  <c r="O15" i="4234"/>
  <c r="C17" i="4236" l="1"/>
  <c r="C19" i="4236"/>
  <c r="C18" i="4236"/>
  <c r="O21" i="4232" l="1"/>
  <c r="O17" i="4220"/>
  <c r="O16" i="4218"/>
  <c r="O18" i="4218"/>
  <c r="O16" i="4232"/>
  <c r="O24" i="4220"/>
  <c r="O27" i="4212"/>
  <c r="O19" i="4234"/>
  <c r="O16" i="4234"/>
  <c r="H51" i="4234"/>
  <c r="H50" i="4234"/>
  <c r="H49" i="4234"/>
  <c r="H48" i="4234"/>
  <c r="H47" i="4234"/>
  <c r="H46" i="4234"/>
  <c r="H45" i="4234"/>
  <c r="H44" i="4234"/>
  <c r="H43" i="4234"/>
  <c r="H42" i="4234"/>
  <c r="H41" i="4234"/>
  <c r="H40" i="4234"/>
  <c r="H39" i="4234"/>
  <c r="H38" i="4234"/>
  <c r="H37" i="4234"/>
  <c r="H36" i="4234"/>
  <c r="H35" i="4234"/>
  <c r="H34" i="4234"/>
  <c r="H33" i="4234"/>
  <c r="H32" i="4234"/>
  <c r="H14" i="4234"/>
  <c r="H31" i="4234"/>
  <c r="H12" i="4234"/>
  <c r="H30" i="4234"/>
  <c r="H29" i="4234"/>
  <c r="H11" i="4234"/>
  <c r="H28" i="4234"/>
  <c r="C25" i="4234"/>
  <c r="H27" i="4234"/>
  <c r="H26" i="4234"/>
  <c r="H25" i="4234"/>
  <c r="B22" i="4234"/>
  <c r="H24" i="4234"/>
  <c r="H23" i="4234"/>
  <c r="C20" i="4234"/>
  <c r="H22" i="4234"/>
  <c r="H21" i="4234"/>
  <c r="H20" i="4234"/>
  <c r="B17" i="4234"/>
  <c r="B21" i="4234" s="1"/>
  <c r="H19" i="4234"/>
  <c r="C16" i="4234"/>
  <c r="H18" i="4234"/>
  <c r="C15" i="4234"/>
  <c r="H17" i="4234"/>
  <c r="C14" i="4234"/>
  <c r="H16" i="4234"/>
  <c r="C13" i="4234"/>
  <c r="O12" i="4234"/>
  <c r="H15" i="4234"/>
  <c r="C12" i="4234"/>
  <c r="O11" i="4234"/>
  <c r="H5" i="4234"/>
  <c r="C11" i="4234"/>
  <c r="O10" i="4234"/>
  <c r="H13" i="4234"/>
  <c r="C10" i="4234"/>
  <c r="H8" i="4234"/>
  <c r="C9" i="4234"/>
  <c r="H10" i="4234"/>
  <c r="C8" i="4234"/>
  <c r="O7" i="4234"/>
  <c r="H7" i="4234"/>
  <c r="C7" i="4234"/>
  <c r="O6" i="4234"/>
  <c r="H4" i="4234"/>
  <c r="B6" i="4234"/>
  <c r="O5" i="4234"/>
  <c r="H6" i="4234"/>
  <c r="B5" i="4234"/>
  <c r="O4" i="4234"/>
  <c r="H3" i="4234"/>
  <c r="O3" i="4234"/>
  <c r="H9" i="4234"/>
  <c r="O2" i="4234"/>
  <c r="H2" i="4234"/>
  <c r="C17" i="4234" l="1"/>
  <c r="C18" i="4234"/>
  <c r="C19" i="4234"/>
  <c r="O16" i="4226" l="1"/>
  <c r="O22" i="4232"/>
  <c r="O16" i="4220"/>
  <c r="O21" i="4226"/>
  <c r="O22" i="4228" l="1"/>
  <c r="O20" i="4222"/>
  <c r="O17" i="4228" l="1"/>
  <c r="O24" i="4232"/>
  <c r="O25" i="4222" l="1"/>
  <c r="O19" i="4232"/>
  <c r="O18" i="4220" l="1"/>
  <c r="O23" i="4232"/>
  <c r="O20" i="4232"/>
  <c r="H51" i="4232"/>
  <c r="H50" i="4232"/>
  <c r="H49" i="4232"/>
  <c r="H48" i="4232"/>
  <c r="H47" i="4232"/>
  <c r="H46" i="4232"/>
  <c r="H45" i="4232"/>
  <c r="H44" i="4232"/>
  <c r="H43" i="4232"/>
  <c r="H42" i="4232"/>
  <c r="H41" i="4232"/>
  <c r="H40" i="4232"/>
  <c r="H39" i="4232"/>
  <c r="H38" i="4232"/>
  <c r="H37" i="4232"/>
  <c r="H36" i="4232"/>
  <c r="H35" i="4232"/>
  <c r="H34" i="4232"/>
  <c r="H21" i="4232"/>
  <c r="H27" i="4232"/>
  <c r="H17" i="4232"/>
  <c r="H26" i="4232"/>
  <c r="H9" i="4232"/>
  <c r="H33" i="4232"/>
  <c r="H32" i="4232"/>
  <c r="H12" i="4232"/>
  <c r="H25" i="4232"/>
  <c r="C25" i="4232"/>
  <c r="H24" i="4232"/>
  <c r="H14" i="4232"/>
  <c r="H31" i="4232"/>
  <c r="B22" i="4232"/>
  <c r="H16" i="4232"/>
  <c r="H30" i="4232"/>
  <c r="C20" i="4232"/>
  <c r="H29" i="4232"/>
  <c r="H20" i="4232"/>
  <c r="H13" i="4232"/>
  <c r="B17" i="4232"/>
  <c r="C18" i="4232" s="1"/>
  <c r="H23" i="4232"/>
  <c r="C16" i="4232"/>
  <c r="H28" i="4232"/>
  <c r="C15" i="4232"/>
  <c r="H19" i="4232"/>
  <c r="C14" i="4232"/>
  <c r="H22" i="4232"/>
  <c r="C13" i="4232"/>
  <c r="O12" i="4232"/>
  <c r="H18" i="4232"/>
  <c r="C12" i="4232"/>
  <c r="O11" i="4232"/>
  <c r="H5" i="4232"/>
  <c r="C11" i="4232"/>
  <c r="O10" i="4232"/>
  <c r="H15" i="4232"/>
  <c r="C10" i="4232"/>
  <c r="H10" i="4232"/>
  <c r="C9" i="4232"/>
  <c r="H8" i="4232"/>
  <c r="C8" i="4232"/>
  <c r="O7" i="4232"/>
  <c r="H7" i="4232"/>
  <c r="C7" i="4232"/>
  <c r="O6" i="4232"/>
  <c r="H2" i="4232"/>
  <c r="B6" i="4232"/>
  <c r="O5" i="4232"/>
  <c r="H6" i="4232"/>
  <c r="B5" i="4232"/>
  <c r="O4" i="4232"/>
  <c r="H3" i="4232"/>
  <c r="O3" i="4232"/>
  <c r="H11" i="4232"/>
  <c r="O2" i="4232"/>
  <c r="H4" i="4232"/>
  <c r="O20" i="4214"/>
  <c r="O20" i="4212"/>
  <c r="B21" i="4232" l="1"/>
  <c r="C19" i="4232"/>
  <c r="C17" i="4232"/>
  <c r="O23" i="4220" l="1"/>
  <c r="O15" i="4228"/>
  <c r="O15" i="4230" l="1"/>
  <c r="O19" i="4230"/>
  <c r="H51" i="4230"/>
  <c r="H50" i="4230"/>
  <c r="H49" i="4230"/>
  <c r="H48" i="4230"/>
  <c r="H47" i="4230"/>
  <c r="H46" i="4230"/>
  <c r="H45" i="4230"/>
  <c r="H44" i="4230"/>
  <c r="H43" i="4230"/>
  <c r="H42" i="4230"/>
  <c r="H41" i="4230"/>
  <c r="H40" i="4230"/>
  <c r="H39" i="4230"/>
  <c r="H38" i="4230"/>
  <c r="H37" i="4230"/>
  <c r="H36" i="4230"/>
  <c r="H35" i="4230"/>
  <c r="H34" i="4230"/>
  <c r="H33" i="4230"/>
  <c r="H19" i="4230"/>
  <c r="H18" i="4230"/>
  <c r="H32" i="4230"/>
  <c r="H9" i="4230"/>
  <c r="H31" i="4230"/>
  <c r="H30" i="4230"/>
  <c r="H17" i="4230"/>
  <c r="H29" i="4230"/>
  <c r="C25" i="4230"/>
  <c r="H28" i="4230"/>
  <c r="H16" i="4230"/>
  <c r="H27" i="4230"/>
  <c r="B22" i="4230"/>
  <c r="H26" i="4230"/>
  <c r="H25" i="4230"/>
  <c r="C20" i="4230"/>
  <c r="H24" i="4230"/>
  <c r="H15" i="4230"/>
  <c r="H13" i="4230"/>
  <c r="B17" i="4230"/>
  <c r="B21" i="4230" s="1"/>
  <c r="H23" i="4230"/>
  <c r="C16" i="4230"/>
  <c r="H22" i="4230"/>
  <c r="C15" i="4230"/>
  <c r="H21" i="4230"/>
  <c r="C14" i="4230"/>
  <c r="H20" i="4230"/>
  <c r="C13" i="4230"/>
  <c r="O12" i="4230"/>
  <c r="H14" i="4230"/>
  <c r="C12" i="4230"/>
  <c r="O11" i="4230"/>
  <c r="H6" i="4230"/>
  <c r="C11" i="4230"/>
  <c r="O10" i="4230"/>
  <c r="H12" i="4230"/>
  <c r="C10" i="4230"/>
  <c r="H11" i="4230"/>
  <c r="C9" i="4230"/>
  <c r="H10" i="4230"/>
  <c r="C8" i="4230"/>
  <c r="O7" i="4230"/>
  <c r="H7" i="4230"/>
  <c r="C7" i="4230"/>
  <c r="O6" i="4230"/>
  <c r="H2" i="4230"/>
  <c r="B6" i="4230"/>
  <c r="O5" i="4230"/>
  <c r="H4" i="4230"/>
  <c r="B5" i="4230"/>
  <c r="O4" i="4230"/>
  <c r="H5" i="4230"/>
  <c r="O3" i="4230"/>
  <c r="H8" i="4230"/>
  <c r="O2" i="4230"/>
  <c r="H3" i="4230"/>
  <c r="O20" i="4226"/>
  <c r="O21" i="4214"/>
  <c r="O23" i="4212"/>
  <c r="C17" i="4230" l="1"/>
  <c r="C19" i="4230"/>
  <c r="C18" i="4230"/>
  <c r="O16" i="4222" l="1"/>
  <c r="O15" i="4216"/>
  <c r="O19" i="4228" l="1"/>
  <c r="O20" i="4228"/>
  <c r="H51" i="4228"/>
  <c r="H50" i="4228"/>
  <c r="H49" i="4228"/>
  <c r="H48" i="4228"/>
  <c r="H47" i="4228"/>
  <c r="H46" i="4228"/>
  <c r="H45" i="4228"/>
  <c r="H44" i="4228"/>
  <c r="H43" i="4228"/>
  <c r="H42" i="4228"/>
  <c r="H41" i="4228"/>
  <c r="H40" i="4228"/>
  <c r="H39" i="4228"/>
  <c r="H38" i="4228"/>
  <c r="H37" i="4228"/>
  <c r="H36" i="4228"/>
  <c r="H35" i="4228"/>
  <c r="H34" i="4228"/>
  <c r="H21" i="4228"/>
  <c r="H33" i="4228"/>
  <c r="H18" i="4228"/>
  <c r="H32" i="4228"/>
  <c r="H9" i="4228"/>
  <c r="H31" i="4228"/>
  <c r="H30" i="4228"/>
  <c r="H14" i="4228"/>
  <c r="H29" i="4228"/>
  <c r="C25" i="4228"/>
  <c r="H24" i="4228"/>
  <c r="H16" i="4228"/>
  <c r="H28" i="4228"/>
  <c r="B22" i="4228"/>
  <c r="H15" i="4228"/>
  <c r="H27" i="4228"/>
  <c r="C20" i="4228"/>
  <c r="H26" i="4228"/>
  <c r="H20" i="4228"/>
  <c r="H13" i="4228"/>
  <c r="B17" i="4228"/>
  <c r="B21" i="4228" s="1"/>
  <c r="H19" i="4228"/>
  <c r="C16" i="4228"/>
  <c r="H25" i="4228"/>
  <c r="C15" i="4228"/>
  <c r="H23" i="4228"/>
  <c r="C14" i="4228"/>
  <c r="H22" i="4228"/>
  <c r="C13" i="4228"/>
  <c r="O12" i="4228"/>
  <c r="H17" i="4228"/>
  <c r="C12" i="4228"/>
  <c r="O11" i="4228"/>
  <c r="H4" i="4228"/>
  <c r="C11" i="4228"/>
  <c r="O10" i="4228"/>
  <c r="H12" i="4228"/>
  <c r="C10" i="4228"/>
  <c r="H11" i="4228"/>
  <c r="C9" i="4228"/>
  <c r="H8" i="4228"/>
  <c r="C8" i="4228"/>
  <c r="O7" i="4228"/>
  <c r="H7" i="4228"/>
  <c r="C7" i="4228"/>
  <c r="O6" i="4228"/>
  <c r="H2" i="4228"/>
  <c r="B6" i="4228"/>
  <c r="O5" i="4228"/>
  <c r="H6" i="4228"/>
  <c r="B5" i="4228"/>
  <c r="O4" i="4228"/>
  <c r="H3" i="4228"/>
  <c r="O3" i="4228"/>
  <c r="H10" i="4228"/>
  <c r="O2" i="4228"/>
  <c r="H5" i="4228"/>
  <c r="O19" i="4226"/>
  <c r="O17" i="4226"/>
  <c r="H51" i="4226"/>
  <c r="H50" i="4226"/>
  <c r="H49" i="4226"/>
  <c r="H48" i="4226"/>
  <c r="H47" i="4226"/>
  <c r="H46" i="4226"/>
  <c r="H45" i="4226"/>
  <c r="H44" i="4226"/>
  <c r="H43" i="4226"/>
  <c r="H42" i="4226"/>
  <c r="H41" i="4226"/>
  <c r="H40" i="4226"/>
  <c r="H39" i="4226"/>
  <c r="H38" i="4226"/>
  <c r="H37" i="4226"/>
  <c r="H36" i="4226"/>
  <c r="H35" i="4226"/>
  <c r="H34" i="4226"/>
  <c r="H33" i="4226"/>
  <c r="H32" i="4226"/>
  <c r="H31" i="4226"/>
  <c r="H30" i="4226"/>
  <c r="H11" i="4226"/>
  <c r="H29" i="4226"/>
  <c r="H28" i="4226"/>
  <c r="H14" i="4226"/>
  <c r="H27" i="4226"/>
  <c r="C25" i="4226"/>
  <c r="H26" i="4226"/>
  <c r="H16" i="4226"/>
  <c r="H25" i="4226"/>
  <c r="B22" i="4226"/>
  <c r="H19" i="4226"/>
  <c r="H24" i="4226"/>
  <c r="C20" i="4226"/>
  <c r="H23" i="4226"/>
  <c r="H15" i="4226"/>
  <c r="H13" i="4226"/>
  <c r="B17" i="4226"/>
  <c r="B21" i="4226" s="1"/>
  <c r="H18" i="4226"/>
  <c r="C16" i="4226"/>
  <c r="H22" i="4226"/>
  <c r="C15" i="4226"/>
  <c r="H17" i="4226"/>
  <c r="C14" i="4226"/>
  <c r="H21" i="4226"/>
  <c r="C13" i="4226"/>
  <c r="O12" i="4226"/>
  <c r="H20" i="4226"/>
  <c r="C12" i="4226"/>
  <c r="O11" i="4226"/>
  <c r="H4" i="4226"/>
  <c r="C11" i="4226"/>
  <c r="O10" i="4226"/>
  <c r="H12" i="4226"/>
  <c r="C10" i="4226"/>
  <c r="H10" i="4226"/>
  <c r="C9" i="4226"/>
  <c r="H9" i="4226"/>
  <c r="C8" i="4226"/>
  <c r="O7" i="4226"/>
  <c r="H6" i="4226"/>
  <c r="C7" i="4226"/>
  <c r="O6" i="4226"/>
  <c r="H2" i="4226"/>
  <c r="B6" i="4226"/>
  <c r="O5" i="4226"/>
  <c r="H8" i="4226"/>
  <c r="B5" i="4226"/>
  <c r="O4" i="4226"/>
  <c r="H3" i="4226"/>
  <c r="O3" i="4226"/>
  <c r="H7" i="4226"/>
  <c r="O2" i="4226"/>
  <c r="H5" i="4226"/>
  <c r="O24" i="4214"/>
  <c r="O19" i="4214"/>
  <c r="O24" i="4212"/>
  <c r="O19" i="4212"/>
  <c r="C18" i="4228" l="1"/>
  <c r="C17" i="4228"/>
  <c r="C19" i="4228"/>
  <c r="C18" i="4226"/>
  <c r="C19" i="4226"/>
  <c r="C17" i="4226"/>
  <c r="O18" i="4222" l="1"/>
  <c r="O19" i="4224"/>
  <c r="O17" i="4224"/>
  <c r="H51" i="4224"/>
  <c r="H50" i="4224"/>
  <c r="H49" i="4224"/>
  <c r="H48" i="4224"/>
  <c r="H47" i="4224"/>
  <c r="H46" i="4224"/>
  <c r="H45" i="4224"/>
  <c r="H44" i="4224"/>
  <c r="H43" i="4224"/>
  <c r="H42" i="4224"/>
  <c r="H41" i="4224"/>
  <c r="H40" i="4224"/>
  <c r="H39" i="4224"/>
  <c r="H38" i="4224"/>
  <c r="H37" i="4224"/>
  <c r="H36" i="4224"/>
  <c r="H35" i="4224"/>
  <c r="H34" i="4224"/>
  <c r="H33" i="4224"/>
  <c r="H32" i="4224"/>
  <c r="H31" i="4224"/>
  <c r="H30" i="4224"/>
  <c r="H29" i="4224"/>
  <c r="H28" i="4224"/>
  <c r="H27" i="4224"/>
  <c r="H11" i="4224"/>
  <c r="H26" i="4224"/>
  <c r="C25" i="4224"/>
  <c r="H25" i="4224"/>
  <c r="H24" i="4224"/>
  <c r="H23" i="4224"/>
  <c r="B22" i="4224"/>
  <c r="H22" i="4224"/>
  <c r="H21" i="4224"/>
  <c r="C20" i="4224"/>
  <c r="H20" i="4224"/>
  <c r="H8" i="4224"/>
  <c r="H19" i="4224"/>
  <c r="B17" i="4224"/>
  <c r="B21" i="4224" s="1"/>
  <c r="H18" i="4224"/>
  <c r="C16" i="4224"/>
  <c r="H17" i="4224"/>
  <c r="C15" i="4224"/>
  <c r="H16" i="4224"/>
  <c r="C14" i="4224"/>
  <c r="H15" i="4224"/>
  <c r="C13" i="4224"/>
  <c r="O12" i="4224"/>
  <c r="H14" i="4224"/>
  <c r="C12" i="4224"/>
  <c r="O11" i="4224"/>
  <c r="H5" i="4224"/>
  <c r="C11" i="4224"/>
  <c r="O10" i="4224"/>
  <c r="H13" i="4224"/>
  <c r="C10" i="4224"/>
  <c r="H12" i="4224"/>
  <c r="C9" i="4224"/>
  <c r="H10" i="4224"/>
  <c r="C8" i="4224"/>
  <c r="O7" i="4224"/>
  <c r="H6" i="4224"/>
  <c r="C7" i="4224"/>
  <c r="O6" i="4224"/>
  <c r="H3" i="4224"/>
  <c r="B6" i="4224"/>
  <c r="O5" i="4224"/>
  <c r="H7" i="4224"/>
  <c r="B5" i="4224"/>
  <c r="O4" i="4224"/>
  <c r="H9" i="4224"/>
  <c r="O3" i="4224"/>
  <c r="H4" i="4224"/>
  <c r="O2" i="4224"/>
  <c r="H2" i="4224"/>
  <c r="O15" i="4214"/>
  <c r="O16" i="4212"/>
  <c r="C18" i="4224" l="1"/>
  <c r="C17" i="4224"/>
  <c r="C19" i="4224"/>
  <c r="O19" i="4222" l="1"/>
  <c r="O23" i="4222"/>
  <c r="H51" i="4222"/>
  <c r="H50" i="4222"/>
  <c r="H49" i="4222"/>
  <c r="H48" i="4222"/>
  <c r="H47" i="4222"/>
  <c r="H46" i="4222"/>
  <c r="H45" i="4222"/>
  <c r="H44" i="4222"/>
  <c r="H43" i="4222"/>
  <c r="H42" i="4222"/>
  <c r="H41" i="4222"/>
  <c r="H40" i="4222"/>
  <c r="H39" i="4222"/>
  <c r="H38" i="4222"/>
  <c r="H37" i="4222"/>
  <c r="H36" i="4222"/>
  <c r="H35" i="4222"/>
  <c r="H34" i="4222"/>
  <c r="H18" i="4222"/>
  <c r="H33" i="4222"/>
  <c r="H17" i="4222"/>
  <c r="H32" i="4222"/>
  <c r="H10" i="4222"/>
  <c r="H31" i="4222"/>
  <c r="H30" i="4222"/>
  <c r="H14" i="4222"/>
  <c r="H29" i="4222"/>
  <c r="C25" i="4222"/>
  <c r="H28" i="4222"/>
  <c r="H8" i="4222"/>
  <c r="H27" i="4222"/>
  <c r="B22" i="4222"/>
  <c r="H13" i="4222"/>
  <c r="H26" i="4222"/>
  <c r="C20" i="4222"/>
  <c r="H25" i="4222"/>
  <c r="H24" i="4222"/>
  <c r="H16" i="4222"/>
  <c r="B17" i="4222"/>
  <c r="B21" i="4222" s="1"/>
  <c r="H23" i="4222"/>
  <c r="C16" i="4222"/>
  <c r="H22" i="4222"/>
  <c r="C15" i="4222"/>
  <c r="H21" i="4222"/>
  <c r="C14" i="4222"/>
  <c r="H20" i="4222"/>
  <c r="C13" i="4222"/>
  <c r="O12" i="4222"/>
  <c r="H19" i="4222"/>
  <c r="C12" i="4222"/>
  <c r="O11" i="4222"/>
  <c r="H4" i="4222"/>
  <c r="C11" i="4222"/>
  <c r="O10" i="4222"/>
  <c r="H15" i="4222"/>
  <c r="C10" i="4222"/>
  <c r="H12" i="4222"/>
  <c r="C9" i="4222"/>
  <c r="H9" i="4222"/>
  <c r="C8" i="4222"/>
  <c r="O7" i="4222"/>
  <c r="H6" i="4222"/>
  <c r="C7" i="4222"/>
  <c r="O6" i="4222"/>
  <c r="H2" i="4222"/>
  <c r="B6" i="4222"/>
  <c r="O5" i="4222"/>
  <c r="H7" i="4222"/>
  <c r="B5" i="4222"/>
  <c r="O4" i="4222"/>
  <c r="H3" i="4222"/>
  <c r="O3" i="4222"/>
  <c r="H11" i="4222"/>
  <c r="O2" i="4222"/>
  <c r="H5" i="4222"/>
  <c r="O20" i="4220"/>
  <c r="O22" i="4220"/>
  <c r="H51" i="4220"/>
  <c r="H50" i="4220"/>
  <c r="H49" i="4220"/>
  <c r="H48" i="4220"/>
  <c r="H47" i="4220"/>
  <c r="H46" i="4220"/>
  <c r="H45" i="4220"/>
  <c r="H44" i="4220"/>
  <c r="H43" i="4220"/>
  <c r="H42" i="4220"/>
  <c r="H41" i="4220"/>
  <c r="H40" i="4220"/>
  <c r="H39" i="4220"/>
  <c r="H38" i="4220"/>
  <c r="H37" i="4220"/>
  <c r="H36" i="4220"/>
  <c r="H35" i="4220"/>
  <c r="H34" i="4220"/>
  <c r="H33" i="4220"/>
  <c r="H21" i="4220"/>
  <c r="H15" i="4220"/>
  <c r="H32" i="4220"/>
  <c r="H8" i="4220"/>
  <c r="H26" i="4220"/>
  <c r="H25" i="4220"/>
  <c r="H12" i="4220"/>
  <c r="H20" i="4220"/>
  <c r="C25" i="4220"/>
  <c r="H19" i="4220"/>
  <c r="H13" i="4220"/>
  <c r="H31" i="4220"/>
  <c r="B22" i="4220"/>
  <c r="H14" i="4220"/>
  <c r="H24" i="4220"/>
  <c r="C20" i="4220"/>
  <c r="H30" i="4220"/>
  <c r="H18" i="4220"/>
  <c r="H17" i="4220"/>
  <c r="B17" i="4220"/>
  <c r="B21" i="4220" s="1"/>
  <c r="H29" i="4220"/>
  <c r="C16" i="4220"/>
  <c r="H28" i="4220"/>
  <c r="C15" i="4220"/>
  <c r="H27" i="4220"/>
  <c r="C14" i="4220"/>
  <c r="H23" i="4220"/>
  <c r="C13" i="4220"/>
  <c r="O12" i="4220"/>
  <c r="H22" i="4220"/>
  <c r="C12" i="4220"/>
  <c r="O11" i="4220"/>
  <c r="H5" i="4220"/>
  <c r="C11" i="4220"/>
  <c r="O10" i="4220"/>
  <c r="H16" i="4220"/>
  <c r="C10" i="4220"/>
  <c r="H11" i="4220"/>
  <c r="C9" i="4220"/>
  <c r="H9" i="4220"/>
  <c r="C8" i="4220"/>
  <c r="O7" i="4220"/>
  <c r="H6" i="4220"/>
  <c r="C7" i="4220"/>
  <c r="O6" i="4220"/>
  <c r="H2" i="4220"/>
  <c r="B6" i="4220"/>
  <c r="O5" i="4220"/>
  <c r="H7" i="4220"/>
  <c r="B5" i="4220"/>
  <c r="O4" i="4220"/>
  <c r="H3" i="4220"/>
  <c r="O3" i="4220"/>
  <c r="H10" i="4220"/>
  <c r="O2" i="4220"/>
  <c r="H4" i="4220"/>
  <c r="O25" i="4214"/>
  <c r="O22" i="4214"/>
  <c r="O25" i="4212"/>
  <c r="O22" i="4212"/>
  <c r="C19" i="4222" l="1"/>
  <c r="C17" i="4222"/>
  <c r="C18" i="4222"/>
  <c r="C18" i="4220"/>
  <c r="C17" i="4220"/>
  <c r="C19" i="4220"/>
  <c r="O15" i="4218" l="1"/>
  <c r="O17" i="4218"/>
  <c r="H51" i="4218"/>
  <c r="H50" i="4218"/>
  <c r="H49" i="4218"/>
  <c r="H48" i="4218"/>
  <c r="H47" i="4218"/>
  <c r="H46" i="4218"/>
  <c r="H45" i="4218"/>
  <c r="H44" i="4218"/>
  <c r="H43" i="4218"/>
  <c r="H42" i="4218"/>
  <c r="H41" i="4218"/>
  <c r="H40" i="4218"/>
  <c r="H39" i="4218"/>
  <c r="H38" i="4218"/>
  <c r="H37" i="4218"/>
  <c r="H36" i="4218"/>
  <c r="H35" i="4218"/>
  <c r="H34" i="4218"/>
  <c r="H33" i="4218"/>
  <c r="H32" i="4218"/>
  <c r="H31" i="4218"/>
  <c r="H30" i="4218"/>
  <c r="H7" i="4218"/>
  <c r="H29" i="4218"/>
  <c r="H28" i="4218"/>
  <c r="H12" i="4218"/>
  <c r="H27" i="4218"/>
  <c r="C25" i="4218"/>
  <c r="H26" i="4218"/>
  <c r="H11" i="4218"/>
  <c r="H25" i="4218"/>
  <c r="B22" i="4218"/>
  <c r="H24" i="4218"/>
  <c r="H23" i="4218"/>
  <c r="C20" i="4218"/>
  <c r="H22" i="4218"/>
  <c r="H21" i="4218"/>
  <c r="H20" i="4218"/>
  <c r="B17" i="4218"/>
  <c r="C18" i="4218" s="1"/>
  <c r="H19" i="4218"/>
  <c r="C16" i="4218"/>
  <c r="H18" i="4218"/>
  <c r="C15" i="4218"/>
  <c r="H17" i="4218"/>
  <c r="C14" i="4218"/>
  <c r="H16" i="4218"/>
  <c r="C13" i="4218"/>
  <c r="O12" i="4218"/>
  <c r="H15" i="4218"/>
  <c r="C12" i="4218"/>
  <c r="O11" i="4218"/>
  <c r="H3" i="4218"/>
  <c r="C11" i="4218"/>
  <c r="O10" i="4218"/>
  <c r="H10" i="4218"/>
  <c r="C10" i="4218"/>
  <c r="H14" i="4218"/>
  <c r="C9" i="4218"/>
  <c r="H9" i="4218"/>
  <c r="C8" i="4218"/>
  <c r="O7" i="4218"/>
  <c r="H8" i="4218"/>
  <c r="C7" i="4218"/>
  <c r="O6" i="4218"/>
  <c r="H6" i="4218"/>
  <c r="B6" i="4218"/>
  <c r="O5" i="4218"/>
  <c r="H5" i="4218"/>
  <c r="B5" i="4218"/>
  <c r="O4" i="4218"/>
  <c r="H2" i="4218"/>
  <c r="O3" i="4218"/>
  <c r="H13" i="4218"/>
  <c r="O2" i="4218"/>
  <c r="H4" i="4218"/>
  <c r="O17" i="4216"/>
  <c r="O16" i="4216"/>
  <c r="H51" i="4216"/>
  <c r="H50" i="4216"/>
  <c r="H49" i="4216"/>
  <c r="H48" i="4216"/>
  <c r="H47" i="4216"/>
  <c r="H46" i="4216"/>
  <c r="H45" i="4216"/>
  <c r="H44" i="4216"/>
  <c r="H43" i="4216"/>
  <c r="H42" i="4216"/>
  <c r="H41" i="4216"/>
  <c r="H40" i="4216"/>
  <c r="H39" i="4216"/>
  <c r="H38" i="4216"/>
  <c r="H37" i="4216"/>
  <c r="H36" i="4216"/>
  <c r="H35" i="4216"/>
  <c r="H34" i="4216"/>
  <c r="H33" i="4216"/>
  <c r="H32" i="4216"/>
  <c r="H31" i="4216"/>
  <c r="H30" i="4216"/>
  <c r="H29" i="4216"/>
  <c r="H28" i="4216"/>
  <c r="H27" i="4216"/>
  <c r="H26" i="4216"/>
  <c r="H25" i="4216"/>
  <c r="C25" i="4216"/>
  <c r="H24" i="4216"/>
  <c r="H23" i="4216"/>
  <c r="H22" i="4216"/>
  <c r="B22" i="4216"/>
  <c r="H21" i="4216"/>
  <c r="H20" i="4216"/>
  <c r="C20" i="4216"/>
  <c r="H19" i="4216"/>
  <c r="H18" i="4216"/>
  <c r="H17" i="4216"/>
  <c r="C17" i="4216"/>
  <c r="B17" i="4216"/>
  <c r="C18" i="4216" s="1"/>
  <c r="H16" i="4216"/>
  <c r="C16" i="4216"/>
  <c r="H15" i="4216"/>
  <c r="C15" i="4216"/>
  <c r="H14" i="4216"/>
  <c r="C14" i="4216"/>
  <c r="H13" i="4216"/>
  <c r="C13" i="4216"/>
  <c r="O12" i="4216"/>
  <c r="H12" i="4216"/>
  <c r="C12" i="4216"/>
  <c r="O11" i="4216"/>
  <c r="H11" i="4216"/>
  <c r="C11" i="4216"/>
  <c r="O10" i="4216"/>
  <c r="H10" i="4216"/>
  <c r="C10" i="4216"/>
  <c r="H9" i="4216"/>
  <c r="C9" i="4216"/>
  <c r="H8" i="4216"/>
  <c r="C8" i="4216"/>
  <c r="O7" i="4216"/>
  <c r="H7" i="4216"/>
  <c r="C7" i="4216"/>
  <c r="O6" i="4216"/>
  <c r="H6" i="4216"/>
  <c r="B6" i="4216"/>
  <c r="O5" i="4216"/>
  <c r="H5" i="4216"/>
  <c r="B5" i="4216"/>
  <c r="O4" i="4216"/>
  <c r="H4" i="4216"/>
  <c r="O3" i="4216"/>
  <c r="H3" i="4216"/>
  <c r="O2" i="4216"/>
  <c r="H2" i="4216"/>
  <c r="O26" i="4212"/>
  <c r="O23" i="4214"/>
  <c r="O16" i="4214"/>
  <c r="H51" i="4214"/>
  <c r="H50" i="4214"/>
  <c r="H49" i="4214"/>
  <c r="H48" i="4214"/>
  <c r="H47" i="4214"/>
  <c r="H29" i="4214"/>
  <c r="H46" i="4214"/>
  <c r="H45" i="4214"/>
  <c r="H44" i="4214"/>
  <c r="H43" i="4214"/>
  <c r="H42" i="4214"/>
  <c r="H41" i="4214"/>
  <c r="H40" i="4214"/>
  <c r="H39" i="4214"/>
  <c r="H38" i="4214"/>
  <c r="H37" i="4214"/>
  <c r="H28" i="4214"/>
  <c r="H36" i="4214"/>
  <c r="H27" i="4214"/>
  <c r="H22" i="4214"/>
  <c r="H16" i="4214"/>
  <c r="H26" i="4214"/>
  <c r="H8" i="4214"/>
  <c r="H35" i="4214"/>
  <c r="H24" i="4214"/>
  <c r="H13" i="4214"/>
  <c r="H25" i="4214"/>
  <c r="C25" i="4214"/>
  <c r="H34" i="4214"/>
  <c r="H14" i="4214"/>
  <c r="H33" i="4214"/>
  <c r="B22" i="4214"/>
  <c r="H15" i="4214"/>
  <c r="H32" i="4214"/>
  <c r="C20" i="4214"/>
  <c r="H31" i="4214"/>
  <c r="H18" i="4214"/>
  <c r="H17" i="4214"/>
  <c r="B17" i="4214"/>
  <c r="B21" i="4214" s="1"/>
  <c r="H20" i="4214"/>
  <c r="C16" i="4214"/>
  <c r="H30" i="4214"/>
  <c r="C15" i="4214"/>
  <c r="H19" i="4214"/>
  <c r="C14" i="4214"/>
  <c r="H23" i="4214"/>
  <c r="C13" i="4214"/>
  <c r="O12" i="4214"/>
  <c r="H21" i="4214"/>
  <c r="C12" i="4214"/>
  <c r="O11" i="4214"/>
  <c r="H5" i="4214"/>
  <c r="C11" i="4214"/>
  <c r="O10" i="4214"/>
  <c r="H12" i="4214"/>
  <c r="C10" i="4214"/>
  <c r="H11" i="4214"/>
  <c r="C9" i="4214"/>
  <c r="H9" i="4214"/>
  <c r="C8" i="4214"/>
  <c r="O7" i="4214"/>
  <c r="H6" i="4214"/>
  <c r="C7" i="4214"/>
  <c r="O6" i="4214"/>
  <c r="H2" i="4214"/>
  <c r="B6" i="4214"/>
  <c r="O5" i="4214"/>
  <c r="H7" i="4214"/>
  <c r="B5" i="4214"/>
  <c r="O4" i="4214"/>
  <c r="H3" i="4214"/>
  <c r="O3" i="4214"/>
  <c r="H10" i="4214"/>
  <c r="O2" i="4214"/>
  <c r="H4" i="4214"/>
  <c r="O21" i="4212"/>
  <c r="O15" i="4212"/>
  <c r="H51" i="4212"/>
  <c r="H50" i="4212"/>
  <c r="H49" i="4212"/>
  <c r="H48" i="4212"/>
  <c r="H47" i="4212"/>
  <c r="H32" i="4212"/>
  <c r="H46" i="4212"/>
  <c r="H45" i="4212"/>
  <c r="H44" i="4212"/>
  <c r="H43" i="4212"/>
  <c r="H42" i="4212"/>
  <c r="H41" i="4212"/>
  <c r="H40" i="4212"/>
  <c r="H39" i="4212"/>
  <c r="H38" i="4212"/>
  <c r="H37" i="4212"/>
  <c r="H31" i="4212"/>
  <c r="H36" i="4212"/>
  <c r="H23" i="4212"/>
  <c r="H22" i="4212"/>
  <c r="H17" i="4212"/>
  <c r="H28" i="4212"/>
  <c r="H8" i="4212"/>
  <c r="H30" i="4212"/>
  <c r="H27" i="4212"/>
  <c r="H12" i="4212"/>
  <c r="H25" i="4212"/>
  <c r="C25" i="4212"/>
  <c r="H26" i="4212"/>
  <c r="H14" i="4212"/>
  <c r="H35" i="4212"/>
  <c r="B22" i="4212"/>
  <c r="H16" i="4212"/>
  <c r="H29" i="4212"/>
  <c r="C20" i="4212"/>
  <c r="H34" i="4212"/>
  <c r="H18" i="4212"/>
  <c r="H15" i="4212"/>
  <c r="B17" i="4212"/>
  <c r="C18" i="4212" s="1"/>
  <c r="H21" i="4212"/>
  <c r="C16" i="4212"/>
  <c r="H33" i="4212"/>
  <c r="C15" i="4212"/>
  <c r="H20" i="4212"/>
  <c r="C14" i="4212"/>
  <c r="H24" i="4212"/>
  <c r="C13" i="4212"/>
  <c r="O12" i="4212"/>
  <c r="H19" i="4212"/>
  <c r="C12" i="4212"/>
  <c r="O11" i="4212"/>
  <c r="H4" i="4212"/>
  <c r="C11" i="4212"/>
  <c r="O10" i="4212"/>
  <c r="H13" i="4212"/>
  <c r="C10" i="4212"/>
  <c r="H11" i="4212"/>
  <c r="C9" i="4212"/>
  <c r="H9" i="4212"/>
  <c r="C8" i="4212"/>
  <c r="O7" i="4212"/>
  <c r="H6" i="4212"/>
  <c r="C7" i="4212"/>
  <c r="O6" i="4212"/>
  <c r="H2" i="4212"/>
  <c r="B6" i="4212"/>
  <c r="O5" i="4212"/>
  <c r="H7" i="4212"/>
  <c r="B5" i="4212"/>
  <c r="O4" i="4212"/>
  <c r="H3" i="4212"/>
  <c r="O3" i="4212"/>
  <c r="H10" i="4212"/>
  <c r="O2" i="4212"/>
  <c r="H5" i="4212"/>
  <c r="C17" i="4218" l="1"/>
  <c r="C19" i="4218"/>
  <c r="B21" i="4218"/>
  <c r="C19" i="4216"/>
  <c r="B21" i="4216"/>
  <c r="C17" i="4214"/>
  <c r="C18" i="4214"/>
  <c r="C19" i="4214"/>
  <c r="C17" i="4212"/>
  <c r="C19" i="4212"/>
  <c r="B21" i="421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<sst xmlns="http://schemas.openxmlformats.org/spreadsheetml/2006/main" count="3597" uniqueCount="261">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</sst>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全体!$K$2:$K$836</c:f>
              <c:numCache>
                <c:formatCode>General</c:formatCode>
                <c:ptCount val="8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</c:numCache>
            </c:numRef>
          </c:xVal>
          <c:yVal>
            <c:numRef>
              <c:f>全体!$L$2:$L$836</c:f>
              <c:numCache>
                <c:formatCode>\+0.0;\-0.0;\±0</c:formatCode>
                <c:ptCount val="835"/>
                <c:pt idx="0">
                  <c:v>0</c:v>
                </c:pt>
                <c:pt idx="1">
                  <c:v>30</c:v>
                </c:pt>
                <c:pt idx="2">
                  <c:v>-29</c:v>
                </c:pt>
                <c:pt idx="3">
                  <c:v>7</c:v>
                </c:pt>
                <c:pt idx="4">
                  <c:v>-2</c:v>
                </c:pt>
                <c:pt idx="5">
                  <c:v>80.8</c:v>
                </c:pt>
                <c:pt idx="6">
                  <c:v>-39.9</c:v>
                </c:pt>
                <c:pt idx="7">
                  <c:v>30.2</c:v>
                </c:pt>
                <c:pt idx="8">
                  <c:v>-68.5</c:v>
                </c:pt>
                <c:pt idx="9">
                  <c:v>26.700000000000003</c:v>
                </c:pt>
                <c:pt idx="10">
                  <c:v>170.4</c:v>
                </c:pt>
                <c:pt idx="11">
                  <c:v>3.7999999999999972</c:v>
                </c:pt>
                <c:pt idx="12">
                  <c:v>-44.5</c:v>
                </c:pt>
                <c:pt idx="13">
                  <c:v>63</c:v>
                </c:pt>
                <c:pt idx="14">
                  <c:v>-39.5</c:v>
                </c:pt>
                <c:pt idx="15">
                  <c:v>4</c:v>
                </c:pt>
                <c:pt idx="16">
                  <c:v>-96</c:v>
                </c:pt>
                <c:pt idx="17">
                  <c:v>32</c:v>
                </c:pt>
                <c:pt idx="18">
                  <c:v>8</c:v>
                </c:pt>
                <c:pt idx="19">
                  <c:v>-12.2</c:v>
                </c:pt>
                <c:pt idx="20">
                  <c:v>15.9</c:v>
                </c:pt>
                <c:pt idx="21">
                  <c:v>-4.9000000000000004</c:v>
                </c:pt>
                <c:pt idx="22">
                  <c:v>-72</c:v>
                </c:pt>
                <c:pt idx="23">
                  <c:v>30</c:v>
                </c:pt>
                <c:pt idx="24">
                  <c:v>3</c:v>
                </c:pt>
                <c:pt idx="25">
                  <c:v>-82</c:v>
                </c:pt>
                <c:pt idx="26">
                  <c:v>64</c:v>
                </c:pt>
                <c:pt idx="27">
                  <c:v>-11.5</c:v>
                </c:pt>
                <c:pt idx="28">
                  <c:v>-63</c:v>
                </c:pt>
                <c:pt idx="29">
                  <c:v>104.9</c:v>
                </c:pt>
                <c:pt idx="30">
                  <c:v>-36.700000000000003</c:v>
                </c:pt>
                <c:pt idx="31">
                  <c:v>36.6</c:v>
                </c:pt>
                <c:pt idx="32">
                  <c:v>-1.0999999999999979</c:v>
                </c:pt>
                <c:pt idx="33">
                  <c:v>-8.5999999999999979</c:v>
                </c:pt>
                <c:pt idx="34">
                  <c:v>25.6</c:v>
                </c:pt>
                <c:pt idx="35">
                  <c:v>60.000000000000007</c:v>
                </c:pt>
                <c:pt idx="36">
                  <c:v>-36.399999999999991</c:v>
                </c:pt>
                <c:pt idx="37">
                  <c:v>114</c:v>
                </c:pt>
                <c:pt idx="38">
                  <c:v>8.2000000000000099</c:v>
                </c:pt>
                <c:pt idx="39">
                  <c:v>-32.599999999999994</c:v>
                </c:pt>
                <c:pt idx="40">
                  <c:v>-88</c:v>
                </c:pt>
                <c:pt idx="41">
                  <c:v>88</c:v>
                </c:pt>
                <c:pt idx="42">
                  <c:v>-21.999999999999993</c:v>
                </c:pt>
                <c:pt idx="43">
                  <c:v>-74</c:v>
                </c:pt>
                <c:pt idx="44">
                  <c:v>-33.999999999999993</c:v>
                </c:pt>
                <c:pt idx="45">
                  <c:v>35.500000000000007</c:v>
                </c:pt>
                <c:pt idx="46">
                  <c:v>3.2000000000000073</c:v>
                </c:pt>
                <c:pt idx="47">
                  <c:v>9.2000000000000064</c:v>
                </c:pt>
                <c:pt idx="48">
                  <c:v>-5.3999999999999932</c:v>
                </c:pt>
                <c:pt idx="49">
                  <c:v>-42.79999999999999</c:v>
                </c:pt>
                <c:pt idx="50">
                  <c:v>-86.399999999999991</c:v>
                </c:pt>
                <c:pt idx="51">
                  <c:v>53.900000000000006</c:v>
                </c:pt>
                <c:pt idx="52">
                  <c:v>29.800000000000008</c:v>
                </c:pt>
                <c:pt idx="53">
                  <c:v>-12.499999999999991</c:v>
                </c:pt>
                <c:pt idx="54">
                  <c:v>-1.1999999999999917</c:v>
                </c:pt>
                <c:pt idx="55">
                  <c:v>114.4</c:v>
                </c:pt>
                <c:pt idx="56">
                  <c:v>-19.599999999999987</c:v>
                </c:pt>
                <c:pt idx="57">
                  <c:v>-18.79999999999999</c:v>
                </c:pt>
                <c:pt idx="58">
                  <c:v>52.400000000000006</c:v>
                </c:pt>
                <c:pt idx="59">
                  <c:v>-24.199999999999989</c:v>
                </c:pt>
                <c:pt idx="60">
                  <c:v>-0.99999999999998934</c:v>
                </c:pt>
                <c:pt idx="61">
                  <c:v>113.00000000000001</c:v>
                </c:pt>
                <c:pt idx="62">
                  <c:v>-36.499999999999986</c:v>
                </c:pt>
                <c:pt idx="63">
                  <c:v>-9.9999999999999858</c:v>
                </c:pt>
                <c:pt idx="64">
                  <c:v>-50.999999999999986</c:v>
                </c:pt>
                <c:pt idx="65">
                  <c:v>-105.29999999999998</c:v>
                </c:pt>
                <c:pt idx="66">
                  <c:v>65.400000000000034</c:v>
                </c:pt>
                <c:pt idx="67">
                  <c:v>49.400000000000027</c:v>
                </c:pt>
                <c:pt idx="68">
                  <c:v>-46.899999999999963</c:v>
                </c:pt>
                <c:pt idx="69">
                  <c:v>11.10000000000003</c:v>
                </c:pt>
                <c:pt idx="70">
                  <c:v>-12.99999999999997</c:v>
                </c:pt>
                <c:pt idx="71">
                  <c:v>-95.499999999999972</c:v>
                </c:pt>
                <c:pt idx="72">
                  <c:v>51.000000000000028</c:v>
                </c:pt>
                <c:pt idx="73">
                  <c:v>-67.399999999999977</c:v>
                </c:pt>
                <c:pt idx="74">
                  <c:v>-0.69999999999997442</c:v>
                </c:pt>
                <c:pt idx="75">
                  <c:v>17.200000000000024</c:v>
                </c:pt>
                <c:pt idx="76">
                  <c:v>47.800000000000026</c:v>
                </c:pt>
                <c:pt idx="77">
                  <c:v>7.1000000000000227</c:v>
                </c:pt>
                <c:pt idx="78">
                  <c:v>-15.499999999999977</c:v>
                </c:pt>
                <c:pt idx="79">
                  <c:v>-73.999999999999972</c:v>
                </c:pt>
                <c:pt idx="80">
                  <c:v>86.000000000000028</c:v>
                </c:pt>
                <c:pt idx="81">
                  <c:v>-24.499999999999979</c:v>
                </c:pt>
                <c:pt idx="82">
                  <c:v>116.00000000000003</c:v>
                </c:pt>
                <c:pt idx="83">
                  <c:v>25.000000000000021</c:v>
                </c:pt>
                <c:pt idx="84">
                  <c:v>-41.499999999999979</c:v>
                </c:pt>
                <c:pt idx="85">
                  <c:v>-16.799999999999979</c:v>
                </c:pt>
                <c:pt idx="86">
                  <c:v>47.000000000000014</c:v>
                </c:pt>
                <c:pt idx="87">
                  <c:v>-19.299999999999983</c:v>
                </c:pt>
                <c:pt idx="88">
                  <c:v>106.60000000000001</c:v>
                </c:pt>
                <c:pt idx="89">
                  <c:v>-24.499999999999986</c:v>
                </c:pt>
                <c:pt idx="90">
                  <c:v>-14.399999999999988</c:v>
                </c:pt>
                <c:pt idx="91">
                  <c:v>-27.999999999999986</c:v>
                </c:pt>
                <c:pt idx="92">
                  <c:v>-89.999999999999986</c:v>
                </c:pt>
                <c:pt idx="93">
                  <c:v>52.000000000000014</c:v>
                </c:pt>
                <c:pt idx="94">
                  <c:v>121.40000000000002</c:v>
                </c:pt>
                <c:pt idx="95">
                  <c:v>20.100000000000019</c:v>
                </c:pt>
                <c:pt idx="96">
                  <c:v>-40.399999999999977</c:v>
                </c:pt>
                <c:pt idx="97">
                  <c:v>100.00000000000003</c:v>
                </c:pt>
                <c:pt idx="98">
                  <c:v>33.000000000000021</c:v>
                </c:pt>
                <c:pt idx="99">
                  <c:v>-41.499999999999979</c:v>
                </c:pt>
                <c:pt idx="100">
                  <c:v>-27.999999999999979</c:v>
                </c:pt>
                <c:pt idx="101">
                  <c:v>-90.999999999999972</c:v>
                </c:pt>
                <c:pt idx="102">
                  <c:v>52.500000000000021</c:v>
                </c:pt>
                <c:pt idx="103">
                  <c:v>-6.7999999999999785</c:v>
                </c:pt>
                <c:pt idx="104">
                  <c:v>-26.59999999999998</c:v>
                </c:pt>
                <c:pt idx="105">
                  <c:v>15.000000000000021</c:v>
                </c:pt>
                <c:pt idx="106">
                  <c:v>-34.199999999999982</c:v>
                </c:pt>
                <c:pt idx="107">
                  <c:v>-16.499999999999979</c:v>
                </c:pt>
                <c:pt idx="108">
                  <c:v>16.800000000000022</c:v>
                </c:pt>
                <c:pt idx="109">
                  <c:v>42.200000000000024</c:v>
                </c:pt>
                <c:pt idx="110">
                  <c:v>50.500000000000028</c:v>
                </c:pt>
                <c:pt idx="111">
                  <c:v>-35.799999999999969</c:v>
                </c:pt>
                <c:pt idx="112">
                  <c:v>-101.19999999999997</c:v>
                </c:pt>
                <c:pt idx="113">
                  <c:v>45.400000000000027</c:v>
                </c:pt>
                <c:pt idx="114">
                  <c:v>2.6000000000000272</c:v>
                </c:pt>
                <c:pt idx="115">
                  <c:v>-16.39999999999997</c:v>
                </c:pt>
                <c:pt idx="116">
                  <c:v>-91.799999999999969</c:v>
                </c:pt>
                <c:pt idx="117">
                  <c:v>50.000000000000028</c:v>
                </c:pt>
                <c:pt idx="118">
                  <c:v>-13.999999999999972</c:v>
                </c:pt>
                <c:pt idx="119">
                  <c:v>-17.999999999999972</c:v>
                </c:pt>
                <c:pt idx="120">
                  <c:v>12.500000000000028</c:v>
                </c:pt>
                <c:pt idx="121">
                  <c:v>-72.799999999999969</c:v>
                </c:pt>
                <c:pt idx="122">
                  <c:v>13.400000000000027</c:v>
                </c:pt>
                <c:pt idx="123">
                  <c:v>11.500000000000028</c:v>
                </c:pt>
                <c:pt idx="124">
                  <c:v>-16.999999999999972</c:v>
                </c:pt>
                <c:pt idx="125">
                  <c:v>-2.4999999999999716</c:v>
                </c:pt>
                <c:pt idx="126">
                  <c:v>5.5000000000000284</c:v>
                </c:pt>
                <c:pt idx="127">
                  <c:v>16.800000000000029</c:v>
                </c:pt>
                <c:pt idx="128">
                  <c:v>39.400000000000027</c:v>
                </c:pt>
                <c:pt idx="129">
                  <c:v>-23.89999999999997</c:v>
                </c:pt>
                <c:pt idx="130">
                  <c:v>-20.799999999999972</c:v>
                </c:pt>
                <c:pt idx="131">
                  <c:v>11.800000000000027</c:v>
                </c:pt>
                <c:pt idx="132">
                  <c:v>-0.6999999999999722</c:v>
                </c:pt>
                <c:pt idx="133">
                  <c:v>55.800000000000026</c:v>
                </c:pt>
                <c:pt idx="134">
                  <c:v>-43.89999999999997</c:v>
                </c:pt>
                <c:pt idx="135">
                  <c:v>8.0000000000000284</c:v>
                </c:pt>
                <c:pt idx="136">
                  <c:v>-40.999999999999972</c:v>
                </c:pt>
                <c:pt idx="137">
                  <c:v>-29.89999999999997</c:v>
                </c:pt>
                <c:pt idx="138">
                  <c:v>25.200000000000028</c:v>
                </c:pt>
                <c:pt idx="139">
                  <c:v>-62.199999999999974</c:v>
                </c:pt>
                <c:pt idx="140">
                  <c:v>-93.499999999999972</c:v>
                </c:pt>
                <c:pt idx="141">
                  <c:v>62.300000000000026</c:v>
                </c:pt>
                <c:pt idx="142">
                  <c:v>32.400000000000027</c:v>
                </c:pt>
                <c:pt idx="143">
                  <c:v>-33.399999999999977</c:v>
                </c:pt>
                <c:pt idx="144">
                  <c:v>8.6000000000000263</c:v>
                </c:pt>
                <c:pt idx="145">
                  <c:v>-9.7999999999999741</c:v>
                </c:pt>
                <c:pt idx="146">
                  <c:v>-28.699999999999974</c:v>
                </c:pt>
                <c:pt idx="147">
                  <c:v>12.800000000000026</c:v>
                </c:pt>
                <c:pt idx="148">
                  <c:v>23.600000000000026</c:v>
                </c:pt>
                <c:pt idx="149">
                  <c:v>18.600000000000026</c:v>
                </c:pt>
                <c:pt idx="150">
                  <c:v>-18.699999999999974</c:v>
                </c:pt>
                <c:pt idx="151">
                  <c:v>-0.59999999999997344</c:v>
                </c:pt>
                <c:pt idx="152">
                  <c:v>85.100000000000023</c:v>
                </c:pt>
                <c:pt idx="153">
                  <c:v>-45.89999999999997</c:v>
                </c:pt>
                <c:pt idx="154">
                  <c:v>-15.39999999999997</c:v>
                </c:pt>
                <c:pt idx="155">
                  <c:v>-14.299999999999972</c:v>
                </c:pt>
                <c:pt idx="156">
                  <c:v>7.5000000000000284</c:v>
                </c:pt>
                <c:pt idx="157">
                  <c:v>-57.999999999999972</c:v>
                </c:pt>
                <c:pt idx="158">
                  <c:v>-139.99999999999997</c:v>
                </c:pt>
                <c:pt idx="159">
                  <c:v>81.000000000000028</c:v>
                </c:pt>
                <c:pt idx="160">
                  <c:v>31.400000000000027</c:v>
                </c:pt>
                <c:pt idx="161">
                  <c:v>-60.699999999999974</c:v>
                </c:pt>
                <c:pt idx="162">
                  <c:v>19.000000000000025</c:v>
                </c:pt>
                <c:pt idx="163">
                  <c:v>-15.999999999999975</c:v>
                </c:pt>
                <c:pt idx="164">
                  <c:v>-20.799999999999976</c:v>
                </c:pt>
                <c:pt idx="165">
                  <c:v>8.9000000000000252</c:v>
                </c:pt>
                <c:pt idx="166">
                  <c:v>60.200000000000031</c:v>
                </c:pt>
                <c:pt idx="167">
                  <c:v>41.000000000000028</c:v>
                </c:pt>
                <c:pt idx="168">
                  <c:v>-40.799999999999969</c:v>
                </c:pt>
                <c:pt idx="169">
                  <c:v>28.60000000000003</c:v>
                </c:pt>
                <c:pt idx="170">
                  <c:v>-79.399999999999977</c:v>
                </c:pt>
                <c:pt idx="171">
                  <c:v>27.300000000000033</c:v>
                </c:pt>
                <c:pt idx="172">
                  <c:v>111.00000000000003</c:v>
                </c:pt>
                <c:pt idx="173">
                  <c:v>-46.999999999999972</c:v>
                </c:pt>
                <c:pt idx="174">
                  <c:v>-9.4999999999999716</c:v>
                </c:pt>
                <c:pt idx="175">
                  <c:v>7.6000000000000281</c:v>
                </c:pt>
                <c:pt idx="176">
                  <c:v>14.900000000000027</c:v>
                </c:pt>
                <c:pt idx="177">
                  <c:v>-14.599999999999971</c:v>
                </c:pt>
                <c:pt idx="178">
                  <c:v>-75.399999999999977</c:v>
                </c:pt>
                <c:pt idx="179">
                  <c:v>-1.7999999999999758</c:v>
                </c:pt>
                <c:pt idx="180">
                  <c:v>14.500000000000025</c:v>
                </c:pt>
                <c:pt idx="181">
                  <c:v>-95.199999999999989</c:v>
                </c:pt>
                <c:pt idx="182">
                  <c:v>-38.899999999999977</c:v>
                </c:pt>
                <c:pt idx="183">
                  <c:v>38.000000000000021</c:v>
                </c:pt>
                <c:pt idx="184">
                  <c:v>67.000000000000028</c:v>
                </c:pt>
                <c:pt idx="185">
                  <c:v>-16.999999999999979</c:v>
                </c:pt>
                <c:pt idx="186">
                  <c:v>-13.499999999999979</c:v>
                </c:pt>
                <c:pt idx="187">
                  <c:v>39.200000000000024</c:v>
                </c:pt>
                <c:pt idx="188">
                  <c:v>-9.699999999999978</c:v>
                </c:pt>
                <c:pt idx="189">
                  <c:v>-10.199999999999978</c:v>
                </c:pt>
                <c:pt idx="190">
                  <c:v>-134.99999999999997</c:v>
                </c:pt>
                <c:pt idx="191">
                  <c:v>-85.599999999999966</c:v>
                </c:pt>
                <c:pt idx="192">
                  <c:v>71.300000000000026</c:v>
                </c:pt>
                <c:pt idx="193">
                  <c:v>-12.999999999999972</c:v>
                </c:pt>
                <c:pt idx="194">
                  <c:v>-97.999999999999972</c:v>
                </c:pt>
                <c:pt idx="195">
                  <c:v>47.000000000000028</c:v>
                </c:pt>
                <c:pt idx="196">
                  <c:v>-0.99999999999997158</c:v>
                </c:pt>
                <c:pt idx="197">
                  <c:v>-73.999999999999972</c:v>
                </c:pt>
                <c:pt idx="198">
                  <c:v>32.000000000000028</c:v>
                </c:pt>
                <c:pt idx="199">
                  <c:v>60.200000000000031</c:v>
                </c:pt>
                <c:pt idx="200">
                  <c:v>-33.999999999999972</c:v>
                </c:pt>
                <c:pt idx="201">
                  <c:v>-3.2999999999999705</c:v>
                </c:pt>
                <c:pt idx="202">
                  <c:v>-40.999999999999972</c:v>
                </c:pt>
                <c:pt idx="203">
                  <c:v>106.00000000000003</c:v>
                </c:pt>
                <c:pt idx="204">
                  <c:v>-47.999999999999972</c:v>
                </c:pt>
                <c:pt idx="205">
                  <c:v>-22.799999999999972</c:v>
                </c:pt>
                <c:pt idx="206">
                  <c:v>-6.6999999999999726</c:v>
                </c:pt>
                <c:pt idx="207">
                  <c:v>3.8000000000000274</c:v>
                </c:pt>
                <c:pt idx="208">
                  <c:v>-1.1999999999999726</c:v>
                </c:pt>
                <c:pt idx="209">
                  <c:v>0.30000000000002736</c:v>
                </c:pt>
                <c:pt idx="210">
                  <c:v>-5.099999999999973</c:v>
                </c:pt>
                <c:pt idx="211">
                  <c:v>61.600000000000023</c:v>
                </c:pt>
                <c:pt idx="212">
                  <c:v>34.90000000000002</c:v>
                </c:pt>
                <c:pt idx="213">
                  <c:v>-38.09999999999998</c:v>
                </c:pt>
                <c:pt idx="214">
                  <c:v>-94.999999999999972</c:v>
                </c:pt>
                <c:pt idx="215">
                  <c:v>40.200000000000024</c:v>
                </c:pt>
                <c:pt idx="216">
                  <c:v>-1.5999999999999774</c:v>
                </c:pt>
                <c:pt idx="217">
                  <c:v>53.800000000000018</c:v>
                </c:pt>
                <c:pt idx="218">
                  <c:v>22.600000000000023</c:v>
                </c:pt>
                <c:pt idx="219">
                  <c:v>-29.999999999999979</c:v>
                </c:pt>
                <c:pt idx="220">
                  <c:v>-17.799999999999979</c:v>
                </c:pt>
                <c:pt idx="221">
                  <c:v>-89.799999999999983</c:v>
                </c:pt>
                <c:pt idx="222">
                  <c:v>44.100000000000023</c:v>
                </c:pt>
                <c:pt idx="223">
                  <c:v>33.600000000000023</c:v>
                </c:pt>
                <c:pt idx="224">
                  <c:v>-50.899999999999977</c:v>
                </c:pt>
                <c:pt idx="225">
                  <c:v>11.800000000000022</c:v>
                </c:pt>
                <c:pt idx="226">
                  <c:v>-30.799999999999976</c:v>
                </c:pt>
                <c:pt idx="227">
                  <c:v>-53.299999999999983</c:v>
                </c:pt>
                <c:pt idx="228">
                  <c:v>29.100000000000023</c:v>
                </c:pt>
                <c:pt idx="229">
                  <c:v>77.000000000000028</c:v>
                </c:pt>
                <c:pt idx="230">
                  <c:v>-43.799999999999976</c:v>
                </c:pt>
                <c:pt idx="231">
                  <c:v>-2.5999999999999774</c:v>
                </c:pt>
                <c:pt idx="232">
                  <c:v>7.4000000000000234</c:v>
                </c:pt>
                <c:pt idx="233">
                  <c:v>-19.799999999999976</c:v>
                </c:pt>
                <c:pt idx="234">
                  <c:v>2.800000000000022</c:v>
                </c:pt>
                <c:pt idx="235">
                  <c:v>-30.399999999999977</c:v>
                </c:pt>
                <c:pt idx="236">
                  <c:v>-48.299999999999983</c:v>
                </c:pt>
                <c:pt idx="237">
                  <c:v>26.500000000000021</c:v>
                </c:pt>
                <c:pt idx="238">
                  <c:v>-48.999999999999979</c:v>
                </c:pt>
                <c:pt idx="239">
                  <c:v>-69.799999999999983</c:v>
                </c:pt>
                <c:pt idx="240">
                  <c:v>41.90000000000002</c:v>
                </c:pt>
                <c:pt idx="241">
                  <c:v>7.2000000000000206</c:v>
                </c:pt>
                <c:pt idx="242">
                  <c:v>24.700000000000024</c:v>
                </c:pt>
                <c:pt idx="243">
                  <c:v>-19.399999999999977</c:v>
                </c:pt>
                <c:pt idx="244">
                  <c:v>60.800000000000018</c:v>
                </c:pt>
                <c:pt idx="245">
                  <c:v>41.100000000000023</c:v>
                </c:pt>
                <c:pt idx="246">
                  <c:v>-40.999999999999979</c:v>
                </c:pt>
                <c:pt idx="247">
                  <c:v>77.000000000000028</c:v>
                </c:pt>
                <c:pt idx="248">
                  <c:v>-50.999999999999979</c:v>
                </c:pt>
                <c:pt idx="249">
                  <c:v>1.0000000000000213</c:v>
                </c:pt>
                <c:pt idx="250">
                  <c:v>42.000000000000021</c:v>
                </c:pt>
                <c:pt idx="251">
                  <c:v>-62.499999999999979</c:v>
                </c:pt>
                <c:pt idx="252">
                  <c:v>15.500000000000021</c:v>
                </c:pt>
                <c:pt idx="253">
                  <c:v>60.000000000000021</c:v>
                </c:pt>
                <c:pt idx="254">
                  <c:v>6.9000000000000199</c:v>
                </c:pt>
                <c:pt idx="255">
                  <c:v>-23.699999999999978</c:v>
                </c:pt>
                <c:pt idx="256">
                  <c:v>116.60000000000002</c:v>
                </c:pt>
                <c:pt idx="257">
                  <c:v>-14.199999999999982</c:v>
                </c:pt>
                <c:pt idx="258">
                  <c:v>-27.299999999999983</c:v>
                </c:pt>
                <c:pt idx="259">
                  <c:v>19.200000000000017</c:v>
                </c:pt>
                <c:pt idx="260">
                  <c:v>-46.099999999999987</c:v>
                </c:pt>
                <c:pt idx="261">
                  <c:v>13.000000000000014</c:v>
                </c:pt>
                <c:pt idx="262">
                  <c:v>0.20000000000001439</c:v>
                </c:pt>
                <c:pt idx="263">
                  <c:v>43.800000000000018</c:v>
                </c:pt>
                <c:pt idx="264">
                  <c:v>-27.199999999999982</c:v>
                </c:pt>
                <c:pt idx="265">
                  <c:v>-45.799999999999983</c:v>
                </c:pt>
                <c:pt idx="266">
                  <c:v>6.8000000000000185</c:v>
                </c:pt>
                <c:pt idx="267">
                  <c:v>2.8000000000000185</c:v>
                </c:pt>
                <c:pt idx="268">
                  <c:v>4.0000000000000187</c:v>
                </c:pt>
                <c:pt idx="269">
                  <c:v>1.7000000000000188</c:v>
                </c:pt>
                <c:pt idx="270">
                  <c:v>-7.0999999999999801</c:v>
                </c:pt>
                <c:pt idx="271">
                  <c:v>-89.799999999999983</c:v>
                </c:pt>
                <c:pt idx="272">
                  <c:v>34.000000000000028</c:v>
                </c:pt>
                <c:pt idx="273">
                  <c:v>0.20000000000002593</c:v>
                </c:pt>
                <c:pt idx="274">
                  <c:v>-93.999999999999972</c:v>
                </c:pt>
                <c:pt idx="275">
                  <c:v>-13.499999999999972</c:v>
                </c:pt>
                <c:pt idx="276">
                  <c:v>25.000000000000028</c:v>
                </c:pt>
                <c:pt idx="277">
                  <c:v>-4.1999999999999718</c:v>
                </c:pt>
                <c:pt idx="278">
                  <c:v>-80.599999999999966</c:v>
                </c:pt>
                <c:pt idx="279">
                  <c:v>36.10000000000003</c:v>
                </c:pt>
                <c:pt idx="280">
                  <c:v>49.800000000000026</c:v>
                </c:pt>
                <c:pt idx="281">
                  <c:v>-33.39999999999997</c:v>
                </c:pt>
                <c:pt idx="282">
                  <c:v>-0.99999999999997158</c:v>
                </c:pt>
                <c:pt idx="283">
                  <c:v>16.400000000000027</c:v>
                </c:pt>
                <c:pt idx="284">
                  <c:v>-78.099999999999966</c:v>
                </c:pt>
                <c:pt idx="285">
                  <c:v>29.700000000000031</c:v>
                </c:pt>
                <c:pt idx="286">
                  <c:v>39.200000000000031</c:v>
                </c:pt>
                <c:pt idx="287">
                  <c:v>-53.299999999999976</c:v>
                </c:pt>
                <c:pt idx="288">
                  <c:v>11.600000000000026</c:v>
                </c:pt>
                <c:pt idx="289">
                  <c:v>-100.39999999999998</c:v>
                </c:pt>
                <c:pt idx="290">
                  <c:v>-50.299999999999969</c:v>
                </c:pt>
                <c:pt idx="291">
                  <c:v>45.000000000000028</c:v>
                </c:pt>
                <c:pt idx="292">
                  <c:v>-34.999999999999972</c:v>
                </c:pt>
                <c:pt idx="293">
                  <c:v>5.400000000000027</c:v>
                </c:pt>
                <c:pt idx="294">
                  <c:v>0.80000000000002736</c:v>
                </c:pt>
                <c:pt idx="295">
                  <c:v>83.200000000000031</c:v>
                </c:pt>
                <c:pt idx="296">
                  <c:v>-34.499999999999964</c:v>
                </c:pt>
                <c:pt idx="297">
                  <c:v>-8.799999999999967</c:v>
                </c:pt>
                <c:pt idx="298">
                  <c:v>-14.999999999999968</c:v>
                </c:pt>
                <c:pt idx="299">
                  <c:v>-112.79999999999995</c:v>
                </c:pt>
                <c:pt idx="300">
                  <c:v>54.900000000000034</c:v>
                </c:pt>
                <c:pt idx="301">
                  <c:v>-77.999999999999972</c:v>
                </c:pt>
                <c:pt idx="302">
                  <c:v>-64.499999999999972</c:v>
                </c:pt>
                <c:pt idx="303">
                  <c:v>46.500000000000036</c:v>
                </c:pt>
                <c:pt idx="304">
                  <c:v>-81.999999999999972</c:v>
                </c:pt>
                <c:pt idx="305">
                  <c:v>55.500000000000036</c:v>
                </c:pt>
                <c:pt idx="306">
                  <c:v>-12.499999999999964</c:v>
                </c:pt>
                <c:pt idx="307">
                  <c:v>19.200000000000035</c:v>
                </c:pt>
                <c:pt idx="308">
                  <c:v>-19.499999999999964</c:v>
                </c:pt>
                <c:pt idx="309">
                  <c:v>-0.29999999999996518</c:v>
                </c:pt>
                <c:pt idx="310">
                  <c:v>-6.9999999999999654</c:v>
                </c:pt>
                <c:pt idx="311">
                  <c:v>77.000000000000028</c:v>
                </c:pt>
                <c:pt idx="312">
                  <c:v>-41.999999999999964</c:v>
                </c:pt>
                <c:pt idx="313">
                  <c:v>84.000000000000028</c:v>
                </c:pt>
                <c:pt idx="314">
                  <c:v>33.700000000000038</c:v>
                </c:pt>
                <c:pt idx="315">
                  <c:v>-43.099999999999966</c:v>
                </c:pt>
                <c:pt idx="316">
                  <c:v>-14.199999999999964</c:v>
                </c:pt>
                <c:pt idx="317">
                  <c:v>134.60000000000002</c:v>
                </c:pt>
                <c:pt idx="318">
                  <c:v>-68.999999999999972</c:v>
                </c:pt>
                <c:pt idx="319">
                  <c:v>-17.799999999999972</c:v>
                </c:pt>
                <c:pt idx="320">
                  <c:v>52.60000000000003</c:v>
                </c:pt>
                <c:pt idx="321">
                  <c:v>-27.099999999999973</c:v>
                </c:pt>
                <c:pt idx="322">
                  <c:v>-78.999999999999972</c:v>
                </c:pt>
                <c:pt idx="323">
                  <c:v>29.800000000000026</c:v>
                </c:pt>
                <c:pt idx="324">
                  <c:v>-0.39999999999997282</c:v>
                </c:pt>
                <c:pt idx="325">
                  <c:v>-40.599999999999973</c:v>
                </c:pt>
                <c:pt idx="326">
                  <c:v>1.2000000000000277</c:v>
                </c:pt>
                <c:pt idx="327">
                  <c:v>4.3000000000000274</c:v>
                </c:pt>
                <c:pt idx="328">
                  <c:v>51.000000000000028</c:v>
                </c:pt>
                <c:pt idx="329">
                  <c:v>42.200000000000031</c:v>
                </c:pt>
                <c:pt idx="330">
                  <c:v>-39.099999999999973</c:v>
                </c:pt>
                <c:pt idx="331">
                  <c:v>86.200000000000031</c:v>
                </c:pt>
                <c:pt idx="332">
                  <c:v>31.200000000000028</c:v>
                </c:pt>
                <c:pt idx="333">
                  <c:v>-42.39999999999997</c:v>
                </c:pt>
                <c:pt idx="334">
                  <c:v>11.000000000000028</c:v>
                </c:pt>
                <c:pt idx="335">
                  <c:v>70.000000000000028</c:v>
                </c:pt>
                <c:pt idx="336">
                  <c:v>-42.999999999999972</c:v>
                </c:pt>
                <c:pt idx="337">
                  <c:v>-25.599999999999973</c:v>
                </c:pt>
                <c:pt idx="338">
                  <c:v>-3.8999999999999728</c:v>
                </c:pt>
                <c:pt idx="339">
                  <c:v>3.1000000000000263</c:v>
                </c:pt>
                <c:pt idx="340">
                  <c:v>-33.999999999999972</c:v>
                </c:pt>
                <c:pt idx="341">
                  <c:v>-89.499999999999972</c:v>
                </c:pt>
                <c:pt idx="342">
                  <c:v>48.000000000000028</c:v>
                </c:pt>
                <c:pt idx="343">
                  <c:v>-41.599999999999973</c:v>
                </c:pt>
                <c:pt idx="344">
                  <c:v>10.100000000000026</c:v>
                </c:pt>
                <c:pt idx="345">
                  <c:v>0.10000000000002718</c:v>
                </c:pt>
                <c:pt idx="346">
                  <c:v>45.000000000000028</c:v>
                </c:pt>
                <c:pt idx="347">
                  <c:v>9.2000000000000277</c:v>
                </c:pt>
                <c:pt idx="348">
                  <c:v>-21.099999999999973</c:v>
                </c:pt>
                <c:pt idx="349">
                  <c:v>53.600000000000023</c:v>
                </c:pt>
                <c:pt idx="350">
                  <c:v>-15.099999999999973</c:v>
                </c:pt>
                <c:pt idx="351">
                  <c:v>-11.099999999999973</c:v>
                </c:pt>
                <c:pt idx="352">
                  <c:v>-65.999999999999972</c:v>
                </c:pt>
                <c:pt idx="353">
                  <c:v>65.500000000000028</c:v>
                </c:pt>
                <c:pt idx="354">
                  <c:v>-21.499999999999972</c:v>
                </c:pt>
                <c:pt idx="355">
                  <c:v>36.000000000000028</c:v>
                </c:pt>
                <c:pt idx="356">
                  <c:v>-7.6999999999999709</c:v>
                </c:pt>
                <c:pt idx="357">
                  <c:v>-10.399999999999972</c:v>
                </c:pt>
                <c:pt idx="358">
                  <c:v>-13.799999999999972</c:v>
                </c:pt>
                <c:pt idx="359">
                  <c:v>23.200000000000031</c:v>
                </c:pt>
                <c:pt idx="360">
                  <c:v>-13.399999999999972</c:v>
                </c:pt>
                <c:pt idx="361">
                  <c:v>109.00000000000003</c:v>
                </c:pt>
                <c:pt idx="362">
                  <c:v>17.000000000000028</c:v>
                </c:pt>
                <c:pt idx="363">
                  <c:v>-40.999999999999972</c:v>
                </c:pt>
                <c:pt idx="364">
                  <c:v>83.000000000000028</c:v>
                </c:pt>
                <c:pt idx="365">
                  <c:v>-41.999999999999972</c:v>
                </c:pt>
                <c:pt idx="366">
                  <c:v>-4.9999999999999716</c:v>
                </c:pt>
                <c:pt idx="367">
                  <c:v>-30.999999999999972</c:v>
                </c:pt>
                <c:pt idx="368">
                  <c:v>-31.39999999999997</c:v>
                </c:pt>
                <c:pt idx="369">
                  <c:v>18.200000000000028</c:v>
                </c:pt>
                <c:pt idx="370">
                  <c:v>-99.799999999999969</c:v>
                </c:pt>
                <c:pt idx="371">
                  <c:v>15.400000000000027</c:v>
                </c:pt>
                <c:pt idx="372">
                  <c:v>12.000000000000028</c:v>
                </c:pt>
                <c:pt idx="373">
                  <c:v>86.800000000000026</c:v>
                </c:pt>
                <c:pt idx="374">
                  <c:v>30.700000000000024</c:v>
                </c:pt>
                <c:pt idx="375">
                  <c:v>-42.299999999999969</c:v>
                </c:pt>
                <c:pt idx="376">
                  <c:v>31.200000000000031</c:v>
                </c:pt>
                <c:pt idx="377">
                  <c:v>-39.89999999999997</c:v>
                </c:pt>
                <c:pt idx="378">
                  <c:v>6.9000000000000306</c:v>
                </c:pt>
                <c:pt idx="379">
                  <c:v>-78.999999999999972</c:v>
                </c:pt>
                <c:pt idx="380">
                  <c:v>-30.599999999999969</c:v>
                </c:pt>
                <c:pt idx="381">
                  <c:v>29.800000000000026</c:v>
                </c:pt>
                <c:pt idx="382">
                  <c:v>30.000000000000028</c:v>
                </c:pt>
                <c:pt idx="383">
                  <c:v>-1.8999999999999719</c:v>
                </c:pt>
                <c:pt idx="384">
                  <c:v>-11.799999999999972</c:v>
                </c:pt>
                <c:pt idx="385">
                  <c:v>14.400000000000027</c:v>
                </c:pt>
                <c:pt idx="386">
                  <c:v>28.900000000000027</c:v>
                </c:pt>
                <c:pt idx="387">
                  <c:v>-23.299999999999976</c:v>
                </c:pt>
                <c:pt idx="388">
                  <c:v>38.40000000000002</c:v>
                </c:pt>
                <c:pt idx="389">
                  <c:v>-69.299999999999983</c:v>
                </c:pt>
                <c:pt idx="390">
                  <c:v>19.800000000000026</c:v>
                </c:pt>
                <c:pt idx="391">
                  <c:v>27.600000000000026</c:v>
                </c:pt>
                <c:pt idx="392">
                  <c:v>-1.2999999999999741</c:v>
                </c:pt>
                <c:pt idx="393">
                  <c:v>-11.499999999999975</c:v>
                </c:pt>
                <c:pt idx="394">
                  <c:v>20.200000000000024</c:v>
                </c:pt>
                <c:pt idx="395">
                  <c:v>47.800000000000026</c:v>
                </c:pt>
                <c:pt idx="396">
                  <c:v>-34.199999999999974</c:v>
                </c:pt>
                <c:pt idx="397">
                  <c:v>11.400000000000029</c:v>
                </c:pt>
                <c:pt idx="398">
                  <c:v>-35.799999999999969</c:v>
                </c:pt>
                <c:pt idx="399">
                  <c:v>7.8000000000000291</c:v>
                </c:pt>
                <c:pt idx="400">
                  <c:v>45.000000000000028</c:v>
                </c:pt>
                <c:pt idx="401">
                  <c:v>10.700000000000028</c:v>
                </c:pt>
                <c:pt idx="402">
                  <c:v>-23.599999999999973</c:v>
                </c:pt>
                <c:pt idx="403">
                  <c:v>29.800000000000026</c:v>
                </c:pt>
                <c:pt idx="404">
                  <c:v>15.300000000000024</c:v>
                </c:pt>
                <c:pt idx="405">
                  <c:v>-22.09999999999998</c:v>
                </c:pt>
                <c:pt idx="406">
                  <c:v>-78.999999999999972</c:v>
                </c:pt>
                <c:pt idx="407">
                  <c:v>9.5000000000000213</c:v>
                </c:pt>
                <c:pt idx="408">
                  <c:v>8.0000000000000213</c:v>
                </c:pt>
                <c:pt idx="409">
                  <c:v>73.000000000000028</c:v>
                </c:pt>
                <c:pt idx="410">
                  <c:v>-41.499999999999979</c:v>
                </c:pt>
                <c:pt idx="411">
                  <c:v>-4.4999999999999787</c:v>
                </c:pt>
                <c:pt idx="412">
                  <c:v>-96.999999999999972</c:v>
                </c:pt>
                <c:pt idx="413">
                  <c:v>-41.499999999999979</c:v>
                </c:pt>
                <c:pt idx="414">
                  <c:v>38.000000000000021</c:v>
                </c:pt>
                <c:pt idx="415">
                  <c:v>22.40000000000002</c:v>
                </c:pt>
                <c:pt idx="416">
                  <c:v>-5.5999999999999801</c:v>
                </c:pt>
                <c:pt idx="417">
                  <c:v>-9.7999999999999794</c:v>
                </c:pt>
                <c:pt idx="418">
                  <c:v>-42.999999999999979</c:v>
                </c:pt>
                <c:pt idx="419">
                  <c:v>12.100000000000023</c:v>
                </c:pt>
                <c:pt idx="420">
                  <c:v>-2.2999999999999776</c:v>
                </c:pt>
                <c:pt idx="421">
                  <c:v>78.800000000000011</c:v>
                </c:pt>
                <c:pt idx="422">
                  <c:v>-15.399999999999977</c:v>
                </c:pt>
                <c:pt idx="423">
                  <c:v>-18.999999999999979</c:v>
                </c:pt>
                <c:pt idx="424">
                  <c:v>50.200000000000024</c:v>
                </c:pt>
                <c:pt idx="425">
                  <c:v>-78.09999999999998</c:v>
                </c:pt>
                <c:pt idx="426">
                  <c:v>19.500000000000021</c:v>
                </c:pt>
                <c:pt idx="427">
                  <c:v>13.000000000000021</c:v>
                </c:pt>
                <c:pt idx="428">
                  <c:v>55.90000000000002</c:v>
                </c:pt>
                <c:pt idx="429">
                  <c:v>-38.199999999999989</c:v>
                </c:pt>
                <c:pt idx="430">
                  <c:v>5.6000000000000174</c:v>
                </c:pt>
                <c:pt idx="431">
                  <c:v>-32.799999999999983</c:v>
                </c:pt>
                <c:pt idx="432">
                  <c:v>8.0000000000000178</c:v>
                </c:pt>
                <c:pt idx="433">
                  <c:v>82.600000000000009</c:v>
                </c:pt>
                <c:pt idx="434">
                  <c:v>23.70000000000001</c:v>
                </c:pt>
                <c:pt idx="435">
                  <c:v>-39.499999999999986</c:v>
                </c:pt>
                <c:pt idx="436">
                  <c:v>48.000000000000014</c:v>
                </c:pt>
                <c:pt idx="437">
                  <c:v>11.400000000000009</c:v>
                </c:pt>
                <c:pt idx="438">
                  <c:v>-24.699999999999989</c:v>
                </c:pt>
                <c:pt idx="439">
                  <c:v>18.000000000000011</c:v>
                </c:pt>
                <c:pt idx="440">
                  <c:v>-58.59999999999998</c:v>
                </c:pt>
                <c:pt idx="441">
                  <c:v>17.800000000000015</c:v>
                </c:pt>
                <c:pt idx="442">
                  <c:v>78.000000000000014</c:v>
                </c:pt>
                <c:pt idx="443">
                  <c:v>-53.999999999999986</c:v>
                </c:pt>
                <c:pt idx="444">
                  <c:v>0.50000000000001421</c:v>
                </c:pt>
                <c:pt idx="445">
                  <c:v>46.000000000000014</c:v>
                </c:pt>
                <c:pt idx="446">
                  <c:v>-49.999999999999986</c:v>
                </c:pt>
                <c:pt idx="447">
                  <c:v>6.5000000000000142</c:v>
                </c:pt>
                <c:pt idx="448">
                  <c:v>-43.599999999999987</c:v>
                </c:pt>
                <c:pt idx="449">
                  <c:v>-43.799999999999983</c:v>
                </c:pt>
                <c:pt idx="450">
                  <c:v>25.800000000000018</c:v>
                </c:pt>
                <c:pt idx="451">
                  <c:v>71.200000000000017</c:v>
                </c:pt>
                <c:pt idx="452">
                  <c:v>31.40000000000002</c:v>
                </c:pt>
                <c:pt idx="453">
                  <c:v>-40.499999999999979</c:v>
                </c:pt>
                <c:pt idx="454">
                  <c:v>11.600000000000021</c:v>
                </c:pt>
                <c:pt idx="455">
                  <c:v>-70.599999999999994</c:v>
                </c:pt>
                <c:pt idx="456">
                  <c:v>25.400000000000013</c:v>
                </c:pt>
                <c:pt idx="457">
                  <c:v>132.19999999999999</c:v>
                </c:pt>
                <c:pt idx="458">
                  <c:v>-18.499999999999986</c:v>
                </c:pt>
                <c:pt idx="459">
                  <c:v>-30.79999999999999</c:v>
                </c:pt>
                <c:pt idx="460">
                  <c:v>-7.9999999999999893</c:v>
                </c:pt>
                <c:pt idx="461">
                  <c:v>-38.799999999999983</c:v>
                </c:pt>
                <c:pt idx="462">
                  <c:v>14.400000000000009</c:v>
                </c:pt>
                <c:pt idx="463">
                  <c:v>6.400000000000011</c:v>
                </c:pt>
                <c:pt idx="464">
                  <c:v>-62.199999999999989</c:v>
                </c:pt>
                <c:pt idx="465">
                  <c:v>22.500000000000011</c:v>
                </c:pt>
                <c:pt idx="466">
                  <c:v>28.400000000000009</c:v>
                </c:pt>
                <c:pt idx="467">
                  <c:v>2.4000000000000092</c:v>
                </c:pt>
                <c:pt idx="468">
                  <c:v>-15.299999999999992</c:v>
                </c:pt>
                <c:pt idx="469">
                  <c:v>44.400000000000006</c:v>
                </c:pt>
                <c:pt idx="470">
                  <c:v>-9.5999999999999908</c:v>
                </c:pt>
                <c:pt idx="471">
                  <c:v>-13.299999999999992</c:v>
                </c:pt>
                <c:pt idx="472">
                  <c:v>37.20000000000001</c:v>
                </c:pt>
                <c:pt idx="473">
                  <c:v>-74.8</c:v>
                </c:pt>
                <c:pt idx="474">
                  <c:v>21.100000000000009</c:v>
                </c:pt>
                <c:pt idx="475">
                  <c:v>10.600000000000007</c:v>
                </c:pt>
                <c:pt idx="476">
                  <c:v>55.7</c:v>
                </c:pt>
                <c:pt idx="477">
                  <c:v>-37.499999999999993</c:v>
                </c:pt>
                <c:pt idx="478">
                  <c:v>5.6000000000000068</c:v>
                </c:pt>
                <c:pt idx="479">
                  <c:v>66.200000000000017</c:v>
                </c:pt>
                <c:pt idx="480">
                  <c:v>-41.499999999999993</c:v>
                </c:pt>
                <c:pt idx="481">
                  <c:v>4.2000000000000064</c:v>
                </c:pt>
                <c:pt idx="482">
                  <c:v>10.700000000000006</c:v>
                </c:pt>
                <c:pt idx="483">
                  <c:v>-13.399999999999995</c:v>
                </c:pt>
                <c:pt idx="484">
                  <c:v>-27.999999999999993</c:v>
                </c:pt>
                <c:pt idx="485">
                  <c:v>5.0000000000000071</c:v>
                </c:pt>
                <c:pt idx="486">
                  <c:v>-4.4999999999999929</c:v>
                </c:pt>
                <c:pt idx="487">
                  <c:v>20.000000000000007</c:v>
                </c:pt>
                <c:pt idx="488">
                  <c:v>-16.699999999999992</c:v>
                </c:pt>
                <c:pt idx="489">
                  <c:v>-5.3999999999999932</c:v>
                </c:pt>
                <c:pt idx="490">
                  <c:v>-30.79999999999999</c:v>
                </c:pt>
                <c:pt idx="491">
                  <c:v>-28.29999999999999</c:v>
                </c:pt>
                <c:pt idx="492">
                  <c:v>13.100000000000012</c:v>
                </c:pt>
                <c:pt idx="493">
                  <c:v>26.20000000000001</c:v>
                </c:pt>
                <c:pt idx="494">
                  <c:v>-66.199999999999989</c:v>
                </c:pt>
                <c:pt idx="495">
                  <c:v>17.800000000000011</c:v>
                </c:pt>
                <c:pt idx="496">
                  <c:v>26.20000000000001</c:v>
                </c:pt>
                <c:pt idx="497">
                  <c:v>-14.999999999999991</c:v>
                </c:pt>
                <c:pt idx="498">
                  <c:v>-7.7999999999999901</c:v>
                </c:pt>
                <c:pt idx="499">
                  <c:v>-77</c:v>
                </c:pt>
                <c:pt idx="500">
                  <c:v>31.000000000000007</c:v>
                </c:pt>
                <c:pt idx="501">
                  <c:v>-4.9999999999999929</c:v>
                </c:pt>
                <c:pt idx="502">
                  <c:v>-64.199999999999989</c:v>
                </c:pt>
                <c:pt idx="503">
                  <c:v>-132.79999999999998</c:v>
                </c:pt>
                <c:pt idx="504">
                  <c:v>73.700000000000017</c:v>
                </c:pt>
                <c:pt idx="505">
                  <c:v>8.6000000000000139</c:v>
                </c:pt>
                <c:pt idx="506">
                  <c:v>-3.3999999999999861</c:v>
                </c:pt>
                <c:pt idx="507">
                  <c:v>-9.1999999999999851</c:v>
                </c:pt>
                <c:pt idx="508">
                  <c:v>-32.999999999999986</c:v>
                </c:pt>
                <c:pt idx="509">
                  <c:v>-43.999999999999986</c:v>
                </c:pt>
                <c:pt idx="510">
                  <c:v>21.500000000000014</c:v>
                </c:pt>
                <c:pt idx="511">
                  <c:v>-24.999999999999986</c:v>
                </c:pt>
                <c:pt idx="512">
                  <c:v>106.00000000000001</c:v>
                </c:pt>
                <c:pt idx="513">
                  <c:v>-55.499999999999986</c:v>
                </c:pt>
                <c:pt idx="514">
                  <c:v>84.200000000000017</c:v>
                </c:pt>
                <c:pt idx="515">
                  <c:v>-19.399999999999984</c:v>
                </c:pt>
                <c:pt idx="516">
                  <c:v>-20.099999999999984</c:v>
                </c:pt>
                <c:pt idx="517">
                  <c:v>-14.399999999999984</c:v>
                </c:pt>
                <c:pt idx="518">
                  <c:v>27.500000000000018</c:v>
                </c:pt>
                <c:pt idx="519">
                  <c:v>-18.899999999999984</c:v>
                </c:pt>
                <c:pt idx="520">
                  <c:v>20.000000000000014</c:v>
                </c:pt>
                <c:pt idx="521">
                  <c:v>-20.899999999999984</c:v>
                </c:pt>
                <c:pt idx="522">
                  <c:v>-3.2999999999999829</c:v>
                </c:pt>
                <c:pt idx="523">
                  <c:v>23.800000000000018</c:v>
                </c:pt>
                <c:pt idx="524">
                  <c:v>34.000000000000014</c:v>
                </c:pt>
                <c:pt idx="525">
                  <c:v>-31.699999999999982</c:v>
                </c:pt>
                <c:pt idx="526">
                  <c:v>-32.999999999999986</c:v>
                </c:pt>
                <c:pt idx="527">
                  <c:v>-139.59999999999997</c:v>
                </c:pt>
                <c:pt idx="528">
                  <c:v>69.300000000000011</c:v>
                </c:pt>
                <c:pt idx="529">
                  <c:v>9.2000000000000135</c:v>
                </c:pt>
                <c:pt idx="530">
                  <c:v>-13.899999999999986</c:v>
                </c:pt>
                <c:pt idx="531">
                  <c:v>-4.0999999999999854</c:v>
                </c:pt>
                <c:pt idx="532">
                  <c:v>34.400000000000013</c:v>
                </c:pt>
                <c:pt idx="533">
                  <c:v>-17.099999999999987</c:v>
                </c:pt>
                <c:pt idx="534">
                  <c:v>-8.7999999999999865</c:v>
                </c:pt>
                <c:pt idx="535">
                  <c:v>42.600000000000016</c:v>
                </c:pt>
                <c:pt idx="536">
                  <c:v>22.200000000000014</c:v>
                </c:pt>
                <c:pt idx="537">
                  <c:v>-30.499999999999986</c:v>
                </c:pt>
                <c:pt idx="538">
                  <c:v>2.0000000000000142</c:v>
                </c:pt>
                <c:pt idx="539">
                  <c:v>-20.499999999999986</c:v>
                </c:pt>
                <c:pt idx="540">
                  <c:v>1.0000000000000142</c:v>
                </c:pt>
                <c:pt idx="541">
                  <c:v>-14.599999999999987</c:v>
                </c:pt>
                <c:pt idx="542">
                  <c:v>41.800000000000011</c:v>
                </c:pt>
                <c:pt idx="543">
                  <c:v>-25.999999999999986</c:v>
                </c:pt>
                <c:pt idx="544">
                  <c:v>60.000000000000014</c:v>
                </c:pt>
                <c:pt idx="545">
                  <c:v>-13.699999999999989</c:v>
                </c:pt>
                <c:pt idx="546">
                  <c:v>-16.899999999999988</c:v>
                </c:pt>
                <c:pt idx="547">
                  <c:v>29.200000000000017</c:v>
                </c:pt>
                <c:pt idx="548">
                  <c:v>12.900000000000015</c:v>
                </c:pt>
                <c:pt idx="549">
                  <c:v>-22.499999999999986</c:v>
                </c:pt>
                <c:pt idx="550">
                  <c:v>19.600000000000016</c:v>
                </c:pt>
                <c:pt idx="551">
                  <c:v>28.900000000000016</c:v>
                </c:pt>
                <c:pt idx="552">
                  <c:v>-28.099999999999987</c:v>
                </c:pt>
                <c:pt idx="553">
                  <c:v>43.600000000000016</c:v>
                </c:pt>
                <c:pt idx="554">
                  <c:v>-6.4999999999999858</c:v>
                </c:pt>
                <c:pt idx="555">
                  <c:v>-16.399999999999984</c:v>
                </c:pt>
                <c:pt idx="556">
                  <c:v>-29.399999999999984</c:v>
                </c:pt>
                <c:pt idx="557">
                  <c:v>-7.3999999999999844</c:v>
                </c:pt>
                <c:pt idx="558">
                  <c:v>2.3000000000000149</c:v>
                </c:pt>
                <c:pt idx="559">
                  <c:v>-8.9999999999999858</c:v>
                </c:pt>
                <c:pt idx="560">
                  <c:v>6.2000000000000144</c:v>
                </c:pt>
                <c:pt idx="561">
                  <c:v>-9.5999999999999837</c:v>
                </c:pt>
                <c:pt idx="562">
                  <c:v>-86.199999999999989</c:v>
                </c:pt>
                <c:pt idx="563">
                  <c:v>-117.39999999999998</c:v>
                </c:pt>
                <c:pt idx="564">
                  <c:v>71.500000000000014</c:v>
                </c:pt>
                <c:pt idx="565">
                  <c:v>38.400000000000013</c:v>
                </c:pt>
                <c:pt idx="566">
                  <c:v>44.900000000000013</c:v>
                </c:pt>
                <c:pt idx="567">
                  <c:v>-40.799999999999983</c:v>
                </c:pt>
                <c:pt idx="568">
                  <c:v>76.40000000000002</c:v>
                </c:pt>
                <c:pt idx="569">
                  <c:v>-41.299999999999983</c:v>
                </c:pt>
                <c:pt idx="570">
                  <c:v>-7.1999999999999833</c:v>
                </c:pt>
                <c:pt idx="571">
                  <c:v>11.000000000000018</c:v>
                </c:pt>
                <c:pt idx="572">
                  <c:v>20.800000000000018</c:v>
                </c:pt>
                <c:pt idx="573">
                  <c:v>-21.899999999999981</c:v>
                </c:pt>
                <c:pt idx="574">
                  <c:v>10.400000000000018</c:v>
                </c:pt>
                <c:pt idx="575">
                  <c:v>62.100000000000023</c:v>
                </c:pt>
                <c:pt idx="576">
                  <c:v>-42.399999999999977</c:v>
                </c:pt>
                <c:pt idx="577">
                  <c:v>-142.99999999999997</c:v>
                </c:pt>
                <c:pt idx="578">
                  <c:v>-115.39999999999998</c:v>
                </c:pt>
                <c:pt idx="579">
                  <c:v>84.700000000000031</c:v>
                </c:pt>
                <c:pt idx="580">
                  <c:v>-10.999999999999972</c:v>
                </c:pt>
                <c:pt idx="581">
                  <c:v>-64.399999999999977</c:v>
                </c:pt>
                <c:pt idx="582">
                  <c:v>26.200000000000024</c:v>
                </c:pt>
                <c:pt idx="583">
                  <c:v>-10.199999999999974</c:v>
                </c:pt>
                <c:pt idx="584">
                  <c:v>-82.799999999999983</c:v>
                </c:pt>
                <c:pt idx="585">
                  <c:v>35.200000000000031</c:v>
                </c:pt>
                <c:pt idx="586">
                  <c:v>113.00000000000003</c:v>
                </c:pt>
                <c:pt idx="587">
                  <c:v>-21.999999999999972</c:v>
                </c:pt>
                <c:pt idx="588">
                  <c:v>-25.999999999999972</c:v>
                </c:pt>
                <c:pt idx="589">
                  <c:v>-4.9999999999999716</c:v>
                </c:pt>
                <c:pt idx="590">
                  <c:v>67.000000000000028</c:v>
                </c:pt>
                <c:pt idx="591">
                  <c:v>-40.999999999999972</c:v>
                </c:pt>
                <c:pt idx="592">
                  <c:v>-45.999999999999972</c:v>
                </c:pt>
                <c:pt idx="593">
                  <c:v>34.300000000000026</c:v>
                </c:pt>
                <c:pt idx="594">
                  <c:v>-14.399999999999974</c:v>
                </c:pt>
                <c:pt idx="595">
                  <c:v>24.000000000000028</c:v>
                </c:pt>
                <c:pt idx="596">
                  <c:v>27.300000000000026</c:v>
                </c:pt>
                <c:pt idx="597">
                  <c:v>-28.39999999999997</c:v>
                </c:pt>
                <c:pt idx="598">
                  <c:v>26.800000000000029</c:v>
                </c:pt>
                <c:pt idx="599">
                  <c:v>57.900000000000027</c:v>
                </c:pt>
                <c:pt idx="600">
                  <c:v>-44.39999999999997</c:v>
                </c:pt>
                <c:pt idx="601">
                  <c:v>-11.799999999999972</c:v>
                </c:pt>
                <c:pt idx="602">
                  <c:v>-37.39999999999997</c:v>
                </c:pt>
                <c:pt idx="603">
                  <c:v>12.900000000000027</c:v>
                </c:pt>
                <c:pt idx="604">
                  <c:v>3.8000000000000291</c:v>
                </c:pt>
                <c:pt idx="605">
                  <c:v>-12.199999999999971</c:v>
                </c:pt>
                <c:pt idx="606">
                  <c:v>-3.5999999999999717</c:v>
                </c:pt>
                <c:pt idx="607">
                  <c:v>74.000000000000028</c:v>
                </c:pt>
                <c:pt idx="608">
                  <c:v>-38.899999999999977</c:v>
                </c:pt>
                <c:pt idx="609">
                  <c:v>-7.7999999999999741</c:v>
                </c:pt>
                <c:pt idx="610">
                  <c:v>117.00000000000003</c:v>
                </c:pt>
                <c:pt idx="611">
                  <c:v>-38.999999999999972</c:v>
                </c:pt>
                <c:pt idx="612">
                  <c:v>-18.499999999999972</c:v>
                </c:pt>
                <c:pt idx="613">
                  <c:v>18.400000000000027</c:v>
                </c:pt>
                <c:pt idx="614">
                  <c:v>-40.299999999999969</c:v>
                </c:pt>
                <c:pt idx="615">
                  <c:v>6.8000000000000291</c:v>
                </c:pt>
                <c:pt idx="616">
                  <c:v>27.200000000000031</c:v>
                </c:pt>
                <c:pt idx="617">
                  <c:v>9.1000000000000298</c:v>
                </c:pt>
                <c:pt idx="618">
                  <c:v>-20.099999999999969</c:v>
                </c:pt>
                <c:pt idx="619">
                  <c:v>110.00000000000003</c:v>
                </c:pt>
                <c:pt idx="620">
                  <c:v>-39.099999999999966</c:v>
                </c:pt>
                <c:pt idx="621">
                  <c:v>-16.699999999999967</c:v>
                </c:pt>
                <c:pt idx="622">
                  <c:v>-29.999999999999968</c:v>
                </c:pt>
                <c:pt idx="623">
                  <c:v>-105.29999999999995</c:v>
                </c:pt>
                <c:pt idx="624">
                  <c:v>51.400000000000034</c:v>
                </c:pt>
                <c:pt idx="625">
                  <c:v>-88.999999999999972</c:v>
                </c:pt>
                <c:pt idx="626">
                  <c:v>-52.999999999999964</c:v>
                </c:pt>
                <c:pt idx="627">
                  <c:v>40.000000000000036</c:v>
                </c:pt>
                <c:pt idx="628">
                  <c:v>16.400000000000034</c:v>
                </c:pt>
                <c:pt idx="629">
                  <c:v>-2.2999999999999652</c:v>
                </c:pt>
                <c:pt idx="630">
                  <c:v>-11.699999999999966</c:v>
                </c:pt>
                <c:pt idx="631">
                  <c:v>57.200000000000038</c:v>
                </c:pt>
                <c:pt idx="632">
                  <c:v>-34.69999999999996</c:v>
                </c:pt>
                <c:pt idx="633">
                  <c:v>-5.699999999999962</c:v>
                </c:pt>
                <c:pt idx="634">
                  <c:v>15.400000000000038</c:v>
                </c:pt>
                <c:pt idx="635">
                  <c:v>-35.399999999999963</c:v>
                </c:pt>
                <c:pt idx="636">
                  <c:v>5.1000000000000369</c:v>
                </c:pt>
                <c:pt idx="637">
                  <c:v>11.600000000000039</c:v>
                </c:pt>
                <c:pt idx="638">
                  <c:v>58.30000000000004</c:v>
                </c:pt>
                <c:pt idx="639">
                  <c:v>-40.799999999999955</c:v>
                </c:pt>
                <c:pt idx="640">
                  <c:v>-8.7999999999999581</c:v>
                </c:pt>
                <c:pt idx="641">
                  <c:v>4.5000000000000426</c:v>
                </c:pt>
                <c:pt idx="642">
                  <c:v>-8.7999999999999581</c:v>
                </c:pt>
                <c:pt idx="643">
                  <c:v>-3.9999999999999574</c:v>
                </c:pt>
                <c:pt idx="644">
                  <c:v>21.900000000000041</c:v>
                </c:pt>
                <c:pt idx="645">
                  <c:v>-18.699999999999957</c:v>
                </c:pt>
                <c:pt idx="646">
                  <c:v>91.000000000000043</c:v>
                </c:pt>
                <c:pt idx="647">
                  <c:v>29.000000000000043</c:v>
                </c:pt>
                <c:pt idx="648">
                  <c:v>-45.999999999999957</c:v>
                </c:pt>
                <c:pt idx="649">
                  <c:v>40.600000000000044</c:v>
                </c:pt>
                <c:pt idx="650">
                  <c:v>58.400000000000048</c:v>
                </c:pt>
                <c:pt idx="651">
                  <c:v>-48.099999999999959</c:v>
                </c:pt>
                <c:pt idx="652">
                  <c:v>7.0000000000000426</c:v>
                </c:pt>
                <c:pt idx="653">
                  <c:v>-10.999999999999957</c:v>
                </c:pt>
                <c:pt idx="654">
                  <c:v>-4.9999999999999574</c:v>
                </c:pt>
                <c:pt idx="655">
                  <c:v>-38.999999999999957</c:v>
                </c:pt>
                <c:pt idx="656">
                  <c:v>19.400000000000041</c:v>
                </c:pt>
                <c:pt idx="657">
                  <c:v>-8.6999999999999584</c:v>
                </c:pt>
                <c:pt idx="658">
                  <c:v>-57.399999999999956</c:v>
                </c:pt>
                <c:pt idx="659">
                  <c:v>94.200000000000045</c:v>
                </c:pt>
                <c:pt idx="660">
                  <c:v>-41.499999999999957</c:v>
                </c:pt>
                <c:pt idx="661">
                  <c:v>-42.799999999999955</c:v>
                </c:pt>
                <c:pt idx="662">
                  <c:v>-10.699999999999955</c:v>
                </c:pt>
                <c:pt idx="663">
                  <c:v>7.3000000000000469</c:v>
                </c:pt>
                <c:pt idx="664">
                  <c:v>67.000000000000043</c:v>
                </c:pt>
                <c:pt idx="665">
                  <c:v>-9.9999999999999538</c:v>
                </c:pt>
                <c:pt idx="666">
                  <c:v>-20.499999999999954</c:v>
                </c:pt>
                <c:pt idx="667">
                  <c:v>68.400000000000048</c:v>
                </c:pt>
                <c:pt idx="668">
                  <c:v>-42.299999999999955</c:v>
                </c:pt>
                <c:pt idx="669">
                  <c:v>-4.6999999999999513</c:v>
                </c:pt>
                <c:pt idx="670">
                  <c:v>19.80000000000005</c:v>
                </c:pt>
                <c:pt idx="671">
                  <c:v>-25.799999999999955</c:v>
                </c:pt>
                <c:pt idx="672">
                  <c:v>-0.79999999999995275</c:v>
                </c:pt>
                <c:pt idx="673">
                  <c:v>23.000000000000046</c:v>
                </c:pt>
                <c:pt idx="674">
                  <c:v>63.800000000000047</c:v>
                </c:pt>
                <c:pt idx="675">
                  <c:v>-46.399999999999949</c:v>
                </c:pt>
                <c:pt idx="676">
                  <c:v>8.6000000000000494</c:v>
                </c:pt>
                <c:pt idx="677">
                  <c:v>57.200000000000045</c:v>
                </c:pt>
                <c:pt idx="678">
                  <c:v>-39.49999999999995</c:v>
                </c:pt>
                <c:pt idx="679">
                  <c:v>-20.19999999999995</c:v>
                </c:pt>
                <c:pt idx="680">
                  <c:v>-16.599999999999952</c:v>
                </c:pt>
                <c:pt idx="681">
                  <c:v>4.6000000000000494</c:v>
                </c:pt>
                <c:pt idx="682">
                  <c:v>47.400000000000048</c:v>
                </c:pt>
                <c:pt idx="683">
                  <c:v>-35.599999999999952</c:v>
                </c:pt>
                <c:pt idx="684">
                  <c:v>-2.7999999999999492</c:v>
                </c:pt>
                <c:pt idx="685">
                  <c:v>22.400000000000048</c:v>
                </c:pt>
                <c:pt idx="686">
                  <c:v>-18.899999999999952</c:v>
                </c:pt>
                <c:pt idx="687">
                  <c:v>-4.8999999999999524</c:v>
                </c:pt>
                <c:pt idx="688">
                  <c:v>-4.3999999999999524</c:v>
                </c:pt>
                <c:pt idx="689">
                  <c:v>-38.49999999999995</c:v>
                </c:pt>
                <c:pt idx="690">
                  <c:v>11.600000000000051</c:v>
                </c:pt>
                <c:pt idx="691">
                  <c:v>-15.799999999999951</c:v>
                </c:pt>
                <c:pt idx="692">
                  <c:v>-61.199999999999946</c:v>
                </c:pt>
                <c:pt idx="693">
                  <c:v>25.800000000000054</c:v>
                </c:pt>
                <c:pt idx="694">
                  <c:v>-91.399999999999949</c:v>
                </c:pt>
                <c:pt idx="695">
                  <c:v>-89.199999999999946</c:v>
                </c:pt>
                <c:pt idx="696">
                  <c:v>58.70000000000006</c:v>
                </c:pt>
                <c:pt idx="697">
                  <c:v>31.400000000000055</c:v>
                </c:pt>
                <c:pt idx="698">
                  <c:v>-48.199999999999946</c:v>
                </c:pt>
                <c:pt idx="699">
                  <c:v>7.5000000000000568</c:v>
                </c:pt>
                <c:pt idx="700">
                  <c:v>40.600000000000058</c:v>
                </c:pt>
                <c:pt idx="701">
                  <c:v>-62.199999999999946</c:v>
                </c:pt>
                <c:pt idx="702">
                  <c:v>12.200000000000056</c:v>
                </c:pt>
                <c:pt idx="703">
                  <c:v>11.200000000000056</c:v>
                </c:pt>
                <c:pt idx="704">
                  <c:v>48.100000000000058</c:v>
                </c:pt>
                <c:pt idx="705">
                  <c:v>-35.599999999999945</c:v>
                </c:pt>
                <c:pt idx="706">
                  <c:v>5.0000000000000568</c:v>
                </c:pt>
                <c:pt idx="707">
                  <c:v>-57.599999999999945</c:v>
                </c:pt>
                <c:pt idx="708">
                  <c:v>18.800000000000058</c:v>
                </c:pt>
                <c:pt idx="709">
                  <c:v>-82.999999999999943</c:v>
                </c:pt>
                <c:pt idx="710">
                  <c:v>-12.999999999999943</c:v>
                </c:pt>
                <c:pt idx="711">
                  <c:v>18.500000000000057</c:v>
                </c:pt>
                <c:pt idx="712">
                  <c:v>10.000000000000057</c:v>
                </c:pt>
                <c:pt idx="713">
                  <c:v>88.500000000000057</c:v>
                </c:pt>
                <c:pt idx="714">
                  <c:v>-55.499999999999943</c:v>
                </c:pt>
                <c:pt idx="715">
                  <c:v>30.600000000000058</c:v>
                </c:pt>
                <c:pt idx="716">
                  <c:v>-26.399999999999945</c:v>
                </c:pt>
                <c:pt idx="717">
                  <c:v>-3.1999999999999442</c:v>
                </c:pt>
                <c:pt idx="718">
                  <c:v>11.400000000000055</c:v>
                </c:pt>
                <c:pt idx="719">
                  <c:v>-40.399999999999949</c:v>
                </c:pt>
                <c:pt idx="720">
                  <c:v>8.6000000000000547</c:v>
                </c:pt>
                <c:pt idx="721">
                  <c:v>21.000000000000057</c:v>
                </c:pt>
                <c:pt idx="722">
                  <c:v>12.200000000000054</c:v>
                </c:pt>
                <c:pt idx="723">
                  <c:v>-20.099999999999945</c:v>
                </c:pt>
                <c:pt idx="724">
                  <c:v>-83.199999999999946</c:v>
                </c:pt>
                <c:pt idx="725">
                  <c:v>-68.499999999999943</c:v>
                </c:pt>
                <c:pt idx="726">
                  <c:v>46.300000000000054</c:v>
                </c:pt>
                <c:pt idx="727">
                  <c:v>68.800000000000054</c:v>
                </c:pt>
                <c:pt idx="728">
                  <c:v>8.300000000000054</c:v>
                </c:pt>
                <c:pt idx="729">
                  <c:v>-30.099999999999948</c:v>
                </c:pt>
                <c:pt idx="730">
                  <c:v>17.000000000000053</c:v>
                </c:pt>
                <c:pt idx="731">
                  <c:v>-16.999999999999947</c:v>
                </c:pt>
                <c:pt idx="732">
                  <c:v>-4.4999999999999467</c:v>
                </c:pt>
                <c:pt idx="733">
                  <c:v>-78.999999999999943</c:v>
                </c:pt>
                <c:pt idx="734">
                  <c:v>-33.999999999999943</c:v>
                </c:pt>
                <c:pt idx="735">
                  <c:v>28.000000000000057</c:v>
                </c:pt>
                <c:pt idx="736">
                  <c:v>15.600000000000058</c:v>
                </c:pt>
                <c:pt idx="737">
                  <c:v>4.7000000000000579</c:v>
                </c:pt>
                <c:pt idx="738">
                  <c:v>-14.999999999999943</c:v>
                </c:pt>
                <c:pt idx="739">
                  <c:v>15.200000000000056</c:v>
                </c:pt>
                <c:pt idx="740">
                  <c:v>53.300000000000061</c:v>
                </c:pt>
                <c:pt idx="741">
                  <c:v>-39.199999999999946</c:v>
                </c:pt>
                <c:pt idx="742">
                  <c:v>38.400000000000055</c:v>
                </c:pt>
                <c:pt idx="743">
                  <c:v>65.70000000000006</c:v>
                </c:pt>
                <c:pt idx="744">
                  <c:v>-51.199999999999946</c:v>
                </c:pt>
                <c:pt idx="745">
                  <c:v>-85.79999999999994</c:v>
                </c:pt>
                <c:pt idx="746">
                  <c:v>37.200000000000053</c:v>
                </c:pt>
                <c:pt idx="747">
                  <c:v>-5.8999999999999453</c:v>
                </c:pt>
                <c:pt idx="748">
                  <c:v>6.2000000000000544</c:v>
                </c:pt>
                <c:pt idx="749">
                  <c:v>23.400000000000055</c:v>
                </c:pt>
                <c:pt idx="750">
                  <c:v>-21.999999999999943</c:v>
                </c:pt>
                <c:pt idx="751">
                  <c:v>-102.99999999999994</c:v>
                </c:pt>
                <c:pt idx="752">
                  <c:v>-20.999999999999943</c:v>
                </c:pt>
                <c:pt idx="753">
                  <c:v>27.500000000000057</c:v>
                </c:pt>
                <c:pt idx="754">
                  <c:v>99.20000000000006</c:v>
                </c:pt>
                <c:pt idx="755">
                  <c:v>16.300000000000061</c:v>
                </c:pt>
                <c:pt idx="756">
                  <c:v>-41.699999999999946</c:v>
                </c:pt>
                <c:pt idx="757">
                  <c:v>4.0000000000000568</c:v>
                </c:pt>
                <c:pt idx="758">
                  <c:v>84.500000000000057</c:v>
                </c:pt>
                <c:pt idx="759">
                  <c:v>-51.999999999999943</c:v>
                </c:pt>
                <c:pt idx="760">
                  <c:v>-34.999999999999943</c:v>
                </c:pt>
                <c:pt idx="761">
                  <c:v>-106.39999999999995</c:v>
                </c:pt>
                <c:pt idx="762">
                  <c:v>53.20000000000006</c:v>
                </c:pt>
                <c:pt idx="763">
                  <c:v>10.600000000000056</c:v>
                </c:pt>
                <c:pt idx="764">
                  <c:v>20.800000000000058</c:v>
                </c:pt>
                <c:pt idx="765">
                  <c:v>-21.799999999999944</c:v>
                </c:pt>
                <c:pt idx="766">
                  <c:v>32.20000000000006</c:v>
                </c:pt>
                <c:pt idx="767">
                  <c:v>9.6000000000000583</c:v>
                </c:pt>
                <c:pt idx="768">
                  <c:v>-21.599999999999945</c:v>
                </c:pt>
                <c:pt idx="769">
                  <c:v>7.4000000000000572</c:v>
                </c:pt>
                <c:pt idx="770">
                  <c:v>10.200000000000056</c:v>
                </c:pt>
                <c:pt idx="771">
                  <c:v>-15.699999999999942</c:v>
                </c:pt>
                <c:pt idx="772">
                  <c:v>20.200000000000056</c:v>
                </c:pt>
                <c:pt idx="773">
                  <c:v>9.2000000000000579</c:v>
                </c:pt>
                <c:pt idx="774">
                  <c:v>-18.399999999999942</c:v>
                </c:pt>
                <c:pt idx="775">
                  <c:v>3.0000000000000568</c:v>
                </c:pt>
                <c:pt idx="776">
                  <c:v>-75.599999999999937</c:v>
                </c:pt>
                <c:pt idx="777">
                  <c:v>28.300000000000054</c:v>
                </c:pt>
                <c:pt idx="778">
                  <c:v>65.000000000000057</c:v>
                </c:pt>
                <c:pt idx="779">
                  <c:v>-40.999999999999943</c:v>
                </c:pt>
                <c:pt idx="780">
                  <c:v>-4.4999999999999432</c:v>
                </c:pt>
                <c:pt idx="781">
                  <c:v>21.800000000000058</c:v>
                </c:pt>
                <c:pt idx="782">
                  <c:v>26.400000000000055</c:v>
                </c:pt>
                <c:pt idx="783">
                  <c:v>-27.399999999999942</c:v>
                </c:pt>
                <c:pt idx="784">
                  <c:v>7.2000000000000561</c:v>
                </c:pt>
                <c:pt idx="785">
                  <c:v>-9.4999999999999432</c:v>
                </c:pt>
                <c:pt idx="786">
                  <c:v>-5.799999999999943</c:v>
                </c:pt>
                <c:pt idx="787">
                  <c:v>128.40000000000006</c:v>
                </c:pt>
                <c:pt idx="788">
                  <c:v>-56.099999999999937</c:v>
                </c:pt>
                <c:pt idx="789">
                  <c:v>-12.799999999999939</c:v>
                </c:pt>
                <c:pt idx="790">
                  <c:v>-81.199999999999932</c:v>
                </c:pt>
                <c:pt idx="791">
                  <c:v>38.300000000000068</c:v>
                </c:pt>
                <c:pt idx="792">
                  <c:v>-7.5999999999999339</c:v>
                </c:pt>
                <c:pt idx="793">
                  <c:v>41.000000000000064</c:v>
                </c:pt>
                <c:pt idx="794">
                  <c:v>1.0000000000000639</c:v>
                </c:pt>
                <c:pt idx="795">
                  <c:v>-19.499999999999936</c:v>
                </c:pt>
                <c:pt idx="796">
                  <c:v>14.000000000000064</c:v>
                </c:pt>
                <c:pt idx="797">
                  <c:v>-18.099999999999937</c:v>
                </c:pt>
                <c:pt idx="798">
                  <c:v>-3.1999999999999371</c:v>
                </c:pt>
                <c:pt idx="799">
                  <c:v>5.0000000000000631</c:v>
                </c:pt>
                <c:pt idx="800">
                  <c:v>1.400000000000063</c:v>
                </c:pt>
                <c:pt idx="801">
                  <c:v>-10.699999999999937</c:v>
                </c:pt>
                <c:pt idx="802">
                  <c:v>10.600000000000062</c:v>
                </c:pt>
                <c:pt idx="803">
                  <c:v>-76.199999999999932</c:v>
                </c:pt>
                <c:pt idx="804">
                  <c:v>26.70000000000006</c:v>
                </c:pt>
                <c:pt idx="805">
                  <c:v>79.600000000000051</c:v>
                </c:pt>
                <c:pt idx="806">
                  <c:v>-53.29999999999994</c:v>
                </c:pt>
                <c:pt idx="807">
                  <c:v>-1.9999999999999432</c:v>
                </c:pt>
                <c:pt idx="808">
                  <c:v>76.400000000000063</c:v>
                </c:pt>
                <c:pt idx="809">
                  <c:v>-19.699999999999939</c:v>
                </c:pt>
                <c:pt idx="810">
                  <c:v>-17.99999999999994</c:v>
                </c:pt>
                <c:pt idx="811">
                  <c:v>-4.7999999999999403</c:v>
                </c:pt>
                <c:pt idx="812">
                  <c:v>12.10000000000006</c:v>
                </c:pt>
                <c:pt idx="813">
                  <c:v>-13.599999999999939</c:v>
                </c:pt>
                <c:pt idx="814">
                  <c:v>19.400000000000059</c:v>
                </c:pt>
                <c:pt idx="815">
                  <c:v>16.600000000000058</c:v>
                </c:pt>
                <c:pt idx="816">
                  <c:v>-21.899999999999938</c:v>
                </c:pt>
                <c:pt idx="817">
                  <c:v>14.00000000000006</c:v>
                </c:pt>
                <c:pt idx="818">
                  <c:v>-16.699999999999939</c:v>
                </c:pt>
                <c:pt idx="819">
                  <c:v>-3.8999999999999395</c:v>
                </c:pt>
                <c:pt idx="820">
                  <c:v>49.400000000000063</c:v>
                </c:pt>
                <c:pt idx="821">
                  <c:v>33.800000000000061</c:v>
                </c:pt>
                <c:pt idx="822">
                  <c:v>-37.999999999999943</c:v>
                </c:pt>
                <c:pt idx="823">
                  <c:v>-30.199999999999939</c:v>
                </c:pt>
                <c:pt idx="824">
                  <c:v>22.600000000000065</c:v>
                </c:pt>
                <c:pt idx="825">
                  <c:v>-12.499999999999936</c:v>
                </c:pt>
                <c:pt idx="826">
                  <c:v>10.000000000000064</c:v>
                </c:pt>
                <c:pt idx="827">
                  <c:v>-47.699999999999939</c:v>
                </c:pt>
                <c:pt idx="828">
                  <c:v>12.600000000000065</c:v>
                </c:pt>
                <c:pt idx="829">
                  <c:v>-40.199999999999939</c:v>
                </c:pt>
                <c:pt idx="830">
                  <c:v>26.600000000000065</c:v>
                </c:pt>
                <c:pt idx="831">
                  <c:v>-13.999999999999936</c:v>
                </c:pt>
                <c:pt idx="832">
                  <c:v>9.6000000000000636</c:v>
                </c:pt>
                <c:pt idx="833">
                  <c:v>-26.999999999999936</c:v>
                </c:pt>
                <c:pt idx="834">
                  <c:v>0.60000000000006182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5-4763-84E1-FF8CE49EF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-15.815085158150852</c:v>
                </c:pt>
                <c:pt idx="1">
                  <c:v>-5.0505050505050502</c:v>
                </c:pt>
                <c:pt idx="2">
                  <c:v>8.097165991902834</c:v>
                </c:pt>
                <c:pt idx="3">
                  <c:v>3.0030030030030028</c:v>
                </c:pt>
                <c:pt idx="4">
                  <c:v>10.256410256410257</c:v>
                </c:pt>
                <c:pt idx="5">
                  <c:v>-6.4102564102564106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9-4B69-AAE7-CEBCFCC4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だいち!$K$2:$K$239</c:f>
              <c:numCache>
                <c:formatCode>General</c:formatCode>
                <c:ptCount val="2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</c:numCache>
            </c:numRef>
          </c:xVal>
          <c:yVal>
            <c:numRef>
              <c:f>だいち!$L$2:$L$239</c:f>
              <c:numCache>
                <c:formatCode>\+0.0;\-0.0;\±0</c:formatCode>
                <c:ptCount val="238"/>
                <c:pt idx="0">
                  <c:v>0</c:v>
                </c:pt>
                <c:pt idx="1">
                  <c:v>30</c:v>
                </c:pt>
                <c:pt idx="2">
                  <c:v>13</c:v>
                </c:pt>
                <c:pt idx="3">
                  <c:v>44.2</c:v>
                </c:pt>
                <c:pt idx="4">
                  <c:v>199.5</c:v>
                </c:pt>
                <c:pt idx="5">
                  <c:v>177.3</c:v>
                </c:pt>
                <c:pt idx="6">
                  <c:v>49.800000000000011</c:v>
                </c:pt>
                <c:pt idx="7">
                  <c:v>85.600000000000023</c:v>
                </c:pt>
                <c:pt idx="8">
                  <c:v>19.700000000000017</c:v>
                </c:pt>
                <c:pt idx="9">
                  <c:v>-26.299999999999983</c:v>
                </c:pt>
                <c:pt idx="10">
                  <c:v>-48.299999999999983</c:v>
                </c:pt>
                <c:pt idx="11">
                  <c:v>19.800000000000018</c:v>
                </c:pt>
                <c:pt idx="12">
                  <c:v>27.100000000000019</c:v>
                </c:pt>
                <c:pt idx="13">
                  <c:v>128.30000000000001</c:v>
                </c:pt>
                <c:pt idx="14">
                  <c:v>-16.699999999999989</c:v>
                </c:pt>
                <c:pt idx="15">
                  <c:v>-46.699999999999989</c:v>
                </c:pt>
                <c:pt idx="16">
                  <c:v>-6.4999999999999893</c:v>
                </c:pt>
                <c:pt idx="17">
                  <c:v>-50.899999999999984</c:v>
                </c:pt>
                <c:pt idx="18">
                  <c:v>0.30000000000001492</c:v>
                </c:pt>
                <c:pt idx="19">
                  <c:v>99.800000000000011</c:v>
                </c:pt>
                <c:pt idx="20">
                  <c:v>95.000000000000014</c:v>
                </c:pt>
                <c:pt idx="21">
                  <c:v>181.8</c:v>
                </c:pt>
                <c:pt idx="22">
                  <c:v>74.300000000000011</c:v>
                </c:pt>
                <c:pt idx="23">
                  <c:v>149.20000000000002</c:v>
                </c:pt>
                <c:pt idx="24">
                  <c:v>111.50000000000001</c:v>
                </c:pt>
                <c:pt idx="25">
                  <c:v>50.600000000000009</c:v>
                </c:pt>
                <c:pt idx="26">
                  <c:v>132.10000000000002</c:v>
                </c:pt>
                <c:pt idx="27">
                  <c:v>34.200000000000017</c:v>
                </c:pt>
                <c:pt idx="28">
                  <c:v>187.20000000000002</c:v>
                </c:pt>
                <c:pt idx="29">
                  <c:v>112.4</c:v>
                </c:pt>
                <c:pt idx="30">
                  <c:v>227.40000000000003</c:v>
                </c:pt>
                <c:pt idx="31">
                  <c:v>146.10000000000002</c:v>
                </c:pt>
                <c:pt idx="32">
                  <c:v>281.5</c:v>
                </c:pt>
                <c:pt idx="33">
                  <c:v>320.8</c:v>
                </c:pt>
                <c:pt idx="34">
                  <c:v>242.8</c:v>
                </c:pt>
                <c:pt idx="35">
                  <c:v>250</c:v>
                </c:pt>
                <c:pt idx="36">
                  <c:v>219.20000000000002</c:v>
                </c:pt>
                <c:pt idx="37">
                  <c:v>278.50000000000006</c:v>
                </c:pt>
                <c:pt idx="38">
                  <c:v>156.20000000000005</c:v>
                </c:pt>
                <c:pt idx="39">
                  <c:v>190.40000000000006</c:v>
                </c:pt>
                <c:pt idx="40">
                  <c:v>184.60000000000005</c:v>
                </c:pt>
                <c:pt idx="41">
                  <c:v>118.80000000000004</c:v>
                </c:pt>
                <c:pt idx="42">
                  <c:v>138.20000000000005</c:v>
                </c:pt>
                <c:pt idx="43">
                  <c:v>163.50000000000006</c:v>
                </c:pt>
                <c:pt idx="44">
                  <c:v>134.30000000000004</c:v>
                </c:pt>
                <c:pt idx="45">
                  <c:v>200.50000000000006</c:v>
                </c:pt>
                <c:pt idx="46">
                  <c:v>131.60000000000005</c:v>
                </c:pt>
                <c:pt idx="47">
                  <c:v>89.900000000000063</c:v>
                </c:pt>
                <c:pt idx="48">
                  <c:v>153.40000000000003</c:v>
                </c:pt>
                <c:pt idx="49">
                  <c:v>127.40000000000003</c:v>
                </c:pt>
                <c:pt idx="50">
                  <c:v>157.90000000000006</c:v>
                </c:pt>
                <c:pt idx="51">
                  <c:v>146.50000000000003</c:v>
                </c:pt>
                <c:pt idx="52">
                  <c:v>132.40000000000006</c:v>
                </c:pt>
                <c:pt idx="53">
                  <c:v>83.100000000000051</c:v>
                </c:pt>
                <c:pt idx="54">
                  <c:v>144.50000000000006</c:v>
                </c:pt>
                <c:pt idx="55">
                  <c:v>113.80000000000005</c:v>
                </c:pt>
                <c:pt idx="56">
                  <c:v>184.00000000000006</c:v>
                </c:pt>
                <c:pt idx="57">
                  <c:v>184.00000000000009</c:v>
                </c:pt>
                <c:pt idx="58">
                  <c:v>282.20000000000005</c:v>
                </c:pt>
                <c:pt idx="59">
                  <c:v>235.8000000000001</c:v>
                </c:pt>
                <c:pt idx="60">
                  <c:v>138.3000000000001</c:v>
                </c:pt>
                <c:pt idx="61">
                  <c:v>226.60000000000008</c:v>
                </c:pt>
                <c:pt idx="62">
                  <c:v>73.500000000000085</c:v>
                </c:pt>
                <c:pt idx="63">
                  <c:v>129.50000000000009</c:v>
                </c:pt>
                <c:pt idx="64">
                  <c:v>136.50000000000009</c:v>
                </c:pt>
                <c:pt idx="65">
                  <c:v>198.70000000000007</c:v>
                </c:pt>
                <c:pt idx="66">
                  <c:v>129.10000000000008</c:v>
                </c:pt>
                <c:pt idx="67">
                  <c:v>128.30000000000007</c:v>
                </c:pt>
                <c:pt idx="68">
                  <c:v>140.00000000000009</c:v>
                </c:pt>
                <c:pt idx="69">
                  <c:v>203.7000000000001</c:v>
                </c:pt>
                <c:pt idx="70">
                  <c:v>228.2000000000001</c:v>
                </c:pt>
                <c:pt idx="71">
                  <c:v>185.00000000000009</c:v>
                </c:pt>
                <c:pt idx="72">
                  <c:v>229.00000000000011</c:v>
                </c:pt>
                <c:pt idx="73">
                  <c:v>182.90000000000009</c:v>
                </c:pt>
                <c:pt idx="74">
                  <c:v>276.80000000000007</c:v>
                </c:pt>
                <c:pt idx="75">
                  <c:v>247.20000000000007</c:v>
                </c:pt>
                <c:pt idx="76">
                  <c:v>214.60000000000011</c:v>
                </c:pt>
                <c:pt idx="77">
                  <c:v>238.50000000000009</c:v>
                </c:pt>
                <c:pt idx="78">
                  <c:v>297.20000000000005</c:v>
                </c:pt>
                <c:pt idx="79">
                  <c:v>345.30000000000007</c:v>
                </c:pt>
                <c:pt idx="80">
                  <c:v>350.30000000000007</c:v>
                </c:pt>
                <c:pt idx="81">
                  <c:v>390.80000000000007</c:v>
                </c:pt>
                <c:pt idx="82">
                  <c:v>478.90000000000009</c:v>
                </c:pt>
                <c:pt idx="83">
                  <c:v>441.30000000000013</c:v>
                </c:pt>
                <c:pt idx="84">
                  <c:v>433.40000000000015</c:v>
                </c:pt>
                <c:pt idx="85">
                  <c:v>389.00000000000017</c:v>
                </c:pt>
                <c:pt idx="86">
                  <c:v>417.40000000000015</c:v>
                </c:pt>
                <c:pt idx="87">
                  <c:v>322.90000000000015</c:v>
                </c:pt>
                <c:pt idx="88">
                  <c:v>367.2000000000001</c:v>
                </c:pt>
                <c:pt idx="89">
                  <c:v>420.60000000000008</c:v>
                </c:pt>
                <c:pt idx="90">
                  <c:v>413.60000000000008</c:v>
                </c:pt>
                <c:pt idx="91">
                  <c:v>446.10000000000014</c:v>
                </c:pt>
                <c:pt idx="92">
                  <c:v>511.20000000000016</c:v>
                </c:pt>
                <c:pt idx="93">
                  <c:v>456.10000000000014</c:v>
                </c:pt>
                <c:pt idx="94">
                  <c:v>387.10000000000014</c:v>
                </c:pt>
                <c:pt idx="95">
                  <c:v>345.60000000000014</c:v>
                </c:pt>
                <c:pt idx="96">
                  <c:v>407.30000000000018</c:v>
                </c:pt>
                <c:pt idx="97">
                  <c:v>392.20000000000016</c:v>
                </c:pt>
                <c:pt idx="98">
                  <c:v>481.20000000000016</c:v>
                </c:pt>
                <c:pt idx="99">
                  <c:v>426.50000000000011</c:v>
                </c:pt>
                <c:pt idx="100">
                  <c:v>417.30000000000018</c:v>
                </c:pt>
                <c:pt idx="101">
                  <c:v>348.70000000000016</c:v>
                </c:pt>
                <c:pt idx="102">
                  <c:v>349.10000000000014</c:v>
                </c:pt>
                <c:pt idx="103">
                  <c:v>421.90000000000015</c:v>
                </c:pt>
                <c:pt idx="104">
                  <c:v>484.10000000000019</c:v>
                </c:pt>
                <c:pt idx="105">
                  <c:v>453.50000000000017</c:v>
                </c:pt>
                <c:pt idx="106">
                  <c:v>423.90000000000015</c:v>
                </c:pt>
                <c:pt idx="107">
                  <c:v>404.20000000000016</c:v>
                </c:pt>
                <c:pt idx="108">
                  <c:v>381.10000000000014</c:v>
                </c:pt>
                <c:pt idx="109">
                  <c:v>448.40000000000015</c:v>
                </c:pt>
                <c:pt idx="110">
                  <c:v>463.40000000000015</c:v>
                </c:pt>
                <c:pt idx="111">
                  <c:v>433.10000000000019</c:v>
                </c:pt>
                <c:pt idx="112">
                  <c:v>550.50000000000023</c:v>
                </c:pt>
                <c:pt idx="113">
                  <c:v>528.70000000000016</c:v>
                </c:pt>
                <c:pt idx="114">
                  <c:v>435.60000000000019</c:v>
                </c:pt>
                <c:pt idx="115">
                  <c:v>506.60000000000019</c:v>
                </c:pt>
                <c:pt idx="116">
                  <c:v>520.70000000000016</c:v>
                </c:pt>
                <c:pt idx="117">
                  <c:v>528.60000000000025</c:v>
                </c:pt>
                <c:pt idx="118">
                  <c:v>550.80000000000018</c:v>
                </c:pt>
                <c:pt idx="119">
                  <c:v>458.9000000000002</c:v>
                </c:pt>
                <c:pt idx="120">
                  <c:v>573.4000000000002</c:v>
                </c:pt>
                <c:pt idx="121">
                  <c:v>441.9000000000002</c:v>
                </c:pt>
                <c:pt idx="122">
                  <c:v>514.80000000000018</c:v>
                </c:pt>
                <c:pt idx="123">
                  <c:v>462.60000000000019</c:v>
                </c:pt>
                <c:pt idx="124">
                  <c:v>564.9000000000002</c:v>
                </c:pt>
                <c:pt idx="125">
                  <c:v>577.70000000000027</c:v>
                </c:pt>
                <c:pt idx="126">
                  <c:v>567.60000000000025</c:v>
                </c:pt>
                <c:pt idx="127">
                  <c:v>645.70000000000016</c:v>
                </c:pt>
                <c:pt idx="128">
                  <c:v>654.4000000000002</c:v>
                </c:pt>
                <c:pt idx="129">
                  <c:v>650.4000000000002</c:v>
                </c:pt>
                <c:pt idx="130">
                  <c:v>721.4000000000002</c:v>
                </c:pt>
                <c:pt idx="131">
                  <c:v>640.8000000000003</c:v>
                </c:pt>
                <c:pt idx="132">
                  <c:v>735.8000000000003</c:v>
                </c:pt>
                <c:pt idx="133">
                  <c:v>713.80000000000018</c:v>
                </c:pt>
                <c:pt idx="134">
                  <c:v>842.20000000000027</c:v>
                </c:pt>
                <c:pt idx="135">
                  <c:v>784.50000000000034</c:v>
                </c:pt>
                <c:pt idx="136">
                  <c:v>811.70000000000039</c:v>
                </c:pt>
                <c:pt idx="137">
                  <c:v>843.90000000000043</c:v>
                </c:pt>
                <c:pt idx="138">
                  <c:v>860.90000000000043</c:v>
                </c:pt>
                <c:pt idx="139">
                  <c:v>854.90000000000032</c:v>
                </c:pt>
                <c:pt idx="140">
                  <c:v>857.20000000000027</c:v>
                </c:pt>
                <c:pt idx="141">
                  <c:v>860.60000000000036</c:v>
                </c:pt>
                <c:pt idx="142">
                  <c:v>832.50000000000034</c:v>
                </c:pt>
                <c:pt idx="143">
                  <c:v>869.50000000000034</c:v>
                </c:pt>
                <c:pt idx="144">
                  <c:v>831.20000000000039</c:v>
                </c:pt>
                <c:pt idx="145">
                  <c:v>875.30000000000041</c:v>
                </c:pt>
                <c:pt idx="146">
                  <c:v>890.90000000000043</c:v>
                </c:pt>
                <c:pt idx="147">
                  <c:v>803.30000000000041</c:v>
                </c:pt>
                <c:pt idx="148">
                  <c:v>780.10000000000036</c:v>
                </c:pt>
                <c:pt idx="149">
                  <c:v>823.3000000000003</c:v>
                </c:pt>
                <c:pt idx="150">
                  <c:v>788.50000000000034</c:v>
                </c:pt>
                <c:pt idx="151">
                  <c:v>782.50000000000034</c:v>
                </c:pt>
                <c:pt idx="152">
                  <c:v>881.70000000000039</c:v>
                </c:pt>
                <c:pt idx="153">
                  <c:v>827.70000000000027</c:v>
                </c:pt>
                <c:pt idx="154">
                  <c:v>861.20000000000027</c:v>
                </c:pt>
                <c:pt idx="155">
                  <c:v>818.8000000000003</c:v>
                </c:pt>
                <c:pt idx="156">
                  <c:v>847.00000000000034</c:v>
                </c:pt>
                <c:pt idx="157">
                  <c:v>879.30000000000041</c:v>
                </c:pt>
                <c:pt idx="158">
                  <c:v>907.20000000000027</c:v>
                </c:pt>
                <c:pt idx="159">
                  <c:v>873.80000000000041</c:v>
                </c:pt>
                <c:pt idx="160">
                  <c:v>943.60000000000036</c:v>
                </c:pt>
                <c:pt idx="161">
                  <c:v>945.30000000000041</c:v>
                </c:pt>
                <c:pt idx="162">
                  <c:v>952.8000000000003</c:v>
                </c:pt>
                <c:pt idx="163">
                  <c:v>989.10000000000025</c:v>
                </c:pt>
                <c:pt idx="164">
                  <c:v>940.4000000000002</c:v>
                </c:pt>
                <c:pt idx="165">
                  <c:v>948.60000000000025</c:v>
                </c:pt>
                <c:pt idx="166">
                  <c:v>869.4000000000002</c:v>
                </c:pt>
                <c:pt idx="167">
                  <c:v>953.40000000000032</c:v>
                </c:pt>
                <c:pt idx="168">
                  <c:v>1013.1000000000004</c:v>
                </c:pt>
                <c:pt idx="169">
                  <c:v>988.40000000000032</c:v>
                </c:pt>
                <c:pt idx="170">
                  <c:v>995.80000000000041</c:v>
                </c:pt>
                <c:pt idx="171">
                  <c:v>850.10000000000036</c:v>
                </c:pt>
                <c:pt idx="172">
                  <c:v>913.10000000000036</c:v>
                </c:pt>
                <c:pt idx="173">
                  <c:v>910.90000000000032</c:v>
                </c:pt>
                <c:pt idx="174">
                  <c:v>1031.5000000000005</c:v>
                </c:pt>
                <c:pt idx="175">
                  <c:v>972.50000000000034</c:v>
                </c:pt>
                <c:pt idx="176">
                  <c:v>931.50000000000034</c:v>
                </c:pt>
                <c:pt idx="177">
                  <c:v>945.20000000000039</c:v>
                </c:pt>
                <c:pt idx="178">
                  <c:v>1027.6000000000004</c:v>
                </c:pt>
                <c:pt idx="179">
                  <c:v>1110.1000000000004</c:v>
                </c:pt>
                <c:pt idx="180">
                  <c:v>1072.5000000000005</c:v>
                </c:pt>
                <c:pt idx="181">
                  <c:v>1093.0000000000002</c:v>
                </c:pt>
                <c:pt idx="182">
                  <c:v>1191.9000000000003</c:v>
                </c:pt>
                <c:pt idx="183">
                  <c:v>1109.4000000000003</c:v>
                </c:pt>
                <c:pt idx="184">
                  <c:v>1143.3000000000004</c:v>
                </c:pt>
                <c:pt idx="185">
                  <c:v>1194.8000000000002</c:v>
                </c:pt>
                <c:pt idx="186">
                  <c:v>1184.1000000000004</c:v>
                </c:pt>
                <c:pt idx="187">
                  <c:v>1190.5000000000002</c:v>
                </c:pt>
                <c:pt idx="188">
                  <c:v>1178.4000000000001</c:v>
                </c:pt>
                <c:pt idx="189">
                  <c:v>1181.3000000000002</c:v>
                </c:pt>
                <c:pt idx="190">
                  <c:v>1276.8000000000002</c:v>
                </c:pt>
                <c:pt idx="191">
                  <c:v>1274.4000000000001</c:v>
                </c:pt>
                <c:pt idx="192">
                  <c:v>1263.6000000000001</c:v>
                </c:pt>
                <c:pt idx="193">
                  <c:v>1223.6000000000001</c:v>
                </c:pt>
                <c:pt idx="194">
                  <c:v>1202.8</c:v>
                </c:pt>
                <c:pt idx="195">
                  <c:v>1295.1000000000001</c:v>
                </c:pt>
                <c:pt idx="196">
                  <c:v>1283.2000000000003</c:v>
                </c:pt>
                <c:pt idx="197">
                  <c:v>1298.8000000000002</c:v>
                </c:pt>
                <c:pt idx="198">
                  <c:v>1298.4000000000001</c:v>
                </c:pt>
                <c:pt idx="199">
                  <c:v>1276.4000000000003</c:v>
                </c:pt>
                <c:pt idx="200">
                  <c:v>1311.4000000000003</c:v>
                </c:pt>
                <c:pt idx="201">
                  <c:v>1298.3000000000002</c:v>
                </c:pt>
                <c:pt idx="202">
                  <c:v>1287.2</c:v>
                </c:pt>
                <c:pt idx="203">
                  <c:v>1206.2</c:v>
                </c:pt>
                <c:pt idx="204">
                  <c:v>1285.8000000000002</c:v>
                </c:pt>
                <c:pt idx="205">
                  <c:v>1313.2</c:v>
                </c:pt>
                <c:pt idx="206">
                  <c:v>1306.5999999999999</c:v>
                </c:pt>
                <c:pt idx="207">
                  <c:v>1308.5</c:v>
                </c:pt>
                <c:pt idx="208">
                  <c:v>1225.5</c:v>
                </c:pt>
                <c:pt idx="209">
                  <c:v>1280.9000000000001</c:v>
                </c:pt>
                <c:pt idx="210">
                  <c:v>1298.7</c:v>
                </c:pt>
                <c:pt idx="211">
                  <c:v>1305.8999999999999</c:v>
                </c:pt>
                <c:pt idx="212">
                  <c:v>1339.2</c:v>
                </c:pt>
                <c:pt idx="213">
                  <c:v>1236.6999999999998</c:v>
                </c:pt>
                <c:pt idx="214">
                  <c:v>1381.2999999999997</c:v>
                </c:pt>
                <c:pt idx="215">
                  <c:v>1338.1999999999998</c:v>
                </c:pt>
                <c:pt idx="216">
                  <c:v>1303.6999999999998</c:v>
                </c:pt>
                <c:pt idx="217">
                  <c:v>1334.2999999999997</c:v>
                </c:pt>
                <c:pt idx="218">
                  <c:v>1363.6999999999996</c:v>
                </c:pt>
                <c:pt idx="219">
                  <c:v>1357.4999999999998</c:v>
                </c:pt>
                <c:pt idx="220">
                  <c:v>1376.4999999999995</c:v>
                </c:pt>
                <c:pt idx="221">
                  <c:v>1390.6999999999998</c:v>
                </c:pt>
                <c:pt idx="222">
                  <c:v>1389.4999999999995</c:v>
                </c:pt>
                <c:pt idx="223">
                  <c:v>1516.7999999999997</c:v>
                </c:pt>
                <c:pt idx="224">
                  <c:v>1373.8999999999999</c:v>
                </c:pt>
                <c:pt idx="225">
                  <c:v>1457.9999999999998</c:v>
                </c:pt>
                <c:pt idx="226">
                  <c:v>1453.9999999999998</c:v>
                </c:pt>
                <c:pt idx="227">
                  <c:v>1454.4999999999998</c:v>
                </c:pt>
                <c:pt idx="228">
                  <c:v>1465.0999999999997</c:v>
                </c:pt>
                <c:pt idx="229">
                  <c:v>1541.8999999999996</c:v>
                </c:pt>
                <c:pt idx="230">
                  <c:v>1580.9999999999998</c:v>
                </c:pt>
                <c:pt idx="231">
                  <c:v>1540.4999999999995</c:v>
                </c:pt>
                <c:pt idx="232">
                  <c:v>1564.7999999999997</c:v>
                </c:pt>
                <c:pt idx="233">
                  <c:v>1571.5999999999997</c:v>
                </c:pt>
                <c:pt idx="234">
                  <c:v>1616.4999999999998</c:v>
                </c:pt>
                <c:pt idx="235">
                  <c:v>1564.1</c:v>
                </c:pt>
                <c:pt idx="236">
                  <c:v>1591.6999999999998</c:v>
                </c:pt>
                <c:pt idx="237">
                  <c:v>1599.7999999999997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A-4714-A5EC-2665C1DCA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1406.0085836909871</c:v>
                </c:pt>
                <c:pt idx="1">
                  <c:v>419.11111111111109</c:v>
                </c:pt>
                <c:pt idx="2">
                  <c:v>1825.7142857142858</c:v>
                </c:pt>
                <c:pt idx="3">
                  <c:v>1339.6825396825398</c:v>
                </c:pt>
                <c:pt idx="4">
                  <c:v>1559.6385542168675</c:v>
                </c:pt>
                <c:pt idx="5">
                  <c:v>1793.984962406015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BC-40ED-ADE4-04231272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-44</c:v>
                </c:pt>
                <c:pt idx="2">
                  <c:v>-98.8</c:v>
                </c:pt>
                <c:pt idx="3">
                  <c:v>-110.8</c:v>
                </c:pt>
                <c:pt idx="4">
                  <c:v>-178.6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2-4D7B-9F1B-A196F0CE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D-41C2-AB40-13CA47B7B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14</c:v>
                </c:pt>
                <c:pt idx="2">
                  <c:v>-56</c:v>
                </c:pt>
                <c:pt idx="3">
                  <c:v>-28.5</c:v>
                </c:pt>
                <c:pt idx="4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0-464C-A87A-A10BC910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DF-429C-90D0-D429D21E4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りくと!$L$2:$L$134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81.8</c:v>
                </c:pt>
                <c:pt idx="2">
                  <c:v>-42.699999999999996</c:v>
                </c:pt>
                <c:pt idx="3">
                  <c:v>-71.900000000000006</c:v>
                </c:pt>
                <c:pt idx="4">
                  <c:v>43.6</c:v>
                </c:pt>
                <c:pt idx="5">
                  <c:v>25.6</c:v>
                </c:pt>
                <c:pt idx="6">
                  <c:v>80.599999999999994</c:v>
                </c:pt>
                <c:pt idx="7">
                  <c:v>152.6</c:v>
                </c:pt>
                <c:pt idx="8">
                  <c:v>20.299999999999997</c:v>
                </c:pt>
                <c:pt idx="9">
                  <c:v>-11.399999999999999</c:v>
                </c:pt>
                <c:pt idx="10">
                  <c:v>-64.599999999999994</c:v>
                </c:pt>
                <c:pt idx="11">
                  <c:v>12.899999999999999</c:v>
                </c:pt>
                <c:pt idx="12">
                  <c:v>-20.400000000000002</c:v>
                </c:pt>
                <c:pt idx="13">
                  <c:v>111</c:v>
                </c:pt>
                <c:pt idx="14">
                  <c:v>16.5</c:v>
                </c:pt>
                <c:pt idx="15">
                  <c:v>44</c:v>
                </c:pt>
                <c:pt idx="16">
                  <c:v>-9.2999999999999972</c:v>
                </c:pt>
                <c:pt idx="17">
                  <c:v>13.200000000000003</c:v>
                </c:pt>
                <c:pt idx="18">
                  <c:v>-57.899999999999991</c:v>
                </c:pt>
                <c:pt idx="19">
                  <c:v>-31.399999999999995</c:v>
                </c:pt>
                <c:pt idx="20">
                  <c:v>-89.1</c:v>
                </c:pt>
                <c:pt idx="21">
                  <c:v>-107.49999999999999</c:v>
                </c:pt>
                <c:pt idx="22">
                  <c:v>-106.5</c:v>
                </c:pt>
                <c:pt idx="23">
                  <c:v>-128</c:v>
                </c:pt>
                <c:pt idx="24">
                  <c:v>-24.899999999999991</c:v>
                </c:pt>
                <c:pt idx="25">
                  <c:v>-73.699999999999989</c:v>
                </c:pt>
                <c:pt idx="26">
                  <c:v>-180.89999999999998</c:v>
                </c:pt>
                <c:pt idx="27">
                  <c:v>-201.3</c:v>
                </c:pt>
                <c:pt idx="28">
                  <c:v>-175.4</c:v>
                </c:pt>
                <c:pt idx="29">
                  <c:v>-157.10000000000002</c:v>
                </c:pt>
                <c:pt idx="30">
                  <c:v>-255.5</c:v>
                </c:pt>
                <c:pt idx="31">
                  <c:v>-310.39999999999998</c:v>
                </c:pt>
                <c:pt idx="32">
                  <c:v>-247.29999999999995</c:v>
                </c:pt>
                <c:pt idx="33">
                  <c:v>-216.2</c:v>
                </c:pt>
                <c:pt idx="34">
                  <c:v>-224.7</c:v>
                </c:pt>
                <c:pt idx="35">
                  <c:v>-278.79999999999995</c:v>
                </c:pt>
                <c:pt idx="36">
                  <c:v>-154.29999999999998</c:v>
                </c:pt>
                <c:pt idx="37">
                  <c:v>-294.29999999999995</c:v>
                </c:pt>
                <c:pt idx="38">
                  <c:v>-235.69999999999996</c:v>
                </c:pt>
                <c:pt idx="39">
                  <c:v>-246.69999999999996</c:v>
                </c:pt>
                <c:pt idx="40">
                  <c:v>-314.8</c:v>
                </c:pt>
                <c:pt idx="41">
                  <c:v>-360.49999999999994</c:v>
                </c:pt>
                <c:pt idx="42">
                  <c:v>-308.49999999999994</c:v>
                </c:pt>
                <c:pt idx="43">
                  <c:v>-255.29999999999995</c:v>
                </c:pt>
                <c:pt idx="44">
                  <c:v>-194.99999999999994</c:v>
                </c:pt>
                <c:pt idx="45">
                  <c:v>-272.69999999999993</c:v>
                </c:pt>
                <c:pt idx="46">
                  <c:v>-304.89999999999998</c:v>
                </c:pt>
                <c:pt idx="47">
                  <c:v>-248.59999999999997</c:v>
                </c:pt>
                <c:pt idx="48">
                  <c:v>-312.99999999999994</c:v>
                </c:pt>
                <c:pt idx="49">
                  <c:v>-277.19999999999993</c:v>
                </c:pt>
                <c:pt idx="50">
                  <c:v>-291.2</c:v>
                </c:pt>
                <c:pt idx="51">
                  <c:v>-252.09999999999997</c:v>
                </c:pt>
                <c:pt idx="52">
                  <c:v>-346.59999999999997</c:v>
                </c:pt>
                <c:pt idx="53">
                  <c:v>-364.89999999999992</c:v>
                </c:pt>
                <c:pt idx="54">
                  <c:v>-421.2999999999999</c:v>
                </c:pt>
                <c:pt idx="55">
                  <c:v>-349.69999999999987</c:v>
                </c:pt>
                <c:pt idx="56">
                  <c:v>-268.2999999999999</c:v>
                </c:pt>
                <c:pt idx="57">
                  <c:v>-308.69999999999987</c:v>
                </c:pt>
                <c:pt idx="58">
                  <c:v>-196.69999999999987</c:v>
                </c:pt>
                <c:pt idx="59">
                  <c:v>-155.59999999999988</c:v>
                </c:pt>
                <c:pt idx="60">
                  <c:v>-224.09999999999988</c:v>
                </c:pt>
                <c:pt idx="61">
                  <c:v>-209.1999999999999</c:v>
                </c:pt>
                <c:pt idx="62">
                  <c:v>-289.89999999999986</c:v>
                </c:pt>
                <c:pt idx="63">
                  <c:v>-331.09999999999991</c:v>
                </c:pt>
                <c:pt idx="64">
                  <c:v>-422.99999999999989</c:v>
                </c:pt>
                <c:pt idx="65">
                  <c:v>-405.19999999999993</c:v>
                </c:pt>
                <c:pt idx="66">
                  <c:v>-375.89999999999986</c:v>
                </c:pt>
                <c:pt idx="67">
                  <c:v>-363.89999999999986</c:v>
                </c:pt>
                <c:pt idx="68">
                  <c:v>-443.39999999999992</c:v>
                </c:pt>
                <c:pt idx="69">
                  <c:v>-417.69999999999987</c:v>
                </c:pt>
                <c:pt idx="70">
                  <c:v>-346.49999999999989</c:v>
                </c:pt>
                <c:pt idx="71">
                  <c:v>-369.09999999999991</c:v>
                </c:pt>
                <c:pt idx="72">
                  <c:v>-445.2999999999999</c:v>
                </c:pt>
                <c:pt idx="73">
                  <c:v>-377.39999999999992</c:v>
                </c:pt>
                <c:pt idx="74">
                  <c:v>-405.39999999999986</c:v>
                </c:pt>
                <c:pt idx="75">
                  <c:v>-439.89999999999986</c:v>
                </c:pt>
                <c:pt idx="76">
                  <c:v>-319.69999999999987</c:v>
                </c:pt>
                <c:pt idx="77">
                  <c:v>-393.89999999999992</c:v>
                </c:pt>
                <c:pt idx="78">
                  <c:v>-350.19999999999987</c:v>
                </c:pt>
                <c:pt idx="79">
                  <c:v>-401.99999999999989</c:v>
                </c:pt>
                <c:pt idx="80">
                  <c:v>-397.59999999999991</c:v>
                </c:pt>
                <c:pt idx="81">
                  <c:v>-367.19999999999987</c:v>
                </c:pt>
                <c:pt idx="82">
                  <c:v>-418.19999999999993</c:v>
                </c:pt>
                <c:pt idx="83">
                  <c:v>-396.19999999999993</c:v>
                </c:pt>
                <c:pt idx="84">
                  <c:v>-346.39999999999992</c:v>
                </c:pt>
                <c:pt idx="85">
                  <c:v>-447.89999999999992</c:v>
                </c:pt>
                <c:pt idx="86">
                  <c:v>-362.89999999999992</c:v>
                </c:pt>
                <c:pt idx="87">
                  <c:v>-334.99999999999994</c:v>
                </c:pt>
                <c:pt idx="88">
                  <c:v>-394.29999999999995</c:v>
                </c:pt>
                <c:pt idx="89">
                  <c:v>-443.09999999999997</c:v>
                </c:pt>
                <c:pt idx="90">
                  <c:v>-401.29999999999995</c:v>
                </c:pt>
                <c:pt idx="91">
                  <c:v>-384.79999999999995</c:v>
                </c:pt>
                <c:pt idx="92">
                  <c:v>-335.69999999999993</c:v>
                </c:pt>
                <c:pt idx="93">
                  <c:v>-438.49999999999994</c:v>
                </c:pt>
                <c:pt idx="94">
                  <c:v>-343.2</c:v>
                </c:pt>
                <c:pt idx="95">
                  <c:v>-426.2</c:v>
                </c:pt>
                <c:pt idx="96">
                  <c:v>-362.6</c:v>
                </c:pt>
                <c:pt idx="97">
                  <c:v>-406</c:v>
                </c:pt>
                <c:pt idx="98">
                  <c:v>-272.5</c:v>
                </c:pt>
                <c:pt idx="99">
                  <c:v>-392</c:v>
                </c:pt>
                <c:pt idx="100">
                  <c:v>-390.29999999999995</c:v>
                </c:pt>
                <c:pt idx="101">
                  <c:v>-373</c:v>
                </c:pt>
                <c:pt idx="102">
                  <c:v>-428.09999999999997</c:v>
                </c:pt>
                <c:pt idx="103">
                  <c:v>-452.4</c:v>
                </c:pt>
                <c:pt idx="104">
                  <c:v>-445.9</c:v>
                </c:pt>
                <c:pt idx="105">
                  <c:v>-414.79999999999995</c:v>
                </c:pt>
                <c:pt idx="106">
                  <c:v>-451.39999999999992</c:v>
                </c:pt>
                <c:pt idx="107">
                  <c:v>-428.7</c:v>
                </c:pt>
                <c:pt idx="108">
                  <c:v>-420.39999999999992</c:v>
                </c:pt>
                <c:pt idx="109">
                  <c:v>-498.7999999999999</c:v>
                </c:pt>
                <c:pt idx="110">
                  <c:v>-509.69999999999987</c:v>
                </c:pt>
                <c:pt idx="111">
                  <c:v>-450.49999999999994</c:v>
                </c:pt>
                <c:pt idx="112">
                  <c:v>-426.99999999999994</c:v>
                </c:pt>
                <c:pt idx="113">
                  <c:v>-322.29999999999995</c:v>
                </c:pt>
                <c:pt idx="114">
                  <c:v>-360.39999999999992</c:v>
                </c:pt>
                <c:pt idx="115">
                  <c:v>-403.69999999999993</c:v>
                </c:pt>
                <c:pt idx="116">
                  <c:v>-379.79999999999995</c:v>
                </c:pt>
                <c:pt idx="117">
                  <c:v>-364.7999999999999</c:v>
                </c:pt>
                <c:pt idx="118">
                  <c:v>-374.19999999999987</c:v>
                </c:pt>
                <c:pt idx="119">
                  <c:v>-415.2999999999999</c:v>
                </c:pt>
                <c:pt idx="120">
                  <c:v>-472.99999999999994</c:v>
                </c:pt>
                <c:pt idx="121">
                  <c:v>-360.09999999999997</c:v>
                </c:pt>
                <c:pt idx="122">
                  <c:v>-419.99999999999994</c:v>
                </c:pt>
                <c:pt idx="123">
                  <c:v>-494.89999999999992</c:v>
                </c:pt>
                <c:pt idx="124">
                  <c:v>-433.69999999999993</c:v>
                </c:pt>
                <c:pt idx="125">
                  <c:v>-446.69999999999993</c:v>
                </c:pt>
                <c:pt idx="126">
                  <c:v>-378.09999999999991</c:v>
                </c:pt>
                <c:pt idx="127">
                  <c:v>-410.39999999999992</c:v>
                </c:pt>
                <c:pt idx="128">
                  <c:v>-421.49999999999994</c:v>
                </c:pt>
                <c:pt idx="129">
                  <c:v>-431.79999999999995</c:v>
                </c:pt>
                <c:pt idx="130">
                  <c:v>-429.2</c:v>
                </c:pt>
                <c:pt idx="131">
                  <c:v>-455.59999999999997</c:v>
                </c:pt>
                <c:pt idx="132">
                  <c:v>-458.3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F-4982-8EF7-A1E232F07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-596.15384615384619</c:v>
                </c:pt>
                <c:pt idx="1">
                  <c:v>-1070.6349206349207</c:v>
                </c:pt>
                <c:pt idx="2">
                  <c:v>1286.8852459016393</c:v>
                </c:pt>
                <c:pt idx="3">
                  <c:v>-1069.7247706422017</c:v>
                </c:pt>
                <c:pt idx="4">
                  <c:v>-1992.4731182795699</c:v>
                </c:pt>
                <c:pt idx="5">
                  <c:v>-1786.3013698630136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86-465A-8FA7-861D69A77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-79.8</c:v>
                </c:pt>
                <c:pt idx="2">
                  <c:v>13.5</c:v>
                </c:pt>
                <c:pt idx="3">
                  <c:v>-102.2</c:v>
                </c:pt>
                <c:pt idx="4">
                  <c:v>-49.7</c:v>
                </c:pt>
                <c:pt idx="5">
                  <c:v>-37.700000000000003</c:v>
                </c:pt>
                <c:pt idx="6">
                  <c:v>-55.5</c:v>
                </c:pt>
                <c:pt idx="7">
                  <c:v>-44.6</c:v>
                </c:pt>
                <c:pt idx="8">
                  <c:v>-70.599999999999994</c:v>
                </c:pt>
                <c:pt idx="9">
                  <c:v>-96.7</c:v>
                </c:pt>
                <c:pt idx="10">
                  <c:v>-79.900000000000006</c:v>
                </c:pt>
                <c:pt idx="11">
                  <c:v>-98.9</c:v>
                </c:pt>
                <c:pt idx="12">
                  <c:v>41.900000000000006</c:v>
                </c:pt>
                <c:pt idx="13">
                  <c:v>-1.3000000000000007</c:v>
                </c:pt>
                <c:pt idx="14">
                  <c:v>89.6</c:v>
                </c:pt>
                <c:pt idx="15">
                  <c:v>73</c:v>
                </c:pt>
                <c:pt idx="16">
                  <c:v>24.799999999999997</c:v>
                </c:pt>
                <c:pt idx="17">
                  <c:v>-8.7000000000000028</c:v>
                </c:pt>
                <c:pt idx="18">
                  <c:v>-67.2</c:v>
                </c:pt>
                <c:pt idx="19">
                  <c:v>-9.7000000000000028</c:v>
                </c:pt>
                <c:pt idx="20">
                  <c:v>32.699999999999996</c:v>
                </c:pt>
                <c:pt idx="21">
                  <c:v>132.1</c:v>
                </c:pt>
                <c:pt idx="22">
                  <c:v>86.999999999999986</c:v>
                </c:pt>
                <c:pt idx="23">
                  <c:v>107.99999999999999</c:v>
                </c:pt>
                <c:pt idx="24">
                  <c:v>5.3999999999999915</c:v>
                </c:pt>
                <c:pt idx="25">
                  <c:v>68.299999999999983</c:v>
                </c:pt>
                <c:pt idx="26">
                  <c:v>224.79999999999998</c:v>
                </c:pt>
                <c:pt idx="27">
                  <c:v>183.79999999999998</c:v>
                </c:pt>
                <c:pt idx="28">
                  <c:v>186.6</c:v>
                </c:pt>
                <c:pt idx="29">
                  <c:v>235.3</c:v>
                </c:pt>
                <c:pt idx="30">
                  <c:v>192</c:v>
                </c:pt>
                <c:pt idx="31">
                  <c:v>175.3</c:v>
                </c:pt>
                <c:pt idx="32">
                  <c:v>221.9</c:v>
                </c:pt>
                <c:pt idx="33">
                  <c:v>286.39999999999998</c:v>
                </c:pt>
                <c:pt idx="34">
                  <c:v>224.4</c:v>
                </c:pt>
                <c:pt idx="35">
                  <c:v>142.9</c:v>
                </c:pt>
                <c:pt idx="36">
                  <c:v>283.10000000000002</c:v>
                </c:pt>
                <c:pt idx="37">
                  <c:v>265.60000000000002</c:v>
                </c:pt>
                <c:pt idx="38">
                  <c:v>214.40000000000003</c:v>
                </c:pt>
                <c:pt idx="39">
                  <c:v>233.40000000000003</c:v>
                </c:pt>
                <c:pt idx="40">
                  <c:v>239.20000000000002</c:v>
                </c:pt>
                <c:pt idx="41">
                  <c:v>232.10000000000002</c:v>
                </c:pt>
                <c:pt idx="42">
                  <c:v>276.5</c:v>
                </c:pt>
                <c:pt idx="43">
                  <c:v>320.90000000000003</c:v>
                </c:pt>
                <c:pt idx="44">
                  <c:v>270.5</c:v>
                </c:pt>
                <c:pt idx="45">
                  <c:v>216.90000000000003</c:v>
                </c:pt>
                <c:pt idx="46">
                  <c:v>177.10000000000002</c:v>
                </c:pt>
                <c:pt idx="47">
                  <c:v>171.20000000000005</c:v>
                </c:pt>
                <c:pt idx="48">
                  <c:v>235.50000000000006</c:v>
                </c:pt>
                <c:pt idx="49">
                  <c:v>208.10000000000002</c:v>
                </c:pt>
                <c:pt idx="50">
                  <c:v>210.90000000000003</c:v>
                </c:pt>
                <c:pt idx="51">
                  <c:v>368.3</c:v>
                </c:pt>
                <c:pt idx="52">
                  <c:v>342.6</c:v>
                </c:pt>
                <c:pt idx="53">
                  <c:v>215.10000000000002</c:v>
                </c:pt>
                <c:pt idx="54">
                  <c:v>235.40000000000003</c:v>
                </c:pt>
                <c:pt idx="55">
                  <c:v>282.3</c:v>
                </c:pt>
                <c:pt idx="56">
                  <c:v>275.2</c:v>
                </c:pt>
                <c:pt idx="57">
                  <c:v>243.8</c:v>
                </c:pt>
                <c:pt idx="58">
                  <c:v>323.3</c:v>
                </c:pt>
                <c:pt idx="59">
                  <c:v>270.3</c:v>
                </c:pt>
                <c:pt idx="60">
                  <c:v>258.90000000000003</c:v>
                </c:pt>
                <c:pt idx="61">
                  <c:v>242.80000000000004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F-4B6F-B74C-69AFFEA40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D-422A-B36C-5B98E314F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-81.400000000000006</c:v>
                </c:pt>
                <c:pt idx="2">
                  <c:v>-122.7</c:v>
                </c:pt>
                <c:pt idx="3">
                  <c:v>-96.100000000000009</c:v>
                </c:pt>
                <c:pt idx="4">
                  <c:v>-129.5</c:v>
                </c:pt>
                <c:pt idx="5">
                  <c:v>-63.600000000000009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8-4B8C-9F96-A89D83B23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B-464D-A460-A6B23A7FA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たかの!$L$2:$L$75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136.4</c:v>
                </c:pt>
                <c:pt idx="2">
                  <c:v>48.8</c:v>
                </c:pt>
                <c:pt idx="3">
                  <c:v>105.69999999999999</c:v>
                </c:pt>
                <c:pt idx="4">
                  <c:v>33.299999999999997</c:v>
                </c:pt>
                <c:pt idx="5">
                  <c:v>189.7</c:v>
                </c:pt>
                <c:pt idx="6">
                  <c:v>126.69999999999999</c:v>
                </c:pt>
                <c:pt idx="7">
                  <c:v>132.80000000000001</c:v>
                </c:pt>
                <c:pt idx="8">
                  <c:v>64</c:v>
                </c:pt>
                <c:pt idx="9">
                  <c:v>69.099999999999994</c:v>
                </c:pt>
                <c:pt idx="10">
                  <c:v>138.19999999999999</c:v>
                </c:pt>
                <c:pt idx="11">
                  <c:v>32.699999999999996</c:v>
                </c:pt>
                <c:pt idx="12">
                  <c:v>-4.4000000000000057</c:v>
                </c:pt>
                <c:pt idx="13">
                  <c:v>-7.0000000000000071</c:v>
                </c:pt>
                <c:pt idx="14">
                  <c:v>-3.7000000000000064</c:v>
                </c:pt>
                <c:pt idx="15">
                  <c:v>-72.2</c:v>
                </c:pt>
                <c:pt idx="16">
                  <c:v>-56.900000000000006</c:v>
                </c:pt>
                <c:pt idx="17">
                  <c:v>-44.70000000000001</c:v>
                </c:pt>
                <c:pt idx="18">
                  <c:v>-15.600000000000009</c:v>
                </c:pt>
                <c:pt idx="19">
                  <c:v>65.699999999999989</c:v>
                </c:pt>
                <c:pt idx="20">
                  <c:v>-65.900000000000006</c:v>
                </c:pt>
                <c:pt idx="21">
                  <c:v>-35.100000000000009</c:v>
                </c:pt>
                <c:pt idx="22">
                  <c:v>20.199999999999992</c:v>
                </c:pt>
                <c:pt idx="23">
                  <c:v>-32.500000000000007</c:v>
                </c:pt>
                <c:pt idx="24">
                  <c:v>-35.20000000000001</c:v>
                </c:pt>
                <c:pt idx="25">
                  <c:v>-48.900000000000006</c:v>
                </c:pt>
                <c:pt idx="26">
                  <c:v>-81.7</c:v>
                </c:pt>
                <c:pt idx="27">
                  <c:v>-47.6</c:v>
                </c:pt>
                <c:pt idx="28">
                  <c:v>-52.5</c:v>
                </c:pt>
                <c:pt idx="29">
                  <c:v>27.300000000000004</c:v>
                </c:pt>
                <c:pt idx="30">
                  <c:v>-84.300000000000011</c:v>
                </c:pt>
                <c:pt idx="31">
                  <c:v>-80.599999999999994</c:v>
                </c:pt>
                <c:pt idx="32">
                  <c:v>-76.199999999999989</c:v>
                </c:pt>
                <c:pt idx="33">
                  <c:v>-174.2</c:v>
                </c:pt>
                <c:pt idx="34">
                  <c:v>-146.29999999999998</c:v>
                </c:pt>
                <c:pt idx="35">
                  <c:v>-67.499999999999972</c:v>
                </c:pt>
                <c:pt idx="36">
                  <c:v>-112.09999999999997</c:v>
                </c:pt>
                <c:pt idx="37">
                  <c:v>-160.49999999999997</c:v>
                </c:pt>
                <c:pt idx="38">
                  <c:v>-123.09999999999998</c:v>
                </c:pt>
                <c:pt idx="39">
                  <c:v>-143.69999999999996</c:v>
                </c:pt>
                <c:pt idx="40">
                  <c:v>-165.99999999999997</c:v>
                </c:pt>
                <c:pt idx="41">
                  <c:v>-252.19999999999996</c:v>
                </c:pt>
                <c:pt idx="42">
                  <c:v>-191.99999999999994</c:v>
                </c:pt>
                <c:pt idx="43">
                  <c:v>-287.79999999999995</c:v>
                </c:pt>
                <c:pt idx="44">
                  <c:v>-244.49999999999994</c:v>
                </c:pt>
                <c:pt idx="45">
                  <c:v>-317.79999999999995</c:v>
                </c:pt>
                <c:pt idx="46">
                  <c:v>-363.2</c:v>
                </c:pt>
                <c:pt idx="47">
                  <c:v>-330.29999999999995</c:v>
                </c:pt>
                <c:pt idx="48">
                  <c:v>-446.7</c:v>
                </c:pt>
                <c:pt idx="49">
                  <c:v>-418.19999999999993</c:v>
                </c:pt>
                <c:pt idx="50">
                  <c:v>-390.29999999999995</c:v>
                </c:pt>
                <c:pt idx="51">
                  <c:v>-438.29999999999995</c:v>
                </c:pt>
                <c:pt idx="52">
                  <c:v>-425.29999999999995</c:v>
                </c:pt>
                <c:pt idx="53">
                  <c:v>-482.09999999999991</c:v>
                </c:pt>
                <c:pt idx="54">
                  <c:v>-438.49999999999989</c:v>
                </c:pt>
                <c:pt idx="55">
                  <c:v>-486.09999999999991</c:v>
                </c:pt>
                <c:pt idx="56">
                  <c:v>-539.59999999999991</c:v>
                </c:pt>
                <c:pt idx="57">
                  <c:v>-564</c:v>
                </c:pt>
                <c:pt idx="58">
                  <c:v>-613.29999999999995</c:v>
                </c:pt>
                <c:pt idx="59">
                  <c:v>-528.29999999999995</c:v>
                </c:pt>
                <c:pt idx="60">
                  <c:v>-519.79999999999995</c:v>
                </c:pt>
                <c:pt idx="61">
                  <c:v>-449.29999999999995</c:v>
                </c:pt>
                <c:pt idx="62">
                  <c:v>-531.5</c:v>
                </c:pt>
                <c:pt idx="63">
                  <c:v>-536.30000000000007</c:v>
                </c:pt>
                <c:pt idx="64">
                  <c:v>-547.69999999999993</c:v>
                </c:pt>
                <c:pt idx="65">
                  <c:v>-453.29999999999995</c:v>
                </c:pt>
                <c:pt idx="66">
                  <c:v>-471.8</c:v>
                </c:pt>
                <c:pt idx="67">
                  <c:v>-450.2</c:v>
                </c:pt>
                <c:pt idx="68">
                  <c:v>-457.3</c:v>
                </c:pt>
                <c:pt idx="69">
                  <c:v>-483.20000000000005</c:v>
                </c:pt>
                <c:pt idx="70">
                  <c:v>-461</c:v>
                </c:pt>
                <c:pt idx="71">
                  <c:v>-426.59999999999997</c:v>
                </c:pt>
                <c:pt idx="72">
                  <c:v>-496.90000000000003</c:v>
                </c:pt>
                <c:pt idx="73">
                  <c:v>-500.59999999999997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B-48E0-BD7F-D6C75F670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-1404.1095890410959</c:v>
                </c:pt>
                <c:pt idx="1">
                  <c:v>-3236.231884057971</c:v>
                </c:pt>
                <c:pt idx="2">
                  <c:v>-1227.8688524590164</c:v>
                </c:pt>
                <c:pt idx="3">
                  <c:v>640.67796610169489</c:v>
                </c:pt>
                <c:pt idx="4">
                  <c:v>-1832.6530612244899</c:v>
                </c:pt>
                <c:pt idx="5">
                  <c:v>-858.97435897435901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F-45B5-9864-CE6134EBF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ただ!$L$2:$L$115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-73.400000000000006</c:v>
                </c:pt>
                <c:pt idx="2">
                  <c:v>-53.900000000000006</c:v>
                </c:pt>
                <c:pt idx="3">
                  <c:v>-118.1</c:v>
                </c:pt>
                <c:pt idx="4">
                  <c:v>-146.9</c:v>
                </c:pt>
                <c:pt idx="5">
                  <c:v>-158.30000000000001</c:v>
                </c:pt>
                <c:pt idx="6">
                  <c:v>-65.300000000000011</c:v>
                </c:pt>
                <c:pt idx="7">
                  <c:v>-111.60000000000002</c:v>
                </c:pt>
                <c:pt idx="8">
                  <c:v>1.5999999999999801</c:v>
                </c:pt>
                <c:pt idx="9">
                  <c:v>-54.700000000000024</c:v>
                </c:pt>
                <c:pt idx="10">
                  <c:v>-92.100000000000023</c:v>
                </c:pt>
                <c:pt idx="11">
                  <c:v>-66.800000000000026</c:v>
                </c:pt>
                <c:pt idx="12">
                  <c:v>-38.800000000000026</c:v>
                </c:pt>
                <c:pt idx="13">
                  <c:v>-32.100000000000023</c:v>
                </c:pt>
                <c:pt idx="14">
                  <c:v>-57.60000000000003</c:v>
                </c:pt>
                <c:pt idx="15">
                  <c:v>98.19999999999996</c:v>
                </c:pt>
                <c:pt idx="16">
                  <c:v>93.899999999999977</c:v>
                </c:pt>
                <c:pt idx="17">
                  <c:v>58.299999999999976</c:v>
                </c:pt>
                <c:pt idx="18">
                  <c:v>186.59999999999997</c:v>
                </c:pt>
                <c:pt idx="19">
                  <c:v>128.79999999999995</c:v>
                </c:pt>
                <c:pt idx="20">
                  <c:v>128.09999999999997</c:v>
                </c:pt>
                <c:pt idx="21">
                  <c:v>132.49999999999997</c:v>
                </c:pt>
                <c:pt idx="22">
                  <c:v>218.89999999999995</c:v>
                </c:pt>
                <c:pt idx="23">
                  <c:v>171.49999999999994</c:v>
                </c:pt>
                <c:pt idx="24">
                  <c:v>93.499999999999929</c:v>
                </c:pt>
                <c:pt idx="25">
                  <c:v>101.59999999999994</c:v>
                </c:pt>
                <c:pt idx="26">
                  <c:v>139.99999999999994</c:v>
                </c:pt>
                <c:pt idx="27">
                  <c:v>40.699999999999932</c:v>
                </c:pt>
                <c:pt idx="28">
                  <c:v>2.6999999999999318</c:v>
                </c:pt>
                <c:pt idx="29">
                  <c:v>22.099999999999934</c:v>
                </c:pt>
                <c:pt idx="30">
                  <c:v>64.099999999999937</c:v>
                </c:pt>
                <c:pt idx="31">
                  <c:v>-38.300000000000061</c:v>
                </c:pt>
                <c:pt idx="32">
                  <c:v>6.4999999999999378</c:v>
                </c:pt>
                <c:pt idx="33">
                  <c:v>30.199999999999935</c:v>
                </c:pt>
                <c:pt idx="34">
                  <c:v>-56.600000000000058</c:v>
                </c:pt>
                <c:pt idx="35">
                  <c:v>78.699999999999932</c:v>
                </c:pt>
                <c:pt idx="36">
                  <c:v>2.0999999999999375</c:v>
                </c:pt>
                <c:pt idx="37">
                  <c:v>97.899999999999935</c:v>
                </c:pt>
                <c:pt idx="38">
                  <c:v>50.099999999999937</c:v>
                </c:pt>
                <c:pt idx="39">
                  <c:v>196.69999999999993</c:v>
                </c:pt>
                <c:pt idx="40">
                  <c:v>188.09999999999994</c:v>
                </c:pt>
                <c:pt idx="41">
                  <c:v>227.39999999999995</c:v>
                </c:pt>
                <c:pt idx="42">
                  <c:v>214.99999999999994</c:v>
                </c:pt>
                <c:pt idx="43">
                  <c:v>221.69999999999993</c:v>
                </c:pt>
                <c:pt idx="44">
                  <c:v>115.79999999999993</c:v>
                </c:pt>
                <c:pt idx="45">
                  <c:v>253.99999999999994</c:v>
                </c:pt>
                <c:pt idx="46">
                  <c:v>228.89999999999995</c:v>
                </c:pt>
                <c:pt idx="47">
                  <c:v>178.99999999999994</c:v>
                </c:pt>
                <c:pt idx="48">
                  <c:v>189.19999999999993</c:v>
                </c:pt>
                <c:pt idx="49">
                  <c:v>229.69999999999996</c:v>
                </c:pt>
                <c:pt idx="50">
                  <c:v>159.09999999999994</c:v>
                </c:pt>
                <c:pt idx="51">
                  <c:v>206.49999999999994</c:v>
                </c:pt>
                <c:pt idx="52">
                  <c:v>195.19999999999993</c:v>
                </c:pt>
                <c:pt idx="53">
                  <c:v>231.79999999999993</c:v>
                </c:pt>
                <c:pt idx="54">
                  <c:v>259.29999999999995</c:v>
                </c:pt>
                <c:pt idx="55">
                  <c:v>210.89999999999992</c:v>
                </c:pt>
                <c:pt idx="56">
                  <c:v>295.69999999999993</c:v>
                </c:pt>
                <c:pt idx="57">
                  <c:v>161.49999999999994</c:v>
                </c:pt>
                <c:pt idx="58">
                  <c:v>205.39999999999995</c:v>
                </c:pt>
                <c:pt idx="59">
                  <c:v>232.99999999999994</c:v>
                </c:pt>
                <c:pt idx="60">
                  <c:v>245.09999999999997</c:v>
                </c:pt>
                <c:pt idx="61">
                  <c:v>234.59999999999997</c:v>
                </c:pt>
                <c:pt idx="62">
                  <c:v>226.09999999999994</c:v>
                </c:pt>
                <c:pt idx="63">
                  <c:v>206.09999999999994</c:v>
                </c:pt>
                <c:pt idx="64">
                  <c:v>182.99999999999994</c:v>
                </c:pt>
                <c:pt idx="65">
                  <c:v>215.09999999999997</c:v>
                </c:pt>
                <c:pt idx="66">
                  <c:v>198.59999999999997</c:v>
                </c:pt>
                <c:pt idx="67">
                  <c:v>231.39999999999995</c:v>
                </c:pt>
                <c:pt idx="68">
                  <c:v>140.29999999999995</c:v>
                </c:pt>
                <c:pt idx="69">
                  <c:v>196.59999999999997</c:v>
                </c:pt>
                <c:pt idx="70">
                  <c:v>247.09999999999994</c:v>
                </c:pt>
                <c:pt idx="71">
                  <c:v>175.99999999999997</c:v>
                </c:pt>
                <c:pt idx="72">
                  <c:v>120.69999999999996</c:v>
                </c:pt>
                <c:pt idx="73">
                  <c:v>230.69999999999996</c:v>
                </c:pt>
                <c:pt idx="74">
                  <c:v>254.49999999999997</c:v>
                </c:pt>
                <c:pt idx="75">
                  <c:v>271.59999999999997</c:v>
                </c:pt>
                <c:pt idx="76">
                  <c:v>236.49999999999994</c:v>
                </c:pt>
                <c:pt idx="77">
                  <c:v>236.29999999999995</c:v>
                </c:pt>
                <c:pt idx="78">
                  <c:v>225.89999999999998</c:v>
                </c:pt>
                <c:pt idx="79">
                  <c:v>191.99999999999994</c:v>
                </c:pt>
                <c:pt idx="80">
                  <c:v>267.29999999999995</c:v>
                </c:pt>
                <c:pt idx="81">
                  <c:v>251.19999999999993</c:v>
                </c:pt>
                <c:pt idx="82">
                  <c:v>271.89999999999992</c:v>
                </c:pt>
                <c:pt idx="83">
                  <c:v>244.69999999999993</c:v>
                </c:pt>
                <c:pt idx="84">
                  <c:v>292.29999999999995</c:v>
                </c:pt>
                <c:pt idx="85">
                  <c:v>259.99999999999994</c:v>
                </c:pt>
                <c:pt idx="86">
                  <c:v>213.59999999999997</c:v>
                </c:pt>
                <c:pt idx="87">
                  <c:v>311.79999999999995</c:v>
                </c:pt>
                <c:pt idx="88">
                  <c:v>276.39999999999998</c:v>
                </c:pt>
                <c:pt idx="89">
                  <c:v>242.89999999999995</c:v>
                </c:pt>
                <c:pt idx="90">
                  <c:v>314.2999999999999</c:v>
                </c:pt>
                <c:pt idx="91">
                  <c:v>217.89999999999992</c:v>
                </c:pt>
                <c:pt idx="92">
                  <c:v>304.7999999999999</c:v>
                </c:pt>
                <c:pt idx="93">
                  <c:v>250.99999999999989</c:v>
                </c:pt>
                <c:pt idx="94">
                  <c:v>230.99999999999989</c:v>
                </c:pt>
                <c:pt idx="95">
                  <c:v>197.09999999999988</c:v>
                </c:pt>
                <c:pt idx="96">
                  <c:v>247.49999999999989</c:v>
                </c:pt>
                <c:pt idx="97">
                  <c:v>269.39999999999986</c:v>
                </c:pt>
                <c:pt idx="98">
                  <c:v>190.99999999999989</c:v>
                </c:pt>
                <c:pt idx="99">
                  <c:v>269.19999999999987</c:v>
                </c:pt>
                <c:pt idx="100">
                  <c:v>260.39999999999986</c:v>
                </c:pt>
                <c:pt idx="101">
                  <c:v>288.49999999999989</c:v>
                </c:pt>
                <c:pt idx="102">
                  <c:v>227.09999999999985</c:v>
                </c:pt>
                <c:pt idx="103">
                  <c:v>253.09999999999985</c:v>
                </c:pt>
                <c:pt idx="104">
                  <c:v>262.19999999999987</c:v>
                </c:pt>
                <c:pt idx="105">
                  <c:v>158.59999999999985</c:v>
                </c:pt>
                <c:pt idx="106">
                  <c:v>176.79999999999984</c:v>
                </c:pt>
                <c:pt idx="107">
                  <c:v>277.19999999999982</c:v>
                </c:pt>
                <c:pt idx="108">
                  <c:v>252.69999999999985</c:v>
                </c:pt>
                <c:pt idx="109">
                  <c:v>125.89999999999984</c:v>
                </c:pt>
                <c:pt idx="110">
                  <c:v>266.19999999999982</c:v>
                </c:pt>
                <c:pt idx="111">
                  <c:v>208.49999999999983</c:v>
                </c:pt>
                <c:pt idx="112">
                  <c:v>233.99999999999983</c:v>
                </c:pt>
                <c:pt idx="113">
                  <c:v>274.69999999999982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E-4492-BAF5-8CF46E545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1665.7657657657658</c:v>
                </c:pt>
                <c:pt idx="1">
                  <c:v>705.71428571428567</c:v>
                </c:pt>
                <c:pt idx="2">
                  <c:v>-111.34020618556701</c:v>
                </c:pt>
                <c:pt idx="3">
                  <c:v>-1171.4285714285713</c:v>
                </c:pt>
                <c:pt idx="4">
                  <c:v>1149.367088607595</c:v>
                </c:pt>
                <c:pt idx="5">
                  <c:v>-343.28358208955223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1-4F69-BAD8-82E86B796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-28.8</c:v>
                </c:pt>
                <c:pt idx="2">
                  <c:v>89.6</c:v>
                </c:pt>
                <c:pt idx="3">
                  <c:v>-43.199999999999996</c:v>
                </c:pt>
                <c:pt idx="4">
                  <c:v>-85.8</c:v>
                </c:pt>
                <c:pt idx="5">
                  <c:v>60.7</c:v>
                </c:pt>
                <c:pt idx="6">
                  <c:v>38.200000000000003</c:v>
                </c:pt>
                <c:pt idx="7">
                  <c:v>56.8</c:v>
                </c:pt>
                <c:pt idx="8">
                  <c:v>-31.599999999999994</c:v>
                </c:pt>
                <c:pt idx="9">
                  <c:v>9.4000000000000021</c:v>
                </c:pt>
                <c:pt idx="10">
                  <c:v>106.80000000000001</c:v>
                </c:pt>
                <c:pt idx="11">
                  <c:v>81.800000000000011</c:v>
                </c:pt>
                <c:pt idx="12">
                  <c:v>92.300000000000011</c:v>
                </c:pt>
                <c:pt idx="13">
                  <c:v>229.40000000000003</c:v>
                </c:pt>
                <c:pt idx="14">
                  <c:v>139.10000000000002</c:v>
                </c:pt>
                <c:pt idx="15">
                  <c:v>150.5</c:v>
                </c:pt>
                <c:pt idx="16">
                  <c:v>155.80000000000001</c:v>
                </c:pt>
                <c:pt idx="17">
                  <c:v>203.90000000000003</c:v>
                </c:pt>
                <c:pt idx="18">
                  <c:v>131.90000000000003</c:v>
                </c:pt>
                <c:pt idx="19">
                  <c:v>132.20000000000002</c:v>
                </c:pt>
                <c:pt idx="20">
                  <c:v>161.40000000000003</c:v>
                </c:pt>
                <c:pt idx="21">
                  <c:v>123.50000000000003</c:v>
                </c:pt>
                <c:pt idx="22">
                  <c:v>64.600000000000023</c:v>
                </c:pt>
                <c:pt idx="23">
                  <c:v>6.3000000000000256</c:v>
                </c:pt>
                <c:pt idx="24">
                  <c:v>109.20000000000003</c:v>
                </c:pt>
                <c:pt idx="25">
                  <c:v>77.500000000000028</c:v>
                </c:pt>
                <c:pt idx="26">
                  <c:v>22.700000000000031</c:v>
                </c:pt>
                <c:pt idx="27">
                  <c:v>78.300000000000026</c:v>
                </c:pt>
                <c:pt idx="28">
                  <c:v>34.500000000000028</c:v>
                </c:pt>
                <c:pt idx="29">
                  <c:v>-18.799999999999976</c:v>
                </c:pt>
                <c:pt idx="30">
                  <c:v>-76.999999999999972</c:v>
                </c:pt>
                <c:pt idx="31">
                  <c:v>-22.799999999999976</c:v>
                </c:pt>
                <c:pt idx="32">
                  <c:v>43.200000000000024</c:v>
                </c:pt>
                <c:pt idx="33">
                  <c:v>-26.999999999999979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9-4FE1-8E5D-85E794C2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A-4EFB-B007-9EF1D37EC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れんたろう!$L$2:$L$126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7.8</c:v>
                </c:pt>
                <c:pt idx="2">
                  <c:v>-71.699999999999989</c:v>
                </c:pt>
                <c:pt idx="3">
                  <c:v>-106.3</c:v>
                </c:pt>
                <c:pt idx="4">
                  <c:v>-9.9999999999994316E-2</c:v>
                </c:pt>
                <c:pt idx="5">
                  <c:v>-125.1</c:v>
                </c:pt>
                <c:pt idx="6">
                  <c:v>-152.1</c:v>
                </c:pt>
                <c:pt idx="7">
                  <c:v>-178.70000000000002</c:v>
                </c:pt>
                <c:pt idx="8">
                  <c:v>-144.6</c:v>
                </c:pt>
                <c:pt idx="9">
                  <c:v>-200</c:v>
                </c:pt>
                <c:pt idx="10">
                  <c:v>-239.2</c:v>
                </c:pt>
                <c:pt idx="11">
                  <c:v>-141.9</c:v>
                </c:pt>
                <c:pt idx="12">
                  <c:v>-220</c:v>
                </c:pt>
                <c:pt idx="13">
                  <c:v>-273</c:v>
                </c:pt>
                <c:pt idx="14">
                  <c:v>-227</c:v>
                </c:pt>
                <c:pt idx="15">
                  <c:v>-194</c:v>
                </c:pt>
                <c:pt idx="16">
                  <c:v>-253.89999999999998</c:v>
                </c:pt>
                <c:pt idx="17">
                  <c:v>-304.2</c:v>
                </c:pt>
                <c:pt idx="18">
                  <c:v>-322.90000000000003</c:v>
                </c:pt>
                <c:pt idx="19">
                  <c:v>-250.6</c:v>
                </c:pt>
                <c:pt idx="20">
                  <c:v>-266.8</c:v>
                </c:pt>
                <c:pt idx="21">
                  <c:v>-214</c:v>
                </c:pt>
                <c:pt idx="22">
                  <c:v>-163.80000000000001</c:v>
                </c:pt>
                <c:pt idx="23">
                  <c:v>-198.9</c:v>
                </c:pt>
                <c:pt idx="24">
                  <c:v>-135.5</c:v>
                </c:pt>
                <c:pt idx="25">
                  <c:v>-265.59999999999997</c:v>
                </c:pt>
                <c:pt idx="26">
                  <c:v>-295.69999999999993</c:v>
                </c:pt>
                <c:pt idx="27">
                  <c:v>-336.29999999999995</c:v>
                </c:pt>
                <c:pt idx="28">
                  <c:v>-284.09999999999991</c:v>
                </c:pt>
                <c:pt idx="29">
                  <c:v>-188.19999999999993</c:v>
                </c:pt>
                <c:pt idx="30">
                  <c:v>-275.39999999999998</c:v>
                </c:pt>
                <c:pt idx="31">
                  <c:v>-273.5</c:v>
                </c:pt>
                <c:pt idx="32">
                  <c:v>-302.39999999999998</c:v>
                </c:pt>
                <c:pt idx="33">
                  <c:v>-298.69999999999993</c:v>
                </c:pt>
                <c:pt idx="34">
                  <c:v>-312.09999999999991</c:v>
                </c:pt>
                <c:pt idx="35">
                  <c:v>-377.69999999999993</c:v>
                </c:pt>
                <c:pt idx="36">
                  <c:v>-316.49999999999989</c:v>
                </c:pt>
                <c:pt idx="37">
                  <c:v>-415.09999999999991</c:v>
                </c:pt>
                <c:pt idx="38">
                  <c:v>-388.59999999999991</c:v>
                </c:pt>
                <c:pt idx="39">
                  <c:v>-340.89999999999986</c:v>
                </c:pt>
                <c:pt idx="40">
                  <c:v>-396.69999999999993</c:v>
                </c:pt>
                <c:pt idx="41">
                  <c:v>-354.59999999999991</c:v>
                </c:pt>
                <c:pt idx="42">
                  <c:v>-367.59999999999991</c:v>
                </c:pt>
                <c:pt idx="43">
                  <c:v>-283.09999999999991</c:v>
                </c:pt>
                <c:pt idx="44">
                  <c:v>-336.69999999999993</c:v>
                </c:pt>
                <c:pt idx="45">
                  <c:v>-327.49999999999994</c:v>
                </c:pt>
                <c:pt idx="46">
                  <c:v>-397.59999999999991</c:v>
                </c:pt>
                <c:pt idx="47">
                  <c:v>-339.39999999999992</c:v>
                </c:pt>
                <c:pt idx="48">
                  <c:v>-366.99999999999994</c:v>
                </c:pt>
                <c:pt idx="49">
                  <c:v>-369.79999999999995</c:v>
                </c:pt>
                <c:pt idx="50">
                  <c:v>-435.49999999999994</c:v>
                </c:pt>
                <c:pt idx="51">
                  <c:v>-419.99999999999994</c:v>
                </c:pt>
                <c:pt idx="52">
                  <c:v>-442.7999999999999</c:v>
                </c:pt>
                <c:pt idx="53">
                  <c:v>-373.39999999999992</c:v>
                </c:pt>
                <c:pt idx="54">
                  <c:v>-422.49999999999994</c:v>
                </c:pt>
                <c:pt idx="55">
                  <c:v>-429.79999999999995</c:v>
                </c:pt>
                <c:pt idx="56">
                  <c:v>-370.2999999999999</c:v>
                </c:pt>
                <c:pt idx="57">
                  <c:v>-462.39999999999992</c:v>
                </c:pt>
                <c:pt idx="58">
                  <c:v>-503.89999999999992</c:v>
                </c:pt>
                <c:pt idx="59">
                  <c:v>-485.19999999999987</c:v>
                </c:pt>
                <c:pt idx="60">
                  <c:v>-474.7999999999999</c:v>
                </c:pt>
                <c:pt idx="61">
                  <c:v>-499.49999999999994</c:v>
                </c:pt>
                <c:pt idx="62">
                  <c:v>-497.7999999999999</c:v>
                </c:pt>
                <c:pt idx="63">
                  <c:v>-339.59999999999991</c:v>
                </c:pt>
                <c:pt idx="64">
                  <c:v>-487.69999999999993</c:v>
                </c:pt>
                <c:pt idx="65">
                  <c:v>-456.2999999999999</c:v>
                </c:pt>
                <c:pt idx="66">
                  <c:v>-487.89999999999986</c:v>
                </c:pt>
                <c:pt idx="67">
                  <c:v>-545.79999999999984</c:v>
                </c:pt>
                <c:pt idx="68">
                  <c:v>-328.99999999999989</c:v>
                </c:pt>
                <c:pt idx="69">
                  <c:v>-356.2999999999999</c:v>
                </c:pt>
                <c:pt idx="70">
                  <c:v>-307.09999999999991</c:v>
                </c:pt>
                <c:pt idx="71">
                  <c:v>-389.2999999999999</c:v>
                </c:pt>
                <c:pt idx="72">
                  <c:v>-440.2999999999999</c:v>
                </c:pt>
                <c:pt idx="73">
                  <c:v>-423.09999999999985</c:v>
                </c:pt>
                <c:pt idx="74">
                  <c:v>-384.69999999999987</c:v>
                </c:pt>
                <c:pt idx="75">
                  <c:v>-477.99999999999983</c:v>
                </c:pt>
                <c:pt idx="76">
                  <c:v>-435.7999999999999</c:v>
                </c:pt>
                <c:pt idx="77">
                  <c:v>-442.7999999999999</c:v>
                </c:pt>
                <c:pt idx="78">
                  <c:v>-416.39999999999986</c:v>
                </c:pt>
                <c:pt idx="79">
                  <c:v>-458.39999999999992</c:v>
                </c:pt>
                <c:pt idx="80">
                  <c:v>-466.69999999999987</c:v>
                </c:pt>
                <c:pt idx="81">
                  <c:v>-342.19999999999993</c:v>
                </c:pt>
                <c:pt idx="82">
                  <c:v>-308.59999999999991</c:v>
                </c:pt>
                <c:pt idx="83">
                  <c:v>-354.99999999999989</c:v>
                </c:pt>
                <c:pt idx="84">
                  <c:v>-334.09999999999985</c:v>
                </c:pt>
                <c:pt idx="85">
                  <c:v>-415.7999999999999</c:v>
                </c:pt>
                <c:pt idx="86">
                  <c:v>-387.59999999999991</c:v>
                </c:pt>
                <c:pt idx="87">
                  <c:v>-411.19999999999987</c:v>
                </c:pt>
                <c:pt idx="88">
                  <c:v>-479.49999999999989</c:v>
                </c:pt>
                <c:pt idx="89">
                  <c:v>-524.69999999999993</c:v>
                </c:pt>
                <c:pt idx="90">
                  <c:v>-481.59999999999991</c:v>
                </c:pt>
                <c:pt idx="91">
                  <c:v>-488.99999999999989</c:v>
                </c:pt>
                <c:pt idx="92">
                  <c:v>-558.29999999999995</c:v>
                </c:pt>
                <c:pt idx="93">
                  <c:v>-604.59999999999991</c:v>
                </c:pt>
                <c:pt idx="94">
                  <c:v>-558.79999999999984</c:v>
                </c:pt>
                <c:pt idx="95">
                  <c:v>-527.79999999999984</c:v>
                </c:pt>
                <c:pt idx="96">
                  <c:v>-482.7999999999999</c:v>
                </c:pt>
                <c:pt idx="97">
                  <c:v>-386.19999999999993</c:v>
                </c:pt>
                <c:pt idx="98">
                  <c:v>-507.49999999999994</c:v>
                </c:pt>
                <c:pt idx="99">
                  <c:v>-431.69999999999993</c:v>
                </c:pt>
                <c:pt idx="100">
                  <c:v>-556.19999999999993</c:v>
                </c:pt>
                <c:pt idx="101">
                  <c:v>-502.09999999999991</c:v>
                </c:pt>
                <c:pt idx="102">
                  <c:v>-401.2999999999999</c:v>
                </c:pt>
                <c:pt idx="103">
                  <c:v>-502.79999999999995</c:v>
                </c:pt>
                <c:pt idx="104">
                  <c:v>-476.69999999999993</c:v>
                </c:pt>
                <c:pt idx="105">
                  <c:v>-478.99999999999989</c:v>
                </c:pt>
                <c:pt idx="106">
                  <c:v>-361.69999999999993</c:v>
                </c:pt>
                <c:pt idx="107">
                  <c:v>-453.49999999999994</c:v>
                </c:pt>
                <c:pt idx="108">
                  <c:v>-469.9</c:v>
                </c:pt>
                <c:pt idx="109">
                  <c:v>-444.29999999999995</c:v>
                </c:pt>
                <c:pt idx="110">
                  <c:v>-447.19999999999993</c:v>
                </c:pt>
                <c:pt idx="111">
                  <c:v>-492.7999999999999</c:v>
                </c:pt>
                <c:pt idx="112">
                  <c:v>-471.99999999999994</c:v>
                </c:pt>
                <c:pt idx="113">
                  <c:v>-467.59999999999991</c:v>
                </c:pt>
                <c:pt idx="114">
                  <c:v>-480.7999999999999</c:v>
                </c:pt>
                <c:pt idx="115">
                  <c:v>-411.69999999999993</c:v>
                </c:pt>
                <c:pt idx="116">
                  <c:v>-437.39999999999992</c:v>
                </c:pt>
                <c:pt idx="117">
                  <c:v>-466.39999999999992</c:v>
                </c:pt>
                <c:pt idx="118">
                  <c:v>-487.19999999999987</c:v>
                </c:pt>
                <c:pt idx="119">
                  <c:v>-468.09999999999985</c:v>
                </c:pt>
                <c:pt idx="120">
                  <c:v>-535.19999999999982</c:v>
                </c:pt>
                <c:pt idx="121">
                  <c:v>-517.19999999999982</c:v>
                </c:pt>
                <c:pt idx="122">
                  <c:v>-474.49999999999983</c:v>
                </c:pt>
                <c:pt idx="123">
                  <c:v>-508.09999999999985</c:v>
                </c:pt>
                <c:pt idx="124">
                  <c:v>-486.89999999999981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3E-49D0-BADA-8EAC2EB44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-1683.3333333333333</c:v>
                </c:pt>
                <c:pt idx="1">
                  <c:v>537.28813559322032</c:v>
                </c:pt>
                <c:pt idx="2">
                  <c:v>-37.5</c:v>
                </c:pt>
                <c:pt idx="3">
                  <c:v>-257.84313725490193</c:v>
                </c:pt>
                <c:pt idx="4">
                  <c:v>-2727.3684210526317</c:v>
                </c:pt>
                <c:pt idx="5">
                  <c:v>610.38961038961043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0-4D53-BA63-0CDB46B4D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56.6</c:v>
                </c:pt>
                <c:pt idx="2">
                  <c:v>114.3</c:v>
                </c:pt>
                <c:pt idx="3">
                  <c:v>43.3</c:v>
                </c:pt>
                <c:pt idx="4">
                  <c:v>71.7</c:v>
                </c:pt>
                <c:pt idx="5">
                  <c:v>113.5</c:v>
                </c:pt>
                <c:pt idx="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7-4888-83DC-C781197B5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7-489D-BA57-A819E5BF4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30</c:v>
                </c:pt>
                <c:pt idx="2">
                  <c:v>-63.599999999999994</c:v>
                </c:pt>
                <c:pt idx="3">
                  <c:v>-6.8999999999999986</c:v>
                </c:pt>
                <c:pt idx="4">
                  <c:v>25.8</c:v>
                </c:pt>
                <c:pt idx="5">
                  <c:v>14.100000000000001</c:v>
                </c:pt>
                <c:pt idx="6">
                  <c:v>-5.1999999999999993</c:v>
                </c:pt>
                <c:pt idx="7">
                  <c:v>52.2</c:v>
                </c:pt>
                <c:pt idx="8">
                  <c:v>-36.199999999999996</c:v>
                </c:pt>
                <c:pt idx="9">
                  <c:v>-14.299999999999997</c:v>
                </c:pt>
                <c:pt idx="10">
                  <c:v>-39.199999999999996</c:v>
                </c:pt>
                <c:pt idx="11">
                  <c:v>-115.7</c:v>
                </c:pt>
                <c:pt idx="12">
                  <c:v>-17.599999999999998</c:v>
                </c:pt>
                <c:pt idx="13">
                  <c:v>21.600000000000009</c:v>
                </c:pt>
                <c:pt idx="14">
                  <c:v>-0.49999999999999467</c:v>
                </c:pt>
                <c:pt idx="15">
                  <c:v>-82.6</c:v>
                </c:pt>
                <c:pt idx="16">
                  <c:v>-6.9999999999999929</c:v>
                </c:pt>
                <c:pt idx="17">
                  <c:v>-54</c:v>
                </c:pt>
                <c:pt idx="18">
                  <c:v>-81</c:v>
                </c:pt>
                <c:pt idx="19">
                  <c:v>-59.6</c:v>
                </c:pt>
                <c:pt idx="20">
                  <c:v>-116.4</c:v>
                </c:pt>
                <c:pt idx="21">
                  <c:v>-163.4</c:v>
                </c:pt>
                <c:pt idx="22">
                  <c:v>-172.8</c:v>
                </c:pt>
                <c:pt idx="23">
                  <c:v>-151.30000000000001</c:v>
                </c:pt>
                <c:pt idx="24">
                  <c:v>-241.90000000000003</c:v>
                </c:pt>
                <c:pt idx="25">
                  <c:v>-283.90000000000003</c:v>
                </c:pt>
                <c:pt idx="26">
                  <c:v>-314</c:v>
                </c:pt>
                <c:pt idx="27">
                  <c:v>-256.39999999999998</c:v>
                </c:pt>
                <c:pt idx="28">
                  <c:v>-300.7</c:v>
                </c:pt>
                <c:pt idx="29">
                  <c:v>-218.7</c:v>
                </c:pt>
                <c:pt idx="30">
                  <c:v>-324.59999999999997</c:v>
                </c:pt>
                <c:pt idx="31">
                  <c:v>-381.9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F-42A4-9867-C072578DF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1-4CEE-964D-E6C8C328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8</c:v>
                </c:pt>
                <c:pt idx="2">
                  <c:v>3.4000000000000004</c:v>
                </c:pt>
                <c:pt idx="3">
                  <c:v>51.900000000000006</c:v>
                </c:pt>
                <c:pt idx="4">
                  <c:v>76.8</c:v>
                </c:pt>
                <c:pt idx="5">
                  <c:v>-22.299999999999997</c:v>
                </c:pt>
                <c:pt idx="6">
                  <c:v>-56</c:v>
                </c:pt>
                <c:pt idx="7">
                  <c:v>-43.1</c:v>
                </c:pt>
                <c:pt idx="8">
                  <c:v>-30.400000000000002</c:v>
                </c:pt>
                <c:pt idx="9">
                  <c:v>-110.1</c:v>
                </c:pt>
                <c:pt idx="10">
                  <c:v>-161.19999999999999</c:v>
                </c:pt>
                <c:pt idx="11">
                  <c:v>-171.29999999999998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1-4C83-B0A4-9CE9EF978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-381.81818181818181</c:v>
                </c:pt>
                <c:pt idx="1">
                  <c:v>-3318.181818181818</c:v>
                </c:pt>
                <c:pt idx="2">
                  <c:v>-8363.636363636364</c:v>
                </c:pt>
                <c:pt idx="3">
                  <c:v>662.5</c:v>
                </c:pt>
                <c:pt idx="4">
                  <c:v>-1985.7142857142858</c:v>
                </c:pt>
                <c:pt idx="5">
                  <c:v>-460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B-4C07-8E42-360A838F1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</c:formatCode>
                <c:ptCount val="12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C3C082-C60D-420C-9D13-2C6B835E2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F38C68-F37D-4496-A4F5-969046F76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2AF9BF-F982-453C-9DE5-D62869BA4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DA5463-9858-4E25-95D3-369A4D2D8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0DF3FF-3139-4EFF-8894-CB8E72CBE4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F3BCB9-B267-4CC8-A6D4-3FE8E48B1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43E688-6130-4F55-AA85-8FD0709B7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7C36FC-B0E0-49DD-80A0-2843C509F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359F8E-3D01-49D6-8BE8-EE287FA28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CCE75B-2904-4E04-92A4-1F84E2DF4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1B19F1-D977-406B-BCBA-6FC9C6A71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6DF24A-90CC-49EF-A8AB-ABEACDE64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A931F2-D609-42DB-8A1F-1CF874818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D9403B-19F8-4C7B-BA76-C8D5951AE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988C6A-BAE2-43CB-9D2F-F5427D7C7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F4E5D8-BF39-48A7-A52A-5844CDCFC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69FBA5-FB8E-49FE-9303-023D4F38F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E43025-EDDA-4255-8E62-7CAC6A223E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5F5B86-9223-4E73-A096-EF605FFC6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F00A1C-D0A4-4BA7-8A2A-72F32F3AB0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FF8840-4097-4210-B0C8-066F9D219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946172-5E26-4F9D-8946-CFF587246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2117C7-7CF9-4F46-9EE5-534C633D2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FBEDB8-F9A9-436E-B12D-D5A021C98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969A2C-A868-4E27-B140-48C1B1346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601A09-9EB8-4B4C-9AC2-4485CAC11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124850-2F30-4927-A47E-A2FCF93D1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B05FDF-D899-4904-8568-188FA6146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4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246</v>
      </c>
      <c r="K1" s="162"/>
      <c r="L1" s="161" t="s">
        <v>195</v>
      </c>
      <c r="M1" s="162"/>
      <c r="N1" s="161" t="s">
        <v>196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156</v>
      </c>
      <c r="W1" s="162"/>
      <c r="X1" s="161" t="s">
        <v>241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197</v>
      </c>
      <c r="AG1" s="162"/>
      <c r="AH1" s="161" t="s">
        <v>160</v>
      </c>
      <c r="AI1" s="162"/>
      <c r="AJ1" s="161" t="s">
        <v>198</v>
      </c>
      <c r="AK1" s="162"/>
      <c r="AL1" s="161" t="s">
        <v>200</v>
      </c>
      <c r="AM1" s="162"/>
      <c r="AN1" s="161" t="s">
        <v>247</v>
      </c>
      <c r="AO1" s="162"/>
    </row>
    <row r="2" spans="1:41" x14ac:dyDescent="0.4">
      <c r="A2" s="74" t="s">
        <v>245</v>
      </c>
      <c r="B2" s="163"/>
      <c r="C2" s="164"/>
      <c r="D2" s="163"/>
      <c r="E2" s="164"/>
      <c r="F2" s="165">
        <v>0.98605659162318393</v>
      </c>
      <c r="G2" s="166"/>
      <c r="H2" s="165">
        <v>0.93903080658282723</v>
      </c>
      <c r="I2" s="166"/>
      <c r="J2" s="165">
        <v>0.97889244828766686</v>
      </c>
      <c r="K2" s="166"/>
      <c r="L2" s="165">
        <v>0.95854387191833501</v>
      </c>
      <c r="M2" s="166"/>
      <c r="N2" s="165">
        <v>0.91030925285861863</v>
      </c>
      <c r="O2" s="166"/>
      <c r="P2" s="165">
        <v>0.47016553626320406</v>
      </c>
      <c r="Q2" s="166"/>
      <c r="R2" s="165">
        <v>0.13204141016722051</v>
      </c>
      <c r="S2" s="166"/>
      <c r="T2" s="165">
        <v>0.93231950873836933</v>
      </c>
      <c r="U2" s="166"/>
      <c r="V2" s="165">
        <v>0.99353020179416973</v>
      </c>
      <c r="W2" s="166"/>
      <c r="X2" s="165">
        <v>0.41676941360255565</v>
      </c>
      <c r="Y2" s="166"/>
      <c r="Z2" s="165">
        <v>0.71741718938371613</v>
      </c>
      <c r="AA2" s="166"/>
      <c r="AB2" s="165">
        <v>-0.45490649511907366</v>
      </c>
      <c r="AC2" s="166"/>
      <c r="AD2" s="165">
        <v>0.86695184549580817</v>
      </c>
      <c r="AE2" s="166"/>
      <c r="AF2" s="165">
        <v>0.59613047621713289</v>
      </c>
      <c r="AG2" s="166"/>
      <c r="AH2" s="165">
        <v>0.12153484507814358</v>
      </c>
      <c r="AI2" s="166"/>
      <c r="AJ2" s="165">
        <v>0.74497739891082149</v>
      </c>
      <c r="AK2" s="166"/>
      <c r="AL2" s="165">
        <v>0.83420543143220482</v>
      </c>
      <c r="AM2" s="166"/>
      <c r="AN2" s="165">
        <v>0.12078297915816416</v>
      </c>
      <c r="AO2" s="166"/>
    </row>
    <row r="3" spans="1:41" x14ac:dyDescent="0.4">
      <c r="A3" s="76">
        <v>1</v>
      </c>
      <c r="B3" s="77" t="s">
        <v>133</v>
      </c>
      <c r="C3" s="78">
        <v>1591.9999999999998</v>
      </c>
      <c r="D3" s="79" t="s">
        <v>194</v>
      </c>
      <c r="E3" s="102">
        <v>7.833333333333333</v>
      </c>
      <c r="F3" s="79" t="s">
        <v>133</v>
      </c>
      <c r="G3" s="80">
        <v>1.7637130801687764</v>
      </c>
      <c r="H3" s="79" t="s">
        <v>194</v>
      </c>
      <c r="I3" s="81">
        <v>0.5</v>
      </c>
      <c r="J3" s="79" t="s">
        <v>133</v>
      </c>
      <c r="K3" s="81">
        <v>0.20675105485232068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6.7172995780590705</v>
      </c>
      <c r="F4" s="89" t="s">
        <v>194</v>
      </c>
      <c r="G4" s="90">
        <v>1.8333333333333333</v>
      </c>
      <c r="H4" s="89" t="s">
        <v>133</v>
      </c>
      <c r="I4" s="91">
        <v>0.44303797468354428</v>
      </c>
      <c r="J4" s="89" t="s">
        <v>167</v>
      </c>
      <c r="K4" s="91">
        <v>0.25</v>
      </c>
      <c r="L4" s="89" t="s">
        <v>133</v>
      </c>
      <c r="M4" s="92">
        <v>0.35395763656633222</v>
      </c>
      <c r="N4" s="89" t="s">
        <v>133</v>
      </c>
      <c r="O4" s="92">
        <v>0.14102564102564102</v>
      </c>
      <c r="P4" s="89" t="s">
        <v>138</v>
      </c>
      <c r="Q4" s="93">
        <v>11054.794520547945</v>
      </c>
      <c r="R4" s="89" t="s">
        <v>157</v>
      </c>
      <c r="S4" s="93">
        <v>-8586.95652173913</v>
      </c>
      <c r="T4" s="89" t="s">
        <v>133</v>
      </c>
      <c r="U4" s="91">
        <v>0.10126582278481013</v>
      </c>
      <c r="V4" s="89" t="s">
        <v>133</v>
      </c>
      <c r="W4" s="91">
        <v>0.189873417721519</v>
      </c>
      <c r="X4" s="89" t="s">
        <v>133</v>
      </c>
      <c r="Y4" s="91">
        <v>0.10548523206751055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0.63814180929095354</v>
      </c>
      <c r="AF4" s="89" t="s">
        <v>194</v>
      </c>
      <c r="AG4" s="92">
        <v>0.5</v>
      </c>
      <c r="AH4" s="89" t="s">
        <v>136</v>
      </c>
      <c r="AI4" s="92">
        <v>0.47682119205298013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250.09999999999982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0.38053097345132741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135</v>
      </c>
      <c r="O5" s="92">
        <v>0.15646258503401361</v>
      </c>
      <c r="P5" s="89" t="s">
        <v>134</v>
      </c>
      <c r="Q5" s="93">
        <v>11027.509293680298</v>
      </c>
      <c r="R5" s="89" t="s">
        <v>138</v>
      </c>
      <c r="S5" s="93">
        <v>-8859.5744680851058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137</v>
      </c>
      <c r="Y5" s="91">
        <v>9.7345132743362831E-2</v>
      </c>
      <c r="Z5" s="89" t="s">
        <v>138</v>
      </c>
      <c r="AA5" s="92">
        <v>0.30851063829787234</v>
      </c>
      <c r="AB5" s="89" t="s">
        <v>250</v>
      </c>
      <c r="AC5" s="92">
        <v>0.28048780487804881</v>
      </c>
      <c r="AD5" s="89" t="s">
        <v>194</v>
      </c>
      <c r="AE5" s="92">
        <v>0.61904761904761907</v>
      </c>
      <c r="AF5" s="89" t="s">
        <v>133</v>
      </c>
      <c r="AG5" s="92">
        <v>0.48905109489051096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2.2132743362831842</v>
      </c>
      <c r="F6" s="89" t="s">
        <v>137</v>
      </c>
      <c r="G6" s="90">
        <v>1.9203539823008851</v>
      </c>
      <c r="H6" s="89" t="s">
        <v>135</v>
      </c>
      <c r="I6" s="91">
        <v>0.34426229508196721</v>
      </c>
      <c r="J6" s="89" t="s">
        <v>137</v>
      </c>
      <c r="K6" s="91">
        <v>0.30088495575221241</v>
      </c>
      <c r="L6" s="89" t="s">
        <v>137</v>
      </c>
      <c r="M6" s="92">
        <v>0.30292397660818715</v>
      </c>
      <c r="N6" s="89" t="s">
        <v>137</v>
      </c>
      <c r="O6" s="92">
        <v>0.16257309941520467</v>
      </c>
      <c r="P6" s="89" t="s">
        <v>139</v>
      </c>
      <c r="Q6" s="93">
        <v>10492.307692307691</v>
      </c>
      <c r="R6" s="89" t="s">
        <v>135</v>
      </c>
      <c r="S6" s="93">
        <v>-8992.753623188406</v>
      </c>
      <c r="T6" s="89" t="s">
        <v>137</v>
      </c>
      <c r="U6" s="91">
        <v>0.11504424778761062</v>
      </c>
      <c r="V6" s="89" t="s">
        <v>137</v>
      </c>
      <c r="W6" s="91">
        <v>0.16814159292035399</v>
      </c>
      <c r="X6" s="89" t="s">
        <v>139</v>
      </c>
      <c r="Y6" s="91">
        <v>9.6774193548387094E-2</v>
      </c>
      <c r="Z6" s="89" t="s">
        <v>133</v>
      </c>
      <c r="AA6" s="92">
        <v>0.30568011958146485</v>
      </c>
      <c r="AB6" s="89" t="s">
        <v>136</v>
      </c>
      <c r="AC6" s="92">
        <v>0.27979274611398963</v>
      </c>
      <c r="AD6" s="89" t="s">
        <v>135</v>
      </c>
      <c r="AE6" s="92">
        <v>0.58333333333333337</v>
      </c>
      <c r="AF6" s="89" t="s">
        <v>135</v>
      </c>
      <c r="AG6" s="92">
        <v>0.40625</v>
      </c>
      <c r="AH6" s="89" t="s">
        <v>135</v>
      </c>
      <c r="AI6" s="92">
        <v>0.44444444444444442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-5.9999999999999378</v>
      </c>
      <c r="D7" s="89" t="s">
        <v>161</v>
      </c>
      <c r="E7" s="103">
        <v>-7.1942446043164725E-3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161</v>
      </c>
      <c r="M7" s="92">
        <v>0.30053358443188949</v>
      </c>
      <c r="N7" s="89" t="s">
        <v>167</v>
      </c>
      <c r="O7" s="92">
        <v>0.16666666666666666</v>
      </c>
      <c r="P7" s="89" t="s">
        <v>137</v>
      </c>
      <c r="Q7" s="93">
        <v>10469.111969111969</v>
      </c>
      <c r="R7" s="89" t="s">
        <v>137</v>
      </c>
      <c r="S7" s="93">
        <v>-9257.5539568345321</v>
      </c>
      <c r="T7" s="89" t="s">
        <v>161</v>
      </c>
      <c r="U7" s="91">
        <v>0.15467625899280577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137</v>
      </c>
      <c r="AA7" s="92">
        <v>0.30452674897119342</v>
      </c>
      <c r="AB7" s="89" t="s">
        <v>161</v>
      </c>
      <c r="AC7" s="92">
        <v>0.21933010492332528</v>
      </c>
      <c r="AD7" s="89" t="s">
        <v>139</v>
      </c>
      <c r="AE7" s="92">
        <v>0.58064516129032262</v>
      </c>
      <c r="AF7" s="89" t="s">
        <v>161</v>
      </c>
      <c r="AG7" s="92">
        <v>0.39374425022999082</v>
      </c>
      <c r="AH7" s="89" t="s">
        <v>137</v>
      </c>
      <c r="AI7" s="92">
        <v>0.44401544401544402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0.2834890965732087</v>
      </c>
      <c r="N8" s="89" t="s">
        <v>161</v>
      </c>
      <c r="O8" s="92">
        <v>0.17168863779033269</v>
      </c>
      <c r="P8" s="89" t="s">
        <v>161</v>
      </c>
      <c r="Q8" s="93">
        <v>10130.287206266319</v>
      </c>
      <c r="R8" s="89" t="s">
        <v>133</v>
      </c>
      <c r="S8" s="93">
        <v>-9276.2845849802379</v>
      </c>
      <c r="T8" s="89" t="s">
        <v>194</v>
      </c>
      <c r="U8" s="91">
        <v>0.16666666666666666</v>
      </c>
      <c r="V8" s="89" t="s">
        <v>161</v>
      </c>
      <c r="W8" s="91">
        <v>0.15467625899280577</v>
      </c>
      <c r="X8" s="89" t="s">
        <v>250</v>
      </c>
      <c r="Y8" s="91">
        <v>9.0909090909090912E-2</v>
      </c>
      <c r="Z8" s="89" t="s">
        <v>139</v>
      </c>
      <c r="AA8" s="92">
        <v>0.30129589632829373</v>
      </c>
      <c r="AB8" s="89" t="s">
        <v>137</v>
      </c>
      <c r="AC8" s="92">
        <v>0.21536351165980797</v>
      </c>
      <c r="AD8" s="89" t="s">
        <v>161</v>
      </c>
      <c r="AE8" s="92">
        <v>0.57960893854748607</v>
      </c>
      <c r="AF8" s="89" t="s">
        <v>139</v>
      </c>
      <c r="AG8" s="92">
        <v>0.38636363636363635</v>
      </c>
      <c r="AH8" s="89" t="s">
        <v>134</v>
      </c>
      <c r="AI8" s="92">
        <v>0.44237918215613381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-3.4068181818181817</v>
      </c>
      <c r="F9" s="89" t="s">
        <v>138</v>
      </c>
      <c r="G9" s="90">
        <v>2.0606060606060606</v>
      </c>
      <c r="H9" s="89" t="s">
        <v>134</v>
      </c>
      <c r="I9" s="91">
        <v>0.29545454545454547</v>
      </c>
      <c r="J9" s="89" t="s">
        <v>134</v>
      </c>
      <c r="K9" s="91">
        <v>0.39393939393939392</v>
      </c>
      <c r="L9" s="89" t="s">
        <v>138</v>
      </c>
      <c r="M9" s="92">
        <v>0.27037037037037037</v>
      </c>
      <c r="N9" s="89" t="s">
        <v>138</v>
      </c>
      <c r="O9" s="92">
        <v>0.17407407407407408</v>
      </c>
      <c r="P9" s="89" t="s">
        <v>133</v>
      </c>
      <c r="Q9" s="93">
        <v>9836.2204724409457</v>
      </c>
      <c r="R9" s="89" t="s">
        <v>161</v>
      </c>
      <c r="S9" s="93">
        <v>-9377.6965265082272</v>
      </c>
      <c r="T9" s="89" t="s">
        <v>136</v>
      </c>
      <c r="U9" s="91">
        <v>0.17808219178082191</v>
      </c>
      <c r="V9" s="89" t="s">
        <v>138</v>
      </c>
      <c r="W9" s="91">
        <v>0.15151515151515152</v>
      </c>
      <c r="X9" s="89" t="s">
        <v>161</v>
      </c>
      <c r="Y9" s="91">
        <v>8.3932853717026384E-2</v>
      </c>
      <c r="Z9" s="89" t="s">
        <v>134</v>
      </c>
      <c r="AA9" s="92">
        <v>0.29765013054830286</v>
      </c>
      <c r="AB9" s="89" t="s">
        <v>138</v>
      </c>
      <c r="AC9" s="92">
        <v>0.21276595744680851</v>
      </c>
      <c r="AD9" s="89" t="s">
        <v>134</v>
      </c>
      <c r="AE9" s="92">
        <v>0.57894736842105265</v>
      </c>
      <c r="AF9" s="89" t="s">
        <v>134</v>
      </c>
      <c r="AG9" s="92">
        <v>0.38235294117647056</v>
      </c>
      <c r="AH9" s="89" t="s">
        <v>250</v>
      </c>
      <c r="AI9" s="92">
        <v>0.4375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2.0984848484848486</v>
      </c>
      <c r="H10" s="89" t="s">
        <v>167</v>
      </c>
      <c r="I10" s="91">
        <v>0.25</v>
      </c>
      <c r="J10" s="89" t="s">
        <v>138</v>
      </c>
      <c r="K10" s="91">
        <v>0.39393939393939392</v>
      </c>
      <c r="L10" s="89" t="s">
        <v>171</v>
      </c>
      <c r="M10" s="92">
        <v>0.27027027027027029</v>
      </c>
      <c r="N10" s="89" t="s">
        <v>136</v>
      </c>
      <c r="O10" s="92">
        <v>0.18551236749116609</v>
      </c>
      <c r="P10" s="89" t="s">
        <v>135</v>
      </c>
      <c r="Q10" s="93">
        <v>9726.1437908496737</v>
      </c>
      <c r="R10" s="89" t="s">
        <v>139</v>
      </c>
      <c r="S10" s="93">
        <v>-9500.5235602094235</v>
      </c>
      <c r="T10" s="89" t="s">
        <v>138</v>
      </c>
      <c r="U10" s="91">
        <v>0.18181818181818182</v>
      </c>
      <c r="V10" s="89" t="s">
        <v>139</v>
      </c>
      <c r="W10" s="91">
        <v>0.13709677419354838</v>
      </c>
      <c r="X10" s="89" t="s">
        <v>134</v>
      </c>
      <c r="Y10" s="91">
        <v>7.575757575757576E-2</v>
      </c>
      <c r="Z10" s="89" t="s">
        <v>161</v>
      </c>
      <c r="AA10" s="92">
        <v>0.28894269572235676</v>
      </c>
      <c r="AB10" s="89" t="s">
        <v>133</v>
      </c>
      <c r="AC10" s="92">
        <v>0.20478325859491778</v>
      </c>
      <c r="AD10" s="89" t="s">
        <v>137</v>
      </c>
      <c r="AE10" s="92">
        <v>0.56306306306306309</v>
      </c>
      <c r="AF10" s="89" t="s">
        <v>137</v>
      </c>
      <c r="AG10" s="92">
        <v>0.38216560509554143</v>
      </c>
      <c r="AH10" s="89" t="s">
        <v>139</v>
      </c>
      <c r="AI10" s="92">
        <v>0.4358974358974359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-3.9798387096774182</v>
      </c>
      <c r="F11" s="89" t="s">
        <v>139</v>
      </c>
      <c r="G11" s="90">
        <v>2.1693548387096775</v>
      </c>
      <c r="H11" s="89" t="s">
        <v>139</v>
      </c>
      <c r="I11" s="91">
        <v>0.24193548387096775</v>
      </c>
      <c r="J11" s="89" t="s">
        <v>171</v>
      </c>
      <c r="K11" s="91">
        <v>0.4</v>
      </c>
      <c r="L11" s="89" t="s">
        <v>136</v>
      </c>
      <c r="M11" s="92">
        <v>0.2667844522968198</v>
      </c>
      <c r="N11" s="89" t="s">
        <v>134</v>
      </c>
      <c r="O11" s="92">
        <v>0.19279454722492698</v>
      </c>
      <c r="P11" s="89" t="s">
        <v>157</v>
      </c>
      <c r="Q11" s="93">
        <v>9544</v>
      </c>
      <c r="R11" s="89" t="s">
        <v>250</v>
      </c>
      <c r="S11" s="93">
        <v>-9550</v>
      </c>
      <c r="T11" s="89" t="s">
        <v>139</v>
      </c>
      <c r="U11" s="91">
        <v>0.18548387096774194</v>
      </c>
      <c r="V11" s="89" t="s">
        <v>134</v>
      </c>
      <c r="W11" s="91">
        <v>0.12878787878787878</v>
      </c>
      <c r="X11" s="89" t="s">
        <v>136</v>
      </c>
      <c r="Y11" s="91">
        <v>5.4794520547945202E-2</v>
      </c>
      <c r="Z11" s="89" t="s">
        <v>136</v>
      </c>
      <c r="AA11" s="92">
        <v>0.27202072538860106</v>
      </c>
      <c r="AB11" s="89" t="s">
        <v>139</v>
      </c>
      <c r="AC11" s="92">
        <v>0.19006479481641469</v>
      </c>
      <c r="AD11" s="89" t="s">
        <v>138</v>
      </c>
      <c r="AE11" s="92">
        <v>0.5</v>
      </c>
      <c r="AF11" s="89" t="s">
        <v>136</v>
      </c>
      <c r="AG11" s="92">
        <v>0.35185185185185186</v>
      </c>
      <c r="AH11" s="89" t="s">
        <v>161</v>
      </c>
      <c r="AI11" s="92">
        <v>0.41723237597911228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-143.6</v>
      </c>
      <c r="D12" s="89" t="s">
        <v>136</v>
      </c>
      <c r="E12" s="103">
        <v>-6.6602739726027398</v>
      </c>
      <c r="F12" s="89" t="s">
        <v>171</v>
      </c>
      <c r="G12" s="90">
        <v>2.2000000000000002</v>
      </c>
      <c r="H12" s="89" t="s">
        <v>157</v>
      </c>
      <c r="I12" s="91">
        <v>0.22580645161290322</v>
      </c>
      <c r="J12" s="89" t="s">
        <v>139</v>
      </c>
      <c r="K12" s="91">
        <v>0.41129032258064518</v>
      </c>
      <c r="L12" s="89" t="s">
        <v>134</v>
      </c>
      <c r="M12" s="92">
        <v>0.26192794547224929</v>
      </c>
      <c r="N12" s="89" t="s">
        <v>157</v>
      </c>
      <c r="O12" s="92">
        <v>0.19327731092436976</v>
      </c>
      <c r="P12" s="89" t="s">
        <v>194</v>
      </c>
      <c r="Q12" s="93">
        <v>9163.1578947368416</v>
      </c>
      <c r="R12" s="89" t="s">
        <v>134</v>
      </c>
      <c r="S12" s="93">
        <v>-9564.1414141414134</v>
      </c>
      <c r="T12" s="89" t="s">
        <v>134</v>
      </c>
      <c r="U12" s="91">
        <v>0.18939393939393939</v>
      </c>
      <c r="V12" s="89" t="s">
        <v>136</v>
      </c>
      <c r="W12" s="91">
        <v>0.12328767123287671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0.17754569190600522</v>
      </c>
      <c r="AD12" s="89" t="s">
        <v>136</v>
      </c>
      <c r="AE12" s="92">
        <v>0.49523809523809526</v>
      </c>
      <c r="AF12" s="89" t="s">
        <v>250</v>
      </c>
      <c r="AG12" s="92">
        <v>0.30434782608695654</v>
      </c>
      <c r="AH12" s="89" t="s">
        <v>133</v>
      </c>
      <c r="AI12" s="92">
        <v>0.37480314960629924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136</v>
      </c>
      <c r="G13" s="90">
        <v>2.2191780821917808</v>
      </c>
      <c r="H13" s="89" t="s">
        <v>136</v>
      </c>
      <c r="I13" s="91">
        <v>0.20547945205479451</v>
      </c>
      <c r="J13" s="89" t="s">
        <v>136</v>
      </c>
      <c r="K13" s="91">
        <v>0.42465753424657532</v>
      </c>
      <c r="L13" s="89" t="s">
        <v>167</v>
      </c>
      <c r="M13" s="92">
        <v>0.25</v>
      </c>
      <c r="N13" s="89" t="s">
        <v>139</v>
      </c>
      <c r="O13" s="92">
        <v>0.19833852544132918</v>
      </c>
      <c r="P13" s="89" t="s">
        <v>136</v>
      </c>
      <c r="Q13" s="93">
        <v>9090.0662251655631</v>
      </c>
      <c r="R13" s="89" t="s">
        <v>136</v>
      </c>
      <c r="S13" s="93">
        <v>-9751.4285714285706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-449.7</v>
      </c>
      <c r="D14" s="89" t="s">
        <v>250</v>
      </c>
      <c r="E14" s="103">
        <v>-13.054545454545455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250</v>
      </c>
      <c r="K14" s="91">
        <v>0.54545454545454541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8712.5</v>
      </c>
      <c r="R14" s="89" t="s">
        <v>194</v>
      </c>
      <c r="S14" s="93">
        <v>-10025</v>
      </c>
      <c r="T14" s="89" t="s">
        <v>250</v>
      </c>
      <c r="U14" s="91">
        <v>0.36363636363636365</v>
      </c>
      <c r="V14" s="89" t="s">
        <v>250</v>
      </c>
      <c r="W14" s="91">
        <v>9.0909090909090912E-2</v>
      </c>
      <c r="X14" s="89" t="s">
        <v>166</v>
      </c>
      <c r="Y14" s="91">
        <v>0</v>
      </c>
      <c r="Z14" s="89" t="s">
        <v>250</v>
      </c>
      <c r="AA14" s="92">
        <v>0.14634146341463414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136</v>
      </c>
      <c r="C15" s="88">
        <v>-486.2</v>
      </c>
      <c r="D15" s="89" t="s">
        <v>171</v>
      </c>
      <c r="E15" s="103">
        <v>-17.28</v>
      </c>
      <c r="F15" s="89" t="s">
        <v>250</v>
      </c>
      <c r="G15" s="90">
        <v>2.3636363636363638</v>
      </c>
      <c r="H15" s="89" t="s">
        <v>250</v>
      </c>
      <c r="I15" s="91">
        <v>0.18181818181818182</v>
      </c>
      <c r="J15" s="89" t="s">
        <v>157</v>
      </c>
      <c r="K15" s="91">
        <v>0.54838709677419351</v>
      </c>
      <c r="L15" s="89" t="s">
        <v>250</v>
      </c>
      <c r="M15" s="92">
        <v>0.1951219512195122</v>
      </c>
      <c r="N15" s="89" t="s">
        <v>250</v>
      </c>
      <c r="O15" s="92">
        <v>0.24390243902439024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139</v>
      </c>
      <c r="C16" s="88">
        <v>-493.49999999999983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CC868-BA11-4D83-91BE-4C78FA82CFFC}">
  <sheetPr codeName="Sheet4"/>
  <dimension ref="A1:Q836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161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834</v>
      </c>
      <c r="C2" s="150"/>
      <c r="E2" s="64" t="s">
        <v>71</v>
      </c>
      <c r="F2" s="61" t="s">
        <v>25</v>
      </c>
      <c r="G2" s="48">
        <v>1288</v>
      </c>
      <c r="H2" s="137">
        <f>IF(B$27=0,0,G2/B$27)</f>
        <v>0.86968264686022956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-15.815085158150852</v>
      </c>
      <c r="P2" s="124">
        <v>822</v>
      </c>
      <c r="Q2" s="108">
        <v>-13000</v>
      </c>
    </row>
    <row r="3" spans="1:17" x14ac:dyDescent="0.4">
      <c r="A3" s="57" t="s">
        <v>8</v>
      </c>
      <c r="B3" s="155">
        <v>6372</v>
      </c>
      <c r="C3" s="156"/>
      <c r="E3" s="65" t="s">
        <v>69</v>
      </c>
      <c r="F3" s="62" t="s">
        <v>23</v>
      </c>
      <c r="G3" s="49">
        <v>1078</v>
      </c>
      <c r="H3" s="138">
        <f>IF(B$27=0,0,G3/B$27)</f>
        <v>0.72788656313301825</v>
      </c>
      <c r="I3" s="100">
        <v>5</v>
      </c>
      <c r="K3" s="40">
        <v>1</v>
      </c>
      <c r="L3" s="105">
        <v>30</v>
      </c>
      <c r="N3" s="121" t="s">
        <v>148</v>
      </c>
      <c r="O3" s="128">
        <f t="shared" si="0"/>
        <v>-5.0505050505050502</v>
      </c>
      <c r="P3" s="125">
        <v>792</v>
      </c>
      <c r="Q3" s="109">
        <v>-4000</v>
      </c>
    </row>
    <row r="4" spans="1:17" x14ac:dyDescent="0.4">
      <c r="A4" s="57" t="s">
        <v>6</v>
      </c>
      <c r="B4" s="157">
        <v>-5.9999999999999378</v>
      </c>
      <c r="C4" s="158"/>
      <c r="E4" s="65" t="s">
        <v>76</v>
      </c>
      <c r="F4" s="62" t="s">
        <v>29</v>
      </c>
      <c r="G4" s="49">
        <v>827</v>
      </c>
      <c r="H4" s="138">
        <f>IF(B$27=0,0,G4/B$27)</f>
        <v>0.55840648210668464</v>
      </c>
      <c r="I4" s="100">
        <v>8</v>
      </c>
      <c r="K4" s="40">
        <v>2</v>
      </c>
      <c r="L4" s="105">
        <v>-29</v>
      </c>
      <c r="N4" s="121" t="s">
        <v>149</v>
      </c>
      <c r="O4" s="128">
        <f t="shared" si="0"/>
        <v>8.097165991902834</v>
      </c>
      <c r="P4" s="125">
        <v>741</v>
      </c>
      <c r="Q4" s="109">
        <v>6000</v>
      </c>
    </row>
    <row r="5" spans="1:17" x14ac:dyDescent="0.4">
      <c r="A5" s="57" t="s">
        <v>7</v>
      </c>
      <c r="B5" s="159">
        <f>IF(B$2=0,0,B$4/B$2)</f>
        <v>-7.1942446043164725E-3</v>
      </c>
      <c r="C5" s="160"/>
      <c r="E5" s="65" t="s">
        <v>67</v>
      </c>
      <c r="F5" s="62" t="s">
        <v>21</v>
      </c>
      <c r="G5" s="49">
        <v>817</v>
      </c>
      <c r="H5" s="138">
        <f>IF(B$27=0,0,G5/B$27)</f>
        <v>0.55165428764348412</v>
      </c>
      <c r="I5" s="100">
        <v>7</v>
      </c>
      <c r="K5" s="40">
        <v>3</v>
      </c>
      <c r="L5" s="105">
        <v>7</v>
      </c>
      <c r="N5" s="121" t="s">
        <v>150</v>
      </c>
      <c r="O5" s="128">
        <f t="shared" si="0"/>
        <v>3.0030030030030028</v>
      </c>
      <c r="P5" s="125">
        <v>666</v>
      </c>
      <c r="Q5" s="109">
        <v>2000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72</v>
      </c>
      <c r="F6" s="62" t="s">
        <v>12</v>
      </c>
      <c r="G6" s="49">
        <v>453</v>
      </c>
      <c r="H6" s="138">
        <f>IF(B$27=0,0,G6/B$27)</f>
        <v>0.30587440918298447</v>
      </c>
      <c r="I6" s="100">
        <v>7</v>
      </c>
      <c r="K6" s="40">
        <v>4</v>
      </c>
      <c r="L6" s="105">
        <v>-2</v>
      </c>
      <c r="N6" s="121" t="s">
        <v>151</v>
      </c>
      <c r="O6" s="128">
        <f t="shared" si="0"/>
        <v>10.256410256410257</v>
      </c>
      <c r="P6" s="125">
        <v>585</v>
      </c>
      <c r="Q6" s="109">
        <v>6000</v>
      </c>
    </row>
    <row r="7" spans="1:17" x14ac:dyDescent="0.4">
      <c r="A7" s="57" t="s">
        <v>2</v>
      </c>
      <c r="B7" s="49">
        <v>278</v>
      </c>
      <c r="C7" s="41">
        <f>IF(B$2=0,0,B7/B$2)</f>
        <v>0.33333333333333331</v>
      </c>
      <c r="E7" s="65" t="s">
        <v>70</v>
      </c>
      <c r="F7" s="62" t="s">
        <v>24</v>
      </c>
      <c r="G7" s="49">
        <v>451</v>
      </c>
      <c r="H7" s="138">
        <f>IF(B$27=0,0,G7/B$27)</f>
        <v>0.30452397029034434</v>
      </c>
      <c r="I7" s="100">
        <v>7</v>
      </c>
      <c r="K7" s="40">
        <v>5</v>
      </c>
      <c r="L7" s="105">
        <v>80.8</v>
      </c>
      <c r="N7" s="122" t="s">
        <v>152</v>
      </c>
      <c r="O7" s="129">
        <f t="shared" si="0"/>
        <v>-6.4102564102564106</v>
      </c>
      <c r="P7" s="126">
        <v>468</v>
      </c>
      <c r="Q7" s="110">
        <v>-3000</v>
      </c>
    </row>
    <row r="8" spans="1:17" x14ac:dyDescent="0.4">
      <c r="A8" s="57" t="s">
        <v>3</v>
      </c>
      <c r="B8" s="49">
        <v>278</v>
      </c>
      <c r="C8" s="41">
        <f>IF(B$2=0,0,B8/B$2)</f>
        <v>0.33333333333333331</v>
      </c>
      <c r="E8" s="65" t="s">
        <v>94</v>
      </c>
      <c r="F8" s="62" t="s">
        <v>47</v>
      </c>
      <c r="G8" s="49">
        <v>225</v>
      </c>
      <c r="H8" s="138">
        <f>IF(B$27=0,0,G8/B$27)</f>
        <v>0.15192437542201215</v>
      </c>
      <c r="I8" s="100">
        <v>9</v>
      </c>
      <c r="K8" s="40">
        <v>6</v>
      </c>
      <c r="L8" s="105">
        <v>-39.9</v>
      </c>
      <c r="N8" s="45"/>
      <c r="O8" s="133"/>
      <c r="P8" s="117"/>
      <c r="Q8" s="115"/>
    </row>
    <row r="9" spans="1:17" x14ac:dyDescent="0.4">
      <c r="A9" s="58" t="s">
        <v>4</v>
      </c>
      <c r="B9" s="50">
        <v>278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219</v>
      </c>
      <c r="H9" s="138">
        <f>IF(B$27=0,0,G9/B$27)</f>
        <v>0.14787305874409182</v>
      </c>
      <c r="I9" s="100">
        <v>7</v>
      </c>
      <c r="K9" s="40">
        <v>7</v>
      </c>
      <c r="L9" s="105">
        <v>30.2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129</v>
      </c>
      <c r="C10" s="42">
        <f>IF(B$2=0,0,B10/B$2)</f>
        <v>0.15467625899280577</v>
      </c>
      <c r="E10" s="65" t="s">
        <v>68</v>
      </c>
      <c r="F10" s="62" t="s">
        <v>22</v>
      </c>
      <c r="G10" s="49">
        <v>177</v>
      </c>
      <c r="H10" s="138">
        <f>IF(B$27=0,0,G10/B$27)</f>
        <v>0.11951384199864956</v>
      </c>
      <c r="I10" s="100">
        <v>6</v>
      </c>
      <c r="K10" s="40">
        <v>8</v>
      </c>
      <c r="L10" s="105">
        <v>-68.5</v>
      </c>
      <c r="N10" s="120" t="s">
        <v>253</v>
      </c>
      <c r="O10" s="130">
        <f>IF(P10=0,0,Q10/P10)</f>
        <v>-2.204727272727272</v>
      </c>
      <c r="P10" s="124">
        <v>275</v>
      </c>
      <c r="Q10" s="112">
        <v>-606.29999999999984</v>
      </c>
    </row>
    <row r="11" spans="1:17" x14ac:dyDescent="0.4">
      <c r="A11" s="58" t="s">
        <v>155</v>
      </c>
      <c r="B11" s="50">
        <v>129</v>
      </c>
      <c r="C11" s="42">
        <f>IF(B$2=0,0,B11/B$2)</f>
        <v>0.15467625899280577</v>
      </c>
      <c r="E11" s="65" t="s">
        <v>74</v>
      </c>
      <c r="F11" s="62" t="s">
        <v>27</v>
      </c>
      <c r="G11" s="49">
        <v>147</v>
      </c>
      <c r="H11" s="138">
        <f>IF(B$27=0,0,G11/B$27)</f>
        <v>9.9257258609047938E-2</v>
      </c>
      <c r="I11" s="100">
        <v>6</v>
      </c>
      <c r="K11" s="40">
        <v>9</v>
      </c>
      <c r="L11" s="105">
        <v>26.700000000000003</v>
      </c>
      <c r="N11" s="121" t="s">
        <v>254</v>
      </c>
      <c r="O11" s="131">
        <f>IF(P11=0,0,Q11/P11)</f>
        <v>0.15418181818181861</v>
      </c>
      <c r="P11" s="125">
        <v>275</v>
      </c>
      <c r="Q11" s="113">
        <v>42.400000000000119</v>
      </c>
    </row>
    <row r="12" spans="1:17" x14ac:dyDescent="0.4">
      <c r="A12" s="59" t="s">
        <v>239</v>
      </c>
      <c r="B12" s="51">
        <v>70</v>
      </c>
      <c r="C12" s="44">
        <f>IF(B$2=0,0,B12/B$2)</f>
        <v>8.3932853717026384E-2</v>
      </c>
      <c r="E12" s="65" t="s">
        <v>91</v>
      </c>
      <c r="F12" s="62" t="s">
        <v>44</v>
      </c>
      <c r="G12" s="49">
        <v>100</v>
      </c>
      <c r="H12" s="138">
        <f>IF(B$27=0,0,G12/B$27)</f>
        <v>6.7521944632005407E-2</v>
      </c>
      <c r="I12" s="100">
        <v>7</v>
      </c>
      <c r="K12" s="40">
        <v>10</v>
      </c>
      <c r="L12" s="105">
        <v>170.4</v>
      </c>
      <c r="N12" s="122" t="s">
        <v>255</v>
      </c>
      <c r="O12" s="132">
        <f>IF(P12=0,0,Q12/P12)</f>
        <v>2.0287272727272736</v>
      </c>
      <c r="P12" s="126">
        <v>275</v>
      </c>
      <c r="Q12" s="114">
        <v>557.9000000000002</v>
      </c>
    </row>
    <row r="13" spans="1:17" x14ac:dyDescent="0.4">
      <c r="A13" s="60" t="s">
        <v>128</v>
      </c>
      <c r="B13" s="52">
        <v>1432</v>
      </c>
      <c r="C13" s="46">
        <f>IF(B$26=0,0,B13/B$26)</f>
        <v>0.28894269572235676</v>
      </c>
      <c r="E13" s="65" t="s">
        <v>75</v>
      </c>
      <c r="F13" s="62" t="s">
        <v>28</v>
      </c>
      <c r="G13" s="49">
        <v>71</v>
      </c>
      <c r="H13" s="138">
        <f>IF(B$27=0,0,G13/B$27)</f>
        <v>4.7940580688723838E-2</v>
      </c>
      <c r="I13" s="100">
        <v>6</v>
      </c>
      <c r="K13" s="40">
        <v>11</v>
      </c>
      <c r="L13" s="105">
        <v>3.7999999999999972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1087</v>
      </c>
      <c r="C14" s="41">
        <f>IF(B$26=0,0,B14/B$26)</f>
        <v>0.21933010492332528</v>
      </c>
      <c r="E14" s="65" t="s">
        <v>88</v>
      </c>
      <c r="F14" s="62" t="s">
        <v>41</v>
      </c>
      <c r="G14" s="49">
        <v>67</v>
      </c>
      <c r="H14" s="138">
        <f>IF(B$27=0,0,G14/B$27)</f>
        <v>4.5239702903443618E-2</v>
      </c>
      <c r="I14" s="100">
        <v>6</v>
      </c>
      <c r="K14" s="40">
        <v>12</v>
      </c>
      <c r="L14" s="105">
        <v>-44.5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830</v>
      </c>
      <c r="C15" s="39">
        <f>IF(B$13=0,0,B15/B$13)</f>
        <v>0.57960893854748607</v>
      </c>
      <c r="E15" s="65" t="s">
        <v>82</v>
      </c>
      <c r="F15" s="62" t="s">
        <v>35</v>
      </c>
      <c r="G15" s="49">
        <v>46</v>
      </c>
      <c r="H15" s="138">
        <f>IF(B$27=0,0,G15/B$27)</f>
        <v>3.1060094530722483E-2</v>
      </c>
      <c r="I15" s="100">
        <v>6</v>
      </c>
      <c r="K15" s="40">
        <v>13</v>
      </c>
      <c r="L15" s="105">
        <v>63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428</v>
      </c>
      <c r="C16" s="39">
        <f>IF(B$14=0,0,B16/B$14)</f>
        <v>0.39374425022999082</v>
      </c>
      <c r="E16" s="65" t="s">
        <v>86</v>
      </c>
      <c r="F16" s="62" t="s">
        <v>39</v>
      </c>
      <c r="G16" s="49">
        <v>42</v>
      </c>
      <c r="H16" s="138">
        <f>IF(B$27=0,0,G16/B$27)</f>
        <v>2.835921674544227E-2</v>
      </c>
      <c r="I16" s="100">
        <v>6</v>
      </c>
      <c r="K16" s="40">
        <v>14</v>
      </c>
      <c r="L16" s="105">
        <v>-39.5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1915</v>
      </c>
      <c r="C17" s="39">
        <f>IF(B$3=0,0,B17/B$3)</f>
        <v>0.30053358443188949</v>
      </c>
      <c r="E17" s="65" t="s">
        <v>96</v>
      </c>
      <c r="F17" s="62" t="s">
        <v>49</v>
      </c>
      <c r="G17" s="49">
        <v>28</v>
      </c>
      <c r="H17" s="138">
        <f>IF(B$27=0,0,G17/B$27)</f>
        <v>1.8906144496961513E-2</v>
      </c>
      <c r="I17" s="100">
        <v>6</v>
      </c>
      <c r="K17" s="40">
        <v>15</v>
      </c>
      <c r="L17" s="105">
        <v>4</v>
      </c>
      <c r="N17" s="121" t="s">
        <v>250</v>
      </c>
      <c r="O17" s="131">
        <f>IF(P17=0,0,Q17/P17)</f>
        <v>19.581818181818178</v>
      </c>
      <c r="P17" s="125">
        <v>22</v>
      </c>
      <c r="Q17" s="113">
        <v>430.79999999999995</v>
      </c>
    </row>
    <row r="18" spans="1:17" x14ac:dyDescent="0.4">
      <c r="A18" s="57" t="s">
        <v>12</v>
      </c>
      <c r="B18" s="49">
        <v>799</v>
      </c>
      <c r="C18" s="41">
        <f>IF(B$17=0,0,B18/B$17)</f>
        <v>0.41723237597911228</v>
      </c>
      <c r="E18" s="65" t="s">
        <v>83</v>
      </c>
      <c r="F18" s="62" t="s">
        <v>36</v>
      </c>
      <c r="G18" s="49">
        <v>22</v>
      </c>
      <c r="H18" s="138">
        <f>IF(B$27=0,0,G18/B$27)</f>
        <v>1.4854827819041188E-2</v>
      </c>
      <c r="I18" s="100">
        <v>6</v>
      </c>
      <c r="K18" s="40">
        <v>16</v>
      </c>
      <c r="L18" s="105">
        <v>-96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1116</v>
      </c>
      <c r="C19" s="41">
        <f>IF(B$17=0,0,B19/B$17)</f>
        <v>0.58276762402088778</v>
      </c>
      <c r="E19" s="65" t="s">
        <v>77</v>
      </c>
      <c r="F19" s="62" t="s">
        <v>30</v>
      </c>
      <c r="G19" s="49">
        <v>13</v>
      </c>
      <c r="H19" s="138">
        <f>IF(B$27=0,0,G19/B$27)</f>
        <v>8.7778528021607016E-3</v>
      </c>
      <c r="I19" s="100">
        <v>4</v>
      </c>
      <c r="K19" s="40">
        <v>17</v>
      </c>
      <c r="L19" s="105">
        <v>32</v>
      </c>
      <c r="N19" s="121" t="s">
        <v>136</v>
      </c>
      <c r="O19" s="131">
        <f>IF(P19=0,0,Q19/P19)</f>
        <v>9.9904109589041106</v>
      </c>
      <c r="P19" s="125">
        <v>146</v>
      </c>
      <c r="Q19" s="113">
        <v>1458.6000000000001</v>
      </c>
    </row>
    <row r="20" spans="1:17" x14ac:dyDescent="0.4">
      <c r="A20" s="57" t="s">
        <v>13</v>
      </c>
      <c r="B20" s="49">
        <v>1094</v>
      </c>
      <c r="C20" s="41">
        <f>IF(B$3=0,0,B20/B$3)</f>
        <v>0.17168863779033269</v>
      </c>
      <c r="E20" s="65" t="s">
        <v>79</v>
      </c>
      <c r="F20" s="62" t="s">
        <v>32</v>
      </c>
      <c r="G20" s="49">
        <v>9</v>
      </c>
      <c r="H20" s="138">
        <f>IF(B$27=0,0,G20/B$27)</f>
        <v>6.0769750168804858E-3</v>
      </c>
      <c r="I20" s="100">
        <v>4</v>
      </c>
      <c r="K20" s="40">
        <v>18</v>
      </c>
      <c r="L20" s="105">
        <v>8</v>
      </c>
      <c r="N20" s="121" t="s">
        <v>139</v>
      </c>
      <c r="O20" s="131">
        <f>IF(P20=0,0,Q20/P20)</f>
        <v>5.9616935483870979</v>
      </c>
      <c r="P20" s="125">
        <v>248</v>
      </c>
      <c r="Q20" s="113">
        <v>1478.5000000000002</v>
      </c>
    </row>
    <row r="21" spans="1:17" x14ac:dyDescent="0.4">
      <c r="A21" s="57" t="s">
        <v>5</v>
      </c>
      <c r="B21" s="53">
        <f>IF(B$17=0,0,C21/B$17)</f>
        <v>10130.287206266319</v>
      </c>
      <c r="C21" s="43">
        <v>19399500</v>
      </c>
      <c r="E21" s="65" t="s">
        <v>81</v>
      </c>
      <c r="F21" s="62" t="s">
        <v>34</v>
      </c>
      <c r="G21" s="49">
        <v>9</v>
      </c>
      <c r="H21" s="138">
        <f>IF(B$27=0,0,G21/B$27)</f>
        <v>6.0769750168804858E-3</v>
      </c>
      <c r="I21" s="100">
        <v>5</v>
      </c>
      <c r="K21" s="40">
        <v>19</v>
      </c>
      <c r="L21" s="105">
        <v>-12.2</v>
      </c>
      <c r="N21" s="121" t="s">
        <v>167</v>
      </c>
      <c r="O21" s="131">
        <f>IF(P21=0,0,Q21/P21)</f>
        <v>5.8125</v>
      </c>
      <c r="P21" s="125">
        <v>8</v>
      </c>
      <c r="Q21" s="113">
        <v>46.5</v>
      </c>
    </row>
    <row r="22" spans="1:17" x14ac:dyDescent="0.4">
      <c r="A22" s="59" t="s">
        <v>14</v>
      </c>
      <c r="B22" s="54">
        <f>IF(B$20=0,0,C22/B$20)</f>
        <v>-9377.6965265082272</v>
      </c>
      <c r="C22" s="47">
        <v>-10259200</v>
      </c>
      <c r="E22" s="65" t="s">
        <v>97</v>
      </c>
      <c r="F22" s="62" t="s">
        <v>50</v>
      </c>
      <c r="G22" s="49">
        <v>8</v>
      </c>
      <c r="H22" s="138">
        <f>IF(B$27=0,0,G22/B$27)</f>
        <v>5.4017555705604325E-3</v>
      </c>
      <c r="I22" s="100">
        <v>5</v>
      </c>
      <c r="K22" s="40">
        <v>20</v>
      </c>
      <c r="L22" s="105">
        <v>15.9</v>
      </c>
      <c r="N22" s="121" t="s">
        <v>134</v>
      </c>
      <c r="O22" s="131">
        <f>IF(P22=0,0,Q22/P22)</f>
        <v>5.0950757575757537</v>
      </c>
      <c r="P22" s="125">
        <v>264</v>
      </c>
      <c r="Q22" s="113">
        <v>1345.099999999999</v>
      </c>
    </row>
    <row r="23" spans="1:17" x14ac:dyDescent="0.4">
      <c r="A23" s="96" t="s">
        <v>158</v>
      </c>
      <c r="B23" s="145">
        <v>10</v>
      </c>
      <c r="C23" s="146"/>
      <c r="E23" s="65" t="s">
        <v>98</v>
      </c>
      <c r="F23" s="62" t="s">
        <v>51</v>
      </c>
      <c r="G23" s="49">
        <v>6</v>
      </c>
      <c r="H23" s="138">
        <f>IF(B$27=0,0,G23/B$27)</f>
        <v>4.0513166779203242E-3</v>
      </c>
      <c r="I23" s="100">
        <v>4</v>
      </c>
      <c r="K23" s="40">
        <v>21</v>
      </c>
      <c r="L23" s="105">
        <v>-4.9000000000000004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43">
        <v>124700</v>
      </c>
      <c r="C24" s="144"/>
      <c r="E24" s="65" t="s">
        <v>78</v>
      </c>
      <c r="F24" s="62" t="s">
        <v>31</v>
      </c>
      <c r="G24" s="49">
        <v>5</v>
      </c>
      <c r="H24" s="138">
        <f>IF(B$27=0,0,G24/B$27)</f>
        <v>3.37609723160027E-3</v>
      </c>
      <c r="I24" s="100">
        <v>5</v>
      </c>
      <c r="K24" s="40">
        <v>22</v>
      </c>
      <c r="L24" s="105">
        <v>-72</v>
      </c>
      <c r="N24" s="121" t="s">
        <v>137</v>
      </c>
      <c r="O24" s="131">
        <f>IF(P24=0,0,Q24/P24)</f>
        <v>-3.333185840707964</v>
      </c>
      <c r="P24" s="125">
        <v>226</v>
      </c>
      <c r="Q24" s="113">
        <v>-753.29999999999984</v>
      </c>
    </row>
    <row r="25" spans="1:17" x14ac:dyDescent="0.4">
      <c r="A25" s="59" t="s">
        <v>159</v>
      </c>
      <c r="B25" s="67">
        <v>20</v>
      </c>
      <c r="C25" s="44">
        <f>IF(B$3=0,0,B25/B$3)</f>
        <v>3.1387319522912741E-3</v>
      </c>
      <c r="E25" s="65" t="s">
        <v>90</v>
      </c>
      <c r="F25" s="62" t="s">
        <v>43</v>
      </c>
      <c r="G25" s="49">
        <v>5</v>
      </c>
      <c r="H25" s="138">
        <f>IF(B$27=0,0,G25/B$27)</f>
        <v>3.37609723160027E-3</v>
      </c>
      <c r="I25" s="100">
        <v>4</v>
      </c>
      <c r="K25" s="40">
        <v>23</v>
      </c>
      <c r="L25" s="105">
        <v>30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9">
        <v>4956</v>
      </c>
      <c r="C26" s="150"/>
      <c r="E26" s="65" t="s">
        <v>89</v>
      </c>
      <c r="F26" s="62" t="s">
        <v>42</v>
      </c>
      <c r="G26" s="49">
        <v>4</v>
      </c>
      <c r="H26" s="138">
        <f>IF(B$27=0,0,G26/B$27)</f>
        <v>2.7008777852802163E-3</v>
      </c>
      <c r="I26" s="100">
        <v>4</v>
      </c>
      <c r="K26" s="40">
        <v>24</v>
      </c>
      <c r="L26" s="105">
        <v>3</v>
      </c>
      <c r="N26" s="121" t="s">
        <v>133</v>
      </c>
      <c r="O26" s="131">
        <f>IF(P26=0,0,Q26/P26)</f>
        <v>-10.084388185653999</v>
      </c>
      <c r="P26" s="125">
        <v>474</v>
      </c>
      <c r="Q26" s="113">
        <v>-4779.9999999999955</v>
      </c>
    </row>
    <row r="27" spans="1:17" x14ac:dyDescent="0.4">
      <c r="A27" s="59" t="s">
        <v>127</v>
      </c>
      <c r="B27" s="151">
        <v>1481</v>
      </c>
      <c r="C27" s="152"/>
      <c r="E27" s="65" t="s">
        <v>92</v>
      </c>
      <c r="F27" s="62" t="s">
        <v>45</v>
      </c>
      <c r="G27" s="49">
        <v>3</v>
      </c>
      <c r="H27" s="138">
        <f>IF(B$27=0,0,G27/B$27)</f>
        <v>2.0256583389601621E-3</v>
      </c>
      <c r="I27" s="100">
        <v>3</v>
      </c>
      <c r="K27" s="40">
        <v>25</v>
      </c>
      <c r="L27" s="105">
        <v>-82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1.3504388926401081E-3</v>
      </c>
      <c r="I28" s="100">
        <v>3</v>
      </c>
      <c r="K28" s="40">
        <v>26</v>
      </c>
      <c r="L28" s="105">
        <v>64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6.7521944632005406E-4</v>
      </c>
      <c r="I29" s="100">
        <v>2</v>
      </c>
      <c r="K29" s="40">
        <v>27</v>
      </c>
      <c r="L29" s="105">
        <v>-11.5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6.7521944632005406E-4</v>
      </c>
      <c r="I30" s="100">
        <v>2</v>
      </c>
      <c r="K30" s="40">
        <v>28</v>
      </c>
      <c r="L30" s="105">
        <v>-63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6.7521944632005406E-4</v>
      </c>
      <c r="I31" s="100">
        <v>2</v>
      </c>
      <c r="K31" s="40">
        <v>29</v>
      </c>
      <c r="L31" s="105">
        <v>104.9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6.7521944632005406E-4</v>
      </c>
      <c r="I32" s="100">
        <v>2</v>
      </c>
      <c r="K32" s="40">
        <v>30</v>
      </c>
      <c r="L32" s="105">
        <v>-36.700000000000003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36.6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-1.0999999999999979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-8.5999999999999979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25.6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60.000000000000007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-36.399999999999991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114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8.2000000000000099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-32.599999999999994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-88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88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-21.999999999999993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-74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-33.999999999999993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35.500000000000007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3.2000000000000073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9.2000000000000064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-5.3999999999999932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-42.79999999999999</v>
      </c>
    </row>
    <row r="52" spans="5:12" x14ac:dyDescent="0.4">
      <c r="K52" s="40">
        <v>50</v>
      </c>
      <c r="L52" s="105">
        <v>-86.399999999999991</v>
      </c>
    </row>
    <row r="53" spans="5:12" x14ac:dyDescent="0.4">
      <c r="K53" s="40">
        <v>51</v>
      </c>
      <c r="L53" s="105">
        <v>53.900000000000006</v>
      </c>
    </row>
    <row r="54" spans="5:12" x14ac:dyDescent="0.4">
      <c r="K54" s="40">
        <v>52</v>
      </c>
      <c r="L54" s="105">
        <v>29.800000000000008</v>
      </c>
    </row>
    <row r="55" spans="5:12" x14ac:dyDescent="0.4">
      <c r="K55" s="40">
        <v>53</v>
      </c>
      <c r="L55" s="105">
        <v>-12.499999999999991</v>
      </c>
    </row>
    <row r="56" spans="5:12" x14ac:dyDescent="0.4">
      <c r="K56" s="40">
        <v>54</v>
      </c>
      <c r="L56" s="105">
        <v>-1.1999999999999917</v>
      </c>
    </row>
    <row r="57" spans="5:12" x14ac:dyDescent="0.4">
      <c r="K57" s="40">
        <v>55</v>
      </c>
      <c r="L57" s="105">
        <v>114.4</v>
      </c>
    </row>
    <row r="58" spans="5:12" x14ac:dyDescent="0.4">
      <c r="K58" s="40">
        <v>56</v>
      </c>
      <c r="L58" s="105">
        <v>-19.599999999999987</v>
      </c>
    </row>
    <row r="59" spans="5:12" x14ac:dyDescent="0.4">
      <c r="K59" s="40">
        <v>57</v>
      </c>
      <c r="L59" s="105">
        <v>-18.79999999999999</v>
      </c>
    </row>
    <row r="60" spans="5:12" x14ac:dyDescent="0.4">
      <c r="K60" s="40">
        <v>58</v>
      </c>
      <c r="L60" s="105">
        <v>52.400000000000006</v>
      </c>
    </row>
    <row r="61" spans="5:12" x14ac:dyDescent="0.4">
      <c r="K61" s="40">
        <v>59</v>
      </c>
      <c r="L61" s="105">
        <v>-24.199999999999989</v>
      </c>
    </row>
    <row r="62" spans="5:12" x14ac:dyDescent="0.4">
      <c r="K62" s="40">
        <v>60</v>
      </c>
      <c r="L62" s="105">
        <v>-0.99999999999998934</v>
      </c>
    </row>
    <row r="63" spans="5:12" x14ac:dyDescent="0.4">
      <c r="K63" s="40">
        <v>61</v>
      </c>
      <c r="L63" s="105">
        <v>113.00000000000001</v>
      </c>
    </row>
    <row r="64" spans="5:12" x14ac:dyDescent="0.4">
      <c r="K64" s="40">
        <v>62</v>
      </c>
      <c r="L64" s="105">
        <v>-36.499999999999986</v>
      </c>
    </row>
    <row r="65" spans="11:12" x14ac:dyDescent="0.4">
      <c r="K65" s="40">
        <v>63</v>
      </c>
      <c r="L65" s="105">
        <v>-9.9999999999999858</v>
      </c>
    </row>
    <row r="66" spans="11:12" x14ac:dyDescent="0.4">
      <c r="K66" s="40">
        <v>64</v>
      </c>
      <c r="L66" s="105">
        <v>-50.999999999999986</v>
      </c>
    </row>
    <row r="67" spans="11:12" x14ac:dyDescent="0.4">
      <c r="K67" s="40">
        <v>65</v>
      </c>
      <c r="L67" s="105">
        <v>-105.29999999999998</v>
      </c>
    </row>
    <row r="68" spans="11:12" x14ac:dyDescent="0.4">
      <c r="K68" s="40">
        <v>66</v>
      </c>
      <c r="L68" s="105">
        <v>65.400000000000034</v>
      </c>
    </row>
    <row r="69" spans="11:12" x14ac:dyDescent="0.4">
      <c r="K69" s="40">
        <v>67</v>
      </c>
      <c r="L69" s="105">
        <v>49.400000000000027</v>
      </c>
    </row>
    <row r="70" spans="11:12" x14ac:dyDescent="0.4">
      <c r="K70" s="40">
        <v>68</v>
      </c>
      <c r="L70" s="105">
        <v>-46.899999999999963</v>
      </c>
    </row>
    <row r="71" spans="11:12" x14ac:dyDescent="0.4">
      <c r="K71" s="40">
        <v>69</v>
      </c>
      <c r="L71" s="105">
        <v>11.10000000000003</v>
      </c>
    </row>
    <row r="72" spans="11:12" x14ac:dyDescent="0.4">
      <c r="K72" s="40">
        <v>70</v>
      </c>
      <c r="L72" s="105">
        <v>-12.99999999999997</v>
      </c>
    </row>
    <row r="73" spans="11:12" x14ac:dyDescent="0.4">
      <c r="K73" s="40">
        <v>71</v>
      </c>
      <c r="L73" s="105">
        <v>-95.499999999999972</v>
      </c>
    </row>
    <row r="74" spans="11:12" x14ac:dyDescent="0.4">
      <c r="K74" s="40">
        <v>72</v>
      </c>
      <c r="L74" s="105">
        <v>51.000000000000028</v>
      </c>
    </row>
    <row r="75" spans="11:12" x14ac:dyDescent="0.4">
      <c r="K75" s="40">
        <v>73</v>
      </c>
      <c r="L75" s="105">
        <v>-67.399999999999977</v>
      </c>
    </row>
    <row r="76" spans="11:12" x14ac:dyDescent="0.4">
      <c r="K76" s="40">
        <v>74</v>
      </c>
      <c r="L76" s="105">
        <v>-0.69999999999997442</v>
      </c>
    </row>
    <row r="77" spans="11:12" x14ac:dyDescent="0.4">
      <c r="K77" s="40">
        <v>75</v>
      </c>
      <c r="L77" s="105">
        <v>17.200000000000024</v>
      </c>
    </row>
    <row r="78" spans="11:12" x14ac:dyDescent="0.4">
      <c r="K78" s="40">
        <v>76</v>
      </c>
      <c r="L78" s="105">
        <v>47.800000000000026</v>
      </c>
    </row>
    <row r="79" spans="11:12" x14ac:dyDescent="0.4">
      <c r="K79" s="40">
        <v>77</v>
      </c>
      <c r="L79" s="105">
        <v>7.1000000000000227</v>
      </c>
    </row>
    <row r="80" spans="11:12" x14ac:dyDescent="0.4">
      <c r="K80" s="40">
        <v>78</v>
      </c>
      <c r="L80" s="105">
        <v>-15.499999999999977</v>
      </c>
    </row>
    <row r="81" spans="11:12" x14ac:dyDescent="0.4">
      <c r="K81" s="40">
        <v>79</v>
      </c>
      <c r="L81" s="105">
        <v>-73.999999999999972</v>
      </c>
    </row>
    <row r="82" spans="11:12" x14ac:dyDescent="0.4">
      <c r="K82" s="40">
        <v>80</v>
      </c>
      <c r="L82" s="105">
        <v>86.000000000000028</v>
      </c>
    </row>
    <row r="83" spans="11:12" x14ac:dyDescent="0.4">
      <c r="K83" s="40">
        <v>81</v>
      </c>
      <c r="L83" s="105">
        <v>-24.499999999999979</v>
      </c>
    </row>
    <row r="84" spans="11:12" x14ac:dyDescent="0.4">
      <c r="K84" s="40">
        <v>82</v>
      </c>
      <c r="L84" s="105">
        <v>116.00000000000003</v>
      </c>
    </row>
    <row r="85" spans="11:12" x14ac:dyDescent="0.4">
      <c r="K85" s="40">
        <v>83</v>
      </c>
      <c r="L85" s="105">
        <v>25.000000000000021</v>
      </c>
    </row>
    <row r="86" spans="11:12" x14ac:dyDescent="0.4">
      <c r="K86" s="40">
        <v>84</v>
      </c>
      <c r="L86" s="105">
        <v>-41.499999999999979</v>
      </c>
    </row>
    <row r="87" spans="11:12" x14ac:dyDescent="0.4">
      <c r="K87" s="40">
        <v>85</v>
      </c>
      <c r="L87" s="105">
        <v>-16.799999999999979</v>
      </c>
    </row>
    <row r="88" spans="11:12" x14ac:dyDescent="0.4">
      <c r="K88" s="40">
        <v>86</v>
      </c>
      <c r="L88" s="105">
        <v>47.000000000000014</v>
      </c>
    </row>
    <row r="89" spans="11:12" x14ac:dyDescent="0.4">
      <c r="K89" s="40">
        <v>87</v>
      </c>
      <c r="L89" s="105">
        <v>-19.299999999999983</v>
      </c>
    </row>
    <row r="90" spans="11:12" x14ac:dyDescent="0.4">
      <c r="K90" s="40">
        <v>88</v>
      </c>
      <c r="L90" s="105">
        <v>106.60000000000001</v>
      </c>
    </row>
    <row r="91" spans="11:12" x14ac:dyDescent="0.4">
      <c r="K91" s="40">
        <v>89</v>
      </c>
      <c r="L91" s="105">
        <v>-24.499999999999986</v>
      </c>
    </row>
    <row r="92" spans="11:12" x14ac:dyDescent="0.4">
      <c r="K92" s="40">
        <v>90</v>
      </c>
      <c r="L92" s="105">
        <v>-14.399999999999988</v>
      </c>
    </row>
    <row r="93" spans="11:12" x14ac:dyDescent="0.4">
      <c r="K93" s="40">
        <v>91</v>
      </c>
      <c r="L93" s="105">
        <v>-27.999999999999986</v>
      </c>
    </row>
    <row r="94" spans="11:12" x14ac:dyDescent="0.4">
      <c r="K94" s="40">
        <v>92</v>
      </c>
      <c r="L94" s="105">
        <v>-89.999999999999986</v>
      </c>
    </row>
    <row r="95" spans="11:12" x14ac:dyDescent="0.4">
      <c r="K95" s="40">
        <v>93</v>
      </c>
      <c r="L95" s="105">
        <v>52.000000000000014</v>
      </c>
    </row>
    <row r="96" spans="11:12" x14ac:dyDescent="0.4">
      <c r="K96" s="40">
        <v>94</v>
      </c>
      <c r="L96" s="105">
        <v>121.40000000000002</v>
      </c>
    </row>
    <row r="97" spans="11:12" x14ac:dyDescent="0.4">
      <c r="K97" s="40">
        <v>95</v>
      </c>
      <c r="L97" s="105">
        <v>20.100000000000019</v>
      </c>
    </row>
    <row r="98" spans="11:12" x14ac:dyDescent="0.4">
      <c r="K98" s="40">
        <v>96</v>
      </c>
      <c r="L98" s="105">
        <v>-40.399999999999977</v>
      </c>
    </row>
    <row r="99" spans="11:12" x14ac:dyDescent="0.4">
      <c r="K99" s="40">
        <v>97</v>
      </c>
      <c r="L99" s="105">
        <v>100.00000000000003</v>
      </c>
    </row>
    <row r="100" spans="11:12" x14ac:dyDescent="0.4">
      <c r="K100" s="40">
        <v>98</v>
      </c>
      <c r="L100" s="105">
        <v>33.000000000000021</v>
      </c>
    </row>
    <row r="101" spans="11:12" x14ac:dyDescent="0.4">
      <c r="K101" s="40">
        <v>99</v>
      </c>
      <c r="L101" s="105">
        <v>-41.499999999999979</v>
      </c>
    </row>
    <row r="102" spans="11:12" x14ac:dyDescent="0.4">
      <c r="K102" s="40">
        <v>100</v>
      </c>
      <c r="L102" s="105">
        <v>-27.999999999999979</v>
      </c>
    </row>
    <row r="103" spans="11:12" x14ac:dyDescent="0.4">
      <c r="K103" s="40">
        <v>101</v>
      </c>
      <c r="L103" s="105">
        <v>-90.999999999999972</v>
      </c>
    </row>
    <row r="104" spans="11:12" x14ac:dyDescent="0.4">
      <c r="K104" s="40">
        <v>102</v>
      </c>
      <c r="L104" s="105">
        <v>52.500000000000021</v>
      </c>
    </row>
    <row r="105" spans="11:12" x14ac:dyDescent="0.4">
      <c r="K105" s="40">
        <v>103</v>
      </c>
      <c r="L105" s="105">
        <v>-6.7999999999999785</v>
      </c>
    </row>
    <row r="106" spans="11:12" x14ac:dyDescent="0.4">
      <c r="K106" s="40">
        <v>104</v>
      </c>
      <c r="L106" s="105">
        <v>-26.59999999999998</v>
      </c>
    </row>
    <row r="107" spans="11:12" x14ac:dyDescent="0.4">
      <c r="K107" s="40">
        <v>105</v>
      </c>
      <c r="L107" s="105">
        <v>15.000000000000021</v>
      </c>
    </row>
    <row r="108" spans="11:12" x14ac:dyDescent="0.4">
      <c r="K108" s="40">
        <v>106</v>
      </c>
      <c r="L108" s="105">
        <v>-34.199999999999982</v>
      </c>
    </row>
    <row r="109" spans="11:12" x14ac:dyDescent="0.4">
      <c r="K109" s="40">
        <v>107</v>
      </c>
      <c r="L109" s="105">
        <v>-16.499999999999979</v>
      </c>
    </row>
    <row r="110" spans="11:12" x14ac:dyDescent="0.4">
      <c r="K110" s="40">
        <v>108</v>
      </c>
      <c r="L110" s="105">
        <v>16.800000000000022</v>
      </c>
    </row>
    <row r="111" spans="11:12" x14ac:dyDescent="0.4">
      <c r="K111" s="40">
        <v>109</v>
      </c>
      <c r="L111" s="105">
        <v>42.200000000000024</v>
      </c>
    </row>
    <row r="112" spans="11:12" x14ac:dyDescent="0.4">
      <c r="K112" s="40">
        <v>110</v>
      </c>
      <c r="L112" s="105">
        <v>50.500000000000028</v>
      </c>
    </row>
    <row r="113" spans="11:12" x14ac:dyDescent="0.4">
      <c r="K113" s="40">
        <v>111</v>
      </c>
      <c r="L113" s="105">
        <v>-35.799999999999969</v>
      </c>
    </row>
    <row r="114" spans="11:12" x14ac:dyDescent="0.4">
      <c r="K114" s="40">
        <v>112</v>
      </c>
      <c r="L114" s="105">
        <v>-101.19999999999997</v>
      </c>
    </row>
    <row r="115" spans="11:12" x14ac:dyDescent="0.4">
      <c r="K115" s="40">
        <v>113</v>
      </c>
      <c r="L115" s="105">
        <v>45.400000000000027</v>
      </c>
    </row>
    <row r="116" spans="11:12" x14ac:dyDescent="0.4">
      <c r="K116" s="40">
        <v>114</v>
      </c>
      <c r="L116" s="105">
        <v>2.6000000000000272</v>
      </c>
    </row>
    <row r="117" spans="11:12" x14ac:dyDescent="0.4">
      <c r="K117" s="40">
        <v>115</v>
      </c>
      <c r="L117" s="105">
        <v>-16.39999999999997</v>
      </c>
    </row>
    <row r="118" spans="11:12" x14ac:dyDescent="0.4">
      <c r="K118" s="40">
        <v>116</v>
      </c>
      <c r="L118" s="105">
        <v>-91.799999999999969</v>
      </c>
    </row>
    <row r="119" spans="11:12" x14ac:dyDescent="0.4">
      <c r="K119" s="40">
        <v>117</v>
      </c>
      <c r="L119" s="105">
        <v>50.000000000000028</v>
      </c>
    </row>
    <row r="120" spans="11:12" x14ac:dyDescent="0.4">
      <c r="K120" s="40">
        <v>118</v>
      </c>
      <c r="L120" s="105">
        <v>-13.999999999999972</v>
      </c>
    </row>
    <row r="121" spans="11:12" x14ac:dyDescent="0.4">
      <c r="K121" s="40">
        <v>119</v>
      </c>
      <c r="L121" s="105">
        <v>-17.999999999999972</v>
      </c>
    </row>
    <row r="122" spans="11:12" x14ac:dyDescent="0.4">
      <c r="K122" s="40">
        <v>120</v>
      </c>
      <c r="L122" s="105">
        <v>12.500000000000028</v>
      </c>
    </row>
    <row r="123" spans="11:12" x14ac:dyDescent="0.4">
      <c r="K123" s="40">
        <v>121</v>
      </c>
      <c r="L123" s="105">
        <v>-72.799999999999969</v>
      </c>
    </row>
    <row r="124" spans="11:12" x14ac:dyDescent="0.4">
      <c r="K124" s="40">
        <v>122</v>
      </c>
      <c r="L124" s="105">
        <v>13.400000000000027</v>
      </c>
    </row>
    <row r="125" spans="11:12" x14ac:dyDescent="0.4">
      <c r="K125" s="40">
        <v>123</v>
      </c>
      <c r="L125" s="105">
        <v>11.500000000000028</v>
      </c>
    </row>
    <row r="126" spans="11:12" x14ac:dyDescent="0.4">
      <c r="K126" s="40">
        <v>124</v>
      </c>
      <c r="L126" s="105">
        <v>-16.999999999999972</v>
      </c>
    </row>
    <row r="127" spans="11:12" x14ac:dyDescent="0.4">
      <c r="K127" s="40">
        <v>125</v>
      </c>
      <c r="L127" s="105">
        <v>-2.4999999999999716</v>
      </c>
    </row>
    <row r="128" spans="11:12" x14ac:dyDescent="0.4">
      <c r="K128" s="40">
        <v>126</v>
      </c>
      <c r="L128" s="105">
        <v>5.5000000000000284</v>
      </c>
    </row>
    <row r="129" spans="11:12" x14ac:dyDescent="0.4">
      <c r="K129" s="40">
        <v>127</v>
      </c>
      <c r="L129" s="105">
        <v>16.800000000000029</v>
      </c>
    </row>
    <row r="130" spans="11:12" x14ac:dyDescent="0.4">
      <c r="K130" s="40">
        <v>128</v>
      </c>
      <c r="L130" s="105">
        <v>39.400000000000027</v>
      </c>
    </row>
    <row r="131" spans="11:12" x14ac:dyDescent="0.4">
      <c r="K131" s="40">
        <v>129</v>
      </c>
      <c r="L131" s="105">
        <v>-23.89999999999997</v>
      </c>
    </row>
    <row r="132" spans="11:12" x14ac:dyDescent="0.4">
      <c r="K132" s="40">
        <v>130</v>
      </c>
      <c r="L132" s="105">
        <v>-20.799999999999972</v>
      </c>
    </row>
    <row r="133" spans="11:12" x14ac:dyDescent="0.4">
      <c r="K133" s="40">
        <v>131</v>
      </c>
      <c r="L133" s="105">
        <v>11.800000000000027</v>
      </c>
    </row>
    <row r="134" spans="11:12" x14ac:dyDescent="0.4">
      <c r="K134" s="40">
        <v>132</v>
      </c>
      <c r="L134" s="105">
        <v>-0.6999999999999722</v>
      </c>
    </row>
    <row r="135" spans="11:12" x14ac:dyDescent="0.4">
      <c r="K135" s="40">
        <v>133</v>
      </c>
      <c r="L135" s="105">
        <v>55.800000000000026</v>
      </c>
    </row>
    <row r="136" spans="11:12" x14ac:dyDescent="0.4">
      <c r="K136" s="40">
        <v>134</v>
      </c>
      <c r="L136" s="105">
        <v>-43.89999999999997</v>
      </c>
    </row>
    <row r="137" spans="11:12" x14ac:dyDescent="0.4">
      <c r="K137" s="40">
        <v>135</v>
      </c>
      <c r="L137" s="105">
        <v>8.0000000000000284</v>
      </c>
    </row>
    <row r="138" spans="11:12" x14ac:dyDescent="0.4">
      <c r="K138" s="40">
        <v>136</v>
      </c>
      <c r="L138" s="105">
        <v>-40.999999999999972</v>
      </c>
    </row>
    <row r="139" spans="11:12" x14ac:dyDescent="0.4">
      <c r="K139" s="40">
        <v>137</v>
      </c>
      <c r="L139" s="105">
        <v>-29.89999999999997</v>
      </c>
    </row>
    <row r="140" spans="11:12" x14ac:dyDescent="0.4">
      <c r="K140" s="40">
        <v>138</v>
      </c>
      <c r="L140" s="105">
        <v>25.200000000000028</v>
      </c>
    </row>
    <row r="141" spans="11:12" x14ac:dyDescent="0.4">
      <c r="K141" s="40">
        <v>139</v>
      </c>
      <c r="L141" s="105">
        <v>-62.199999999999974</v>
      </c>
    </row>
    <row r="142" spans="11:12" x14ac:dyDescent="0.4">
      <c r="K142" s="40">
        <v>140</v>
      </c>
      <c r="L142" s="105">
        <v>-93.499999999999972</v>
      </c>
    </row>
    <row r="143" spans="11:12" x14ac:dyDescent="0.4">
      <c r="K143" s="40">
        <v>141</v>
      </c>
      <c r="L143" s="105">
        <v>62.300000000000026</v>
      </c>
    </row>
    <row r="144" spans="11:12" x14ac:dyDescent="0.4">
      <c r="K144" s="40">
        <v>142</v>
      </c>
      <c r="L144" s="105">
        <v>32.400000000000027</v>
      </c>
    </row>
    <row r="145" spans="11:12" x14ac:dyDescent="0.4">
      <c r="K145" s="40">
        <v>143</v>
      </c>
      <c r="L145" s="105">
        <v>-33.399999999999977</v>
      </c>
    </row>
    <row r="146" spans="11:12" x14ac:dyDescent="0.4">
      <c r="K146" s="40">
        <v>144</v>
      </c>
      <c r="L146" s="105">
        <v>8.6000000000000263</v>
      </c>
    </row>
    <row r="147" spans="11:12" x14ac:dyDescent="0.4">
      <c r="K147" s="40">
        <v>145</v>
      </c>
      <c r="L147" s="105">
        <v>-9.7999999999999741</v>
      </c>
    </row>
    <row r="148" spans="11:12" x14ac:dyDescent="0.4">
      <c r="K148" s="40">
        <v>146</v>
      </c>
      <c r="L148" s="105">
        <v>-28.699999999999974</v>
      </c>
    </row>
    <row r="149" spans="11:12" x14ac:dyDescent="0.4">
      <c r="K149" s="40">
        <v>147</v>
      </c>
      <c r="L149" s="105">
        <v>12.800000000000026</v>
      </c>
    </row>
    <row r="150" spans="11:12" x14ac:dyDescent="0.4">
      <c r="K150" s="40">
        <v>148</v>
      </c>
      <c r="L150" s="105">
        <v>23.600000000000026</v>
      </c>
    </row>
    <row r="151" spans="11:12" x14ac:dyDescent="0.4">
      <c r="K151" s="40">
        <v>149</v>
      </c>
      <c r="L151" s="105">
        <v>18.600000000000026</v>
      </c>
    </row>
    <row r="152" spans="11:12" x14ac:dyDescent="0.4">
      <c r="K152" s="40">
        <v>150</v>
      </c>
      <c r="L152" s="105">
        <v>-18.699999999999974</v>
      </c>
    </row>
    <row r="153" spans="11:12" x14ac:dyDescent="0.4">
      <c r="K153" s="40">
        <v>151</v>
      </c>
      <c r="L153" s="105">
        <v>-0.59999999999997344</v>
      </c>
    </row>
    <row r="154" spans="11:12" x14ac:dyDescent="0.4">
      <c r="K154" s="40">
        <v>152</v>
      </c>
      <c r="L154" s="105">
        <v>85.100000000000023</v>
      </c>
    </row>
    <row r="155" spans="11:12" x14ac:dyDescent="0.4">
      <c r="K155" s="40">
        <v>153</v>
      </c>
      <c r="L155" s="105">
        <v>-45.89999999999997</v>
      </c>
    </row>
    <row r="156" spans="11:12" x14ac:dyDescent="0.4">
      <c r="K156" s="40">
        <v>154</v>
      </c>
      <c r="L156" s="105">
        <v>-15.39999999999997</v>
      </c>
    </row>
    <row r="157" spans="11:12" x14ac:dyDescent="0.4">
      <c r="K157" s="40">
        <v>155</v>
      </c>
      <c r="L157" s="105">
        <v>-14.299999999999972</v>
      </c>
    </row>
    <row r="158" spans="11:12" x14ac:dyDescent="0.4">
      <c r="K158" s="40">
        <v>156</v>
      </c>
      <c r="L158" s="105">
        <v>7.5000000000000284</v>
      </c>
    </row>
    <row r="159" spans="11:12" x14ac:dyDescent="0.4">
      <c r="K159" s="40">
        <v>157</v>
      </c>
      <c r="L159" s="105">
        <v>-57.999999999999972</v>
      </c>
    </row>
    <row r="160" spans="11:12" x14ac:dyDescent="0.4">
      <c r="K160" s="40">
        <v>158</v>
      </c>
      <c r="L160" s="105">
        <v>-139.99999999999997</v>
      </c>
    </row>
    <row r="161" spans="11:12" x14ac:dyDescent="0.4">
      <c r="K161" s="40">
        <v>159</v>
      </c>
      <c r="L161" s="105">
        <v>81.000000000000028</v>
      </c>
    </row>
    <row r="162" spans="11:12" x14ac:dyDescent="0.4">
      <c r="K162" s="40">
        <v>160</v>
      </c>
      <c r="L162" s="105">
        <v>31.400000000000027</v>
      </c>
    </row>
    <row r="163" spans="11:12" x14ac:dyDescent="0.4">
      <c r="K163" s="40">
        <v>161</v>
      </c>
      <c r="L163" s="105">
        <v>-60.699999999999974</v>
      </c>
    </row>
    <row r="164" spans="11:12" x14ac:dyDescent="0.4">
      <c r="K164" s="40">
        <v>162</v>
      </c>
      <c r="L164" s="105">
        <v>19.000000000000025</v>
      </c>
    </row>
    <row r="165" spans="11:12" x14ac:dyDescent="0.4">
      <c r="K165" s="40">
        <v>163</v>
      </c>
      <c r="L165" s="105">
        <v>-15.999999999999975</v>
      </c>
    </row>
    <row r="166" spans="11:12" x14ac:dyDescent="0.4">
      <c r="K166" s="40">
        <v>164</v>
      </c>
      <c r="L166" s="105">
        <v>-20.799999999999976</v>
      </c>
    </row>
    <row r="167" spans="11:12" x14ac:dyDescent="0.4">
      <c r="K167" s="40">
        <v>165</v>
      </c>
      <c r="L167" s="105">
        <v>8.9000000000000252</v>
      </c>
    </row>
    <row r="168" spans="11:12" x14ac:dyDescent="0.4">
      <c r="K168" s="40">
        <v>166</v>
      </c>
      <c r="L168" s="105">
        <v>60.200000000000031</v>
      </c>
    </row>
    <row r="169" spans="11:12" x14ac:dyDescent="0.4">
      <c r="K169" s="40">
        <v>167</v>
      </c>
      <c r="L169" s="105">
        <v>41.000000000000028</v>
      </c>
    </row>
    <row r="170" spans="11:12" x14ac:dyDescent="0.4">
      <c r="K170" s="40">
        <v>168</v>
      </c>
      <c r="L170" s="105">
        <v>-40.799999999999969</v>
      </c>
    </row>
    <row r="171" spans="11:12" x14ac:dyDescent="0.4">
      <c r="K171" s="40">
        <v>169</v>
      </c>
      <c r="L171" s="105">
        <v>28.60000000000003</v>
      </c>
    </row>
    <row r="172" spans="11:12" x14ac:dyDescent="0.4">
      <c r="K172" s="40">
        <v>170</v>
      </c>
      <c r="L172" s="105">
        <v>-79.399999999999977</v>
      </c>
    </row>
    <row r="173" spans="11:12" x14ac:dyDescent="0.4">
      <c r="K173" s="40">
        <v>171</v>
      </c>
      <c r="L173" s="105">
        <v>27.300000000000033</v>
      </c>
    </row>
    <row r="174" spans="11:12" x14ac:dyDescent="0.4">
      <c r="K174" s="40">
        <v>172</v>
      </c>
      <c r="L174" s="105">
        <v>111.00000000000003</v>
      </c>
    </row>
    <row r="175" spans="11:12" x14ac:dyDescent="0.4">
      <c r="K175" s="40">
        <v>173</v>
      </c>
      <c r="L175" s="105">
        <v>-46.999999999999972</v>
      </c>
    </row>
    <row r="176" spans="11:12" x14ac:dyDescent="0.4">
      <c r="K176" s="40">
        <v>174</v>
      </c>
      <c r="L176" s="105">
        <v>-9.4999999999999716</v>
      </c>
    </row>
    <row r="177" spans="11:12" x14ac:dyDescent="0.4">
      <c r="K177" s="40">
        <v>175</v>
      </c>
      <c r="L177" s="105">
        <v>7.6000000000000281</v>
      </c>
    </row>
    <row r="178" spans="11:12" x14ac:dyDescent="0.4">
      <c r="K178" s="40">
        <v>176</v>
      </c>
      <c r="L178" s="105">
        <v>14.900000000000027</v>
      </c>
    </row>
    <row r="179" spans="11:12" x14ac:dyDescent="0.4">
      <c r="K179" s="40">
        <v>177</v>
      </c>
      <c r="L179" s="105">
        <v>-14.599999999999971</v>
      </c>
    </row>
    <row r="180" spans="11:12" x14ac:dyDescent="0.4">
      <c r="K180" s="40">
        <v>178</v>
      </c>
      <c r="L180" s="105">
        <v>-75.399999999999977</v>
      </c>
    </row>
    <row r="181" spans="11:12" x14ac:dyDescent="0.4">
      <c r="K181" s="40">
        <v>179</v>
      </c>
      <c r="L181" s="105">
        <v>-1.7999999999999758</v>
      </c>
    </row>
    <row r="182" spans="11:12" x14ac:dyDescent="0.4">
      <c r="K182" s="40">
        <v>180</v>
      </c>
      <c r="L182" s="105">
        <v>14.500000000000025</v>
      </c>
    </row>
    <row r="183" spans="11:12" x14ac:dyDescent="0.4">
      <c r="K183" s="40">
        <v>181</v>
      </c>
      <c r="L183" s="105">
        <v>-95.199999999999989</v>
      </c>
    </row>
    <row r="184" spans="11:12" x14ac:dyDescent="0.4">
      <c r="K184" s="40">
        <v>182</v>
      </c>
      <c r="L184" s="105">
        <v>-38.899999999999977</v>
      </c>
    </row>
    <row r="185" spans="11:12" x14ac:dyDescent="0.4">
      <c r="K185" s="40">
        <v>183</v>
      </c>
      <c r="L185" s="105">
        <v>38.000000000000021</v>
      </c>
    </row>
    <row r="186" spans="11:12" x14ac:dyDescent="0.4">
      <c r="K186" s="40">
        <v>184</v>
      </c>
      <c r="L186" s="105">
        <v>67.000000000000028</v>
      </c>
    </row>
    <row r="187" spans="11:12" x14ac:dyDescent="0.4">
      <c r="K187" s="40">
        <v>185</v>
      </c>
      <c r="L187" s="105">
        <v>-16.999999999999979</v>
      </c>
    </row>
    <row r="188" spans="11:12" x14ac:dyDescent="0.4">
      <c r="K188" s="40">
        <v>186</v>
      </c>
      <c r="L188" s="105">
        <v>-13.499999999999979</v>
      </c>
    </row>
    <row r="189" spans="11:12" x14ac:dyDescent="0.4">
      <c r="K189" s="40">
        <v>187</v>
      </c>
      <c r="L189" s="105">
        <v>39.200000000000024</v>
      </c>
    </row>
    <row r="190" spans="11:12" x14ac:dyDescent="0.4">
      <c r="K190" s="40">
        <v>188</v>
      </c>
      <c r="L190" s="105">
        <v>-9.699999999999978</v>
      </c>
    </row>
    <row r="191" spans="11:12" x14ac:dyDescent="0.4">
      <c r="K191" s="40">
        <v>189</v>
      </c>
      <c r="L191" s="105">
        <v>-10.199999999999978</v>
      </c>
    </row>
    <row r="192" spans="11:12" x14ac:dyDescent="0.4">
      <c r="K192" s="40">
        <v>190</v>
      </c>
      <c r="L192" s="105">
        <v>-134.99999999999997</v>
      </c>
    </row>
    <row r="193" spans="11:12" x14ac:dyDescent="0.4">
      <c r="K193" s="40">
        <v>191</v>
      </c>
      <c r="L193" s="105">
        <v>-85.599999999999966</v>
      </c>
    </row>
    <row r="194" spans="11:12" x14ac:dyDescent="0.4">
      <c r="K194" s="40">
        <v>192</v>
      </c>
      <c r="L194" s="105">
        <v>71.300000000000026</v>
      </c>
    </row>
    <row r="195" spans="11:12" x14ac:dyDescent="0.4">
      <c r="K195" s="40">
        <v>193</v>
      </c>
      <c r="L195" s="105">
        <v>-12.999999999999972</v>
      </c>
    </row>
    <row r="196" spans="11:12" x14ac:dyDescent="0.4">
      <c r="K196" s="40">
        <v>194</v>
      </c>
      <c r="L196" s="105">
        <v>-97.999999999999972</v>
      </c>
    </row>
    <row r="197" spans="11:12" x14ac:dyDescent="0.4">
      <c r="K197" s="40">
        <v>195</v>
      </c>
      <c r="L197" s="105">
        <v>47.000000000000028</v>
      </c>
    </row>
    <row r="198" spans="11:12" x14ac:dyDescent="0.4">
      <c r="K198" s="40">
        <v>196</v>
      </c>
      <c r="L198" s="105">
        <v>-0.99999999999997158</v>
      </c>
    </row>
    <row r="199" spans="11:12" x14ac:dyDescent="0.4">
      <c r="K199" s="40">
        <v>197</v>
      </c>
      <c r="L199" s="105">
        <v>-73.999999999999972</v>
      </c>
    </row>
    <row r="200" spans="11:12" x14ac:dyDescent="0.4">
      <c r="K200" s="40">
        <v>198</v>
      </c>
      <c r="L200" s="105">
        <v>32.000000000000028</v>
      </c>
    </row>
    <row r="201" spans="11:12" x14ac:dyDescent="0.4">
      <c r="K201" s="40">
        <v>199</v>
      </c>
      <c r="L201" s="105">
        <v>60.200000000000031</v>
      </c>
    </row>
    <row r="202" spans="11:12" x14ac:dyDescent="0.4">
      <c r="K202" s="40">
        <v>200</v>
      </c>
      <c r="L202" s="105">
        <v>-33.999999999999972</v>
      </c>
    </row>
    <row r="203" spans="11:12" x14ac:dyDescent="0.4">
      <c r="K203" s="40">
        <v>201</v>
      </c>
      <c r="L203" s="105">
        <v>-3.2999999999999705</v>
      </c>
    </row>
    <row r="204" spans="11:12" x14ac:dyDescent="0.4">
      <c r="K204" s="40">
        <v>202</v>
      </c>
      <c r="L204" s="105">
        <v>-40.999999999999972</v>
      </c>
    </row>
    <row r="205" spans="11:12" x14ac:dyDescent="0.4">
      <c r="K205" s="40">
        <v>203</v>
      </c>
      <c r="L205" s="105">
        <v>106.00000000000003</v>
      </c>
    </row>
    <row r="206" spans="11:12" x14ac:dyDescent="0.4">
      <c r="K206" s="40">
        <v>204</v>
      </c>
      <c r="L206" s="105">
        <v>-47.999999999999972</v>
      </c>
    </row>
    <row r="207" spans="11:12" x14ac:dyDescent="0.4">
      <c r="K207" s="40">
        <v>205</v>
      </c>
      <c r="L207" s="105">
        <v>-22.799999999999972</v>
      </c>
    </row>
    <row r="208" spans="11:12" x14ac:dyDescent="0.4">
      <c r="K208" s="40">
        <v>206</v>
      </c>
      <c r="L208" s="105">
        <v>-6.6999999999999726</v>
      </c>
    </row>
    <row r="209" spans="11:12" x14ac:dyDescent="0.4">
      <c r="K209" s="40">
        <v>207</v>
      </c>
      <c r="L209" s="105">
        <v>3.8000000000000274</v>
      </c>
    </row>
    <row r="210" spans="11:12" x14ac:dyDescent="0.4">
      <c r="K210" s="40">
        <v>208</v>
      </c>
      <c r="L210" s="105">
        <v>-1.1999999999999726</v>
      </c>
    </row>
    <row r="211" spans="11:12" x14ac:dyDescent="0.4">
      <c r="K211" s="40">
        <v>209</v>
      </c>
      <c r="L211" s="105">
        <v>0.30000000000002736</v>
      </c>
    </row>
    <row r="212" spans="11:12" x14ac:dyDescent="0.4">
      <c r="K212" s="40">
        <v>210</v>
      </c>
      <c r="L212" s="105">
        <v>-5.099999999999973</v>
      </c>
    </row>
    <row r="213" spans="11:12" x14ac:dyDescent="0.4">
      <c r="K213" s="40">
        <v>211</v>
      </c>
      <c r="L213" s="105">
        <v>61.600000000000023</v>
      </c>
    </row>
    <row r="214" spans="11:12" x14ac:dyDescent="0.4">
      <c r="K214" s="40">
        <v>212</v>
      </c>
      <c r="L214" s="105">
        <v>34.90000000000002</v>
      </c>
    </row>
    <row r="215" spans="11:12" x14ac:dyDescent="0.4">
      <c r="K215" s="40">
        <v>213</v>
      </c>
      <c r="L215" s="105">
        <v>-38.09999999999998</v>
      </c>
    </row>
    <row r="216" spans="11:12" x14ac:dyDescent="0.4">
      <c r="K216" s="40">
        <v>214</v>
      </c>
      <c r="L216" s="105">
        <v>-94.999999999999972</v>
      </c>
    </row>
    <row r="217" spans="11:12" x14ac:dyDescent="0.4">
      <c r="K217" s="40">
        <v>215</v>
      </c>
      <c r="L217" s="105">
        <v>40.200000000000024</v>
      </c>
    </row>
    <row r="218" spans="11:12" x14ac:dyDescent="0.4">
      <c r="K218" s="40">
        <v>216</v>
      </c>
      <c r="L218" s="105">
        <v>-1.5999999999999774</v>
      </c>
    </row>
    <row r="219" spans="11:12" x14ac:dyDescent="0.4">
      <c r="K219" s="40">
        <v>217</v>
      </c>
      <c r="L219" s="105">
        <v>53.800000000000018</v>
      </c>
    </row>
    <row r="220" spans="11:12" x14ac:dyDescent="0.4">
      <c r="K220" s="40">
        <v>218</v>
      </c>
      <c r="L220" s="105">
        <v>22.600000000000023</v>
      </c>
    </row>
    <row r="221" spans="11:12" x14ac:dyDescent="0.4">
      <c r="K221" s="40">
        <v>219</v>
      </c>
      <c r="L221" s="105">
        <v>-29.999999999999979</v>
      </c>
    </row>
    <row r="222" spans="11:12" x14ac:dyDescent="0.4">
      <c r="K222" s="40">
        <v>220</v>
      </c>
      <c r="L222" s="105">
        <v>-17.799999999999979</v>
      </c>
    </row>
    <row r="223" spans="11:12" x14ac:dyDescent="0.4">
      <c r="K223" s="40">
        <v>221</v>
      </c>
      <c r="L223" s="105">
        <v>-89.799999999999983</v>
      </c>
    </row>
    <row r="224" spans="11:12" x14ac:dyDescent="0.4">
      <c r="K224" s="40">
        <v>222</v>
      </c>
      <c r="L224" s="105">
        <v>44.100000000000023</v>
      </c>
    </row>
    <row r="225" spans="11:12" x14ac:dyDescent="0.4">
      <c r="K225" s="40">
        <v>223</v>
      </c>
      <c r="L225" s="105">
        <v>33.600000000000023</v>
      </c>
    </row>
    <row r="226" spans="11:12" x14ac:dyDescent="0.4">
      <c r="K226" s="40">
        <v>224</v>
      </c>
      <c r="L226" s="105">
        <v>-50.899999999999977</v>
      </c>
    </row>
    <row r="227" spans="11:12" x14ac:dyDescent="0.4">
      <c r="K227" s="40">
        <v>225</v>
      </c>
      <c r="L227" s="105">
        <v>11.800000000000022</v>
      </c>
    </row>
    <row r="228" spans="11:12" x14ac:dyDescent="0.4">
      <c r="K228" s="40">
        <v>226</v>
      </c>
      <c r="L228" s="105">
        <v>-30.799999999999976</v>
      </c>
    </row>
    <row r="229" spans="11:12" x14ac:dyDescent="0.4">
      <c r="K229" s="40">
        <v>227</v>
      </c>
      <c r="L229" s="105">
        <v>-53.299999999999983</v>
      </c>
    </row>
    <row r="230" spans="11:12" x14ac:dyDescent="0.4">
      <c r="K230" s="40">
        <v>228</v>
      </c>
      <c r="L230" s="105">
        <v>29.100000000000023</v>
      </c>
    </row>
    <row r="231" spans="11:12" x14ac:dyDescent="0.4">
      <c r="K231" s="40">
        <v>229</v>
      </c>
      <c r="L231" s="105">
        <v>77.000000000000028</v>
      </c>
    </row>
    <row r="232" spans="11:12" x14ac:dyDescent="0.4">
      <c r="K232" s="40">
        <v>230</v>
      </c>
      <c r="L232" s="105">
        <v>-43.799999999999976</v>
      </c>
    </row>
    <row r="233" spans="11:12" x14ac:dyDescent="0.4">
      <c r="K233" s="40">
        <v>231</v>
      </c>
      <c r="L233" s="105">
        <v>-2.5999999999999774</v>
      </c>
    </row>
    <row r="234" spans="11:12" x14ac:dyDescent="0.4">
      <c r="K234" s="40">
        <v>232</v>
      </c>
      <c r="L234" s="105">
        <v>7.4000000000000234</v>
      </c>
    </row>
    <row r="235" spans="11:12" x14ac:dyDescent="0.4">
      <c r="K235" s="40">
        <v>233</v>
      </c>
      <c r="L235" s="105">
        <v>-19.799999999999976</v>
      </c>
    </row>
    <row r="236" spans="11:12" x14ac:dyDescent="0.4">
      <c r="K236" s="40">
        <v>234</v>
      </c>
      <c r="L236" s="105">
        <v>2.800000000000022</v>
      </c>
    </row>
    <row r="237" spans="11:12" x14ac:dyDescent="0.4">
      <c r="K237" s="40">
        <v>235</v>
      </c>
      <c r="L237" s="105">
        <v>-30.399999999999977</v>
      </c>
    </row>
    <row r="238" spans="11:12" x14ac:dyDescent="0.4">
      <c r="K238" s="40">
        <v>236</v>
      </c>
      <c r="L238" s="105">
        <v>-48.299999999999983</v>
      </c>
    </row>
    <row r="239" spans="11:12" x14ac:dyDescent="0.4">
      <c r="K239" s="40">
        <v>237</v>
      </c>
      <c r="L239" s="105">
        <v>26.500000000000021</v>
      </c>
    </row>
    <row r="240" spans="11:12" x14ac:dyDescent="0.4">
      <c r="K240" s="40">
        <v>238</v>
      </c>
      <c r="L240" s="105">
        <v>-48.999999999999979</v>
      </c>
    </row>
    <row r="241" spans="11:12" x14ac:dyDescent="0.4">
      <c r="K241" s="40">
        <v>239</v>
      </c>
      <c r="L241" s="105">
        <v>-69.799999999999983</v>
      </c>
    </row>
    <row r="242" spans="11:12" x14ac:dyDescent="0.4">
      <c r="K242" s="40">
        <v>240</v>
      </c>
      <c r="L242" s="105">
        <v>41.90000000000002</v>
      </c>
    </row>
    <row r="243" spans="11:12" x14ac:dyDescent="0.4">
      <c r="K243" s="40">
        <v>241</v>
      </c>
      <c r="L243" s="105">
        <v>7.2000000000000206</v>
      </c>
    </row>
    <row r="244" spans="11:12" x14ac:dyDescent="0.4">
      <c r="K244" s="40">
        <v>242</v>
      </c>
      <c r="L244" s="105">
        <v>24.700000000000024</v>
      </c>
    </row>
    <row r="245" spans="11:12" x14ac:dyDescent="0.4">
      <c r="K245" s="40">
        <v>243</v>
      </c>
      <c r="L245" s="105">
        <v>-19.399999999999977</v>
      </c>
    </row>
    <row r="246" spans="11:12" x14ac:dyDescent="0.4">
      <c r="K246" s="40">
        <v>244</v>
      </c>
      <c r="L246" s="105">
        <v>60.800000000000018</v>
      </c>
    </row>
    <row r="247" spans="11:12" x14ac:dyDescent="0.4">
      <c r="K247" s="40">
        <v>245</v>
      </c>
      <c r="L247" s="105">
        <v>41.100000000000023</v>
      </c>
    </row>
    <row r="248" spans="11:12" x14ac:dyDescent="0.4">
      <c r="K248" s="40">
        <v>246</v>
      </c>
      <c r="L248" s="105">
        <v>-40.999999999999979</v>
      </c>
    </row>
    <row r="249" spans="11:12" x14ac:dyDescent="0.4">
      <c r="K249" s="40">
        <v>247</v>
      </c>
      <c r="L249" s="105">
        <v>77.000000000000028</v>
      </c>
    </row>
    <row r="250" spans="11:12" x14ac:dyDescent="0.4">
      <c r="K250" s="40">
        <v>248</v>
      </c>
      <c r="L250" s="105">
        <v>-50.999999999999979</v>
      </c>
    </row>
    <row r="251" spans="11:12" x14ac:dyDescent="0.4">
      <c r="K251" s="40">
        <v>249</v>
      </c>
      <c r="L251" s="105">
        <v>1.0000000000000213</v>
      </c>
    </row>
    <row r="252" spans="11:12" x14ac:dyDescent="0.4">
      <c r="K252" s="40">
        <v>250</v>
      </c>
      <c r="L252" s="105">
        <v>42.000000000000021</v>
      </c>
    </row>
    <row r="253" spans="11:12" x14ac:dyDescent="0.4">
      <c r="K253" s="40">
        <v>251</v>
      </c>
      <c r="L253" s="105">
        <v>-62.499999999999979</v>
      </c>
    </row>
    <row r="254" spans="11:12" x14ac:dyDescent="0.4">
      <c r="K254" s="40">
        <v>252</v>
      </c>
      <c r="L254" s="105">
        <v>15.500000000000021</v>
      </c>
    </row>
    <row r="255" spans="11:12" x14ac:dyDescent="0.4">
      <c r="K255" s="40">
        <v>253</v>
      </c>
      <c r="L255" s="105">
        <v>60.000000000000021</v>
      </c>
    </row>
    <row r="256" spans="11:12" x14ac:dyDescent="0.4">
      <c r="K256" s="40">
        <v>254</v>
      </c>
      <c r="L256" s="105">
        <v>6.9000000000000199</v>
      </c>
    </row>
    <row r="257" spans="11:12" x14ac:dyDescent="0.4">
      <c r="K257" s="40">
        <v>255</v>
      </c>
      <c r="L257" s="105">
        <v>-23.699999999999978</v>
      </c>
    </row>
    <row r="258" spans="11:12" x14ac:dyDescent="0.4">
      <c r="K258" s="40">
        <v>256</v>
      </c>
      <c r="L258" s="105">
        <v>116.60000000000002</v>
      </c>
    </row>
    <row r="259" spans="11:12" x14ac:dyDescent="0.4">
      <c r="K259" s="40">
        <v>257</v>
      </c>
      <c r="L259" s="105">
        <v>-14.199999999999982</v>
      </c>
    </row>
    <row r="260" spans="11:12" x14ac:dyDescent="0.4">
      <c r="K260" s="40">
        <v>258</v>
      </c>
      <c r="L260" s="105">
        <v>-27.299999999999983</v>
      </c>
    </row>
    <row r="261" spans="11:12" x14ac:dyDescent="0.4">
      <c r="K261" s="40">
        <v>259</v>
      </c>
      <c r="L261" s="105">
        <v>19.200000000000017</v>
      </c>
    </row>
    <row r="262" spans="11:12" x14ac:dyDescent="0.4">
      <c r="K262" s="40">
        <v>260</v>
      </c>
      <c r="L262" s="105">
        <v>-46.099999999999987</v>
      </c>
    </row>
    <row r="263" spans="11:12" x14ac:dyDescent="0.4">
      <c r="K263" s="40">
        <v>261</v>
      </c>
      <c r="L263" s="105">
        <v>13.000000000000014</v>
      </c>
    </row>
    <row r="264" spans="11:12" x14ac:dyDescent="0.4">
      <c r="K264" s="40">
        <v>262</v>
      </c>
      <c r="L264" s="105">
        <v>0.20000000000001439</v>
      </c>
    </row>
    <row r="265" spans="11:12" x14ac:dyDescent="0.4">
      <c r="K265" s="40">
        <v>263</v>
      </c>
      <c r="L265" s="105">
        <v>43.800000000000018</v>
      </c>
    </row>
    <row r="266" spans="11:12" x14ac:dyDescent="0.4">
      <c r="K266" s="40">
        <v>264</v>
      </c>
      <c r="L266" s="105">
        <v>-27.199999999999982</v>
      </c>
    </row>
    <row r="267" spans="11:12" x14ac:dyDescent="0.4">
      <c r="K267" s="40">
        <v>265</v>
      </c>
      <c r="L267" s="105">
        <v>-45.799999999999983</v>
      </c>
    </row>
    <row r="268" spans="11:12" x14ac:dyDescent="0.4">
      <c r="K268" s="40">
        <v>266</v>
      </c>
      <c r="L268" s="105">
        <v>6.8000000000000185</v>
      </c>
    </row>
    <row r="269" spans="11:12" x14ac:dyDescent="0.4">
      <c r="K269" s="40">
        <v>267</v>
      </c>
      <c r="L269" s="105">
        <v>2.8000000000000185</v>
      </c>
    </row>
    <row r="270" spans="11:12" x14ac:dyDescent="0.4">
      <c r="K270" s="40">
        <v>268</v>
      </c>
      <c r="L270" s="105">
        <v>4.0000000000000187</v>
      </c>
    </row>
    <row r="271" spans="11:12" x14ac:dyDescent="0.4">
      <c r="K271" s="40">
        <v>269</v>
      </c>
      <c r="L271" s="105">
        <v>1.7000000000000188</v>
      </c>
    </row>
    <row r="272" spans="11:12" x14ac:dyDescent="0.4">
      <c r="K272" s="40">
        <v>270</v>
      </c>
      <c r="L272" s="105">
        <v>-7.0999999999999801</v>
      </c>
    </row>
    <row r="273" spans="11:12" x14ac:dyDescent="0.4">
      <c r="K273" s="40">
        <v>271</v>
      </c>
      <c r="L273" s="105">
        <v>-89.799999999999983</v>
      </c>
    </row>
    <row r="274" spans="11:12" x14ac:dyDescent="0.4">
      <c r="K274" s="40">
        <v>272</v>
      </c>
      <c r="L274" s="105">
        <v>34.000000000000028</v>
      </c>
    </row>
    <row r="275" spans="11:12" x14ac:dyDescent="0.4">
      <c r="K275" s="40">
        <v>273</v>
      </c>
      <c r="L275" s="105">
        <v>0.20000000000002593</v>
      </c>
    </row>
    <row r="276" spans="11:12" x14ac:dyDescent="0.4">
      <c r="K276" s="40">
        <v>274</v>
      </c>
      <c r="L276" s="105">
        <v>-93.999999999999972</v>
      </c>
    </row>
    <row r="277" spans="11:12" x14ac:dyDescent="0.4">
      <c r="K277" s="40">
        <v>275</v>
      </c>
      <c r="L277" s="105">
        <v>-13.499999999999972</v>
      </c>
    </row>
    <row r="278" spans="11:12" x14ac:dyDescent="0.4">
      <c r="K278" s="40">
        <v>276</v>
      </c>
      <c r="L278" s="105">
        <v>25.000000000000028</v>
      </c>
    </row>
    <row r="279" spans="11:12" x14ac:dyDescent="0.4">
      <c r="K279" s="40">
        <v>277</v>
      </c>
      <c r="L279" s="105">
        <v>-4.1999999999999718</v>
      </c>
    </row>
    <row r="280" spans="11:12" x14ac:dyDescent="0.4">
      <c r="K280" s="40">
        <v>278</v>
      </c>
      <c r="L280" s="105">
        <v>-80.599999999999966</v>
      </c>
    </row>
    <row r="281" spans="11:12" x14ac:dyDescent="0.4">
      <c r="K281" s="40">
        <v>279</v>
      </c>
      <c r="L281" s="105">
        <v>36.10000000000003</v>
      </c>
    </row>
    <row r="282" spans="11:12" x14ac:dyDescent="0.4">
      <c r="K282" s="40">
        <v>280</v>
      </c>
      <c r="L282" s="105">
        <v>49.800000000000026</v>
      </c>
    </row>
    <row r="283" spans="11:12" x14ac:dyDescent="0.4">
      <c r="K283" s="40">
        <v>281</v>
      </c>
      <c r="L283" s="105">
        <v>-33.39999999999997</v>
      </c>
    </row>
    <row r="284" spans="11:12" x14ac:dyDescent="0.4">
      <c r="K284" s="40">
        <v>282</v>
      </c>
      <c r="L284" s="105">
        <v>-0.99999999999997158</v>
      </c>
    </row>
    <row r="285" spans="11:12" x14ac:dyDescent="0.4">
      <c r="K285" s="40">
        <v>283</v>
      </c>
      <c r="L285" s="105">
        <v>16.400000000000027</v>
      </c>
    </row>
    <row r="286" spans="11:12" x14ac:dyDescent="0.4">
      <c r="K286" s="40">
        <v>284</v>
      </c>
      <c r="L286" s="105">
        <v>-78.099999999999966</v>
      </c>
    </row>
    <row r="287" spans="11:12" x14ac:dyDescent="0.4">
      <c r="K287" s="40">
        <v>285</v>
      </c>
      <c r="L287" s="105">
        <v>29.700000000000031</v>
      </c>
    </row>
    <row r="288" spans="11:12" x14ac:dyDescent="0.4">
      <c r="K288" s="40">
        <v>286</v>
      </c>
      <c r="L288" s="105">
        <v>39.200000000000031</v>
      </c>
    </row>
    <row r="289" spans="11:12" x14ac:dyDescent="0.4">
      <c r="K289" s="40">
        <v>287</v>
      </c>
      <c r="L289" s="105">
        <v>-53.299999999999976</v>
      </c>
    </row>
    <row r="290" spans="11:12" x14ac:dyDescent="0.4">
      <c r="K290" s="40">
        <v>288</v>
      </c>
      <c r="L290" s="105">
        <v>11.600000000000026</v>
      </c>
    </row>
    <row r="291" spans="11:12" x14ac:dyDescent="0.4">
      <c r="K291" s="40">
        <v>289</v>
      </c>
      <c r="L291" s="105">
        <v>-100.39999999999998</v>
      </c>
    </row>
    <row r="292" spans="11:12" x14ac:dyDescent="0.4">
      <c r="K292" s="40">
        <v>290</v>
      </c>
      <c r="L292" s="105">
        <v>-50.299999999999969</v>
      </c>
    </row>
    <row r="293" spans="11:12" x14ac:dyDescent="0.4">
      <c r="K293" s="40">
        <v>291</v>
      </c>
      <c r="L293" s="105">
        <v>45.000000000000028</v>
      </c>
    </row>
    <row r="294" spans="11:12" x14ac:dyDescent="0.4">
      <c r="K294" s="40">
        <v>292</v>
      </c>
      <c r="L294" s="105">
        <v>-34.999999999999972</v>
      </c>
    </row>
    <row r="295" spans="11:12" x14ac:dyDescent="0.4">
      <c r="K295" s="40">
        <v>293</v>
      </c>
      <c r="L295" s="105">
        <v>5.400000000000027</v>
      </c>
    </row>
    <row r="296" spans="11:12" x14ac:dyDescent="0.4">
      <c r="K296" s="40">
        <v>294</v>
      </c>
      <c r="L296" s="105">
        <v>0.80000000000002736</v>
      </c>
    </row>
    <row r="297" spans="11:12" x14ac:dyDescent="0.4">
      <c r="K297" s="40">
        <v>295</v>
      </c>
      <c r="L297" s="105">
        <v>83.200000000000031</v>
      </c>
    </row>
    <row r="298" spans="11:12" x14ac:dyDescent="0.4">
      <c r="K298" s="40">
        <v>296</v>
      </c>
      <c r="L298" s="105">
        <v>-34.499999999999964</v>
      </c>
    </row>
    <row r="299" spans="11:12" x14ac:dyDescent="0.4">
      <c r="K299" s="40">
        <v>297</v>
      </c>
      <c r="L299" s="105">
        <v>-8.799999999999967</v>
      </c>
    </row>
    <row r="300" spans="11:12" x14ac:dyDescent="0.4">
      <c r="K300" s="40">
        <v>298</v>
      </c>
      <c r="L300" s="105">
        <v>-14.999999999999968</v>
      </c>
    </row>
    <row r="301" spans="11:12" x14ac:dyDescent="0.4">
      <c r="K301" s="40">
        <v>299</v>
      </c>
      <c r="L301" s="105">
        <v>-112.79999999999995</v>
      </c>
    </row>
    <row r="302" spans="11:12" x14ac:dyDescent="0.4">
      <c r="K302" s="40">
        <v>300</v>
      </c>
      <c r="L302" s="105">
        <v>54.900000000000034</v>
      </c>
    </row>
    <row r="303" spans="11:12" x14ac:dyDescent="0.4">
      <c r="K303" s="40">
        <v>301</v>
      </c>
      <c r="L303" s="105">
        <v>-77.999999999999972</v>
      </c>
    </row>
    <row r="304" spans="11:12" x14ac:dyDescent="0.4">
      <c r="K304" s="40">
        <v>302</v>
      </c>
      <c r="L304" s="105">
        <v>-64.499999999999972</v>
      </c>
    </row>
    <row r="305" spans="11:12" x14ac:dyDescent="0.4">
      <c r="K305" s="40">
        <v>303</v>
      </c>
      <c r="L305" s="105">
        <v>46.500000000000036</v>
      </c>
    </row>
    <row r="306" spans="11:12" x14ac:dyDescent="0.4">
      <c r="K306" s="40">
        <v>304</v>
      </c>
      <c r="L306" s="105">
        <v>-81.999999999999972</v>
      </c>
    </row>
    <row r="307" spans="11:12" x14ac:dyDescent="0.4">
      <c r="K307" s="40">
        <v>305</v>
      </c>
      <c r="L307" s="105">
        <v>55.500000000000036</v>
      </c>
    </row>
    <row r="308" spans="11:12" x14ac:dyDescent="0.4">
      <c r="K308" s="40">
        <v>306</v>
      </c>
      <c r="L308" s="105">
        <v>-12.499999999999964</v>
      </c>
    </row>
    <row r="309" spans="11:12" x14ac:dyDescent="0.4">
      <c r="K309" s="40">
        <v>307</v>
      </c>
      <c r="L309" s="105">
        <v>19.200000000000035</v>
      </c>
    </row>
    <row r="310" spans="11:12" x14ac:dyDescent="0.4">
      <c r="K310" s="40">
        <v>308</v>
      </c>
      <c r="L310" s="105">
        <v>-19.499999999999964</v>
      </c>
    </row>
    <row r="311" spans="11:12" x14ac:dyDescent="0.4">
      <c r="K311" s="40">
        <v>309</v>
      </c>
      <c r="L311" s="105">
        <v>-0.29999999999996518</v>
      </c>
    </row>
    <row r="312" spans="11:12" x14ac:dyDescent="0.4">
      <c r="K312" s="40">
        <v>310</v>
      </c>
      <c r="L312" s="105">
        <v>-6.9999999999999654</v>
      </c>
    </row>
    <row r="313" spans="11:12" x14ac:dyDescent="0.4">
      <c r="K313" s="40">
        <v>311</v>
      </c>
      <c r="L313" s="105">
        <v>77.000000000000028</v>
      </c>
    </row>
    <row r="314" spans="11:12" x14ac:dyDescent="0.4">
      <c r="K314" s="40">
        <v>312</v>
      </c>
      <c r="L314" s="105">
        <v>-41.999999999999964</v>
      </c>
    </row>
    <row r="315" spans="11:12" x14ac:dyDescent="0.4">
      <c r="K315" s="40">
        <v>313</v>
      </c>
      <c r="L315" s="105">
        <v>84.000000000000028</v>
      </c>
    </row>
    <row r="316" spans="11:12" x14ac:dyDescent="0.4">
      <c r="K316" s="40">
        <v>314</v>
      </c>
      <c r="L316" s="105">
        <v>33.700000000000038</v>
      </c>
    </row>
    <row r="317" spans="11:12" x14ac:dyDescent="0.4">
      <c r="K317" s="40">
        <v>315</v>
      </c>
      <c r="L317" s="105">
        <v>-43.099999999999966</v>
      </c>
    </row>
    <row r="318" spans="11:12" x14ac:dyDescent="0.4">
      <c r="K318" s="40">
        <v>316</v>
      </c>
      <c r="L318" s="105">
        <v>-14.199999999999964</v>
      </c>
    </row>
    <row r="319" spans="11:12" x14ac:dyDescent="0.4">
      <c r="K319" s="40">
        <v>317</v>
      </c>
      <c r="L319" s="105">
        <v>134.60000000000002</v>
      </c>
    </row>
    <row r="320" spans="11:12" x14ac:dyDescent="0.4">
      <c r="K320" s="40">
        <v>318</v>
      </c>
      <c r="L320" s="105">
        <v>-68.999999999999972</v>
      </c>
    </row>
    <row r="321" spans="11:12" x14ac:dyDescent="0.4">
      <c r="K321" s="40">
        <v>319</v>
      </c>
      <c r="L321" s="105">
        <v>-17.799999999999972</v>
      </c>
    </row>
    <row r="322" spans="11:12" x14ac:dyDescent="0.4">
      <c r="K322" s="40">
        <v>320</v>
      </c>
      <c r="L322" s="105">
        <v>52.60000000000003</v>
      </c>
    </row>
    <row r="323" spans="11:12" x14ac:dyDescent="0.4">
      <c r="K323" s="40">
        <v>321</v>
      </c>
      <c r="L323" s="105">
        <v>-27.099999999999973</v>
      </c>
    </row>
    <row r="324" spans="11:12" x14ac:dyDescent="0.4">
      <c r="K324" s="40">
        <v>322</v>
      </c>
      <c r="L324" s="105">
        <v>-78.999999999999972</v>
      </c>
    </row>
    <row r="325" spans="11:12" x14ac:dyDescent="0.4">
      <c r="K325" s="40">
        <v>323</v>
      </c>
      <c r="L325" s="105">
        <v>29.800000000000026</v>
      </c>
    </row>
    <row r="326" spans="11:12" x14ac:dyDescent="0.4">
      <c r="K326" s="40">
        <v>324</v>
      </c>
      <c r="L326" s="105">
        <v>-0.39999999999997282</v>
      </c>
    </row>
    <row r="327" spans="11:12" x14ac:dyDescent="0.4">
      <c r="K327" s="40">
        <v>325</v>
      </c>
      <c r="L327" s="105">
        <v>-40.599999999999973</v>
      </c>
    </row>
    <row r="328" spans="11:12" x14ac:dyDescent="0.4">
      <c r="K328" s="40">
        <v>326</v>
      </c>
      <c r="L328" s="105">
        <v>1.2000000000000277</v>
      </c>
    </row>
    <row r="329" spans="11:12" x14ac:dyDescent="0.4">
      <c r="K329" s="40">
        <v>327</v>
      </c>
      <c r="L329" s="105">
        <v>4.3000000000000274</v>
      </c>
    </row>
    <row r="330" spans="11:12" x14ac:dyDescent="0.4">
      <c r="K330" s="40">
        <v>328</v>
      </c>
      <c r="L330" s="105">
        <v>51.000000000000028</v>
      </c>
    </row>
    <row r="331" spans="11:12" x14ac:dyDescent="0.4">
      <c r="K331" s="40">
        <v>329</v>
      </c>
      <c r="L331" s="105">
        <v>42.200000000000031</v>
      </c>
    </row>
    <row r="332" spans="11:12" x14ac:dyDescent="0.4">
      <c r="K332" s="40">
        <v>330</v>
      </c>
      <c r="L332" s="105">
        <v>-39.099999999999973</v>
      </c>
    </row>
    <row r="333" spans="11:12" x14ac:dyDescent="0.4">
      <c r="K333" s="40">
        <v>331</v>
      </c>
      <c r="L333" s="105">
        <v>86.200000000000031</v>
      </c>
    </row>
    <row r="334" spans="11:12" x14ac:dyDescent="0.4">
      <c r="K334" s="40">
        <v>332</v>
      </c>
      <c r="L334" s="105">
        <v>31.200000000000028</v>
      </c>
    </row>
    <row r="335" spans="11:12" x14ac:dyDescent="0.4">
      <c r="K335" s="40">
        <v>333</v>
      </c>
      <c r="L335" s="105">
        <v>-42.39999999999997</v>
      </c>
    </row>
    <row r="336" spans="11:12" x14ac:dyDescent="0.4">
      <c r="K336" s="40">
        <v>334</v>
      </c>
      <c r="L336" s="105">
        <v>11.000000000000028</v>
      </c>
    </row>
    <row r="337" spans="11:12" x14ac:dyDescent="0.4">
      <c r="K337" s="40">
        <v>335</v>
      </c>
      <c r="L337" s="105">
        <v>70.000000000000028</v>
      </c>
    </row>
    <row r="338" spans="11:12" x14ac:dyDescent="0.4">
      <c r="K338" s="40">
        <v>336</v>
      </c>
      <c r="L338" s="105">
        <v>-42.999999999999972</v>
      </c>
    </row>
    <row r="339" spans="11:12" x14ac:dyDescent="0.4">
      <c r="K339" s="40">
        <v>337</v>
      </c>
      <c r="L339" s="105">
        <v>-25.599999999999973</v>
      </c>
    </row>
    <row r="340" spans="11:12" x14ac:dyDescent="0.4">
      <c r="K340" s="40">
        <v>338</v>
      </c>
      <c r="L340" s="105">
        <v>-3.8999999999999728</v>
      </c>
    </row>
    <row r="341" spans="11:12" x14ac:dyDescent="0.4">
      <c r="K341" s="40">
        <v>339</v>
      </c>
      <c r="L341" s="105">
        <v>3.1000000000000263</v>
      </c>
    </row>
    <row r="342" spans="11:12" x14ac:dyDescent="0.4">
      <c r="K342" s="40">
        <v>340</v>
      </c>
      <c r="L342" s="105">
        <v>-33.999999999999972</v>
      </c>
    </row>
    <row r="343" spans="11:12" x14ac:dyDescent="0.4">
      <c r="K343" s="40">
        <v>341</v>
      </c>
      <c r="L343" s="105">
        <v>-89.499999999999972</v>
      </c>
    </row>
    <row r="344" spans="11:12" x14ac:dyDescent="0.4">
      <c r="K344" s="40">
        <v>342</v>
      </c>
      <c r="L344" s="105">
        <v>48.000000000000028</v>
      </c>
    </row>
    <row r="345" spans="11:12" x14ac:dyDescent="0.4">
      <c r="K345" s="40">
        <v>343</v>
      </c>
      <c r="L345" s="105">
        <v>-41.599999999999973</v>
      </c>
    </row>
    <row r="346" spans="11:12" x14ac:dyDescent="0.4">
      <c r="K346" s="40">
        <v>344</v>
      </c>
      <c r="L346" s="105">
        <v>10.100000000000026</v>
      </c>
    </row>
    <row r="347" spans="11:12" x14ac:dyDescent="0.4">
      <c r="K347" s="40">
        <v>345</v>
      </c>
      <c r="L347" s="105">
        <v>0.10000000000002718</v>
      </c>
    </row>
    <row r="348" spans="11:12" x14ac:dyDescent="0.4">
      <c r="K348" s="40">
        <v>346</v>
      </c>
      <c r="L348" s="105">
        <v>45.000000000000028</v>
      </c>
    </row>
    <row r="349" spans="11:12" x14ac:dyDescent="0.4">
      <c r="K349" s="40">
        <v>347</v>
      </c>
      <c r="L349" s="105">
        <v>9.2000000000000277</v>
      </c>
    </row>
    <row r="350" spans="11:12" x14ac:dyDescent="0.4">
      <c r="K350" s="40">
        <v>348</v>
      </c>
      <c r="L350" s="105">
        <v>-21.099999999999973</v>
      </c>
    </row>
    <row r="351" spans="11:12" x14ac:dyDescent="0.4">
      <c r="K351" s="40">
        <v>349</v>
      </c>
      <c r="L351" s="105">
        <v>53.600000000000023</v>
      </c>
    </row>
    <row r="352" spans="11:12" x14ac:dyDescent="0.4">
      <c r="K352" s="40">
        <v>350</v>
      </c>
      <c r="L352" s="105">
        <v>-15.099999999999973</v>
      </c>
    </row>
    <row r="353" spans="11:12" x14ac:dyDescent="0.4">
      <c r="K353" s="40">
        <v>351</v>
      </c>
      <c r="L353" s="105">
        <v>-11.099999999999973</v>
      </c>
    </row>
    <row r="354" spans="11:12" x14ac:dyDescent="0.4">
      <c r="K354" s="40">
        <v>352</v>
      </c>
      <c r="L354" s="105">
        <v>-65.999999999999972</v>
      </c>
    </row>
    <row r="355" spans="11:12" x14ac:dyDescent="0.4">
      <c r="K355" s="40">
        <v>353</v>
      </c>
      <c r="L355" s="105">
        <v>65.500000000000028</v>
      </c>
    </row>
    <row r="356" spans="11:12" x14ac:dyDescent="0.4">
      <c r="K356" s="40">
        <v>354</v>
      </c>
      <c r="L356" s="105">
        <v>-21.499999999999972</v>
      </c>
    </row>
    <row r="357" spans="11:12" x14ac:dyDescent="0.4">
      <c r="K357" s="40">
        <v>355</v>
      </c>
      <c r="L357" s="105">
        <v>36.000000000000028</v>
      </c>
    </row>
    <row r="358" spans="11:12" x14ac:dyDescent="0.4">
      <c r="K358" s="40">
        <v>356</v>
      </c>
      <c r="L358" s="105">
        <v>-7.6999999999999709</v>
      </c>
    </row>
    <row r="359" spans="11:12" x14ac:dyDescent="0.4">
      <c r="K359" s="40">
        <v>357</v>
      </c>
      <c r="L359" s="105">
        <v>-10.399999999999972</v>
      </c>
    </row>
    <row r="360" spans="11:12" x14ac:dyDescent="0.4">
      <c r="K360" s="40">
        <v>358</v>
      </c>
      <c r="L360" s="105">
        <v>-13.799999999999972</v>
      </c>
    </row>
    <row r="361" spans="11:12" x14ac:dyDescent="0.4">
      <c r="K361" s="40">
        <v>359</v>
      </c>
      <c r="L361" s="105">
        <v>23.200000000000031</v>
      </c>
    </row>
    <row r="362" spans="11:12" x14ac:dyDescent="0.4">
      <c r="K362" s="40">
        <v>360</v>
      </c>
      <c r="L362" s="105">
        <v>-13.399999999999972</v>
      </c>
    </row>
    <row r="363" spans="11:12" x14ac:dyDescent="0.4">
      <c r="K363" s="40">
        <v>361</v>
      </c>
      <c r="L363" s="105">
        <v>109.00000000000003</v>
      </c>
    </row>
    <row r="364" spans="11:12" x14ac:dyDescent="0.4">
      <c r="K364" s="40">
        <v>362</v>
      </c>
      <c r="L364" s="105">
        <v>17.000000000000028</v>
      </c>
    </row>
    <row r="365" spans="11:12" x14ac:dyDescent="0.4">
      <c r="K365" s="40">
        <v>363</v>
      </c>
      <c r="L365" s="105">
        <v>-40.999999999999972</v>
      </c>
    </row>
    <row r="366" spans="11:12" x14ac:dyDescent="0.4">
      <c r="K366" s="40">
        <v>364</v>
      </c>
      <c r="L366" s="105">
        <v>83.000000000000028</v>
      </c>
    </row>
    <row r="367" spans="11:12" x14ac:dyDescent="0.4">
      <c r="K367" s="40">
        <v>365</v>
      </c>
      <c r="L367" s="105">
        <v>-41.999999999999972</v>
      </c>
    </row>
    <row r="368" spans="11:12" x14ac:dyDescent="0.4">
      <c r="K368" s="40">
        <v>366</v>
      </c>
      <c r="L368" s="105">
        <v>-4.9999999999999716</v>
      </c>
    </row>
    <row r="369" spans="11:12" x14ac:dyDescent="0.4">
      <c r="K369" s="40">
        <v>367</v>
      </c>
      <c r="L369" s="105">
        <v>-30.999999999999972</v>
      </c>
    </row>
    <row r="370" spans="11:12" x14ac:dyDescent="0.4">
      <c r="K370" s="40">
        <v>368</v>
      </c>
      <c r="L370" s="105">
        <v>-31.39999999999997</v>
      </c>
    </row>
    <row r="371" spans="11:12" x14ac:dyDescent="0.4">
      <c r="K371" s="40">
        <v>369</v>
      </c>
      <c r="L371" s="105">
        <v>18.200000000000028</v>
      </c>
    </row>
    <row r="372" spans="11:12" x14ac:dyDescent="0.4">
      <c r="K372" s="40">
        <v>370</v>
      </c>
      <c r="L372" s="105">
        <v>-99.799999999999969</v>
      </c>
    </row>
    <row r="373" spans="11:12" x14ac:dyDescent="0.4">
      <c r="K373" s="40">
        <v>371</v>
      </c>
      <c r="L373" s="105">
        <v>15.400000000000027</v>
      </c>
    </row>
    <row r="374" spans="11:12" x14ac:dyDescent="0.4">
      <c r="K374" s="40">
        <v>372</v>
      </c>
      <c r="L374" s="105">
        <v>12.000000000000028</v>
      </c>
    </row>
    <row r="375" spans="11:12" x14ac:dyDescent="0.4">
      <c r="K375" s="40">
        <v>373</v>
      </c>
      <c r="L375" s="105">
        <v>86.800000000000026</v>
      </c>
    </row>
    <row r="376" spans="11:12" x14ac:dyDescent="0.4">
      <c r="K376" s="40">
        <v>374</v>
      </c>
      <c r="L376" s="105">
        <v>30.700000000000024</v>
      </c>
    </row>
    <row r="377" spans="11:12" x14ac:dyDescent="0.4">
      <c r="K377" s="40">
        <v>375</v>
      </c>
      <c r="L377" s="105">
        <v>-42.299999999999969</v>
      </c>
    </row>
    <row r="378" spans="11:12" x14ac:dyDescent="0.4">
      <c r="K378" s="40">
        <v>376</v>
      </c>
      <c r="L378" s="105">
        <v>31.200000000000031</v>
      </c>
    </row>
    <row r="379" spans="11:12" x14ac:dyDescent="0.4">
      <c r="K379" s="40">
        <v>377</v>
      </c>
      <c r="L379" s="105">
        <v>-39.89999999999997</v>
      </c>
    </row>
    <row r="380" spans="11:12" x14ac:dyDescent="0.4">
      <c r="K380" s="40">
        <v>378</v>
      </c>
      <c r="L380" s="105">
        <v>6.9000000000000306</v>
      </c>
    </row>
    <row r="381" spans="11:12" x14ac:dyDescent="0.4">
      <c r="K381" s="40">
        <v>379</v>
      </c>
      <c r="L381" s="105">
        <v>-78.999999999999972</v>
      </c>
    </row>
    <row r="382" spans="11:12" x14ac:dyDescent="0.4">
      <c r="K382" s="40">
        <v>380</v>
      </c>
      <c r="L382" s="105">
        <v>-30.599999999999969</v>
      </c>
    </row>
    <row r="383" spans="11:12" x14ac:dyDescent="0.4">
      <c r="K383" s="40">
        <v>381</v>
      </c>
      <c r="L383" s="105">
        <v>29.800000000000026</v>
      </c>
    </row>
    <row r="384" spans="11:12" x14ac:dyDescent="0.4">
      <c r="K384" s="40">
        <v>382</v>
      </c>
      <c r="L384" s="105">
        <v>30.000000000000028</v>
      </c>
    </row>
    <row r="385" spans="11:12" x14ac:dyDescent="0.4">
      <c r="K385" s="40">
        <v>383</v>
      </c>
      <c r="L385" s="105">
        <v>-1.8999999999999719</v>
      </c>
    </row>
    <row r="386" spans="11:12" x14ac:dyDescent="0.4">
      <c r="K386" s="40">
        <v>384</v>
      </c>
      <c r="L386" s="105">
        <v>-11.799999999999972</v>
      </c>
    </row>
    <row r="387" spans="11:12" x14ac:dyDescent="0.4">
      <c r="K387" s="40">
        <v>385</v>
      </c>
      <c r="L387" s="105">
        <v>14.400000000000027</v>
      </c>
    </row>
    <row r="388" spans="11:12" x14ac:dyDescent="0.4">
      <c r="K388" s="40">
        <v>386</v>
      </c>
      <c r="L388" s="105">
        <v>28.900000000000027</v>
      </c>
    </row>
    <row r="389" spans="11:12" x14ac:dyDescent="0.4">
      <c r="K389" s="40">
        <v>387</v>
      </c>
      <c r="L389" s="105">
        <v>-23.299999999999976</v>
      </c>
    </row>
    <row r="390" spans="11:12" x14ac:dyDescent="0.4">
      <c r="K390" s="40">
        <v>388</v>
      </c>
      <c r="L390" s="105">
        <v>38.40000000000002</v>
      </c>
    </row>
    <row r="391" spans="11:12" x14ac:dyDescent="0.4">
      <c r="K391" s="40">
        <v>389</v>
      </c>
      <c r="L391" s="105">
        <v>-69.299999999999983</v>
      </c>
    </row>
    <row r="392" spans="11:12" x14ac:dyDescent="0.4">
      <c r="K392" s="40">
        <v>390</v>
      </c>
      <c r="L392" s="105">
        <v>19.800000000000026</v>
      </c>
    </row>
    <row r="393" spans="11:12" x14ac:dyDescent="0.4">
      <c r="K393" s="40">
        <v>391</v>
      </c>
      <c r="L393" s="105">
        <v>27.600000000000026</v>
      </c>
    </row>
    <row r="394" spans="11:12" x14ac:dyDescent="0.4">
      <c r="K394" s="40">
        <v>392</v>
      </c>
      <c r="L394" s="105">
        <v>-1.2999999999999741</v>
      </c>
    </row>
    <row r="395" spans="11:12" x14ac:dyDescent="0.4">
      <c r="K395" s="40">
        <v>393</v>
      </c>
      <c r="L395" s="105">
        <v>-11.499999999999975</v>
      </c>
    </row>
    <row r="396" spans="11:12" x14ac:dyDescent="0.4">
      <c r="K396" s="40">
        <v>394</v>
      </c>
      <c r="L396" s="105">
        <v>20.200000000000024</v>
      </c>
    </row>
    <row r="397" spans="11:12" x14ac:dyDescent="0.4">
      <c r="K397" s="40">
        <v>395</v>
      </c>
      <c r="L397" s="105">
        <v>47.800000000000026</v>
      </c>
    </row>
    <row r="398" spans="11:12" x14ac:dyDescent="0.4">
      <c r="K398" s="40">
        <v>396</v>
      </c>
      <c r="L398" s="105">
        <v>-34.199999999999974</v>
      </c>
    </row>
    <row r="399" spans="11:12" x14ac:dyDescent="0.4">
      <c r="K399" s="40">
        <v>397</v>
      </c>
      <c r="L399" s="105">
        <v>11.400000000000029</v>
      </c>
    </row>
    <row r="400" spans="11:12" x14ac:dyDescent="0.4">
      <c r="K400" s="40">
        <v>398</v>
      </c>
      <c r="L400" s="105">
        <v>-35.799999999999969</v>
      </c>
    </row>
    <row r="401" spans="11:12" x14ac:dyDescent="0.4">
      <c r="K401" s="40">
        <v>399</v>
      </c>
      <c r="L401" s="105">
        <v>7.8000000000000291</v>
      </c>
    </row>
    <row r="402" spans="11:12" x14ac:dyDescent="0.4">
      <c r="K402" s="40">
        <v>400</v>
      </c>
      <c r="L402" s="105">
        <v>45.000000000000028</v>
      </c>
    </row>
    <row r="403" spans="11:12" x14ac:dyDescent="0.4">
      <c r="K403" s="40">
        <v>401</v>
      </c>
      <c r="L403" s="105">
        <v>10.700000000000028</v>
      </c>
    </row>
    <row r="404" spans="11:12" x14ac:dyDescent="0.4">
      <c r="K404" s="40">
        <v>402</v>
      </c>
      <c r="L404" s="105">
        <v>-23.599999999999973</v>
      </c>
    </row>
    <row r="405" spans="11:12" x14ac:dyDescent="0.4">
      <c r="K405" s="40">
        <v>403</v>
      </c>
      <c r="L405" s="105">
        <v>29.800000000000026</v>
      </c>
    </row>
    <row r="406" spans="11:12" x14ac:dyDescent="0.4">
      <c r="K406" s="40">
        <v>404</v>
      </c>
      <c r="L406" s="105">
        <v>15.300000000000024</v>
      </c>
    </row>
    <row r="407" spans="11:12" x14ac:dyDescent="0.4">
      <c r="K407" s="40">
        <v>405</v>
      </c>
      <c r="L407" s="105">
        <v>-22.09999999999998</v>
      </c>
    </row>
    <row r="408" spans="11:12" x14ac:dyDescent="0.4">
      <c r="K408" s="40">
        <v>406</v>
      </c>
      <c r="L408" s="105">
        <v>-78.999999999999972</v>
      </c>
    </row>
    <row r="409" spans="11:12" x14ac:dyDescent="0.4">
      <c r="K409" s="40">
        <v>407</v>
      </c>
      <c r="L409" s="105">
        <v>9.5000000000000213</v>
      </c>
    </row>
    <row r="410" spans="11:12" x14ac:dyDescent="0.4">
      <c r="K410" s="40">
        <v>408</v>
      </c>
      <c r="L410" s="105">
        <v>8.0000000000000213</v>
      </c>
    </row>
    <row r="411" spans="11:12" x14ac:dyDescent="0.4">
      <c r="K411" s="40">
        <v>409</v>
      </c>
      <c r="L411" s="105">
        <v>73.000000000000028</v>
      </c>
    </row>
    <row r="412" spans="11:12" x14ac:dyDescent="0.4">
      <c r="K412" s="40">
        <v>410</v>
      </c>
      <c r="L412" s="105">
        <v>-41.499999999999979</v>
      </c>
    </row>
    <row r="413" spans="11:12" x14ac:dyDescent="0.4">
      <c r="K413" s="40">
        <v>411</v>
      </c>
      <c r="L413" s="105">
        <v>-4.4999999999999787</v>
      </c>
    </row>
    <row r="414" spans="11:12" x14ac:dyDescent="0.4">
      <c r="K414" s="40">
        <v>412</v>
      </c>
      <c r="L414" s="105">
        <v>-96.999999999999972</v>
      </c>
    </row>
    <row r="415" spans="11:12" x14ac:dyDescent="0.4">
      <c r="K415" s="40">
        <v>413</v>
      </c>
      <c r="L415" s="105">
        <v>-41.499999999999979</v>
      </c>
    </row>
    <row r="416" spans="11:12" x14ac:dyDescent="0.4">
      <c r="K416" s="40">
        <v>414</v>
      </c>
      <c r="L416" s="105">
        <v>38.000000000000021</v>
      </c>
    </row>
    <row r="417" spans="11:12" x14ac:dyDescent="0.4">
      <c r="K417" s="40">
        <v>415</v>
      </c>
      <c r="L417" s="105">
        <v>22.40000000000002</v>
      </c>
    </row>
    <row r="418" spans="11:12" x14ac:dyDescent="0.4">
      <c r="K418" s="40">
        <v>416</v>
      </c>
      <c r="L418" s="105">
        <v>-5.5999999999999801</v>
      </c>
    </row>
    <row r="419" spans="11:12" x14ac:dyDescent="0.4">
      <c r="K419" s="40">
        <v>417</v>
      </c>
      <c r="L419" s="105">
        <v>-9.7999999999999794</v>
      </c>
    </row>
    <row r="420" spans="11:12" x14ac:dyDescent="0.4">
      <c r="K420" s="40">
        <v>418</v>
      </c>
      <c r="L420" s="105">
        <v>-42.999999999999979</v>
      </c>
    </row>
    <row r="421" spans="11:12" x14ac:dyDescent="0.4">
      <c r="K421" s="40">
        <v>419</v>
      </c>
      <c r="L421" s="105">
        <v>12.100000000000023</v>
      </c>
    </row>
    <row r="422" spans="11:12" x14ac:dyDescent="0.4">
      <c r="K422" s="40">
        <v>420</v>
      </c>
      <c r="L422" s="105">
        <v>-2.2999999999999776</v>
      </c>
    </row>
    <row r="423" spans="11:12" x14ac:dyDescent="0.4">
      <c r="K423" s="40">
        <v>421</v>
      </c>
      <c r="L423" s="105">
        <v>78.800000000000011</v>
      </c>
    </row>
    <row r="424" spans="11:12" x14ac:dyDescent="0.4">
      <c r="K424" s="40">
        <v>422</v>
      </c>
      <c r="L424" s="105">
        <v>-15.399999999999977</v>
      </c>
    </row>
    <row r="425" spans="11:12" x14ac:dyDescent="0.4">
      <c r="K425" s="40">
        <v>423</v>
      </c>
      <c r="L425" s="105">
        <v>-18.999999999999979</v>
      </c>
    </row>
    <row r="426" spans="11:12" x14ac:dyDescent="0.4">
      <c r="K426" s="40">
        <v>424</v>
      </c>
      <c r="L426" s="105">
        <v>50.200000000000024</v>
      </c>
    </row>
    <row r="427" spans="11:12" x14ac:dyDescent="0.4">
      <c r="K427" s="40">
        <v>425</v>
      </c>
      <c r="L427" s="105">
        <v>-78.09999999999998</v>
      </c>
    </row>
    <row r="428" spans="11:12" x14ac:dyDescent="0.4">
      <c r="K428" s="40">
        <v>426</v>
      </c>
      <c r="L428" s="105">
        <v>19.500000000000021</v>
      </c>
    </row>
    <row r="429" spans="11:12" x14ac:dyDescent="0.4">
      <c r="K429" s="40">
        <v>427</v>
      </c>
      <c r="L429" s="105">
        <v>13.000000000000021</v>
      </c>
    </row>
    <row r="430" spans="11:12" x14ac:dyDescent="0.4">
      <c r="K430" s="40">
        <v>428</v>
      </c>
      <c r="L430" s="105">
        <v>55.90000000000002</v>
      </c>
    </row>
    <row r="431" spans="11:12" x14ac:dyDescent="0.4">
      <c r="K431" s="40">
        <v>429</v>
      </c>
      <c r="L431" s="105">
        <v>-38.199999999999989</v>
      </c>
    </row>
    <row r="432" spans="11:12" x14ac:dyDescent="0.4">
      <c r="K432" s="40">
        <v>430</v>
      </c>
      <c r="L432" s="105">
        <v>5.6000000000000174</v>
      </c>
    </row>
    <row r="433" spans="11:12" x14ac:dyDescent="0.4">
      <c r="K433" s="40">
        <v>431</v>
      </c>
      <c r="L433" s="105">
        <v>-32.799999999999983</v>
      </c>
    </row>
    <row r="434" spans="11:12" x14ac:dyDescent="0.4">
      <c r="K434" s="40">
        <v>432</v>
      </c>
      <c r="L434" s="105">
        <v>8.0000000000000178</v>
      </c>
    </row>
    <row r="435" spans="11:12" x14ac:dyDescent="0.4">
      <c r="K435" s="40">
        <v>433</v>
      </c>
      <c r="L435" s="105">
        <v>82.600000000000009</v>
      </c>
    </row>
    <row r="436" spans="11:12" x14ac:dyDescent="0.4">
      <c r="K436" s="40">
        <v>434</v>
      </c>
      <c r="L436" s="105">
        <v>23.70000000000001</v>
      </c>
    </row>
    <row r="437" spans="11:12" x14ac:dyDescent="0.4">
      <c r="K437" s="40">
        <v>435</v>
      </c>
      <c r="L437" s="105">
        <v>-39.499999999999986</v>
      </c>
    </row>
    <row r="438" spans="11:12" x14ac:dyDescent="0.4">
      <c r="K438" s="40">
        <v>436</v>
      </c>
      <c r="L438" s="105">
        <v>48.000000000000014</v>
      </c>
    </row>
    <row r="439" spans="11:12" x14ac:dyDescent="0.4">
      <c r="K439" s="40">
        <v>437</v>
      </c>
      <c r="L439" s="105">
        <v>11.400000000000009</v>
      </c>
    </row>
    <row r="440" spans="11:12" x14ac:dyDescent="0.4">
      <c r="K440" s="40">
        <v>438</v>
      </c>
      <c r="L440" s="105">
        <v>-24.699999999999989</v>
      </c>
    </row>
    <row r="441" spans="11:12" x14ac:dyDescent="0.4">
      <c r="K441" s="40">
        <v>439</v>
      </c>
      <c r="L441" s="105">
        <v>18.000000000000011</v>
      </c>
    </row>
    <row r="442" spans="11:12" x14ac:dyDescent="0.4">
      <c r="K442" s="40">
        <v>440</v>
      </c>
      <c r="L442" s="105">
        <v>-58.59999999999998</v>
      </c>
    </row>
    <row r="443" spans="11:12" x14ac:dyDescent="0.4">
      <c r="K443" s="40">
        <v>441</v>
      </c>
      <c r="L443" s="105">
        <v>17.800000000000015</v>
      </c>
    </row>
    <row r="444" spans="11:12" x14ac:dyDescent="0.4">
      <c r="K444" s="40">
        <v>442</v>
      </c>
      <c r="L444" s="105">
        <v>78.000000000000014</v>
      </c>
    </row>
    <row r="445" spans="11:12" x14ac:dyDescent="0.4">
      <c r="K445" s="40">
        <v>443</v>
      </c>
      <c r="L445" s="105">
        <v>-53.999999999999986</v>
      </c>
    </row>
    <row r="446" spans="11:12" x14ac:dyDescent="0.4">
      <c r="K446" s="40">
        <v>444</v>
      </c>
      <c r="L446" s="105">
        <v>0.50000000000001421</v>
      </c>
    </row>
    <row r="447" spans="11:12" x14ac:dyDescent="0.4">
      <c r="K447" s="40">
        <v>445</v>
      </c>
      <c r="L447" s="105">
        <v>46.000000000000014</v>
      </c>
    </row>
    <row r="448" spans="11:12" x14ac:dyDescent="0.4">
      <c r="K448" s="40">
        <v>446</v>
      </c>
      <c r="L448" s="105">
        <v>-49.999999999999986</v>
      </c>
    </row>
    <row r="449" spans="11:12" x14ac:dyDescent="0.4">
      <c r="K449" s="40">
        <v>447</v>
      </c>
      <c r="L449" s="105">
        <v>6.5000000000000142</v>
      </c>
    </row>
    <row r="450" spans="11:12" x14ac:dyDescent="0.4">
      <c r="K450" s="40">
        <v>448</v>
      </c>
      <c r="L450" s="105">
        <v>-43.599999999999987</v>
      </c>
    </row>
    <row r="451" spans="11:12" x14ac:dyDescent="0.4">
      <c r="K451" s="40">
        <v>449</v>
      </c>
      <c r="L451" s="105">
        <v>-43.799999999999983</v>
      </c>
    </row>
    <row r="452" spans="11:12" x14ac:dyDescent="0.4">
      <c r="K452" s="40">
        <v>450</v>
      </c>
      <c r="L452" s="105">
        <v>25.800000000000018</v>
      </c>
    </row>
    <row r="453" spans="11:12" x14ac:dyDescent="0.4">
      <c r="K453" s="40">
        <v>451</v>
      </c>
      <c r="L453" s="105">
        <v>71.200000000000017</v>
      </c>
    </row>
    <row r="454" spans="11:12" x14ac:dyDescent="0.4">
      <c r="K454" s="40">
        <v>452</v>
      </c>
      <c r="L454" s="105">
        <v>31.40000000000002</v>
      </c>
    </row>
    <row r="455" spans="11:12" x14ac:dyDescent="0.4">
      <c r="K455" s="40">
        <v>453</v>
      </c>
      <c r="L455" s="105">
        <v>-40.499999999999979</v>
      </c>
    </row>
    <row r="456" spans="11:12" x14ac:dyDescent="0.4">
      <c r="K456" s="40">
        <v>454</v>
      </c>
      <c r="L456" s="105">
        <v>11.600000000000021</v>
      </c>
    </row>
    <row r="457" spans="11:12" x14ac:dyDescent="0.4">
      <c r="K457" s="40">
        <v>455</v>
      </c>
      <c r="L457" s="105">
        <v>-70.599999999999994</v>
      </c>
    </row>
    <row r="458" spans="11:12" x14ac:dyDescent="0.4">
      <c r="K458" s="40">
        <v>456</v>
      </c>
      <c r="L458" s="105">
        <v>25.400000000000013</v>
      </c>
    </row>
    <row r="459" spans="11:12" x14ac:dyDescent="0.4">
      <c r="K459" s="40">
        <v>457</v>
      </c>
      <c r="L459" s="105">
        <v>132.19999999999999</v>
      </c>
    </row>
    <row r="460" spans="11:12" x14ac:dyDescent="0.4">
      <c r="K460" s="40">
        <v>458</v>
      </c>
      <c r="L460" s="105">
        <v>-18.499999999999986</v>
      </c>
    </row>
    <row r="461" spans="11:12" x14ac:dyDescent="0.4">
      <c r="K461" s="40">
        <v>459</v>
      </c>
      <c r="L461" s="105">
        <v>-30.79999999999999</v>
      </c>
    </row>
    <row r="462" spans="11:12" x14ac:dyDescent="0.4">
      <c r="K462" s="40">
        <v>460</v>
      </c>
      <c r="L462" s="105">
        <v>-7.9999999999999893</v>
      </c>
    </row>
    <row r="463" spans="11:12" x14ac:dyDescent="0.4">
      <c r="K463" s="40">
        <v>461</v>
      </c>
      <c r="L463" s="105">
        <v>-38.799999999999983</v>
      </c>
    </row>
    <row r="464" spans="11:12" x14ac:dyDescent="0.4">
      <c r="K464" s="40">
        <v>462</v>
      </c>
      <c r="L464" s="105">
        <v>14.400000000000009</v>
      </c>
    </row>
    <row r="465" spans="11:12" x14ac:dyDescent="0.4">
      <c r="K465" s="40">
        <v>463</v>
      </c>
      <c r="L465" s="105">
        <v>6.400000000000011</v>
      </c>
    </row>
    <row r="466" spans="11:12" x14ac:dyDescent="0.4">
      <c r="K466" s="40">
        <v>464</v>
      </c>
      <c r="L466" s="105">
        <v>-62.199999999999989</v>
      </c>
    </row>
    <row r="467" spans="11:12" x14ac:dyDescent="0.4">
      <c r="K467" s="40">
        <v>465</v>
      </c>
      <c r="L467" s="105">
        <v>22.500000000000011</v>
      </c>
    </row>
    <row r="468" spans="11:12" x14ac:dyDescent="0.4">
      <c r="K468" s="40">
        <v>466</v>
      </c>
      <c r="L468" s="105">
        <v>28.400000000000009</v>
      </c>
    </row>
    <row r="469" spans="11:12" x14ac:dyDescent="0.4">
      <c r="K469" s="40">
        <v>467</v>
      </c>
      <c r="L469" s="105">
        <v>2.4000000000000092</v>
      </c>
    </row>
    <row r="470" spans="11:12" x14ac:dyDescent="0.4">
      <c r="K470" s="40">
        <v>468</v>
      </c>
      <c r="L470" s="105">
        <v>-15.299999999999992</v>
      </c>
    </row>
    <row r="471" spans="11:12" x14ac:dyDescent="0.4">
      <c r="K471" s="40">
        <v>469</v>
      </c>
      <c r="L471" s="105">
        <v>44.400000000000006</v>
      </c>
    </row>
    <row r="472" spans="11:12" x14ac:dyDescent="0.4">
      <c r="K472" s="40">
        <v>470</v>
      </c>
      <c r="L472" s="105">
        <v>-9.5999999999999908</v>
      </c>
    </row>
    <row r="473" spans="11:12" x14ac:dyDescent="0.4">
      <c r="K473" s="40">
        <v>471</v>
      </c>
      <c r="L473" s="105">
        <v>-13.299999999999992</v>
      </c>
    </row>
    <row r="474" spans="11:12" x14ac:dyDescent="0.4">
      <c r="K474" s="40">
        <v>472</v>
      </c>
      <c r="L474" s="105">
        <v>37.20000000000001</v>
      </c>
    </row>
    <row r="475" spans="11:12" x14ac:dyDescent="0.4">
      <c r="K475" s="40">
        <v>473</v>
      </c>
      <c r="L475" s="105">
        <v>-74.8</v>
      </c>
    </row>
    <row r="476" spans="11:12" x14ac:dyDescent="0.4">
      <c r="K476" s="40">
        <v>474</v>
      </c>
      <c r="L476" s="105">
        <v>21.100000000000009</v>
      </c>
    </row>
    <row r="477" spans="11:12" x14ac:dyDescent="0.4">
      <c r="K477" s="40">
        <v>475</v>
      </c>
      <c r="L477" s="105">
        <v>10.600000000000007</v>
      </c>
    </row>
    <row r="478" spans="11:12" x14ac:dyDescent="0.4">
      <c r="K478" s="40">
        <v>476</v>
      </c>
      <c r="L478" s="105">
        <v>55.7</v>
      </c>
    </row>
    <row r="479" spans="11:12" x14ac:dyDescent="0.4">
      <c r="K479" s="40">
        <v>477</v>
      </c>
      <c r="L479" s="105">
        <v>-37.499999999999993</v>
      </c>
    </row>
    <row r="480" spans="11:12" x14ac:dyDescent="0.4">
      <c r="K480" s="40">
        <v>478</v>
      </c>
      <c r="L480" s="105">
        <v>5.6000000000000068</v>
      </c>
    </row>
    <row r="481" spans="11:12" x14ac:dyDescent="0.4">
      <c r="K481" s="40">
        <v>479</v>
      </c>
      <c r="L481" s="105">
        <v>66.200000000000017</v>
      </c>
    </row>
    <row r="482" spans="11:12" x14ac:dyDescent="0.4">
      <c r="K482" s="40">
        <v>480</v>
      </c>
      <c r="L482" s="105">
        <v>-41.499999999999993</v>
      </c>
    </row>
    <row r="483" spans="11:12" x14ac:dyDescent="0.4">
      <c r="K483" s="40">
        <v>481</v>
      </c>
      <c r="L483" s="105">
        <v>4.2000000000000064</v>
      </c>
    </row>
    <row r="484" spans="11:12" x14ac:dyDescent="0.4">
      <c r="K484" s="40">
        <v>482</v>
      </c>
      <c r="L484" s="105">
        <v>10.700000000000006</v>
      </c>
    </row>
    <row r="485" spans="11:12" x14ac:dyDescent="0.4">
      <c r="K485" s="40">
        <v>483</v>
      </c>
      <c r="L485" s="105">
        <v>-13.399999999999995</v>
      </c>
    </row>
    <row r="486" spans="11:12" x14ac:dyDescent="0.4">
      <c r="K486" s="40">
        <v>484</v>
      </c>
      <c r="L486" s="105">
        <v>-27.999999999999993</v>
      </c>
    </row>
    <row r="487" spans="11:12" x14ac:dyDescent="0.4">
      <c r="K487" s="40">
        <v>485</v>
      </c>
      <c r="L487" s="105">
        <v>5.0000000000000071</v>
      </c>
    </row>
    <row r="488" spans="11:12" x14ac:dyDescent="0.4">
      <c r="K488" s="40">
        <v>486</v>
      </c>
      <c r="L488" s="105">
        <v>-4.4999999999999929</v>
      </c>
    </row>
    <row r="489" spans="11:12" x14ac:dyDescent="0.4">
      <c r="K489" s="40">
        <v>487</v>
      </c>
      <c r="L489" s="105">
        <v>20.000000000000007</v>
      </c>
    </row>
    <row r="490" spans="11:12" x14ac:dyDescent="0.4">
      <c r="K490" s="40">
        <v>488</v>
      </c>
      <c r="L490" s="105">
        <v>-16.699999999999992</v>
      </c>
    </row>
    <row r="491" spans="11:12" x14ac:dyDescent="0.4">
      <c r="K491" s="40">
        <v>489</v>
      </c>
      <c r="L491" s="105">
        <v>-5.3999999999999932</v>
      </c>
    </row>
    <row r="492" spans="11:12" x14ac:dyDescent="0.4">
      <c r="K492" s="40">
        <v>490</v>
      </c>
      <c r="L492" s="105">
        <v>-30.79999999999999</v>
      </c>
    </row>
    <row r="493" spans="11:12" x14ac:dyDescent="0.4">
      <c r="K493" s="40">
        <v>491</v>
      </c>
      <c r="L493" s="105">
        <v>-28.29999999999999</v>
      </c>
    </row>
    <row r="494" spans="11:12" x14ac:dyDescent="0.4">
      <c r="K494" s="40">
        <v>492</v>
      </c>
      <c r="L494" s="105">
        <v>13.100000000000012</v>
      </c>
    </row>
    <row r="495" spans="11:12" x14ac:dyDescent="0.4">
      <c r="K495" s="40">
        <v>493</v>
      </c>
      <c r="L495" s="105">
        <v>26.20000000000001</v>
      </c>
    </row>
    <row r="496" spans="11:12" x14ac:dyDescent="0.4">
      <c r="K496" s="40">
        <v>494</v>
      </c>
      <c r="L496" s="105">
        <v>-66.199999999999989</v>
      </c>
    </row>
    <row r="497" spans="11:12" x14ac:dyDescent="0.4">
      <c r="K497" s="40">
        <v>495</v>
      </c>
      <c r="L497" s="105">
        <v>17.800000000000011</v>
      </c>
    </row>
    <row r="498" spans="11:12" x14ac:dyDescent="0.4">
      <c r="K498" s="40">
        <v>496</v>
      </c>
      <c r="L498" s="105">
        <v>26.20000000000001</v>
      </c>
    </row>
    <row r="499" spans="11:12" x14ac:dyDescent="0.4">
      <c r="K499" s="40">
        <v>497</v>
      </c>
      <c r="L499" s="105">
        <v>-14.999999999999991</v>
      </c>
    </row>
    <row r="500" spans="11:12" x14ac:dyDescent="0.4">
      <c r="K500" s="40">
        <v>498</v>
      </c>
      <c r="L500" s="105">
        <v>-7.7999999999999901</v>
      </c>
    </row>
    <row r="501" spans="11:12" x14ac:dyDescent="0.4">
      <c r="K501" s="40">
        <v>499</v>
      </c>
      <c r="L501" s="105">
        <v>-77</v>
      </c>
    </row>
    <row r="502" spans="11:12" x14ac:dyDescent="0.4">
      <c r="K502" s="40">
        <v>500</v>
      </c>
      <c r="L502" s="105">
        <v>31.000000000000007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-64.199999999999989</v>
      </c>
    </row>
    <row r="505" spans="11:12" x14ac:dyDescent="0.4">
      <c r="K505" s="40">
        <v>503</v>
      </c>
      <c r="L505" s="105">
        <v>-132.79999999999998</v>
      </c>
    </row>
    <row r="506" spans="11:12" x14ac:dyDescent="0.4">
      <c r="K506" s="40">
        <v>504</v>
      </c>
      <c r="L506" s="105">
        <v>73.700000000000017</v>
      </c>
    </row>
    <row r="507" spans="11:12" x14ac:dyDescent="0.4">
      <c r="K507" s="40">
        <v>505</v>
      </c>
      <c r="L507" s="105">
        <v>8.6000000000000139</v>
      </c>
    </row>
    <row r="508" spans="11:12" x14ac:dyDescent="0.4">
      <c r="K508" s="40">
        <v>506</v>
      </c>
      <c r="L508" s="105">
        <v>-3.3999999999999861</v>
      </c>
    </row>
    <row r="509" spans="11:12" x14ac:dyDescent="0.4">
      <c r="K509" s="40">
        <v>507</v>
      </c>
      <c r="L509" s="105">
        <v>-9.1999999999999851</v>
      </c>
    </row>
    <row r="510" spans="11:12" x14ac:dyDescent="0.4">
      <c r="K510" s="40">
        <v>508</v>
      </c>
      <c r="L510" s="105">
        <v>-32.999999999999986</v>
      </c>
    </row>
    <row r="511" spans="11:12" x14ac:dyDescent="0.4">
      <c r="K511" s="40">
        <v>509</v>
      </c>
      <c r="L511" s="105">
        <v>-43.999999999999986</v>
      </c>
    </row>
    <row r="512" spans="11:12" x14ac:dyDescent="0.4">
      <c r="K512" s="40">
        <v>510</v>
      </c>
      <c r="L512" s="105">
        <v>21.500000000000014</v>
      </c>
    </row>
    <row r="513" spans="11:12" x14ac:dyDescent="0.4">
      <c r="K513" s="40">
        <v>511</v>
      </c>
      <c r="L513" s="105">
        <v>-24.999999999999986</v>
      </c>
    </row>
    <row r="514" spans="11:12" x14ac:dyDescent="0.4">
      <c r="K514" s="40">
        <v>512</v>
      </c>
      <c r="L514" s="105">
        <v>106.00000000000001</v>
      </c>
    </row>
    <row r="515" spans="11:12" x14ac:dyDescent="0.4">
      <c r="K515" s="40">
        <v>513</v>
      </c>
      <c r="L515" s="105">
        <v>-55.499999999999986</v>
      </c>
    </row>
    <row r="516" spans="11:12" x14ac:dyDescent="0.4">
      <c r="K516" s="40">
        <v>514</v>
      </c>
      <c r="L516" s="105">
        <v>84.200000000000017</v>
      </c>
    </row>
    <row r="517" spans="11:12" x14ac:dyDescent="0.4">
      <c r="K517" s="40">
        <v>515</v>
      </c>
      <c r="L517" s="105">
        <v>-19.399999999999984</v>
      </c>
    </row>
    <row r="518" spans="11:12" x14ac:dyDescent="0.4">
      <c r="K518" s="40">
        <v>516</v>
      </c>
      <c r="L518" s="105">
        <v>-20.099999999999984</v>
      </c>
    </row>
    <row r="519" spans="11:12" x14ac:dyDescent="0.4">
      <c r="K519" s="40">
        <v>517</v>
      </c>
      <c r="L519" s="105">
        <v>-14.399999999999984</v>
      </c>
    </row>
    <row r="520" spans="11:12" x14ac:dyDescent="0.4">
      <c r="K520" s="40">
        <v>518</v>
      </c>
      <c r="L520" s="105">
        <v>27.500000000000018</v>
      </c>
    </row>
    <row r="521" spans="11:12" x14ac:dyDescent="0.4">
      <c r="K521" s="40">
        <v>519</v>
      </c>
      <c r="L521" s="105">
        <v>-18.899999999999984</v>
      </c>
    </row>
    <row r="522" spans="11:12" x14ac:dyDescent="0.4">
      <c r="K522" s="40">
        <v>520</v>
      </c>
      <c r="L522" s="105">
        <v>20.000000000000014</v>
      </c>
    </row>
    <row r="523" spans="11:12" x14ac:dyDescent="0.4">
      <c r="K523" s="40">
        <v>521</v>
      </c>
      <c r="L523" s="105">
        <v>-20.899999999999984</v>
      </c>
    </row>
    <row r="524" spans="11:12" x14ac:dyDescent="0.4">
      <c r="K524" s="40">
        <v>522</v>
      </c>
      <c r="L524" s="105">
        <v>-3.2999999999999829</v>
      </c>
    </row>
    <row r="525" spans="11:12" x14ac:dyDescent="0.4">
      <c r="K525" s="40">
        <v>523</v>
      </c>
      <c r="L525" s="105">
        <v>23.800000000000018</v>
      </c>
    </row>
    <row r="526" spans="11:12" x14ac:dyDescent="0.4">
      <c r="K526" s="40">
        <v>524</v>
      </c>
      <c r="L526" s="105">
        <v>34.000000000000014</v>
      </c>
    </row>
    <row r="527" spans="11:12" x14ac:dyDescent="0.4">
      <c r="K527" s="40">
        <v>525</v>
      </c>
      <c r="L527" s="105">
        <v>-31.699999999999982</v>
      </c>
    </row>
    <row r="528" spans="11:12" x14ac:dyDescent="0.4">
      <c r="K528" s="40">
        <v>526</v>
      </c>
      <c r="L528" s="105">
        <v>-32.999999999999986</v>
      </c>
    </row>
    <row r="529" spans="11:12" x14ac:dyDescent="0.4">
      <c r="K529" s="40">
        <v>527</v>
      </c>
      <c r="L529" s="105">
        <v>-139.59999999999997</v>
      </c>
    </row>
    <row r="530" spans="11:12" x14ac:dyDescent="0.4">
      <c r="K530" s="40">
        <v>528</v>
      </c>
      <c r="L530" s="105">
        <v>69.300000000000011</v>
      </c>
    </row>
    <row r="531" spans="11:12" x14ac:dyDescent="0.4">
      <c r="K531" s="40">
        <v>529</v>
      </c>
      <c r="L531" s="105">
        <v>9.2000000000000135</v>
      </c>
    </row>
    <row r="532" spans="11:12" x14ac:dyDescent="0.4">
      <c r="K532" s="40">
        <v>530</v>
      </c>
      <c r="L532" s="105">
        <v>-13.899999999999986</v>
      </c>
    </row>
    <row r="533" spans="11:12" x14ac:dyDescent="0.4">
      <c r="K533" s="40">
        <v>531</v>
      </c>
      <c r="L533" s="105">
        <v>-4.0999999999999854</v>
      </c>
    </row>
    <row r="534" spans="11:12" x14ac:dyDescent="0.4">
      <c r="K534" s="40">
        <v>532</v>
      </c>
      <c r="L534" s="105">
        <v>34.400000000000013</v>
      </c>
    </row>
    <row r="535" spans="11:12" x14ac:dyDescent="0.4">
      <c r="K535" s="40">
        <v>533</v>
      </c>
      <c r="L535" s="105">
        <v>-17.099999999999987</v>
      </c>
    </row>
    <row r="536" spans="11:12" x14ac:dyDescent="0.4">
      <c r="K536" s="40">
        <v>534</v>
      </c>
      <c r="L536" s="105">
        <v>-8.7999999999999865</v>
      </c>
    </row>
    <row r="537" spans="11:12" x14ac:dyDescent="0.4">
      <c r="K537" s="40">
        <v>535</v>
      </c>
      <c r="L537" s="105">
        <v>42.600000000000016</v>
      </c>
    </row>
    <row r="538" spans="11:12" x14ac:dyDescent="0.4">
      <c r="K538" s="40">
        <v>536</v>
      </c>
      <c r="L538" s="105">
        <v>22.200000000000014</v>
      </c>
    </row>
    <row r="539" spans="11:12" x14ac:dyDescent="0.4">
      <c r="K539" s="40">
        <v>537</v>
      </c>
      <c r="L539" s="105">
        <v>-30.499999999999986</v>
      </c>
    </row>
    <row r="540" spans="11:12" x14ac:dyDescent="0.4">
      <c r="K540" s="40">
        <v>538</v>
      </c>
      <c r="L540" s="105">
        <v>2.0000000000000142</v>
      </c>
    </row>
    <row r="541" spans="11:12" x14ac:dyDescent="0.4">
      <c r="K541" s="40">
        <v>539</v>
      </c>
      <c r="L541" s="105">
        <v>-20.499999999999986</v>
      </c>
    </row>
    <row r="542" spans="11:12" x14ac:dyDescent="0.4">
      <c r="K542" s="40">
        <v>540</v>
      </c>
      <c r="L542" s="105">
        <v>1.0000000000000142</v>
      </c>
    </row>
    <row r="543" spans="11:12" x14ac:dyDescent="0.4">
      <c r="K543" s="40">
        <v>541</v>
      </c>
      <c r="L543" s="105">
        <v>-14.599999999999987</v>
      </c>
    </row>
    <row r="544" spans="11:12" x14ac:dyDescent="0.4">
      <c r="K544" s="40">
        <v>542</v>
      </c>
      <c r="L544" s="105">
        <v>41.800000000000011</v>
      </c>
    </row>
    <row r="545" spans="11:12" x14ac:dyDescent="0.4">
      <c r="K545" s="40">
        <v>543</v>
      </c>
      <c r="L545" s="105">
        <v>-25.999999999999986</v>
      </c>
    </row>
    <row r="546" spans="11:12" x14ac:dyDescent="0.4">
      <c r="K546" s="40">
        <v>544</v>
      </c>
      <c r="L546" s="105">
        <v>60.000000000000014</v>
      </c>
    </row>
    <row r="547" spans="11:12" x14ac:dyDescent="0.4">
      <c r="K547" s="40">
        <v>545</v>
      </c>
      <c r="L547" s="105">
        <v>-13.699999999999989</v>
      </c>
    </row>
    <row r="548" spans="11:12" x14ac:dyDescent="0.4">
      <c r="K548" s="40">
        <v>546</v>
      </c>
      <c r="L548" s="105">
        <v>-16.899999999999988</v>
      </c>
    </row>
    <row r="549" spans="11:12" x14ac:dyDescent="0.4">
      <c r="K549" s="40">
        <v>547</v>
      </c>
      <c r="L549" s="105">
        <v>29.200000000000017</v>
      </c>
    </row>
    <row r="550" spans="11:12" x14ac:dyDescent="0.4">
      <c r="K550" s="40">
        <v>548</v>
      </c>
      <c r="L550" s="105">
        <v>12.900000000000015</v>
      </c>
    </row>
    <row r="551" spans="11:12" x14ac:dyDescent="0.4">
      <c r="K551" s="40">
        <v>549</v>
      </c>
      <c r="L551" s="105">
        <v>-22.499999999999986</v>
      </c>
    </row>
    <row r="552" spans="11:12" x14ac:dyDescent="0.4">
      <c r="K552" s="40">
        <v>550</v>
      </c>
      <c r="L552" s="105">
        <v>19.600000000000016</v>
      </c>
    </row>
    <row r="553" spans="11:12" x14ac:dyDescent="0.4">
      <c r="K553" s="40">
        <v>551</v>
      </c>
      <c r="L553" s="105">
        <v>28.900000000000016</v>
      </c>
    </row>
    <row r="554" spans="11:12" x14ac:dyDescent="0.4">
      <c r="K554" s="40">
        <v>552</v>
      </c>
      <c r="L554" s="105">
        <v>-28.099999999999987</v>
      </c>
    </row>
    <row r="555" spans="11:12" x14ac:dyDescent="0.4">
      <c r="K555" s="40">
        <v>553</v>
      </c>
      <c r="L555" s="105">
        <v>43.600000000000016</v>
      </c>
    </row>
    <row r="556" spans="11:12" x14ac:dyDescent="0.4">
      <c r="K556" s="40">
        <v>554</v>
      </c>
      <c r="L556" s="105">
        <v>-6.4999999999999858</v>
      </c>
    </row>
    <row r="557" spans="11:12" x14ac:dyDescent="0.4">
      <c r="K557" s="40">
        <v>555</v>
      </c>
      <c r="L557" s="105">
        <v>-16.399999999999984</v>
      </c>
    </row>
    <row r="558" spans="11:12" x14ac:dyDescent="0.4">
      <c r="K558" s="40">
        <v>556</v>
      </c>
      <c r="L558" s="105">
        <v>-29.399999999999984</v>
      </c>
    </row>
    <row r="559" spans="11:12" x14ac:dyDescent="0.4">
      <c r="K559" s="40">
        <v>557</v>
      </c>
      <c r="L559" s="105">
        <v>-7.3999999999999844</v>
      </c>
    </row>
    <row r="560" spans="11:12" x14ac:dyDescent="0.4">
      <c r="K560" s="40">
        <v>558</v>
      </c>
      <c r="L560" s="105">
        <v>2.3000000000000149</v>
      </c>
    </row>
    <row r="561" spans="11:12" x14ac:dyDescent="0.4">
      <c r="K561" s="40">
        <v>559</v>
      </c>
      <c r="L561" s="105">
        <v>-8.9999999999999858</v>
      </c>
    </row>
    <row r="562" spans="11:12" x14ac:dyDescent="0.4">
      <c r="K562" s="40">
        <v>560</v>
      </c>
      <c r="L562" s="105">
        <v>6.2000000000000144</v>
      </c>
    </row>
    <row r="563" spans="11:12" x14ac:dyDescent="0.4">
      <c r="K563" s="40">
        <v>561</v>
      </c>
      <c r="L563" s="105">
        <v>-9.5999999999999837</v>
      </c>
    </row>
    <row r="564" spans="11:12" x14ac:dyDescent="0.4">
      <c r="K564" s="40">
        <v>562</v>
      </c>
      <c r="L564" s="105">
        <v>-86.199999999999989</v>
      </c>
    </row>
    <row r="565" spans="11:12" x14ac:dyDescent="0.4">
      <c r="K565" s="40">
        <v>563</v>
      </c>
      <c r="L565" s="105">
        <v>-117.39999999999998</v>
      </c>
    </row>
    <row r="566" spans="11:12" x14ac:dyDescent="0.4">
      <c r="K566" s="40">
        <v>564</v>
      </c>
      <c r="L566" s="105">
        <v>71.500000000000014</v>
      </c>
    </row>
    <row r="567" spans="11:12" x14ac:dyDescent="0.4">
      <c r="K567" s="40">
        <v>565</v>
      </c>
      <c r="L567" s="105">
        <v>38.400000000000013</v>
      </c>
    </row>
    <row r="568" spans="11:12" x14ac:dyDescent="0.4">
      <c r="K568" s="40">
        <v>566</v>
      </c>
      <c r="L568" s="105">
        <v>44.900000000000013</v>
      </c>
    </row>
    <row r="569" spans="11:12" x14ac:dyDescent="0.4">
      <c r="K569" s="40">
        <v>567</v>
      </c>
      <c r="L569" s="105">
        <v>-40.799999999999983</v>
      </c>
    </row>
    <row r="570" spans="11:12" x14ac:dyDescent="0.4">
      <c r="K570" s="40">
        <v>568</v>
      </c>
      <c r="L570" s="105">
        <v>76.40000000000002</v>
      </c>
    </row>
    <row r="571" spans="11:12" x14ac:dyDescent="0.4">
      <c r="K571" s="40">
        <v>569</v>
      </c>
      <c r="L571" s="105">
        <v>-41.299999999999983</v>
      </c>
    </row>
    <row r="572" spans="11:12" x14ac:dyDescent="0.4">
      <c r="K572" s="40">
        <v>570</v>
      </c>
      <c r="L572" s="105">
        <v>-7.1999999999999833</v>
      </c>
    </row>
    <row r="573" spans="11:12" x14ac:dyDescent="0.4">
      <c r="K573" s="40">
        <v>571</v>
      </c>
      <c r="L573" s="105">
        <v>11.000000000000018</v>
      </c>
    </row>
    <row r="574" spans="11:12" x14ac:dyDescent="0.4">
      <c r="K574" s="40">
        <v>572</v>
      </c>
      <c r="L574" s="105">
        <v>20.800000000000018</v>
      </c>
    </row>
    <row r="575" spans="11:12" x14ac:dyDescent="0.4">
      <c r="K575" s="40">
        <v>573</v>
      </c>
      <c r="L575" s="105">
        <v>-21.899999999999981</v>
      </c>
    </row>
    <row r="576" spans="11:12" x14ac:dyDescent="0.4">
      <c r="K576" s="40">
        <v>574</v>
      </c>
      <c r="L576" s="105">
        <v>10.400000000000018</v>
      </c>
    </row>
    <row r="577" spans="11:12" x14ac:dyDescent="0.4">
      <c r="K577" s="40">
        <v>575</v>
      </c>
      <c r="L577" s="105">
        <v>62.100000000000023</v>
      </c>
    </row>
    <row r="578" spans="11:12" x14ac:dyDescent="0.4">
      <c r="K578" s="40">
        <v>576</v>
      </c>
      <c r="L578" s="105">
        <v>-42.399999999999977</v>
      </c>
    </row>
    <row r="579" spans="11:12" x14ac:dyDescent="0.4">
      <c r="K579" s="40">
        <v>577</v>
      </c>
      <c r="L579" s="105">
        <v>-142.99999999999997</v>
      </c>
    </row>
    <row r="580" spans="11:12" x14ac:dyDescent="0.4">
      <c r="K580" s="40">
        <v>578</v>
      </c>
      <c r="L580" s="105">
        <v>-115.39999999999998</v>
      </c>
    </row>
    <row r="581" spans="11:12" x14ac:dyDescent="0.4">
      <c r="K581" s="40">
        <v>579</v>
      </c>
      <c r="L581" s="105">
        <v>84.700000000000031</v>
      </c>
    </row>
    <row r="582" spans="11:12" x14ac:dyDescent="0.4">
      <c r="K582" s="40">
        <v>580</v>
      </c>
      <c r="L582" s="105">
        <v>-10.999999999999972</v>
      </c>
    </row>
    <row r="583" spans="11:12" x14ac:dyDescent="0.4">
      <c r="K583" s="40">
        <v>581</v>
      </c>
      <c r="L583" s="105">
        <v>-64.399999999999977</v>
      </c>
    </row>
    <row r="584" spans="11:12" x14ac:dyDescent="0.4">
      <c r="K584" s="40">
        <v>582</v>
      </c>
      <c r="L584" s="105">
        <v>26.200000000000024</v>
      </c>
    </row>
    <row r="585" spans="11:12" x14ac:dyDescent="0.4">
      <c r="K585" s="40">
        <v>583</v>
      </c>
      <c r="L585" s="105">
        <v>-10.199999999999974</v>
      </c>
    </row>
    <row r="586" spans="11:12" x14ac:dyDescent="0.4">
      <c r="K586" s="40">
        <v>584</v>
      </c>
      <c r="L586" s="105">
        <v>-82.799999999999983</v>
      </c>
    </row>
    <row r="587" spans="11:12" x14ac:dyDescent="0.4">
      <c r="K587" s="40">
        <v>585</v>
      </c>
      <c r="L587" s="105">
        <v>35.200000000000031</v>
      </c>
    </row>
    <row r="588" spans="11:12" x14ac:dyDescent="0.4">
      <c r="K588" s="40">
        <v>586</v>
      </c>
      <c r="L588" s="105">
        <v>113.00000000000003</v>
      </c>
    </row>
    <row r="589" spans="11:12" x14ac:dyDescent="0.4">
      <c r="K589" s="40">
        <v>587</v>
      </c>
      <c r="L589" s="105">
        <v>-21.999999999999972</v>
      </c>
    </row>
    <row r="590" spans="11:12" x14ac:dyDescent="0.4">
      <c r="K590" s="40">
        <v>588</v>
      </c>
      <c r="L590" s="105">
        <v>-25.999999999999972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67.000000000000028</v>
      </c>
    </row>
    <row r="593" spans="11:12" x14ac:dyDescent="0.4">
      <c r="K593" s="40">
        <v>591</v>
      </c>
      <c r="L593" s="105">
        <v>-40.999999999999972</v>
      </c>
    </row>
    <row r="594" spans="11:12" x14ac:dyDescent="0.4">
      <c r="K594" s="40">
        <v>592</v>
      </c>
      <c r="L594" s="105">
        <v>-45.999999999999972</v>
      </c>
    </row>
    <row r="595" spans="11:12" x14ac:dyDescent="0.4">
      <c r="K595" s="40">
        <v>593</v>
      </c>
      <c r="L595" s="105">
        <v>34.300000000000026</v>
      </c>
    </row>
    <row r="596" spans="11:12" x14ac:dyDescent="0.4">
      <c r="K596" s="40">
        <v>594</v>
      </c>
      <c r="L596" s="105">
        <v>-14.399999999999974</v>
      </c>
    </row>
    <row r="597" spans="11:12" x14ac:dyDescent="0.4">
      <c r="K597" s="40">
        <v>595</v>
      </c>
      <c r="L597" s="105">
        <v>24.000000000000028</v>
      </c>
    </row>
    <row r="598" spans="11:12" x14ac:dyDescent="0.4">
      <c r="K598" s="40">
        <v>596</v>
      </c>
      <c r="L598" s="105">
        <v>27.300000000000026</v>
      </c>
    </row>
    <row r="599" spans="11:12" x14ac:dyDescent="0.4">
      <c r="K599" s="40">
        <v>597</v>
      </c>
      <c r="L599" s="105">
        <v>-28.39999999999997</v>
      </c>
    </row>
    <row r="600" spans="11:12" x14ac:dyDescent="0.4">
      <c r="K600" s="40">
        <v>598</v>
      </c>
      <c r="L600" s="105">
        <v>26.800000000000029</v>
      </c>
    </row>
    <row r="601" spans="11:12" x14ac:dyDescent="0.4">
      <c r="K601" s="40">
        <v>599</v>
      </c>
      <c r="L601" s="105">
        <v>57.900000000000027</v>
      </c>
    </row>
    <row r="602" spans="11:12" x14ac:dyDescent="0.4">
      <c r="K602" s="40">
        <v>600</v>
      </c>
      <c r="L602" s="105">
        <v>-44.39999999999997</v>
      </c>
    </row>
    <row r="603" spans="11:12" x14ac:dyDescent="0.4">
      <c r="K603" s="40">
        <v>601</v>
      </c>
      <c r="L603" s="105">
        <v>-11.799999999999972</v>
      </c>
    </row>
    <row r="604" spans="11:12" x14ac:dyDescent="0.4">
      <c r="K604" s="40">
        <v>602</v>
      </c>
      <c r="L604" s="105">
        <v>-37.39999999999997</v>
      </c>
    </row>
    <row r="605" spans="11:12" x14ac:dyDescent="0.4">
      <c r="K605" s="40">
        <v>603</v>
      </c>
      <c r="L605" s="105">
        <v>12.900000000000027</v>
      </c>
    </row>
    <row r="606" spans="11:12" x14ac:dyDescent="0.4">
      <c r="K606" s="40">
        <v>604</v>
      </c>
      <c r="L606" s="105">
        <v>3.8000000000000291</v>
      </c>
    </row>
    <row r="607" spans="11:12" x14ac:dyDescent="0.4">
      <c r="K607" s="40">
        <v>605</v>
      </c>
      <c r="L607" s="105">
        <v>-12.199999999999971</v>
      </c>
    </row>
    <row r="608" spans="11:12" x14ac:dyDescent="0.4">
      <c r="K608" s="40">
        <v>606</v>
      </c>
      <c r="L608" s="105">
        <v>-3.5999999999999717</v>
      </c>
    </row>
    <row r="609" spans="11:12" x14ac:dyDescent="0.4">
      <c r="K609" s="40">
        <v>607</v>
      </c>
      <c r="L609" s="105">
        <v>74.000000000000028</v>
      </c>
    </row>
    <row r="610" spans="11:12" x14ac:dyDescent="0.4">
      <c r="K610" s="40">
        <v>608</v>
      </c>
      <c r="L610" s="105">
        <v>-38.899999999999977</v>
      </c>
    </row>
    <row r="611" spans="11:12" x14ac:dyDescent="0.4">
      <c r="K611" s="40">
        <v>609</v>
      </c>
      <c r="L611" s="105">
        <v>-7.7999999999999741</v>
      </c>
    </row>
    <row r="612" spans="11:12" x14ac:dyDescent="0.4">
      <c r="K612" s="40">
        <v>610</v>
      </c>
      <c r="L612" s="105">
        <v>117.00000000000003</v>
      </c>
    </row>
    <row r="613" spans="11:12" x14ac:dyDescent="0.4">
      <c r="K613" s="40">
        <v>611</v>
      </c>
      <c r="L613" s="105">
        <v>-38.999999999999972</v>
      </c>
    </row>
    <row r="614" spans="11:12" x14ac:dyDescent="0.4">
      <c r="K614" s="40">
        <v>612</v>
      </c>
      <c r="L614" s="105">
        <v>-18.499999999999972</v>
      </c>
    </row>
    <row r="615" spans="11:12" x14ac:dyDescent="0.4">
      <c r="K615" s="40">
        <v>613</v>
      </c>
      <c r="L615" s="105">
        <v>18.400000000000027</v>
      </c>
    </row>
    <row r="616" spans="11:12" x14ac:dyDescent="0.4">
      <c r="K616" s="40">
        <v>614</v>
      </c>
      <c r="L616" s="105">
        <v>-40.299999999999969</v>
      </c>
    </row>
    <row r="617" spans="11:12" x14ac:dyDescent="0.4">
      <c r="K617" s="40">
        <v>615</v>
      </c>
      <c r="L617" s="105">
        <v>6.8000000000000291</v>
      </c>
    </row>
    <row r="618" spans="11:12" x14ac:dyDescent="0.4">
      <c r="K618" s="40">
        <v>616</v>
      </c>
      <c r="L618" s="105">
        <v>27.200000000000031</v>
      </c>
    </row>
    <row r="619" spans="11:12" x14ac:dyDescent="0.4">
      <c r="K619" s="40">
        <v>617</v>
      </c>
      <c r="L619" s="105">
        <v>9.1000000000000298</v>
      </c>
    </row>
    <row r="620" spans="11:12" x14ac:dyDescent="0.4">
      <c r="K620" s="40">
        <v>618</v>
      </c>
      <c r="L620" s="105">
        <v>-20.099999999999969</v>
      </c>
    </row>
    <row r="621" spans="11:12" x14ac:dyDescent="0.4">
      <c r="K621" s="40">
        <v>619</v>
      </c>
      <c r="L621" s="105">
        <v>110.00000000000003</v>
      </c>
    </row>
    <row r="622" spans="11:12" x14ac:dyDescent="0.4">
      <c r="K622" s="40">
        <v>620</v>
      </c>
      <c r="L622" s="105">
        <v>-39.099999999999966</v>
      </c>
    </row>
    <row r="623" spans="11:12" x14ac:dyDescent="0.4">
      <c r="K623" s="40">
        <v>621</v>
      </c>
      <c r="L623" s="105">
        <v>-16.699999999999967</v>
      </c>
    </row>
    <row r="624" spans="11:12" x14ac:dyDescent="0.4">
      <c r="K624" s="40">
        <v>622</v>
      </c>
      <c r="L624" s="105">
        <v>-29.999999999999968</v>
      </c>
    </row>
    <row r="625" spans="11:12" x14ac:dyDescent="0.4">
      <c r="K625" s="40">
        <v>623</v>
      </c>
      <c r="L625" s="105">
        <v>-105.29999999999995</v>
      </c>
    </row>
    <row r="626" spans="11:12" x14ac:dyDescent="0.4">
      <c r="K626" s="40">
        <v>624</v>
      </c>
      <c r="L626" s="105">
        <v>51.400000000000034</v>
      </c>
    </row>
    <row r="627" spans="11:12" x14ac:dyDescent="0.4">
      <c r="K627" s="40">
        <v>625</v>
      </c>
      <c r="L627" s="105">
        <v>-88.999999999999972</v>
      </c>
    </row>
    <row r="628" spans="11:12" x14ac:dyDescent="0.4">
      <c r="K628" s="40">
        <v>626</v>
      </c>
      <c r="L628" s="105">
        <v>-52.999999999999964</v>
      </c>
    </row>
    <row r="629" spans="11:12" x14ac:dyDescent="0.4">
      <c r="K629" s="40">
        <v>627</v>
      </c>
      <c r="L629" s="105">
        <v>40.000000000000036</v>
      </c>
    </row>
    <row r="630" spans="11:12" x14ac:dyDescent="0.4">
      <c r="K630" s="40">
        <v>628</v>
      </c>
      <c r="L630" s="105">
        <v>16.400000000000034</v>
      </c>
    </row>
    <row r="631" spans="11:12" x14ac:dyDescent="0.4">
      <c r="K631" s="40">
        <v>629</v>
      </c>
      <c r="L631" s="105">
        <v>-2.2999999999999652</v>
      </c>
    </row>
    <row r="632" spans="11:12" x14ac:dyDescent="0.4">
      <c r="K632" s="40">
        <v>630</v>
      </c>
      <c r="L632" s="105">
        <v>-11.699999999999966</v>
      </c>
    </row>
    <row r="633" spans="11:12" x14ac:dyDescent="0.4">
      <c r="K633" s="40">
        <v>631</v>
      </c>
      <c r="L633" s="105">
        <v>57.200000000000038</v>
      </c>
    </row>
    <row r="634" spans="11:12" x14ac:dyDescent="0.4">
      <c r="K634" s="40">
        <v>632</v>
      </c>
      <c r="L634" s="105">
        <v>-34.69999999999996</v>
      </c>
    </row>
    <row r="635" spans="11:12" x14ac:dyDescent="0.4">
      <c r="K635" s="40">
        <v>633</v>
      </c>
      <c r="L635" s="105">
        <v>-5.699999999999962</v>
      </c>
    </row>
    <row r="636" spans="11:12" x14ac:dyDescent="0.4">
      <c r="K636" s="40">
        <v>634</v>
      </c>
      <c r="L636" s="105">
        <v>15.400000000000038</v>
      </c>
    </row>
    <row r="637" spans="11:12" x14ac:dyDescent="0.4">
      <c r="K637" s="40">
        <v>635</v>
      </c>
      <c r="L637" s="105">
        <v>-35.399999999999963</v>
      </c>
    </row>
    <row r="638" spans="11:12" x14ac:dyDescent="0.4">
      <c r="K638" s="40">
        <v>636</v>
      </c>
      <c r="L638" s="105">
        <v>5.1000000000000369</v>
      </c>
    </row>
    <row r="639" spans="11:12" x14ac:dyDescent="0.4">
      <c r="K639" s="40">
        <v>637</v>
      </c>
      <c r="L639" s="105">
        <v>11.600000000000039</v>
      </c>
    </row>
    <row r="640" spans="11:12" x14ac:dyDescent="0.4">
      <c r="K640" s="40">
        <v>638</v>
      </c>
      <c r="L640" s="105">
        <v>58.30000000000004</v>
      </c>
    </row>
    <row r="641" spans="11:12" x14ac:dyDescent="0.4">
      <c r="K641" s="40">
        <v>639</v>
      </c>
      <c r="L641" s="105">
        <v>-40.799999999999955</v>
      </c>
    </row>
    <row r="642" spans="11:12" x14ac:dyDescent="0.4">
      <c r="K642" s="40">
        <v>640</v>
      </c>
      <c r="L642" s="105">
        <v>-8.7999999999999581</v>
      </c>
    </row>
    <row r="643" spans="11:12" x14ac:dyDescent="0.4">
      <c r="K643" s="40">
        <v>641</v>
      </c>
      <c r="L643" s="105">
        <v>4.5000000000000426</v>
      </c>
    </row>
    <row r="644" spans="11:12" x14ac:dyDescent="0.4">
      <c r="K644" s="40">
        <v>642</v>
      </c>
      <c r="L644" s="105">
        <v>-8.7999999999999581</v>
      </c>
    </row>
    <row r="645" spans="11:12" x14ac:dyDescent="0.4">
      <c r="K645" s="40">
        <v>643</v>
      </c>
      <c r="L645" s="105">
        <v>-3.9999999999999574</v>
      </c>
    </row>
    <row r="646" spans="11:12" x14ac:dyDescent="0.4">
      <c r="K646" s="40">
        <v>644</v>
      </c>
      <c r="L646" s="105">
        <v>21.900000000000041</v>
      </c>
    </row>
    <row r="647" spans="11:12" x14ac:dyDescent="0.4">
      <c r="K647" s="40">
        <v>645</v>
      </c>
      <c r="L647" s="105">
        <v>-18.699999999999957</v>
      </c>
    </row>
    <row r="648" spans="11:12" x14ac:dyDescent="0.4">
      <c r="K648" s="40">
        <v>646</v>
      </c>
      <c r="L648" s="105">
        <v>91.000000000000043</v>
      </c>
    </row>
    <row r="649" spans="11:12" x14ac:dyDescent="0.4">
      <c r="K649" s="40">
        <v>647</v>
      </c>
      <c r="L649" s="105">
        <v>29.000000000000043</v>
      </c>
    </row>
    <row r="650" spans="11:12" x14ac:dyDescent="0.4">
      <c r="K650" s="40">
        <v>648</v>
      </c>
      <c r="L650" s="105">
        <v>-45.999999999999957</v>
      </c>
    </row>
    <row r="651" spans="11:12" x14ac:dyDescent="0.4">
      <c r="K651" s="40">
        <v>649</v>
      </c>
      <c r="L651" s="105">
        <v>40.600000000000044</v>
      </c>
    </row>
    <row r="652" spans="11:12" x14ac:dyDescent="0.4">
      <c r="K652" s="40">
        <v>650</v>
      </c>
      <c r="L652" s="105">
        <v>58.400000000000048</v>
      </c>
    </row>
    <row r="653" spans="11:12" x14ac:dyDescent="0.4">
      <c r="K653" s="40">
        <v>651</v>
      </c>
      <c r="L653" s="105">
        <v>-48.099999999999959</v>
      </c>
    </row>
    <row r="654" spans="11:12" x14ac:dyDescent="0.4">
      <c r="K654" s="40">
        <v>652</v>
      </c>
      <c r="L654" s="105">
        <v>7.0000000000000426</v>
      </c>
    </row>
    <row r="655" spans="11:12" x14ac:dyDescent="0.4">
      <c r="K655" s="40">
        <v>653</v>
      </c>
      <c r="L655" s="105">
        <v>-10.999999999999957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-38.999999999999957</v>
      </c>
    </row>
    <row r="658" spans="11:12" x14ac:dyDescent="0.4">
      <c r="K658" s="40">
        <v>656</v>
      </c>
      <c r="L658" s="105">
        <v>19.400000000000041</v>
      </c>
    </row>
    <row r="659" spans="11:12" x14ac:dyDescent="0.4">
      <c r="K659" s="40">
        <v>657</v>
      </c>
      <c r="L659" s="105">
        <v>-8.6999999999999584</v>
      </c>
    </row>
    <row r="660" spans="11:12" x14ac:dyDescent="0.4">
      <c r="K660" s="40">
        <v>658</v>
      </c>
      <c r="L660" s="105">
        <v>-57.399999999999956</v>
      </c>
    </row>
    <row r="661" spans="11:12" x14ac:dyDescent="0.4">
      <c r="K661" s="40">
        <v>659</v>
      </c>
      <c r="L661" s="105">
        <v>94.200000000000045</v>
      </c>
    </row>
    <row r="662" spans="11:12" x14ac:dyDescent="0.4">
      <c r="K662" s="40">
        <v>660</v>
      </c>
      <c r="L662" s="105">
        <v>-41.499999999999957</v>
      </c>
    </row>
    <row r="663" spans="11:12" x14ac:dyDescent="0.4">
      <c r="K663" s="40">
        <v>661</v>
      </c>
      <c r="L663" s="105">
        <v>-42.799999999999955</v>
      </c>
    </row>
    <row r="664" spans="11:12" x14ac:dyDescent="0.4">
      <c r="K664" s="40">
        <v>662</v>
      </c>
      <c r="L664" s="105">
        <v>-10.699999999999955</v>
      </c>
    </row>
    <row r="665" spans="11:12" x14ac:dyDescent="0.4">
      <c r="K665" s="40">
        <v>663</v>
      </c>
      <c r="L665" s="105">
        <v>7.3000000000000469</v>
      </c>
    </row>
    <row r="666" spans="11:12" x14ac:dyDescent="0.4">
      <c r="K666" s="40">
        <v>664</v>
      </c>
      <c r="L666" s="105">
        <v>67.000000000000043</v>
      </c>
    </row>
    <row r="667" spans="11:12" x14ac:dyDescent="0.4">
      <c r="K667" s="40">
        <v>665</v>
      </c>
      <c r="L667" s="105">
        <v>-9.9999999999999538</v>
      </c>
    </row>
    <row r="668" spans="11:12" x14ac:dyDescent="0.4">
      <c r="K668" s="40">
        <v>666</v>
      </c>
      <c r="L668" s="105">
        <v>-20.499999999999954</v>
      </c>
    </row>
    <row r="669" spans="11:12" x14ac:dyDescent="0.4">
      <c r="K669" s="40">
        <v>667</v>
      </c>
      <c r="L669" s="105">
        <v>68.400000000000048</v>
      </c>
    </row>
    <row r="670" spans="11:12" x14ac:dyDescent="0.4">
      <c r="K670" s="40">
        <v>668</v>
      </c>
      <c r="L670" s="105">
        <v>-42.299999999999955</v>
      </c>
    </row>
    <row r="671" spans="11:12" x14ac:dyDescent="0.4">
      <c r="K671" s="40">
        <v>669</v>
      </c>
      <c r="L671" s="105">
        <v>-4.6999999999999513</v>
      </c>
    </row>
    <row r="672" spans="11:12" x14ac:dyDescent="0.4">
      <c r="K672" s="40">
        <v>670</v>
      </c>
      <c r="L672" s="105">
        <v>19.80000000000005</v>
      </c>
    </row>
    <row r="673" spans="11:12" x14ac:dyDescent="0.4">
      <c r="K673" s="40">
        <v>671</v>
      </c>
      <c r="L673" s="105">
        <v>-25.799999999999955</v>
      </c>
    </row>
    <row r="674" spans="11:12" x14ac:dyDescent="0.4">
      <c r="K674" s="40">
        <v>672</v>
      </c>
      <c r="L674" s="105">
        <v>-0.79999999999995275</v>
      </c>
    </row>
    <row r="675" spans="11:12" x14ac:dyDescent="0.4">
      <c r="K675" s="40">
        <v>673</v>
      </c>
      <c r="L675" s="105">
        <v>23.000000000000046</v>
      </c>
    </row>
    <row r="676" spans="11:12" x14ac:dyDescent="0.4">
      <c r="K676" s="40">
        <v>674</v>
      </c>
      <c r="L676" s="105">
        <v>63.800000000000047</v>
      </c>
    </row>
    <row r="677" spans="11:12" x14ac:dyDescent="0.4">
      <c r="K677" s="40">
        <v>675</v>
      </c>
      <c r="L677" s="105">
        <v>-46.399999999999949</v>
      </c>
    </row>
    <row r="678" spans="11:12" x14ac:dyDescent="0.4">
      <c r="K678" s="40">
        <v>676</v>
      </c>
      <c r="L678" s="105">
        <v>8.6000000000000494</v>
      </c>
    </row>
    <row r="679" spans="11:12" x14ac:dyDescent="0.4">
      <c r="K679" s="40">
        <v>677</v>
      </c>
      <c r="L679" s="105">
        <v>57.200000000000045</v>
      </c>
    </row>
    <row r="680" spans="11:12" x14ac:dyDescent="0.4">
      <c r="K680" s="40">
        <v>678</v>
      </c>
      <c r="L680" s="105">
        <v>-39.49999999999995</v>
      </c>
    </row>
    <row r="681" spans="11:12" x14ac:dyDescent="0.4">
      <c r="K681" s="40">
        <v>679</v>
      </c>
      <c r="L681" s="105">
        <v>-20.19999999999995</v>
      </c>
    </row>
    <row r="682" spans="11:12" x14ac:dyDescent="0.4">
      <c r="K682" s="40">
        <v>680</v>
      </c>
      <c r="L682" s="105">
        <v>-16.599999999999952</v>
      </c>
    </row>
    <row r="683" spans="11:12" x14ac:dyDescent="0.4">
      <c r="K683" s="40">
        <v>681</v>
      </c>
      <c r="L683" s="105">
        <v>4.6000000000000494</v>
      </c>
    </row>
    <row r="684" spans="11:12" x14ac:dyDescent="0.4">
      <c r="K684" s="40">
        <v>682</v>
      </c>
      <c r="L684" s="105">
        <v>47.400000000000048</v>
      </c>
    </row>
    <row r="685" spans="11:12" x14ac:dyDescent="0.4">
      <c r="K685" s="40">
        <v>683</v>
      </c>
      <c r="L685" s="105">
        <v>-35.599999999999952</v>
      </c>
    </row>
    <row r="686" spans="11:12" x14ac:dyDescent="0.4">
      <c r="K686" s="40">
        <v>684</v>
      </c>
      <c r="L686" s="105">
        <v>-2.7999999999999492</v>
      </c>
    </row>
    <row r="687" spans="11:12" x14ac:dyDescent="0.4">
      <c r="K687" s="40">
        <v>685</v>
      </c>
      <c r="L687" s="105">
        <v>22.400000000000048</v>
      </c>
    </row>
    <row r="688" spans="11:12" x14ac:dyDescent="0.4">
      <c r="K688" s="40">
        <v>686</v>
      </c>
      <c r="L688" s="105">
        <v>-18.899999999999952</v>
      </c>
    </row>
    <row r="689" spans="11:12" x14ac:dyDescent="0.4">
      <c r="K689" s="40">
        <v>687</v>
      </c>
      <c r="L689" s="105">
        <v>-4.8999999999999524</v>
      </c>
    </row>
    <row r="690" spans="11:12" x14ac:dyDescent="0.4">
      <c r="K690" s="40">
        <v>688</v>
      </c>
      <c r="L690" s="105">
        <v>-4.3999999999999524</v>
      </c>
    </row>
    <row r="691" spans="11:12" x14ac:dyDescent="0.4">
      <c r="K691" s="40">
        <v>689</v>
      </c>
      <c r="L691" s="105">
        <v>-38.49999999999995</v>
      </c>
    </row>
    <row r="692" spans="11:12" x14ac:dyDescent="0.4">
      <c r="K692" s="40">
        <v>690</v>
      </c>
      <c r="L692" s="105">
        <v>11.600000000000051</v>
      </c>
    </row>
    <row r="693" spans="11:12" x14ac:dyDescent="0.4">
      <c r="K693" s="40">
        <v>691</v>
      </c>
      <c r="L693" s="105">
        <v>-15.799999999999951</v>
      </c>
    </row>
    <row r="694" spans="11:12" x14ac:dyDescent="0.4">
      <c r="K694" s="40">
        <v>692</v>
      </c>
      <c r="L694" s="105">
        <v>-61.199999999999946</v>
      </c>
    </row>
    <row r="695" spans="11:12" x14ac:dyDescent="0.4">
      <c r="K695" s="40">
        <v>693</v>
      </c>
      <c r="L695" s="105">
        <v>25.800000000000054</v>
      </c>
    </row>
    <row r="696" spans="11:12" x14ac:dyDescent="0.4">
      <c r="K696" s="40">
        <v>694</v>
      </c>
      <c r="L696" s="105">
        <v>-91.399999999999949</v>
      </c>
    </row>
    <row r="697" spans="11:12" x14ac:dyDescent="0.4">
      <c r="K697" s="40">
        <v>695</v>
      </c>
      <c r="L697" s="105">
        <v>-89.199999999999946</v>
      </c>
    </row>
    <row r="698" spans="11:12" x14ac:dyDescent="0.4">
      <c r="K698" s="40">
        <v>696</v>
      </c>
      <c r="L698" s="105">
        <v>58.70000000000006</v>
      </c>
    </row>
    <row r="699" spans="11:12" x14ac:dyDescent="0.4">
      <c r="K699" s="40">
        <v>697</v>
      </c>
      <c r="L699" s="105">
        <v>31.400000000000055</v>
      </c>
    </row>
    <row r="700" spans="11:12" x14ac:dyDescent="0.4">
      <c r="K700" s="40">
        <v>698</v>
      </c>
      <c r="L700" s="105">
        <v>-48.199999999999946</v>
      </c>
    </row>
    <row r="701" spans="11:12" x14ac:dyDescent="0.4">
      <c r="K701" s="40">
        <v>699</v>
      </c>
      <c r="L701" s="105">
        <v>7.5000000000000568</v>
      </c>
    </row>
    <row r="702" spans="11:12" x14ac:dyDescent="0.4">
      <c r="K702" s="40">
        <v>700</v>
      </c>
      <c r="L702" s="105">
        <v>40.600000000000058</v>
      </c>
    </row>
    <row r="703" spans="11:12" x14ac:dyDescent="0.4">
      <c r="K703" s="40">
        <v>701</v>
      </c>
      <c r="L703" s="105">
        <v>-62.199999999999946</v>
      </c>
    </row>
    <row r="704" spans="11:12" x14ac:dyDescent="0.4">
      <c r="K704" s="40">
        <v>702</v>
      </c>
      <c r="L704" s="105">
        <v>12.200000000000056</v>
      </c>
    </row>
    <row r="705" spans="11:12" x14ac:dyDescent="0.4">
      <c r="K705" s="40">
        <v>703</v>
      </c>
      <c r="L705" s="105">
        <v>11.200000000000056</v>
      </c>
    </row>
    <row r="706" spans="11:12" x14ac:dyDescent="0.4">
      <c r="K706" s="40">
        <v>704</v>
      </c>
      <c r="L706" s="105">
        <v>48.100000000000058</v>
      </c>
    </row>
    <row r="707" spans="11:12" x14ac:dyDescent="0.4">
      <c r="K707" s="40">
        <v>705</v>
      </c>
      <c r="L707" s="105">
        <v>-35.599999999999945</v>
      </c>
    </row>
    <row r="708" spans="11:12" x14ac:dyDescent="0.4">
      <c r="K708" s="40">
        <v>706</v>
      </c>
      <c r="L708" s="105">
        <v>5.0000000000000568</v>
      </c>
    </row>
    <row r="709" spans="11:12" x14ac:dyDescent="0.4">
      <c r="K709" s="40">
        <v>707</v>
      </c>
      <c r="L709" s="105">
        <v>-57.599999999999945</v>
      </c>
    </row>
    <row r="710" spans="11:12" x14ac:dyDescent="0.4">
      <c r="K710" s="40">
        <v>708</v>
      </c>
      <c r="L710" s="105">
        <v>18.800000000000058</v>
      </c>
    </row>
    <row r="711" spans="11:12" x14ac:dyDescent="0.4">
      <c r="K711" s="40">
        <v>709</v>
      </c>
      <c r="L711" s="105">
        <v>-82.999999999999943</v>
      </c>
    </row>
    <row r="712" spans="11:12" x14ac:dyDescent="0.4">
      <c r="K712" s="40">
        <v>710</v>
      </c>
      <c r="L712" s="105">
        <v>-12.999999999999943</v>
      </c>
    </row>
    <row r="713" spans="11:12" x14ac:dyDescent="0.4">
      <c r="K713" s="40">
        <v>711</v>
      </c>
      <c r="L713" s="105">
        <v>18.500000000000057</v>
      </c>
    </row>
    <row r="714" spans="11:12" x14ac:dyDescent="0.4">
      <c r="K714" s="40">
        <v>712</v>
      </c>
      <c r="L714" s="105">
        <v>10.000000000000057</v>
      </c>
    </row>
    <row r="715" spans="11:12" x14ac:dyDescent="0.4">
      <c r="K715" s="40">
        <v>713</v>
      </c>
      <c r="L715" s="105">
        <v>88.500000000000057</v>
      </c>
    </row>
    <row r="716" spans="11:12" x14ac:dyDescent="0.4">
      <c r="K716" s="40">
        <v>714</v>
      </c>
      <c r="L716" s="105">
        <v>-55.499999999999943</v>
      </c>
    </row>
    <row r="717" spans="11:12" x14ac:dyDescent="0.4">
      <c r="K717" s="40">
        <v>715</v>
      </c>
      <c r="L717" s="105">
        <v>30.600000000000058</v>
      </c>
    </row>
    <row r="718" spans="11:12" x14ac:dyDescent="0.4">
      <c r="K718" s="40">
        <v>716</v>
      </c>
      <c r="L718" s="105">
        <v>-26.399999999999945</v>
      </c>
    </row>
    <row r="719" spans="11:12" x14ac:dyDescent="0.4">
      <c r="K719" s="40">
        <v>717</v>
      </c>
      <c r="L719" s="105">
        <v>-3.1999999999999442</v>
      </c>
    </row>
    <row r="720" spans="11:12" x14ac:dyDescent="0.4">
      <c r="K720" s="40">
        <v>718</v>
      </c>
      <c r="L720" s="105">
        <v>11.400000000000055</v>
      </c>
    </row>
    <row r="721" spans="11:12" x14ac:dyDescent="0.4">
      <c r="K721" s="40">
        <v>719</v>
      </c>
      <c r="L721" s="105">
        <v>-40.399999999999949</v>
      </c>
    </row>
    <row r="722" spans="11:12" x14ac:dyDescent="0.4">
      <c r="K722" s="40">
        <v>720</v>
      </c>
      <c r="L722" s="105">
        <v>8.6000000000000547</v>
      </c>
    </row>
    <row r="723" spans="11:12" x14ac:dyDescent="0.4">
      <c r="K723" s="40">
        <v>721</v>
      </c>
      <c r="L723" s="105">
        <v>21.000000000000057</v>
      </c>
    </row>
    <row r="724" spans="11:12" x14ac:dyDescent="0.4">
      <c r="K724" s="40">
        <v>722</v>
      </c>
      <c r="L724" s="105">
        <v>12.200000000000054</v>
      </c>
    </row>
    <row r="725" spans="11:12" x14ac:dyDescent="0.4">
      <c r="K725" s="40">
        <v>723</v>
      </c>
      <c r="L725" s="105">
        <v>-20.099999999999945</v>
      </c>
    </row>
    <row r="726" spans="11:12" x14ac:dyDescent="0.4">
      <c r="K726" s="40">
        <v>724</v>
      </c>
      <c r="L726" s="105">
        <v>-83.199999999999946</v>
      </c>
    </row>
    <row r="727" spans="11:12" x14ac:dyDescent="0.4">
      <c r="K727" s="40">
        <v>725</v>
      </c>
      <c r="L727" s="105">
        <v>-68.499999999999943</v>
      </c>
    </row>
    <row r="728" spans="11:12" x14ac:dyDescent="0.4">
      <c r="K728" s="40">
        <v>726</v>
      </c>
      <c r="L728" s="105">
        <v>46.300000000000054</v>
      </c>
    </row>
    <row r="729" spans="11:12" x14ac:dyDescent="0.4">
      <c r="K729" s="40">
        <v>727</v>
      </c>
      <c r="L729" s="105">
        <v>68.800000000000054</v>
      </c>
    </row>
    <row r="730" spans="11:12" x14ac:dyDescent="0.4">
      <c r="K730" s="40">
        <v>728</v>
      </c>
      <c r="L730" s="105">
        <v>8.300000000000054</v>
      </c>
    </row>
    <row r="731" spans="11:12" x14ac:dyDescent="0.4">
      <c r="K731" s="40">
        <v>729</v>
      </c>
      <c r="L731" s="105">
        <v>-30.099999999999948</v>
      </c>
    </row>
    <row r="732" spans="11:12" x14ac:dyDescent="0.4">
      <c r="K732" s="40">
        <v>730</v>
      </c>
      <c r="L732" s="105">
        <v>17.000000000000053</v>
      </c>
    </row>
    <row r="733" spans="11:12" x14ac:dyDescent="0.4">
      <c r="K733" s="40">
        <v>731</v>
      </c>
      <c r="L733" s="105">
        <v>-16.999999999999947</v>
      </c>
    </row>
    <row r="734" spans="11:12" x14ac:dyDescent="0.4">
      <c r="K734" s="40">
        <v>732</v>
      </c>
      <c r="L734" s="105">
        <v>-4.4999999999999467</v>
      </c>
    </row>
    <row r="735" spans="11:12" x14ac:dyDescent="0.4">
      <c r="K735" s="40">
        <v>733</v>
      </c>
      <c r="L735" s="105">
        <v>-78.999999999999943</v>
      </c>
    </row>
    <row r="736" spans="11:12" x14ac:dyDescent="0.4">
      <c r="K736" s="40">
        <v>734</v>
      </c>
      <c r="L736" s="105">
        <v>-33.999999999999943</v>
      </c>
    </row>
    <row r="737" spans="11:12" x14ac:dyDescent="0.4">
      <c r="K737" s="40">
        <v>735</v>
      </c>
      <c r="L737" s="105">
        <v>28.000000000000057</v>
      </c>
    </row>
    <row r="738" spans="11:12" x14ac:dyDescent="0.4">
      <c r="K738" s="40">
        <v>736</v>
      </c>
      <c r="L738" s="105">
        <v>15.600000000000058</v>
      </c>
    </row>
    <row r="739" spans="11:12" x14ac:dyDescent="0.4">
      <c r="K739" s="40">
        <v>737</v>
      </c>
      <c r="L739" s="105">
        <v>4.7000000000000579</v>
      </c>
    </row>
    <row r="740" spans="11:12" x14ac:dyDescent="0.4">
      <c r="K740" s="40">
        <v>738</v>
      </c>
      <c r="L740" s="105">
        <v>-14.999999999999943</v>
      </c>
    </row>
    <row r="741" spans="11:12" x14ac:dyDescent="0.4">
      <c r="K741" s="40">
        <v>739</v>
      </c>
      <c r="L741" s="105">
        <v>15.200000000000056</v>
      </c>
    </row>
    <row r="742" spans="11:12" x14ac:dyDescent="0.4">
      <c r="K742" s="40">
        <v>740</v>
      </c>
      <c r="L742" s="105">
        <v>53.300000000000061</v>
      </c>
    </row>
    <row r="743" spans="11:12" x14ac:dyDescent="0.4">
      <c r="K743" s="40">
        <v>741</v>
      </c>
      <c r="L743" s="105">
        <v>-39.199999999999946</v>
      </c>
    </row>
    <row r="744" spans="11:12" x14ac:dyDescent="0.4">
      <c r="K744" s="40">
        <v>742</v>
      </c>
      <c r="L744" s="105">
        <v>38.400000000000055</v>
      </c>
    </row>
    <row r="745" spans="11:12" x14ac:dyDescent="0.4">
      <c r="K745" s="40">
        <v>743</v>
      </c>
      <c r="L745" s="105">
        <v>65.70000000000006</v>
      </c>
    </row>
    <row r="746" spans="11:12" x14ac:dyDescent="0.4">
      <c r="K746" s="40">
        <v>744</v>
      </c>
      <c r="L746" s="105">
        <v>-51.199999999999946</v>
      </c>
    </row>
    <row r="747" spans="11:12" x14ac:dyDescent="0.4">
      <c r="K747" s="40">
        <v>745</v>
      </c>
      <c r="L747" s="105">
        <v>-85.79999999999994</v>
      </c>
    </row>
    <row r="748" spans="11:12" x14ac:dyDescent="0.4">
      <c r="K748" s="40">
        <v>746</v>
      </c>
      <c r="L748" s="105">
        <v>37.200000000000053</v>
      </c>
    </row>
    <row r="749" spans="11:12" x14ac:dyDescent="0.4">
      <c r="K749" s="40">
        <v>747</v>
      </c>
      <c r="L749" s="105">
        <v>-5.8999999999999453</v>
      </c>
    </row>
    <row r="750" spans="11:12" x14ac:dyDescent="0.4">
      <c r="K750" s="40">
        <v>748</v>
      </c>
      <c r="L750" s="105">
        <v>6.2000000000000544</v>
      </c>
    </row>
    <row r="751" spans="11:12" x14ac:dyDescent="0.4">
      <c r="K751" s="40">
        <v>749</v>
      </c>
      <c r="L751" s="105">
        <v>23.400000000000055</v>
      </c>
    </row>
    <row r="752" spans="11:12" x14ac:dyDescent="0.4">
      <c r="K752" s="40">
        <v>750</v>
      </c>
      <c r="L752" s="105">
        <v>-21.999999999999943</v>
      </c>
    </row>
    <row r="753" spans="11:12" x14ac:dyDescent="0.4">
      <c r="K753" s="40">
        <v>751</v>
      </c>
      <c r="L753" s="105">
        <v>-102.99999999999994</v>
      </c>
    </row>
    <row r="754" spans="11:12" x14ac:dyDescent="0.4">
      <c r="K754" s="40">
        <v>752</v>
      </c>
      <c r="L754" s="105">
        <v>-20.999999999999943</v>
      </c>
    </row>
    <row r="755" spans="11:12" x14ac:dyDescent="0.4">
      <c r="K755" s="40">
        <v>753</v>
      </c>
      <c r="L755" s="105">
        <v>27.500000000000057</v>
      </c>
    </row>
    <row r="756" spans="11:12" x14ac:dyDescent="0.4">
      <c r="K756" s="40">
        <v>754</v>
      </c>
      <c r="L756" s="105">
        <v>99.20000000000006</v>
      </c>
    </row>
    <row r="757" spans="11:12" x14ac:dyDescent="0.4">
      <c r="K757" s="40">
        <v>755</v>
      </c>
      <c r="L757" s="105">
        <v>16.300000000000061</v>
      </c>
    </row>
    <row r="758" spans="11:12" x14ac:dyDescent="0.4">
      <c r="K758" s="40">
        <v>756</v>
      </c>
      <c r="L758" s="105">
        <v>-41.699999999999946</v>
      </c>
    </row>
    <row r="759" spans="11:12" x14ac:dyDescent="0.4">
      <c r="K759" s="40">
        <v>757</v>
      </c>
      <c r="L759" s="105">
        <v>4.0000000000000568</v>
      </c>
    </row>
    <row r="760" spans="11:12" x14ac:dyDescent="0.4">
      <c r="K760" s="40">
        <v>758</v>
      </c>
      <c r="L760" s="105">
        <v>84.500000000000057</v>
      </c>
    </row>
    <row r="761" spans="11:12" x14ac:dyDescent="0.4">
      <c r="K761" s="40">
        <v>759</v>
      </c>
      <c r="L761" s="105">
        <v>-51.999999999999943</v>
      </c>
    </row>
    <row r="762" spans="11:12" x14ac:dyDescent="0.4">
      <c r="K762" s="40">
        <v>760</v>
      </c>
      <c r="L762" s="105">
        <v>-34.999999999999943</v>
      </c>
    </row>
    <row r="763" spans="11:12" x14ac:dyDescent="0.4">
      <c r="K763" s="40">
        <v>761</v>
      </c>
      <c r="L763" s="105">
        <v>-106.39999999999995</v>
      </c>
    </row>
    <row r="764" spans="11:12" x14ac:dyDescent="0.4">
      <c r="K764" s="40">
        <v>762</v>
      </c>
      <c r="L764" s="105">
        <v>53.20000000000006</v>
      </c>
    </row>
    <row r="765" spans="11:12" x14ac:dyDescent="0.4">
      <c r="K765" s="40">
        <v>763</v>
      </c>
      <c r="L765" s="105">
        <v>10.600000000000056</v>
      </c>
    </row>
    <row r="766" spans="11:12" x14ac:dyDescent="0.4">
      <c r="K766" s="40">
        <v>764</v>
      </c>
      <c r="L766" s="105">
        <v>20.800000000000058</v>
      </c>
    </row>
    <row r="767" spans="11:12" x14ac:dyDescent="0.4">
      <c r="K767" s="40">
        <v>765</v>
      </c>
      <c r="L767" s="105">
        <v>-21.799999999999944</v>
      </c>
    </row>
    <row r="768" spans="11:12" x14ac:dyDescent="0.4">
      <c r="K768" s="40">
        <v>766</v>
      </c>
      <c r="L768" s="105">
        <v>32.20000000000006</v>
      </c>
    </row>
    <row r="769" spans="11:12" x14ac:dyDescent="0.4">
      <c r="K769" s="40">
        <v>767</v>
      </c>
      <c r="L769" s="105">
        <v>9.6000000000000583</v>
      </c>
    </row>
    <row r="770" spans="11:12" x14ac:dyDescent="0.4">
      <c r="K770" s="40">
        <v>768</v>
      </c>
      <c r="L770" s="105">
        <v>-21.599999999999945</v>
      </c>
    </row>
    <row r="771" spans="11:12" x14ac:dyDescent="0.4">
      <c r="K771" s="40">
        <v>769</v>
      </c>
      <c r="L771" s="105">
        <v>7.4000000000000572</v>
      </c>
    </row>
    <row r="772" spans="11:12" x14ac:dyDescent="0.4">
      <c r="K772" s="40">
        <v>770</v>
      </c>
      <c r="L772" s="105">
        <v>10.200000000000056</v>
      </c>
    </row>
    <row r="773" spans="11:12" x14ac:dyDescent="0.4">
      <c r="K773" s="40">
        <v>771</v>
      </c>
      <c r="L773" s="105">
        <v>-15.699999999999942</v>
      </c>
    </row>
    <row r="774" spans="11:12" x14ac:dyDescent="0.4">
      <c r="K774" s="40">
        <v>772</v>
      </c>
      <c r="L774" s="105">
        <v>20.200000000000056</v>
      </c>
    </row>
    <row r="775" spans="11:12" x14ac:dyDescent="0.4">
      <c r="K775" s="40">
        <v>773</v>
      </c>
      <c r="L775" s="105">
        <v>9.2000000000000579</v>
      </c>
    </row>
    <row r="776" spans="11:12" x14ac:dyDescent="0.4">
      <c r="K776" s="40">
        <v>774</v>
      </c>
      <c r="L776" s="105">
        <v>-18.399999999999942</v>
      </c>
    </row>
    <row r="777" spans="11:12" x14ac:dyDescent="0.4">
      <c r="K777" s="40">
        <v>775</v>
      </c>
      <c r="L777" s="105">
        <v>3.0000000000000568</v>
      </c>
    </row>
    <row r="778" spans="11:12" x14ac:dyDescent="0.4">
      <c r="K778" s="40">
        <v>776</v>
      </c>
      <c r="L778" s="105">
        <v>-75.599999999999937</v>
      </c>
    </row>
    <row r="779" spans="11:12" x14ac:dyDescent="0.4">
      <c r="K779" s="40">
        <v>777</v>
      </c>
      <c r="L779" s="105">
        <v>28.300000000000054</v>
      </c>
    </row>
    <row r="780" spans="11:12" x14ac:dyDescent="0.4">
      <c r="K780" s="40">
        <v>778</v>
      </c>
      <c r="L780" s="105">
        <v>65.000000000000057</v>
      </c>
    </row>
    <row r="781" spans="11:12" x14ac:dyDescent="0.4">
      <c r="K781" s="40">
        <v>779</v>
      </c>
      <c r="L781" s="105">
        <v>-40.999999999999943</v>
      </c>
    </row>
    <row r="782" spans="11:12" x14ac:dyDescent="0.4">
      <c r="K782" s="40">
        <v>780</v>
      </c>
      <c r="L782" s="105">
        <v>-4.4999999999999432</v>
      </c>
    </row>
    <row r="783" spans="11:12" x14ac:dyDescent="0.4">
      <c r="K783" s="40">
        <v>781</v>
      </c>
      <c r="L783" s="105">
        <v>21.800000000000058</v>
      </c>
    </row>
    <row r="784" spans="11:12" x14ac:dyDescent="0.4">
      <c r="K784" s="40">
        <v>782</v>
      </c>
      <c r="L784" s="105">
        <v>26.400000000000055</v>
      </c>
    </row>
    <row r="785" spans="11:12" x14ac:dyDescent="0.4">
      <c r="K785" s="40">
        <v>783</v>
      </c>
      <c r="L785" s="105">
        <v>-27.399999999999942</v>
      </c>
    </row>
    <row r="786" spans="11:12" x14ac:dyDescent="0.4">
      <c r="K786" s="40">
        <v>784</v>
      </c>
      <c r="L786" s="105">
        <v>7.2000000000000561</v>
      </c>
    </row>
    <row r="787" spans="11:12" x14ac:dyDescent="0.4">
      <c r="K787" s="40">
        <v>785</v>
      </c>
      <c r="L787" s="105">
        <v>-9.4999999999999432</v>
      </c>
    </row>
    <row r="788" spans="11:12" x14ac:dyDescent="0.4">
      <c r="K788" s="40">
        <v>786</v>
      </c>
      <c r="L788" s="105">
        <v>-5.799999999999943</v>
      </c>
    </row>
    <row r="789" spans="11:12" x14ac:dyDescent="0.4">
      <c r="K789" s="40">
        <v>787</v>
      </c>
      <c r="L789" s="105">
        <v>128.40000000000006</v>
      </c>
    </row>
    <row r="790" spans="11:12" x14ac:dyDescent="0.4">
      <c r="K790" s="40">
        <v>788</v>
      </c>
      <c r="L790" s="105">
        <v>-56.099999999999937</v>
      </c>
    </row>
    <row r="791" spans="11:12" x14ac:dyDescent="0.4">
      <c r="K791" s="40">
        <v>789</v>
      </c>
      <c r="L791" s="105">
        <v>-12.799999999999939</v>
      </c>
    </row>
    <row r="792" spans="11:12" x14ac:dyDescent="0.4">
      <c r="K792" s="40">
        <v>790</v>
      </c>
      <c r="L792" s="105">
        <v>-81.199999999999932</v>
      </c>
    </row>
    <row r="793" spans="11:12" x14ac:dyDescent="0.4">
      <c r="K793" s="40">
        <v>791</v>
      </c>
      <c r="L793" s="105">
        <v>38.300000000000068</v>
      </c>
    </row>
    <row r="794" spans="11:12" x14ac:dyDescent="0.4">
      <c r="K794" s="40">
        <v>792</v>
      </c>
      <c r="L794" s="105">
        <v>-7.5999999999999339</v>
      </c>
    </row>
    <row r="795" spans="11:12" x14ac:dyDescent="0.4">
      <c r="K795" s="40">
        <v>793</v>
      </c>
      <c r="L795" s="105">
        <v>41.000000000000064</v>
      </c>
    </row>
    <row r="796" spans="11:12" x14ac:dyDescent="0.4">
      <c r="K796" s="40">
        <v>794</v>
      </c>
      <c r="L796" s="105">
        <v>1.0000000000000639</v>
      </c>
    </row>
    <row r="797" spans="11:12" x14ac:dyDescent="0.4">
      <c r="K797" s="40">
        <v>795</v>
      </c>
      <c r="L797" s="105">
        <v>-19.499999999999936</v>
      </c>
    </row>
    <row r="798" spans="11:12" x14ac:dyDescent="0.4">
      <c r="K798" s="40">
        <v>796</v>
      </c>
      <c r="L798" s="105">
        <v>14.000000000000064</v>
      </c>
    </row>
    <row r="799" spans="11:12" x14ac:dyDescent="0.4">
      <c r="K799" s="40">
        <v>797</v>
      </c>
      <c r="L799" s="105">
        <v>-18.099999999999937</v>
      </c>
    </row>
    <row r="800" spans="11:12" x14ac:dyDescent="0.4">
      <c r="K800" s="40">
        <v>798</v>
      </c>
      <c r="L800" s="105">
        <v>-3.1999999999999371</v>
      </c>
    </row>
    <row r="801" spans="11:12" x14ac:dyDescent="0.4">
      <c r="K801" s="40">
        <v>799</v>
      </c>
      <c r="L801" s="105">
        <v>5.0000000000000631</v>
      </c>
    </row>
    <row r="802" spans="11:12" x14ac:dyDescent="0.4">
      <c r="K802" s="40">
        <v>800</v>
      </c>
      <c r="L802" s="105">
        <v>1.400000000000063</v>
      </c>
    </row>
    <row r="803" spans="11:12" x14ac:dyDescent="0.4">
      <c r="K803" s="40">
        <v>801</v>
      </c>
      <c r="L803" s="105">
        <v>-10.699999999999937</v>
      </c>
    </row>
    <row r="804" spans="11:12" x14ac:dyDescent="0.4">
      <c r="K804" s="40">
        <v>802</v>
      </c>
      <c r="L804" s="105">
        <v>10.600000000000062</v>
      </c>
    </row>
    <row r="805" spans="11:12" x14ac:dyDescent="0.4">
      <c r="K805" s="40">
        <v>803</v>
      </c>
      <c r="L805" s="105">
        <v>-76.199999999999932</v>
      </c>
    </row>
    <row r="806" spans="11:12" x14ac:dyDescent="0.4">
      <c r="K806" s="40">
        <v>804</v>
      </c>
      <c r="L806" s="105">
        <v>26.70000000000006</v>
      </c>
    </row>
    <row r="807" spans="11:12" x14ac:dyDescent="0.4">
      <c r="K807" s="40">
        <v>805</v>
      </c>
      <c r="L807" s="105">
        <v>79.600000000000051</v>
      </c>
    </row>
    <row r="808" spans="11:12" x14ac:dyDescent="0.4">
      <c r="K808" s="40">
        <v>806</v>
      </c>
      <c r="L808" s="105">
        <v>-53.29999999999994</v>
      </c>
    </row>
    <row r="809" spans="11:12" x14ac:dyDescent="0.4">
      <c r="K809" s="40">
        <v>807</v>
      </c>
      <c r="L809" s="105">
        <v>-1.9999999999999432</v>
      </c>
    </row>
    <row r="810" spans="11:12" x14ac:dyDescent="0.4">
      <c r="K810" s="40">
        <v>808</v>
      </c>
      <c r="L810" s="105">
        <v>76.400000000000063</v>
      </c>
    </row>
    <row r="811" spans="11:12" x14ac:dyDescent="0.4">
      <c r="K811" s="40">
        <v>809</v>
      </c>
      <c r="L811" s="105">
        <v>-19.699999999999939</v>
      </c>
    </row>
    <row r="812" spans="11:12" x14ac:dyDescent="0.4">
      <c r="K812" s="40">
        <v>810</v>
      </c>
      <c r="L812" s="105">
        <v>-17.99999999999994</v>
      </c>
    </row>
    <row r="813" spans="11:12" x14ac:dyDescent="0.4">
      <c r="K813" s="40">
        <v>811</v>
      </c>
      <c r="L813" s="105">
        <v>-4.7999999999999403</v>
      </c>
    </row>
    <row r="814" spans="11:12" x14ac:dyDescent="0.4">
      <c r="K814" s="40">
        <v>812</v>
      </c>
      <c r="L814" s="105">
        <v>12.10000000000006</v>
      </c>
    </row>
    <row r="815" spans="11:12" x14ac:dyDescent="0.4">
      <c r="K815" s="40">
        <v>813</v>
      </c>
      <c r="L815" s="105">
        <v>-13.599999999999939</v>
      </c>
    </row>
    <row r="816" spans="11:12" x14ac:dyDescent="0.4">
      <c r="K816" s="40">
        <v>814</v>
      </c>
      <c r="L816" s="105">
        <v>19.400000000000059</v>
      </c>
    </row>
    <row r="817" spans="11:12" x14ac:dyDescent="0.4">
      <c r="K817" s="40">
        <v>815</v>
      </c>
      <c r="L817" s="105">
        <v>16.600000000000058</v>
      </c>
    </row>
    <row r="818" spans="11:12" x14ac:dyDescent="0.4">
      <c r="K818" s="40">
        <v>816</v>
      </c>
      <c r="L818" s="105">
        <v>-21.899999999999938</v>
      </c>
    </row>
    <row r="819" spans="11:12" x14ac:dyDescent="0.4">
      <c r="K819" s="40">
        <v>817</v>
      </c>
      <c r="L819" s="105">
        <v>14.00000000000006</v>
      </c>
    </row>
    <row r="820" spans="11:12" x14ac:dyDescent="0.4">
      <c r="K820" s="40">
        <v>818</v>
      </c>
      <c r="L820" s="105">
        <v>-16.699999999999939</v>
      </c>
    </row>
    <row r="821" spans="11:12" x14ac:dyDescent="0.4">
      <c r="K821" s="40">
        <v>819</v>
      </c>
      <c r="L821" s="105">
        <v>-3.8999999999999395</v>
      </c>
    </row>
    <row r="822" spans="11:12" x14ac:dyDescent="0.4">
      <c r="K822" s="40">
        <v>820</v>
      </c>
      <c r="L822" s="105">
        <v>49.400000000000063</v>
      </c>
    </row>
    <row r="823" spans="11:12" x14ac:dyDescent="0.4">
      <c r="K823" s="40">
        <v>821</v>
      </c>
      <c r="L823" s="105">
        <v>33.800000000000061</v>
      </c>
    </row>
    <row r="824" spans="11:12" x14ac:dyDescent="0.4">
      <c r="K824" s="40">
        <v>822</v>
      </c>
      <c r="L824" s="105">
        <v>-37.999999999999943</v>
      </c>
    </row>
    <row r="825" spans="11:12" x14ac:dyDescent="0.4">
      <c r="K825" s="40">
        <v>823</v>
      </c>
      <c r="L825" s="105">
        <v>-30.199999999999939</v>
      </c>
    </row>
    <row r="826" spans="11:12" x14ac:dyDescent="0.4">
      <c r="K826" s="40">
        <v>824</v>
      </c>
      <c r="L826" s="105">
        <v>22.600000000000065</v>
      </c>
    </row>
    <row r="827" spans="11:12" x14ac:dyDescent="0.4">
      <c r="K827" s="40">
        <v>825</v>
      </c>
      <c r="L827" s="105">
        <v>-12.499999999999936</v>
      </c>
    </row>
    <row r="828" spans="11:12" x14ac:dyDescent="0.4">
      <c r="K828" s="40">
        <v>826</v>
      </c>
      <c r="L828" s="105">
        <v>10.000000000000064</v>
      </c>
    </row>
    <row r="829" spans="11:12" x14ac:dyDescent="0.4">
      <c r="K829" s="40">
        <v>827</v>
      </c>
      <c r="L829" s="105">
        <v>-47.699999999999939</v>
      </c>
    </row>
    <row r="830" spans="11:12" x14ac:dyDescent="0.4">
      <c r="K830" s="40">
        <v>828</v>
      </c>
      <c r="L830" s="105">
        <v>12.600000000000065</v>
      </c>
    </row>
    <row r="831" spans="11:12" x14ac:dyDescent="0.4">
      <c r="K831" s="40">
        <v>829</v>
      </c>
      <c r="L831" s="105">
        <v>-40.199999999999939</v>
      </c>
    </row>
    <row r="832" spans="11:12" x14ac:dyDescent="0.4">
      <c r="K832" s="40">
        <v>830</v>
      </c>
      <c r="L832" s="105">
        <v>26.600000000000065</v>
      </c>
    </row>
    <row r="833" spans="11:12" x14ac:dyDescent="0.4">
      <c r="K833" s="40">
        <v>831</v>
      </c>
      <c r="L833" s="105">
        <v>-13.999999999999936</v>
      </c>
    </row>
    <row r="834" spans="11:12" x14ac:dyDescent="0.4">
      <c r="K834" s="40">
        <v>832</v>
      </c>
      <c r="L834" s="105">
        <v>9.6000000000000636</v>
      </c>
    </row>
    <row r="835" spans="11:12" x14ac:dyDescent="0.4">
      <c r="K835" s="40">
        <v>833</v>
      </c>
      <c r="L835" s="105">
        <v>-26.999999999999936</v>
      </c>
    </row>
    <row r="836" spans="11:12" x14ac:dyDescent="0.4">
      <c r="K836" s="40">
        <v>834</v>
      </c>
      <c r="L836" s="105">
        <v>0.60000000000006182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97EE2-DAD6-4699-8968-C5ED8D27EB53}">
  <sheetPr codeName="Sheet7"/>
  <dimension ref="A1:Q23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237</v>
      </c>
      <c r="C2" s="150"/>
      <c r="E2" s="64" t="s">
        <v>71</v>
      </c>
      <c r="F2" s="61" t="s">
        <v>25</v>
      </c>
      <c r="G2" s="48">
        <v>410</v>
      </c>
      <c r="H2" s="137">
        <f>IF(B$27=0,0,G2/B$27)</f>
        <v>0.85594989561586643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1406.0085836909871</v>
      </c>
      <c r="P2" s="124">
        <v>233</v>
      </c>
      <c r="Q2" s="108">
        <v>327600</v>
      </c>
    </row>
    <row r="3" spans="1:17" x14ac:dyDescent="0.4">
      <c r="A3" s="57" t="s">
        <v>8</v>
      </c>
      <c r="B3" s="155">
        <v>1794</v>
      </c>
      <c r="C3" s="156"/>
      <c r="E3" s="65" t="s">
        <v>69</v>
      </c>
      <c r="F3" s="62" t="s">
        <v>23</v>
      </c>
      <c r="G3" s="49">
        <v>340</v>
      </c>
      <c r="H3" s="138">
        <f>IF(B$27=0,0,G3/B$27)</f>
        <v>0.70981210855949894</v>
      </c>
      <c r="I3" s="100">
        <v>7</v>
      </c>
      <c r="K3" s="40">
        <v>1</v>
      </c>
      <c r="L3" s="105">
        <v>30</v>
      </c>
      <c r="N3" s="121" t="s">
        <v>148</v>
      </c>
      <c r="O3" s="128">
        <f t="shared" si="0"/>
        <v>419.11111111111109</v>
      </c>
      <c r="P3" s="125">
        <v>225</v>
      </c>
      <c r="Q3" s="109">
        <v>94300</v>
      </c>
    </row>
    <row r="4" spans="1:17" x14ac:dyDescent="0.4">
      <c r="A4" s="57" t="s">
        <v>6</v>
      </c>
      <c r="B4" s="157">
        <v>1591.9999999999998</v>
      </c>
      <c r="C4" s="158"/>
      <c r="E4" s="65" t="s">
        <v>67</v>
      </c>
      <c r="F4" s="62" t="s">
        <v>21</v>
      </c>
      <c r="G4" s="49">
        <v>259</v>
      </c>
      <c r="H4" s="138">
        <f>IF(B$27=0,0,G4/B$27)</f>
        <v>0.54070981210855951</v>
      </c>
      <c r="I4" s="100">
        <v>8</v>
      </c>
      <c r="K4" s="40">
        <v>2</v>
      </c>
      <c r="L4" s="105">
        <v>13</v>
      </c>
      <c r="N4" s="121" t="s">
        <v>149</v>
      </c>
      <c r="O4" s="128">
        <f t="shared" si="0"/>
        <v>1825.7142857142858</v>
      </c>
      <c r="P4" s="125">
        <v>210</v>
      </c>
      <c r="Q4" s="109">
        <v>383400</v>
      </c>
    </row>
    <row r="5" spans="1:17" x14ac:dyDescent="0.4">
      <c r="A5" s="57" t="s">
        <v>7</v>
      </c>
      <c r="B5" s="159">
        <f>IF(B$2=0,0,B$4/B$2)</f>
        <v>6.7172995780590705</v>
      </c>
      <c r="C5" s="160"/>
      <c r="E5" s="65" t="s">
        <v>76</v>
      </c>
      <c r="F5" s="62" t="s">
        <v>29</v>
      </c>
      <c r="G5" s="49">
        <v>253</v>
      </c>
      <c r="H5" s="138">
        <f>IF(B$27=0,0,G5/B$27)</f>
        <v>0.52818371607515657</v>
      </c>
      <c r="I5" s="100">
        <v>9</v>
      </c>
      <c r="K5" s="40">
        <v>3</v>
      </c>
      <c r="L5" s="105">
        <v>44.2</v>
      </c>
      <c r="N5" s="121" t="s">
        <v>150</v>
      </c>
      <c r="O5" s="128">
        <f t="shared" si="0"/>
        <v>1339.6825396825398</v>
      </c>
      <c r="P5" s="125">
        <v>189</v>
      </c>
      <c r="Q5" s="109">
        <v>253200</v>
      </c>
    </row>
    <row r="6" spans="1:17" x14ac:dyDescent="0.4">
      <c r="A6" s="57" t="s">
        <v>1</v>
      </c>
      <c r="B6" s="147">
        <f>IF(B$2=0,0,(B$7*1+B$8*2+B$9*3)/B$2)</f>
        <v>1.7637130801687764</v>
      </c>
      <c r="C6" s="148"/>
      <c r="E6" s="65" t="s">
        <v>72</v>
      </c>
      <c r="F6" s="62" t="s">
        <v>12</v>
      </c>
      <c r="G6" s="49">
        <v>136</v>
      </c>
      <c r="H6" s="138">
        <f>IF(B$27=0,0,G6/B$27)</f>
        <v>0.28392484342379959</v>
      </c>
      <c r="I6" s="100">
        <v>9</v>
      </c>
      <c r="K6" s="40">
        <v>4</v>
      </c>
      <c r="L6" s="105">
        <v>199.5</v>
      </c>
      <c r="N6" s="121" t="s">
        <v>151</v>
      </c>
      <c r="O6" s="128">
        <f t="shared" si="0"/>
        <v>1559.6385542168675</v>
      </c>
      <c r="P6" s="125">
        <v>166</v>
      </c>
      <c r="Q6" s="109">
        <v>258900</v>
      </c>
    </row>
    <row r="7" spans="1:17" x14ac:dyDescent="0.4">
      <c r="A7" s="57" t="s">
        <v>2</v>
      </c>
      <c r="B7" s="49">
        <v>105</v>
      </c>
      <c r="C7" s="41">
        <f>IF(B$2=0,0,B7/B$2)</f>
        <v>0.44303797468354428</v>
      </c>
      <c r="E7" s="65" t="s">
        <v>70</v>
      </c>
      <c r="F7" s="62" t="s">
        <v>24</v>
      </c>
      <c r="G7" s="49">
        <v>135</v>
      </c>
      <c r="H7" s="138">
        <f>IF(B$27=0,0,G7/B$27)</f>
        <v>0.28183716075156579</v>
      </c>
      <c r="I7" s="100">
        <v>8</v>
      </c>
      <c r="K7" s="40">
        <v>5</v>
      </c>
      <c r="L7" s="105">
        <v>177.3</v>
      </c>
      <c r="N7" s="122" t="s">
        <v>152</v>
      </c>
      <c r="O7" s="129">
        <f t="shared" si="0"/>
        <v>1793.984962406015</v>
      </c>
      <c r="P7" s="126">
        <v>133</v>
      </c>
      <c r="Q7" s="110">
        <v>238600</v>
      </c>
    </row>
    <row r="8" spans="1:17" x14ac:dyDescent="0.4">
      <c r="A8" s="57" t="s">
        <v>3</v>
      </c>
      <c r="B8" s="49">
        <v>83</v>
      </c>
      <c r="C8" s="41">
        <f>IF(B$2=0,0,B8/B$2)</f>
        <v>0.35021097046413502</v>
      </c>
      <c r="E8" s="65" t="s">
        <v>94</v>
      </c>
      <c r="F8" s="62" t="s">
        <v>47</v>
      </c>
      <c r="G8" s="49">
        <v>84</v>
      </c>
      <c r="H8" s="138">
        <f>IF(B$27=0,0,G8/B$27)</f>
        <v>0.17536534446764093</v>
      </c>
      <c r="I8" s="100">
        <v>4</v>
      </c>
      <c r="K8" s="40">
        <v>6</v>
      </c>
      <c r="L8" s="105">
        <v>49.800000000000011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0.20675105485232068</v>
      </c>
      <c r="E9" s="65" t="s">
        <v>73</v>
      </c>
      <c r="F9" s="62" t="s">
        <v>26</v>
      </c>
      <c r="G9" s="49">
        <v>76</v>
      </c>
      <c r="H9" s="138">
        <f>IF(B$27=0,0,G9/B$27)</f>
        <v>0.15866388308977036</v>
      </c>
      <c r="I9" s="100">
        <v>3</v>
      </c>
      <c r="K9" s="40">
        <v>7</v>
      </c>
      <c r="L9" s="105">
        <v>85.600000000000023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0.10126582278481013</v>
      </c>
      <c r="E10" s="65" t="s">
        <v>68</v>
      </c>
      <c r="F10" s="62" t="s">
        <v>22</v>
      </c>
      <c r="G10" s="49">
        <v>56</v>
      </c>
      <c r="H10" s="138">
        <f>IF(B$27=0,0,G10/B$27)</f>
        <v>0.11691022964509394</v>
      </c>
      <c r="I10" s="100">
        <v>7</v>
      </c>
      <c r="K10" s="40">
        <v>8</v>
      </c>
      <c r="L10" s="105">
        <v>19.700000000000017</v>
      </c>
      <c r="N10" s="120" t="s">
        <v>253</v>
      </c>
      <c r="O10" s="130">
        <f>IF(P10=0,0,Q10/P10)</f>
        <v>8.4333333333333353</v>
      </c>
      <c r="P10" s="124">
        <v>51</v>
      </c>
      <c r="Q10" s="112">
        <v>430.10000000000014</v>
      </c>
    </row>
    <row r="11" spans="1:17" x14ac:dyDescent="0.4">
      <c r="A11" s="58" t="s">
        <v>155</v>
      </c>
      <c r="B11" s="50">
        <v>45</v>
      </c>
      <c r="C11" s="42">
        <f>IF(B$2=0,0,B11/B$2)</f>
        <v>0.189873417721519</v>
      </c>
      <c r="E11" s="65" t="s">
        <v>74</v>
      </c>
      <c r="F11" s="62" t="s">
        <v>27</v>
      </c>
      <c r="G11" s="49">
        <v>41</v>
      </c>
      <c r="H11" s="138">
        <f>IF(B$27=0,0,G11/B$27)</f>
        <v>8.5594989561586635E-2</v>
      </c>
      <c r="I11" s="100">
        <v>8</v>
      </c>
      <c r="K11" s="40">
        <v>9</v>
      </c>
      <c r="L11" s="105">
        <v>-26.299999999999983</v>
      </c>
      <c r="N11" s="121" t="s">
        <v>254</v>
      </c>
      <c r="O11" s="131">
        <f>IF(P11=0,0,Q11/P11)</f>
        <v>5.6492957746478876</v>
      </c>
      <c r="P11" s="125">
        <v>71</v>
      </c>
      <c r="Q11" s="113">
        <v>401.1</v>
      </c>
    </row>
    <row r="12" spans="1:17" x14ac:dyDescent="0.4">
      <c r="A12" s="59" t="s">
        <v>239</v>
      </c>
      <c r="B12" s="51">
        <v>25</v>
      </c>
      <c r="C12" s="44">
        <f>IF(B$2=0,0,B12/B$2)</f>
        <v>0.10548523206751055</v>
      </c>
      <c r="E12" s="65" t="s">
        <v>75</v>
      </c>
      <c r="F12" s="62" t="s">
        <v>28</v>
      </c>
      <c r="G12" s="49">
        <v>32</v>
      </c>
      <c r="H12" s="138">
        <f>IF(B$27=0,0,G12/B$27)</f>
        <v>6.6805845511482248E-2</v>
      </c>
      <c r="I12" s="100">
        <v>2</v>
      </c>
      <c r="K12" s="40">
        <v>10</v>
      </c>
      <c r="L12" s="105">
        <v>-48.299999999999983</v>
      </c>
      <c r="N12" s="122" t="s">
        <v>255</v>
      </c>
      <c r="O12" s="132">
        <f>IF(P12=0,0,Q12/P12)</f>
        <v>6.5464285714285717</v>
      </c>
      <c r="P12" s="126">
        <v>112</v>
      </c>
      <c r="Q12" s="114">
        <v>733.2</v>
      </c>
    </row>
    <row r="13" spans="1:17" x14ac:dyDescent="0.4">
      <c r="A13" s="60" t="s">
        <v>128</v>
      </c>
      <c r="B13" s="52">
        <v>409</v>
      </c>
      <c r="C13" s="46">
        <f>IF(B$26=0,0,B13/B$26)</f>
        <v>0.30568011958146485</v>
      </c>
      <c r="E13" s="65" t="s">
        <v>91</v>
      </c>
      <c r="F13" s="62" t="s">
        <v>44</v>
      </c>
      <c r="G13" s="49">
        <v>29</v>
      </c>
      <c r="H13" s="138">
        <f>IF(B$27=0,0,G13/B$27)</f>
        <v>6.0542797494780795E-2</v>
      </c>
      <c r="I13" s="100">
        <v>9</v>
      </c>
      <c r="K13" s="40">
        <v>11</v>
      </c>
      <c r="L13" s="105">
        <v>19.800000000000018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274</v>
      </c>
      <c r="C14" s="41">
        <f>IF(B$26=0,0,B14/B$26)</f>
        <v>0.20478325859491778</v>
      </c>
      <c r="E14" s="65" t="s">
        <v>88</v>
      </c>
      <c r="F14" s="62" t="s">
        <v>41</v>
      </c>
      <c r="G14" s="49">
        <v>14</v>
      </c>
      <c r="H14" s="138">
        <f>IF(B$27=0,0,G14/B$27)</f>
        <v>2.9227557411273485E-2</v>
      </c>
      <c r="I14" s="100">
        <v>9</v>
      </c>
      <c r="K14" s="40">
        <v>12</v>
      </c>
      <c r="L14" s="105">
        <v>27.100000000000019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261</v>
      </c>
      <c r="C15" s="39">
        <f>IF(B$13=0,0,B15/B$13)</f>
        <v>0.63814180929095354</v>
      </c>
      <c r="E15" s="65" t="s">
        <v>86</v>
      </c>
      <c r="F15" s="62" t="s">
        <v>39</v>
      </c>
      <c r="G15" s="49">
        <v>10</v>
      </c>
      <c r="H15" s="138">
        <f>IF(B$27=0,0,G15/B$27)</f>
        <v>2.0876826722338204E-2</v>
      </c>
      <c r="I15" s="100">
        <v>8</v>
      </c>
      <c r="K15" s="40">
        <v>13</v>
      </c>
      <c r="L15" s="105">
        <v>128.30000000000001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134</v>
      </c>
      <c r="C16" s="39">
        <f>IF(B$14=0,0,B16/B$14)</f>
        <v>0.48905109489051096</v>
      </c>
      <c r="E16" s="65" t="s">
        <v>96</v>
      </c>
      <c r="F16" s="62" t="s">
        <v>49</v>
      </c>
      <c r="G16" s="49">
        <v>8</v>
      </c>
      <c r="H16" s="138">
        <f>IF(B$27=0,0,G16/B$27)</f>
        <v>1.6701461377870562E-2</v>
      </c>
      <c r="I16" s="100">
        <v>8</v>
      </c>
      <c r="K16" s="40">
        <v>14</v>
      </c>
      <c r="L16" s="105">
        <v>-16.699999999999989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635</v>
      </c>
      <c r="C17" s="39">
        <f>IF(B$3=0,0,B17/B$3)</f>
        <v>0.35395763656633222</v>
      </c>
      <c r="E17" s="65" t="s">
        <v>82</v>
      </c>
      <c r="F17" s="62" t="s">
        <v>35</v>
      </c>
      <c r="G17" s="49">
        <v>7</v>
      </c>
      <c r="H17" s="138">
        <f>IF(B$27=0,0,G17/B$27)</f>
        <v>1.4613778705636743E-2</v>
      </c>
      <c r="I17" s="100">
        <v>9</v>
      </c>
      <c r="K17" s="40">
        <v>15</v>
      </c>
      <c r="L17" s="105">
        <v>-46.699999999999989</v>
      </c>
      <c r="N17" s="121" t="s">
        <v>250</v>
      </c>
      <c r="O17" s="131">
        <f>IF(P17=0,0,Q17/P17)</f>
        <v>30.228571428571424</v>
      </c>
      <c r="P17" s="125">
        <v>7</v>
      </c>
      <c r="Q17" s="113">
        <v>211.59999999999997</v>
      </c>
    </row>
    <row r="18" spans="1:17" x14ac:dyDescent="0.4">
      <c r="A18" s="57" t="s">
        <v>12</v>
      </c>
      <c r="B18" s="49">
        <v>238</v>
      </c>
      <c r="C18" s="41">
        <f>IF(B$17=0,0,B18/B$17)</f>
        <v>0.37480314960629924</v>
      </c>
      <c r="E18" s="65" t="s">
        <v>83</v>
      </c>
      <c r="F18" s="62" t="s">
        <v>36</v>
      </c>
      <c r="G18" s="49">
        <v>5</v>
      </c>
      <c r="H18" s="138">
        <f>IF(B$27=0,0,G18/B$27)</f>
        <v>1.0438413361169102E-2</v>
      </c>
      <c r="I18" s="100">
        <v>9</v>
      </c>
      <c r="K18" s="40">
        <v>16</v>
      </c>
      <c r="L18" s="105">
        <v>-6.4999999999999893</v>
      </c>
      <c r="N18" s="121" t="s">
        <v>157</v>
      </c>
      <c r="O18" s="131">
        <f>IF(P18=0,0,Q18/P18)</f>
        <v>27.285714285714285</v>
      </c>
      <c r="P18" s="125">
        <v>21</v>
      </c>
      <c r="Q18" s="113">
        <v>573</v>
      </c>
    </row>
    <row r="19" spans="1:17" x14ac:dyDescent="0.4">
      <c r="A19" s="57" t="s">
        <v>11</v>
      </c>
      <c r="B19" s="49">
        <v>397</v>
      </c>
      <c r="C19" s="41">
        <f>IF(B$17=0,0,B19/B$17)</f>
        <v>0.62519685039370076</v>
      </c>
      <c r="E19" s="65" t="s">
        <v>79</v>
      </c>
      <c r="F19" s="62" t="s">
        <v>32</v>
      </c>
      <c r="G19" s="49">
        <v>4</v>
      </c>
      <c r="H19" s="138">
        <f>IF(B$27=0,0,G19/B$27)</f>
        <v>8.350730688935281E-3</v>
      </c>
      <c r="I19" s="100">
        <v>3</v>
      </c>
      <c r="K19" s="40">
        <v>17</v>
      </c>
      <c r="L19" s="105">
        <v>-50.899999999999984</v>
      </c>
      <c r="N19" s="121" t="s">
        <v>136</v>
      </c>
      <c r="O19" s="131">
        <f>IF(P19=0,0,Q19/P19)</f>
        <v>14.477966101694919</v>
      </c>
      <c r="P19" s="125">
        <v>59</v>
      </c>
      <c r="Q19" s="113">
        <v>854.20000000000027</v>
      </c>
    </row>
    <row r="20" spans="1:17" x14ac:dyDescent="0.4">
      <c r="A20" s="57" t="s">
        <v>13</v>
      </c>
      <c r="B20" s="49">
        <v>253</v>
      </c>
      <c r="C20" s="41">
        <f>IF(B$3=0,0,B20/B$3)</f>
        <v>0.14102564102564102</v>
      </c>
      <c r="E20" s="65" t="s">
        <v>81</v>
      </c>
      <c r="F20" s="62" t="s">
        <v>34</v>
      </c>
      <c r="G20" s="49">
        <v>4</v>
      </c>
      <c r="H20" s="138">
        <f>IF(B$27=0,0,G20/B$27)</f>
        <v>8.350730688935281E-3</v>
      </c>
      <c r="I20" s="100">
        <v>4</v>
      </c>
      <c r="K20" s="40">
        <v>18</v>
      </c>
      <c r="L20" s="105">
        <v>0.30000000000001492</v>
      </c>
      <c r="N20" s="121" t="s">
        <v>139</v>
      </c>
      <c r="O20" s="131">
        <f>IF(P20=0,0,Q20/P20)</f>
        <v>11.471717171717177</v>
      </c>
      <c r="P20" s="125">
        <v>99</v>
      </c>
      <c r="Q20" s="113">
        <v>1135.7000000000005</v>
      </c>
    </row>
    <row r="21" spans="1:17" x14ac:dyDescent="0.4">
      <c r="A21" s="57" t="s">
        <v>5</v>
      </c>
      <c r="B21" s="53">
        <f>IF(B$17=0,0,C21/B$17)</f>
        <v>9836.2204724409457</v>
      </c>
      <c r="C21" s="43">
        <v>6246000</v>
      </c>
      <c r="E21" s="65" t="s">
        <v>77</v>
      </c>
      <c r="F21" s="62" t="s">
        <v>30</v>
      </c>
      <c r="G21" s="49">
        <v>3</v>
      </c>
      <c r="H21" s="138">
        <f>IF(B$27=0,0,G21/B$27)</f>
        <v>6.2630480167014616E-3</v>
      </c>
      <c r="I21" s="100">
        <v>5</v>
      </c>
      <c r="K21" s="40">
        <v>19</v>
      </c>
      <c r="L21" s="105">
        <v>99.800000000000011</v>
      </c>
      <c r="N21" s="121" t="s">
        <v>138</v>
      </c>
      <c r="O21" s="131">
        <f>IF(P21=0,0,Q21/P21)</f>
        <v>9.1555555555555568</v>
      </c>
      <c r="P21" s="125">
        <v>27</v>
      </c>
      <c r="Q21" s="113">
        <v>247.20000000000005</v>
      </c>
    </row>
    <row r="22" spans="1:17" x14ac:dyDescent="0.4">
      <c r="A22" s="59" t="s">
        <v>14</v>
      </c>
      <c r="B22" s="54">
        <f>IF(B$20=0,0,C22/B$20)</f>
        <v>-9276.2845849802379</v>
      </c>
      <c r="C22" s="47">
        <v>-2346900</v>
      </c>
      <c r="E22" s="65" t="s">
        <v>97</v>
      </c>
      <c r="F22" s="62" t="s">
        <v>50</v>
      </c>
      <c r="G22" s="49">
        <v>3</v>
      </c>
      <c r="H22" s="138">
        <f>IF(B$27=0,0,G22/B$27)</f>
        <v>6.2630480167014616E-3</v>
      </c>
      <c r="I22" s="100">
        <v>4</v>
      </c>
      <c r="K22" s="40">
        <v>20</v>
      </c>
      <c r="L22" s="105">
        <v>95.000000000000014</v>
      </c>
      <c r="N22" s="121" t="s">
        <v>134</v>
      </c>
      <c r="O22" s="131">
        <f>IF(P22=0,0,Q22/P22)</f>
        <v>8.5636363636363591</v>
      </c>
      <c r="P22" s="125">
        <v>110</v>
      </c>
      <c r="Q22" s="113">
        <v>941.99999999999955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2</v>
      </c>
      <c r="H23" s="138">
        <f>IF(B$27=0,0,G23/B$27)</f>
        <v>4.1753653444676405E-3</v>
      </c>
      <c r="I23" s="100">
        <v>3</v>
      </c>
      <c r="K23" s="40">
        <v>21</v>
      </c>
      <c r="L23" s="105">
        <v>181.8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3">
        <v>120200</v>
      </c>
      <c r="C24" s="144"/>
      <c r="E24" s="65" t="s">
        <v>92</v>
      </c>
      <c r="F24" s="62" t="s">
        <v>45</v>
      </c>
      <c r="G24" s="49">
        <v>2</v>
      </c>
      <c r="H24" s="138">
        <f>IF(B$27=0,0,G24/B$27)</f>
        <v>4.1753653444676405E-3</v>
      </c>
      <c r="I24" s="100">
        <v>2</v>
      </c>
      <c r="K24" s="40">
        <v>22</v>
      </c>
      <c r="L24" s="105">
        <v>74.300000000000011</v>
      </c>
      <c r="N24" s="121" t="s">
        <v>137</v>
      </c>
      <c r="O24" s="131">
        <f>IF(P24=0,0,Q24/P24)</f>
        <v>3.7720430107526872</v>
      </c>
      <c r="P24" s="125">
        <v>93</v>
      </c>
      <c r="Q24" s="113">
        <v>350.7999999999999</v>
      </c>
    </row>
    <row r="25" spans="1:17" x14ac:dyDescent="0.4">
      <c r="A25" s="59" t="s">
        <v>159</v>
      </c>
      <c r="B25" s="67">
        <v>2</v>
      </c>
      <c r="C25" s="44">
        <f>IF(B$3=0,0,B25/B$3)</f>
        <v>1.1148272017837235E-3</v>
      </c>
      <c r="E25" s="65" t="s">
        <v>90</v>
      </c>
      <c r="F25" s="62" t="s">
        <v>43</v>
      </c>
      <c r="G25" s="49">
        <v>1</v>
      </c>
      <c r="H25" s="138">
        <f>IF(B$27=0,0,G25/B$27)</f>
        <v>2.0876826722338203E-3</v>
      </c>
      <c r="I25" s="100">
        <v>5</v>
      </c>
      <c r="K25" s="40">
        <v>23</v>
      </c>
      <c r="L25" s="105">
        <v>149.20000000000002</v>
      </c>
      <c r="N25" s="121" t="s">
        <v>135</v>
      </c>
      <c r="O25" s="131">
        <f>IF(P25=0,0,Q25/P25)</f>
        <v>0.85769230769230687</v>
      </c>
      <c r="P25" s="125">
        <v>52</v>
      </c>
      <c r="Q25" s="113">
        <v>44.599999999999959</v>
      </c>
    </row>
    <row r="26" spans="1:17" x14ac:dyDescent="0.4">
      <c r="A26" s="56" t="s">
        <v>126</v>
      </c>
      <c r="B26" s="149">
        <v>1338</v>
      </c>
      <c r="C26" s="150"/>
      <c r="E26" s="65" t="s">
        <v>95</v>
      </c>
      <c r="F26" s="62" t="s">
        <v>48</v>
      </c>
      <c r="G26" s="49">
        <v>1</v>
      </c>
      <c r="H26" s="138">
        <f>IF(B$27=0,0,G26/B$27)</f>
        <v>2.0876826722338203E-3</v>
      </c>
      <c r="I26" s="100">
        <v>2</v>
      </c>
      <c r="K26" s="40">
        <v>24</v>
      </c>
      <c r="L26" s="105">
        <v>111.50000000000001</v>
      </c>
    </row>
    <row r="27" spans="1:17" x14ac:dyDescent="0.4">
      <c r="A27" s="59" t="s">
        <v>127</v>
      </c>
      <c r="B27" s="151">
        <v>479</v>
      </c>
      <c r="C27" s="152"/>
      <c r="E27" s="65" t="s">
        <v>98</v>
      </c>
      <c r="F27" s="62" t="s">
        <v>51</v>
      </c>
      <c r="G27" s="49">
        <v>1</v>
      </c>
      <c r="H27" s="138">
        <f>IF(B$27=0,0,G27/B$27)</f>
        <v>2.0876826722338203E-3</v>
      </c>
      <c r="I27" s="100">
        <v>5</v>
      </c>
      <c r="K27" s="40">
        <v>25</v>
      </c>
      <c r="L27" s="105">
        <v>50.600000000000009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2.0876826722338203E-3</v>
      </c>
      <c r="I28" s="100">
        <v>1</v>
      </c>
      <c r="K28" s="40">
        <v>26</v>
      </c>
      <c r="L28" s="105">
        <v>132.10000000000002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2.0876826722338203E-3</v>
      </c>
      <c r="I29" s="100">
        <v>1</v>
      </c>
      <c r="K29" s="40">
        <v>27</v>
      </c>
      <c r="L29" s="105">
        <v>34.200000000000017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187.20000000000002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112.4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227.40000000000003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146.10000000000002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281.5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320.8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242.8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250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219.20000000000002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278.50000000000006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156.20000000000005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190.40000000000006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184.60000000000005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118.80000000000004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138.20000000000005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163.50000000000006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134.30000000000004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200.50000000000006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131.60000000000005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89.900000000000063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153.40000000000003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127.40000000000003</v>
      </c>
    </row>
    <row r="52" spans="5:12" x14ac:dyDescent="0.4">
      <c r="K52" s="40">
        <v>50</v>
      </c>
      <c r="L52" s="105">
        <v>157.90000000000006</v>
      </c>
    </row>
    <row r="53" spans="5:12" x14ac:dyDescent="0.4">
      <c r="K53" s="40">
        <v>51</v>
      </c>
      <c r="L53" s="105">
        <v>146.50000000000003</v>
      </c>
    </row>
    <row r="54" spans="5:12" x14ac:dyDescent="0.4">
      <c r="K54" s="40">
        <v>52</v>
      </c>
      <c r="L54" s="105">
        <v>132.40000000000006</v>
      </c>
    </row>
    <row r="55" spans="5:12" x14ac:dyDescent="0.4">
      <c r="K55" s="40">
        <v>53</v>
      </c>
      <c r="L55" s="105">
        <v>83.100000000000051</v>
      </c>
    </row>
    <row r="56" spans="5:12" x14ac:dyDescent="0.4">
      <c r="K56" s="40">
        <v>54</v>
      </c>
      <c r="L56" s="105">
        <v>144.50000000000006</v>
      </c>
    </row>
    <row r="57" spans="5:12" x14ac:dyDescent="0.4">
      <c r="K57" s="40">
        <v>55</v>
      </c>
      <c r="L57" s="105">
        <v>113.80000000000005</v>
      </c>
    </row>
    <row r="58" spans="5:12" x14ac:dyDescent="0.4">
      <c r="K58" s="40">
        <v>56</v>
      </c>
      <c r="L58" s="105">
        <v>184.00000000000006</v>
      </c>
    </row>
    <row r="59" spans="5:12" x14ac:dyDescent="0.4">
      <c r="K59" s="40">
        <v>57</v>
      </c>
      <c r="L59" s="105">
        <v>184.00000000000009</v>
      </c>
    </row>
    <row r="60" spans="5:12" x14ac:dyDescent="0.4">
      <c r="K60" s="40">
        <v>58</v>
      </c>
      <c r="L60" s="105">
        <v>282.20000000000005</v>
      </c>
    </row>
    <row r="61" spans="5:12" x14ac:dyDescent="0.4">
      <c r="K61" s="40">
        <v>59</v>
      </c>
      <c r="L61" s="105">
        <v>235.8000000000001</v>
      </c>
    </row>
    <row r="62" spans="5:12" x14ac:dyDescent="0.4">
      <c r="K62" s="40">
        <v>60</v>
      </c>
      <c r="L62" s="105">
        <v>138.3000000000001</v>
      </c>
    </row>
    <row r="63" spans="5:12" x14ac:dyDescent="0.4">
      <c r="K63" s="40">
        <v>61</v>
      </c>
      <c r="L63" s="105">
        <v>226.60000000000008</v>
      </c>
    </row>
    <row r="64" spans="5:12" x14ac:dyDescent="0.4">
      <c r="K64" s="40">
        <v>62</v>
      </c>
      <c r="L64" s="105">
        <v>73.500000000000085</v>
      </c>
    </row>
    <row r="65" spans="11:12" x14ac:dyDescent="0.4">
      <c r="K65" s="40">
        <v>63</v>
      </c>
      <c r="L65" s="105">
        <v>129.50000000000009</v>
      </c>
    </row>
    <row r="66" spans="11:12" x14ac:dyDescent="0.4">
      <c r="K66" s="40">
        <v>64</v>
      </c>
      <c r="L66" s="105">
        <v>136.50000000000009</v>
      </c>
    </row>
    <row r="67" spans="11:12" x14ac:dyDescent="0.4">
      <c r="K67" s="40">
        <v>65</v>
      </c>
      <c r="L67" s="105">
        <v>198.70000000000007</v>
      </c>
    </row>
    <row r="68" spans="11:12" x14ac:dyDescent="0.4">
      <c r="K68" s="40">
        <v>66</v>
      </c>
      <c r="L68" s="105">
        <v>129.10000000000008</v>
      </c>
    </row>
    <row r="69" spans="11:12" x14ac:dyDescent="0.4">
      <c r="K69" s="40">
        <v>67</v>
      </c>
      <c r="L69" s="105">
        <v>128.30000000000007</v>
      </c>
    </row>
    <row r="70" spans="11:12" x14ac:dyDescent="0.4">
      <c r="K70" s="40">
        <v>68</v>
      </c>
      <c r="L70" s="105">
        <v>140.00000000000009</v>
      </c>
    </row>
    <row r="71" spans="11:12" x14ac:dyDescent="0.4">
      <c r="K71" s="40">
        <v>69</v>
      </c>
      <c r="L71" s="105">
        <v>203.7000000000001</v>
      </c>
    </row>
    <row r="72" spans="11:12" x14ac:dyDescent="0.4">
      <c r="K72" s="40">
        <v>70</v>
      </c>
      <c r="L72" s="105">
        <v>228.2000000000001</v>
      </c>
    </row>
    <row r="73" spans="11:12" x14ac:dyDescent="0.4">
      <c r="K73" s="40">
        <v>71</v>
      </c>
      <c r="L73" s="105">
        <v>185.00000000000009</v>
      </c>
    </row>
    <row r="74" spans="11:12" x14ac:dyDescent="0.4">
      <c r="K74" s="40">
        <v>72</v>
      </c>
      <c r="L74" s="105">
        <v>229.00000000000011</v>
      </c>
    </row>
    <row r="75" spans="11:12" x14ac:dyDescent="0.4">
      <c r="K75" s="40">
        <v>73</v>
      </c>
      <c r="L75" s="105">
        <v>182.90000000000009</v>
      </c>
    </row>
    <row r="76" spans="11:12" x14ac:dyDescent="0.4">
      <c r="K76" s="40">
        <v>74</v>
      </c>
      <c r="L76" s="105">
        <v>276.80000000000007</v>
      </c>
    </row>
    <row r="77" spans="11:12" x14ac:dyDescent="0.4">
      <c r="K77" s="40">
        <v>75</v>
      </c>
      <c r="L77" s="105">
        <v>247.20000000000007</v>
      </c>
    </row>
    <row r="78" spans="11:12" x14ac:dyDescent="0.4">
      <c r="K78" s="40">
        <v>76</v>
      </c>
      <c r="L78" s="105">
        <v>214.60000000000011</v>
      </c>
    </row>
    <row r="79" spans="11:12" x14ac:dyDescent="0.4">
      <c r="K79" s="40">
        <v>77</v>
      </c>
      <c r="L79" s="105">
        <v>238.50000000000009</v>
      </c>
    </row>
    <row r="80" spans="11:12" x14ac:dyDescent="0.4">
      <c r="K80" s="40">
        <v>78</v>
      </c>
      <c r="L80" s="105">
        <v>297.20000000000005</v>
      </c>
    </row>
    <row r="81" spans="11:12" x14ac:dyDescent="0.4">
      <c r="K81" s="40">
        <v>79</v>
      </c>
      <c r="L81" s="105">
        <v>345.30000000000007</v>
      </c>
    </row>
    <row r="82" spans="11:12" x14ac:dyDescent="0.4">
      <c r="K82" s="40">
        <v>80</v>
      </c>
      <c r="L82" s="105">
        <v>350.30000000000007</v>
      </c>
    </row>
    <row r="83" spans="11:12" x14ac:dyDescent="0.4">
      <c r="K83" s="40">
        <v>81</v>
      </c>
      <c r="L83" s="105">
        <v>390.80000000000007</v>
      </c>
    </row>
    <row r="84" spans="11:12" x14ac:dyDescent="0.4">
      <c r="K84" s="40">
        <v>82</v>
      </c>
      <c r="L84" s="105">
        <v>478.90000000000009</v>
      </c>
    </row>
    <row r="85" spans="11:12" x14ac:dyDescent="0.4">
      <c r="K85" s="40">
        <v>83</v>
      </c>
      <c r="L85" s="105">
        <v>441.30000000000013</v>
      </c>
    </row>
    <row r="86" spans="11:12" x14ac:dyDescent="0.4">
      <c r="K86" s="40">
        <v>84</v>
      </c>
      <c r="L86" s="105">
        <v>433.40000000000015</v>
      </c>
    </row>
    <row r="87" spans="11:12" x14ac:dyDescent="0.4">
      <c r="K87" s="40">
        <v>85</v>
      </c>
      <c r="L87" s="105">
        <v>389.00000000000017</v>
      </c>
    </row>
    <row r="88" spans="11:12" x14ac:dyDescent="0.4">
      <c r="K88" s="40">
        <v>86</v>
      </c>
      <c r="L88" s="105">
        <v>417.40000000000015</v>
      </c>
    </row>
    <row r="89" spans="11:12" x14ac:dyDescent="0.4">
      <c r="K89" s="40">
        <v>87</v>
      </c>
      <c r="L89" s="105">
        <v>322.90000000000015</v>
      </c>
    </row>
    <row r="90" spans="11:12" x14ac:dyDescent="0.4">
      <c r="K90" s="40">
        <v>88</v>
      </c>
      <c r="L90" s="105">
        <v>367.2000000000001</v>
      </c>
    </row>
    <row r="91" spans="11:12" x14ac:dyDescent="0.4">
      <c r="K91" s="40">
        <v>89</v>
      </c>
      <c r="L91" s="105">
        <v>420.60000000000008</v>
      </c>
    </row>
    <row r="92" spans="11:12" x14ac:dyDescent="0.4">
      <c r="K92" s="40">
        <v>90</v>
      </c>
      <c r="L92" s="105">
        <v>413.60000000000008</v>
      </c>
    </row>
    <row r="93" spans="11:12" x14ac:dyDescent="0.4">
      <c r="K93" s="40">
        <v>91</v>
      </c>
      <c r="L93" s="105">
        <v>446.10000000000014</v>
      </c>
    </row>
    <row r="94" spans="11:12" x14ac:dyDescent="0.4">
      <c r="K94" s="40">
        <v>92</v>
      </c>
      <c r="L94" s="105">
        <v>511.20000000000016</v>
      </c>
    </row>
    <row r="95" spans="11:12" x14ac:dyDescent="0.4">
      <c r="K95" s="40">
        <v>93</v>
      </c>
      <c r="L95" s="105">
        <v>456.10000000000014</v>
      </c>
    </row>
    <row r="96" spans="11:12" x14ac:dyDescent="0.4">
      <c r="K96" s="40">
        <v>94</v>
      </c>
      <c r="L96" s="105">
        <v>387.10000000000014</v>
      </c>
    </row>
    <row r="97" spans="11:12" x14ac:dyDescent="0.4">
      <c r="K97" s="40">
        <v>95</v>
      </c>
      <c r="L97" s="105">
        <v>345.60000000000014</v>
      </c>
    </row>
    <row r="98" spans="11:12" x14ac:dyDescent="0.4">
      <c r="K98" s="40">
        <v>96</v>
      </c>
      <c r="L98" s="105">
        <v>407.30000000000018</v>
      </c>
    </row>
    <row r="99" spans="11:12" x14ac:dyDescent="0.4">
      <c r="K99" s="40">
        <v>97</v>
      </c>
      <c r="L99" s="105">
        <v>392.20000000000016</v>
      </c>
    </row>
    <row r="100" spans="11:12" x14ac:dyDescent="0.4">
      <c r="K100" s="40">
        <v>98</v>
      </c>
      <c r="L100" s="105">
        <v>481.20000000000016</v>
      </c>
    </row>
    <row r="101" spans="11:12" x14ac:dyDescent="0.4">
      <c r="K101" s="40">
        <v>99</v>
      </c>
      <c r="L101" s="105">
        <v>426.50000000000011</v>
      </c>
    </row>
    <row r="102" spans="11:12" x14ac:dyDescent="0.4">
      <c r="K102" s="40">
        <v>100</v>
      </c>
      <c r="L102" s="105">
        <v>417.30000000000018</v>
      </c>
    </row>
    <row r="103" spans="11:12" x14ac:dyDescent="0.4">
      <c r="K103" s="40">
        <v>101</v>
      </c>
      <c r="L103" s="105">
        <v>348.70000000000016</v>
      </c>
    </row>
    <row r="104" spans="11:12" x14ac:dyDescent="0.4">
      <c r="K104" s="40">
        <v>102</v>
      </c>
      <c r="L104" s="105">
        <v>349.10000000000014</v>
      </c>
    </row>
    <row r="105" spans="11:12" x14ac:dyDescent="0.4">
      <c r="K105" s="40">
        <v>103</v>
      </c>
      <c r="L105" s="105">
        <v>421.90000000000015</v>
      </c>
    </row>
    <row r="106" spans="11:12" x14ac:dyDescent="0.4">
      <c r="K106" s="40">
        <v>104</v>
      </c>
      <c r="L106" s="105">
        <v>484.10000000000019</v>
      </c>
    </row>
    <row r="107" spans="11:12" x14ac:dyDescent="0.4">
      <c r="K107" s="40">
        <v>105</v>
      </c>
      <c r="L107" s="105">
        <v>453.50000000000017</v>
      </c>
    </row>
    <row r="108" spans="11:12" x14ac:dyDescent="0.4">
      <c r="K108" s="40">
        <v>106</v>
      </c>
      <c r="L108" s="105">
        <v>423.90000000000015</v>
      </c>
    </row>
    <row r="109" spans="11:12" x14ac:dyDescent="0.4">
      <c r="K109" s="40">
        <v>107</v>
      </c>
      <c r="L109" s="105">
        <v>404.20000000000016</v>
      </c>
    </row>
    <row r="110" spans="11:12" x14ac:dyDescent="0.4">
      <c r="K110" s="40">
        <v>108</v>
      </c>
      <c r="L110" s="105">
        <v>381.10000000000014</v>
      </c>
    </row>
    <row r="111" spans="11:12" x14ac:dyDescent="0.4">
      <c r="K111" s="40">
        <v>109</v>
      </c>
      <c r="L111" s="105">
        <v>448.40000000000015</v>
      </c>
    </row>
    <row r="112" spans="11:12" x14ac:dyDescent="0.4">
      <c r="K112" s="40">
        <v>110</v>
      </c>
      <c r="L112" s="105">
        <v>463.40000000000015</v>
      </c>
    </row>
    <row r="113" spans="11:12" x14ac:dyDescent="0.4">
      <c r="K113" s="40">
        <v>111</v>
      </c>
      <c r="L113" s="105">
        <v>433.10000000000019</v>
      </c>
    </row>
    <row r="114" spans="11:12" x14ac:dyDescent="0.4">
      <c r="K114" s="40">
        <v>112</v>
      </c>
      <c r="L114" s="105">
        <v>550.50000000000023</v>
      </c>
    </row>
    <row r="115" spans="11:12" x14ac:dyDescent="0.4">
      <c r="K115" s="40">
        <v>113</v>
      </c>
      <c r="L115" s="105">
        <v>528.70000000000016</v>
      </c>
    </row>
    <row r="116" spans="11:12" x14ac:dyDescent="0.4">
      <c r="K116" s="40">
        <v>114</v>
      </c>
      <c r="L116" s="105">
        <v>435.60000000000019</v>
      </c>
    </row>
    <row r="117" spans="11:12" x14ac:dyDescent="0.4">
      <c r="K117" s="40">
        <v>115</v>
      </c>
      <c r="L117" s="105">
        <v>506.60000000000019</v>
      </c>
    </row>
    <row r="118" spans="11:12" x14ac:dyDescent="0.4">
      <c r="K118" s="40">
        <v>116</v>
      </c>
      <c r="L118" s="105">
        <v>520.70000000000016</v>
      </c>
    </row>
    <row r="119" spans="11:12" x14ac:dyDescent="0.4">
      <c r="K119" s="40">
        <v>117</v>
      </c>
      <c r="L119" s="105">
        <v>528.60000000000025</v>
      </c>
    </row>
    <row r="120" spans="11:12" x14ac:dyDescent="0.4">
      <c r="K120" s="40">
        <v>118</v>
      </c>
      <c r="L120" s="105">
        <v>550.80000000000018</v>
      </c>
    </row>
    <row r="121" spans="11:12" x14ac:dyDescent="0.4">
      <c r="K121" s="40">
        <v>119</v>
      </c>
      <c r="L121" s="105">
        <v>458.9000000000002</v>
      </c>
    </row>
    <row r="122" spans="11:12" x14ac:dyDescent="0.4">
      <c r="K122" s="40">
        <v>120</v>
      </c>
      <c r="L122" s="105">
        <v>573.4000000000002</v>
      </c>
    </row>
    <row r="123" spans="11:12" x14ac:dyDescent="0.4">
      <c r="K123" s="40">
        <v>121</v>
      </c>
      <c r="L123" s="105">
        <v>441.9000000000002</v>
      </c>
    </row>
    <row r="124" spans="11:12" x14ac:dyDescent="0.4">
      <c r="K124" s="40">
        <v>122</v>
      </c>
      <c r="L124" s="105">
        <v>514.80000000000018</v>
      </c>
    </row>
    <row r="125" spans="11:12" x14ac:dyDescent="0.4">
      <c r="K125" s="40">
        <v>123</v>
      </c>
      <c r="L125" s="105">
        <v>462.60000000000019</v>
      </c>
    </row>
    <row r="126" spans="11:12" x14ac:dyDescent="0.4">
      <c r="K126" s="40">
        <v>124</v>
      </c>
      <c r="L126" s="105">
        <v>564.9000000000002</v>
      </c>
    </row>
    <row r="127" spans="11:12" x14ac:dyDescent="0.4">
      <c r="K127" s="40">
        <v>125</v>
      </c>
      <c r="L127" s="105">
        <v>577.70000000000027</v>
      </c>
    </row>
    <row r="128" spans="11:12" x14ac:dyDescent="0.4">
      <c r="K128" s="40">
        <v>126</v>
      </c>
      <c r="L128" s="105">
        <v>567.60000000000025</v>
      </c>
    </row>
    <row r="129" spans="11:12" x14ac:dyDescent="0.4">
      <c r="K129" s="40">
        <v>127</v>
      </c>
      <c r="L129" s="105">
        <v>645.70000000000016</v>
      </c>
    </row>
    <row r="130" spans="11:12" x14ac:dyDescent="0.4">
      <c r="K130" s="40">
        <v>128</v>
      </c>
      <c r="L130" s="105">
        <v>654.4000000000002</v>
      </c>
    </row>
    <row r="131" spans="11:12" x14ac:dyDescent="0.4">
      <c r="K131" s="40">
        <v>129</v>
      </c>
      <c r="L131" s="105">
        <v>650.4000000000002</v>
      </c>
    </row>
    <row r="132" spans="11:12" x14ac:dyDescent="0.4">
      <c r="K132" s="40">
        <v>130</v>
      </c>
      <c r="L132" s="105">
        <v>721.4000000000002</v>
      </c>
    </row>
    <row r="133" spans="11:12" x14ac:dyDescent="0.4">
      <c r="K133" s="40">
        <v>131</v>
      </c>
      <c r="L133" s="105">
        <v>640.8000000000003</v>
      </c>
    </row>
    <row r="134" spans="11:12" x14ac:dyDescent="0.4">
      <c r="K134" s="40">
        <v>132</v>
      </c>
      <c r="L134" s="105">
        <v>735.8000000000003</v>
      </c>
    </row>
    <row r="135" spans="11:12" x14ac:dyDescent="0.4">
      <c r="K135" s="40">
        <v>133</v>
      </c>
      <c r="L135" s="105">
        <v>713.80000000000018</v>
      </c>
    </row>
    <row r="136" spans="11:12" x14ac:dyDescent="0.4">
      <c r="K136" s="40">
        <v>134</v>
      </c>
      <c r="L136" s="105">
        <v>842.20000000000027</v>
      </c>
    </row>
    <row r="137" spans="11:12" x14ac:dyDescent="0.4">
      <c r="K137" s="40">
        <v>135</v>
      </c>
      <c r="L137" s="105">
        <v>784.50000000000034</v>
      </c>
    </row>
    <row r="138" spans="11:12" x14ac:dyDescent="0.4">
      <c r="K138" s="40">
        <v>136</v>
      </c>
      <c r="L138" s="105">
        <v>811.70000000000039</v>
      </c>
    </row>
    <row r="139" spans="11:12" x14ac:dyDescent="0.4">
      <c r="K139" s="40">
        <v>137</v>
      </c>
      <c r="L139" s="105">
        <v>843.90000000000043</v>
      </c>
    </row>
    <row r="140" spans="11:12" x14ac:dyDescent="0.4">
      <c r="K140" s="40">
        <v>138</v>
      </c>
      <c r="L140" s="105">
        <v>860.90000000000043</v>
      </c>
    </row>
    <row r="141" spans="11:12" x14ac:dyDescent="0.4">
      <c r="K141" s="40">
        <v>139</v>
      </c>
      <c r="L141" s="105">
        <v>854.90000000000032</v>
      </c>
    </row>
    <row r="142" spans="11:12" x14ac:dyDescent="0.4">
      <c r="K142" s="40">
        <v>140</v>
      </c>
      <c r="L142" s="105">
        <v>857.20000000000027</v>
      </c>
    </row>
    <row r="143" spans="11:12" x14ac:dyDescent="0.4">
      <c r="K143" s="40">
        <v>141</v>
      </c>
      <c r="L143" s="105">
        <v>860.60000000000036</v>
      </c>
    </row>
    <row r="144" spans="11:12" x14ac:dyDescent="0.4">
      <c r="K144" s="40">
        <v>142</v>
      </c>
      <c r="L144" s="105">
        <v>832.50000000000034</v>
      </c>
    </row>
    <row r="145" spans="11:12" x14ac:dyDescent="0.4">
      <c r="K145" s="40">
        <v>143</v>
      </c>
      <c r="L145" s="105">
        <v>869.50000000000034</v>
      </c>
    </row>
    <row r="146" spans="11:12" x14ac:dyDescent="0.4">
      <c r="K146" s="40">
        <v>144</v>
      </c>
      <c r="L146" s="105">
        <v>831.20000000000039</v>
      </c>
    </row>
    <row r="147" spans="11:12" x14ac:dyDescent="0.4">
      <c r="K147" s="40">
        <v>145</v>
      </c>
      <c r="L147" s="105">
        <v>875.30000000000041</v>
      </c>
    </row>
    <row r="148" spans="11:12" x14ac:dyDescent="0.4">
      <c r="K148" s="40">
        <v>146</v>
      </c>
      <c r="L148" s="105">
        <v>890.90000000000043</v>
      </c>
    </row>
    <row r="149" spans="11:12" x14ac:dyDescent="0.4">
      <c r="K149" s="40">
        <v>147</v>
      </c>
      <c r="L149" s="105">
        <v>803.30000000000041</v>
      </c>
    </row>
    <row r="150" spans="11:12" x14ac:dyDescent="0.4">
      <c r="K150" s="40">
        <v>148</v>
      </c>
      <c r="L150" s="105">
        <v>780.10000000000036</v>
      </c>
    </row>
    <row r="151" spans="11:12" x14ac:dyDescent="0.4">
      <c r="K151" s="40">
        <v>149</v>
      </c>
      <c r="L151" s="105">
        <v>823.3000000000003</v>
      </c>
    </row>
    <row r="152" spans="11:12" x14ac:dyDescent="0.4">
      <c r="K152" s="40">
        <v>150</v>
      </c>
      <c r="L152" s="105">
        <v>788.50000000000034</v>
      </c>
    </row>
    <row r="153" spans="11:12" x14ac:dyDescent="0.4">
      <c r="K153" s="40">
        <v>151</v>
      </c>
      <c r="L153" s="105">
        <v>782.50000000000034</v>
      </c>
    </row>
    <row r="154" spans="11:12" x14ac:dyDescent="0.4">
      <c r="K154" s="40">
        <v>152</v>
      </c>
      <c r="L154" s="105">
        <v>881.70000000000039</v>
      </c>
    </row>
    <row r="155" spans="11:12" x14ac:dyDescent="0.4">
      <c r="K155" s="40">
        <v>153</v>
      </c>
      <c r="L155" s="105">
        <v>827.70000000000027</v>
      </c>
    </row>
    <row r="156" spans="11:12" x14ac:dyDescent="0.4">
      <c r="K156" s="40">
        <v>154</v>
      </c>
      <c r="L156" s="105">
        <v>861.20000000000027</v>
      </c>
    </row>
    <row r="157" spans="11:12" x14ac:dyDescent="0.4">
      <c r="K157" s="40">
        <v>155</v>
      </c>
      <c r="L157" s="105">
        <v>818.8000000000003</v>
      </c>
    </row>
    <row r="158" spans="11:12" x14ac:dyDescent="0.4">
      <c r="K158" s="40">
        <v>156</v>
      </c>
      <c r="L158" s="105">
        <v>847.00000000000034</v>
      </c>
    </row>
    <row r="159" spans="11:12" x14ac:dyDescent="0.4">
      <c r="K159" s="40">
        <v>157</v>
      </c>
      <c r="L159" s="105">
        <v>879.30000000000041</v>
      </c>
    </row>
    <row r="160" spans="11:12" x14ac:dyDescent="0.4">
      <c r="K160" s="40">
        <v>158</v>
      </c>
      <c r="L160" s="105">
        <v>907.20000000000027</v>
      </c>
    </row>
    <row r="161" spans="11:12" x14ac:dyDescent="0.4">
      <c r="K161" s="40">
        <v>159</v>
      </c>
      <c r="L161" s="105">
        <v>873.80000000000041</v>
      </c>
    </row>
    <row r="162" spans="11:12" x14ac:dyDescent="0.4">
      <c r="K162" s="40">
        <v>160</v>
      </c>
      <c r="L162" s="105">
        <v>943.60000000000036</v>
      </c>
    </row>
    <row r="163" spans="11:12" x14ac:dyDescent="0.4">
      <c r="K163" s="40">
        <v>161</v>
      </c>
      <c r="L163" s="105">
        <v>945.30000000000041</v>
      </c>
    </row>
    <row r="164" spans="11:12" x14ac:dyDescent="0.4">
      <c r="K164" s="40">
        <v>162</v>
      </c>
      <c r="L164" s="105">
        <v>952.8000000000003</v>
      </c>
    </row>
    <row r="165" spans="11:12" x14ac:dyDescent="0.4">
      <c r="K165" s="40">
        <v>163</v>
      </c>
      <c r="L165" s="105">
        <v>989.10000000000025</v>
      </c>
    </row>
    <row r="166" spans="11:12" x14ac:dyDescent="0.4">
      <c r="K166" s="40">
        <v>164</v>
      </c>
      <c r="L166" s="105">
        <v>940.4000000000002</v>
      </c>
    </row>
    <row r="167" spans="11:12" x14ac:dyDescent="0.4">
      <c r="K167" s="40">
        <v>165</v>
      </c>
      <c r="L167" s="105">
        <v>948.60000000000025</v>
      </c>
    </row>
    <row r="168" spans="11:12" x14ac:dyDescent="0.4">
      <c r="K168" s="40">
        <v>166</v>
      </c>
      <c r="L168" s="105">
        <v>869.4000000000002</v>
      </c>
    </row>
    <row r="169" spans="11:12" x14ac:dyDescent="0.4">
      <c r="K169" s="40">
        <v>167</v>
      </c>
      <c r="L169" s="105">
        <v>953.40000000000032</v>
      </c>
    </row>
    <row r="170" spans="11:12" x14ac:dyDescent="0.4">
      <c r="K170" s="40">
        <v>168</v>
      </c>
      <c r="L170" s="105">
        <v>1013.1000000000004</v>
      </c>
    </row>
    <row r="171" spans="11:12" x14ac:dyDescent="0.4">
      <c r="K171" s="40">
        <v>169</v>
      </c>
      <c r="L171" s="105">
        <v>988.40000000000032</v>
      </c>
    </row>
    <row r="172" spans="11:12" x14ac:dyDescent="0.4">
      <c r="K172" s="40">
        <v>170</v>
      </c>
      <c r="L172" s="105">
        <v>995.80000000000041</v>
      </c>
    </row>
    <row r="173" spans="11:12" x14ac:dyDescent="0.4">
      <c r="K173" s="40">
        <v>171</v>
      </c>
      <c r="L173" s="105">
        <v>850.10000000000036</v>
      </c>
    </row>
    <row r="174" spans="11:12" x14ac:dyDescent="0.4">
      <c r="K174" s="40">
        <v>172</v>
      </c>
      <c r="L174" s="105">
        <v>913.10000000000036</v>
      </c>
    </row>
    <row r="175" spans="11:12" x14ac:dyDescent="0.4">
      <c r="K175" s="40">
        <v>173</v>
      </c>
      <c r="L175" s="105">
        <v>910.90000000000032</v>
      </c>
    </row>
    <row r="176" spans="11:12" x14ac:dyDescent="0.4">
      <c r="K176" s="40">
        <v>174</v>
      </c>
      <c r="L176" s="105">
        <v>1031.5000000000005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931.50000000000034</v>
      </c>
    </row>
    <row r="179" spans="11:12" x14ac:dyDescent="0.4">
      <c r="K179" s="40">
        <v>177</v>
      </c>
      <c r="L179" s="105">
        <v>945.20000000000039</v>
      </c>
    </row>
    <row r="180" spans="11:12" x14ac:dyDescent="0.4">
      <c r="K180" s="40">
        <v>178</v>
      </c>
      <c r="L180" s="105">
        <v>1027.6000000000004</v>
      </c>
    </row>
    <row r="181" spans="11:12" x14ac:dyDescent="0.4">
      <c r="K181" s="40">
        <v>179</v>
      </c>
      <c r="L181" s="105">
        <v>1110.1000000000004</v>
      </c>
    </row>
    <row r="182" spans="11:12" x14ac:dyDescent="0.4">
      <c r="K182" s="40">
        <v>180</v>
      </c>
      <c r="L182" s="105">
        <v>1072.5000000000005</v>
      </c>
    </row>
    <row r="183" spans="11:12" x14ac:dyDescent="0.4">
      <c r="K183" s="40">
        <v>181</v>
      </c>
      <c r="L183" s="105">
        <v>1093.0000000000002</v>
      </c>
    </row>
    <row r="184" spans="11:12" x14ac:dyDescent="0.4">
      <c r="K184" s="40">
        <v>182</v>
      </c>
      <c r="L184" s="105">
        <v>1191.9000000000003</v>
      </c>
    </row>
    <row r="185" spans="11:12" x14ac:dyDescent="0.4">
      <c r="K185" s="40">
        <v>183</v>
      </c>
      <c r="L185" s="105">
        <v>1109.4000000000003</v>
      </c>
    </row>
    <row r="186" spans="11:12" x14ac:dyDescent="0.4">
      <c r="K186" s="40">
        <v>184</v>
      </c>
      <c r="L186" s="105">
        <v>1143.3000000000004</v>
      </c>
    </row>
    <row r="187" spans="11:12" x14ac:dyDescent="0.4">
      <c r="K187" s="40">
        <v>185</v>
      </c>
      <c r="L187" s="105">
        <v>1194.8000000000002</v>
      </c>
    </row>
    <row r="188" spans="11:12" x14ac:dyDescent="0.4">
      <c r="K188" s="40">
        <v>186</v>
      </c>
      <c r="L188" s="105">
        <v>1184.1000000000004</v>
      </c>
    </row>
    <row r="189" spans="11:12" x14ac:dyDescent="0.4">
      <c r="K189" s="40">
        <v>187</v>
      </c>
      <c r="L189" s="105">
        <v>1190.5000000000002</v>
      </c>
    </row>
    <row r="190" spans="11:12" x14ac:dyDescent="0.4">
      <c r="K190" s="40">
        <v>188</v>
      </c>
      <c r="L190" s="105">
        <v>1178.4000000000001</v>
      </c>
    </row>
    <row r="191" spans="11:12" x14ac:dyDescent="0.4">
      <c r="K191" s="40">
        <v>189</v>
      </c>
      <c r="L191" s="105">
        <v>1181.3000000000002</v>
      </c>
    </row>
    <row r="192" spans="11:12" x14ac:dyDescent="0.4">
      <c r="K192" s="40">
        <v>190</v>
      </c>
      <c r="L192" s="105">
        <v>1276.8000000000002</v>
      </c>
    </row>
    <row r="193" spans="11:12" x14ac:dyDescent="0.4">
      <c r="K193" s="40">
        <v>191</v>
      </c>
      <c r="L193" s="105">
        <v>1274.4000000000001</v>
      </c>
    </row>
    <row r="194" spans="11:12" x14ac:dyDescent="0.4">
      <c r="K194" s="40">
        <v>192</v>
      </c>
      <c r="L194" s="105">
        <v>1263.6000000000001</v>
      </c>
    </row>
    <row r="195" spans="11:12" x14ac:dyDescent="0.4">
      <c r="K195" s="40">
        <v>193</v>
      </c>
      <c r="L195" s="105">
        <v>1223.6000000000001</v>
      </c>
    </row>
    <row r="196" spans="11:12" x14ac:dyDescent="0.4">
      <c r="K196" s="40">
        <v>194</v>
      </c>
      <c r="L196" s="105">
        <v>1202.8</v>
      </c>
    </row>
    <row r="197" spans="11:12" x14ac:dyDescent="0.4">
      <c r="K197" s="40">
        <v>195</v>
      </c>
      <c r="L197" s="105">
        <v>1295.1000000000001</v>
      </c>
    </row>
    <row r="198" spans="11:12" x14ac:dyDescent="0.4">
      <c r="K198" s="40">
        <v>196</v>
      </c>
      <c r="L198" s="105">
        <v>1283.2000000000003</v>
      </c>
    </row>
    <row r="199" spans="11:12" x14ac:dyDescent="0.4">
      <c r="K199" s="40">
        <v>197</v>
      </c>
      <c r="L199" s="105">
        <v>1298.8000000000002</v>
      </c>
    </row>
    <row r="200" spans="11:12" x14ac:dyDescent="0.4">
      <c r="K200" s="40">
        <v>198</v>
      </c>
      <c r="L200" s="105">
        <v>1298.4000000000001</v>
      </c>
    </row>
    <row r="201" spans="11:12" x14ac:dyDescent="0.4">
      <c r="K201" s="40">
        <v>199</v>
      </c>
      <c r="L201" s="105">
        <v>1276.4000000000003</v>
      </c>
    </row>
    <row r="202" spans="11:12" x14ac:dyDescent="0.4">
      <c r="K202" s="40">
        <v>200</v>
      </c>
      <c r="L202" s="105">
        <v>1311.4000000000003</v>
      </c>
    </row>
    <row r="203" spans="11:12" x14ac:dyDescent="0.4">
      <c r="K203" s="40">
        <v>201</v>
      </c>
      <c r="L203" s="105">
        <v>1298.3000000000002</v>
      </c>
    </row>
    <row r="204" spans="11:12" x14ac:dyDescent="0.4">
      <c r="K204" s="40">
        <v>202</v>
      </c>
      <c r="L204" s="105">
        <v>1287.2</v>
      </c>
    </row>
    <row r="205" spans="11:12" x14ac:dyDescent="0.4">
      <c r="K205" s="40">
        <v>203</v>
      </c>
      <c r="L205" s="105">
        <v>1206.2</v>
      </c>
    </row>
    <row r="206" spans="11:12" x14ac:dyDescent="0.4">
      <c r="K206" s="40">
        <v>204</v>
      </c>
      <c r="L206" s="105">
        <v>1285.8000000000002</v>
      </c>
    </row>
    <row r="207" spans="11:12" x14ac:dyDescent="0.4">
      <c r="K207" s="40">
        <v>205</v>
      </c>
      <c r="L207" s="105">
        <v>1313.2</v>
      </c>
    </row>
    <row r="208" spans="11:12" x14ac:dyDescent="0.4">
      <c r="K208" s="40">
        <v>206</v>
      </c>
      <c r="L208" s="105">
        <v>1306.5999999999999</v>
      </c>
    </row>
    <row r="209" spans="11:12" x14ac:dyDescent="0.4">
      <c r="K209" s="40">
        <v>207</v>
      </c>
      <c r="L209" s="105">
        <v>1308.5</v>
      </c>
    </row>
    <row r="210" spans="11:12" x14ac:dyDescent="0.4">
      <c r="K210" s="40">
        <v>208</v>
      </c>
      <c r="L210" s="105">
        <v>1225.5</v>
      </c>
    </row>
    <row r="211" spans="11:12" x14ac:dyDescent="0.4">
      <c r="K211" s="40">
        <v>209</v>
      </c>
      <c r="L211" s="105">
        <v>1280.9000000000001</v>
      </c>
    </row>
    <row r="212" spans="11:12" x14ac:dyDescent="0.4">
      <c r="K212" s="40">
        <v>210</v>
      </c>
      <c r="L212" s="105">
        <v>1298.7</v>
      </c>
    </row>
    <row r="213" spans="11:12" x14ac:dyDescent="0.4">
      <c r="K213" s="40">
        <v>211</v>
      </c>
      <c r="L213" s="105">
        <v>1305.8999999999999</v>
      </c>
    </row>
    <row r="214" spans="11:12" x14ac:dyDescent="0.4">
      <c r="K214" s="40">
        <v>212</v>
      </c>
      <c r="L214" s="105">
        <v>1339.2</v>
      </c>
    </row>
    <row r="215" spans="11:12" x14ac:dyDescent="0.4">
      <c r="K215" s="40">
        <v>213</v>
      </c>
      <c r="L215" s="105">
        <v>1236.6999999999998</v>
      </c>
    </row>
    <row r="216" spans="11:12" x14ac:dyDescent="0.4">
      <c r="K216" s="40">
        <v>214</v>
      </c>
      <c r="L216" s="105">
        <v>1381.2999999999997</v>
      </c>
    </row>
    <row r="217" spans="11:12" x14ac:dyDescent="0.4">
      <c r="K217" s="40">
        <v>215</v>
      </c>
      <c r="L217" s="105">
        <v>1338.1999999999998</v>
      </c>
    </row>
    <row r="218" spans="11:12" x14ac:dyDescent="0.4">
      <c r="K218" s="40">
        <v>216</v>
      </c>
      <c r="L218" s="105">
        <v>1303.6999999999998</v>
      </c>
    </row>
    <row r="219" spans="11:12" x14ac:dyDescent="0.4">
      <c r="K219" s="40">
        <v>217</v>
      </c>
      <c r="L219" s="105">
        <v>1334.2999999999997</v>
      </c>
    </row>
    <row r="220" spans="11:12" x14ac:dyDescent="0.4">
      <c r="K220" s="40">
        <v>218</v>
      </c>
      <c r="L220" s="105">
        <v>1363.6999999999996</v>
      </c>
    </row>
    <row r="221" spans="11:12" x14ac:dyDescent="0.4">
      <c r="K221" s="40">
        <v>219</v>
      </c>
      <c r="L221" s="105">
        <v>1357.4999999999998</v>
      </c>
    </row>
    <row r="222" spans="11:12" x14ac:dyDescent="0.4">
      <c r="K222" s="40">
        <v>220</v>
      </c>
      <c r="L222" s="105">
        <v>1376.4999999999995</v>
      </c>
    </row>
    <row r="223" spans="11:12" x14ac:dyDescent="0.4">
      <c r="K223" s="40">
        <v>221</v>
      </c>
      <c r="L223" s="105">
        <v>1390.6999999999998</v>
      </c>
    </row>
    <row r="224" spans="11:12" x14ac:dyDescent="0.4">
      <c r="K224" s="40">
        <v>222</v>
      </c>
      <c r="L224" s="105">
        <v>1389.4999999999995</v>
      </c>
    </row>
    <row r="225" spans="11:12" x14ac:dyDescent="0.4">
      <c r="K225" s="40">
        <v>223</v>
      </c>
      <c r="L225" s="105">
        <v>1516.7999999999997</v>
      </c>
    </row>
    <row r="226" spans="11:12" x14ac:dyDescent="0.4">
      <c r="K226" s="40">
        <v>224</v>
      </c>
      <c r="L226" s="105">
        <v>1373.8999999999999</v>
      </c>
    </row>
    <row r="227" spans="11:12" x14ac:dyDescent="0.4">
      <c r="K227" s="40">
        <v>225</v>
      </c>
      <c r="L227" s="105">
        <v>1457.9999999999998</v>
      </c>
    </row>
    <row r="228" spans="11:12" x14ac:dyDescent="0.4">
      <c r="K228" s="40">
        <v>226</v>
      </c>
      <c r="L228" s="105">
        <v>1453.9999999999998</v>
      </c>
    </row>
    <row r="229" spans="11:12" x14ac:dyDescent="0.4">
      <c r="K229" s="40">
        <v>227</v>
      </c>
      <c r="L229" s="105">
        <v>1454.4999999999998</v>
      </c>
    </row>
    <row r="230" spans="11:12" x14ac:dyDescent="0.4">
      <c r="K230" s="40">
        <v>228</v>
      </c>
      <c r="L230" s="105">
        <v>1465.0999999999997</v>
      </c>
    </row>
    <row r="231" spans="11:12" x14ac:dyDescent="0.4">
      <c r="K231" s="40">
        <v>229</v>
      </c>
      <c r="L231" s="105">
        <v>1541.8999999999996</v>
      </c>
    </row>
    <row r="232" spans="11:12" x14ac:dyDescent="0.4">
      <c r="K232" s="40">
        <v>230</v>
      </c>
      <c r="L232" s="105">
        <v>1580.9999999999998</v>
      </c>
    </row>
    <row r="233" spans="11:12" x14ac:dyDescent="0.4">
      <c r="K233" s="40">
        <v>231</v>
      </c>
      <c r="L233" s="105">
        <v>1540.4999999999995</v>
      </c>
    </row>
    <row r="234" spans="11:12" x14ac:dyDescent="0.4">
      <c r="K234" s="40">
        <v>232</v>
      </c>
      <c r="L234" s="105">
        <v>1564.7999999999997</v>
      </c>
    </row>
    <row r="235" spans="11:12" x14ac:dyDescent="0.4">
      <c r="K235" s="40">
        <v>233</v>
      </c>
      <c r="L235" s="105">
        <v>1571.5999999999997</v>
      </c>
    </row>
    <row r="236" spans="11:12" x14ac:dyDescent="0.4">
      <c r="K236" s="40">
        <v>234</v>
      </c>
      <c r="L236" s="105">
        <v>1616.4999999999998</v>
      </c>
    </row>
    <row r="237" spans="11:12" x14ac:dyDescent="0.4">
      <c r="K237" s="40">
        <v>235</v>
      </c>
      <c r="L237" s="105">
        <v>1564.1</v>
      </c>
    </row>
    <row r="238" spans="11:12" x14ac:dyDescent="0.4">
      <c r="K238" s="40">
        <v>236</v>
      </c>
      <c r="L238" s="105">
        <v>1591.6999999999998</v>
      </c>
    </row>
    <row r="239" spans="11:12" x14ac:dyDescent="0.4">
      <c r="K239" s="40">
        <v>237</v>
      </c>
      <c r="L239" s="105">
        <v>1599.7999999999997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B825-C063-4E4B-84BE-809B249B6CA0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166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5">
        <v>25</v>
      </c>
      <c r="C3" s="156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-44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7">
        <v>-132.1</v>
      </c>
      <c r="C4" s="158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-98.8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9">
        <f>IF(B$2=0,0,B$4/B$2)</f>
        <v>-33.024999999999999</v>
      </c>
      <c r="C5" s="160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-110.8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7">
        <f>IF(B$2=0,0,(B$7*1+B$8*2+B$9*3)/B$2)</f>
        <v>3</v>
      </c>
      <c r="C6" s="148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-178.6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0</v>
      </c>
      <c r="C23" s="146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43">
        <v>13000</v>
      </c>
      <c r="C24" s="144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9">
        <v>0</v>
      </c>
      <c r="C26" s="150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1">
        <v>0</v>
      </c>
      <c r="C27" s="152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70771-94ED-4DE5-92F3-0D293F72EF7F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5">
        <v>24</v>
      </c>
      <c r="C3" s="156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14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7">
        <v>-15.5</v>
      </c>
      <c r="C4" s="158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-56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9">
        <f>IF(B$2=0,0,B$4/B$2)</f>
        <v>-3.875</v>
      </c>
      <c r="C5" s="160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-28.5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-4.5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3</v>
      </c>
      <c r="C23" s="14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46000</v>
      </c>
      <c r="C24" s="14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19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4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6EA1-D33A-47FD-B672-29214018D2A0}">
  <sheetPr codeName="Sheet13"/>
  <dimension ref="A1:Q13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134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132</v>
      </c>
      <c r="C2" s="150"/>
      <c r="E2" s="64" t="s">
        <v>71</v>
      </c>
      <c r="F2" s="61" t="s">
        <v>25</v>
      </c>
      <c r="G2" s="48">
        <v>160</v>
      </c>
      <c r="H2" s="137">
        <f>IF(B$27=0,0,G2/B$27)</f>
        <v>0.76923076923076927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-596.15384615384619</v>
      </c>
      <c r="P2" s="124">
        <v>130</v>
      </c>
      <c r="Q2" s="108">
        <v>-77500</v>
      </c>
    </row>
    <row r="3" spans="1:17" x14ac:dyDescent="0.4">
      <c r="A3" s="57" t="s">
        <v>8</v>
      </c>
      <c r="B3" s="155">
        <v>1027</v>
      </c>
      <c r="C3" s="156"/>
      <c r="E3" s="65" t="s">
        <v>69</v>
      </c>
      <c r="F3" s="62" t="s">
        <v>23</v>
      </c>
      <c r="G3" s="49">
        <v>146</v>
      </c>
      <c r="H3" s="138">
        <f>IF(B$27=0,0,G3/B$27)</f>
        <v>0.70192307692307687</v>
      </c>
      <c r="I3" s="100">
        <v>8</v>
      </c>
      <c r="K3" s="40">
        <v>1</v>
      </c>
      <c r="L3" s="105">
        <v>81.8</v>
      </c>
      <c r="N3" s="121" t="s">
        <v>148</v>
      </c>
      <c r="O3" s="128">
        <f t="shared" si="0"/>
        <v>-1070.6349206349207</v>
      </c>
      <c r="P3" s="125">
        <v>126</v>
      </c>
      <c r="Q3" s="109">
        <v>-134900</v>
      </c>
    </row>
    <row r="4" spans="1:17" x14ac:dyDescent="0.4">
      <c r="A4" s="57" t="s">
        <v>6</v>
      </c>
      <c r="B4" s="157">
        <v>-449.7</v>
      </c>
      <c r="C4" s="158"/>
      <c r="E4" s="65" t="s">
        <v>67</v>
      </c>
      <c r="F4" s="62" t="s">
        <v>21</v>
      </c>
      <c r="G4" s="49">
        <v>130</v>
      </c>
      <c r="H4" s="138">
        <f>IF(B$27=0,0,G4/B$27)</f>
        <v>0.625</v>
      </c>
      <c r="I4" s="100">
        <v>4</v>
      </c>
      <c r="K4" s="40">
        <v>2</v>
      </c>
      <c r="L4" s="105">
        <v>-42.699999999999996</v>
      </c>
      <c r="N4" s="121" t="s">
        <v>149</v>
      </c>
      <c r="O4" s="128">
        <f t="shared" si="0"/>
        <v>1286.8852459016393</v>
      </c>
      <c r="P4" s="125">
        <v>122</v>
      </c>
      <c r="Q4" s="109">
        <v>157000</v>
      </c>
    </row>
    <row r="5" spans="1:17" x14ac:dyDescent="0.4">
      <c r="A5" s="57" t="s">
        <v>7</v>
      </c>
      <c r="B5" s="159">
        <f>IF(B$2=0,0,B$4/B$2)</f>
        <v>-3.4068181818181817</v>
      </c>
      <c r="C5" s="160"/>
      <c r="E5" s="65" t="s">
        <v>76</v>
      </c>
      <c r="F5" s="62" t="s">
        <v>29</v>
      </c>
      <c r="G5" s="49">
        <v>105</v>
      </c>
      <c r="H5" s="138">
        <f>IF(B$27=0,0,G5/B$27)</f>
        <v>0.50480769230769229</v>
      </c>
      <c r="I5" s="100">
        <v>11</v>
      </c>
      <c r="K5" s="40">
        <v>3</v>
      </c>
      <c r="L5" s="105">
        <v>-71.900000000000006</v>
      </c>
      <c r="N5" s="121" t="s">
        <v>150</v>
      </c>
      <c r="O5" s="128">
        <f t="shared" si="0"/>
        <v>-1069.7247706422017</v>
      </c>
      <c r="P5" s="125">
        <v>109</v>
      </c>
      <c r="Q5" s="109">
        <v>-116600</v>
      </c>
    </row>
    <row r="6" spans="1:17" x14ac:dyDescent="0.4">
      <c r="A6" s="57" t="s">
        <v>1</v>
      </c>
      <c r="B6" s="147">
        <f>IF(B$2=0,0,(B$7*1+B$8*2+B$9*3)/B$2)</f>
        <v>2.0984848484848486</v>
      </c>
      <c r="C6" s="148"/>
      <c r="E6" s="65" t="s">
        <v>72</v>
      </c>
      <c r="F6" s="62" t="s">
        <v>12</v>
      </c>
      <c r="G6" s="49">
        <v>75</v>
      </c>
      <c r="H6" s="138">
        <f>IF(B$27=0,0,G6/B$27)</f>
        <v>0.36057692307692307</v>
      </c>
      <c r="I6" s="100">
        <v>2</v>
      </c>
      <c r="K6" s="40">
        <v>4</v>
      </c>
      <c r="L6" s="105">
        <v>43.6</v>
      </c>
      <c r="N6" s="121" t="s">
        <v>151</v>
      </c>
      <c r="O6" s="128">
        <f t="shared" si="0"/>
        <v>-1992.4731182795699</v>
      </c>
      <c r="P6" s="125">
        <v>93</v>
      </c>
      <c r="Q6" s="109">
        <v>-185300</v>
      </c>
    </row>
    <row r="7" spans="1:17" x14ac:dyDescent="0.4">
      <c r="A7" s="57" t="s">
        <v>2</v>
      </c>
      <c r="B7" s="49">
        <v>39</v>
      </c>
      <c r="C7" s="41">
        <f>IF(B$2=0,0,B7/B$2)</f>
        <v>0.29545454545454547</v>
      </c>
      <c r="E7" s="65" t="s">
        <v>70</v>
      </c>
      <c r="F7" s="62" t="s">
        <v>24</v>
      </c>
      <c r="G7" s="49">
        <v>66</v>
      </c>
      <c r="H7" s="138">
        <f>IF(B$27=0,0,G7/B$27)</f>
        <v>0.31730769230769229</v>
      </c>
      <c r="I7" s="100">
        <v>6</v>
      </c>
      <c r="K7" s="40">
        <v>5</v>
      </c>
      <c r="L7" s="105">
        <v>25.6</v>
      </c>
      <c r="N7" s="122" t="s">
        <v>152</v>
      </c>
      <c r="O7" s="129">
        <f t="shared" si="0"/>
        <v>-1786.3013698630136</v>
      </c>
      <c r="P7" s="126">
        <v>73</v>
      </c>
      <c r="Q7" s="110">
        <v>-130400</v>
      </c>
    </row>
    <row r="8" spans="1:17" x14ac:dyDescent="0.4">
      <c r="A8" s="57" t="s">
        <v>3</v>
      </c>
      <c r="B8" s="49">
        <v>41</v>
      </c>
      <c r="C8" s="41">
        <f>IF(B$2=0,0,B8/B$2)</f>
        <v>0.31060606060606061</v>
      </c>
      <c r="E8" s="65" t="s">
        <v>94</v>
      </c>
      <c r="F8" s="62" t="s">
        <v>47</v>
      </c>
      <c r="G8" s="49">
        <v>36</v>
      </c>
      <c r="H8" s="138">
        <f>IF(B$27=0,0,G8/B$27)</f>
        <v>0.17307692307692307</v>
      </c>
      <c r="I8" s="100">
        <v>5</v>
      </c>
      <c r="K8" s="40">
        <v>6</v>
      </c>
      <c r="L8" s="105">
        <v>80.599999999999994</v>
      </c>
      <c r="N8" s="45"/>
      <c r="O8" s="133"/>
      <c r="P8" s="117"/>
      <c r="Q8" s="115"/>
    </row>
    <row r="9" spans="1:17" x14ac:dyDescent="0.4">
      <c r="A9" s="58" t="s">
        <v>4</v>
      </c>
      <c r="B9" s="50">
        <v>52</v>
      </c>
      <c r="C9" s="42">
        <f t="shared" ref="C9" si="1">IF(B$2=0,0,B9/B$2)</f>
        <v>0.39393939393939392</v>
      </c>
      <c r="E9" s="65" t="s">
        <v>73</v>
      </c>
      <c r="F9" s="62" t="s">
        <v>26</v>
      </c>
      <c r="G9" s="49">
        <v>32</v>
      </c>
      <c r="H9" s="138">
        <f>IF(B$27=0,0,G9/B$27)</f>
        <v>0.15384615384615385</v>
      </c>
      <c r="I9" s="100">
        <v>6</v>
      </c>
      <c r="K9" s="40">
        <v>7</v>
      </c>
      <c r="L9" s="105">
        <v>152.6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0.18939393939393939</v>
      </c>
      <c r="E10" s="65" t="s">
        <v>68</v>
      </c>
      <c r="F10" s="62" t="s">
        <v>22</v>
      </c>
      <c r="G10" s="49">
        <v>30</v>
      </c>
      <c r="H10" s="138">
        <f>IF(B$27=0,0,G10/B$27)</f>
        <v>0.14423076923076922</v>
      </c>
      <c r="I10" s="100">
        <v>4</v>
      </c>
      <c r="K10" s="40">
        <v>8</v>
      </c>
      <c r="L10" s="105">
        <v>20.299999999999997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0.12878787878787878</v>
      </c>
      <c r="E11" s="65" t="s">
        <v>74</v>
      </c>
      <c r="F11" s="62" t="s">
        <v>27</v>
      </c>
      <c r="G11" s="49">
        <v>29</v>
      </c>
      <c r="H11" s="138">
        <f>IF(B$27=0,0,G11/B$27)</f>
        <v>0.13942307692307693</v>
      </c>
      <c r="I11" s="100">
        <v>3</v>
      </c>
      <c r="K11" s="40">
        <v>9</v>
      </c>
      <c r="L11" s="105">
        <v>-11.399999999999999</v>
      </c>
      <c r="N11" s="121" t="s">
        <v>254</v>
      </c>
      <c r="O11" s="131">
        <f>IF(P11=0,0,Q11/P11)</f>
        <v>-4.6448979591836732</v>
      </c>
      <c r="P11" s="125">
        <v>49</v>
      </c>
      <c r="Q11" s="113">
        <v>-227.59999999999997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7.575757575757576E-2</v>
      </c>
      <c r="E12" s="65" t="s">
        <v>91</v>
      </c>
      <c r="F12" s="62" t="s">
        <v>44</v>
      </c>
      <c r="G12" s="49">
        <v>20</v>
      </c>
      <c r="H12" s="138">
        <f>IF(B$27=0,0,G12/B$27)</f>
        <v>9.6153846153846159E-2</v>
      </c>
      <c r="I12" s="100">
        <v>4</v>
      </c>
      <c r="K12" s="40">
        <v>10</v>
      </c>
      <c r="L12" s="105">
        <v>-64.599999999999994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228</v>
      </c>
      <c r="C13" s="46">
        <f>IF(B$26=0,0,B13/B$26)</f>
        <v>0.29765013054830286</v>
      </c>
      <c r="E13" s="65" t="s">
        <v>88</v>
      </c>
      <c r="F13" s="62" t="s">
        <v>41</v>
      </c>
      <c r="G13" s="49">
        <v>16</v>
      </c>
      <c r="H13" s="138">
        <f>IF(B$27=0,0,G13/B$27)</f>
        <v>7.6923076923076927E-2</v>
      </c>
      <c r="I13" s="100">
        <v>5</v>
      </c>
      <c r="K13" s="40">
        <v>11</v>
      </c>
      <c r="L13" s="105">
        <v>12.899999999999999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0.17754569190600522</v>
      </c>
      <c r="E14" s="65" t="s">
        <v>86</v>
      </c>
      <c r="F14" s="62" t="s">
        <v>39</v>
      </c>
      <c r="G14" s="49">
        <v>10</v>
      </c>
      <c r="H14" s="138">
        <f>IF(B$27=0,0,G14/B$27)</f>
        <v>4.807692307692308E-2</v>
      </c>
      <c r="I14" s="100">
        <v>3</v>
      </c>
      <c r="K14" s="40">
        <v>12</v>
      </c>
      <c r="L14" s="105">
        <v>-20.400000000000002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132</v>
      </c>
      <c r="C15" s="39">
        <f>IF(B$13=0,0,B15/B$13)</f>
        <v>0.57894736842105265</v>
      </c>
      <c r="E15" s="65" t="s">
        <v>96</v>
      </c>
      <c r="F15" s="62" t="s">
        <v>49</v>
      </c>
      <c r="G15" s="49">
        <v>7</v>
      </c>
      <c r="H15" s="138">
        <f>IF(B$27=0,0,G15/B$27)</f>
        <v>3.3653846153846152E-2</v>
      </c>
      <c r="I15" s="100">
        <v>2</v>
      </c>
      <c r="K15" s="40">
        <v>13</v>
      </c>
      <c r="L15" s="105">
        <v>111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0.38235294117647056</v>
      </c>
      <c r="E16" s="65" t="s">
        <v>75</v>
      </c>
      <c r="F16" s="62" t="s">
        <v>28</v>
      </c>
      <c r="G16" s="49">
        <v>6</v>
      </c>
      <c r="H16" s="138">
        <f>IF(B$27=0,0,G16/B$27)</f>
        <v>2.8846153846153848E-2</v>
      </c>
      <c r="I16" s="100">
        <v>9</v>
      </c>
      <c r="K16" s="40">
        <v>14</v>
      </c>
      <c r="L16" s="105">
        <v>16.5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269</v>
      </c>
      <c r="C17" s="39">
        <f>IF(B$3=0,0,B17/B$3)</f>
        <v>0.26192794547224929</v>
      </c>
      <c r="E17" s="65" t="s">
        <v>82</v>
      </c>
      <c r="F17" s="62" t="s">
        <v>35</v>
      </c>
      <c r="G17" s="49">
        <v>5</v>
      </c>
      <c r="H17" s="138">
        <f>IF(B$27=0,0,G17/B$27)</f>
        <v>2.403846153846154E-2</v>
      </c>
      <c r="I17" s="100">
        <v>7</v>
      </c>
      <c r="K17" s="40">
        <v>15</v>
      </c>
      <c r="L17" s="105">
        <v>44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119</v>
      </c>
      <c r="C18" s="41">
        <f>IF(B$17=0,0,B18/B$17)</f>
        <v>0.44237918215613381</v>
      </c>
      <c r="E18" s="65" t="s">
        <v>83</v>
      </c>
      <c r="F18" s="62" t="s">
        <v>36</v>
      </c>
      <c r="G18" s="49">
        <v>3</v>
      </c>
      <c r="H18" s="138">
        <f>IF(B$27=0,0,G18/B$27)</f>
        <v>1.4423076923076924E-2</v>
      </c>
      <c r="I18" s="100">
        <v>7</v>
      </c>
      <c r="K18" s="40">
        <v>16</v>
      </c>
      <c r="L18" s="105">
        <v>-9.2999999999999972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0.55762081784386619</v>
      </c>
      <c r="E19" s="65" t="s">
        <v>89</v>
      </c>
      <c r="F19" s="62" t="s">
        <v>42</v>
      </c>
      <c r="G19" s="49">
        <v>2</v>
      </c>
      <c r="H19" s="138">
        <f>IF(B$27=0,0,G19/B$27)</f>
        <v>9.6153846153846159E-3</v>
      </c>
      <c r="I19" s="100">
        <v>1</v>
      </c>
      <c r="K19" s="40">
        <v>17</v>
      </c>
      <c r="L19" s="105">
        <v>13.200000000000003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198</v>
      </c>
      <c r="C20" s="41">
        <f>IF(B$3=0,0,B20/B$3)</f>
        <v>0.19279454722492698</v>
      </c>
      <c r="E20" s="65" t="s">
        <v>90</v>
      </c>
      <c r="F20" s="62" t="s">
        <v>43</v>
      </c>
      <c r="G20" s="49">
        <v>2</v>
      </c>
      <c r="H20" s="138">
        <f>IF(B$27=0,0,G20/B$27)</f>
        <v>9.6153846153846159E-3</v>
      </c>
      <c r="I20" s="100">
        <v>2</v>
      </c>
      <c r="K20" s="40">
        <v>18</v>
      </c>
      <c r="L20" s="105">
        <v>-57.899999999999991</v>
      </c>
      <c r="N20" s="121" t="s">
        <v>133</v>
      </c>
      <c r="O20" s="131">
        <f>IF(P20=0,0,Q20/P20)</f>
        <v>-8.5636363636363591</v>
      </c>
      <c r="P20" s="125">
        <v>110</v>
      </c>
      <c r="Q20" s="113">
        <v>-941.99999999999955</v>
      </c>
    </row>
    <row r="21" spans="1:17" x14ac:dyDescent="0.4">
      <c r="A21" s="57" t="s">
        <v>5</v>
      </c>
      <c r="B21" s="53">
        <f>IF(B$17=0,0,C21/B$17)</f>
        <v>11027.509293680298</v>
      </c>
      <c r="C21" s="43">
        <v>2966400</v>
      </c>
      <c r="E21" s="65" t="s">
        <v>97</v>
      </c>
      <c r="F21" s="62" t="s">
        <v>50</v>
      </c>
      <c r="G21" s="49">
        <v>2</v>
      </c>
      <c r="H21" s="138">
        <f>IF(B$27=0,0,G21/B$27)</f>
        <v>9.6153846153846159E-3</v>
      </c>
      <c r="I21" s="100">
        <v>3</v>
      </c>
      <c r="K21" s="40">
        <v>19</v>
      </c>
      <c r="L21" s="105">
        <v>-31.399999999999995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-9564.1414141414134</v>
      </c>
      <c r="C22" s="47">
        <v>-1893700</v>
      </c>
      <c r="E22" s="65" t="s">
        <v>77</v>
      </c>
      <c r="F22" s="62" t="s">
        <v>30</v>
      </c>
      <c r="G22" s="49">
        <v>1</v>
      </c>
      <c r="H22" s="138">
        <f>IF(B$27=0,0,G22/B$27)</f>
        <v>4.807692307692308E-3</v>
      </c>
      <c r="I22" s="100">
        <v>6</v>
      </c>
      <c r="K22" s="40">
        <v>20</v>
      </c>
      <c r="L22" s="105">
        <v>-89.1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1</v>
      </c>
      <c r="H23" s="138">
        <f>IF(B$27=0,0,G23/B$27)</f>
        <v>4.807692307692308E-3</v>
      </c>
      <c r="I23" s="100">
        <v>1</v>
      </c>
      <c r="K23" s="40">
        <v>21</v>
      </c>
      <c r="L23" s="105">
        <v>-107.49999999999999</v>
      </c>
      <c r="N23" s="121" t="s">
        <v>137</v>
      </c>
      <c r="O23" s="131">
        <f>IF(P23=0,0,Q23/P23)</f>
        <v>-15.705714285714285</v>
      </c>
      <c r="P23" s="125">
        <v>35</v>
      </c>
      <c r="Q23" s="113">
        <v>-549.69999999999993</v>
      </c>
    </row>
    <row r="24" spans="1:17" x14ac:dyDescent="0.4">
      <c r="A24" s="60" t="s">
        <v>199</v>
      </c>
      <c r="B24" s="143">
        <v>97700</v>
      </c>
      <c r="C24" s="144"/>
      <c r="E24" s="65" t="s">
        <v>85</v>
      </c>
      <c r="F24" s="62" t="s">
        <v>38</v>
      </c>
      <c r="G24" s="49">
        <v>1</v>
      </c>
      <c r="H24" s="138">
        <f>IF(B$27=0,0,G24/B$27)</f>
        <v>4.807692307692308E-3</v>
      </c>
      <c r="I24" s="100">
        <v>1</v>
      </c>
      <c r="K24" s="40">
        <v>22</v>
      </c>
      <c r="L24" s="105">
        <v>-106.5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3.8948393378773127E-3</v>
      </c>
      <c r="E25" s="65" t="s">
        <v>92</v>
      </c>
      <c r="F25" s="62" t="s">
        <v>45</v>
      </c>
      <c r="G25" s="49">
        <v>1</v>
      </c>
      <c r="H25" s="138">
        <f>IF(B$27=0,0,G25/B$27)</f>
        <v>4.807692307692308E-3</v>
      </c>
      <c r="I25" s="100">
        <v>1</v>
      </c>
      <c r="K25" s="40">
        <v>23</v>
      </c>
      <c r="L25" s="105">
        <v>-128</v>
      </c>
    </row>
    <row r="26" spans="1:17" x14ac:dyDescent="0.4">
      <c r="A26" s="56" t="s">
        <v>126</v>
      </c>
      <c r="B26" s="149">
        <v>766</v>
      </c>
      <c r="C26" s="150"/>
      <c r="E26" s="65" t="s">
        <v>93</v>
      </c>
      <c r="F26" s="62" t="s">
        <v>46</v>
      </c>
      <c r="G26" s="49">
        <v>1</v>
      </c>
      <c r="H26" s="138">
        <f>IF(B$27=0,0,G26/B$27)</f>
        <v>4.807692307692308E-3</v>
      </c>
      <c r="I26" s="100">
        <v>1</v>
      </c>
      <c r="K26" s="40">
        <v>24</v>
      </c>
      <c r="L26" s="105">
        <v>-24.899999999999991</v>
      </c>
    </row>
    <row r="27" spans="1:17" x14ac:dyDescent="0.4">
      <c r="A27" s="59" t="s">
        <v>127</v>
      </c>
      <c r="B27" s="151">
        <v>208</v>
      </c>
      <c r="C27" s="152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-73.699999999999989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-180.89999999999998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7</v>
      </c>
      <c r="K29" s="40">
        <v>27</v>
      </c>
      <c r="L29" s="105">
        <v>-201.3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-175.4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-157.10000000000002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-255.5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-310.39999999999998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-247.29999999999995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-216.2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-224.7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-278.79999999999995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-154.29999999999998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-294.29999999999995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-235.69999999999996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-246.69999999999996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-314.8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-360.49999999999994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-308.49999999999994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-255.29999999999995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-194.99999999999994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-272.69999999999993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-304.89999999999998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-248.59999999999997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-312.99999999999994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-277.19999999999993</v>
      </c>
    </row>
    <row r="52" spans="5:12" x14ac:dyDescent="0.4">
      <c r="K52" s="40">
        <v>50</v>
      </c>
      <c r="L52" s="105">
        <v>-291.2</v>
      </c>
    </row>
    <row r="53" spans="5:12" x14ac:dyDescent="0.4">
      <c r="K53" s="40">
        <v>51</v>
      </c>
      <c r="L53" s="105">
        <v>-252.09999999999997</v>
      </c>
    </row>
    <row r="54" spans="5:12" x14ac:dyDescent="0.4">
      <c r="K54" s="40">
        <v>52</v>
      </c>
      <c r="L54" s="105">
        <v>-346.59999999999997</v>
      </c>
    </row>
    <row r="55" spans="5:12" x14ac:dyDescent="0.4">
      <c r="K55" s="40">
        <v>53</v>
      </c>
      <c r="L55" s="105">
        <v>-364.89999999999992</v>
      </c>
    </row>
    <row r="56" spans="5:12" x14ac:dyDescent="0.4">
      <c r="K56" s="40">
        <v>54</v>
      </c>
      <c r="L56" s="105">
        <v>-421.2999999999999</v>
      </c>
    </row>
    <row r="57" spans="5:12" x14ac:dyDescent="0.4">
      <c r="K57" s="40">
        <v>55</v>
      </c>
      <c r="L57" s="105">
        <v>-349.69999999999987</v>
      </c>
    </row>
    <row r="58" spans="5:12" x14ac:dyDescent="0.4">
      <c r="K58" s="40">
        <v>56</v>
      </c>
      <c r="L58" s="105">
        <v>-268.2999999999999</v>
      </c>
    </row>
    <row r="59" spans="5:12" x14ac:dyDescent="0.4">
      <c r="K59" s="40">
        <v>57</v>
      </c>
      <c r="L59" s="105">
        <v>-308.69999999999987</v>
      </c>
    </row>
    <row r="60" spans="5:12" x14ac:dyDescent="0.4">
      <c r="K60" s="40">
        <v>58</v>
      </c>
      <c r="L60" s="105">
        <v>-196.69999999999987</v>
      </c>
    </row>
    <row r="61" spans="5:12" x14ac:dyDescent="0.4">
      <c r="K61" s="40">
        <v>59</v>
      </c>
      <c r="L61" s="105">
        <v>-155.59999999999988</v>
      </c>
    </row>
    <row r="62" spans="5:12" x14ac:dyDescent="0.4">
      <c r="K62" s="40">
        <v>60</v>
      </c>
      <c r="L62" s="105">
        <v>-224.09999999999988</v>
      </c>
    </row>
    <row r="63" spans="5:12" x14ac:dyDescent="0.4">
      <c r="K63" s="40">
        <v>61</v>
      </c>
      <c r="L63" s="105">
        <v>-209.1999999999999</v>
      </c>
    </row>
    <row r="64" spans="5:12" x14ac:dyDescent="0.4">
      <c r="K64" s="40">
        <v>62</v>
      </c>
      <c r="L64" s="105">
        <v>-289.89999999999986</v>
      </c>
    </row>
    <row r="65" spans="11:12" x14ac:dyDescent="0.4">
      <c r="K65" s="40">
        <v>63</v>
      </c>
      <c r="L65" s="105">
        <v>-331.09999999999991</v>
      </c>
    </row>
    <row r="66" spans="11:12" x14ac:dyDescent="0.4">
      <c r="K66" s="40">
        <v>64</v>
      </c>
      <c r="L66" s="105">
        <v>-422.99999999999989</v>
      </c>
    </row>
    <row r="67" spans="11:12" x14ac:dyDescent="0.4">
      <c r="K67" s="40">
        <v>65</v>
      </c>
      <c r="L67" s="105">
        <v>-405.19999999999993</v>
      </c>
    </row>
    <row r="68" spans="11:12" x14ac:dyDescent="0.4">
      <c r="K68" s="40">
        <v>66</v>
      </c>
      <c r="L68" s="105">
        <v>-375.89999999999986</v>
      </c>
    </row>
    <row r="69" spans="11:12" x14ac:dyDescent="0.4">
      <c r="K69" s="40">
        <v>67</v>
      </c>
      <c r="L69" s="105">
        <v>-363.89999999999986</v>
      </c>
    </row>
    <row r="70" spans="11:12" x14ac:dyDescent="0.4">
      <c r="K70" s="40">
        <v>68</v>
      </c>
      <c r="L70" s="105">
        <v>-443.39999999999992</v>
      </c>
    </row>
    <row r="71" spans="11:12" x14ac:dyDescent="0.4">
      <c r="K71" s="40">
        <v>69</v>
      </c>
      <c r="L71" s="105">
        <v>-417.69999999999987</v>
      </c>
    </row>
    <row r="72" spans="11:12" x14ac:dyDescent="0.4">
      <c r="K72" s="40">
        <v>70</v>
      </c>
      <c r="L72" s="105">
        <v>-346.49999999999989</v>
      </c>
    </row>
    <row r="73" spans="11:12" x14ac:dyDescent="0.4">
      <c r="K73" s="40">
        <v>71</v>
      </c>
      <c r="L73" s="105">
        <v>-369.09999999999991</v>
      </c>
    </row>
    <row r="74" spans="11:12" x14ac:dyDescent="0.4">
      <c r="K74" s="40">
        <v>72</v>
      </c>
      <c r="L74" s="105">
        <v>-445.2999999999999</v>
      </c>
    </row>
    <row r="75" spans="11:12" x14ac:dyDescent="0.4">
      <c r="K75" s="40">
        <v>73</v>
      </c>
      <c r="L75" s="105">
        <v>-377.39999999999992</v>
      </c>
    </row>
    <row r="76" spans="11:12" x14ac:dyDescent="0.4">
      <c r="K76" s="40">
        <v>74</v>
      </c>
      <c r="L76" s="105">
        <v>-405.39999999999986</v>
      </c>
    </row>
    <row r="77" spans="11:12" x14ac:dyDescent="0.4">
      <c r="K77" s="40">
        <v>75</v>
      </c>
      <c r="L77" s="105">
        <v>-439.89999999999986</v>
      </c>
    </row>
    <row r="78" spans="11:12" x14ac:dyDescent="0.4">
      <c r="K78" s="40">
        <v>76</v>
      </c>
      <c r="L78" s="105">
        <v>-319.69999999999987</v>
      </c>
    </row>
    <row r="79" spans="11:12" x14ac:dyDescent="0.4">
      <c r="K79" s="40">
        <v>77</v>
      </c>
      <c r="L79" s="105">
        <v>-393.89999999999992</v>
      </c>
    </row>
    <row r="80" spans="11:12" x14ac:dyDescent="0.4">
      <c r="K80" s="40">
        <v>78</v>
      </c>
      <c r="L80" s="105">
        <v>-350.19999999999987</v>
      </c>
    </row>
    <row r="81" spans="11:12" x14ac:dyDescent="0.4">
      <c r="K81" s="40">
        <v>79</v>
      </c>
      <c r="L81" s="105">
        <v>-401.99999999999989</v>
      </c>
    </row>
    <row r="82" spans="11:12" x14ac:dyDescent="0.4">
      <c r="K82" s="40">
        <v>80</v>
      </c>
      <c r="L82" s="105">
        <v>-397.59999999999991</v>
      </c>
    </row>
    <row r="83" spans="11:12" x14ac:dyDescent="0.4">
      <c r="K83" s="40">
        <v>81</v>
      </c>
      <c r="L83" s="105">
        <v>-367.19999999999987</v>
      </c>
    </row>
    <row r="84" spans="11:12" x14ac:dyDescent="0.4">
      <c r="K84" s="40">
        <v>82</v>
      </c>
      <c r="L84" s="105">
        <v>-418.19999999999993</v>
      </c>
    </row>
    <row r="85" spans="11:12" x14ac:dyDescent="0.4">
      <c r="K85" s="40">
        <v>83</v>
      </c>
      <c r="L85" s="105">
        <v>-396.19999999999993</v>
      </c>
    </row>
    <row r="86" spans="11:12" x14ac:dyDescent="0.4">
      <c r="K86" s="40">
        <v>84</v>
      </c>
      <c r="L86" s="105">
        <v>-346.39999999999992</v>
      </c>
    </row>
    <row r="87" spans="11:12" x14ac:dyDescent="0.4">
      <c r="K87" s="40">
        <v>85</v>
      </c>
      <c r="L87" s="105">
        <v>-447.89999999999992</v>
      </c>
    </row>
    <row r="88" spans="11:12" x14ac:dyDescent="0.4">
      <c r="K88" s="40">
        <v>86</v>
      </c>
      <c r="L88" s="105">
        <v>-362.89999999999992</v>
      </c>
    </row>
    <row r="89" spans="11:12" x14ac:dyDescent="0.4">
      <c r="K89" s="40">
        <v>87</v>
      </c>
      <c r="L89" s="105">
        <v>-334.99999999999994</v>
      </c>
    </row>
    <row r="90" spans="11:12" x14ac:dyDescent="0.4">
      <c r="K90" s="40">
        <v>88</v>
      </c>
      <c r="L90" s="105">
        <v>-394.29999999999995</v>
      </c>
    </row>
    <row r="91" spans="11:12" x14ac:dyDescent="0.4">
      <c r="K91" s="40">
        <v>89</v>
      </c>
      <c r="L91" s="105">
        <v>-443.09999999999997</v>
      </c>
    </row>
    <row r="92" spans="11:12" x14ac:dyDescent="0.4">
      <c r="K92" s="40">
        <v>90</v>
      </c>
      <c r="L92" s="105">
        <v>-401.29999999999995</v>
      </c>
    </row>
    <row r="93" spans="11:12" x14ac:dyDescent="0.4">
      <c r="K93" s="40">
        <v>91</v>
      </c>
      <c r="L93" s="105">
        <v>-384.79999999999995</v>
      </c>
    </row>
    <row r="94" spans="11:12" x14ac:dyDescent="0.4">
      <c r="K94" s="40">
        <v>92</v>
      </c>
      <c r="L94" s="105">
        <v>-335.69999999999993</v>
      </c>
    </row>
    <row r="95" spans="11:12" x14ac:dyDescent="0.4">
      <c r="K95" s="40">
        <v>93</v>
      </c>
      <c r="L95" s="105">
        <v>-438.49999999999994</v>
      </c>
    </row>
    <row r="96" spans="11:12" x14ac:dyDescent="0.4">
      <c r="K96" s="40">
        <v>94</v>
      </c>
      <c r="L96" s="105">
        <v>-343.2</v>
      </c>
    </row>
    <row r="97" spans="11:12" x14ac:dyDescent="0.4">
      <c r="K97" s="40">
        <v>95</v>
      </c>
      <c r="L97" s="105">
        <v>-426.2</v>
      </c>
    </row>
    <row r="98" spans="11:12" x14ac:dyDescent="0.4">
      <c r="K98" s="40">
        <v>96</v>
      </c>
      <c r="L98" s="105">
        <v>-362.6</v>
      </c>
    </row>
    <row r="99" spans="11:12" x14ac:dyDescent="0.4">
      <c r="K99" s="40">
        <v>97</v>
      </c>
      <c r="L99" s="105">
        <v>-406</v>
      </c>
    </row>
    <row r="100" spans="11:12" x14ac:dyDescent="0.4">
      <c r="K100" s="40">
        <v>98</v>
      </c>
      <c r="L100" s="105">
        <v>-272.5</v>
      </c>
    </row>
    <row r="101" spans="11:12" x14ac:dyDescent="0.4">
      <c r="K101" s="40">
        <v>99</v>
      </c>
      <c r="L101" s="105">
        <v>-392</v>
      </c>
    </row>
    <row r="102" spans="11:12" x14ac:dyDescent="0.4">
      <c r="K102" s="40">
        <v>100</v>
      </c>
      <c r="L102" s="105">
        <v>-390.29999999999995</v>
      </c>
    </row>
    <row r="103" spans="11:12" x14ac:dyDescent="0.4">
      <c r="K103" s="40">
        <v>101</v>
      </c>
      <c r="L103" s="105">
        <v>-373</v>
      </c>
    </row>
    <row r="104" spans="11:12" x14ac:dyDescent="0.4">
      <c r="K104" s="40">
        <v>102</v>
      </c>
      <c r="L104" s="105">
        <v>-428.09999999999997</v>
      </c>
    </row>
    <row r="105" spans="11:12" x14ac:dyDescent="0.4">
      <c r="K105" s="40">
        <v>103</v>
      </c>
      <c r="L105" s="105">
        <v>-452.4</v>
      </c>
    </row>
    <row r="106" spans="11:12" x14ac:dyDescent="0.4">
      <c r="K106" s="40">
        <v>104</v>
      </c>
      <c r="L106" s="105">
        <v>-445.9</v>
      </c>
    </row>
    <row r="107" spans="11:12" x14ac:dyDescent="0.4">
      <c r="K107" s="40">
        <v>105</v>
      </c>
      <c r="L107" s="105">
        <v>-414.79999999999995</v>
      </c>
    </row>
    <row r="108" spans="11:12" x14ac:dyDescent="0.4">
      <c r="K108" s="40">
        <v>106</v>
      </c>
      <c r="L108" s="105">
        <v>-451.39999999999992</v>
      </c>
    </row>
    <row r="109" spans="11:12" x14ac:dyDescent="0.4">
      <c r="K109" s="40">
        <v>107</v>
      </c>
      <c r="L109" s="105">
        <v>-428.7</v>
      </c>
    </row>
    <row r="110" spans="11:12" x14ac:dyDescent="0.4">
      <c r="K110" s="40">
        <v>108</v>
      </c>
      <c r="L110" s="105">
        <v>-420.39999999999992</v>
      </c>
    </row>
    <row r="111" spans="11:12" x14ac:dyDescent="0.4">
      <c r="K111" s="40">
        <v>109</v>
      </c>
      <c r="L111" s="105">
        <v>-498.7999999999999</v>
      </c>
    </row>
    <row r="112" spans="11:12" x14ac:dyDescent="0.4">
      <c r="K112" s="40">
        <v>110</v>
      </c>
      <c r="L112" s="105">
        <v>-509.69999999999987</v>
      </c>
    </row>
    <row r="113" spans="11:12" x14ac:dyDescent="0.4">
      <c r="K113" s="40">
        <v>111</v>
      </c>
      <c r="L113" s="105">
        <v>-450.49999999999994</v>
      </c>
    </row>
    <row r="114" spans="11:12" x14ac:dyDescent="0.4">
      <c r="K114" s="40">
        <v>112</v>
      </c>
      <c r="L114" s="105">
        <v>-426.99999999999994</v>
      </c>
    </row>
    <row r="115" spans="11:12" x14ac:dyDescent="0.4">
      <c r="K115" s="40">
        <v>113</v>
      </c>
      <c r="L115" s="105">
        <v>-322.29999999999995</v>
      </c>
    </row>
    <row r="116" spans="11:12" x14ac:dyDescent="0.4">
      <c r="K116" s="40">
        <v>114</v>
      </c>
      <c r="L116" s="105">
        <v>-360.39999999999992</v>
      </c>
    </row>
    <row r="117" spans="11:12" x14ac:dyDescent="0.4">
      <c r="K117" s="40">
        <v>115</v>
      </c>
      <c r="L117" s="105">
        <v>-403.69999999999993</v>
      </c>
    </row>
    <row r="118" spans="11:12" x14ac:dyDescent="0.4">
      <c r="K118" s="40">
        <v>116</v>
      </c>
      <c r="L118" s="105">
        <v>-379.79999999999995</v>
      </c>
    </row>
    <row r="119" spans="11:12" x14ac:dyDescent="0.4">
      <c r="K119" s="40">
        <v>117</v>
      </c>
      <c r="L119" s="105">
        <v>-364.7999999999999</v>
      </c>
    </row>
    <row r="120" spans="11:12" x14ac:dyDescent="0.4">
      <c r="K120" s="40">
        <v>118</v>
      </c>
      <c r="L120" s="105">
        <v>-374.19999999999987</v>
      </c>
    </row>
    <row r="121" spans="11:12" x14ac:dyDescent="0.4">
      <c r="K121" s="40">
        <v>119</v>
      </c>
      <c r="L121" s="105">
        <v>-415.2999999999999</v>
      </c>
    </row>
    <row r="122" spans="11:12" x14ac:dyDescent="0.4">
      <c r="K122" s="40">
        <v>120</v>
      </c>
      <c r="L122" s="105">
        <v>-472.99999999999994</v>
      </c>
    </row>
    <row r="123" spans="11:12" x14ac:dyDescent="0.4">
      <c r="K123" s="40">
        <v>121</v>
      </c>
      <c r="L123" s="105">
        <v>-360.09999999999997</v>
      </c>
    </row>
    <row r="124" spans="11:12" x14ac:dyDescent="0.4">
      <c r="K124" s="40">
        <v>122</v>
      </c>
      <c r="L124" s="105">
        <v>-419.99999999999994</v>
      </c>
    </row>
    <row r="125" spans="11:12" x14ac:dyDescent="0.4">
      <c r="K125" s="40">
        <v>123</v>
      </c>
      <c r="L125" s="105">
        <v>-494.89999999999992</v>
      </c>
    </row>
    <row r="126" spans="11:12" x14ac:dyDescent="0.4">
      <c r="K126" s="40">
        <v>124</v>
      </c>
      <c r="L126" s="105">
        <v>-433.69999999999993</v>
      </c>
    </row>
    <row r="127" spans="11:12" x14ac:dyDescent="0.4">
      <c r="K127" s="40">
        <v>125</v>
      </c>
      <c r="L127" s="105">
        <v>-446.69999999999993</v>
      </c>
    </row>
    <row r="128" spans="11:12" x14ac:dyDescent="0.4">
      <c r="K128" s="40">
        <v>126</v>
      </c>
      <c r="L128" s="105">
        <v>-378.09999999999991</v>
      </c>
    </row>
    <row r="129" spans="11:12" x14ac:dyDescent="0.4">
      <c r="K129" s="40">
        <v>127</v>
      </c>
      <c r="L129" s="105">
        <v>-410.39999999999992</v>
      </c>
    </row>
    <row r="130" spans="11:12" x14ac:dyDescent="0.4">
      <c r="K130" s="40">
        <v>128</v>
      </c>
      <c r="L130" s="105">
        <v>-421.49999999999994</v>
      </c>
    </row>
    <row r="131" spans="11:12" x14ac:dyDescent="0.4">
      <c r="K131" s="40">
        <v>129</v>
      </c>
      <c r="L131" s="105">
        <v>-431.79999999999995</v>
      </c>
    </row>
    <row r="132" spans="11:12" x14ac:dyDescent="0.4">
      <c r="K132" s="40">
        <v>130</v>
      </c>
      <c r="L132" s="105">
        <v>-429.2</v>
      </c>
    </row>
    <row r="133" spans="11:12" x14ac:dyDescent="0.4">
      <c r="K133" s="40">
        <v>131</v>
      </c>
      <c r="L133" s="105">
        <v>-455.59999999999997</v>
      </c>
    </row>
    <row r="134" spans="11:12" x14ac:dyDescent="0.4">
      <c r="K134" s="40">
        <v>132</v>
      </c>
      <c r="L134" s="105">
        <v>-458.3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1A9A-A558-4EEA-8BC5-B73F270DF0CC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135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61</v>
      </c>
      <c r="C2" s="150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55">
        <v>441</v>
      </c>
      <c r="C3" s="156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-79.8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57">
        <v>256.20000000000005</v>
      </c>
      <c r="C4" s="158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13.5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9">
        <f>IF(B$2=0,0,B$4/B$2)</f>
        <v>4.2000000000000011</v>
      </c>
      <c r="C5" s="160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-102.2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47">
        <f>IF(B$2=0,0,(B$7*1+B$8*2+B$9*3)/B$2)</f>
        <v>1.9180327868852458</v>
      </c>
      <c r="C6" s="148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8</v>
      </c>
      <c r="K6" s="40">
        <v>4</v>
      </c>
      <c r="L6" s="105">
        <v>-49.7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-37.700000000000003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4</v>
      </c>
      <c r="K8" s="40">
        <v>6</v>
      </c>
      <c r="L8" s="105">
        <v>-55.5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-44.6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-70.599999999999994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-96.7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11</v>
      </c>
      <c r="K12" s="40">
        <v>10</v>
      </c>
      <c r="L12" s="105">
        <v>-79.900000000000006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2</v>
      </c>
      <c r="K13" s="40">
        <v>11</v>
      </c>
      <c r="L13" s="105">
        <v>-98.9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41.900000000000006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-1.3000000000000007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8</v>
      </c>
      <c r="K16" s="40">
        <v>14</v>
      </c>
      <c r="L16" s="105">
        <v>89.6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73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24.799999999999997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-8.7000000000000028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-67.2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-9.7000000000000028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32.699999999999996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132.1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43">
        <v>118000</v>
      </c>
      <c r="C24" s="144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86.999999999999986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107.99999999999999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9">
        <v>203</v>
      </c>
      <c r="C26" s="150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5.3999999999999915</v>
      </c>
    </row>
    <row r="27" spans="1:17" x14ac:dyDescent="0.4">
      <c r="A27" s="59" t="s">
        <v>127</v>
      </c>
      <c r="B27" s="151">
        <v>66</v>
      </c>
      <c r="C27" s="152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68.299999999999983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224.79999999999998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183.79999999999998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186.6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235.3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192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175.3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221.9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286.39999999999998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224.4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142.9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283.10000000000002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265.60000000000002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214.40000000000003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233.40000000000003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239.20000000000002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232.10000000000002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276.5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320.90000000000003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270.5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216.90000000000003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177.10000000000002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171.20000000000005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235.50000000000006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208.10000000000002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368.3</v>
      </c>
    </row>
    <row r="54" spans="5:12" x14ac:dyDescent="0.4">
      <c r="K54" s="40">
        <v>52</v>
      </c>
      <c r="L54" s="105">
        <v>342.6</v>
      </c>
    </row>
    <row r="55" spans="5:12" x14ac:dyDescent="0.4">
      <c r="K55" s="40">
        <v>53</v>
      </c>
      <c r="L55" s="105">
        <v>215.10000000000002</v>
      </c>
    </row>
    <row r="56" spans="5:12" x14ac:dyDescent="0.4">
      <c r="K56" s="40">
        <v>54</v>
      </c>
      <c r="L56" s="105">
        <v>235.40000000000003</v>
      </c>
    </row>
    <row r="57" spans="5:12" x14ac:dyDescent="0.4">
      <c r="K57" s="40">
        <v>55</v>
      </c>
      <c r="L57" s="105">
        <v>282.3</v>
      </c>
    </row>
    <row r="58" spans="5:12" x14ac:dyDescent="0.4">
      <c r="K58" s="40">
        <v>56</v>
      </c>
      <c r="L58" s="105">
        <v>275.2</v>
      </c>
    </row>
    <row r="59" spans="5:12" x14ac:dyDescent="0.4">
      <c r="K59" s="40">
        <v>57</v>
      </c>
      <c r="L59" s="105">
        <v>243.8</v>
      </c>
    </row>
    <row r="60" spans="5:12" x14ac:dyDescent="0.4">
      <c r="K60" s="40">
        <v>58</v>
      </c>
      <c r="L60" s="105">
        <v>323.3</v>
      </c>
    </row>
    <row r="61" spans="5:12" x14ac:dyDescent="0.4">
      <c r="K61" s="40">
        <v>59</v>
      </c>
      <c r="L61" s="105">
        <v>270.3</v>
      </c>
    </row>
    <row r="62" spans="5:12" x14ac:dyDescent="0.4">
      <c r="K62" s="40">
        <v>60</v>
      </c>
      <c r="L62" s="105">
        <v>258.90000000000003</v>
      </c>
    </row>
    <row r="63" spans="5:12" x14ac:dyDescent="0.4">
      <c r="K63" s="40">
        <v>61</v>
      </c>
      <c r="L63" s="105">
        <v>242.80000000000004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2E5CA-D701-41B0-A0E5-7E3BC10C1FD7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171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5</v>
      </c>
      <c r="C2" s="150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5">
        <v>37</v>
      </c>
      <c r="C3" s="156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-81.400000000000006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7">
        <v>-86.4</v>
      </c>
      <c r="C4" s="158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-122.7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9">
        <f>IF(B$2=0,0,B$4/B$2)</f>
        <v>-17.28</v>
      </c>
      <c r="C5" s="160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13</v>
      </c>
      <c r="K5" s="40">
        <v>3</v>
      </c>
      <c r="L5" s="105">
        <v>-96.100000000000009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7">
        <f>IF(B$2=0,0,(B$7*1+B$8*2+B$9*3)/B$2)</f>
        <v>2.2000000000000002</v>
      </c>
      <c r="C6" s="148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-129.5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-63.600000000000009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3</v>
      </c>
      <c r="C23" s="146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57800</v>
      </c>
      <c r="C24" s="144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9">
        <v>31</v>
      </c>
      <c r="C26" s="150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1">
        <v>9</v>
      </c>
      <c r="C27" s="152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308D-71C8-446B-B1B0-7DE64A8132F3}">
  <sheetPr codeName="Sheet19"/>
  <dimension ref="A1:Q7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136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73</v>
      </c>
      <c r="C2" s="150"/>
      <c r="E2" s="64" t="s">
        <v>71</v>
      </c>
      <c r="F2" s="61" t="s">
        <v>25</v>
      </c>
      <c r="G2" s="48">
        <v>89</v>
      </c>
      <c r="H2" s="137">
        <f>IF(B$27=0,0,G2/B$27)</f>
        <v>0.89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-1404.1095890410959</v>
      </c>
      <c r="P2" s="124">
        <v>73</v>
      </c>
      <c r="Q2" s="108">
        <v>-102500</v>
      </c>
    </row>
    <row r="3" spans="1:17" x14ac:dyDescent="0.4">
      <c r="A3" s="57" t="s">
        <v>8</v>
      </c>
      <c r="B3" s="155">
        <v>566</v>
      </c>
      <c r="C3" s="156"/>
      <c r="E3" s="65" t="s">
        <v>69</v>
      </c>
      <c r="F3" s="62" t="s">
        <v>23</v>
      </c>
      <c r="G3" s="49">
        <v>71</v>
      </c>
      <c r="H3" s="138">
        <f>IF(B$27=0,0,G3/B$27)</f>
        <v>0.71</v>
      </c>
      <c r="I3" s="100">
        <v>6</v>
      </c>
      <c r="K3" s="40">
        <v>1</v>
      </c>
      <c r="L3" s="105">
        <v>136.4</v>
      </c>
      <c r="N3" s="121" t="s">
        <v>148</v>
      </c>
      <c r="O3" s="128">
        <f t="shared" si="0"/>
        <v>-3236.231884057971</v>
      </c>
      <c r="P3" s="125">
        <v>69</v>
      </c>
      <c r="Q3" s="109">
        <v>-223300</v>
      </c>
    </row>
    <row r="4" spans="1:17" x14ac:dyDescent="0.4">
      <c r="A4" s="57" t="s">
        <v>6</v>
      </c>
      <c r="B4" s="157">
        <v>-486.2</v>
      </c>
      <c r="C4" s="158"/>
      <c r="E4" s="65" t="s">
        <v>76</v>
      </c>
      <c r="F4" s="62" t="s">
        <v>29</v>
      </c>
      <c r="G4" s="49">
        <v>60</v>
      </c>
      <c r="H4" s="138">
        <f>IF(B$27=0,0,G4/B$27)</f>
        <v>0.6</v>
      </c>
      <c r="I4" s="100">
        <v>5</v>
      </c>
      <c r="K4" s="40">
        <v>2</v>
      </c>
      <c r="L4" s="105">
        <v>48.8</v>
      </c>
      <c r="N4" s="121" t="s">
        <v>149</v>
      </c>
      <c r="O4" s="128">
        <f t="shared" si="0"/>
        <v>-1227.8688524590164</v>
      </c>
      <c r="P4" s="125">
        <v>61</v>
      </c>
      <c r="Q4" s="109">
        <v>-74900</v>
      </c>
    </row>
    <row r="5" spans="1:17" x14ac:dyDescent="0.4">
      <c r="A5" s="57" t="s">
        <v>7</v>
      </c>
      <c r="B5" s="159">
        <f>IF(B$2=0,0,B$4/B$2)</f>
        <v>-6.6602739726027398</v>
      </c>
      <c r="C5" s="160"/>
      <c r="E5" s="65" t="s">
        <v>67</v>
      </c>
      <c r="F5" s="62" t="s">
        <v>21</v>
      </c>
      <c r="G5" s="49">
        <v>49</v>
      </c>
      <c r="H5" s="138">
        <f>IF(B$27=0,0,G5/B$27)</f>
        <v>0.49</v>
      </c>
      <c r="I5" s="100">
        <v>10</v>
      </c>
      <c r="K5" s="40">
        <v>3</v>
      </c>
      <c r="L5" s="105">
        <v>105.69999999999999</v>
      </c>
      <c r="N5" s="121" t="s">
        <v>150</v>
      </c>
      <c r="O5" s="128">
        <f t="shared" si="0"/>
        <v>640.67796610169489</v>
      </c>
      <c r="P5" s="125">
        <v>59</v>
      </c>
      <c r="Q5" s="109">
        <v>37800</v>
      </c>
    </row>
    <row r="6" spans="1:17" x14ac:dyDescent="0.4">
      <c r="A6" s="57" t="s">
        <v>1</v>
      </c>
      <c r="B6" s="147">
        <f>IF(B$2=0,0,(B$7*1+B$8*2+B$9*3)/B$2)</f>
        <v>2.2191780821917808</v>
      </c>
      <c r="C6" s="148"/>
      <c r="E6" s="65" t="s">
        <v>72</v>
      </c>
      <c r="F6" s="62" t="s">
        <v>12</v>
      </c>
      <c r="G6" s="49">
        <v>32</v>
      </c>
      <c r="H6" s="138">
        <f>IF(B$27=0,0,G6/B$27)</f>
        <v>0.32</v>
      </c>
      <c r="I6" s="100">
        <v>4</v>
      </c>
      <c r="K6" s="40">
        <v>4</v>
      </c>
      <c r="L6" s="105">
        <v>33.299999999999997</v>
      </c>
      <c r="N6" s="121" t="s">
        <v>151</v>
      </c>
      <c r="O6" s="128">
        <f t="shared" si="0"/>
        <v>-1832.6530612244899</v>
      </c>
      <c r="P6" s="125">
        <v>49</v>
      </c>
      <c r="Q6" s="109">
        <v>-89800</v>
      </c>
    </row>
    <row r="7" spans="1:17" x14ac:dyDescent="0.4">
      <c r="A7" s="57" t="s">
        <v>2</v>
      </c>
      <c r="B7" s="49">
        <v>15</v>
      </c>
      <c r="C7" s="41">
        <f>IF(B$2=0,0,B7/B$2)</f>
        <v>0.20547945205479451</v>
      </c>
      <c r="E7" s="65" t="s">
        <v>68</v>
      </c>
      <c r="F7" s="62" t="s">
        <v>22</v>
      </c>
      <c r="G7" s="49">
        <v>14</v>
      </c>
      <c r="H7" s="138">
        <f>IF(B$27=0,0,G7/B$27)</f>
        <v>0.14000000000000001</v>
      </c>
      <c r="I7" s="100">
        <v>5</v>
      </c>
      <c r="K7" s="40">
        <v>5</v>
      </c>
      <c r="L7" s="105">
        <v>189.7</v>
      </c>
      <c r="N7" s="122" t="s">
        <v>152</v>
      </c>
      <c r="O7" s="129">
        <f t="shared" si="0"/>
        <v>-858.97435897435901</v>
      </c>
      <c r="P7" s="126">
        <v>39</v>
      </c>
      <c r="Q7" s="110">
        <v>-33500</v>
      </c>
    </row>
    <row r="8" spans="1:17" x14ac:dyDescent="0.4">
      <c r="A8" s="57" t="s">
        <v>3</v>
      </c>
      <c r="B8" s="49">
        <v>27</v>
      </c>
      <c r="C8" s="41">
        <f>IF(B$2=0,0,B8/B$2)</f>
        <v>0.36986301369863012</v>
      </c>
      <c r="E8" s="65" t="s">
        <v>70</v>
      </c>
      <c r="F8" s="62" t="s">
        <v>24</v>
      </c>
      <c r="G8" s="49">
        <v>13</v>
      </c>
      <c r="H8" s="138">
        <f>IF(B$27=0,0,G8/B$27)</f>
        <v>0.13</v>
      </c>
      <c r="I8" s="100">
        <v>12</v>
      </c>
      <c r="K8" s="40">
        <v>6</v>
      </c>
      <c r="L8" s="105">
        <v>126.69999999999999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31</v>
      </c>
      <c r="C9" s="42">
        <f t="shared" ref="C9" si="1">IF(B$2=0,0,B9/B$2)</f>
        <v>0.42465753424657532</v>
      </c>
      <c r="E9" s="65" t="s">
        <v>73</v>
      </c>
      <c r="F9" s="62" t="s">
        <v>26</v>
      </c>
      <c r="G9" s="49">
        <v>12</v>
      </c>
      <c r="H9" s="138">
        <f>IF(B$27=0,0,G9/B$27)</f>
        <v>0.12</v>
      </c>
      <c r="I9" s="100">
        <v>8</v>
      </c>
      <c r="K9" s="40">
        <v>7</v>
      </c>
      <c r="L9" s="105">
        <v>132.80000000000001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0.17808219178082191</v>
      </c>
      <c r="E10" s="65" t="s">
        <v>74</v>
      </c>
      <c r="F10" s="62" t="s">
        <v>27</v>
      </c>
      <c r="G10" s="49">
        <v>7</v>
      </c>
      <c r="H10" s="138">
        <f>IF(B$27=0,0,G10/B$27)</f>
        <v>7.0000000000000007E-2</v>
      </c>
      <c r="I10" s="100">
        <v>10</v>
      </c>
      <c r="K10" s="40">
        <v>8</v>
      </c>
      <c r="L10" s="105">
        <v>64</v>
      </c>
      <c r="N10" s="120" t="s">
        <v>253</v>
      </c>
      <c r="O10" s="130">
        <f>IF(P10=0,0,Q10/P10)</f>
        <v>-7.98787878787879</v>
      </c>
      <c r="P10" s="124">
        <v>33</v>
      </c>
      <c r="Q10" s="112">
        <v>-263.60000000000008</v>
      </c>
    </row>
    <row r="11" spans="1:17" x14ac:dyDescent="0.4">
      <c r="A11" s="58" t="s">
        <v>155</v>
      </c>
      <c r="B11" s="50">
        <v>9</v>
      </c>
      <c r="C11" s="42">
        <f>IF(B$2=0,0,B11/B$2)</f>
        <v>0.12328767123287671</v>
      </c>
      <c r="E11" s="65" t="s">
        <v>94</v>
      </c>
      <c r="F11" s="62" t="s">
        <v>47</v>
      </c>
      <c r="G11" s="49">
        <v>7</v>
      </c>
      <c r="H11" s="138">
        <f>IF(B$27=0,0,G11/B$27)</f>
        <v>7.0000000000000007E-2</v>
      </c>
      <c r="I11" s="100">
        <v>12</v>
      </c>
      <c r="K11" s="40">
        <v>9</v>
      </c>
      <c r="L11" s="105">
        <v>69.099999999999994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5.4794520547945202E-2</v>
      </c>
      <c r="E12" s="65" t="s">
        <v>75</v>
      </c>
      <c r="F12" s="62" t="s">
        <v>28</v>
      </c>
      <c r="G12" s="49">
        <v>5</v>
      </c>
      <c r="H12" s="138">
        <f>IF(B$27=0,0,G12/B$27)</f>
        <v>0.05</v>
      </c>
      <c r="I12" s="100">
        <v>5</v>
      </c>
      <c r="K12" s="40">
        <v>10</v>
      </c>
      <c r="L12" s="105">
        <v>138.19999999999999</v>
      </c>
      <c r="N12" s="122" t="s">
        <v>255</v>
      </c>
      <c r="O12" s="132">
        <f>IF(P12=0,0,Q12/P12)</f>
        <v>-4.8</v>
      </c>
      <c r="P12" s="126">
        <v>20</v>
      </c>
      <c r="Q12" s="114">
        <v>-96</v>
      </c>
    </row>
    <row r="13" spans="1:17" x14ac:dyDescent="0.4">
      <c r="A13" s="60" t="s">
        <v>128</v>
      </c>
      <c r="B13" s="52">
        <v>105</v>
      </c>
      <c r="C13" s="46">
        <f>IF(B$26=0,0,B13/B$26)</f>
        <v>0.27202072538860106</v>
      </c>
      <c r="E13" s="65" t="s">
        <v>82</v>
      </c>
      <c r="F13" s="62" t="s">
        <v>35</v>
      </c>
      <c r="G13" s="49">
        <v>4</v>
      </c>
      <c r="H13" s="138">
        <f>IF(B$27=0,0,G13/B$27)</f>
        <v>0.04</v>
      </c>
      <c r="I13" s="100">
        <v>4</v>
      </c>
      <c r="K13" s="40">
        <v>11</v>
      </c>
      <c r="L13" s="105">
        <v>32.699999999999996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108</v>
      </c>
      <c r="C14" s="41">
        <f>IF(B$26=0,0,B14/B$26)</f>
        <v>0.27979274611398963</v>
      </c>
      <c r="E14" s="65" t="s">
        <v>91</v>
      </c>
      <c r="F14" s="62" t="s">
        <v>44</v>
      </c>
      <c r="G14" s="49">
        <v>4</v>
      </c>
      <c r="H14" s="138">
        <f>IF(B$27=0,0,G14/B$27)</f>
        <v>0.04</v>
      </c>
      <c r="I14" s="100">
        <v>12</v>
      </c>
      <c r="K14" s="40">
        <v>12</v>
      </c>
      <c r="L14" s="105">
        <v>-4.4000000000000057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52</v>
      </c>
      <c r="C15" s="39">
        <f>IF(B$13=0,0,B15/B$13)</f>
        <v>0.49523809523809526</v>
      </c>
      <c r="E15" s="65" t="s">
        <v>83</v>
      </c>
      <c r="F15" s="62" t="s">
        <v>36</v>
      </c>
      <c r="G15" s="49">
        <v>3</v>
      </c>
      <c r="H15" s="138">
        <f>IF(B$27=0,0,G15/B$27)</f>
        <v>0.03</v>
      </c>
      <c r="I15" s="100">
        <v>4</v>
      </c>
      <c r="K15" s="40">
        <v>13</v>
      </c>
      <c r="L15" s="105">
        <v>-7.0000000000000071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38</v>
      </c>
      <c r="C16" s="39">
        <f>IF(B$14=0,0,B16/B$14)</f>
        <v>0.35185185185185186</v>
      </c>
      <c r="E16" s="65" t="s">
        <v>88</v>
      </c>
      <c r="F16" s="62" t="s">
        <v>41</v>
      </c>
      <c r="G16" s="49">
        <v>2</v>
      </c>
      <c r="H16" s="138">
        <f>IF(B$27=0,0,G16/B$27)</f>
        <v>0.02</v>
      </c>
      <c r="I16" s="100">
        <v>11</v>
      </c>
      <c r="K16" s="40">
        <v>14</v>
      </c>
      <c r="L16" s="105">
        <v>-3.7000000000000064</v>
      </c>
      <c r="N16" s="121" t="s">
        <v>139</v>
      </c>
      <c r="O16" s="131">
        <f>IF(P16=0,0,Q16/P16)</f>
        <v>6.7058823529411784</v>
      </c>
      <c r="P16" s="125">
        <v>17</v>
      </c>
      <c r="Q16" s="113">
        <v>114.00000000000003</v>
      </c>
    </row>
    <row r="17" spans="1:17" x14ac:dyDescent="0.4">
      <c r="A17" s="56" t="s">
        <v>10</v>
      </c>
      <c r="B17" s="48">
        <f>B19+B18</f>
        <v>151</v>
      </c>
      <c r="C17" s="39">
        <f>IF(B$3=0,0,B17/B$3)</f>
        <v>0.2667844522968198</v>
      </c>
      <c r="E17" s="65" t="s">
        <v>79</v>
      </c>
      <c r="F17" s="62" t="s">
        <v>32</v>
      </c>
      <c r="G17" s="49">
        <v>1</v>
      </c>
      <c r="H17" s="138">
        <f>IF(B$27=0,0,G17/B$27)</f>
        <v>0.01</v>
      </c>
      <c r="I17" s="100">
        <v>2</v>
      </c>
      <c r="K17" s="40">
        <v>15</v>
      </c>
      <c r="L17" s="105">
        <v>-72.2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72</v>
      </c>
      <c r="C18" s="41">
        <f>IF(B$17=0,0,B18/B$17)</f>
        <v>0.47682119205298013</v>
      </c>
      <c r="E18" s="65" t="s">
        <v>81</v>
      </c>
      <c r="F18" s="62" t="s">
        <v>34</v>
      </c>
      <c r="G18" s="49">
        <v>1</v>
      </c>
      <c r="H18" s="138">
        <f>IF(B$27=0,0,G18/B$27)</f>
        <v>0.01</v>
      </c>
      <c r="I18" s="100">
        <v>2</v>
      </c>
      <c r="K18" s="40">
        <v>16</v>
      </c>
      <c r="L18" s="105">
        <v>-56.900000000000006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79</v>
      </c>
      <c r="C19" s="41">
        <f>IF(B$17=0,0,B19/B$17)</f>
        <v>0.52317880794701987</v>
      </c>
      <c r="E19" s="65" t="s">
        <v>86</v>
      </c>
      <c r="F19" s="62" t="s">
        <v>39</v>
      </c>
      <c r="G19" s="49">
        <v>1</v>
      </c>
      <c r="H19" s="138">
        <f>IF(B$27=0,0,G19/B$27)</f>
        <v>0.01</v>
      </c>
      <c r="I19" s="100">
        <v>9</v>
      </c>
      <c r="K19" s="40">
        <v>17</v>
      </c>
      <c r="L19" s="105">
        <v>-44.70000000000001</v>
      </c>
      <c r="N19" s="121" t="s">
        <v>133</v>
      </c>
      <c r="O19" s="131">
        <f>IF(P19=0,0,Q19/P19)</f>
        <v>-14.477966101694919</v>
      </c>
      <c r="P19" s="125">
        <v>59</v>
      </c>
      <c r="Q19" s="113">
        <v>-854.20000000000027</v>
      </c>
    </row>
    <row r="20" spans="1:17" x14ac:dyDescent="0.4">
      <c r="A20" s="57" t="s">
        <v>13</v>
      </c>
      <c r="B20" s="49">
        <v>105</v>
      </c>
      <c r="C20" s="41">
        <f>IF(B$3=0,0,B20/B$3)</f>
        <v>0.18551236749116609</v>
      </c>
      <c r="E20" s="65" t="s">
        <v>77</v>
      </c>
      <c r="F20" s="62" t="s">
        <v>30</v>
      </c>
      <c r="G20" s="49">
        <v>0</v>
      </c>
      <c r="H20" s="138">
        <f>IF(B$27=0,0,G20/B$27)</f>
        <v>0</v>
      </c>
      <c r="I20" s="100">
        <v>7</v>
      </c>
      <c r="K20" s="40">
        <v>18</v>
      </c>
      <c r="L20" s="105">
        <v>-15.600000000000009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9090.0662251655631</v>
      </c>
      <c r="C21" s="43">
        <v>1372600</v>
      </c>
      <c r="E21" s="65" t="s">
        <v>78</v>
      </c>
      <c r="F21" s="62" t="s">
        <v>31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65.699999999999989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-9751.4285714285706</v>
      </c>
      <c r="C22" s="47">
        <v>-1023900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-65.900000000000006</v>
      </c>
    </row>
    <row r="23" spans="1:17" x14ac:dyDescent="0.4">
      <c r="A23" s="96" t="s">
        <v>158</v>
      </c>
      <c r="B23" s="145">
        <v>6</v>
      </c>
      <c r="C23" s="14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-35.100000000000009</v>
      </c>
    </row>
    <row r="24" spans="1:17" x14ac:dyDescent="0.4">
      <c r="A24" s="60" t="s">
        <v>199</v>
      </c>
      <c r="B24" s="143">
        <v>103200</v>
      </c>
      <c r="C24" s="14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20.199999999999992</v>
      </c>
    </row>
    <row r="25" spans="1:17" x14ac:dyDescent="0.4">
      <c r="A25" s="59" t="s">
        <v>159</v>
      </c>
      <c r="B25" s="67">
        <v>2</v>
      </c>
      <c r="C25" s="44">
        <f>IF(B$3=0,0,B25/B$3)</f>
        <v>3.5335689045936395E-3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-32.500000000000007</v>
      </c>
    </row>
    <row r="26" spans="1:17" x14ac:dyDescent="0.4">
      <c r="A26" s="56" t="s">
        <v>126</v>
      </c>
      <c r="B26" s="149">
        <v>386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-35.20000000000001</v>
      </c>
    </row>
    <row r="27" spans="1:17" x14ac:dyDescent="0.4">
      <c r="A27" s="59" t="s">
        <v>127</v>
      </c>
      <c r="B27" s="151">
        <v>100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-48.900000000000006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-81.7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-47.6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-52.5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27.300000000000004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-84.300000000000011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-80.599999999999994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-76.199999999999989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-174.2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-146.29999999999998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-67.499999999999972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-112.09999999999997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-160.49999999999997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-123.09999999999998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-143.69999999999996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-165.99999999999997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-252.19999999999996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-191.99999999999994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-287.79999999999995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-244.49999999999994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-317.79999999999995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-363.2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-330.29999999999995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-446.7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-418.19999999999993</v>
      </c>
    </row>
    <row r="52" spans="5:12" x14ac:dyDescent="0.4">
      <c r="K52" s="40">
        <v>50</v>
      </c>
      <c r="L52" s="105">
        <v>-390.29999999999995</v>
      </c>
    </row>
    <row r="53" spans="5:12" x14ac:dyDescent="0.4">
      <c r="K53" s="40">
        <v>51</v>
      </c>
      <c r="L53" s="105">
        <v>-438.29999999999995</v>
      </c>
    </row>
    <row r="54" spans="5:12" x14ac:dyDescent="0.4">
      <c r="K54" s="40">
        <v>52</v>
      </c>
      <c r="L54" s="105">
        <v>-425.29999999999995</v>
      </c>
    </row>
    <row r="55" spans="5:12" x14ac:dyDescent="0.4">
      <c r="K55" s="40">
        <v>53</v>
      </c>
      <c r="L55" s="105">
        <v>-482.09999999999991</v>
      </c>
    </row>
    <row r="56" spans="5:12" x14ac:dyDescent="0.4">
      <c r="K56" s="40">
        <v>54</v>
      </c>
      <c r="L56" s="105">
        <v>-438.49999999999989</v>
      </c>
    </row>
    <row r="57" spans="5:12" x14ac:dyDescent="0.4">
      <c r="K57" s="40">
        <v>55</v>
      </c>
      <c r="L57" s="105">
        <v>-486.09999999999991</v>
      </c>
    </row>
    <row r="58" spans="5:12" x14ac:dyDescent="0.4">
      <c r="K58" s="40">
        <v>56</v>
      </c>
      <c r="L58" s="105">
        <v>-539.59999999999991</v>
      </c>
    </row>
    <row r="59" spans="5:12" x14ac:dyDescent="0.4">
      <c r="K59" s="40">
        <v>57</v>
      </c>
      <c r="L59" s="105">
        <v>-564</v>
      </c>
    </row>
    <row r="60" spans="5:12" x14ac:dyDescent="0.4">
      <c r="K60" s="40">
        <v>58</v>
      </c>
      <c r="L60" s="105">
        <v>-613.29999999999995</v>
      </c>
    </row>
    <row r="61" spans="5:12" x14ac:dyDescent="0.4">
      <c r="K61" s="40">
        <v>59</v>
      </c>
      <c r="L61" s="105">
        <v>-528.29999999999995</v>
      </c>
    </row>
    <row r="62" spans="5:12" x14ac:dyDescent="0.4">
      <c r="K62" s="40">
        <v>60</v>
      </c>
      <c r="L62" s="105">
        <v>-519.79999999999995</v>
      </c>
    </row>
    <row r="63" spans="5:12" x14ac:dyDescent="0.4">
      <c r="K63" s="40">
        <v>61</v>
      </c>
      <c r="L63" s="105">
        <v>-449.29999999999995</v>
      </c>
    </row>
    <row r="64" spans="5:12" x14ac:dyDescent="0.4">
      <c r="K64" s="40">
        <v>62</v>
      </c>
      <c r="L64" s="105">
        <v>-531.5</v>
      </c>
    </row>
    <row r="65" spans="11:12" x14ac:dyDescent="0.4">
      <c r="K65" s="40">
        <v>63</v>
      </c>
      <c r="L65" s="105">
        <v>-536.30000000000007</v>
      </c>
    </row>
    <row r="66" spans="11:12" x14ac:dyDescent="0.4">
      <c r="K66" s="40">
        <v>64</v>
      </c>
      <c r="L66" s="105">
        <v>-547.69999999999993</v>
      </c>
    </row>
    <row r="67" spans="11:12" x14ac:dyDescent="0.4">
      <c r="K67" s="40">
        <v>65</v>
      </c>
      <c r="L67" s="105">
        <v>-453.29999999999995</v>
      </c>
    </row>
    <row r="68" spans="11:12" x14ac:dyDescent="0.4">
      <c r="K68" s="40">
        <v>66</v>
      </c>
      <c r="L68" s="105">
        <v>-471.8</v>
      </c>
    </row>
    <row r="69" spans="11:12" x14ac:dyDescent="0.4">
      <c r="K69" s="40">
        <v>67</v>
      </c>
      <c r="L69" s="105">
        <v>-450.2</v>
      </c>
    </row>
    <row r="70" spans="11:12" x14ac:dyDescent="0.4">
      <c r="K70" s="40">
        <v>68</v>
      </c>
      <c r="L70" s="105">
        <v>-457.3</v>
      </c>
    </row>
    <row r="71" spans="11:12" x14ac:dyDescent="0.4">
      <c r="K71" s="40">
        <v>69</v>
      </c>
      <c r="L71" s="105">
        <v>-483.20000000000005</v>
      </c>
    </row>
    <row r="72" spans="11:12" x14ac:dyDescent="0.4">
      <c r="K72" s="40">
        <v>70</v>
      </c>
      <c r="L72" s="105">
        <v>-461</v>
      </c>
    </row>
    <row r="73" spans="11:12" x14ac:dyDescent="0.4">
      <c r="K73" s="40">
        <v>71</v>
      </c>
      <c r="L73" s="105">
        <v>-426.59999999999997</v>
      </c>
    </row>
    <row r="74" spans="11:12" x14ac:dyDescent="0.4">
      <c r="K74" s="40">
        <v>72</v>
      </c>
      <c r="L74" s="105">
        <v>-496.90000000000003</v>
      </c>
    </row>
    <row r="75" spans="11:12" x14ac:dyDescent="0.4">
      <c r="K75" s="40">
        <v>73</v>
      </c>
      <c r="L75" s="105">
        <v>-500.59999999999997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7EF9-509D-4234-A6A8-7E26E0C24E9E}">
  <sheetPr codeName="Sheet21"/>
  <dimension ref="A1:Q11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113</v>
      </c>
      <c r="C2" s="150"/>
      <c r="E2" s="64" t="s">
        <v>71</v>
      </c>
      <c r="F2" s="61" t="s">
        <v>25</v>
      </c>
      <c r="G2" s="48">
        <v>200</v>
      </c>
      <c r="H2" s="137">
        <f>IF(B$27=0,0,G2/B$27)</f>
        <v>0.90090090090090091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1665.7657657657658</v>
      </c>
      <c r="P2" s="124">
        <v>111</v>
      </c>
      <c r="Q2" s="108">
        <v>184900</v>
      </c>
    </row>
    <row r="3" spans="1:17" x14ac:dyDescent="0.4">
      <c r="A3" s="57" t="s">
        <v>8</v>
      </c>
      <c r="B3" s="155">
        <v>855</v>
      </c>
      <c r="C3" s="156"/>
      <c r="E3" s="65" t="s">
        <v>69</v>
      </c>
      <c r="F3" s="62" t="s">
        <v>23</v>
      </c>
      <c r="G3" s="49">
        <v>173</v>
      </c>
      <c r="H3" s="138">
        <f>IF(B$27=0,0,G3/B$27)</f>
        <v>0.77927927927927931</v>
      </c>
      <c r="I3" s="100">
        <v>4</v>
      </c>
      <c r="K3" s="40">
        <v>1</v>
      </c>
      <c r="L3" s="105">
        <v>-73.400000000000006</v>
      </c>
      <c r="N3" s="121" t="s">
        <v>148</v>
      </c>
      <c r="O3" s="128">
        <f t="shared" si="0"/>
        <v>705.71428571428567</v>
      </c>
      <c r="P3" s="125">
        <v>105</v>
      </c>
      <c r="Q3" s="109">
        <v>74100</v>
      </c>
    </row>
    <row r="4" spans="1:17" x14ac:dyDescent="0.4">
      <c r="A4" s="57" t="s">
        <v>6</v>
      </c>
      <c r="B4" s="157">
        <v>250.09999999999982</v>
      </c>
      <c r="C4" s="158"/>
      <c r="E4" s="65" t="s">
        <v>76</v>
      </c>
      <c r="F4" s="62" t="s">
        <v>29</v>
      </c>
      <c r="G4" s="49">
        <v>124</v>
      </c>
      <c r="H4" s="138">
        <f>IF(B$27=0,0,G4/B$27)</f>
        <v>0.55855855855855852</v>
      </c>
      <c r="I4" s="100">
        <v>7</v>
      </c>
      <c r="K4" s="40">
        <v>2</v>
      </c>
      <c r="L4" s="105">
        <v>-53.900000000000006</v>
      </c>
      <c r="N4" s="121" t="s">
        <v>149</v>
      </c>
      <c r="O4" s="128">
        <f t="shared" si="0"/>
        <v>-111.34020618556701</v>
      </c>
      <c r="P4" s="125">
        <v>97</v>
      </c>
      <c r="Q4" s="109">
        <v>-10800</v>
      </c>
    </row>
    <row r="5" spans="1:17" x14ac:dyDescent="0.4">
      <c r="A5" s="57" t="s">
        <v>7</v>
      </c>
      <c r="B5" s="159">
        <f>IF(B$2=0,0,B$4/B$2)</f>
        <v>2.2132743362831842</v>
      </c>
      <c r="C5" s="160"/>
      <c r="E5" s="65" t="s">
        <v>67</v>
      </c>
      <c r="F5" s="62" t="s">
        <v>21</v>
      </c>
      <c r="G5" s="49">
        <v>123</v>
      </c>
      <c r="H5" s="138">
        <f>IF(B$27=0,0,G5/B$27)</f>
        <v>0.55405405405405406</v>
      </c>
      <c r="I5" s="100">
        <v>6</v>
      </c>
      <c r="K5" s="40">
        <v>3</v>
      </c>
      <c r="L5" s="105">
        <v>-118.1</v>
      </c>
      <c r="N5" s="121" t="s">
        <v>150</v>
      </c>
      <c r="O5" s="128">
        <f t="shared" si="0"/>
        <v>-1171.4285714285713</v>
      </c>
      <c r="P5" s="125">
        <v>91</v>
      </c>
      <c r="Q5" s="109">
        <v>-106600</v>
      </c>
    </row>
    <row r="6" spans="1:17" x14ac:dyDescent="0.4">
      <c r="A6" s="57" t="s">
        <v>1</v>
      </c>
      <c r="B6" s="147">
        <f>IF(B$2=0,0,(B$7*1+B$8*2+B$9*3)/B$2)</f>
        <v>1.9203539823008851</v>
      </c>
      <c r="C6" s="148"/>
      <c r="E6" s="65" t="s">
        <v>70</v>
      </c>
      <c r="F6" s="62" t="s">
        <v>24</v>
      </c>
      <c r="G6" s="49">
        <v>83</v>
      </c>
      <c r="H6" s="138">
        <f>IF(B$27=0,0,G6/B$27)</f>
        <v>0.37387387387387389</v>
      </c>
      <c r="I6" s="100">
        <v>3</v>
      </c>
      <c r="K6" s="40">
        <v>4</v>
      </c>
      <c r="L6" s="105">
        <v>-146.9</v>
      </c>
      <c r="N6" s="121" t="s">
        <v>151</v>
      </c>
      <c r="O6" s="128">
        <f t="shared" si="0"/>
        <v>1149.367088607595</v>
      </c>
      <c r="P6" s="125">
        <v>79</v>
      </c>
      <c r="Q6" s="109">
        <v>90800</v>
      </c>
    </row>
    <row r="7" spans="1:17" x14ac:dyDescent="0.4">
      <c r="A7" s="57" t="s">
        <v>2</v>
      </c>
      <c r="B7" s="49">
        <v>43</v>
      </c>
      <c r="C7" s="41">
        <f>IF(B$2=0,0,B7/B$2)</f>
        <v>0.38053097345132741</v>
      </c>
      <c r="E7" s="65" t="s">
        <v>72</v>
      </c>
      <c r="F7" s="62" t="s">
        <v>12</v>
      </c>
      <c r="G7" s="49">
        <v>71</v>
      </c>
      <c r="H7" s="138">
        <f>IF(B$27=0,0,G7/B$27)</f>
        <v>0.31981981981981983</v>
      </c>
      <c r="I7" s="100">
        <v>5</v>
      </c>
      <c r="K7" s="40">
        <v>5</v>
      </c>
      <c r="L7" s="105">
        <v>-158.30000000000001</v>
      </c>
      <c r="N7" s="122" t="s">
        <v>152</v>
      </c>
      <c r="O7" s="129">
        <f t="shared" si="0"/>
        <v>-343.28358208955223</v>
      </c>
      <c r="P7" s="126">
        <v>67</v>
      </c>
      <c r="Q7" s="110">
        <v>-23000</v>
      </c>
    </row>
    <row r="8" spans="1:17" x14ac:dyDescent="0.4">
      <c r="A8" s="57" t="s">
        <v>3</v>
      </c>
      <c r="B8" s="49">
        <v>36</v>
      </c>
      <c r="C8" s="41">
        <f>IF(B$2=0,0,B8/B$2)</f>
        <v>0.31858407079646017</v>
      </c>
      <c r="E8" s="65" t="s">
        <v>73</v>
      </c>
      <c r="F8" s="62" t="s">
        <v>26</v>
      </c>
      <c r="G8" s="49">
        <v>40</v>
      </c>
      <c r="H8" s="138">
        <f>IF(B$27=0,0,G8/B$27)</f>
        <v>0.18018018018018017</v>
      </c>
      <c r="I8" s="100">
        <v>2</v>
      </c>
      <c r="K8" s="40">
        <v>6</v>
      </c>
      <c r="L8" s="105">
        <v>-65.300000000000011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0.30088495575221241</v>
      </c>
      <c r="E9" s="65" t="s">
        <v>94</v>
      </c>
      <c r="F9" s="62" t="s">
        <v>47</v>
      </c>
      <c r="G9" s="49">
        <v>34</v>
      </c>
      <c r="H9" s="138">
        <f>IF(B$27=0,0,G9/B$27)</f>
        <v>0.15315315315315314</v>
      </c>
      <c r="I9" s="100">
        <v>8</v>
      </c>
      <c r="K9" s="40">
        <v>7</v>
      </c>
      <c r="L9" s="105">
        <v>-111.60000000000002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0.11504424778761062</v>
      </c>
      <c r="E10" s="65" t="s">
        <v>68</v>
      </c>
      <c r="F10" s="62" t="s">
        <v>22</v>
      </c>
      <c r="G10" s="49">
        <v>25</v>
      </c>
      <c r="H10" s="138">
        <f>IF(B$27=0,0,G10/B$27)</f>
        <v>0.11261261261261261</v>
      </c>
      <c r="I10" s="100">
        <v>8</v>
      </c>
      <c r="K10" s="40">
        <v>8</v>
      </c>
      <c r="L10" s="105">
        <v>1.5999999999999801</v>
      </c>
      <c r="N10" s="120" t="s">
        <v>253</v>
      </c>
      <c r="O10" s="130">
        <f>IF(P10=0,0,Q10/P10)</f>
        <v>4.7078431372549003</v>
      </c>
      <c r="P10" s="124">
        <v>51</v>
      </c>
      <c r="Q10" s="112">
        <v>240.09999999999991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0.16814159292035399</v>
      </c>
      <c r="E11" s="65" t="s">
        <v>74</v>
      </c>
      <c r="F11" s="62" t="s">
        <v>27</v>
      </c>
      <c r="G11" s="49">
        <v>19</v>
      </c>
      <c r="H11" s="138">
        <f>IF(B$27=0,0,G11/B$27)</f>
        <v>8.5585585585585586E-2</v>
      </c>
      <c r="I11" s="100">
        <v>9</v>
      </c>
      <c r="K11" s="40">
        <v>9</v>
      </c>
      <c r="L11" s="105">
        <v>-54.700000000000024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9.7345132743362831E-2</v>
      </c>
      <c r="E12" s="65" t="s">
        <v>75</v>
      </c>
      <c r="F12" s="62" t="s">
        <v>28</v>
      </c>
      <c r="G12" s="49">
        <v>14</v>
      </c>
      <c r="H12" s="138">
        <f>IF(B$27=0,0,G12/B$27)</f>
        <v>6.3063063063063057E-2</v>
      </c>
      <c r="I12" s="100">
        <v>3</v>
      </c>
      <c r="K12" s="40">
        <v>10</v>
      </c>
      <c r="L12" s="105">
        <v>-92.100000000000023</v>
      </c>
      <c r="N12" s="122" t="s">
        <v>255</v>
      </c>
      <c r="O12" s="132">
        <f>IF(P12=0,0,Q12/P12)</f>
        <v>5.2103448275862068</v>
      </c>
      <c r="P12" s="126">
        <v>29</v>
      </c>
      <c r="Q12" s="114">
        <v>151.1</v>
      </c>
    </row>
    <row r="13" spans="1:17" x14ac:dyDescent="0.4">
      <c r="A13" s="60" t="s">
        <v>128</v>
      </c>
      <c r="B13" s="52">
        <v>222</v>
      </c>
      <c r="C13" s="46">
        <f>IF(B$26=0,0,B13/B$26)</f>
        <v>0.30452674897119342</v>
      </c>
      <c r="E13" s="65" t="s">
        <v>82</v>
      </c>
      <c r="F13" s="62" t="s">
        <v>35</v>
      </c>
      <c r="G13" s="49">
        <v>14</v>
      </c>
      <c r="H13" s="138">
        <f>IF(B$27=0,0,G13/B$27)</f>
        <v>6.3063063063063057E-2</v>
      </c>
      <c r="I13" s="100">
        <v>1</v>
      </c>
      <c r="K13" s="40">
        <v>11</v>
      </c>
      <c r="L13" s="105">
        <v>-66.800000000000026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157</v>
      </c>
      <c r="C14" s="41">
        <f>IF(B$26=0,0,B14/B$26)</f>
        <v>0.21536351165980797</v>
      </c>
      <c r="E14" s="65" t="s">
        <v>91</v>
      </c>
      <c r="F14" s="62" t="s">
        <v>44</v>
      </c>
      <c r="G14" s="49">
        <v>9</v>
      </c>
      <c r="H14" s="138">
        <f>IF(B$27=0,0,G14/B$27)</f>
        <v>4.0540540540540543E-2</v>
      </c>
      <c r="I14" s="100">
        <v>11</v>
      </c>
      <c r="K14" s="40">
        <v>12</v>
      </c>
      <c r="L14" s="105">
        <v>-38.800000000000026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125</v>
      </c>
      <c r="C15" s="39">
        <f>IF(B$13=0,0,B15/B$13)</f>
        <v>0.56306306306306309</v>
      </c>
      <c r="E15" s="65" t="s">
        <v>86</v>
      </c>
      <c r="F15" s="62" t="s">
        <v>39</v>
      </c>
      <c r="G15" s="49">
        <v>8</v>
      </c>
      <c r="H15" s="138">
        <f>IF(B$27=0,0,G15/B$27)</f>
        <v>3.6036036036036036E-2</v>
      </c>
      <c r="I15" s="100">
        <v>5</v>
      </c>
      <c r="K15" s="40">
        <v>13</v>
      </c>
      <c r="L15" s="105">
        <v>-32.100000000000023</v>
      </c>
      <c r="N15" s="120" t="s">
        <v>134</v>
      </c>
      <c r="O15" s="130">
        <f>IF(P15=0,0,Q15/P15)</f>
        <v>15.705714285714285</v>
      </c>
      <c r="P15" s="124">
        <v>35</v>
      </c>
      <c r="Q15" s="112">
        <v>549.69999999999993</v>
      </c>
    </row>
    <row r="16" spans="1:17" x14ac:dyDescent="0.4">
      <c r="A16" s="56" t="s">
        <v>131</v>
      </c>
      <c r="B16" s="48">
        <v>60</v>
      </c>
      <c r="C16" s="39">
        <f>IF(B$14=0,0,B16/B$14)</f>
        <v>0.38216560509554143</v>
      </c>
      <c r="E16" s="65" t="s">
        <v>88</v>
      </c>
      <c r="F16" s="62" t="s">
        <v>41</v>
      </c>
      <c r="G16" s="49">
        <v>7</v>
      </c>
      <c r="H16" s="138">
        <f>IF(B$27=0,0,G16/B$27)</f>
        <v>3.1531531531531529E-2</v>
      </c>
      <c r="I16" s="100">
        <v>7</v>
      </c>
      <c r="K16" s="40">
        <v>14</v>
      </c>
      <c r="L16" s="105">
        <v>-57.60000000000003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259</v>
      </c>
      <c r="C17" s="39">
        <f>IF(B$3=0,0,B17/B$3)</f>
        <v>0.30292397660818715</v>
      </c>
      <c r="E17" s="65" t="s">
        <v>77</v>
      </c>
      <c r="F17" s="62" t="s">
        <v>30</v>
      </c>
      <c r="G17" s="49">
        <v>4</v>
      </c>
      <c r="H17" s="138">
        <f>IF(B$27=0,0,G17/B$27)</f>
        <v>1.8018018018018018E-2</v>
      </c>
      <c r="I17" s="100">
        <v>2</v>
      </c>
      <c r="K17" s="40">
        <v>15</v>
      </c>
      <c r="L17" s="105">
        <v>98.19999999999996</v>
      </c>
      <c r="N17" s="121" t="s">
        <v>139</v>
      </c>
      <c r="O17" s="131">
        <f>IF(P17=0,0,Q17/P17)</f>
        <v>14.631707317073168</v>
      </c>
      <c r="P17" s="125">
        <v>41</v>
      </c>
      <c r="Q17" s="113">
        <v>599.89999999999986</v>
      </c>
    </row>
    <row r="18" spans="1:17" x14ac:dyDescent="0.4">
      <c r="A18" s="57" t="s">
        <v>12</v>
      </c>
      <c r="B18" s="49">
        <v>115</v>
      </c>
      <c r="C18" s="41">
        <f>IF(B$17=0,0,B18/B$17)</f>
        <v>0.44401544401544402</v>
      </c>
      <c r="E18" s="65" t="s">
        <v>96</v>
      </c>
      <c r="F18" s="62" t="s">
        <v>49</v>
      </c>
      <c r="G18" s="49">
        <v>4</v>
      </c>
      <c r="H18" s="138">
        <f>IF(B$27=0,0,G18/B$27)</f>
        <v>1.8018018018018018E-2</v>
      </c>
      <c r="I18" s="100">
        <v>7</v>
      </c>
      <c r="K18" s="40">
        <v>16</v>
      </c>
      <c r="L18" s="105">
        <v>93.899999999999977</v>
      </c>
      <c r="N18" s="121" t="s">
        <v>138</v>
      </c>
      <c r="O18" s="131">
        <f>IF(P18=0,0,Q18/P18)</f>
        <v>4.2166666666666677</v>
      </c>
      <c r="P18" s="125">
        <v>6</v>
      </c>
      <c r="Q18" s="113">
        <v>25.300000000000004</v>
      </c>
    </row>
    <row r="19" spans="1:17" x14ac:dyDescent="0.4">
      <c r="A19" s="57" t="s">
        <v>11</v>
      </c>
      <c r="B19" s="49">
        <v>144</v>
      </c>
      <c r="C19" s="41">
        <f>IF(B$17=0,0,B19/B$17)</f>
        <v>0.55598455598455598</v>
      </c>
      <c r="E19" s="65" t="s">
        <v>81</v>
      </c>
      <c r="F19" s="62" t="s">
        <v>34</v>
      </c>
      <c r="G19" s="49">
        <v>2</v>
      </c>
      <c r="H19" s="138">
        <f>IF(B$27=0,0,G19/B$27)</f>
        <v>9.0090090090090089E-3</v>
      </c>
      <c r="I19" s="100">
        <v>3</v>
      </c>
      <c r="K19" s="40">
        <v>17</v>
      </c>
      <c r="L19" s="105">
        <v>58.299999999999976</v>
      </c>
      <c r="N19" s="121" t="s">
        <v>136</v>
      </c>
      <c r="O19" s="131">
        <f>IF(P19=0,0,Q19/P19)</f>
        <v>-3.3548387096774213</v>
      </c>
      <c r="P19" s="125">
        <v>31</v>
      </c>
      <c r="Q19" s="113">
        <v>-104.00000000000006</v>
      </c>
    </row>
    <row r="20" spans="1:17" x14ac:dyDescent="0.4">
      <c r="A20" s="57" t="s">
        <v>13</v>
      </c>
      <c r="B20" s="49">
        <v>139</v>
      </c>
      <c r="C20" s="41">
        <f>IF(B$3=0,0,B20/B$3)</f>
        <v>0.16257309941520467</v>
      </c>
      <c r="E20" s="65" t="s">
        <v>83</v>
      </c>
      <c r="F20" s="62" t="s">
        <v>36</v>
      </c>
      <c r="G20" s="49">
        <v>2</v>
      </c>
      <c r="H20" s="138">
        <f>IF(B$27=0,0,G20/B$27)</f>
        <v>9.0090090090090089E-3</v>
      </c>
      <c r="I20" s="100">
        <v>10</v>
      </c>
      <c r="K20" s="40">
        <v>18</v>
      </c>
      <c r="L20" s="105">
        <v>186.59999999999997</v>
      </c>
      <c r="N20" s="121" t="s">
        <v>133</v>
      </c>
      <c r="O20" s="131">
        <f>IF(P20=0,0,Q20/P20)</f>
        <v>-3.7720430107526877</v>
      </c>
      <c r="P20" s="125">
        <v>93</v>
      </c>
      <c r="Q20" s="113">
        <v>-350.79999999999995</v>
      </c>
    </row>
    <row r="21" spans="1:17" x14ac:dyDescent="0.4">
      <c r="A21" s="57" t="s">
        <v>5</v>
      </c>
      <c r="B21" s="53">
        <f>IF(B$17=0,0,C21/B$17)</f>
        <v>10469.111969111969</v>
      </c>
      <c r="C21" s="43">
        <v>2711500</v>
      </c>
      <c r="E21" s="65" t="s">
        <v>98</v>
      </c>
      <c r="F21" s="62" t="s">
        <v>51</v>
      </c>
      <c r="G21" s="49">
        <v>2</v>
      </c>
      <c r="H21" s="138">
        <f>IF(B$27=0,0,G21/B$27)</f>
        <v>9.0090090090090089E-3</v>
      </c>
      <c r="I21" s="100">
        <v>2</v>
      </c>
      <c r="K21" s="40">
        <v>19</v>
      </c>
      <c r="L21" s="105">
        <v>128.79999999999995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-9257.5539568345321</v>
      </c>
      <c r="C22" s="47">
        <v>-1286800</v>
      </c>
      <c r="E22" s="65" t="s">
        <v>78</v>
      </c>
      <c r="F22" s="62" t="s">
        <v>31</v>
      </c>
      <c r="G22" s="49">
        <v>1</v>
      </c>
      <c r="H22" s="138">
        <f>IF(B$27=0,0,G22/B$27)</f>
        <v>4.5045045045045045E-3</v>
      </c>
      <c r="I22" s="100">
        <v>2</v>
      </c>
      <c r="K22" s="40">
        <v>20</v>
      </c>
      <c r="L22" s="105">
        <v>128.09999999999997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45">
        <v>9</v>
      </c>
      <c r="C23" s="146"/>
      <c r="E23" s="65" t="s">
        <v>79</v>
      </c>
      <c r="F23" s="62" t="s">
        <v>32</v>
      </c>
      <c r="G23" s="49">
        <v>1</v>
      </c>
      <c r="H23" s="138">
        <f>IF(B$27=0,0,G23/B$27)</f>
        <v>4.5045045045045045E-3</v>
      </c>
      <c r="I23" s="100">
        <v>5</v>
      </c>
      <c r="K23" s="40">
        <v>21</v>
      </c>
      <c r="L23" s="105">
        <v>132.49999999999997</v>
      </c>
    </row>
    <row r="24" spans="1:17" x14ac:dyDescent="0.4">
      <c r="A24" s="60" t="s">
        <v>199</v>
      </c>
      <c r="B24" s="143">
        <v>109300</v>
      </c>
      <c r="C24" s="144"/>
      <c r="E24" s="65" t="s">
        <v>89</v>
      </c>
      <c r="F24" s="62" t="s">
        <v>42</v>
      </c>
      <c r="G24" s="49">
        <v>1</v>
      </c>
      <c r="H24" s="138">
        <f>IF(B$27=0,0,G24/B$27)</f>
        <v>4.5045045045045045E-3</v>
      </c>
      <c r="I24" s="100">
        <v>2</v>
      </c>
      <c r="K24" s="40">
        <v>22</v>
      </c>
      <c r="L24" s="105">
        <v>218.89999999999995</v>
      </c>
    </row>
    <row r="25" spans="1:17" x14ac:dyDescent="0.4">
      <c r="A25" s="59" t="s">
        <v>159</v>
      </c>
      <c r="B25" s="67">
        <v>3</v>
      </c>
      <c r="C25" s="44">
        <f>IF(B$3=0,0,B25/B$3)</f>
        <v>3.5087719298245615E-3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171.49999999999994</v>
      </c>
    </row>
    <row r="26" spans="1:17" x14ac:dyDescent="0.4">
      <c r="A26" s="56" t="s">
        <v>126</v>
      </c>
      <c r="B26" s="149">
        <v>729</v>
      </c>
      <c r="C26" s="150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93.499999999999929</v>
      </c>
    </row>
    <row r="27" spans="1:17" x14ac:dyDescent="0.4">
      <c r="A27" s="59" t="s">
        <v>127</v>
      </c>
      <c r="B27" s="151">
        <v>222</v>
      </c>
      <c r="C27" s="152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101.59999999999994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139.99999999999994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40.699999999999932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2.6999999999999318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22.099999999999934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64.099999999999937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-38.300000000000061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6.4999999999999378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30.199999999999935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-56.600000000000058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78.699999999999932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2.0999999999999375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97.899999999999935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50.099999999999937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196.69999999999993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188.09999999999994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227.39999999999995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214.99999999999994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221.69999999999993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115.79999999999993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253.99999999999994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228.89999999999995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178.99999999999994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189.19999999999993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229.69999999999996</v>
      </c>
    </row>
    <row r="52" spans="5:12" x14ac:dyDescent="0.4">
      <c r="K52" s="40">
        <v>50</v>
      </c>
      <c r="L52" s="105">
        <v>159.09999999999994</v>
      </c>
    </row>
    <row r="53" spans="5:12" x14ac:dyDescent="0.4">
      <c r="K53" s="40">
        <v>51</v>
      </c>
      <c r="L53" s="105">
        <v>206.49999999999994</v>
      </c>
    </row>
    <row r="54" spans="5:12" x14ac:dyDescent="0.4">
      <c r="K54" s="40">
        <v>52</v>
      </c>
      <c r="L54" s="105">
        <v>195.19999999999993</v>
      </c>
    </row>
    <row r="55" spans="5:12" x14ac:dyDescent="0.4">
      <c r="K55" s="40">
        <v>53</v>
      </c>
      <c r="L55" s="105">
        <v>231.79999999999993</v>
      </c>
    </row>
    <row r="56" spans="5:12" x14ac:dyDescent="0.4">
      <c r="K56" s="40">
        <v>54</v>
      </c>
      <c r="L56" s="105">
        <v>259.29999999999995</v>
      </c>
    </row>
    <row r="57" spans="5:12" x14ac:dyDescent="0.4">
      <c r="K57" s="40">
        <v>55</v>
      </c>
      <c r="L57" s="105">
        <v>210.89999999999992</v>
      </c>
    </row>
    <row r="58" spans="5:12" x14ac:dyDescent="0.4">
      <c r="K58" s="40">
        <v>56</v>
      </c>
      <c r="L58" s="105">
        <v>295.69999999999993</v>
      </c>
    </row>
    <row r="59" spans="5:12" x14ac:dyDescent="0.4">
      <c r="K59" s="40">
        <v>57</v>
      </c>
      <c r="L59" s="105">
        <v>161.49999999999994</v>
      </c>
    </row>
    <row r="60" spans="5:12" x14ac:dyDescent="0.4">
      <c r="K60" s="40">
        <v>58</v>
      </c>
      <c r="L60" s="105">
        <v>205.39999999999995</v>
      </c>
    </row>
    <row r="61" spans="5:12" x14ac:dyDescent="0.4">
      <c r="K61" s="40">
        <v>59</v>
      </c>
      <c r="L61" s="105">
        <v>232.99999999999994</v>
      </c>
    </row>
    <row r="62" spans="5:12" x14ac:dyDescent="0.4">
      <c r="K62" s="40">
        <v>60</v>
      </c>
      <c r="L62" s="105">
        <v>245.09999999999997</v>
      </c>
    </row>
    <row r="63" spans="5:12" x14ac:dyDescent="0.4">
      <c r="K63" s="40">
        <v>61</v>
      </c>
      <c r="L63" s="105">
        <v>234.59999999999997</v>
      </c>
    </row>
    <row r="64" spans="5:12" x14ac:dyDescent="0.4">
      <c r="K64" s="40">
        <v>62</v>
      </c>
      <c r="L64" s="105">
        <v>226.09999999999994</v>
      </c>
    </row>
    <row r="65" spans="11:12" x14ac:dyDescent="0.4">
      <c r="K65" s="40">
        <v>63</v>
      </c>
      <c r="L65" s="105">
        <v>206.09999999999994</v>
      </c>
    </row>
    <row r="66" spans="11:12" x14ac:dyDescent="0.4">
      <c r="K66" s="40">
        <v>64</v>
      </c>
      <c r="L66" s="105">
        <v>182.99999999999994</v>
      </c>
    </row>
    <row r="67" spans="11:12" x14ac:dyDescent="0.4">
      <c r="K67" s="40">
        <v>65</v>
      </c>
      <c r="L67" s="105">
        <v>215.09999999999997</v>
      </c>
    </row>
    <row r="68" spans="11:12" x14ac:dyDescent="0.4">
      <c r="K68" s="40">
        <v>66</v>
      </c>
      <c r="L68" s="105">
        <v>198.59999999999997</v>
      </c>
    </row>
    <row r="69" spans="11:12" x14ac:dyDescent="0.4">
      <c r="K69" s="40">
        <v>67</v>
      </c>
      <c r="L69" s="105">
        <v>231.39999999999995</v>
      </c>
    </row>
    <row r="70" spans="11:12" x14ac:dyDescent="0.4">
      <c r="K70" s="40">
        <v>68</v>
      </c>
      <c r="L70" s="105">
        <v>140.29999999999995</v>
      </c>
    </row>
    <row r="71" spans="11:12" x14ac:dyDescent="0.4">
      <c r="K71" s="40">
        <v>69</v>
      </c>
      <c r="L71" s="105">
        <v>196.59999999999997</v>
      </c>
    </row>
    <row r="72" spans="11:12" x14ac:dyDescent="0.4">
      <c r="K72" s="40">
        <v>70</v>
      </c>
      <c r="L72" s="105">
        <v>247.09999999999994</v>
      </c>
    </row>
    <row r="73" spans="11:12" x14ac:dyDescent="0.4">
      <c r="K73" s="40">
        <v>71</v>
      </c>
      <c r="L73" s="105">
        <v>175.99999999999997</v>
      </c>
    </row>
    <row r="74" spans="11:12" x14ac:dyDescent="0.4">
      <c r="K74" s="40">
        <v>72</v>
      </c>
      <c r="L74" s="105">
        <v>120.69999999999996</v>
      </c>
    </row>
    <row r="75" spans="11:12" x14ac:dyDescent="0.4">
      <c r="K75" s="40">
        <v>73</v>
      </c>
      <c r="L75" s="105">
        <v>230.69999999999996</v>
      </c>
    </row>
    <row r="76" spans="11:12" x14ac:dyDescent="0.4">
      <c r="K76" s="40">
        <v>74</v>
      </c>
      <c r="L76" s="105">
        <v>254.49999999999997</v>
      </c>
    </row>
    <row r="77" spans="11:12" x14ac:dyDescent="0.4">
      <c r="K77" s="40">
        <v>75</v>
      </c>
      <c r="L77" s="105">
        <v>271.59999999999997</v>
      </c>
    </row>
    <row r="78" spans="11:12" x14ac:dyDescent="0.4">
      <c r="K78" s="40">
        <v>76</v>
      </c>
      <c r="L78" s="105">
        <v>236.49999999999994</v>
      </c>
    </row>
    <row r="79" spans="11:12" x14ac:dyDescent="0.4">
      <c r="K79" s="40">
        <v>77</v>
      </c>
      <c r="L79" s="105">
        <v>236.29999999999995</v>
      </c>
    </row>
    <row r="80" spans="11:12" x14ac:dyDescent="0.4">
      <c r="K80" s="40">
        <v>78</v>
      </c>
      <c r="L80" s="105">
        <v>225.89999999999998</v>
      </c>
    </row>
    <row r="81" spans="11:12" x14ac:dyDescent="0.4">
      <c r="K81" s="40">
        <v>79</v>
      </c>
      <c r="L81" s="105">
        <v>191.99999999999994</v>
      </c>
    </row>
    <row r="82" spans="11:12" x14ac:dyDescent="0.4">
      <c r="K82" s="40">
        <v>80</v>
      </c>
      <c r="L82" s="105">
        <v>267.29999999999995</v>
      </c>
    </row>
    <row r="83" spans="11:12" x14ac:dyDescent="0.4">
      <c r="K83" s="40">
        <v>81</v>
      </c>
      <c r="L83" s="105">
        <v>251.19999999999993</v>
      </c>
    </row>
    <row r="84" spans="11:12" x14ac:dyDescent="0.4">
      <c r="K84" s="40">
        <v>82</v>
      </c>
      <c r="L84" s="105">
        <v>271.89999999999992</v>
      </c>
    </row>
    <row r="85" spans="11:12" x14ac:dyDescent="0.4">
      <c r="K85" s="40">
        <v>83</v>
      </c>
      <c r="L85" s="105">
        <v>244.69999999999993</v>
      </c>
    </row>
    <row r="86" spans="11:12" x14ac:dyDescent="0.4">
      <c r="K86" s="40">
        <v>84</v>
      </c>
      <c r="L86" s="105">
        <v>292.29999999999995</v>
      </c>
    </row>
    <row r="87" spans="11:12" x14ac:dyDescent="0.4">
      <c r="K87" s="40">
        <v>85</v>
      </c>
      <c r="L87" s="105">
        <v>259.99999999999994</v>
      </c>
    </row>
    <row r="88" spans="11:12" x14ac:dyDescent="0.4">
      <c r="K88" s="40">
        <v>86</v>
      </c>
      <c r="L88" s="105">
        <v>213.59999999999997</v>
      </c>
    </row>
    <row r="89" spans="11:12" x14ac:dyDescent="0.4">
      <c r="K89" s="40">
        <v>87</v>
      </c>
      <c r="L89" s="105">
        <v>311.79999999999995</v>
      </c>
    </row>
    <row r="90" spans="11:12" x14ac:dyDescent="0.4">
      <c r="K90" s="40">
        <v>88</v>
      </c>
      <c r="L90" s="105">
        <v>276.39999999999998</v>
      </c>
    </row>
    <row r="91" spans="11:12" x14ac:dyDescent="0.4">
      <c r="K91" s="40">
        <v>89</v>
      </c>
      <c r="L91" s="105">
        <v>242.89999999999995</v>
      </c>
    </row>
    <row r="92" spans="11:12" x14ac:dyDescent="0.4">
      <c r="K92" s="40">
        <v>90</v>
      </c>
      <c r="L92" s="105">
        <v>314.2999999999999</v>
      </c>
    </row>
    <row r="93" spans="11:12" x14ac:dyDescent="0.4">
      <c r="K93" s="40">
        <v>91</v>
      </c>
      <c r="L93" s="105">
        <v>217.89999999999992</v>
      </c>
    </row>
    <row r="94" spans="11:12" x14ac:dyDescent="0.4">
      <c r="K94" s="40">
        <v>92</v>
      </c>
      <c r="L94" s="105">
        <v>304.7999999999999</v>
      </c>
    </row>
    <row r="95" spans="11:12" x14ac:dyDescent="0.4">
      <c r="K95" s="40">
        <v>93</v>
      </c>
      <c r="L95" s="105">
        <v>250.99999999999989</v>
      </c>
    </row>
    <row r="96" spans="11:12" x14ac:dyDescent="0.4">
      <c r="K96" s="40">
        <v>94</v>
      </c>
      <c r="L96" s="105">
        <v>230.99999999999989</v>
      </c>
    </row>
    <row r="97" spans="11:12" x14ac:dyDescent="0.4">
      <c r="K97" s="40">
        <v>95</v>
      </c>
      <c r="L97" s="105">
        <v>197.09999999999988</v>
      </c>
    </row>
    <row r="98" spans="11:12" x14ac:dyDescent="0.4">
      <c r="K98" s="40">
        <v>96</v>
      </c>
      <c r="L98" s="105">
        <v>247.49999999999989</v>
      </c>
    </row>
    <row r="99" spans="11:12" x14ac:dyDescent="0.4">
      <c r="K99" s="40">
        <v>97</v>
      </c>
      <c r="L99" s="105">
        <v>269.39999999999986</v>
      </c>
    </row>
    <row r="100" spans="11:12" x14ac:dyDescent="0.4">
      <c r="K100" s="40">
        <v>98</v>
      </c>
      <c r="L100" s="105">
        <v>190.99999999999989</v>
      </c>
    </row>
    <row r="101" spans="11:12" x14ac:dyDescent="0.4">
      <c r="K101" s="40">
        <v>99</v>
      </c>
      <c r="L101" s="105">
        <v>269.19999999999987</v>
      </c>
    </row>
    <row r="102" spans="11:12" x14ac:dyDescent="0.4">
      <c r="K102" s="40">
        <v>100</v>
      </c>
      <c r="L102" s="105">
        <v>260.39999999999986</v>
      </c>
    </row>
    <row r="103" spans="11:12" x14ac:dyDescent="0.4">
      <c r="K103" s="40">
        <v>101</v>
      </c>
      <c r="L103" s="105">
        <v>288.49999999999989</v>
      </c>
    </row>
    <row r="104" spans="11:12" x14ac:dyDescent="0.4">
      <c r="K104" s="40">
        <v>102</v>
      </c>
      <c r="L104" s="105">
        <v>227.09999999999985</v>
      </c>
    </row>
    <row r="105" spans="11:12" x14ac:dyDescent="0.4">
      <c r="K105" s="40">
        <v>103</v>
      </c>
      <c r="L105" s="105">
        <v>253.09999999999985</v>
      </c>
    </row>
    <row r="106" spans="11:12" x14ac:dyDescent="0.4">
      <c r="K106" s="40">
        <v>104</v>
      </c>
      <c r="L106" s="105">
        <v>262.19999999999987</v>
      </c>
    </row>
    <row r="107" spans="11:12" x14ac:dyDescent="0.4">
      <c r="K107" s="40">
        <v>105</v>
      </c>
      <c r="L107" s="105">
        <v>158.59999999999985</v>
      </c>
    </row>
    <row r="108" spans="11:12" x14ac:dyDescent="0.4">
      <c r="K108" s="40">
        <v>106</v>
      </c>
      <c r="L108" s="105">
        <v>176.79999999999984</v>
      </c>
    </row>
    <row r="109" spans="11:12" x14ac:dyDescent="0.4">
      <c r="K109" s="40">
        <v>107</v>
      </c>
      <c r="L109" s="105">
        <v>277.19999999999982</v>
      </c>
    </row>
    <row r="110" spans="11:12" x14ac:dyDescent="0.4">
      <c r="K110" s="40">
        <v>108</v>
      </c>
      <c r="L110" s="105">
        <v>252.69999999999985</v>
      </c>
    </row>
    <row r="111" spans="11:12" x14ac:dyDescent="0.4">
      <c r="K111" s="40">
        <v>109</v>
      </c>
      <c r="L111" s="105">
        <v>125.89999999999984</v>
      </c>
    </row>
    <row r="112" spans="11:12" x14ac:dyDescent="0.4">
      <c r="K112" s="40">
        <v>110</v>
      </c>
      <c r="L112" s="105">
        <v>266.19999999999982</v>
      </c>
    </row>
    <row r="113" spans="11:12" x14ac:dyDescent="0.4">
      <c r="K113" s="40">
        <v>111</v>
      </c>
      <c r="L113" s="105">
        <v>208.49999999999983</v>
      </c>
    </row>
    <row r="114" spans="11:12" x14ac:dyDescent="0.4">
      <c r="K114" s="40">
        <v>112</v>
      </c>
      <c r="L114" s="105">
        <v>233.99999999999983</v>
      </c>
    </row>
    <row r="115" spans="11:12" x14ac:dyDescent="0.4">
      <c r="K115" s="40">
        <v>113</v>
      </c>
      <c r="L115" s="105">
        <v>274.69999999999982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7C08-01D1-43AF-9B24-D88EBF8AEF10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138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33</v>
      </c>
      <c r="C2" s="150"/>
      <c r="E2" s="64" t="s">
        <v>71</v>
      </c>
      <c r="F2" s="61" t="s">
        <v>25</v>
      </c>
      <c r="G2" s="48">
        <v>43</v>
      </c>
      <c r="H2" s="137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55">
        <v>270</v>
      </c>
      <c r="C3" s="156"/>
      <c r="E3" s="65" t="s">
        <v>67</v>
      </c>
      <c r="F3" s="62" t="s">
        <v>21</v>
      </c>
      <c r="G3" s="49">
        <v>30</v>
      </c>
      <c r="H3" s="138">
        <f>IF(B$27=0,0,G3/B$27)</f>
        <v>0.66666666666666663</v>
      </c>
      <c r="I3" s="100">
        <v>1</v>
      </c>
      <c r="K3" s="40">
        <v>1</v>
      </c>
      <c r="L3" s="105">
        <v>-28.8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57">
        <v>-9.3999999999999773</v>
      </c>
      <c r="C4" s="158"/>
      <c r="E4" s="65" t="s">
        <v>70</v>
      </c>
      <c r="F4" s="62" t="s">
        <v>24</v>
      </c>
      <c r="G4" s="49">
        <v>24</v>
      </c>
      <c r="H4" s="138">
        <f>IF(B$27=0,0,G4/B$27)</f>
        <v>0.53333333333333333</v>
      </c>
      <c r="I4" s="100">
        <v>1</v>
      </c>
      <c r="K4" s="40">
        <v>2</v>
      </c>
      <c r="L4" s="105">
        <v>89.6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9">
        <f>IF(B$2=0,0,B$4/B$2)</f>
        <v>-0.28484848484848418</v>
      </c>
      <c r="C5" s="160"/>
      <c r="E5" s="65" t="s">
        <v>69</v>
      </c>
      <c r="F5" s="62" t="s">
        <v>23</v>
      </c>
      <c r="G5" s="49">
        <v>23</v>
      </c>
      <c r="H5" s="138">
        <f>IF(B$27=0,0,G5/B$27)</f>
        <v>0.51111111111111107</v>
      </c>
      <c r="I5" s="100">
        <v>12</v>
      </c>
      <c r="K5" s="40">
        <v>3</v>
      </c>
      <c r="L5" s="105">
        <v>-43.199999999999996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47">
        <f>IF(B$2=0,0,(B$7*1+B$8*2+B$9*3)/B$2)</f>
        <v>2.0606060606060606</v>
      </c>
      <c r="C6" s="148"/>
      <c r="E6" s="65" t="s">
        <v>76</v>
      </c>
      <c r="F6" s="62" t="s">
        <v>29</v>
      </c>
      <c r="G6" s="49">
        <v>21</v>
      </c>
      <c r="H6" s="138">
        <f>IF(B$27=0,0,G6/B$27)</f>
        <v>0.46666666666666667</v>
      </c>
      <c r="I6" s="100">
        <v>12</v>
      </c>
      <c r="K6" s="40">
        <v>4</v>
      </c>
      <c r="L6" s="105">
        <v>-85.8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8">
        <f>IF(B$27=0,0,G7/B$27)</f>
        <v>0.37777777777777777</v>
      </c>
      <c r="I7" s="100">
        <v>1</v>
      </c>
      <c r="K7" s="40">
        <v>5</v>
      </c>
      <c r="L7" s="105">
        <v>60.7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8">
        <f>IF(B$27=0,0,G8/B$27)</f>
        <v>0.15555555555555556</v>
      </c>
      <c r="I8" s="100">
        <v>3</v>
      </c>
      <c r="K8" s="40">
        <v>6</v>
      </c>
      <c r="L8" s="105">
        <v>38.200000000000003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8">
        <f>IF(B$27=0,0,G9/B$27)</f>
        <v>0.15555555555555556</v>
      </c>
      <c r="I9" s="100">
        <v>7</v>
      </c>
      <c r="K9" s="40">
        <v>7</v>
      </c>
      <c r="L9" s="105">
        <v>56.8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8">
        <f>IF(B$27=0,0,G10/B$27)</f>
        <v>0.1111111111111111</v>
      </c>
      <c r="I10" s="100">
        <v>9</v>
      </c>
      <c r="K10" s="40">
        <v>8</v>
      </c>
      <c r="L10" s="105">
        <v>-31.599999999999994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8">
        <f>IF(B$27=0,0,G11/B$27)</f>
        <v>8.8888888888888892E-2</v>
      </c>
      <c r="I11" s="100">
        <v>7</v>
      </c>
      <c r="K11" s="40">
        <v>9</v>
      </c>
      <c r="L11" s="105">
        <v>9.4000000000000021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8">
        <f>IF(B$27=0,0,G12/B$27)</f>
        <v>4.4444444444444446E-2</v>
      </c>
      <c r="I12" s="100">
        <v>7</v>
      </c>
      <c r="K12" s="40">
        <v>10</v>
      </c>
      <c r="L12" s="105">
        <v>106.80000000000001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38">
        <f>IF(B$27=0,0,G13/B$27)</f>
        <v>4.4444444444444446E-2</v>
      </c>
      <c r="I13" s="100">
        <v>3</v>
      </c>
      <c r="K13" s="40">
        <v>11</v>
      </c>
      <c r="L13" s="105">
        <v>81.800000000000011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38">
        <f>IF(B$27=0,0,G14/B$27)</f>
        <v>2.2222222222222223E-2</v>
      </c>
      <c r="I14" s="100">
        <v>1</v>
      </c>
      <c r="K14" s="40">
        <v>12</v>
      </c>
      <c r="L14" s="105">
        <v>92.300000000000011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8">
        <f>IF(B$27=0,0,G15/B$27)</f>
        <v>2.2222222222222223E-2</v>
      </c>
      <c r="I15" s="100">
        <v>5</v>
      </c>
      <c r="K15" s="40">
        <v>13</v>
      </c>
      <c r="L15" s="105">
        <v>229.40000000000003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8">
        <f>IF(B$27=0,0,G16/B$27)</f>
        <v>2.2222222222222223E-2</v>
      </c>
      <c r="I16" s="100">
        <v>10</v>
      </c>
      <c r="K16" s="40">
        <v>14</v>
      </c>
      <c r="L16" s="105">
        <v>139.10000000000002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8">
        <f>IF(B$27=0,0,G17/B$27)</f>
        <v>2.2222222222222223E-2</v>
      </c>
      <c r="I17" s="100">
        <v>13</v>
      </c>
      <c r="K17" s="40">
        <v>15</v>
      </c>
      <c r="L17" s="105">
        <v>150.5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8">
        <f>IF(B$27=0,0,G18/B$27)</f>
        <v>2.2222222222222223E-2</v>
      </c>
      <c r="I18" s="100">
        <v>3</v>
      </c>
      <c r="K18" s="40">
        <v>16</v>
      </c>
      <c r="L18" s="105">
        <v>155.80000000000001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8">
        <f>IF(B$27=0,0,G19/B$27)</f>
        <v>2.2222222222222223E-2</v>
      </c>
      <c r="I19" s="100">
        <v>1</v>
      </c>
      <c r="K19" s="40">
        <v>17</v>
      </c>
      <c r="L19" s="105">
        <v>203.90000000000003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131.90000000000003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132.20000000000002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161.40000000000003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123.50000000000003</v>
      </c>
    </row>
    <row r="24" spans="1:17" x14ac:dyDescent="0.4">
      <c r="A24" s="60" t="s">
        <v>199</v>
      </c>
      <c r="B24" s="143">
        <v>109300</v>
      </c>
      <c r="C24" s="144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64.600000000000023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6.3000000000000256</v>
      </c>
    </row>
    <row r="26" spans="1:17" x14ac:dyDescent="0.4">
      <c r="A26" s="56" t="s">
        <v>126</v>
      </c>
      <c r="B26" s="149">
        <v>188</v>
      </c>
      <c r="C26" s="150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109.20000000000003</v>
      </c>
    </row>
    <row r="27" spans="1:17" x14ac:dyDescent="0.4">
      <c r="A27" s="59" t="s">
        <v>127</v>
      </c>
      <c r="B27" s="151">
        <v>45</v>
      </c>
      <c r="C27" s="152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77.500000000000028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22.700000000000031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78.300000000000026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34.500000000000028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-18.799999999999976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-76.999999999999972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-22.799999999999976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43.200000000000024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-26.999999999999979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0657E-89E5-4700-9360-77C89F649285}">
  <sheetPr codeName="Sheet25"/>
  <dimension ref="A1:Q126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139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124</v>
      </c>
      <c r="C2" s="150"/>
      <c r="E2" s="64" t="s">
        <v>71</v>
      </c>
      <c r="F2" s="61" t="s">
        <v>25</v>
      </c>
      <c r="G2" s="48">
        <v>239</v>
      </c>
      <c r="H2" s="137">
        <f>IF(B$27=0,0,G2/B$27)</f>
        <v>0.90874524714828897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-1683.3333333333333</v>
      </c>
      <c r="P2" s="124">
        <v>120</v>
      </c>
      <c r="Q2" s="108">
        <v>-202000</v>
      </c>
    </row>
    <row r="3" spans="1:17" x14ac:dyDescent="0.4">
      <c r="A3" s="57" t="s">
        <v>8</v>
      </c>
      <c r="B3" s="155">
        <v>963</v>
      </c>
      <c r="C3" s="156"/>
      <c r="E3" s="65" t="s">
        <v>69</v>
      </c>
      <c r="F3" s="62" t="s">
        <v>23</v>
      </c>
      <c r="G3" s="49">
        <v>205</v>
      </c>
      <c r="H3" s="138">
        <f>IF(B$27=0,0,G3/B$27)</f>
        <v>0.77946768060836502</v>
      </c>
      <c r="I3" s="100">
        <v>3</v>
      </c>
      <c r="K3" s="40">
        <v>1</v>
      </c>
      <c r="L3" s="105">
        <v>7.8</v>
      </c>
      <c r="N3" s="121" t="s">
        <v>148</v>
      </c>
      <c r="O3" s="128">
        <f t="shared" si="0"/>
        <v>537.28813559322032</v>
      </c>
      <c r="P3" s="125">
        <v>118</v>
      </c>
      <c r="Q3" s="109">
        <v>63400</v>
      </c>
    </row>
    <row r="4" spans="1:17" x14ac:dyDescent="0.4">
      <c r="A4" s="57" t="s">
        <v>6</v>
      </c>
      <c r="B4" s="157">
        <v>-493.49999999999983</v>
      </c>
      <c r="C4" s="158"/>
      <c r="E4" s="65" t="s">
        <v>67</v>
      </c>
      <c r="F4" s="62" t="s">
        <v>21</v>
      </c>
      <c r="G4" s="49">
        <v>159</v>
      </c>
      <c r="H4" s="138">
        <f>IF(B$27=0,0,G4/B$27)</f>
        <v>0.6045627376425855</v>
      </c>
      <c r="I4" s="100">
        <v>5</v>
      </c>
      <c r="K4" s="40">
        <v>2</v>
      </c>
      <c r="L4" s="105">
        <v>-71.699999999999989</v>
      </c>
      <c r="N4" s="121" t="s">
        <v>149</v>
      </c>
      <c r="O4" s="128">
        <f t="shared" si="0"/>
        <v>-37.5</v>
      </c>
      <c r="P4" s="125">
        <v>112</v>
      </c>
      <c r="Q4" s="109">
        <v>-4200</v>
      </c>
    </row>
    <row r="5" spans="1:17" x14ac:dyDescent="0.4">
      <c r="A5" s="57" t="s">
        <v>7</v>
      </c>
      <c r="B5" s="159">
        <f>IF(B$2=0,0,B$4/B$2)</f>
        <v>-3.9798387096774182</v>
      </c>
      <c r="C5" s="160"/>
      <c r="E5" s="65" t="s">
        <v>76</v>
      </c>
      <c r="F5" s="62" t="s">
        <v>29</v>
      </c>
      <c r="G5" s="49">
        <v>154</v>
      </c>
      <c r="H5" s="138">
        <f>IF(B$27=0,0,G5/B$27)</f>
        <v>0.5855513307984791</v>
      </c>
      <c r="I5" s="100">
        <v>6</v>
      </c>
      <c r="K5" s="40">
        <v>3</v>
      </c>
      <c r="L5" s="105">
        <v>-106.3</v>
      </c>
      <c r="N5" s="121" t="s">
        <v>150</v>
      </c>
      <c r="O5" s="128">
        <f t="shared" si="0"/>
        <v>-257.84313725490193</v>
      </c>
      <c r="P5" s="125">
        <v>102</v>
      </c>
      <c r="Q5" s="109">
        <v>-26300</v>
      </c>
    </row>
    <row r="6" spans="1:17" x14ac:dyDescent="0.4">
      <c r="A6" s="57" t="s">
        <v>1</v>
      </c>
      <c r="B6" s="147">
        <f>IF(B$2=0,0,(B$7*1+B$8*2+B$9*3)/B$2)</f>
        <v>2.1693548387096775</v>
      </c>
      <c r="C6" s="148"/>
      <c r="E6" s="65" t="s">
        <v>70</v>
      </c>
      <c r="F6" s="62" t="s">
        <v>24</v>
      </c>
      <c r="G6" s="49">
        <v>93</v>
      </c>
      <c r="H6" s="138">
        <f>IF(B$27=0,0,G6/B$27)</f>
        <v>0.35361216730038025</v>
      </c>
      <c r="I6" s="100">
        <v>5</v>
      </c>
      <c r="K6" s="40">
        <v>4</v>
      </c>
      <c r="L6" s="105">
        <v>-9.9999999999994316E-2</v>
      </c>
      <c r="N6" s="121" t="s">
        <v>151</v>
      </c>
      <c r="O6" s="128">
        <f t="shared" si="0"/>
        <v>-2727.3684210526317</v>
      </c>
      <c r="P6" s="125">
        <v>95</v>
      </c>
      <c r="Q6" s="109">
        <v>-259100</v>
      </c>
    </row>
    <row r="7" spans="1:17" x14ac:dyDescent="0.4">
      <c r="A7" s="57" t="s">
        <v>2</v>
      </c>
      <c r="B7" s="49">
        <v>30</v>
      </c>
      <c r="C7" s="41">
        <f>IF(B$2=0,0,B7/B$2)</f>
        <v>0.24193548387096775</v>
      </c>
      <c r="E7" s="65" t="s">
        <v>72</v>
      </c>
      <c r="F7" s="62" t="s">
        <v>12</v>
      </c>
      <c r="G7" s="49">
        <v>83</v>
      </c>
      <c r="H7" s="138">
        <f>IF(B$27=0,0,G7/B$27)</f>
        <v>0.31558935361216728</v>
      </c>
      <c r="I7" s="100">
        <v>6</v>
      </c>
      <c r="K7" s="40">
        <v>5</v>
      </c>
      <c r="L7" s="105">
        <v>-125.1</v>
      </c>
      <c r="N7" s="122" t="s">
        <v>152</v>
      </c>
      <c r="O7" s="129">
        <f t="shared" si="0"/>
        <v>610.38961038961043</v>
      </c>
      <c r="P7" s="126">
        <v>77</v>
      </c>
      <c r="Q7" s="110">
        <v>47000</v>
      </c>
    </row>
    <row r="8" spans="1:17" x14ac:dyDescent="0.4">
      <c r="A8" s="57" t="s">
        <v>3</v>
      </c>
      <c r="B8" s="49">
        <v>43</v>
      </c>
      <c r="C8" s="41">
        <f>IF(B$2=0,0,B8/B$2)</f>
        <v>0.34677419354838712</v>
      </c>
      <c r="E8" s="65" t="s">
        <v>73</v>
      </c>
      <c r="F8" s="62" t="s">
        <v>26</v>
      </c>
      <c r="G8" s="49">
        <v>41</v>
      </c>
      <c r="H8" s="138">
        <f>IF(B$27=0,0,G8/B$27)</f>
        <v>0.155893536121673</v>
      </c>
      <c r="I8" s="100">
        <v>5</v>
      </c>
      <c r="K8" s="40">
        <v>6</v>
      </c>
      <c r="L8" s="105">
        <v>-152.1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0.41129032258064518</v>
      </c>
      <c r="E9" s="65" t="s">
        <v>94</v>
      </c>
      <c r="F9" s="62" t="s">
        <v>47</v>
      </c>
      <c r="G9" s="49">
        <v>34</v>
      </c>
      <c r="H9" s="138">
        <f>IF(B$27=0,0,G9/B$27)</f>
        <v>0.12927756653992395</v>
      </c>
      <c r="I9" s="100">
        <v>10</v>
      </c>
      <c r="K9" s="40">
        <v>7</v>
      </c>
      <c r="L9" s="105">
        <v>-178.70000000000002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0.18548387096774194</v>
      </c>
      <c r="E10" s="65" t="s">
        <v>74</v>
      </c>
      <c r="F10" s="62" t="s">
        <v>27</v>
      </c>
      <c r="G10" s="49">
        <v>30</v>
      </c>
      <c r="H10" s="138">
        <f>IF(B$27=0,0,G10/B$27)</f>
        <v>0.11406844106463879</v>
      </c>
      <c r="I10" s="100">
        <v>5</v>
      </c>
      <c r="K10" s="40">
        <v>8</v>
      </c>
      <c r="L10" s="105">
        <v>-144.6</v>
      </c>
      <c r="N10" s="120" t="s">
        <v>253</v>
      </c>
      <c r="O10" s="130">
        <f>IF(P10=0,0,Q10/P10)</f>
        <v>-11.053488372093025</v>
      </c>
      <c r="P10" s="124">
        <v>43</v>
      </c>
      <c r="Q10" s="112">
        <v>-475.30000000000007</v>
      </c>
    </row>
    <row r="11" spans="1:17" x14ac:dyDescent="0.4">
      <c r="A11" s="58" t="s">
        <v>155</v>
      </c>
      <c r="B11" s="50">
        <v>17</v>
      </c>
      <c r="C11" s="42">
        <f>IF(B$2=0,0,B11/B$2)</f>
        <v>0.13709677419354838</v>
      </c>
      <c r="E11" s="65" t="s">
        <v>68</v>
      </c>
      <c r="F11" s="62" t="s">
        <v>22</v>
      </c>
      <c r="G11" s="49">
        <v>28</v>
      </c>
      <c r="H11" s="138">
        <f>IF(B$27=0,0,G11/B$27)</f>
        <v>0.10646387832699619</v>
      </c>
      <c r="I11" s="100">
        <v>9</v>
      </c>
      <c r="K11" s="40">
        <v>9</v>
      </c>
      <c r="L11" s="105">
        <v>-200</v>
      </c>
      <c r="N11" s="121" t="s">
        <v>254</v>
      </c>
      <c r="O11" s="131">
        <f>IF(P11=0,0,Q11/P11)</f>
        <v>1.4804347826086954</v>
      </c>
      <c r="P11" s="125">
        <v>46</v>
      </c>
      <c r="Q11" s="113">
        <v>68.099999999999994</v>
      </c>
    </row>
    <row r="12" spans="1:17" x14ac:dyDescent="0.4">
      <c r="A12" s="59" t="s">
        <v>239</v>
      </c>
      <c r="B12" s="51">
        <v>12</v>
      </c>
      <c r="C12" s="44">
        <f>IF(B$2=0,0,B12/B$2)</f>
        <v>9.6774193548387094E-2</v>
      </c>
      <c r="E12" s="65" t="s">
        <v>91</v>
      </c>
      <c r="F12" s="62" t="s">
        <v>44</v>
      </c>
      <c r="G12" s="49">
        <v>24</v>
      </c>
      <c r="H12" s="138">
        <f>IF(B$27=0,0,G12/B$27)</f>
        <v>9.125475285171103E-2</v>
      </c>
      <c r="I12" s="100">
        <v>5</v>
      </c>
      <c r="K12" s="40">
        <v>10</v>
      </c>
      <c r="L12" s="105">
        <v>-239.2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279</v>
      </c>
      <c r="C13" s="46">
        <f>IF(B$26=0,0,B13/B$26)</f>
        <v>0.30129589632829373</v>
      </c>
      <c r="E13" s="65" t="s">
        <v>82</v>
      </c>
      <c r="F13" s="62" t="s">
        <v>35</v>
      </c>
      <c r="G13" s="49">
        <v>10</v>
      </c>
      <c r="H13" s="138">
        <f>IF(B$27=0,0,G13/B$27)</f>
        <v>3.8022813688212927E-2</v>
      </c>
      <c r="I13" s="100">
        <v>5</v>
      </c>
      <c r="K13" s="40">
        <v>11</v>
      </c>
      <c r="L13" s="105">
        <v>-141.9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176</v>
      </c>
      <c r="C14" s="41">
        <f>IF(B$26=0,0,B14/B$26)</f>
        <v>0.19006479481641469</v>
      </c>
      <c r="E14" s="65" t="s">
        <v>88</v>
      </c>
      <c r="F14" s="62" t="s">
        <v>41</v>
      </c>
      <c r="G14" s="49">
        <v>8</v>
      </c>
      <c r="H14" s="138">
        <f>IF(B$27=0,0,G14/B$27)</f>
        <v>3.0418250950570342E-2</v>
      </c>
      <c r="I14" s="100">
        <v>8</v>
      </c>
      <c r="K14" s="40">
        <v>12</v>
      </c>
      <c r="L14" s="105">
        <v>-220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162</v>
      </c>
      <c r="C15" s="39">
        <f>IF(B$13=0,0,B15/B$13)</f>
        <v>0.58064516129032262</v>
      </c>
      <c r="E15" s="65" t="s">
        <v>75</v>
      </c>
      <c r="F15" s="62" t="s">
        <v>28</v>
      </c>
      <c r="G15" s="49">
        <v>7</v>
      </c>
      <c r="H15" s="138">
        <f>IF(B$27=0,0,G15/B$27)</f>
        <v>2.6615969581749048E-2</v>
      </c>
      <c r="I15" s="100">
        <v>10</v>
      </c>
      <c r="K15" s="40">
        <v>13</v>
      </c>
      <c r="L15" s="105">
        <v>-273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68</v>
      </c>
      <c r="C16" s="39">
        <f>IF(B$14=0,0,B16/B$14)</f>
        <v>0.38636363636363635</v>
      </c>
      <c r="E16" s="65" t="s">
        <v>86</v>
      </c>
      <c r="F16" s="62" t="s">
        <v>39</v>
      </c>
      <c r="G16" s="49">
        <v>6</v>
      </c>
      <c r="H16" s="138">
        <f>IF(B$27=0,0,G16/B$27)</f>
        <v>2.2813688212927757E-2</v>
      </c>
      <c r="I16" s="100">
        <v>7</v>
      </c>
      <c r="K16" s="40">
        <v>14</v>
      </c>
      <c r="L16" s="105">
        <v>-227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273</v>
      </c>
      <c r="C17" s="39">
        <f>IF(B$3=0,0,B17/B$3)</f>
        <v>0.2834890965732087</v>
      </c>
      <c r="E17" s="65" t="s">
        <v>96</v>
      </c>
      <c r="F17" s="62" t="s">
        <v>49</v>
      </c>
      <c r="G17" s="49">
        <v>5</v>
      </c>
      <c r="H17" s="138">
        <f>IF(B$27=0,0,G17/B$27)</f>
        <v>1.9011406844106463E-2</v>
      </c>
      <c r="I17" s="100">
        <v>5</v>
      </c>
      <c r="K17" s="40">
        <v>15</v>
      </c>
      <c r="L17" s="105">
        <v>-194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119</v>
      </c>
      <c r="C18" s="41">
        <f>IF(B$17=0,0,B18/B$17)</f>
        <v>0.4358974358974359</v>
      </c>
      <c r="E18" s="65" t="s">
        <v>77</v>
      </c>
      <c r="F18" s="62" t="s">
        <v>30</v>
      </c>
      <c r="G18" s="49">
        <v>4</v>
      </c>
      <c r="H18" s="138">
        <f>IF(B$27=0,0,G18/B$27)</f>
        <v>1.5209125475285171E-2</v>
      </c>
      <c r="I18" s="100">
        <v>3</v>
      </c>
      <c r="K18" s="40">
        <v>16</v>
      </c>
      <c r="L18" s="105">
        <v>-253.89999999999998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154</v>
      </c>
      <c r="C19" s="41">
        <f>IF(B$17=0,0,B19/B$17)</f>
        <v>0.5641025641025641</v>
      </c>
      <c r="E19" s="65" t="s">
        <v>79</v>
      </c>
      <c r="F19" s="62" t="s">
        <v>32</v>
      </c>
      <c r="G19" s="49">
        <v>3</v>
      </c>
      <c r="H19" s="138">
        <f>IF(B$27=0,0,G19/B$27)</f>
        <v>1.1406844106463879E-2</v>
      </c>
      <c r="I19" s="100">
        <v>1</v>
      </c>
      <c r="K19" s="40">
        <v>17</v>
      </c>
      <c r="L19" s="105">
        <v>-304.2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191</v>
      </c>
      <c r="C20" s="41">
        <f>IF(B$3=0,0,B20/B$3)</f>
        <v>0.19833852544132918</v>
      </c>
      <c r="E20" s="65" t="s">
        <v>83</v>
      </c>
      <c r="F20" s="62" t="s">
        <v>36</v>
      </c>
      <c r="G20" s="49">
        <v>3</v>
      </c>
      <c r="H20" s="138">
        <f>IF(B$27=0,0,G20/B$27)</f>
        <v>1.1406844106463879E-2</v>
      </c>
      <c r="I20" s="100">
        <v>8</v>
      </c>
      <c r="K20" s="40">
        <v>18</v>
      </c>
      <c r="L20" s="105">
        <v>-322.90000000000003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10492.307692307691</v>
      </c>
      <c r="C21" s="43">
        <v>2864400</v>
      </c>
      <c r="E21" s="65" t="s">
        <v>98</v>
      </c>
      <c r="F21" s="62" t="s">
        <v>51</v>
      </c>
      <c r="G21" s="49">
        <v>2</v>
      </c>
      <c r="H21" s="138">
        <f>IF(B$27=0,0,G21/B$27)</f>
        <v>7.6045627376425855E-3</v>
      </c>
      <c r="I21" s="100">
        <v>3</v>
      </c>
      <c r="K21" s="40">
        <v>19</v>
      </c>
      <c r="L21" s="105">
        <v>-250.6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-9500.5235602094235</v>
      </c>
      <c r="C22" s="47">
        <v>-1814600</v>
      </c>
      <c r="E22" s="65" t="s">
        <v>78</v>
      </c>
      <c r="F22" s="62" t="s">
        <v>31</v>
      </c>
      <c r="G22" s="49">
        <v>1</v>
      </c>
      <c r="H22" s="138">
        <f>IF(B$27=0,0,G22/B$27)</f>
        <v>3.8022813688212928E-3</v>
      </c>
      <c r="I22" s="100">
        <v>4</v>
      </c>
      <c r="K22" s="40">
        <v>20</v>
      </c>
      <c r="L22" s="105">
        <v>-266.8</v>
      </c>
      <c r="N22" s="121" t="s">
        <v>136</v>
      </c>
      <c r="O22" s="131">
        <f>IF(P22=0,0,Q22/P22)</f>
        <v>-6.7058823529411784</v>
      </c>
      <c r="P22" s="125">
        <v>17</v>
      </c>
      <c r="Q22" s="113">
        <v>-114.00000000000003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1</v>
      </c>
      <c r="H23" s="138">
        <f>IF(B$27=0,0,G23/B$27)</f>
        <v>3.8022813688212928E-3</v>
      </c>
      <c r="I23" s="100">
        <v>6</v>
      </c>
      <c r="K23" s="40">
        <v>21</v>
      </c>
      <c r="L23" s="105">
        <v>-214</v>
      </c>
      <c r="N23" s="121" t="s">
        <v>133</v>
      </c>
      <c r="O23" s="131">
        <f>IF(P23=0,0,Q23/P23)</f>
        <v>-11.471717171717174</v>
      </c>
      <c r="P23" s="125">
        <v>99</v>
      </c>
      <c r="Q23" s="113">
        <v>-1135.7000000000003</v>
      </c>
    </row>
    <row r="24" spans="1:17" x14ac:dyDescent="0.4">
      <c r="A24" s="60" t="s">
        <v>199</v>
      </c>
      <c r="B24" s="143">
        <v>124700</v>
      </c>
      <c r="C24" s="144"/>
      <c r="E24" s="65" t="s">
        <v>89</v>
      </c>
      <c r="F24" s="62" t="s">
        <v>42</v>
      </c>
      <c r="G24" s="49">
        <v>1</v>
      </c>
      <c r="H24" s="138">
        <f>IF(B$27=0,0,G24/B$27)</f>
        <v>3.8022813688212928E-3</v>
      </c>
      <c r="I24" s="100">
        <v>3</v>
      </c>
      <c r="K24" s="40">
        <v>22</v>
      </c>
      <c r="L24" s="105">
        <v>-163.80000000000001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7.2689511941848393E-3</v>
      </c>
      <c r="E25" s="65" t="s">
        <v>90</v>
      </c>
      <c r="F25" s="62" t="s">
        <v>43</v>
      </c>
      <c r="G25" s="49">
        <v>1</v>
      </c>
      <c r="H25" s="138">
        <f>IF(B$27=0,0,G25/B$27)</f>
        <v>3.8022813688212928E-3</v>
      </c>
      <c r="I25" s="100">
        <v>3</v>
      </c>
      <c r="K25" s="40">
        <v>23</v>
      </c>
      <c r="L25" s="105">
        <v>-198.9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9">
        <v>926</v>
      </c>
      <c r="C26" s="150"/>
      <c r="E26" s="65" t="s">
        <v>95</v>
      </c>
      <c r="F26" s="62" t="s">
        <v>48</v>
      </c>
      <c r="G26" s="49">
        <v>1</v>
      </c>
      <c r="H26" s="138">
        <f>IF(B$27=0,0,G26/B$27)</f>
        <v>3.8022813688212928E-3</v>
      </c>
      <c r="I26" s="100">
        <v>1</v>
      </c>
      <c r="K26" s="40">
        <v>24</v>
      </c>
      <c r="L26" s="105">
        <v>-135.5</v>
      </c>
    </row>
    <row r="27" spans="1:17" x14ac:dyDescent="0.4">
      <c r="A27" s="59" t="s">
        <v>127</v>
      </c>
      <c r="B27" s="151">
        <v>263</v>
      </c>
      <c r="C27" s="152"/>
      <c r="E27" s="65" t="s">
        <v>97</v>
      </c>
      <c r="F27" s="62" t="s">
        <v>50</v>
      </c>
      <c r="G27" s="49">
        <v>1</v>
      </c>
      <c r="H27" s="138">
        <f>IF(B$27=0,0,G27/B$27)</f>
        <v>3.8022813688212928E-3</v>
      </c>
      <c r="I27" s="100">
        <v>6</v>
      </c>
      <c r="K27" s="40">
        <v>25</v>
      </c>
      <c r="L27" s="105">
        <v>-265.59999999999997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-295.69999999999993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-336.29999999999995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-284.09999999999991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-188.19999999999993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-275.39999999999998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-273.5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-302.39999999999998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-298.69999999999993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-312.09999999999991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-377.69999999999993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-316.49999999999989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-415.09999999999991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-388.59999999999991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-340.89999999999986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-396.69999999999993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-354.59999999999991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-367.59999999999991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-283.09999999999991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-336.69999999999993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-327.49999999999994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-397.59999999999991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-339.39999999999992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-366.99999999999994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-369.79999999999995</v>
      </c>
    </row>
    <row r="52" spans="5:12" x14ac:dyDescent="0.4">
      <c r="K52" s="40">
        <v>50</v>
      </c>
      <c r="L52" s="105">
        <v>-435.49999999999994</v>
      </c>
    </row>
    <row r="53" spans="5:12" x14ac:dyDescent="0.4">
      <c r="K53" s="40">
        <v>51</v>
      </c>
      <c r="L53" s="105">
        <v>-419.99999999999994</v>
      </c>
    </row>
    <row r="54" spans="5:12" x14ac:dyDescent="0.4">
      <c r="K54" s="40">
        <v>52</v>
      </c>
      <c r="L54" s="105">
        <v>-442.7999999999999</v>
      </c>
    </row>
    <row r="55" spans="5:12" x14ac:dyDescent="0.4">
      <c r="K55" s="40">
        <v>53</v>
      </c>
      <c r="L55" s="105">
        <v>-373.39999999999992</v>
      </c>
    </row>
    <row r="56" spans="5:12" x14ac:dyDescent="0.4">
      <c r="K56" s="40">
        <v>54</v>
      </c>
      <c r="L56" s="105">
        <v>-422.49999999999994</v>
      </c>
    </row>
    <row r="57" spans="5:12" x14ac:dyDescent="0.4">
      <c r="K57" s="40">
        <v>55</v>
      </c>
      <c r="L57" s="105">
        <v>-429.79999999999995</v>
      </c>
    </row>
    <row r="58" spans="5:12" x14ac:dyDescent="0.4">
      <c r="K58" s="40">
        <v>56</v>
      </c>
      <c r="L58" s="105">
        <v>-370.2999999999999</v>
      </c>
    </row>
    <row r="59" spans="5:12" x14ac:dyDescent="0.4">
      <c r="K59" s="40">
        <v>57</v>
      </c>
      <c r="L59" s="105">
        <v>-462.39999999999992</v>
      </c>
    </row>
    <row r="60" spans="5:12" x14ac:dyDescent="0.4">
      <c r="K60" s="40">
        <v>58</v>
      </c>
      <c r="L60" s="105">
        <v>-503.89999999999992</v>
      </c>
    </row>
    <row r="61" spans="5:12" x14ac:dyDescent="0.4">
      <c r="K61" s="40">
        <v>59</v>
      </c>
      <c r="L61" s="105">
        <v>-485.19999999999987</v>
      </c>
    </row>
    <row r="62" spans="5:12" x14ac:dyDescent="0.4">
      <c r="K62" s="40">
        <v>60</v>
      </c>
      <c r="L62" s="105">
        <v>-474.7999999999999</v>
      </c>
    </row>
    <row r="63" spans="5:12" x14ac:dyDescent="0.4">
      <c r="K63" s="40">
        <v>61</v>
      </c>
      <c r="L63" s="105">
        <v>-499.49999999999994</v>
      </c>
    </row>
    <row r="64" spans="5:12" x14ac:dyDescent="0.4">
      <c r="K64" s="40">
        <v>62</v>
      </c>
      <c r="L64" s="105">
        <v>-497.7999999999999</v>
      </c>
    </row>
    <row r="65" spans="11:12" x14ac:dyDescent="0.4">
      <c r="K65" s="40">
        <v>63</v>
      </c>
      <c r="L65" s="105">
        <v>-339.59999999999991</v>
      </c>
    </row>
    <row r="66" spans="11:12" x14ac:dyDescent="0.4">
      <c r="K66" s="40">
        <v>64</v>
      </c>
      <c r="L66" s="105">
        <v>-487.69999999999993</v>
      </c>
    </row>
    <row r="67" spans="11:12" x14ac:dyDescent="0.4">
      <c r="K67" s="40">
        <v>65</v>
      </c>
      <c r="L67" s="105">
        <v>-456.2999999999999</v>
      </c>
    </row>
    <row r="68" spans="11:12" x14ac:dyDescent="0.4">
      <c r="K68" s="40">
        <v>66</v>
      </c>
      <c r="L68" s="105">
        <v>-487.89999999999986</v>
      </c>
    </row>
    <row r="69" spans="11:12" x14ac:dyDescent="0.4">
      <c r="K69" s="40">
        <v>67</v>
      </c>
      <c r="L69" s="105">
        <v>-545.79999999999984</v>
      </c>
    </row>
    <row r="70" spans="11:12" x14ac:dyDescent="0.4">
      <c r="K70" s="40">
        <v>68</v>
      </c>
      <c r="L70" s="105">
        <v>-328.99999999999989</v>
      </c>
    </row>
    <row r="71" spans="11:12" x14ac:dyDescent="0.4">
      <c r="K71" s="40">
        <v>69</v>
      </c>
      <c r="L71" s="105">
        <v>-356.2999999999999</v>
      </c>
    </row>
    <row r="72" spans="11:12" x14ac:dyDescent="0.4">
      <c r="K72" s="40">
        <v>70</v>
      </c>
      <c r="L72" s="105">
        <v>-307.09999999999991</v>
      </c>
    </row>
    <row r="73" spans="11:12" x14ac:dyDescent="0.4">
      <c r="K73" s="40">
        <v>71</v>
      </c>
      <c r="L73" s="105">
        <v>-389.2999999999999</v>
      </c>
    </row>
    <row r="74" spans="11:12" x14ac:dyDescent="0.4">
      <c r="K74" s="40">
        <v>72</v>
      </c>
      <c r="L74" s="105">
        <v>-440.2999999999999</v>
      </c>
    </row>
    <row r="75" spans="11:12" x14ac:dyDescent="0.4">
      <c r="K75" s="40">
        <v>73</v>
      </c>
      <c r="L75" s="105">
        <v>-423.09999999999985</v>
      </c>
    </row>
    <row r="76" spans="11:12" x14ac:dyDescent="0.4">
      <c r="K76" s="40">
        <v>74</v>
      </c>
      <c r="L76" s="105">
        <v>-384.69999999999987</v>
      </c>
    </row>
    <row r="77" spans="11:12" x14ac:dyDescent="0.4">
      <c r="K77" s="40">
        <v>75</v>
      </c>
      <c r="L77" s="105">
        <v>-477.99999999999983</v>
      </c>
    </row>
    <row r="78" spans="11:12" x14ac:dyDescent="0.4">
      <c r="K78" s="40">
        <v>76</v>
      </c>
      <c r="L78" s="105">
        <v>-435.7999999999999</v>
      </c>
    </row>
    <row r="79" spans="11:12" x14ac:dyDescent="0.4">
      <c r="K79" s="40">
        <v>77</v>
      </c>
      <c r="L79" s="105">
        <v>-442.7999999999999</v>
      </c>
    </row>
    <row r="80" spans="11:12" x14ac:dyDescent="0.4">
      <c r="K80" s="40">
        <v>78</v>
      </c>
      <c r="L80" s="105">
        <v>-416.39999999999986</v>
      </c>
    </row>
    <row r="81" spans="11:12" x14ac:dyDescent="0.4">
      <c r="K81" s="40">
        <v>79</v>
      </c>
      <c r="L81" s="105">
        <v>-458.39999999999992</v>
      </c>
    </row>
    <row r="82" spans="11:12" x14ac:dyDescent="0.4">
      <c r="K82" s="40">
        <v>80</v>
      </c>
      <c r="L82" s="105">
        <v>-466.69999999999987</v>
      </c>
    </row>
    <row r="83" spans="11:12" x14ac:dyDescent="0.4">
      <c r="K83" s="40">
        <v>81</v>
      </c>
      <c r="L83" s="105">
        <v>-342.19999999999993</v>
      </c>
    </row>
    <row r="84" spans="11:12" x14ac:dyDescent="0.4">
      <c r="K84" s="40">
        <v>82</v>
      </c>
      <c r="L84" s="105">
        <v>-308.59999999999991</v>
      </c>
    </row>
    <row r="85" spans="11:12" x14ac:dyDescent="0.4">
      <c r="K85" s="40">
        <v>83</v>
      </c>
      <c r="L85" s="105">
        <v>-354.99999999999989</v>
      </c>
    </row>
    <row r="86" spans="11:12" x14ac:dyDescent="0.4">
      <c r="K86" s="40">
        <v>84</v>
      </c>
      <c r="L86" s="105">
        <v>-334.09999999999985</v>
      </c>
    </row>
    <row r="87" spans="11:12" x14ac:dyDescent="0.4">
      <c r="K87" s="40">
        <v>85</v>
      </c>
      <c r="L87" s="105">
        <v>-415.7999999999999</v>
      </c>
    </row>
    <row r="88" spans="11:12" x14ac:dyDescent="0.4">
      <c r="K88" s="40">
        <v>86</v>
      </c>
      <c r="L88" s="105">
        <v>-387.59999999999991</v>
      </c>
    </row>
    <row r="89" spans="11:12" x14ac:dyDescent="0.4">
      <c r="K89" s="40">
        <v>87</v>
      </c>
      <c r="L89" s="105">
        <v>-411.19999999999987</v>
      </c>
    </row>
    <row r="90" spans="11:12" x14ac:dyDescent="0.4">
      <c r="K90" s="40">
        <v>88</v>
      </c>
      <c r="L90" s="105">
        <v>-479.49999999999989</v>
      </c>
    </row>
    <row r="91" spans="11:12" x14ac:dyDescent="0.4">
      <c r="K91" s="40">
        <v>89</v>
      </c>
      <c r="L91" s="105">
        <v>-524.69999999999993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-488.99999999999989</v>
      </c>
    </row>
    <row r="94" spans="11:12" x14ac:dyDescent="0.4">
      <c r="K94" s="40">
        <v>92</v>
      </c>
      <c r="L94" s="105">
        <v>-558.29999999999995</v>
      </c>
    </row>
    <row r="95" spans="11:12" x14ac:dyDescent="0.4">
      <c r="K95" s="40">
        <v>93</v>
      </c>
      <c r="L95" s="105">
        <v>-604.59999999999991</v>
      </c>
    </row>
    <row r="96" spans="11:12" x14ac:dyDescent="0.4">
      <c r="K96" s="40">
        <v>94</v>
      </c>
      <c r="L96" s="105">
        <v>-558.79999999999984</v>
      </c>
    </row>
    <row r="97" spans="11:12" x14ac:dyDescent="0.4">
      <c r="K97" s="40">
        <v>95</v>
      </c>
      <c r="L97" s="105">
        <v>-527.79999999999984</v>
      </c>
    </row>
    <row r="98" spans="11:12" x14ac:dyDescent="0.4">
      <c r="K98" s="40">
        <v>96</v>
      </c>
      <c r="L98" s="105">
        <v>-482.7999999999999</v>
      </c>
    </row>
    <row r="99" spans="11:12" x14ac:dyDescent="0.4">
      <c r="K99" s="40">
        <v>97</v>
      </c>
      <c r="L99" s="105">
        <v>-386.19999999999993</v>
      </c>
    </row>
    <row r="100" spans="11:12" x14ac:dyDescent="0.4">
      <c r="K100" s="40">
        <v>98</v>
      </c>
      <c r="L100" s="105">
        <v>-507.49999999999994</v>
      </c>
    </row>
    <row r="101" spans="11:12" x14ac:dyDescent="0.4">
      <c r="K101" s="40">
        <v>99</v>
      </c>
      <c r="L101" s="105">
        <v>-431.69999999999993</v>
      </c>
    </row>
    <row r="102" spans="11:12" x14ac:dyDescent="0.4">
      <c r="K102" s="40">
        <v>100</v>
      </c>
      <c r="L102" s="105">
        <v>-556.19999999999993</v>
      </c>
    </row>
    <row r="103" spans="11:12" x14ac:dyDescent="0.4">
      <c r="K103" s="40">
        <v>101</v>
      </c>
      <c r="L103" s="105">
        <v>-502.09999999999991</v>
      </c>
    </row>
    <row r="104" spans="11:12" x14ac:dyDescent="0.4">
      <c r="K104" s="40">
        <v>102</v>
      </c>
      <c r="L104" s="105">
        <v>-401.2999999999999</v>
      </c>
    </row>
    <row r="105" spans="11:12" x14ac:dyDescent="0.4">
      <c r="K105" s="40">
        <v>103</v>
      </c>
      <c r="L105" s="105">
        <v>-502.79999999999995</v>
      </c>
    </row>
    <row r="106" spans="11:12" x14ac:dyDescent="0.4">
      <c r="K106" s="40">
        <v>104</v>
      </c>
      <c r="L106" s="105">
        <v>-476.69999999999993</v>
      </c>
    </row>
    <row r="107" spans="11:12" x14ac:dyDescent="0.4">
      <c r="K107" s="40">
        <v>105</v>
      </c>
      <c r="L107" s="105">
        <v>-478.99999999999989</v>
      </c>
    </row>
    <row r="108" spans="11:12" x14ac:dyDescent="0.4">
      <c r="K108" s="40">
        <v>106</v>
      </c>
      <c r="L108" s="105">
        <v>-361.69999999999993</v>
      </c>
    </row>
    <row r="109" spans="11:12" x14ac:dyDescent="0.4">
      <c r="K109" s="40">
        <v>107</v>
      </c>
      <c r="L109" s="105">
        <v>-453.49999999999994</v>
      </c>
    </row>
    <row r="110" spans="11:12" x14ac:dyDescent="0.4">
      <c r="K110" s="40">
        <v>108</v>
      </c>
      <c r="L110" s="105">
        <v>-469.9</v>
      </c>
    </row>
    <row r="111" spans="11:12" x14ac:dyDescent="0.4">
      <c r="K111" s="40">
        <v>109</v>
      </c>
      <c r="L111" s="105">
        <v>-444.29999999999995</v>
      </c>
    </row>
    <row r="112" spans="11:12" x14ac:dyDescent="0.4">
      <c r="K112" s="40">
        <v>110</v>
      </c>
      <c r="L112" s="105">
        <v>-447.19999999999993</v>
      </c>
    </row>
    <row r="113" spans="11:12" x14ac:dyDescent="0.4">
      <c r="K113" s="40">
        <v>111</v>
      </c>
      <c r="L113" s="105">
        <v>-492.7999999999999</v>
      </c>
    </row>
    <row r="114" spans="11:12" x14ac:dyDescent="0.4">
      <c r="K114" s="40">
        <v>112</v>
      </c>
      <c r="L114" s="105">
        <v>-471.99999999999994</v>
      </c>
    </row>
    <row r="115" spans="11:12" x14ac:dyDescent="0.4">
      <c r="K115" s="40">
        <v>113</v>
      </c>
      <c r="L115" s="105">
        <v>-467.59999999999991</v>
      </c>
    </row>
    <row r="116" spans="11:12" x14ac:dyDescent="0.4">
      <c r="K116" s="40">
        <v>114</v>
      </c>
      <c r="L116" s="105">
        <v>-480.7999999999999</v>
      </c>
    </row>
    <row r="117" spans="11:12" x14ac:dyDescent="0.4">
      <c r="K117" s="40">
        <v>115</v>
      </c>
      <c r="L117" s="105">
        <v>-411.69999999999993</v>
      </c>
    </row>
    <row r="118" spans="11:12" x14ac:dyDescent="0.4">
      <c r="K118" s="40">
        <v>116</v>
      </c>
      <c r="L118" s="105">
        <v>-437.39999999999992</v>
      </c>
    </row>
    <row r="119" spans="11:12" x14ac:dyDescent="0.4">
      <c r="K119" s="40">
        <v>117</v>
      </c>
      <c r="L119" s="105">
        <v>-466.39999999999992</v>
      </c>
    </row>
    <row r="120" spans="11:12" x14ac:dyDescent="0.4">
      <c r="K120" s="40">
        <v>118</v>
      </c>
      <c r="L120" s="105">
        <v>-487.19999999999987</v>
      </c>
    </row>
    <row r="121" spans="11:12" x14ac:dyDescent="0.4">
      <c r="K121" s="40">
        <v>119</v>
      </c>
      <c r="L121" s="105">
        <v>-468.09999999999985</v>
      </c>
    </row>
    <row r="122" spans="11:12" x14ac:dyDescent="0.4">
      <c r="K122" s="40">
        <v>120</v>
      </c>
      <c r="L122" s="105">
        <v>-535.19999999999982</v>
      </c>
    </row>
    <row r="123" spans="11:12" x14ac:dyDescent="0.4">
      <c r="K123" s="40">
        <v>121</v>
      </c>
      <c r="L123" s="105">
        <v>-517.19999999999982</v>
      </c>
    </row>
    <row r="124" spans="11:12" x14ac:dyDescent="0.4">
      <c r="K124" s="40">
        <v>122</v>
      </c>
      <c r="L124" s="105">
        <v>-474.49999999999983</v>
      </c>
    </row>
    <row r="125" spans="11:12" x14ac:dyDescent="0.4">
      <c r="K125" s="40">
        <v>123</v>
      </c>
      <c r="L125" s="105">
        <v>-508.09999999999985</v>
      </c>
    </row>
    <row r="126" spans="11:12" x14ac:dyDescent="0.4">
      <c r="K126" s="40">
        <v>124</v>
      </c>
      <c r="L126" s="105">
        <v>-486.89999999999981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C9671-C8B0-4BB2-80C4-C4B01762B0B8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194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</v>
      </c>
      <c r="C2" s="150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5">
        <v>50</v>
      </c>
      <c r="C3" s="156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56.6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7">
        <v>47</v>
      </c>
      <c r="C4" s="158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114.3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9">
        <f>IF(B$2=0,0,B$4/B$2)</f>
        <v>7.833333333333333</v>
      </c>
      <c r="C5" s="160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43.3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7">
        <f>IF(B$2=0,0,(B$7*1+B$8*2+B$9*3)/B$2)</f>
        <v>1.8333333333333333</v>
      </c>
      <c r="C6" s="148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4</v>
      </c>
      <c r="K6" s="40">
        <v>4</v>
      </c>
      <c r="L6" s="105">
        <v>71.7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113.5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78000</v>
      </c>
      <c r="C24" s="14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50</v>
      </c>
      <c r="C26" s="150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1">
        <v>19</v>
      </c>
      <c r="C27" s="152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708A-FD7D-4608-9082-59AD2F3FBA32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31</v>
      </c>
      <c r="C2" s="150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55">
        <v>238</v>
      </c>
      <c r="C3" s="156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30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57">
        <v>-334.9</v>
      </c>
      <c r="C4" s="158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10</v>
      </c>
      <c r="K4" s="40">
        <v>2</v>
      </c>
      <c r="L4" s="105">
        <v>-63.599999999999994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9">
        <f>IF(B$2=0,0,B$4/B$2)</f>
        <v>-10.803225806451612</v>
      </c>
      <c r="C5" s="160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-6.8999999999999986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47">
        <f>IF(B$2=0,0,(B$7*1+B$8*2+B$9*3)/B$2)</f>
        <v>2.3225806451612905</v>
      </c>
      <c r="C6" s="148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13</v>
      </c>
      <c r="K6" s="40">
        <v>4</v>
      </c>
      <c r="L6" s="105">
        <v>25.8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14.100000000000001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3</v>
      </c>
      <c r="K8" s="40">
        <v>6</v>
      </c>
      <c r="L8" s="105">
        <v>-5.1999999999999993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13</v>
      </c>
      <c r="K9" s="40">
        <v>7</v>
      </c>
      <c r="L9" s="105">
        <v>52.2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-36.199999999999996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10</v>
      </c>
      <c r="K11" s="40">
        <v>9</v>
      </c>
      <c r="L11" s="105">
        <v>-14.299999999999997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-39.199999999999996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-115.7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-17.599999999999998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21.600000000000009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-0.49999999999999467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-82.6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-6.9999999999999929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-54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-81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-59.6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-116.4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45">
        <v>5</v>
      </c>
      <c r="C23" s="146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-163.4</v>
      </c>
    </row>
    <row r="24" spans="1:17" x14ac:dyDescent="0.4">
      <c r="A24" s="60" t="s">
        <v>199</v>
      </c>
      <c r="B24" s="143">
        <v>67700</v>
      </c>
      <c r="C24" s="144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-172.8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-151.30000000000001</v>
      </c>
    </row>
    <row r="26" spans="1:17" x14ac:dyDescent="0.4">
      <c r="A26" s="56" t="s">
        <v>126</v>
      </c>
      <c r="B26" s="149">
        <v>238</v>
      </c>
      <c r="C26" s="150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-241.90000000000003</v>
      </c>
    </row>
    <row r="27" spans="1:17" x14ac:dyDescent="0.4">
      <c r="A27" s="59" t="s">
        <v>127</v>
      </c>
      <c r="B27" s="151">
        <v>50</v>
      </c>
      <c r="C27" s="152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-283.90000000000003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-314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-256.39999999999998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-300.7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-218.7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-324.59999999999997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-381.9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30BFC-2970-40E2-AAB0-EE1022884CD7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250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11</v>
      </c>
      <c r="C2" s="150"/>
      <c r="E2" s="64" t="s">
        <v>71</v>
      </c>
      <c r="F2" s="61" t="s">
        <v>25</v>
      </c>
      <c r="G2" s="48">
        <v>16</v>
      </c>
      <c r="H2" s="137">
        <f>IF(B$27=0,0,G2/B$27)</f>
        <v>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-381.81818181818181</v>
      </c>
      <c r="P2" s="124">
        <v>11</v>
      </c>
      <c r="Q2" s="108">
        <v>-4200</v>
      </c>
    </row>
    <row r="3" spans="1:17" x14ac:dyDescent="0.4">
      <c r="A3" s="57" t="s">
        <v>8</v>
      </c>
      <c r="B3" s="155">
        <v>82</v>
      </c>
      <c r="C3" s="156"/>
      <c r="E3" s="65" t="s">
        <v>76</v>
      </c>
      <c r="F3" s="62" t="s">
        <v>29</v>
      </c>
      <c r="G3" s="49">
        <v>12</v>
      </c>
      <c r="H3" s="138">
        <f>IF(B$27=0,0,G3/B$27)</f>
        <v>0.75</v>
      </c>
      <c r="I3" s="100">
        <v>2</v>
      </c>
      <c r="K3" s="40">
        <v>1</v>
      </c>
      <c r="L3" s="105">
        <v>8</v>
      </c>
      <c r="N3" s="121" t="s">
        <v>148</v>
      </c>
      <c r="O3" s="128">
        <f t="shared" si="0"/>
        <v>-3318.181818181818</v>
      </c>
      <c r="P3" s="125">
        <v>11</v>
      </c>
      <c r="Q3" s="109">
        <v>-36500</v>
      </c>
    </row>
    <row r="4" spans="1:17" x14ac:dyDescent="0.4">
      <c r="A4" s="57" t="s">
        <v>6</v>
      </c>
      <c r="B4" s="157">
        <v>-143.6</v>
      </c>
      <c r="C4" s="158"/>
      <c r="E4" s="65" t="s">
        <v>69</v>
      </c>
      <c r="F4" s="62" t="s">
        <v>23</v>
      </c>
      <c r="G4" s="49">
        <v>11</v>
      </c>
      <c r="H4" s="138">
        <f>IF(B$27=0,0,G4/B$27)</f>
        <v>0.6875</v>
      </c>
      <c r="I4" s="100">
        <v>9</v>
      </c>
      <c r="K4" s="40">
        <v>2</v>
      </c>
      <c r="L4" s="105">
        <v>3.4000000000000004</v>
      </c>
      <c r="N4" s="121" t="s">
        <v>149</v>
      </c>
      <c r="O4" s="128">
        <f t="shared" si="0"/>
        <v>-8363.636363636364</v>
      </c>
      <c r="P4" s="125">
        <v>11</v>
      </c>
      <c r="Q4" s="109">
        <v>-92000</v>
      </c>
    </row>
    <row r="5" spans="1:17" x14ac:dyDescent="0.4">
      <c r="A5" s="57" t="s">
        <v>7</v>
      </c>
      <c r="B5" s="159">
        <f>IF(B$2=0,0,B$4/B$2)</f>
        <v>-13.054545454545455</v>
      </c>
      <c r="C5" s="160"/>
      <c r="E5" s="65" t="s">
        <v>67</v>
      </c>
      <c r="F5" s="62" t="s">
        <v>21</v>
      </c>
      <c r="G5" s="49">
        <v>5</v>
      </c>
      <c r="H5" s="138">
        <f>IF(B$27=0,0,G5/B$27)</f>
        <v>0.3125</v>
      </c>
      <c r="I5" s="100">
        <v>12</v>
      </c>
      <c r="K5" s="40">
        <v>3</v>
      </c>
      <c r="L5" s="105">
        <v>51.900000000000006</v>
      </c>
      <c r="N5" s="121" t="s">
        <v>150</v>
      </c>
      <c r="O5" s="128">
        <f t="shared" si="0"/>
        <v>662.5</v>
      </c>
      <c r="P5" s="125">
        <v>8</v>
      </c>
      <c r="Q5" s="109">
        <v>5300</v>
      </c>
    </row>
    <row r="6" spans="1:17" x14ac:dyDescent="0.4">
      <c r="A6" s="57" t="s">
        <v>1</v>
      </c>
      <c r="B6" s="147">
        <f>IF(B$2=0,0,(B$7*1+B$8*2+B$9*3)/B$2)</f>
        <v>2.3636363636363638</v>
      </c>
      <c r="C6" s="148"/>
      <c r="E6" s="65" t="s">
        <v>70</v>
      </c>
      <c r="F6" s="62" t="s">
        <v>24</v>
      </c>
      <c r="G6" s="49">
        <v>3</v>
      </c>
      <c r="H6" s="138">
        <f>IF(B$27=0,0,G6/B$27)</f>
        <v>0.1875</v>
      </c>
      <c r="I6" s="100">
        <v>11</v>
      </c>
      <c r="K6" s="40">
        <v>4</v>
      </c>
      <c r="L6" s="105">
        <v>76.8</v>
      </c>
      <c r="N6" s="121" t="s">
        <v>151</v>
      </c>
      <c r="O6" s="128">
        <f t="shared" si="0"/>
        <v>-1985.7142857142858</v>
      </c>
      <c r="P6" s="125">
        <v>7</v>
      </c>
      <c r="Q6" s="109">
        <v>-13900</v>
      </c>
    </row>
    <row r="7" spans="1:17" x14ac:dyDescent="0.4">
      <c r="A7" s="57" t="s">
        <v>2</v>
      </c>
      <c r="B7" s="49">
        <v>2</v>
      </c>
      <c r="C7" s="41">
        <f>IF(B$2=0,0,B7/B$2)</f>
        <v>0.18181818181818182</v>
      </c>
      <c r="E7" s="65" t="s">
        <v>72</v>
      </c>
      <c r="F7" s="62" t="s">
        <v>12</v>
      </c>
      <c r="G7" s="49">
        <v>3</v>
      </c>
      <c r="H7" s="138">
        <f>IF(B$27=0,0,G7/B$27)</f>
        <v>0.1875</v>
      </c>
      <c r="I7" s="100">
        <v>12</v>
      </c>
      <c r="K7" s="40">
        <v>5</v>
      </c>
      <c r="L7" s="105">
        <v>-22.299999999999997</v>
      </c>
      <c r="N7" s="122" t="s">
        <v>152</v>
      </c>
      <c r="O7" s="129">
        <f t="shared" si="0"/>
        <v>-460</v>
      </c>
      <c r="P7" s="126">
        <v>5</v>
      </c>
      <c r="Q7" s="110">
        <v>-2300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74</v>
      </c>
      <c r="F8" s="62" t="s">
        <v>27</v>
      </c>
      <c r="G8" s="49">
        <v>3</v>
      </c>
      <c r="H8" s="138">
        <f>IF(B$27=0,0,G8/B$27)</f>
        <v>0.1875</v>
      </c>
      <c r="I8" s="100">
        <v>2</v>
      </c>
      <c r="K8" s="40">
        <v>6</v>
      </c>
      <c r="L8" s="105">
        <v>-56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0.54545454545454541</v>
      </c>
      <c r="E9" s="65" t="s">
        <v>94</v>
      </c>
      <c r="F9" s="62" t="s">
        <v>47</v>
      </c>
      <c r="G9" s="49">
        <v>3</v>
      </c>
      <c r="H9" s="138">
        <f>IF(B$27=0,0,G9/B$27)</f>
        <v>0.1875</v>
      </c>
      <c r="I9" s="100">
        <v>2</v>
      </c>
      <c r="K9" s="40">
        <v>7</v>
      </c>
      <c r="L9" s="105">
        <v>-43.1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0.36363636363636365</v>
      </c>
      <c r="E10" s="65" t="s">
        <v>88</v>
      </c>
      <c r="F10" s="62" t="s">
        <v>41</v>
      </c>
      <c r="G10" s="49">
        <v>2</v>
      </c>
      <c r="H10" s="138">
        <f>IF(B$27=0,0,G10/B$27)</f>
        <v>0.125</v>
      </c>
      <c r="I10" s="100">
        <v>3</v>
      </c>
      <c r="K10" s="40">
        <v>8</v>
      </c>
      <c r="L10" s="105">
        <v>-30.400000000000002</v>
      </c>
      <c r="N10" s="120" t="s">
        <v>253</v>
      </c>
      <c r="O10" s="130">
        <f>IF(P10=0,0,Q10/P10)</f>
        <v>-14.612499999999999</v>
      </c>
      <c r="P10" s="124">
        <v>8</v>
      </c>
      <c r="Q10" s="112">
        <v>-116.89999999999999</v>
      </c>
    </row>
    <row r="11" spans="1:17" x14ac:dyDescent="0.4">
      <c r="A11" s="58" t="s">
        <v>155</v>
      </c>
      <c r="B11" s="50">
        <v>1</v>
      </c>
      <c r="C11" s="42">
        <f>IF(B$2=0,0,B11/B$2)</f>
        <v>9.0909090909090912E-2</v>
      </c>
      <c r="E11" s="65" t="s">
        <v>83</v>
      </c>
      <c r="F11" s="62" t="s">
        <v>36</v>
      </c>
      <c r="G11" s="49">
        <v>1</v>
      </c>
      <c r="H11" s="138">
        <f>IF(B$27=0,0,G11/B$27)</f>
        <v>6.25E-2</v>
      </c>
      <c r="I11" s="100">
        <v>2</v>
      </c>
      <c r="K11" s="40">
        <v>9</v>
      </c>
      <c r="L11" s="105">
        <v>-110.1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9.0909090909090912E-2</v>
      </c>
      <c r="E12" s="65" t="s">
        <v>86</v>
      </c>
      <c r="F12" s="62" t="s">
        <v>39</v>
      </c>
      <c r="G12" s="49">
        <v>1</v>
      </c>
      <c r="H12" s="138">
        <f>IF(B$27=0,0,G12/B$27)</f>
        <v>6.25E-2</v>
      </c>
      <c r="I12" s="100">
        <v>1</v>
      </c>
      <c r="K12" s="40">
        <v>10</v>
      </c>
      <c r="L12" s="105">
        <v>-161.19999999999999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0.14634146341463414</v>
      </c>
      <c r="E13" s="65" t="s">
        <v>91</v>
      </c>
      <c r="F13" s="62" t="s">
        <v>44</v>
      </c>
      <c r="G13" s="49">
        <v>1</v>
      </c>
      <c r="H13" s="138">
        <f>IF(B$27=0,0,G13/B$27)</f>
        <v>6.25E-2</v>
      </c>
      <c r="I13" s="100">
        <v>8</v>
      </c>
      <c r="K13" s="40">
        <v>11</v>
      </c>
      <c r="L13" s="105">
        <v>-171.29999999999998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0.28048780487804881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7</v>
      </c>
      <c r="C16" s="39">
        <f>IF(B$14=0,0,B16/B$14)</f>
        <v>0.30434782608695654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0.1951219512195122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0.4375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139</v>
      </c>
      <c r="O18" s="131">
        <f>IF(P18=0,0,Q18/P18)</f>
        <v>-28.18</v>
      </c>
      <c r="P18" s="125">
        <v>5</v>
      </c>
      <c r="Q18" s="113">
        <v>-140.9</v>
      </c>
    </row>
    <row r="19" spans="1:17" x14ac:dyDescent="0.4">
      <c r="A19" s="57" t="s">
        <v>11</v>
      </c>
      <c r="B19" s="49">
        <v>9</v>
      </c>
      <c r="C19" s="41">
        <f>IF(B$17=0,0,B19/B$17)</f>
        <v>0.5625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133</v>
      </c>
      <c r="O19" s="131">
        <f>IF(P19=0,0,Q19/P19)</f>
        <v>-30.228571428571424</v>
      </c>
      <c r="P19" s="125">
        <v>7</v>
      </c>
      <c r="Q19" s="113">
        <v>-211.59999999999997</v>
      </c>
    </row>
    <row r="20" spans="1:17" x14ac:dyDescent="0.4">
      <c r="A20" s="57" t="s">
        <v>13</v>
      </c>
      <c r="B20" s="49">
        <v>20</v>
      </c>
      <c r="C20" s="41">
        <f>IF(B$3=0,0,B20/B$3)</f>
        <v>0.24390243902439024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134</v>
      </c>
      <c r="O20" s="131">
        <f>IF(P20=0,0,Q20/P20)</f>
        <v>-53.3</v>
      </c>
      <c r="P20" s="125">
        <v>2</v>
      </c>
      <c r="Q20" s="113">
        <v>-106.6</v>
      </c>
    </row>
    <row r="21" spans="1:17" x14ac:dyDescent="0.4">
      <c r="A21" s="57" t="s">
        <v>5</v>
      </c>
      <c r="B21" s="53">
        <f>IF(B$17=0,0,C21/B$17)</f>
        <v>8712.5</v>
      </c>
      <c r="C21" s="43">
        <v>139400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7</v>
      </c>
    </row>
    <row r="22" spans="1:17" x14ac:dyDescent="0.4">
      <c r="A22" s="59" t="s">
        <v>14</v>
      </c>
      <c r="B22" s="54">
        <f>IF(B$20=0,0,C22/B$20)</f>
        <v>-9550</v>
      </c>
      <c r="C22" s="47">
        <v>-191000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5</v>
      </c>
      <c r="C23" s="14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59500</v>
      </c>
      <c r="C24" s="14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82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16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0EFE2-C180-4E6A-BA5E-E6E8F6AF8BC6}">
  <sheetPr codeName="Sheet33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B39B-5556-4CEE-85D7-5A29B20329B0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C0FC8-C251-497D-9BEA-F7A6DC472D1E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C383-6204-44BE-8DD8-3E7D87B79F20}">
  <sheetPr codeName="Sheet26"/>
  <dimension ref="A1:Q12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F9394-A701-47A9-AA6B-1A19D7BE2E77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AAC91-8256-4D8F-9DE3-7027A931F0C0}">
  <sheetPr codeName="Sheet22"/>
  <dimension ref="A1:Q11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A7E1-DC9E-4EFC-9285-653A741BF60E}">
  <sheetPr codeName="Sheet20"/>
  <dimension ref="A1:Q7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B09C7-EA31-4237-808C-D31705153FC1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4C9E-7638-428C-B132-B406A6DAE67E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E67B-325D-4189-8729-8CCBEF1745B9}">
  <sheetPr codeName="Sheet14"/>
  <dimension ref="A1:Q1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015EC-7A08-41F3-91B8-49B41EAE8932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CF53B-AF94-4BCF-B45A-0CB27601361D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787D-C439-4D3E-BF98-3E48F0E50223}">
  <sheetPr codeName="Sheet8"/>
  <dimension ref="A1:Q24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15DB-D9FF-48EB-AB5A-2BE2934AF892}">
  <sheetPr codeName="Sheet6"/>
  <dimension ref="A1:Q28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2019-02-21T02:27:30Z</dcterms:modified>
</cp:coreProperties>
</file>