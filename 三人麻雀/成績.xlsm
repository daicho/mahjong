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7BF7A58B-A6F2-444C-A78F-83A6D4A04AE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018" r:id="rId6"/>
    <sheet name="だいち" sheetId="4020" r:id="rId7"/>
    <sheet name="かこたろう" sheetId="4022" r:id="rId8"/>
    <sheet name="ともき" sheetId="4024" r:id="rId9"/>
    <sheet name="りくと" sheetId="4026" r:id="rId10"/>
    <sheet name="いっしー" sheetId="4028" r:id="rId11"/>
    <sheet name="がくと" sheetId="4030" r:id="rId12"/>
    <sheet name="たかの" sheetId="4032" r:id="rId13"/>
    <sheet name="ただ" sheetId="4034" r:id="rId14"/>
    <sheet name="やがさき" sheetId="4036" r:id="rId15"/>
    <sheet name="れんたろう" sheetId="4038" r:id="rId16"/>
    <sheet name="あさひ" sheetId="4040" r:id="rId17"/>
    <sheet name="まっつん" sheetId="4042" r:id="rId18"/>
    <sheet name="まっつん2" sheetId="4043" state="hidden" r:id="rId19"/>
    <sheet name="あさひ2" sheetId="4041" state="hidden" r:id="rId20"/>
    <sheet name="れんたろう2" sheetId="4039" state="hidden" r:id="rId21"/>
    <sheet name="やがさき2" sheetId="4037" state="hidden" r:id="rId22"/>
    <sheet name="ただ2" sheetId="4035" state="hidden" r:id="rId23"/>
    <sheet name="たかの2" sheetId="4033" state="hidden" r:id="rId24"/>
    <sheet name="がくと2" sheetId="4031" state="hidden" r:id="rId25"/>
    <sheet name="いっしー2" sheetId="4029" state="hidden" r:id="rId26"/>
    <sheet name="りくと2" sheetId="4027" state="hidden" r:id="rId27"/>
    <sheet name="ともき2" sheetId="4025" state="hidden" r:id="rId28"/>
    <sheet name="かこたろう2" sheetId="4023" state="hidden" r:id="rId29"/>
    <sheet name="だいち2" sheetId="4021" state="hidden" r:id="rId30"/>
    <sheet name="全体2" sheetId="4019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逆転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4028" l="1"/>
  <c r="O15" i="4036"/>
  <c r="O14" i="4036"/>
  <c r="O11" i="4038"/>
  <c r="O13" i="4026" l="1"/>
  <c r="O11" i="4036"/>
  <c r="O13" i="4034"/>
  <c r="O13" i="4036"/>
  <c r="O15" i="4026" l="1"/>
  <c r="O11" i="4042"/>
  <c r="O14" i="4042" l="1"/>
  <c r="O12" i="4020"/>
  <c r="O16" i="4034" l="1"/>
  <c r="O12" i="4040"/>
  <c r="O10" i="4030"/>
  <c r="O11" i="4030"/>
  <c r="O12" i="4038"/>
  <c r="O19" i="4038"/>
  <c r="O10" i="4042"/>
  <c r="O12" i="4042"/>
  <c r="O15" i="4028"/>
  <c r="O13" i="4032"/>
  <c r="O15" i="4042" l="1"/>
  <c r="O13" i="4042"/>
  <c r="H51" i="4042"/>
  <c r="H50" i="4042"/>
  <c r="H49" i="4042"/>
  <c r="H48" i="4042"/>
  <c r="H47" i="4042"/>
  <c r="H46" i="4042"/>
  <c r="H45" i="4042"/>
  <c r="H44" i="4042"/>
  <c r="H43" i="4042"/>
  <c r="H42" i="4042"/>
  <c r="H41" i="4042"/>
  <c r="H40" i="4042"/>
  <c r="H39" i="4042"/>
  <c r="H38" i="4042"/>
  <c r="H37" i="4042"/>
  <c r="H36" i="4042"/>
  <c r="H35" i="4042"/>
  <c r="H34" i="4042"/>
  <c r="H33" i="4042"/>
  <c r="H32" i="4042"/>
  <c r="H20" i="4042"/>
  <c r="H31" i="4042"/>
  <c r="H8" i="4042"/>
  <c r="H30" i="4042"/>
  <c r="H29" i="4042"/>
  <c r="H12" i="4042"/>
  <c r="H19" i="4042"/>
  <c r="C25" i="4042"/>
  <c r="H28" i="4042"/>
  <c r="H6" i="4042"/>
  <c r="H27" i="4042"/>
  <c r="B22" i="4042"/>
  <c r="H16" i="4042"/>
  <c r="H26" i="4042"/>
  <c r="C20" i="4042"/>
  <c r="H25" i="4042"/>
  <c r="H15" i="4042"/>
  <c r="H18" i="4042"/>
  <c r="B17" i="4042"/>
  <c r="C18" i="4042" s="1"/>
  <c r="H17" i="4042"/>
  <c r="C16" i="4042"/>
  <c r="H24" i="4042"/>
  <c r="C15" i="4042"/>
  <c r="H23" i="4042"/>
  <c r="C14" i="4042"/>
  <c r="H22" i="4042"/>
  <c r="C13" i="4042"/>
  <c r="H21" i="4042"/>
  <c r="C12" i="4042"/>
  <c r="H4" i="4042"/>
  <c r="C11" i="4042"/>
  <c r="H14" i="4042"/>
  <c r="C10" i="4042"/>
  <c r="H9" i="4042"/>
  <c r="C9" i="4042"/>
  <c r="H13" i="4042"/>
  <c r="C8" i="4042"/>
  <c r="O7" i="4042"/>
  <c r="H7" i="4042"/>
  <c r="C7" i="4042"/>
  <c r="O6" i="4042"/>
  <c r="H2" i="4042"/>
  <c r="B6" i="4042"/>
  <c r="O5" i="4042"/>
  <c r="H11" i="4042"/>
  <c r="B5" i="4042"/>
  <c r="O4" i="4042"/>
  <c r="H3" i="4042"/>
  <c r="O3" i="4042"/>
  <c r="H10" i="4042"/>
  <c r="O2" i="4042"/>
  <c r="H5" i="4042"/>
  <c r="O10" i="4032"/>
  <c r="O11" i="4034"/>
  <c r="O12" i="4018"/>
  <c r="O17" i="4028"/>
  <c r="O13" i="4030"/>
  <c r="O13" i="4040"/>
  <c r="O10" i="4040"/>
  <c r="C17" i="4042" l="1"/>
  <c r="C19" i="4042"/>
  <c r="B21" i="4042"/>
  <c r="O14" i="4038" l="1"/>
  <c r="O10" i="4026"/>
  <c r="O11" i="4024"/>
  <c r="O13" i="4024"/>
  <c r="O10" i="4038"/>
  <c r="O18" i="4026"/>
  <c r="O21" i="4018"/>
  <c r="O14" i="4040"/>
  <c r="O11" i="4040"/>
  <c r="H51" i="4040"/>
  <c r="H50" i="4040"/>
  <c r="H49" i="4040"/>
  <c r="H48" i="4040"/>
  <c r="H47" i="4040"/>
  <c r="H46" i="4040"/>
  <c r="H45" i="4040"/>
  <c r="H44" i="4040"/>
  <c r="H43" i="4040"/>
  <c r="H42" i="4040"/>
  <c r="H41" i="4040"/>
  <c r="H40" i="4040"/>
  <c r="H39" i="4040"/>
  <c r="H38" i="4040"/>
  <c r="H37" i="4040"/>
  <c r="H36" i="4040"/>
  <c r="H35" i="4040"/>
  <c r="H34" i="4040"/>
  <c r="H33" i="4040"/>
  <c r="H32" i="4040"/>
  <c r="H14" i="4040"/>
  <c r="H31" i="4040"/>
  <c r="H12" i="4040"/>
  <c r="H30" i="4040"/>
  <c r="H29" i="4040"/>
  <c r="H11" i="4040"/>
  <c r="H28" i="4040"/>
  <c r="C25" i="4040"/>
  <c r="H27" i="4040"/>
  <c r="H26" i="4040"/>
  <c r="H25" i="4040"/>
  <c r="B22" i="4040"/>
  <c r="H24" i="4040"/>
  <c r="H23" i="4040"/>
  <c r="C20" i="4040"/>
  <c r="H22" i="4040"/>
  <c r="H21" i="4040"/>
  <c r="H20" i="4040"/>
  <c r="B17" i="4040"/>
  <c r="C19" i="4040" s="1"/>
  <c r="H19" i="4040"/>
  <c r="C16" i="4040"/>
  <c r="H18" i="4040"/>
  <c r="C15" i="4040"/>
  <c r="H17" i="4040"/>
  <c r="C14" i="4040"/>
  <c r="H16" i="4040"/>
  <c r="C13" i="4040"/>
  <c r="H15" i="4040"/>
  <c r="C12" i="4040"/>
  <c r="H5" i="4040"/>
  <c r="C11" i="4040"/>
  <c r="H13" i="4040"/>
  <c r="C10" i="4040"/>
  <c r="H8" i="4040"/>
  <c r="C9" i="4040"/>
  <c r="H10" i="4040"/>
  <c r="C8" i="4040"/>
  <c r="O7" i="4040"/>
  <c r="H7" i="4040"/>
  <c r="C7" i="4040"/>
  <c r="O6" i="4040"/>
  <c r="H4" i="4040"/>
  <c r="B6" i="4040"/>
  <c r="O5" i="4040"/>
  <c r="H6" i="4040"/>
  <c r="B5" i="4040"/>
  <c r="O4" i="4040"/>
  <c r="H3" i="4040"/>
  <c r="O3" i="4040"/>
  <c r="H9" i="4040"/>
  <c r="O2" i="4040"/>
  <c r="H2" i="4040"/>
  <c r="C17" i="4040" l="1"/>
  <c r="B21" i="4040"/>
  <c r="C18" i="4040"/>
  <c r="O11" i="4032" l="1"/>
  <c r="O15" i="4038"/>
  <c r="O11" i="4026"/>
  <c r="O16" i="4032"/>
  <c r="O17" i="4034" l="1"/>
  <c r="O14" i="4028"/>
  <c r="O12" i="4034" l="1"/>
  <c r="O17" i="4038"/>
  <c r="O18" i="4028" l="1"/>
  <c r="O13" i="4038"/>
  <c r="O12" i="4026" l="1"/>
  <c r="O18" i="4038"/>
  <c r="O16" i="4038"/>
  <c r="H51" i="4038"/>
  <c r="H50" i="4038"/>
  <c r="H49" i="4038"/>
  <c r="H48" i="4038"/>
  <c r="H47" i="4038"/>
  <c r="H46" i="4038"/>
  <c r="H45" i="4038"/>
  <c r="H44" i="4038"/>
  <c r="H43" i="4038"/>
  <c r="H42" i="4038"/>
  <c r="H41" i="4038"/>
  <c r="H40" i="4038"/>
  <c r="H39" i="4038"/>
  <c r="H38" i="4038"/>
  <c r="H37" i="4038"/>
  <c r="H36" i="4038"/>
  <c r="H35" i="4038"/>
  <c r="H34" i="4038"/>
  <c r="H25" i="4038"/>
  <c r="H24" i="4038"/>
  <c r="H19" i="4038"/>
  <c r="H33" i="4038"/>
  <c r="H9" i="4038"/>
  <c r="H32" i="4038"/>
  <c r="H31" i="4038"/>
  <c r="H12" i="4038"/>
  <c r="H23" i="4038"/>
  <c r="C25" i="4038"/>
  <c r="H22" i="4038"/>
  <c r="H14" i="4038"/>
  <c r="H30" i="4038"/>
  <c r="B22" i="4038"/>
  <c r="H17" i="4038"/>
  <c r="H29" i="4038"/>
  <c r="C20" i="4038"/>
  <c r="H28" i="4038"/>
  <c r="H21" i="4038"/>
  <c r="H13" i="4038"/>
  <c r="B17" i="4038"/>
  <c r="C18" i="4038" s="1"/>
  <c r="H20" i="4038"/>
  <c r="C16" i="4038"/>
  <c r="H27" i="4038"/>
  <c r="C15" i="4038"/>
  <c r="H18" i="4038"/>
  <c r="C14" i="4038"/>
  <c r="H26" i="4038"/>
  <c r="C13" i="4038"/>
  <c r="H16" i="4038"/>
  <c r="C12" i="4038"/>
  <c r="H4" i="4038"/>
  <c r="C11" i="4038"/>
  <c r="H15" i="4038"/>
  <c r="C10" i="4038"/>
  <c r="H10" i="4038"/>
  <c r="C9" i="4038"/>
  <c r="H8" i="4038"/>
  <c r="C8" i="4038"/>
  <c r="O7" i="4038"/>
  <c r="H7" i="4038"/>
  <c r="C7" i="4038"/>
  <c r="O6" i="4038"/>
  <c r="H2" i="4038"/>
  <c r="B6" i="4038"/>
  <c r="O5" i="4038"/>
  <c r="H6" i="4038"/>
  <c r="B5" i="4038"/>
  <c r="O4" i="4038"/>
  <c r="H3" i="4038"/>
  <c r="O3" i="4038"/>
  <c r="H11" i="4038"/>
  <c r="O2" i="4038"/>
  <c r="H5" i="4038"/>
  <c r="O14" i="4020"/>
  <c r="O15" i="4018"/>
  <c r="C17" i="4038" l="1"/>
  <c r="C19" i="4038"/>
  <c r="B21" i="4038"/>
  <c r="O17" i="4026" l="1"/>
  <c r="O10" i="4034"/>
  <c r="O10" i="4036" l="1"/>
  <c r="O12" i="4036"/>
  <c r="H51" i="4036"/>
  <c r="H50" i="4036"/>
  <c r="H49" i="4036"/>
  <c r="H48" i="4036"/>
  <c r="H47" i="4036"/>
  <c r="H46" i="4036"/>
  <c r="H45" i="4036"/>
  <c r="H44" i="4036"/>
  <c r="H43" i="4036"/>
  <c r="H42" i="4036"/>
  <c r="H41" i="4036"/>
  <c r="H40" i="4036"/>
  <c r="H39" i="4036"/>
  <c r="H38" i="4036"/>
  <c r="H37" i="4036"/>
  <c r="H36" i="4036"/>
  <c r="H35" i="4036"/>
  <c r="H34" i="4036"/>
  <c r="H33" i="4036"/>
  <c r="H15" i="4036"/>
  <c r="H32" i="4036"/>
  <c r="H31" i="4036"/>
  <c r="H14" i="4036"/>
  <c r="H30" i="4036"/>
  <c r="H29" i="4036"/>
  <c r="H13" i="4036"/>
  <c r="H28" i="4036"/>
  <c r="C25" i="4036"/>
  <c r="H27" i="4036"/>
  <c r="H26" i="4036"/>
  <c r="H25" i="4036"/>
  <c r="B22" i="4036"/>
  <c r="H24" i="4036"/>
  <c r="H23" i="4036"/>
  <c r="C20" i="4036"/>
  <c r="H22" i="4036"/>
  <c r="H21" i="4036"/>
  <c r="C18" i="4036"/>
  <c r="H12" i="4036"/>
  <c r="B17" i="4036"/>
  <c r="B21" i="4036" s="1"/>
  <c r="H20" i="4036"/>
  <c r="C16" i="4036"/>
  <c r="H19" i="4036"/>
  <c r="C15" i="4036"/>
  <c r="H18" i="4036"/>
  <c r="C14" i="4036"/>
  <c r="H17" i="4036"/>
  <c r="C13" i="4036"/>
  <c r="H16" i="4036"/>
  <c r="C12" i="4036"/>
  <c r="H7" i="4036"/>
  <c r="C11" i="4036"/>
  <c r="H11" i="4036"/>
  <c r="C10" i="4036"/>
  <c r="H10" i="4036"/>
  <c r="C9" i="4036"/>
  <c r="H9" i="4036"/>
  <c r="C8" i="4036"/>
  <c r="O7" i="4036"/>
  <c r="H6" i="4036"/>
  <c r="C7" i="4036"/>
  <c r="O6" i="4036"/>
  <c r="H2" i="4036"/>
  <c r="B6" i="4036"/>
  <c r="O5" i="4036"/>
  <c r="H4" i="4036"/>
  <c r="B5" i="4036"/>
  <c r="O4" i="4036"/>
  <c r="H5" i="4036"/>
  <c r="O3" i="4036"/>
  <c r="H8" i="4036"/>
  <c r="O2" i="4036"/>
  <c r="H3" i="4036"/>
  <c r="O15" i="4032"/>
  <c r="O17" i="4020"/>
  <c r="O17" i="4018"/>
  <c r="C19" i="4036" l="1"/>
  <c r="C17" i="4036"/>
  <c r="O11" i="4028" l="1"/>
  <c r="O10" i="4022"/>
  <c r="O15" i="4034" l="1"/>
  <c r="O14" i="4034"/>
  <c r="H51" i="4034"/>
  <c r="H50" i="4034"/>
  <c r="H49" i="4034"/>
  <c r="H48" i="4034"/>
  <c r="H47" i="4034"/>
  <c r="H46" i="4034"/>
  <c r="H45" i="4034"/>
  <c r="H44" i="4034"/>
  <c r="H43" i="4034"/>
  <c r="H42" i="4034"/>
  <c r="H41" i="4034"/>
  <c r="H40" i="4034"/>
  <c r="H39" i="4034"/>
  <c r="H38" i="4034"/>
  <c r="H37" i="4034"/>
  <c r="H36" i="4034"/>
  <c r="H35" i="4034"/>
  <c r="H34" i="4034"/>
  <c r="H24" i="4034"/>
  <c r="H33" i="4034"/>
  <c r="H20" i="4034"/>
  <c r="H32" i="4034"/>
  <c r="H9" i="4034"/>
  <c r="H31" i="4034"/>
  <c r="H30" i="4034"/>
  <c r="H14" i="4034"/>
  <c r="H29" i="4034"/>
  <c r="C25" i="4034"/>
  <c r="H23" i="4034"/>
  <c r="H16" i="4034"/>
  <c r="H28" i="4034"/>
  <c r="B22" i="4034"/>
  <c r="H15" i="4034"/>
  <c r="H27" i="4034"/>
  <c r="C20" i="4034"/>
  <c r="H26" i="4034"/>
  <c r="H19" i="4034"/>
  <c r="H12" i="4034"/>
  <c r="B17" i="4034"/>
  <c r="B21" i="4034" s="1"/>
  <c r="H18" i="4034"/>
  <c r="C16" i="4034"/>
  <c r="H25" i="4034"/>
  <c r="C15" i="4034"/>
  <c r="H22" i="4034"/>
  <c r="C14" i="4034"/>
  <c r="H21" i="4034"/>
  <c r="C13" i="4034"/>
  <c r="H17" i="4034"/>
  <c r="C12" i="4034"/>
  <c r="H5" i="4034"/>
  <c r="C11" i="4034"/>
  <c r="H13" i="4034"/>
  <c r="C10" i="4034"/>
  <c r="H11" i="4034"/>
  <c r="C9" i="4034"/>
  <c r="H8" i="4034"/>
  <c r="C8" i="4034"/>
  <c r="O7" i="4034"/>
  <c r="H7" i="4034"/>
  <c r="C7" i="4034"/>
  <c r="O6" i="4034"/>
  <c r="H2" i="4034"/>
  <c r="B6" i="4034"/>
  <c r="O5" i="4034"/>
  <c r="H6" i="4034"/>
  <c r="B5" i="4034"/>
  <c r="O4" i="4034"/>
  <c r="H3" i="4034"/>
  <c r="O3" i="4034"/>
  <c r="H10" i="4034"/>
  <c r="O2" i="4034"/>
  <c r="H4" i="4034"/>
  <c r="O14" i="4032"/>
  <c r="O12" i="4032"/>
  <c r="H51" i="4032"/>
  <c r="H50" i="4032"/>
  <c r="H49" i="4032"/>
  <c r="H48" i="4032"/>
  <c r="H47" i="4032"/>
  <c r="H46" i="4032"/>
  <c r="H45" i="4032"/>
  <c r="H44" i="4032"/>
  <c r="H43" i="4032"/>
  <c r="H42" i="4032"/>
  <c r="H41" i="4032"/>
  <c r="H40" i="4032"/>
  <c r="H39" i="4032"/>
  <c r="H38" i="4032"/>
  <c r="H37" i="4032"/>
  <c r="H36" i="4032"/>
  <c r="H35" i="4032"/>
  <c r="H34" i="4032"/>
  <c r="H33" i="4032"/>
  <c r="H32" i="4032"/>
  <c r="H31" i="4032"/>
  <c r="H30" i="4032"/>
  <c r="H10" i="4032"/>
  <c r="H29" i="4032"/>
  <c r="H28" i="4032"/>
  <c r="H14" i="4032"/>
  <c r="H27" i="4032"/>
  <c r="C25" i="4032"/>
  <c r="H26" i="4032"/>
  <c r="H18" i="4032"/>
  <c r="H25" i="4032"/>
  <c r="B22" i="4032"/>
  <c r="H17" i="4032"/>
  <c r="H24" i="4032"/>
  <c r="C20" i="4032"/>
  <c r="H23" i="4032"/>
  <c r="H15" i="4032"/>
  <c r="H13" i="4032"/>
  <c r="B17" i="4032"/>
  <c r="C18" i="4032" s="1"/>
  <c r="H22" i="4032"/>
  <c r="C16" i="4032"/>
  <c r="H21" i="4032"/>
  <c r="C15" i="4032"/>
  <c r="H16" i="4032"/>
  <c r="C14" i="4032"/>
  <c r="H20" i="4032"/>
  <c r="C13" i="4032"/>
  <c r="H19" i="4032"/>
  <c r="C12" i="4032"/>
  <c r="H4" i="4032"/>
  <c r="C11" i="4032"/>
  <c r="H12" i="4032"/>
  <c r="C10" i="4032"/>
  <c r="H11" i="4032"/>
  <c r="C9" i="4032"/>
  <c r="H9" i="4032"/>
  <c r="C8" i="4032"/>
  <c r="O7" i="4032"/>
  <c r="H6" i="4032"/>
  <c r="C7" i="4032"/>
  <c r="O6" i="4032"/>
  <c r="H2" i="4032"/>
  <c r="B6" i="4032"/>
  <c r="O5" i="4032"/>
  <c r="H8" i="4032"/>
  <c r="B5" i="4032"/>
  <c r="O4" i="4032"/>
  <c r="H3" i="4032"/>
  <c r="O3" i="4032"/>
  <c r="H7" i="4032"/>
  <c r="O2" i="4032"/>
  <c r="H5" i="4032"/>
  <c r="O18" i="4020"/>
  <c r="O13" i="4020"/>
  <c r="O18" i="4018"/>
  <c r="O13" i="4018"/>
  <c r="C18" i="4034" l="1"/>
  <c r="C19" i="4034"/>
  <c r="C17" i="4034"/>
  <c r="B21" i="4032"/>
  <c r="C19" i="4032"/>
  <c r="C17" i="4032"/>
  <c r="O12" i="4028" l="1"/>
  <c r="O14" i="4030"/>
  <c r="O12" i="4030"/>
  <c r="H51" i="4030"/>
  <c r="H50" i="4030"/>
  <c r="H49" i="4030"/>
  <c r="H48" i="4030"/>
  <c r="H47" i="4030"/>
  <c r="H46" i="4030"/>
  <c r="H45" i="4030"/>
  <c r="H44" i="4030"/>
  <c r="H43" i="4030"/>
  <c r="H42" i="4030"/>
  <c r="H41" i="4030"/>
  <c r="H40" i="4030"/>
  <c r="H39" i="4030"/>
  <c r="H38" i="4030"/>
  <c r="H37" i="4030"/>
  <c r="H36" i="4030"/>
  <c r="H35" i="4030"/>
  <c r="H34" i="4030"/>
  <c r="H33" i="4030"/>
  <c r="H32" i="4030"/>
  <c r="H31" i="4030"/>
  <c r="H30" i="4030"/>
  <c r="H29" i="4030"/>
  <c r="H28" i="4030"/>
  <c r="H27" i="4030"/>
  <c r="H11" i="4030"/>
  <c r="H26" i="4030"/>
  <c r="C25" i="4030"/>
  <c r="H25" i="4030"/>
  <c r="H24" i="4030"/>
  <c r="H23" i="4030"/>
  <c r="B22" i="4030"/>
  <c r="H22" i="4030"/>
  <c r="H21" i="4030"/>
  <c r="C20" i="4030"/>
  <c r="H20" i="4030"/>
  <c r="H8" i="4030"/>
  <c r="H19" i="4030"/>
  <c r="B17" i="4030"/>
  <c r="B21" i="4030" s="1"/>
  <c r="H18" i="4030"/>
  <c r="C16" i="4030"/>
  <c r="H17" i="4030"/>
  <c r="C15" i="4030"/>
  <c r="H16" i="4030"/>
  <c r="C14" i="4030"/>
  <c r="H15" i="4030"/>
  <c r="C13" i="4030"/>
  <c r="H14" i="4030"/>
  <c r="C12" i="4030"/>
  <c r="H5" i="4030"/>
  <c r="C11" i="4030"/>
  <c r="H13" i="4030"/>
  <c r="C10" i="4030"/>
  <c r="H12" i="4030"/>
  <c r="C9" i="4030"/>
  <c r="H10" i="4030"/>
  <c r="C8" i="4030"/>
  <c r="O7" i="4030"/>
  <c r="H6" i="4030"/>
  <c r="C7" i="4030"/>
  <c r="O6" i="4030"/>
  <c r="H3" i="4030"/>
  <c r="B6" i="4030"/>
  <c r="O5" i="4030"/>
  <c r="H7" i="4030"/>
  <c r="B5" i="4030"/>
  <c r="O4" i="4030"/>
  <c r="H9" i="4030"/>
  <c r="O3" i="4030"/>
  <c r="H4" i="4030"/>
  <c r="O2" i="4030"/>
  <c r="H2" i="4030"/>
  <c r="O10" i="4020"/>
  <c r="O11" i="4018"/>
  <c r="C18" i="4030" l="1"/>
  <c r="C17" i="4030"/>
  <c r="C19" i="4030"/>
  <c r="O13" i="4028" l="1"/>
  <c r="O16" i="4028"/>
  <c r="H51" i="4028"/>
  <c r="H50" i="4028"/>
  <c r="H49" i="4028"/>
  <c r="H48" i="4028"/>
  <c r="H47" i="4028"/>
  <c r="H46" i="4028"/>
  <c r="H45" i="4028"/>
  <c r="H44" i="4028"/>
  <c r="H43" i="4028"/>
  <c r="H42" i="4028"/>
  <c r="H41" i="4028"/>
  <c r="H40" i="4028"/>
  <c r="H39" i="4028"/>
  <c r="H38" i="4028"/>
  <c r="H37" i="4028"/>
  <c r="H36" i="4028"/>
  <c r="H35" i="4028"/>
  <c r="H34" i="4028"/>
  <c r="H17" i="4028"/>
  <c r="H33" i="4028"/>
  <c r="H32" i="4028"/>
  <c r="H31" i="4028"/>
  <c r="H13" i="4028"/>
  <c r="H30" i="4028"/>
  <c r="H29" i="4028"/>
  <c r="H14" i="4028"/>
  <c r="H28" i="4028"/>
  <c r="C25" i="4028"/>
  <c r="H27" i="4028"/>
  <c r="H9" i="4028"/>
  <c r="H26" i="4028"/>
  <c r="B22" i="4028"/>
  <c r="H12" i="4028"/>
  <c r="H25" i="4028"/>
  <c r="C20" i="4028"/>
  <c r="H24" i="4028"/>
  <c r="H23" i="4028"/>
  <c r="H16" i="4028"/>
  <c r="B17" i="4028"/>
  <c r="C18" i="4028" s="1"/>
  <c r="H22" i="4028"/>
  <c r="C16" i="4028"/>
  <c r="H21" i="4028"/>
  <c r="C15" i="4028"/>
  <c r="H20" i="4028"/>
  <c r="C14" i="4028"/>
  <c r="H19" i="4028"/>
  <c r="C13" i="4028"/>
  <c r="H18" i="4028"/>
  <c r="C12" i="4028"/>
  <c r="H4" i="4028"/>
  <c r="C11" i="4028"/>
  <c r="H15" i="4028"/>
  <c r="C10" i="4028"/>
  <c r="H11" i="4028"/>
  <c r="C9" i="4028"/>
  <c r="H8" i="4028"/>
  <c r="C8" i="4028"/>
  <c r="O7" i="4028"/>
  <c r="H6" i="4028"/>
  <c r="C7" i="4028"/>
  <c r="O6" i="4028"/>
  <c r="H3" i="4028"/>
  <c r="B6" i="4028"/>
  <c r="O5" i="4028"/>
  <c r="H7" i="4028"/>
  <c r="B5" i="4028"/>
  <c r="O4" i="4028"/>
  <c r="H2" i="4028"/>
  <c r="O3" i="4028"/>
  <c r="H10" i="4028"/>
  <c r="O2" i="4028"/>
  <c r="H5" i="4028"/>
  <c r="O14" i="4026"/>
  <c r="O16" i="4026"/>
  <c r="H51" i="4026"/>
  <c r="H50" i="4026"/>
  <c r="H49" i="4026"/>
  <c r="H48" i="4026"/>
  <c r="H47" i="4026"/>
  <c r="H46" i="4026"/>
  <c r="H45" i="4026"/>
  <c r="H44" i="4026"/>
  <c r="H43" i="4026"/>
  <c r="H42" i="4026"/>
  <c r="H41" i="4026"/>
  <c r="H40" i="4026"/>
  <c r="H39" i="4026"/>
  <c r="H38" i="4026"/>
  <c r="H37" i="4026"/>
  <c r="H36" i="4026"/>
  <c r="H35" i="4026"/>
  <c r="H34" i="4026"/>
  <c r="H33" i="4026"/>
  <c r="H20" i="4026"/>
  <c r="H15" i="4026"/>
  <c r="H32" i="4026"/>
  <c r="H9" i="4026"/>
  <c r="H24" i="4026"/>
  <c r="H23" i="4026"/>
  <c r="H12" i="4026"/>
  <c r="H19" i="4026"/>
  <c r="C25" i="4026"/>
  <c r="H22" i="4026"/>
  <c r="H13" i="4026"/>
  <c r="H31" i="4026"/>
  <c r="B22" i="4026"/>
  <c r="H14" i="4026"/>
  <c r="H21" i="4026"/>
  <c r="C20" i="4026"/>
  <c r="H30" i="4026"/>
  <c r="H18" i="4026"/>
  <c r="H17" i="4026"/>
  <c r="B17" i="4026"/>
  <c r="B21" i="4026" s="1"/>
  <c r="H29" i="4026"/>
  <c r="C16" i="4026"/>
  <c r="H28" i="4026"/>
  <c r="C15" i="4026"/>
  <c r="H27" i="4026"/>
  <c r="C14" i="4026"/>
  <c r="H26" i="4026"/>
  <c r="C13" i="4026"/>
  <c r="H25" i="4026"/>
  <c r="C12" i="4026"/>
  <c r="H5" i="4026"/>
  <c r="C11" i="4026"/>
  <c r="H16" i="4026"/>
  <c r="C10" i="4026"/>
  <c r="H10" i="4026"/>
  <c r="C9" i="4026"/>
  <c r="H11" i="4026"/>
  <c r="C8" i="4026"/>
  <c r="O7" i="4026"/>
  <c r="H6" i="4026"/>
  <c r="C7" i="4026"/>
  <c r="O6" i="4026"/>
  <c r="H2" i="4026"/>
  <c r="B6" i="4026"/>
  <c r="O5" i="4026"/>
  <c r="H7" i="4026"/>
  <c r="B5" i="4026"/>
  <c r="O4" i="4026"/>
  <c r="H3" i="4026"/>
  <c r="O3" i="4026"/>
  <c r="H8" i="4026"/>
  <c r="O2" i="4026"/>
  <c r="H4" i="4026"/>
  <c r="O19" i="4020"/>
  <c r="O15" i="4020"/>
  <c r="O19" i="4018"/>
  <c r="O16" i="4018"/>
  <c r="C18" i="4026" l="1"/>
  <c r="C17" i="4026"/>
  <c r="B21" i="4028"/>
  <c r="C19" i="4028"/>
  <c r="C17" i="4028"/>
  <c r="C19" i="4026"/>
  <c r="O10" i="4024" l="1"/>
  <c r="O12" i="4024"/>
  <c r="H51" i="4024"/>
  <c r="H50" i="4024"/>
  <c r="H49" i="4024"/>
  <c r="H48" i="4024"/>
  <c r="H47" i="4024"/>
  <c r="H46" i="4024"/>
  <c r="H45" i="4024"/>
  <c r="H44" i="4024"/>
  <c r="H43" i="4024"/>
  <c r="H42" i="4024"/>
  <c r="H41" i="4024"/>
  <c r="H40" i="4024"/>
  <c r="H39" i="4024"/>
  <c r="H38" i="4024"/>
  <c r="H37" i="4024"/>
  <c r="H36" i="4024"/>
  <c r="H35" i="4024"/>
  <c r="H34" i="4024"/>
  <c r="H33" i="4024"/>
  <c r="H32" i="4024"/>
  <c r="H31" i="4024"/>
  <c r="H30" i="4024"/>
  <c r="H29" i="4024"/>
  <c r="H28" i="4024"/>
  <c r="H27" i="4024"/>
  <c r="H26" i="4024"/>
  <c r="H25" i="4024"/>
  <c r="C25" i="4024"/>
  <c r="H24" i="4024"/>
  <c r="H23" i="4024"/>
  <c r="H22" i="4024"/>
  <c r="B22" i="4024"/>
  <c r="H21" i="4024"/>
  <c r="H20" i="4024"/>
  <c r="C20" i="4024"/>
  <c r="H19" i="4024"/>
  <c r="H18" i="4024"/>
  <c r="H17" i="4024"/>
  <c r="B17" i="4024"/>
  <c r="C18" i="4024" s="1"/>
  <c r="H16" i="4024"/>
  <c r="C16" i="4024"/>
  <c r="H15" i="4024"/>
  <c r="C15" i="4024"/>
  <c r="H14" i="4024"/>
  <c r="C14" i="4024"/>
  <c r="H13" i="4024"/>
  <c r="C13" i="4024"/>
  <c r="H12" i="4024"/>
  <c r="C12" i="4024"/>
  <c r="H11" i="4024"/>
  <c r="C11" i="4024"/>
  <c r="H5" i="4024"/>
  <c r="C10" i="4024"/>
  <c r="H10" i="4024"/>
  <c r="C9" i="4024"/>
  <c r="H4" i="4024"/>
  <c r="C8" i="4024"/>
  <c r="O7" i="4024"/>
  <c r="H9" i="4024"/>
  <c r="C7" i="4024"/>
  <c r="O6" i="4024"/>
  <c r="H8" i="4024"/>
  <c r="B6" i="4024"/>
  <c r="O5" i="4024"/>
  <c r="H2" i="4024"/>
  <c r="B5" i="4024"/>
  <c r="O4" i="4024"/>
  <c r="H7" i="4024"/>
  <c r="O3" i="4024"/>
  <c r="H6" i="4024"/>
  <c r="O2" i="4024"/>
  <c r="H3" i="4024"/>
  <c r="O12" i="4022"/>
  <c r="O11" i="4022"/>
  <c r="H51" i="4022"/>
  <c r="H50" i="4022"/>
  <c r="H49" i="4022"/>
  <c r="H48" i="4022"/>
  <c r="H47" i="4022"/>
  <c r="H46" i="4022"/>
  <c r="H45" i="4022"/>
  <c r="H44" i="4022"/>
  <c r="H43" i="4022"/>
  <c r="H42" i="4022"/>
  <c r="H41" i="4022"/>
  <c r="H40" i="4022"/>
  <c r="H39" i="4022"/>
  <c r="H38" i="4022"/>
  <c r="H37" i="4022"/>
  <c r="H36" i="4022"/>
  <c r="H35" i="4022"/>
  <c r="H34" i="4022"/>
  <c r="H33" i="4022"/>
  <c r="H32" i="4022"/>
  <c r="H31" i="4022"/>
  <c r="H30" i="4022"/>
  <c r="H29" i="4022"/>
  <c r="H28" i="4022"/>
  <c r="H27" i="4022"/>
  <c r="H26" i="4022"/>
  <c r="H25" i="4022"/>
  <c r="C25" i="4022"/>
  <c r="H24" i="4022"/>
  <c r="H23" i="4022"/>
  <c r="H22" i="4022"/>
  <c r="B22" i="4022"/>
  <c r="H21" i="4022"/>
  <c r="H20" i="4022"/>
  <c r="C20" i="4022"/>
  <c r="H19" i="4022"/>
  <c r="H18" i="4022"/>
  <c r="C18" i="4022"/>
  <c r="H17" i="4022"/>
  <c r="C17" i="4022"/>
  <c r="B17" i="4022"/>
  <c r="B21" i="4022" s="1"/>
  <c r="H16" i="4022"/>
  <c r="C16" i="4022"/>
  <c r="H15" i="4022"/>
  <c r="C15" i="4022"/>
  <c r="H14" i="4022"/>
  <c r="C14" i="4022"/>
  <c r="H13" i="4022"/>
  <c r="C13" i="4022"/>
  <c r="H12" i="4022"/>
  <c r="C12" i="4022"/>
  <c r="H11" i="4022"/>
  <c r="C11" i="4022"/>
  <c r="H10" i="4022"/>
  <c r="C10" i="4022"/>
  <c r="H9" i="4022"/>
  <c r="C9" i="4022"/>
  <c r="H8" i="4022"/>
  <c r="C8" i="4022"/>
  <c r="O7" i="4022"/>
  <c r="H7" i="4022"/>
  <c r="C7" i="4022"/>
  <c r="O6" i="4022"/>
  <c r="H6" i="4022"/>
  <c r="B6" i="4022"/>
  <c r="O5" i="4022"/>
  <c r="H5" i="4022"/>
  <c r="B5" i="4022"/>
  <c r="O4" i="4022"/>
  <c r="H4" i="4022"/>
  <c r="O3" i="4022"/>
  <c r="H3" i="4022"/>
  <c r="O2" i="4022"/>
  <c r="H2" i="4022"/>
  <c r="O20" i="4018"/>
  <c r="O16" i="4020"/>
  <c r="O11" i="4020"/>
  <c r="H51" i="4020"/>
  <c r="H50" i="4020"/>
  <c r="H49" i="4020"/>
  <c r="H48" i="4020"/>
  <c r="H47" i="4020"/>
  <c r="H28" i="4020"/>
  <c r="H46" i="4020"/>
  <c r="H45" i="4020"/>
  <c r="H44" i="4020"/>
  <c r="H43" i="4020"/>
  <c r="H42" i="4020"/>
  <c r="H41" i="4020"/>
  <c r="H40" i="4020"/>
  <c r="H39" i="4020"/>
  <c r="H38" i="4020"/>
  <c r="H37" i="4020"/>
  <c r="H27" i="4020"/>
  <c r="H36" i="4020"/>
  <c r="H35" i="4020"/>
  <c r="H22" i="4020"/>
  <c r="H17" i="4020"/>
  <c r="H26" i="4020"/>
  <c r="H8" i="4020"/>
  <c r="H34" i="4020"/>
  <c r="H23" i="4020"/>
  <c r="H13" i="4020"/>
  <c r="H25" i="4020"/>
  <c r="C25" i="4020"/>
  <c r="H33" i="4020"/>
  <c r="H14" i="4020"/>
  <c r="H32" i="4020"/>
  <c r="B22" i="4020"/>
  <c r="H15" i="4020"/>
  <c r="H31" i="4020"/>
  <c r="C20" i="4020"/>
  <c r="H30" i="4020"/>
  <c r="H21" i="4020"/>
  <c r="H16" i="4020"/>
  <c r="B17" i="4020"/>
  <c r="B21" i="4020" s="1"/>
  <c r="H19" i="4020"/>
  <c r="C16" i="4020"/>
  <c r="H29" i="4020"/>
  <c r="C15" i="4020"/>
  <c r="H18" i="4020"/>
  <c r="C14" i="4020"/>
  <c r="H24" i="4020"/>
  <c r="C13" i="4020"/>
  <c r="H20" i="4020"/>
  <c r="C12" i="4020"/>
  <c r="H5" i="4020"/>
  <c r="C11" i="4020"/>
  <c r="H12" i="4020"/>
  <c r="C10" i="4020"/>
  <c r="H11" i="4020"/>
  <c r="C9" i="4020"/>
  <c r="H9" i="4020"/>
  <c r="C8" i="4020"/>
  <c r="O7" i="4020"/>
  <c r="H7" i="4020"/>
  <c r="C7" i="4020"/>
  <c r="O6" i="4020"/>
  <c r="H2" i="4020"/>
  <c r="B6" i="4020"/>
  <c r="O5" i="4020"/>
  <c r="H6" i="4020"/>
  <c r="B5" i="4020"/>
  <c r="O4" i="4020"/>
  <c r="H3" i="4020"/>
  <c r="O3" i="4020"/>
  <c r="H10" i="4020"/>
  <c r="O2" i="4020"/>
  <c r="H4" i="4020"/>
  <c r="O14" i="4018"/>
  <c r="O10" i="4018"/>
  <c r="H51" i="4018"/>
  <c r="H50" i="4018"/>
  <c r="H49" i="4018"/>
  <c r="H48" i="4018"/>
  <c r="H47" i="4018"/>
  <c r="H32" i="4018"/>
  <c r="H46" i="4018"/>
  <c r="H45" i="4018"/>
  <c r="H44" i="4018"/>
  <c r="H43" i="4018"/>
  <c r="H42" i="4018"/>
  <c r="H41" i="4018"/>
  <c r="H40" i="4018"/>
  <c r="H39" i="4018"/>
  <c r="H38" i="4018"/>
  <c r="H37" i="4018"/>
  <c r="H31" i="4018"/>
  <c r="H36" i="4018"/>
  <c r="H26" i="4018"/>
  <c r="H22" i="4018"/>
  <c r="H17" i="4018"/>
  <c r="H30" i="4018"/>
  <c r="H8" i="4018"/>
  <c r="H29" i="4018"/>
  <c r="H25" i="4018"/>
  <c r="H12" i="4018"/>
  <c r="H23" i="4018"/>
  <c r="C25" i="4018"/>
  <c r="H24" i="4018"/>
  <c r="H13" i="4018"/>
  <c r="H35" i="4018"/>
  <c r="B22" i="4018"/>
  <c r="H16" i="4018"/>
  <c r="H28" i="4018"/>
  <c r="C20" i="4018"/>
  <c r="H34" i="4018"/>
  <c r="H18" i="4018"/>
  <c r="H15" i="4018"/>
  <c r="B17" i="4018"/>
  <c r="C18" i="4018" s="1"/>
  <c r="H21" i="4018"/>
  <c r="C16" i="4018"/>
  <c r="H33" i="4018"/>
  <c r="C15" i="4018"/>
  <c r="H20" i="4018"/>
  <c r="C14" i="4018"/>
  <c r="H27" i="4018"/>
  <c r="C13" i="4018"/>
  <c r="H19" i="4018"/>
  <c r="C12" i="4018"/>
  <c r="H4" i="4018"/>
  <c r="C11" i="4018"/>
  <c r="H14" i="4018"/>
  <c r="C10" i="4018"/>
  <c r="H11" i="4018"/>
  <c r="C9" i="4018"/>
  <c r="H9" i="4018"/>
  <c r="C8" i="4018"/>
  <c r="O7" i="4018"/>
  <c r="H7" i="4018"/>
  <c r="C7" i="4018"/>
  <c r="O6" i="4018"/>
  <c r="H2" i="4018"/>
  <c r="B6" i="4018"/>
  <c r="O5" i="4018"/>
  <c r="H6" i="4018"/>
  <c r="B5" i="4018"/>
  <c r="O4" i="4018"/>
  <c r="H3" i="4018"/>
  <c r="O3" i="4018"/>
  <c r="H10" i="4018"/>
  <c r="O2" i="4018"/>
  <c r="H5" i="4018"/>
  <c r="C19" i="4022" l="1"/>
  <c r="C17" i="4024"/>
  <c r="C19" i="4024"/>
  <c r="B21" i="4024"/>
  <c r="C18" i="4020"/>
  <c r="C19" i="4020"/>
  <c r="C17" i="4020"/>
  <c r="C17" i="4018"/>
  <c r="C19" i="4018"/>
  <c r="B21" i="4018"/>
  <c r="H2" i="2228" l="1"/>
  <c r="C12" i="2228"/>
  <c r="C11" i="2228"/>
  <c r="C10" i="2228"/>
  <c r="C8" i="2228"/>
  <c r="O2" i="2228" l="1"/>
  <c r="O7" i="2228"/>
  <c r="O6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<sst xmlns="http://schemas.openxmlformats.org/spreadsheetml/2006/main" count="3196" uniqueCount="244">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</sst>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全体!$K$2:$K$677</c:f>
              <c:numCache>
                <c:formatCode>General</c:formatCode>
                <c:ptCount val="6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</c:numCache>
            </c:numRef>
          </c:xVal>
          <c:yVal>
            <c:numRef>
              <c:f>全体!$L$2:$L$677</c:f>
              <c:numCache>
                <c:formatCode>\+0.0;\-0.0;\±0</c:formatCode>
                <c:ptCount val="676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1F-4124-A5E5-6127A352C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-15.082956259426847</c:v>
                </c:pt>
                <c:pt idx="1">
                  <c:v>0</c:v>
                </c:pt>
                <c:pt idx="2">
                  <c:v>6.7681895093062607</c:v>
                </c:pt>
                <c:pt idx="3">
                  <c:v>3.766478342749529</c:v>
                </c:pt>
                <c:pt idx="4">
                  <c:v>4.4150110375275942</c:v>
                </c:pt>
                <c:pt idx="5">
                  <c:v>-8.4033613445378155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0-4E01-8B72-8A3A0A77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だいち!$K$2:$K$199</c:f>
              <c:numCache>
                <c:formatCode>General</c:formatCode>
                <c:ptCount val="1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</c:numCache>
            </c:numRef>
          </c:xVal>
          <c:yVal>
            <c:numRef>
              <c:f>だいち!$L$2:$L$199</c:f>
              <c:numCache>
                <c:formatCode>\+0.0;\-0.0;\±0</c:formatCode>
                <c:ptCount val="19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6-450A-8BE7-A2DC00E5D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1250.259067357513</c:v>
                </c:pt>
                <c:pt idx="1">
                  <c:v>436.75675675675677</c:v>
                </c:pt>
                <c:pt idx="2">
                  <c:v>1711.1111111111111</c:v>
                </c:pt>
                <c:pt idx="3">
                  <c:v>1454.5454545454545</c:v>
                </c:pt>
                <c:pt idx="4">
                  <c:v>1883.3333333333333</c:v>
                </c:pt>
                <c:pt idx="5">
                  <c:v>1567.9611650485438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2-47B4-B44D-4BDA9D3FC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94-4970-B691-050D3142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9-4B58-A58F-A32F584A5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BD-4F35-AC31-83FAC0003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0-4E4E-830E-59778B94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りくと!$K$2:$K$118</c:f>
              <c:numCache>
                <c:formatCode>General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りくと!$L$2:$L$118</c:f>
              <c:numCache>
                <c:formatCode>\+0.0;\-0.0;\±0</c:formatCode>
                <c:ptCount val="11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0-4936-9794-9C6B4C95E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-268.42105263157896</c:v>
                </c:pt>
                <c:pt idx="1">
                  <c:v>-1910.909090909091</c:v>
                </c:pt>
                <c:pt idx="2">
                  <c:v>2474.766355140187</c:v>
                </c:pt>
                <c:pt idx="3">
                  <c:v>-901.04166666666663</c:v>
                </c:pt>
                <c:pt idx="4">
                  <c:v>-2533.75</c:v>
                </c:pt>
                <c:pt idx="5">
                  <c:v>-2488.8888888888887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4-4DF4-8B80-FEA0EF02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F-435A-B266-A433EF11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1-4F60-84CA-0B57A522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E4-4462-AD6A-BF547B20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BF-4EFB-A902-2DC6CCBC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B-417B-AD0C-29EBDE00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-2546.4285714285716</c:v>
                </c:pt>
                <c:pt idx="1">
                  <c:v>-3626.4150943396226</c:v>
                </c:pt>
                <c:pt idx="2">
                  <c:v>-1508.695652173913</c:v>
                </c:pt>
                <c:pt idx="3">
                  <c:v>795.4545454545455</c:v>
                </c:pt>
                <c:pt idx="4">
                  <c:v>-2982.3529411764707</c:v>
                </c:pt>
                <c:pt idx="5">
                  <c:v>-1185.1851851851852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D-4492-9698-2D2774680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ただ!$L$2:$L$92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F-451B-A857-ACD7AA29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2651.1363636363635</c:v>
                </c:pt>
                <c:pt idx="1">
                  <c:v>1002.4096385542168</c:v>
                </c:pt>
                <c:pt idx="2">
                  <c:v>68.421052631578945</c:v>
                </c:pt>
                <c:pt idx="3">
                  <c:v>-1657.7464788732395</c:v>
                </c:pt>
                <c:pt idx="4">
                  <c:v>284.74576271186442</c:v>
                </c:pt>
                <c:pt idx="5">
                  <c:v>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E-48F5-8297-2EB25A102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やがさき!$L$2:$L$25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F-4664-B89C-1C9C51A47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313.04347826086956</c:v>
                </c:pt>
                <c:pt idx="1">
                  <c:v>4776.1904761904761</c:v>
                </c:pt>
                <c:pt idx="2">
                  <c:v>-4255.5555555555557</c:v>
                </c:pt>
                <c:pt idx="3">
                  <c:v>2970.5882352941176</c:v>
                </c:pt>
                <c:pt idx="4">
                  <c:v>-950</c:v>
                </c:pt>
                <c:pt idx="5">
                  <c:v>-1191.6666666666667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B-4A97-B164-537E9B194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れんたろう!$L$2:$L$95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0-4B09-BE35-F73C0A7C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-1735.9550561797753</c:v>
                </c:pt>
                <c:pt idx="1">
                  <c:v>-6.8181818181818183</c:v>
                </c:pt>
                <c:pt idx="2">
                  <c:v>-1718.0722891566265</c:v>
                </c:pt>
                <c:pt idx="3">
                  <c:v>-693.42105263157896</c:v>
                </c:pt>
                <c:pt idx="4">
                  <c:v>-2468.1159420289855</c:v>
                </c:pt>
                <c:pt idx="5">
                  <c:v>1316.9811320754718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6-4CB9-BA42-9A8DA29E8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A-448A-9BB4-FD3DCD35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2-47D4-B702-3D72BA954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7C-4868-B590-8FFC23003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C-4B11-8E72-41A7FC539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37"/>
      <c r="C1" s="138"/>
      <c r="E1" s="33" t="s">
        <v>157</v>
      </c>
      <c r="F1" s="14" t="s">
        <v>120</v>
      </c>
      <c r="G1" s="29" t="s">
        <v>121</v>
      </c>
      <c r="H1" s="2" t="s">
        <v>122</v>
      </c>
      <c r="I1" s="115" t="s">
        <v>228</v>
      </c>
      <c r="K1" s="3" t="s">
        <v>20</v>
      </c>
      <c r="L1" s="43" t="s">
        <v>125</v>
      </c>
      <c r="N1" s="42" t="s">
        <v>153</v>
      </c>
      <c r="O1" s="119" t="s">
        <v>154</v>
      </c>
      <c r="P1" s="58" t="s">
        <v>236</v>
      </c>
      <c r="Q1" s="132" t="s">
        <v>121</v>
      </c>
    </row>
    <row r="2" spans="1:17" x14ac:dyDescent="0.4">
      <c r="A2" s="24" t="s">
        <v>9</v>
      </c>
      <c r="B2" s="139">
        <v>0</v>
      </c>
      <c r="C2" s="140"/>
      <c r="E2" s="34" t="s">
        <v>67</v>
      </c>
      <c r="F2" s="30" t="s">
        <v>21</v>
      </c>
      <c r="G2" s="16">
        <v>0</v>
      </c>
      <c r="H2" s="5">
        <f t="shared" ref="H2:H33" si="0">IF(B$27=0,0,G2/B$27)</f>
        <v>0</v>
      </c>
      <c r="I2" s="116"/>
      <c r="K2" s="4">
        <v>0</v>
      </c>
      <c r="L2" s="122">
        <v>0</v>
      </c>
      <c r="N2" s="44" t="s">
        <v>147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1">
        <v>0</v>
      </c>
      <c r="C3" s="142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148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43">
        <v>0</v>
      </c>
      <c r="C4" s="144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149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45">
        <f>IF(B$2=0,0,B$4/B$2)</f>
        <v>0</v>
      </c>
      <c r="C5" s="146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150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51">
        <f>IF(B$2=0,0,(B$7*1+B$8*2+B$9*3)/B$2)</f>
        <v>0</v>
      </c>
      <c r="C6" s="15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151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152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ref="C9" si="2">IF(B$2=0,0,B9/B$2)</f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232</v>
      </c>
      <c r="O9" s="119" t="s">
        <v>233</v>
      </c>
      <c r="P9" s="129" t="s">
        <v>235</v>
      </c>
      <c r="Q9" s="134" t="s">
        <v>234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8" t="s">
        <v>128</v>
      </c>
      <c r="B13" s="20">
        <v>0</v>
      </c>
      <c r="C13" s="13">
        <f>IF(B$26=0,0,B13/B$26)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5" t="s">
        <v>123</v>
      </c>
      <c r="B14" s="17">
        <v>0</v>
      </c>
      <c r="C14" s="7">
        <f>IF(B$26=0,0,B14/B$26)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130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131</v>
      </c>
      <c r="B16" s="16">
        <v>0</v>
      </c>
      <c r="C16" s="5">
        <f>IF(B$14=0,0,B16/B$14)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4" t="s">
        <v>10</v>
      </c>
      <c r="B17" s="16">
        <f>B19+B18</f>
        <v>0</v>
      </c>
      <c r="C17" s="5">
        <f>IF(B$3=0,0,B17/B$3)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12</v>
      </c>
      <c r="B18" s="17">
        <v>0</v>
      </c>
      <c r="C18" s="7">
        <f>IF(B$17=0,0,B18/B$17)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11</v>
      </c>
      <c r="B19" s="17">
        <v>0</v>
      </c>
      <c r="C19" s="7">
        <f>IF(B$17=0,0,B19/B$17)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13</v>
      </c>
      <c r="B20" s="17">
        <v>0</v>
      </c>
      <c r="C20" s="7">
        <f>IF(B$3=0,0,B20/B$3)</f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5" t="s">
        <v>5</v>
      </c>
      <c r="B21" s="21">
        <f>IF(B$17=0,0,C21/B$17)</f>
        <v>0</v>
      </c>
      <c r="C21" s="9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7" t="s">
        <v>14</v>
      </c>
      <c r="B22" s="22">
        <f>IF(B$20=0,0,C22/B$20)</f>
        <v>0</v>
      </c>
      <c r="C22" s="15"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112" t="s">
        <v>159</v>
      </c>
      <c r="B23" s="149">
        <v>0</v>
      </c>
      <c r="C23" s="150"/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75" t="s">
        <v>200</v>
      </c>
      <c r="B24" s="147">
        <v>0</v>
      </c>
      <c r="C24" s="148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160</v>
      </c>
      <c r="B25" s="40">
        <v>0</v>
      </c>
      <c r="C25" s="10">
        <f>IF(B$3=0,0,B25/B$3)</f>
        <v>0</v>
      </c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24" t="s">
        <v>126</v>
      </c>
      <c r="B26" s="139">
        <v>0</v>
      </c>
      <c r="C26" s="140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27" t="s">
        <v>127</v>
      </c>
      <c r="B27" s="153">
        <v>0</v>
      </c>
      <c r="C27" s="154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IF(B$27=0,0,G34/B$27)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5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166</v>
      </c>
      <c r="B2" s="39">
        <v>43502.904247685183</v>
      </c>
      <c r="C2" s="38" t="s">
        <v>140</v>
      </c>
    </row>
    <row r="3" spans="1:14" x14ac:dyDescent="0.4">
      <c r="A3" s="38" t="s">
        <v>169</v>
      </c>
      <c r="B3" s="39">
        <v>43502.904247685183</v>
      </c>
      <c r="C3" s="38" t="s">
        <v>140</v>
      </c>
    </row>
    <row r="4" spans="1:14" x14ac:dyDescent="0.4">
      <c r="A4" s="38" t="s">
        <v>170</v>
      </c>
      <c r="B4" s="39">
        <v>43502.904247685183</v>
      </c>
      <c r="C4" s="38" t="s">
        <v>140</v>
      </c>
    </row>
    <row r="5" spans="1:14" x14ac:dyDescent="0.4">
      <c r="A5" s="38" t="s">
        <v>171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173</v>
      </c>
      <c r="B6" s="39">
        <v>43502.904247685183</v>
      </c>
      <c r="C6" s="38" t="s">
        <v>140</v>
      </c>
    </row>
    <row r="7" spans="1:14" x14ac:dyDescent="0.4">
      <c r="A7" s="38" t="s">
        <v>174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175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176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177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178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179</v>
      </c>
      <c r="B12" s="39">
        <v>43502.905972222223</v>
      </c>
      <c r="C12" s="38" t="s">
        <v>140</v>
      </c>
    </row>
    <row r="13" spans="1:14" x14ac:dyDescent="0.4">
      <c r="A13" s="38" t="s">
        <v>180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181</v>
      </c>
      <c r="K13" s="38" t="s">
        <v>182</v>
      </c>
      <c r="L13" s="38" t="s">
        <v>183</v>
      </c>
      <c r="M13" s="38" t="s">
        <v>184</v>
      </c>
      <c r="N13" s="38" t="s">
        <v>185</v>
      </c>
    </row>
    <row r="14" spans="1:14" x14ac:dyDescent="0.4">
      <c r="A14" s="38" t="s">
        <v>186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187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188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189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190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191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192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193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194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202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203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204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205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206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207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208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209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210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211</v>
      </c>
      <c r="B32" s="39">
        <v>43475.056238425925</v>
      </c>
      <c r="C32" s="38" t="s">
        <v>140</v>
      </c>
    </row>
    <row r="33" spans="1:10" x14ac:dyDescent="0.4">
      <c r="A33" s="38" t="s">
        <v>212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213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181</v>
      </c>
    </row>
    <row r="35" spans="1:10" x14ac:dyDescent="0.4">
      <c r="A35" s="38" t="s">
        <v>214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181</v>
      </c>
    </row>
    <row r="36" spans="1:10" x14ac:dyDescent="0.4">
      <c r="A36" s="38" t="s">
        <v>215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216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217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218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219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220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221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222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223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224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225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226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227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229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230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231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237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181</v>
      </c>
      <c r="K52" s="38" t="s">
        <v>182</v>
      </c>
      <c r="L52" s="38" t="s">
        <v>183</v>
      </c>
    </row>
    <row r="53" spans="1:12" x14ac:dyDescent="0.4">
      <c r="A53" s="38" t="s">
        <v>238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  <row r="54" spans="1:12" x14ac:dyDescent="0.4">
      <c r="A54" s="38" t="s">
        <v>239</v>
      </c>
      <c r="B54" s="39">
        <v>43503.072442129633</v>
      </c>
      <c r="C54" s="38" t="s">
        <v>140</v>
      </c>
      <c r="D54" s="38" t="s">
        <v>141</v>
      </c>
    </row>
    <row r="55" spans="1:12" x14ac:dyDescent="0.4">
      <c r="A55" s="38" t="s">
        <v>243</v>
      </c>
      <c r="B55" s="39">
        <v>43505.112349537034</v>
      </c>
      <c r="C55" s="38" t="s">
        <v>140</v>
      </c>
      <c r="D55" s="38" t="s">
        <v>141</v>
      </c>
      <c r="E55" s="38" t="s">
        <v>142</v>
      </c>
      <c r="F55" s="38" t="s">
        <v>143</v>
      </c>
      <c r="G55" s="38" t="s">
        <v>144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162</v>
      </c>
    </row>
    <row r="2" spans="1:1" x14ac:dyDescent="0.4">
      <c r="A2" t="s">
        <v>133</v>
      </c>
    </row>
    <row r="3" spans="1:1" x14ac:dyDescent="0.4">
      <c r="A3" t="s">
        <v>167</v>
      </c>
    </row>
    <row r="4" spans="1:1" x14ac:dyDescent="0.4">
      <c r="A4" t="s">
        <v>168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172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195</v>
      </c>
    </row>
    <row r="13" spans="1:1" x14ac:dyDescent="0.4">
      <c r="A13" t="s">
        <v>158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8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9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7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7" customWidth="1"/>
    <col min="24" max="24" width="10.75" style="105" customWidth="1"/>
    <col min="25" max="25" width="10.75" style="108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10" customWidth="1"/>
    <col min="36" max="36" width="10.75" style="105" customWidth="1"/>
    <col min="37" max="37" width="10.75" style="114" customWidth="1"/>
    <col min="38" max="38" width="10.75" style="105" customWidth="1"/>
    <col min="39" max="39" width="10.75" style="111" customWidth="1"/>
    <col min="40" max="16384" width="9" style="91"/>
  </cols>
  <sheetData>
    <row r="1" spans="1:39" x14ac:dyDescent="0.4">
      <c r="A1" s="90"/>
      <c r="B1" s="155" t="s">
        <v>6</v>
      </c>
      <c r="C1" s="156"/>
      <c r="D1" s="155" t="s">
        <v>7</v>
      </c>
      <c r="E1" s="156"/>
      <c r="F1" s="155" t="s">
        <v>16</v>
      </c>
      <c r="G1" s="156"/>
      <c r="H1" s="155" t="s">
        <v>15</v>
      </c>
      <c r="I1" s="156"/>
      <c r="J1" s="155" t="s">
        <v>196</v>
      </c>
      <c r="K1" s="156"/>
      <c r="L1" s="155" t="s">
        <v>197</v>
      </c>
      <c r="M1" s="156"/>
      <c r="N1" s="155" t="s">
        <v>5</v>
      </c>
      <c r="O1" s="156"/>
      <c r="P1" s="155" t="s">
        <v>17</v>
      </c>
      <c r="Q1" s="156"/>
      <c r="R1" s="155" t="s">
        <v>18</v>
      </c>
      <c r="S1" s="156"/>
      <c r="T1" s="155" t="s">
        <v>156</v>
      </c>
      <c r="U1" s="156"/>
      <c r="V1" s="155" t="s">
        <v>242</v>
      </c>
      <c r="W1" s="156"/>
      <c r="X1" s="155" t="s">
        <v>129</v>
      </c>
      <c r="Y1" s="156"/>
      <c r="Z1" s="155" t="s">
        <v>124</v>
      </c>
      <c r="AA1" s="156"/>
      <c r="AB1" s="155" t="s">
        <v>132</v>
      </c>
      <c r="AC1" s="156"/>
      <c r="AD1" s="155" t="s">
        <v>198</v>
      </c>
      <c r="AE1" s="156"/>
      <c r="AF1" s="155" t="s">
        <v>161</v>
      </c>
      <c r="AG1" s="156"/>
      <c r="AH1" s="155" t="s">
        <v>199</v>
      </c>
      <c r="AI1" s="156"/>
      <c r="AJ1" s="155" t="s">
        <v>201</v>
      </c>
      <c r="AK1" s="156"/>
      <c r="AL1" s="155" t="s">
        <v>160</v>
      </c>
      <c r="AM1" s="156"/>
    </row>
    <row r="2" spans="1:39" x14ac:dyDescent="0.4">
      <c r="A2" s="92">
        <v>1</v>
      </c>
      <c r="B2" s="93" t="s">
        <v>133</v>
      </c>
      <c r="C2" s="94">
        <v>1284.8000000000002</v>
      </c>
      <c r="D2" s="95" t="s">
        <v>195</v>
      </c>
      <c r="E2" s="120">
        <v>7.833333333333333</v>
      </c>
      <c r="F2" s="95" t="s">
        <v>133</v>
      </c>
      <c r="G2" s="96">
        <v>1.7868020304568528</v>
      </c>
      <c r="H2" s="95" t="s">
        <v>195</v>
      </c>
      <c r="I2" s="97">
        <v>0.5</v>
      </c>
      <c r="J2" s="95" t="s">
        <v>195</v>
      </c>
      <c r="K2" s="98">
        <v>0.38</v>
      </c>
      <c r="L2" s="95" t="s">
        <v>195</v>
      </c>
      <c r="M2" s="98">
        <v>0.08</v>
      </c>
      <c r="N2" s="95" t="s">
        <v>138</v>
      </c>
      <c r="O2" s="99">
        <v>11427.450980392157</v>
      </c>
      <c r="P2" s="95" t="s">
        <v>167</v>
      </c>
      <c r="Q2" s="99">
        <v>-8240</v>
      </c>
      <c r="R2" s="95" t="s">
        <v>168</v>
      </c>
      <c r="S2" s="97">
        <v>0</v>
      </c>
      <c r="T2" s="95" t="s">
        <v>133</v>
      </c>
      <c r="U2" s="97">
        <v>0.20812182741116753</v>
      </c>
      <c r="V2" s="95" t="s">
        <v>172</v>
      </c>
      <c r="W2" s="97">
        <v>0.2</v>
      </c>
      <c r="X2" s="95" t="s">
        <v>168</v>
      </c>
      <c r="Y2" s="98">
        <v>0.45454545454545453</v>
      </c>
      <c r="Z2" s="95" t="s">
        <v>158</v>
      </c>
      <c r="AA2" s="98">
        <v>0.38775510204081631</v>
      </c>
      <c r="AB2" s="95" t="s">
        <v>172</v>
      </c>
      <c r="AC2" s="98">
        <v>0.75</v>
      </c>
      <c r="AD2" s="95" t="s">
        <v>195</v>
      </c>
      <c r="AE2" s="98">
        <v>0.5</v>
      </c>
      <c r="AF2" s="95" t="s">
        <v>167</v>
      </c>
      <c r="AG2" s="98">
        <v>1</v>
      </c>
      <c r="AH2" s="95" t="s">
        <v>162</v>
      </c>
      <c r="AI2" s="100">
        <v>10</v>
      </c>
      <c r="AJ2" s="95" t="s">
        <v>162</v>
      </c>
      <c r="AK2" s="113">
        <v>124700</v>
      </c>
      <c r="AL2" s="95" t="s">
        <v>162</v>
      </c>
      <c r="AM2" s="101">
        <v>19</v>
      </c>
    </row>
    <row r="3" spans="1:39" x14ac:dyDescent="0.4">
      <c r="A3" s="102">
        <v>2</v>
      </c>
      <c r="B3" s="103" t="s">
        <v>137</v>
      </c>
      <c r="C3" s="104">
        <v>286.89999999999992</v>
      </c>
      <c r="D3" s="105" t="s">
        <v>133</v>
      </c>
      <c r="E3" s="121">
        <v>6.5218274111675134</v>
      </c>
      <c r="F3" s="105" t="s">
        <v>195</v>
      </c>
      <c r="G3" s="106">
        <v>1.8333333333333333</v>
      </c>
      <c r="H3" s="105" t="s">
        <v>133</v>
      </c>
      <c r="I3" s="107">
        <v>0.43147208121827413</v>
      </c>
      <c r="J3" s="105" t="s">
        <v>133</v>
      </c>
      <c r="K3" s="108">
        <v>0.35394021739130432</v>
      </c>
      <c r="L3" s="105" t="s">
        <v>168</v>
      </c>
      <c r="M3" s="108">
        <v>0.125</v>
      </c>
      <c r="N3" s="105" t="s">
        <v>134</v>
      </c>
      <c r="O3" s="109">
        <v>11123.931623931623</v>
      </c>
      <c r="P3" s="105" t="s">
        <v>158</v>
      </c>
      <c r="Q3" s="109">
        <v>-8441.176470588236</v>
      </c>
      <c r="R3" s="105" t="s">
        <v>133</v>
      </c>
      <c r="S3" s="107">
        <v>0.10152284263959391</v>
      </c>
      <c r="T3" s="105" t="s">
        <v>172</v>
      </c>
      <c r="U3" s="107">
        <v>0.2</v>
      </c>
      <c r="V3" s="105" t="s">
        <v>137</v>
      </c>
      <c r="W3" s="107">
        <v>0.12222222222222222</v>
      </c>
      <c r="X3" s="105" t="s">
        <v>195</v>
      </c>
      <c r="Y3" s="108">
        <v>0.42</v>
      </c>
      <c r="Z3" s="105" t="s">
        <v>135</v>
      </c>
      <c r="AA3" s="108">
        <v>0.31976744186046513</v>
      </c>
      <c r="AB3" s="105" t="s">
        <v>133</v>
      </c>
      <c r="AC3" s="108">
        <v>0.65695792880258896</v>
      </c>
      <c r="AD3" s="105" t="s">
        <v>133</v>
      </c>
      <c r="AE3" s="108">
        <v>0.47596153846153844</v>
      </c>
      <c r="AF3" s="105" t="s">
        <v>135</v>
      </c>
      <c r="AG3" s="108">
        <v>0.46527777777777779</v>
      </c>
      <c r="AH3" s="105" t="s">
        <v>133</v>
      </c>
      <c r="AI3" s="110">
        <v>10</v>
      </c>
      <c r="AJ3" s="105" t="s">
        <v>139</v>
      </c>
      <c r="AK3" s="114">
        <v>124700</v>
      </c>
      <c r="AL3" s="105" t="s">
        <v>139</v>
      </c>
      <c r="AM3" s="111">
        <v>7</v>
      </c>
    </row>
    <row r="4" spans="1:39" x14ac:dyDescent="0.4">
      <c r="A4" s="102">
        <v>3</v>
      </c>
      <c r="B4" s="103" t="s">
        <v>135</v>
      </c>
      <c r="C4" s="104">
        <v>257.3</v>
      </c>
      <c r="D4" s="105" t="s">
        <v>135</v>
      </c>
      <c r="E4" s="121">
        <v>4.5140350877192983</v>
      </c>
      <c r="F4" s="105" t="s">
        <v>135</v>
      </c>
      <c r="G4" s="106">
        <v>1.8771929824561404</v>
      </c>
      <c r="H4" s="105" t="s">
        <v>137</v>
      </c>
      <c r="I4" s="107">
        <v>0.4</v>
      </c>
      <c r="J4" s="105" t="s">
        <v>135</v>
      </c>
      <c r="K4" s="108">
        <v>0.35121951219512193</v>
      </c>
      <c r="L4" s="105" t="s">
        <v>133</v>
      </c>
      <c r="M4" s="108">
        <v>0.14130434782608695</v>
      </c>
      <c r="N4" s="105" t="s">
        <v>139</v>
      </c>
      <c r="O4" s="109">
        <v>10747.029702970298</v>
      </c>
      <c r="P4" s="105" t="s">
        <v>135</v>
      </c>
      <c r="Q4" s="109">
        <v>-9007.8125</v>
      </c>
      <c r="R4" s="105" t="s">
        <v>137</v>
      </c>
      <c r="S4" s="107">
        <v>0.12222222222222222</v>
      </c>
      <c r="T4" s="105" t="s">
        <v>137</v>
      </c>
      <c r="U4" s="107">
        <v>0.18888888888888888</v>
      </c>
      <c r="V4" s="105" t="s">
        <v>139</v>
      </c>
      <c r="W4" s="107">
        <v>9.6774193548387094E-2</v>
      </c>
      <c r="X4" s="105" t="s">
        <v>138</v>
      </c>
      <c r="Y4" s="108">
        <v>0.33663366336633666</v>
      </c>
      <c r="Z4" s="105" t="s">
        <v>136</v>
      </c>
      <c r="AA4" s="108">
        <v>0.26459143968871596</v>
      </c>
      <c r="AB4" s="105" t="s">
        <v>195</v>
      </c>
      <c r="AC4" s="108">
        <v>0.61904761904761907</v>
      </c>
      <c r="AD4" s="105" t="s">
        <v>162</v>
      </c>
      <c r="AE4" s="108">
        <v>0.38997555012224938</v>
      </c>
      <c r="AF4" s="105" t="s">
        <v>136</v>
      </c>
      <c r="AG4" s="108">
        <v>0.45535714285714285</v>
      </c>
      <c r="AH4" s="105" t="s">
        <v>134</v>
      </c>
      <c r="AI4" s="110">
        <v>10</v>
      </c>
      <c r="AJ4" s="105" t="s">
        <v>133</v>
      </c>
      <c r="AK4" s="114">
        <v>120200</v>
      </c>
      <c r="AL4" s="105" t="s">
        <v>134</v>
      </c>
      <c r="AM4" s="111">
        <v>4</v>
      </c>
    </row>
    <row r="5" spans="1:39" x14ac:dyDescent="0.4">
      <c r="A5" s="102">
        <v>4</v>
      </c>
      <c r="B5" s="103" t="s">
        <v>138</v>
      </c>
      <c r="C5" s="104">
        <v>53.800000000000026</v>
      </c>
      <c r="D5" s="105" t="s">
        <v>137</v>
      </c>
      <c r="E5" s="121">
        <v>3.1877777777777769</v>
      </c>
      <c r="F5" s="105" t="s">
        <v>137</v>
      </c>
      <c r="G5" s="106">
        <v>1.8888888888888888</v>
      </c>
      <c r="H5" s="105" t="s">
        <v>135</v>
      </c>
      <c r="I5" s="107">
        <v>0.35087719298245612</v>
      </c>
      <c r="J5" s="105" t="s">
        <v>137</v>
      </c>
      <c r="K5" s="108">
        <v>0.31492537313432833</v>
      </c>
      <c r="L5" s="105" t="s">
        <v>135</v>
      </c>
      <c r="M5" s="108">
        <v>0.15609756097560976</v>
      </c>
      <c r="N5" s="105" t="s">
        <v>137</v>
      </c>
      <c r="O5" s="109">
        <v>10525.592417061611</v>
      </c>
      <c r="P5" s="105" t="s">
        <v>138</v>
      </c>
      <c r="Q5" s="109">
        <v>-9023.3333333333339</v>
      </c>
      <c r="R5" s="105" t="s">
        <v>135</v>
      </c>
      <c r="S5" s="107">
        <v>0.12280701754385964</v>
      </c>
      <c r="T5" s="105" t="s">
        <v>135</v>
      </c>
      <c r="U5" s="107">
        <v>0.17543859649122806</v>
      </c>
      <c r="V5" s="105" t="s">
        <v>133</v>
      </c>
      <c r="W5" s="107">
        <v>9.6446700507614211E-2</v>
      </c>
      <c r="X5" s="105" t="s">
        <v>137</v>
      </c>
      <c r="Y5" s="108">
        <v>0.32536764705882354</v>
      </c>
      <c r="Z5" s="105" t="s">
        <v>137</v>
      </c>
      <c r="AA5" s="108">
        <v>0.23345588235294118</v>
      </c>
      <c r="AB5" s="105" t="s">
        <v>135</v>
      </c>
      <c r="AC5" s="108">
        <v>0.61538461538461542</v>
      </c>
      <c r="AD5" s="105" t="s">
        <v>134</v>
      </c>
      <c r="AE5" s="108">
        <v>0.3888888888888889</v>
      </c>
      <c r="AF5" s="105" t="s">
        <v>138</v>
      </c>
      <c r="AG5" s="108">
        <v>0.45098039215686275</v>
      </c>
      <c r="AH5" s="105" t="s">
        <v>137</v>
      </c>
      <c r="AI5" s="110">
        <v>9</v>
      </c>
      <c r="AJ5" s="105" t="s">
        <v>135</v>
      </c>
      <c r="AK5" s="114">
        <v>118000</v>
      </c>
      <c r="AL5" s="105" t="s">
        <v>137</v>
      </c>
      <c r="AM5" s="111">
        <v>3</v>
      </c>
    </row>
    <row r="6" spans="1:39" x14ac:dyDescent="0.4">
      <c r="A6" s="102">
        <v>5</v>
      </c>
      <c r="B6" s="103" t="s">
        <v>195</v>
      </c>
      <c r="C6" s="104">
        <v>47</v>
      </c>
      <c r="D6" s="105" t="s">
        <v>138</v>
      </c>
      <c r="E6" s="121">
        <v>2.3391304347826098</v>
      </c>
      <c r="F6" s="105" t="s">
        <v>162</v>
      </c>
      <c r="G6" s="106">
        <v>2</v>
      </c>
      <c r="H6" s="105" t="s">
        <v>138</v>
      </c>
      <c r="I6" s="107">
        <v>0.34782608695652173</v>
      </c>
      <c r="J6" s="105" t="s">
        <v>162</v>
      </c>
      <c r="K6" s="108">
        <v>0.30359937402190923</v>
      </c>
      <c r="L6" s="105" t="s">
        <v>137</v>
      </c>
      <c r="M6" s="108">
        <v>0.16119402985074627</v>
      </c>
      <c r="N6" s="105" t="s">
        <v>162</v>
      </c>
      <c r="O6" s="109">
        <v>10247.422680412372</v>
      </c>
      <c r="P6" s="105" t="s">
        <v>137</v>
      </c>
      <c r="Q6" s="109">
        <v>-9055.5555555555547</v>
      </c>
      <c r="R6" s="105" t="s">
        <v>162</v>
      </c>
      <c r="S6" s="107">
        <v>0.16444444444444445</v>
      </c>
      <c r="T6" s="105" t="s">
        <v>138</v>
      </c>
      <c r="U6" s="107">
        <v>0.17391304347826086</v>
      </c>
      <c r="V6" s="105" t="s">
        <v>138</v>
      </c>
      <c r="W6" s="107">
        <v>8.6956521739130432E-2</v>
      </c>
      <c r="X6" s="105" t="s">
        <v>133</v>
      </c>
      <c r="Y6" s="108">
        <v>0.30413385826771655</v>
      </c>
      <c r="Z6" s="105" t="s">
        <v>138</v>
      </c>
      <c r="AA6" s="108">
        <v>0.22772277227722773</v>
      </c>
      <c r="AB6" s="105" t="s">
        <v>162</v>
      </c>
      <c r="AC6" s="108">
        <v>0.58888888888888891</v>
      </c>
      <c r="AD6" s="105" t="s">
        <v>137</v>
      </c>
      <c r="AE6" s="108">
        <v>0.38582677165354329</v>
      </c>
      <c r="AF6" s="105" t="s">
        <v>139</v>
      </c>
      <c r="AG6" s="108">
        <v>0.45049504950495051</v>
      </c>
      <c r="AH6" s="105" t="s">
        <v>135</v>
      </c>
      <c r="AI6" s="110">
        <v>7</v>
      </c>
      <c r="AJ6" s="105" t="s">
        <v>137</v>
      </c>
      <c r="AK6" s="114">
        <v>109300</v>
      </c>
      <c r="AL6" s="105" t="s">
        <v>133</v>
      </c>
      <c r="AM6" s="111">
        <v>2</v>
      </c>
    </row>
    <row r="7" spans="1:39" x14ac:dyDescent="0.4">
      <c r="A7" s="102">
        <v>6</v>
      </c>
      <c r="B7" s="103" t="s">
        <v>162</v>
      </c>
      <c r="C7" s="104">
        <v>-4.9999999999999503</v>
      </c>
      <c r="D7" s="105" t="s">
        <v>162</v>
      </c>
      <c r="E7" s="121">
        <v>-7.407407407407334E-3</v>
      </c>
      <c r="F7" s="105" t="s">
        <v>138</v>
      </c>
      <c r="G7" s="106">
        <v>2</v>
      </c>
      <c r="H7" s="105" t="s">
        <v>162</v>
      </c>
      <c r="I7" s="107">
        <v>0.33333333333333331</v>
      </c>
      <c r="J7" s="105" t="s">
        <v>139</v>
      </c>
      <c r="K7" s="108">
        <v>0.28133704735376047</v>
      </c>
      <c r="L7" s="105" t="s">
        <v>138</v>
      </c>
      <c r="M7" s="108">
        <v>0.16393442622950818</v>
      </c>
      <c r="N7" s="105" t="s">
        <v>133</v>
      </c>
      <c r="O7" s="109">
        <v>9999.0403071017281</v>
      </c>
      <c r="P7" s="105" t="s">
        <v>162</v>
      </c>
      <c r="Q7" s="109">
        <v>-9434.3502824858751</v>
      </c>
      <c r="R7" s="105" t="s">
        <v>195</v>
      </c>
      <c r="S7" s="107">
        <v>0.16666666666666666</v>
      </c>
      <c r="T7" s="105" t="s">
        <v>195</v>
      </c>
      <c r="U7" s="107">
        <v>0.16666666666666666</v>
      </c>
      <c r="V7" s="105" t="s">
        <v>162</v>
      </c>
      <c r="W7" s="107">
        <v>8.4444444444444447E-2</v>
      </c>
      <c r="X7" s="105" t="s">
        <v>139</v>
      </c>
      <c r="Y7" s="108">
        <v>0.30396475770925108</v>
      </c>
      <c r="Z7" s="105" t="s">
        <v>162</v>
      </c>
      <c r="AA7" s="108">
        <v>0.22132034632034633</v>
      </c>
      <c r="AB7" s="105" t="s">
        <v>137</v>
      </c>
      <c r="AC7" s="108">
        <v>0.58757062146892658</v>
      </c>
      <c r="AD7" s="105" t="s">
        <v>135</v>
      </c>
      <c r="AE7" s="108">
        <v>0.38181818181818183</v>
      </c>
      <c r="AF7" s="105" t="s">
        <v>137</v>
      </c>
      <c r="AG7" s="108">
        <v>0.45023696682464454</v>
      </c>
      <c r="AH7" s="105" t="s">
        <v>138</v>
      </c>
      <c r="AI7" s="110">
        <v>7</v>
      </c>
      <c r="AJ7" s="105" t="s">
        <v>138</v>
      </c>
      <c r="AK7" s="114">
        <v>109300</v>
      </c>
      <c r="AL7" s="105" t="s">
        <v>136</v>
      </c>
      <c r="AM7" s="111">
        <v>2</v>
      </c>
    </row>
    <row r="8" spans="1:39" x14ac:dyDescent="0.4">
      <c r="A8" s="102">
        <v>7</v>
      </c>
      <c r="B8" s="103" t="s">
        <v>168</v>
      </c>
      <c r="C8" s="104">
        <v>-26.5</v>
      </c>
      <c r="D8" s="105" t="s">
        <v>134</v>
      </c>
      <c r="E8" s="121">
        <v>-3.3103448275862064</v>
      </c>
      <c r="F8" s="105" t="s">
        <v>134</v>
      </c>
      <c r="G8" s="106">
        <v>2.0948275862068964</v>
      </c>
      <c r="H8" s="105" t="s">
        <v>134</v>
      </c>
      <c r="I8" s="107">
        <v>0.30172413793103448</v>
      </c>
      <c r="J8" s="105" t="s">
        <v>138</v>
      </c>
      <c r="K8" s="108">
        <v>0.27868852459016391</v>
      </c>
      <c r="L8" s="105" t="s">
        <v>162</v>
      </c>
      <c r="M8" s="108">
        <v>0.17312206572769953</v>
      </c>
      <c r="N8" s="105" t="s">
        <v>135</v>
      </c>
      <c r="O8" s="109">
        <v>9825.6944444444453</v>
      </c>
      <c r="P8" s="105" t="s">
        <v>133</v>
      </c>
      <c r="Q8" s="109">
        <v>-9459.6153846153848</v>
      </c>
      <c r="R8" s="105" t="s">
        <v>134</v>
      </c>
      <c r="S8" s="107">
        <v>0.19827586206896552</v>
      </c>
      <c r="T8" s="105" t="s">
        <v>162</v>
      </c>
      <c r="U8" s="107">
        <v>0.16444444444444445</v>
      </c>
      <c r="V8" s="105" t="s">
        <v>134</v>
      </c>
      <c r="W8" s="107">
        <v>7.7586206896551727E-2</v>
      </c>
      <c r="X8" s="105" t="s">
        <v>134</v>
      </c>
      <c r="Y8" s="108">
        <v>0.29513343799058084</v>
      </c>
      <c r="Z8" s="105" t="s">
        <v>139</v>
      </c>
      <c r="AA8" s="108">
        <v>0.20851688693098386</v>
      </c>
      <c r="AB8" s="105" t="s">
        <v>134</v>
      </c>
      <c r="AC8" s="108">
        <v>0.57978723404255317</v>
      </c>
      <c r="AD8" s="105" t="s">
        <v>136</v>
      </c>
      <c r="AE8" s="108">
        <v>0.36764705882352944</v>
      </c>
      <c r="AF8" s="105" t="s">
        <v>134</v>
      </c>
      <c r="AG8" s="108">
        <v>0.42307692307692307</v>
      </c>
      <c r="AH8" s="105" t="s">
        <v>139</v>
      </c>
      <c r="AI8" s="110">
        <v>7</v>
      </c>
      <c r="AJ8" s="105" t="s">
        <v>136</v>
      </c>
      <c r="AK8" s="114">
        <v>103200</v>
      </c>
      <c r="AL8" s="105" t="s">
        <v>135</v>
      </c>
      <c r="AM8" s="111">
        <v>1</v>
      </c>
    </row>
    <row r="9" spans="1:39" x14ac:dyDescent="0.4">
      <c r="A9" s="102">
        <v>8</v>
      </c>
      <c r="B9" s="103" t="s">
        <v>172</v>
      </c>
      <c r="C9" s="104">
        <v>-86.4</v>
      </c>
      <c r="D9" s="105" t="s">
        <v>139</v>
      </c>
      <c r="E9" s="121">
        <v>-6.0559139784946225</v>
      </c>
      <c r="F9" s="105" t="s">
        <v>172</v>
      </c>
      <c r="G9" s="106">
        <v>2.2000000000000002</v>
      </c>
      <c r="H9" s="105" t="s">
        <v>139</v>
      </c>
      <c r="I9" s="107">
        <v>0.23655913978494625</v>
      </c>
      <c r="J9" s="105" t="s">
        <v>172</v>
      </c>
      <c r="K9" s="108">
        <v>0.27027027027027029</v>
      </c>
      <c r="L9" s="105" t="s">
        <v>158</v>
      </c>
      <c r="M9" s="108">
        <v>0.17346938775510204</v>
      </c>
      <c r="N9" s="105" t="s">
        <v>158</v>
      </c>
      <c r="O9" s="109">
        <v>9343.181818181818</v>
      </c>
      <c r="P9" s="105" t="s">
        <v>136</v>
      </c>
      <c r="Q9" s="109">
        <v>-9515.1162790697672</v>
      </c>
      <c r="R9" s="105" t="s">
        <v>136</v>
      </c>
      <c r="S9" s="107">
        <v>0.21428571428571427</v>
      </c>
      <c r="T9" s="105" t="s">
        <v>134</v>
      </c>
      <c r="U9" s="107">
        <v>0.13793103448275862</v>
      </c>
      <c r="V9" s="105" t="s">
        <v>136</v>
      </c>
      <c r="W9" s="107">
        <v>5.3571428571428568E-2</v>
      </c>
      <c r="X9" s="105" t="s">
        <v>162</v>
      </c>
      <c r="Y9" s="108">
        <v>0.29220779220779219</v>
      </c>
      <c r="Z9" s="105" t="s">
        <v>133</v>
      </c>
      <c r="AA9" s="108">
        <v>0.20472440944881889</v>
      </c>
      <c r="AB9" s="105" t="s">
        <v>139</v>
      </c>
      <c r="AC9" s="108">
        <v>0.5748792270531401</v>
      </c>
      <c r="AD9" s="105" t="s">
        <v>139</v>
      </c>
      <c r="AE9" s="108">
        <v>0.36619718309859156</v>
      </c>
      <c r="AF9" s="105" t="s">
        <v>162</v>
      </c>
      <c r="AG9" s="108">
        <v>0.4175257731958763</v>
      </c>
      <c r="AH9" s="105" t="s">
        <v>136</v>
      </c>
      <c r="AI9" s="110">
        <v>5</v>
      </c>
      <c r="AJ9" s="105" t="s">
        <v>134</v>
      </c>
      <c r="AK9" s="114">
        <v>97700</v>
      </c>
      <c r="AL9" s="105" t="s">
        <v>167</v>
      </c>
      <c r="AM9" s="111">
        <v>0</v>
      </c>
    </row>
    <row r="10" spans="1:39" x14ac:dyDescent="0.4">
      <c r="A10" s="102">
        <v>9</v>
      </c>
      <c r="B10" s="103" t="s">
        <v>167</v>
      </c>
      <c r="C10" s="104">
        <v>-132.1</v>
      </c>
      <c r="D10" s="105" t="s">
        <v>168</v>
      </c>
      <c r="E10" s="121">
        <v>-8.8333333333333339</v>
      </c>
      <c r="F10" s="105" t="s">
        <v>139</v>
      </c>
      <c r="G10" s="106">
        <v>2.21505376344086</v>
      </c>
      <c r="H10" s="105" t="s">
        <v>172</v>
      </c>
      <c r="I10" s="107">
        <v>0.2</v>
      </c>
      <c r="J10" s="105" t="s">
        <v>134</v>
      </c>
      <c r="K10" s="108">
        <v>0.26057906458797325</v>
      </c>
      <c r="L10" s="105" t="s">
        <v>134</v>
      </c>
      <c r="M10" s="108">
        <v>0.19376391982182628</v>
      </c>
      <c r="N10" s="105" t="s">
        <v>195</v>
      </c>
      <c r="O10" s="109">
        <v>9163.1578947368416</v>
      </c>
      <c r="P10" s="105" t="s">
        <v>134</v>
      </c>
      <c r="Q10" s="109">
        <v>-9597.7011494252874</v>
      </c>
      <c r="R10" s="105" t="s">
        <v>138</v>
      </c>
      <c r="S10" s="107">
        <v>0.21739130434782608</v>
      </c>
      <c r="T10" s="105" t="s">
        <v>139</v>
      </c>
      <c r="U10" s="107">
        <v>0.12903225806451613</v>
      </c>
      <c r="V10" s="105" t="s">
        <v>135</v>
      </c>
      <c r="W10" s="107">
        <v>5.2631578947368418E-2</v>
      </c>
      <c r="X10" s="105" t="s">
        <v>172</v>
      </c>
      <c r="Y10" s="108">
        <v>0.25806451612903225</v>
      </c>
      <c r="Z10" s="105" t="s">
        <v>134</v>
      </c>
      <c r="AA10" s="108">
        <v>0.1695447409733124</v>
      </c>
      <c r="AB10" s="105" t="s">
        <v>138</v>
      </c>
      <c r="AC10" s="108">
        <v>0.47058823529411764</v>
      </c>
      <c r="AD10" s="105" t="s">
        <v>158</v>
      </c>
      <c r="AE10" s="108">
        <v>0.31578947368421051</v>
      </c>
      <c r="AF10" s="105" t="s">
        <v>133</v>
      </c>
      <c r="AG10" s="108">
        <v>0.38195777351247601</v>
      </c>
      <c r="AH10" s="105" t="s">
        <v>195</v>
      </c>
      <c r="AI10" s="110">
        <v>5</v>
      </c>
      <c r="AJ10" s="105" t="s">
        <v>195</v>
      </c>
      <c r="AK10" s="114">
        <v>78000</v>
      </c>
      <c r="AL10" s="105" t="s">
        <v>168</v>
      </c>
      <c r="AM10" s="111">
        <v>0</v>
      </c>
    </row>
    <row r="11" spans="1:39" x14ac:dyDescent="0.4">
      <c r="A11" s="102">
        <v>10</v>
      </c>
      <c r="B11" s="103" t="s">
        <v>158</v>
      </c>
      <c r="C11" s="104">
        <v>-240.00000000000003</v>
      </c>
      <c r="D11" s="105" t="s">
        <v>136</v>
      </c>
      <c r="E11" s="121">
        <v>-8.9749999999999979</v>
      </c>
      <c r="F11" s="105" t="s">
        <v>136</v>
      </c>
      <c r="G11" s="106">
        <v>2.2678571428571428</v>
      </c>
      <c r="H11" s="105" t="s">
        <v>158</v>
      </c>
      <c r="I11" s="107">
        <v>0.2</v>
      </c>
      <c r="J11" s="105" t="s">
        <v>136</v>
      </c>
      <c r="K11" s="108">
        <v>0.25629290617848971</v>
      </c>
      <c r="L11" s="105" t="s">
        <v>136</v>
      </c>
      <c r="M11" s="108">
        <v>0.19679633867276888</v>
      </c>
      <c r="N11" s="105" t="s">
        <v>136</v>
      </c>
      <c r="O11" s="109">
        <v>9053.5714285714294</v>
      </c>
      <c r="P11" s="105" t="s">
        <v>139</v>
      </c>
      <c r="Q11" s="109">
        <v>-9776.4331210191085</v>
      </c>
      <c r="R11" s="105" t="s">
        <v>139</v>
      </c>
      <c r="S11" s="107">
        <v>0.23655913978494625</v>
      </c>
      <c r="T11" s="105" t="s">
        <v>136</v>
      </c>
      <c r="U11" s="107">
        <v>0.125</v>
      </c>
      <c r="V11" s="105" t="s">
        <v>167</v>
      </c>
      <c r="W11" s="107">
        <v>0</v>
      </c>
      <c r="X11" s="105" t="s">
        <v>136</v>
      </c>
      <c r="Y11" s="108">
        <v>0.24124513618677043</v>
      </c>
      <c r="Z11" s="105" t="s">
        <v>172</v>
      </c>
      <c r="AA11" s="108">
        <v>0.16129032258064516</v>
      </c>
      <c r="AB11" s="105" t="s">
        <v>158</v>
      </c>
      <c r="AC11" s="108">
        <v>0.46666666666666667</v>
      </c>
      <c r="AD11" s="105" t="s">
        <v>172</v>
      </c>
      <c r="AE11" s="108">
        <v>0.2</v>
      </c>
      <c r="AF11" s="105" t="s">
        <v>195</v>
      </c>
      <c r="AG11" s="108">
        <v>0.31578947368421051</v>
      </c>
      <c r="AH11" s="105" t="s">
        <v>158</v>
      </c>
      <c r="AI11" s="110">
        <v>5</v>
      </c>
      <c r="AJ11" s="105" t="s">
        <v>158</v>
      </c>
      <c r="AK11" s="114">
        <v>67700</v>
      </c>
      <c r="AL11" s="105" t="s">
        <v>172</v>
      </c>
      <c r="AM11" s="111">
        <v>0</v>
      </c>
    </row>
    <row r="12" spans="1:39" x14ac:dyDescent="0.4">
      <c r="A12" s="102">
        <v>11</v>
      </c>
      <c r="B12" s="103" t="s">
        <v>134</v>
      </c>
      <c r="C12" s="104">
        <v>-383.99999999999994</v>
      </c>
      <c r="D12" s="105" t="s">
        <v>158</v>
      </c>
      <c r="E12" s="121">
        <v>-9.6000000000000014</v>
      </c>
      <c r="F12" s="105" t="s">
        <v>158</v>
      </c>
      <c r="G12" s="106">
        <v>2.3199999999999998</v>
      </c>
      <c r="H12" s="105" t="s">
        <v>136</v>
      </c>
      <c r="I12" s="107">
        <v>0.17857142857142858</v>
      </c>
      <c r="J12" s="105" t="s">
        <v>158</v>
      </c>
      <c r="K12" s="108">
        <v>0.22448979591836735</v>
      </c>
      <c r="L12" s="105" t="s">
        <v>172</v>
      </c>
      <c r="M12" s="108">
        <v>0.21621621621621623</v>
      </c>
      <c r="N12" s="105" t="s">
        <v>168</v>
      </c>
      <c r="O12" s="109">
        <v>8000</v>
      </c>
      <c r="P12" s="105" t="s">
        <v>195</v>
      </c>
      <c r="Q12" s="109">
        <v>-10025</v>
      </c>
      <c r="R12" s="105" t="s">
        <v>158</v>
      </c>
      <c r="S12" s="107">
        <v>0.24</v>
      </c>
      <c r="T12" s="105" t="s">
        <v>158</v>
      </c>
      <c r="U12" s="107">
        <v>0.08</v>
      </c>
      <c r="V12" s="105" t="s">
        <v>168</v>
      </c>
      <c r="W12" s="107">
        <v>0</v>
      </c>
      <c r="X12" s="105" t="s">
        <v>135</v>
      </c>
      <c r="Y12" s="108">
        <v>0.22674418604651161</v>
      </c>
      <c r="Z12" s="105" t="s">
        <v>195</v>
      </c>
      <c r="AA12" s="108">
        <v>0.12</v>
      </c>
      <c r="AB12" s="105" t="s">
        <v>136</v>
      </c>
      <c r="AC12" s="108">
        <v>0.43548387096774194</v>
      </c>
      <c r="AD12" s="105" t="s">
        <v>138</v>
      </c>
      <c r="AE12" s="108">
        <v>0.13043478260869565</v>
      </c>
      <c r="AF12" s="105" t="s">
        <v>172</v>
      </c>
      <c r="AG12" s="108">
        <v>0.3</v>
      </c>
      <c r="AH12" s="105" t="s">
        <v>172</v>
      </c>
      <c r="AI12" s="110">
        <v>3</v>
      </c>
      <c r="AJ12" s="105" t="s">
        <v>172</v>
      </c>
      <c r="AK12" s="114">
        <v>57800</v>
      </c>
      <c r="AL12" s="105" t="s">
        <v>138</v>
      </c>
      <c r="AM12" s="111">
        <v>0</v>
      </c>
    </row>
    <row r="13" spans="1:39" x14ac:dyDescent="0.4">
      <c r="A13" s="102">
        <v>12</v>
      </c>
      <c r="B13" s="103" t="s">
        <v>136</v>
      </c>
      <c r="C13" s="104">
        <v>-502.59999999999991</v>
      </c>
      <c r="D13" s="105" t="s">
        <v>172</v>
      </c>
      <c r="E13" s="121">
        <v>-17.28</v>
      </c>
      <c r="F13" s="105" t="s">
        <v>168</v>
      </c>
      <c r="G13" s="106">
        <v>2.3333333333333335</v>
      </c>
      <c r="H13" s="105" t="s">
        <v>167</v>
      </c>
      <c r="I13" s="107">
        <v>0</v>
      </c>
      <c r="J13" s="105" t="s">
        <v>168</v>
      </c>
      <c r="K13" s="108">
        <v>0.1875</v>
      </c>
      <c r="L13" s="105" t="s">
        <v>139</v>
      </c>
      <c r="M13" s="108">
        <v>0.21866295264623956</v>
      </c>
      <c r="N13" s="105" t="s">
        <v>167</v>
      </c>
      <c r="O13" s="109">
        <v>7800</v>
      </c>
      <c r="P13" s="105" t="s">
        <v>168</v>
      </c>
      <c r="Q13" s="109">
        <v>-12000</v>
      </c>
      <c r="R13" s="105" t="s">
        <v>172</v>
      </c>
      <c r="S13" s="107">
        <v>0.4</v>
      </c>
      <c r="T13" s="105" t="s">
        <v>167</v>
      </c>
      <c r="U13" s="107">
        <v>0</v>
      </c>
      <c r="V13" s="105" t="s">
        <v>195</v>
      </c>
      <c r="W13" s="107">
        <v>0</v>
      </c>
      <c r="X13" s="105" t="s">
        <v>158</v>
      </c>
      <c r="Y13" s="108">
        <v>0.15306122448979592</v>
      </c>
      <c r="Z13" s="105" t="s">
        <v>167</v>
      </c>
      <c r="AA13" s="108">
        <v>0</v>
      </c>
      <c r="AB13" s="105" t="s">
        <v>168</v>
      </c>
      <c r="AC13" s="108">
        <v>0.2</v>
      </c>
      <c r="AD13" s="105" t="s">
        <v>167</v>
      </c>
      <c r="AE13" s="108">
        <v>0</v>
      </c>
      <c r="AF13" s="105" t="s">
        <v>158</v>
      </c>
      <c r="AG13" s="108">
        <v>0.29545454545454547</v>
      </c>
      <c r="AH13" s="105" t="s">
        <v>168</v>
      </c>
      <c r="AI13" s="110">
        <v>2</v>
      </c>
      <c r="AJ13" s="105" t="s">
        <v>168</v>
      </c>
      <c r="AK13" s="114">
        <v>42000</v>
      </c>
      <c r="AL13" s="105" t="s">
        <v>195</v>
      </c>
      <c r="AM13" s="111">
        <v>0</v>
      </c>
    </row>
    <row r="14" spans="1:39" x14ac:dyDescent="0.4">
      <c r="A14" s="102">
        <v>13</v>
      </c>
      <c r="B14" s="103" t="s">
        <v>139</v>
      </c>
      <c r="C14" s="104">
        <v>-563.19999999999993</v>
      </c>
      <c r="D14" s="105" t="s">
        <v>167</v>
      </c>
      <c r="E14" s="121">
        <v>-33.024999999999999</v>
      </c>
      <c r="F14" s="105" t="s">
        <v>167</v>
      </c>
      <c r="G14" s="106">
        <v>3</v>
      </c>
      <c r="H14" s="105" t="s">
        <v>168</v>
      </c>
      <c r="I14" s="107">
        <v>0</v>
      </c>
      <c r="J14" s="105" t="s">
        <v>167</v>
      </c>
      <c r="K14" s="108">
        <v>0.04</v>
      </c>
      <c r="L14" s="105" t="s">
        <v>167</v>
      </c>
      <c r="M14" s="108">
        <v>0.4</v>
      </c>
      <c r="N14" s="105" t="s">
        <v>172</v>
      </c>
      <c r="O14" s="109">
        <v>7100</v>
      </c>
      <c r="P14" s="105" t="s">
        <v>172</v>
      </c>
      <c r="Q14" s="109">
        <v>-12487.5</v>
      </c>
      <c r="R14" s="105" t="s">
        <v>167</v>
      </c>
      <c r="S14" s="107">
        <v>0.5</v>
      </c>
      <c r="T14" s="105" t="s">
        <v>168</v>
      </c>
      <c r="U14" s="107">
        <v>0</v>
      </c>
      <c r="V14" s="105" t="s">
        <v>158</v>
      </c>
      <c r="W14" s="107">
        <v>0</v>
      </c>
      <c r="X14" s="105" t="s">
        <v>167</v>
      </c>
      <c r="Y14" s="108">
        <v>0</v>
      </c>
      <c r="Z14" s="105" t="s">
        <v>168</v>
      </c>
      <c r="AA14" s="108">
        <v>0</v>
      </c>
      <c r="AB14" s="105" t="s">
        <v>167</v>
      </c>
      <c r="AC14" s="108">
        <v>0</v>
      </c>
      <c r="AD14" s="105" t="s">
        <v>168</v>
      </c>
      <c r="AE14" s="108">
        <v>0</v>
      </c>
      <c r="AF14" s="105" t="s">
        <v>168</v>
      </c>
      <c r="AG14" s="108">
        <v>0</v>
      </c>
      <c r="AH14" s="105" t="s">
        <v>167</v>
      </c>
      <c r="AI14" s="110">
        <v>0</v>
      </c>
      <c r="AJ14" s="105" t="s">
        <v>167</v>
      </c>
      <c r="AK14" s="114">
        <v>13000</v>
      </c>
      <c r="AL14" s="105" t="s">
        <v>158</v>
      </c>
      <c r="AM14" s="111">
        <v>0</v>
      </c>
    </row>
  </sheetData>
  <sortState ref="AL2:AM32">
    <sortCondition descending="1" ref="AM1"/>
  </sortState>
  <mergeCells count="19">
    <mergeCell ref="L1:M1"/>
    <mergeCell ref="AJ1:AK1"/>
    <mergeCell ref="B1:C1"/>
    <mergeCell ref="D1:E1"/>
    <mergeCell ref="F1:G1"/>
    <mergeCell ref="H1:I1"/>
    <mergeCell ref="J1:K1"/>
    <mergeCell ref="V1:W1"/>
    <mergeCell ref="AL1:AM1"/>
    <mergeCell ref="N1:O1"/>
    <mergeCell ref="P1:Q1"/>
    <mergeCell ref="R1:S1"/>
    <mergeCell ref="T1:U1"/>
    <mergeCell ref="X1:Y1"/>
    <mergeCell ref="Z1:AA1"/>
    <mergeCell ref="AB1:AC1"/>
    <mergeCell ref="AD1:AE1"/>
    <mergeCell ref="AF1:AG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00E4B-1432-4B50-8710-52800023511C}">
  <sheetPr codeName="Sheet4"/>
  <dimension ref="A1:Q677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162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675</v>
      </c>
      <c r="C2" s="140"/>
      <c r="E2" s="80" t="s">
        <v>71</v>
      </c>
      <c r="F2" s="76" t="s">
        <v>25</v>
      </c>
      <c r="G2" s="63">
        <v>975</v>
      </c>
      <c r="H2" s="45">
        <f>IF(B$27=0,0,G2/B$27)</f>
        <v>0.87209302325581395</v>
      </c>
      <c r="I2" s="116">
        <v>7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-15.082956259426847</v>
      </c>
      <c r="P2" s="59">
        <v>-10000</v>
      </c>
      <c r="Q2" s="57">
        <v>663</v>
      </c>
    </row>
    <row r="3" spans="1:17" x14ac:dyDescent="0.4">
      <c r="A3" s="72" t="s">
        <v>8</v>
      </c>
      <c r="B3" s="141">
        <v>5112</v>
      </c>
      <c r="C3" s="142"/>
      <c r="E3" s="81" t="s">
        <v>69</v>
      </c>
      <c r="F3" s="77" t="s">
        <v>23</v>
      </c>
      <c r="G3" s="64">
        <v>808</v>
      </c>
      <c r="H3" s="47">
        <f>IF(B$27=0,0,G3/B$27)</f>
        <v>0.72271914132379245</v>
      </c>
      <c r="I3" s="117">
        <v>5</v>
      </c>
      <c r="K3" s="46">
        <v>1</v>
      </c>
      <c r="L3" s="123">
        <v>15</v>
      </c>
      <c r="N3" s="46" t="s">
        <v>148</v>
      </c>
      <c r="O3" s="127">
        <f t="shared" si="0"/>
        <v>0</v>
      </c>
      <c r="P3" s="60">
        <v>0</v>
      </c>
      <c r="Q3" s="55">
        <v>636</v>
      </c>
    </row>
    <row r="4" spans="1:17" x14ac:dyDescent="0.4">
      <c r="A4" s="72" t="s">
        <v>6</v>
      </c>
      <c r="B4" s="143">
        <v>-4.9999999999999503</v>
      </c>
      <c r="C4" s="144"/>
      <c r="E4" s="81" t="s">
        <v>76</v>
      </c>
      <c r="F4" s="77" t="s">
        <v>29</v>
      </c>
      <c r="G4" s="64">
        <v>636</v>
      </c>
      <c r="H4" s="47">
        <f>IF(B$27=0,0,G4/B$27)</f>
        <v>0.56887298747763859</v>
      </c>
      <c r="I4" s="117">
        <v>5</v>
      </c>
      <c r="K4" s="46">
        <v>2</v>
      </c>
      <c r="L4" s="123">
        <v>-7</v>
      </c>
      <c r="N4" s="46" t="s">
        <v>149</v>
      </c>
      <c r="O4" s="127">
        <f t="shared" si="0"/>
        <v>6.7681895093062607</v>
      </c>
      <c r="P4" s="60">
        <v>4000</v>
      </c>
      <c r="Q4" s="55">
        <v>591</v>
      </c>
    </row>
    <row r="5" spans="1:17" x14ac:dyDescent="0.4">
      <c r="A5" s="72" t="s">
        <v>7</v>
      </c>
      <c r="B5" s="145">
        <f>IF(B$2=0,0,B$4/B$2)</f>
        <v>-7.407407407407334E-3</v>
      </c>
      <c r="C5" s="146"/>
      <c r="E5" s="81" t="s">
        <v>67</v>
      </c>
      <c r="F5" s="77" t="s">
        <v>21</v>
      </c>
      <c r="G5" s="64">
        <v>626</v>
      </c>
      <c r="H5" s="47">
        <f>IF(B$27=0,0,G5/B$27)</f>
        <v>0.55992844364937389</v>
      </c>
      <c r="I5" s="117">
        <v>8</v>
      </c>
      <c r="K5" s="46">
        <v>3</v>
      </c>
      <c r="L5" s="123">
        <v>0</v>
      </c>
      <c r="N5" s="46" t="s">
        <v>150</v>
      </c>
      <c r="O5" s="127">
        <f t="shared" si="0"/>
        <v>3.766478342749529</v>
      </c>
      <c r="P5" s="60">
        <v>2000</v>
      </c>
      <c r="Q5" s="55">
        <v>531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70</v>
      </c>
      <c r="F6" s="77" t="s">
        <v>24</v>
      </c>
      <c r="G6" s="64">
        <v>365</v>
      </c>
      <c r="H6" s="47">
        <f>IF(B$27=0,0,G6/B$27)</f>
        <v>0.32647584973166366</v>
      </c>
      <c r="I6" s="117">
        <v>7</v>
      </c>
      <c r="K6" s="46">
        <v>4</v>
      </c>
      <c r="L6" s="123">
        <v>-1</v>
      </c>
      <c r="N6" s="46" t="s">
        <v>151</v>
      </c>
      <c r="O6" s="127">
        <f t="shared" si="0"/>
        <v>4.4150110375275942</v>
      </c>
      <c r="P6" s="60">
        <v>2000</v>
      </c>
      <c r="Q6" s="55">
        <v>453</v>
      </c>
    </row>
    <row r="7" spans="1:17" x14ac:dyDescent="0.4">
      <c r="A7" s="72" t="s">
        <v>2</v>
      </c>
      <c r="B7" s="64">
        <v>225</v>
      </c>
      <c r="C7" s="47">
        <f>IF(B$2=0,0,B7/B$2)</f>
        <v>0.33333333333333331</v>
      </c>
      <c r="E7" s="81" t="s">
        <v>72</v>
      </c>
      <c r="F7" s="77" t="s">
        <v>12</v>
      </c>
      <c r="G7" s="64">
        <v>347</v>
      </c>
      <c r="H7" s="47">
        <f>IF(B$27=0,0,G7/B$27)</f>
        <v>0.3103756708407871</v>
      </c>
      <c r="I7" s="117">
        <v>7</v>
      </c>
      <c r="K7" s="46">
        <v>5</v>
      </c>
      <c r="L7" s="123">
        <v>39.9</v>
      </c>
      <c r="N7" s="50" t="s">
        <v>152</v>
      </c>
      <c r="O7" s="128">
        <f t="shared" si="0"/>
        <v>-8.4033613445378155</v>
      </c>
      <c r="P7" s="61">
        <v>-3000</v>
      </c>
      <c r="Q7" s="56">
        <v>357</v>
      </c>
    </row>
    <row r="8" spans="1:17" x14ac:dyDescent="0.4">
      <c r="A8" s="72" t="s">
        <v>3</v>
      </c>
      <c r="B8" s="64">
        <v>225</v>
      </c>
      <c r="C8" s="47">
        <f>IF(B$2=0,0,B8/B$2)</f>
        <v>0.33333333333333331</v>
      </c>
      <c r="E8" s="81" t="s">
        <v>94</v>
      </c>
      <c r="F8" s="77" t="s">
        <v>47</v>
      </c>
      <c r="G8" s="64">
        <v>169</v>
      </c>
      <c r="H8" s="47">
        <f>IF(B$27=0,0,G8/B$27)</f>
        <v>0.15116279069767441</v>
      </c>
      <c r="I8" s="117">
        <v>6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225</v>
      </c>
      <c r="C9" s="48">
        <f t="shared" ref="C9" si="1">IF(B$2=0,0,B9/B$2)</f>
        <v>0.33333333333333331</v>
      </c>
      <c r="E9" s="81" t="s">
        <v>73</v>
      </c>
      <c r="F9" s="77" t="s">
        <v>26</v>
      </c>
      <c r="G9" s="64">
        <v>161</v>
      </c>
      <c r="H9" s="47">
        <f>IF(B$27=0,0,G9/B$27)</f>
        <v>0.14400715563506261</v>
      </c>
      <c r="I9" s="117">
        <v>6</v>
      </c>
      <c r="K9" s="46">
        <v>7</v>
      </c>
      <c r="L9" s="123">
        <v>15.1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111</v>
      </c>
      <c r="C10" s="48">
        <f>IF(B$2=0,0,B10/B$2)</f>
        <v>0.16444444444444445</v>
      </c>
      <c r="E10" s="81" t="s">
        <v>68</v>
      </c>
      <c r="F10" s="77" t="s">
        <v>22</v>
      </c>
      <c r="G10" s="64">
        <v>135</v>
      </c>
      <c r="H10" s="47">
        <f>IF(B$27=0,0,G10/B$27)</f>
        <v>0.12075134168157424</v>
      </c>
      <c r="I10" s="117">
        <v>7</v>
      </c>
      <c r="K10" s="46">
        <v>8</v>
      </c>
      <c r="L10" s="123">
        <v>-26.699999999999996</v>
      </c>
      <c r="N10" s="44" t="s">
        <v>167</v>
      </c>
      <c r="O10" s="124">
        <f>IF(Q10=0,0,P10/Q10)</f>
        <v>49.537499999999994</v>
      </c>
      <c r="P10" s="130">
        <v>396.29999999999995</v>
      </c>
      <c r="Q10" s="57">
        <v>8</v>
      </c>
    </row>
    <row r="11" spans="1:17" x14ac:dyDescent="0.4">
      <c r="A11" s="73" t="s">
        <v>155</v>
      </c>
      <c r="B11" s="65">
        <v>111</v>
      </c>
      <c r="C11" s="48">
        <f>IF(B$2=0,0,B11/B$2)</f>
        <v>0.16444444444444445</v>
      </c>
      <c r="E11" s="81" t="s">
        <v>74</v>
      </c>
      <c r="F11" s="77" t="s">
        <v>27</v>
      </c>
      <c r="G11" s="64">
        <v>110</v>
      </c>
      <c r="H11" s="47">
        <f>IF(B$27=0,0,G11/B$27)</f>
        <v>9.838998211091235E-2</v>
      </c>
      <c r="I11" s="117">
        <v>5</v>
      </c>
      <c r="K11" s="46">
        <v>9</v>
      </c>
      <c r="L11" s="123">
        <v>3.5527136788005009E-15</v>
      </c>
      <c r="N11" s="46" t="s">
        <v>172</v>
      </c>
      <c r="O11" s="125">
        <f>IF(Q11=0,0,P11/Q11)</f>
        <v>25.919999999999998</v>
      </c>
      <c r="P11" s="131">
        <v>259.2</v>
      </c>
      <c r="Q11" s="55">
        <v>10</v>
      </c>
    </row>
    <row r="12" spans="1:17" x14ac:dyDescent="0.4">
      <c r="A12" s="74" t="s">
        <v>240</v>
      </c>
      <c r="B12" s="66">
        <v>57</v>
      </c>
      <c r="C12" s="51">
        <f>IF(B$2=0,0,B12/B$2)</f>
        <v>8.4444444444444447E-2</v>
      </c>
      <c r="E12" s="81" t="s">
        <v>91</v>
      </c>
      <c r="F12" s="77" t="s">
        <v>44</v>
      </c>
      <c r="G12" s="64">
        <v>77</v>
      </c>
      <c r="H12" s="47">
        <f>IF(B$27=0,0,G12/B$27)</f>
        <v>6.8872987477638634E-2</v>
      </c>
      <c r="I12" s="117">
        <v>6</v>
      </c>
      <c r="K12" s="46">
        <v>10</v>
      </c>
      <c r="L12" s="123">
        <v>85.2</v>
      </c>
      <c r="N12" s="46" t="s">
        <v>158</v>
      </c>
      <c r="O12" s="125">
        <f>IF(Q12=0,0,P12/Q12)</f>
        <v>14.399999999999995</v>
      </c>
      <c r="P12" s="131">
        <v>719.99999999999977</v>
      </c>
      <c r="Q12" s="55">
        <v>50</v>
      </c>
    </row>
    <row r="13" spans="1:17" x14ac:dyDescent="0.4">
      <c r="A13" s="75" t="s">
        <v>128</v>
      </c>
      <c r="B13" s="67">
        <v>1080</v>
      </c>
      <c r="C13" s="54">
        <f>IF(B$26=0,0,B13/B$26)</f>
        <v>0.29220779220779219</v>
      </c>
      <c r="E13" s="81" t="s">
        <v>88</v>
      </c>
      <c r="F13" s="77" t="s">
        <v>41</v>
      </c>
      <c r="G13" s="64">
        <v>53</v>
      </c>
      <c r="H13" s="47">
        <f>IF(B$27=0,0,G13/B$27)</f>
        <v>4.7406082289803218E-2</v>
      </c>
      <c r="I13" s="117">
        <v>4</v>
      </c>
      <c r="K13" s="46">
        <v>11</v>
      </c>
      <c r="L13" s="123">
        <v>44.5</v>
      </c>
      <c r="N13" s="46" t="s">
        <v>136</v>
      </c>
      <c r="O13" s="125">
        <f>IF(Q13=0,0,P13/Q13)</f>
        <v>13.462500000000006</v>
      </c>
      <c r="P13" s="131">
        <v>1507.8000000000006</v>
      </c>
      <c r="Q13" s="55">
        <v>112</v>
      </c>
    </row>
    <row r="14" spans="1:17" x14ac:dyDescent="0.4">
      <c r="A14" s="72" t="s">
        <v>123</v>
      </c>
      <c r="B14" s="64">
        <v>818</v>
      </c>
      <c r="C14" s="47">
        <f>IF(B$26=0,0,B14/B$26)</f>
        <v>0.22132034632034633</v>
      </c>
      <c r="E14" s="81" t="s">
        <v>75</v>
      </c>
      <c r="F14" s="77" t="s">
        <v>28</v>
      </c>
      <c r="G14" s="64">
        <v>52</v>
      </c>
      <c r="H14" s="47">
        <f>IF(B$27=0,0,G14/B$27)</f>
        <v>4.6511627906976744E-2</v>
      </c>
      <c r="I14" s="117">
        <v>6</v>
      </c>
      <c r="K14" s="46">
        <v>12</v>
      </c>
      <c r="L14" s="123">
        <v>0</v>
      </c>
      <c r="N14" s="46" t="s">
        <v>168</v>
      </c>
      <c r="O14" s="125">
        <f>IF(Q14=0,0,P14/Q14)</f>
        <v>13.25</v>
      </c>
      <c r="P14" s="131">
        <v>79.5</v>
      </c>
      <c r="Q14" s="55">
        <v>6</v>
      </c>
    </row>
    <row r="15" spans="1:17" x14ac:dyDescent="0.4">
      <c r="A15" s="71" t="s">
        <v>130</v>
      </c>
      <c r="B15" s="63">
        <v>636</v>
      </c>
      <c r="C15" s="45">
        <f>IF(B$13=0,0,B15/B$13)</f>
        <v>0.58888888888888891</v>
      </c>
      <c r="E15" s="81" t="s">
        <v>82</v>
      </c>
      <c r="F15" s="77" t="s">
        <v>35</v>
      </c>
      <c r="G15" s="64">
        <v>35</v>
      </c>
      <c r="H15" s="47">
        <f>IF(B$27=0,0,G15/B$27)</f>
        <v>3.1305903398926652E-2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>IF(Q15=0,0,P15/Q15)</f>
        <v>9.0784946236559136</v>
      </c>
      <c r="P15" s="131">
        <v>1688.6</v>
      </c>
      <c r="Q15" s="55">
        <v>186</v>
      </c>
    </row>
    <row r="16" spans="1:17" x14ac:dyDescent="0.4">
      <c r="A16" s="71" t="s">
        <v>131</v>
      </c>
      <c r="B16" s="63">
        <v>319</v>
      </c>
      <c r="C16" s="45">
        <f>IF(B$14=0,0,B16/B$14)</f>
        <v>0.38997555012224938</v>
      </c>
      <c r="E16" s="81" t="s">
        <v>86</v>
      </c>
      <c r="F16" s="77" t="s">
        <v>39</v>
      </c>
      <c r="G16" s="64">
        <v>33</v>
      </c>
      <c r="H16" s="47">
        <f>IF(B$27=0,0,G16/B$27)</f>
        <v>2.9516994633273702E-2</v>
      </c>
      <c r="I16" s="117">
        <v>5</v>
      </c>
      <c r="K16" s="46">
        <v>14</v>
      </c>
      <c r="L16" s="123">
        <v>-4</v>
      </c>
      <c r="N16" s="46" t="s">
        <v>134</v>
      </c>
      <c r="O16" s="125">
        <f>IF(Q16=0,0,P16/Q16)</f>
        <v>4.9482758620689618</v>
      </c>
      <c r="P16" s="131">
        <v>1147.9999999999991</v>
      </c>
      <c r="Q16" s="55">
        <v>232</v>
      </c>
    </row>
    <row r="17" spans="1:17" x14ac:dyDescent="0.4">
      <c r="A17" s="71" t="s">
        <v>10</v>
      </c>
      <c r="B17" s="63">
        <f>B19+B18</f>
        <v>1552</v>
      </c>
      <c r="C17" s="45">
        <f>IF(B$3=0,0,B17/B$3)</f>
        <v>0.30359937402190923</v>
      </c>
      <c r="E17" s="81" t="s">
        <v>96</v>
      </c>
      <c r="F17" s="77" t="s">
        <v>49</v>
      </c>
      <c r="G17" s="64">
        <v>19</v>
      </c>
      <c r="H17" s="47">
        <f>IF(B$27=0,0,G17/B$27)</f>
        <v>1.6994633273703041E-2</v>
      </c>
      <c r="I17" s="117">
        <v>4</v>
      </c>
      <c r="K17" s="46">
        <v>15</v>
      </c>
      <c r="L17" s="123">
        <v>0</v>
      </c>
      <c r="N17" s="46" t="s">
        <v>138</v>
      </c>
      <c r="O17" s="125">
        <f>IF(Q17=0,0,P17/Q17)</f>
        <v>-3.5086956521739112</v>
      </c>
      <c r="P17" s="131">
        <v>-161.39999999999992</v>
      </c>
      <c r="Q17" s="55">
        <v>46</v>
      </c>
    </row>
    <row r="18" spans="1:17" x14ac:dyDescent="0.4">
      <c r="A18" s="72" t="s">
        <v>12</v>
      </c>
      <c r="B18" s="64">
        <v>648</v>
      </c>
      <c r="C18" s="47">
        <f>IF(B$17=0,0,B18/B$17)</f>
        <v>0.4175257731958763</v>
      </c>
      <c r="E18" s="81" t="s">
        <v>83</v>
      </c>
      <c r="F18" s="77" t="s">
        <v>36</v>
      </c>
      <c r="G18" s="64">
        <v>14</v>
      </c>
      <c r="H18" s="47">
        <f>IF(B$27=0,0,G18/B$27)</f>
        <v>1.2522361359570662E-2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>IF(Q18=0,0,P18/Q18)</f>
        <v>-4.7927777777777738</v>
      </c>
      <c r="P18" s="131">
        <v>-862.69999999999936</v>
      </c>
      <c r="Q18" s="55">
        <v>180</v>
      </c>
    </row>
    <row r="19" spans="1:17" x14ac:dyDescent="0.4">
      <c r="A19" s="72" t="s">
        <v>11</v>
      </c>
      <c r="B19" s="64">
        <v>904</v>
      </c>
      <c r="C19" s="47">
        <f>IF(B$17=0,0,B19/B$17)</f>
        <v>0.58247422680412375</v>
      </c>
      <c r="E19" s="81" t="s">
        <v>77</v>
      </c>
      <c r="F19" s="77" t="s">
        <v>30</v>
      </c>
      <c r="G19" s="64">
        <v>9</v>
      </c>
      <c r="H19" s="47">
        <f>IF(B$27=0,0,G19/B$27)</f>
        <v>8.0500894454382833E-3</v>
      </c>
      <c r="I19" s="117">
        <v>4</v>
      </c>
      <c r="K19" s="46">
        <v>17</v>
      </c>
      <c r="L19" s="123">
        <v>-8</v>
      </c>
      <c r="N19" s="46" t="s">
        <v>135</v>
      </c>
      <c r="O19" s="125">
        <f>IF(Q19=0,0,P19/Q19)</f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13</v>
      </c>
      <c r="B20" s="64">
        <v>885</v>
      </c>
      <c r="C20" s="47">
        <f>IF(B$3=0,0,B20/B$3)</f>
        <v>0.17312206572769953</v>
      </c>
      <c r="E20" s="81" t="s">
        <v>79</v>
      </c>
      <c r="F20" s="77" t="s">
        <v>32</v>
      </c>
      <c r="G20" s="64">
        <v>9</v>
      </c>
      <c r="H20" s="47">
        <f>IF(B$27=0,0,G20/B$27)</f>
        <v>8.0500894454382833E-3</v>
      </c>
      <c r="I20" s="117">
        <v>4</v>
      </c>
      <c r="K20" s="46">
        <v>18</v>
      </c>
      <c r="L20" s="123">
        <v>0</v>
      </c>
      <c r="N20" s="46" t="s">
        <v>133</v>
      </c>
      <c r="O20" s="125">
        <f>IF(Q20=0,0,P20/Q20)</f>
        <v>-9.7928934010152222</v>
      </c>
      <c r="P20" s="131">
        <v>-3858.3999999999974</v>
      </c>
      <c r="Q20" s="55">
        <v>394</v>
      </c>
    </row>
    <row r="21" spans="1:17" x14ac:dyDescent="0.4">
      <c r="A21" s="72" t="s">
        <v>5</v>
      </c>
      <c r="B21" s="68">
        <f>IF(B$17=0,0,C21/B$17)</f>
        <v>10247.422680412372</v>
      </c>
      <c r="C21" s="49">
        <v>15904000</v>
      </c>
      <c r="E21" s="81" t="s">
        <v>81</v>
      </c>
      <c r="F21" s="77" t="s">
        <v>34</v>
      </c>
      <c r="G21" s="64">
        <v>8</v>
      </c>
      <c r="H21" s="47">
        <f>IF(B$27=0,0,G21/B$27)</f>
        <v>7.1556350626118068E-3</v>
      </c>
      <c r="I21" s="117">
        <v>4</v>
      </c>
      <c r="K21" s="46">
        <v>19</v>
      </c>
      <c r="L21" s="123">
        <v>-6.1</v>
      </c>
      <c r="N21" s="46" t="s">
        <v>195</v>
      </c>
      <c r="O21" s="125">
        <f>IF(Q21=0,0,P21/Q21)</f>
        <v>-11.833333333333334</v>
      </c>
      <c r="P21" s="131">
        <v>-142</v>
      </c>
      <c r="Q21" s="55">
        <v>12</v>
      </c>
    </row>
    <row r="22" spans="1:17" x14ac:dyDescent="0.4">
      <c r="A22" s="74" t="s">
        <v>14</v>
      </c>
      <c r="B22" s="69">
        <f>IF(B$20=0,0,C22/B$20)</f>
        <v>-9434.3502824858751</v>
      </c>
      <c r="C22" s="62">
        <v>-8349400</v>
      </c>
      <c r="E22" s="81" t="s">
        <v>97</v>
      </c>
      <c r="F22" s="77" t="s">
        <v>50</v>
      </c>
      <c r="G22" s="64">
        <v>7</v>
      </c>
      <c r="H22" s="47">
        <f>IF(B$27=0,0,G22/B$27)</f>
        <v>6.2611806797853312E-3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112" t="s">
        <v>159</v>
      </c>
      <c r="B23" s="149">
        <v>10</v>
      </c>
      <c r="C23" s="150"/>
      <c r="E23" s="81" t="s">
        <v>90</v>
      </c>
      <c r="F23" s="77" t="s">
        <v>43</v>
      </c>
      <c r="G23" s="64">
        <v>5</v>
      </c>
      <c r="H23" s="47">
        <f>IF(B$27=0,0,G23/B$27)</f>
        <v>4.4722719141323791E-3</v>
      </c>
      <c r="I23" s="117">
        <v>4</v>
      </c>
      <c r="K23" s="46">
        <v>21</v>
      </c>
      <c r="L23" s="123">
        <v>0</v>
      </c>
    </row>
    <row r="24" spans="1:17" x14ac:dyDescent="0.4">
      <c r="A24" s="75" t="s">
        <v>200</v>
      </c>
      <c r="B24" s="147">
        <v>124700</v>
      </c>
      <c r="C24" s="148"/>
      <c r="E24" s="81" t="s">
        <v>89</v>
      </c>
      <c r="F24" s="77" t="s">
        <v>42</v>
      </c>
      <c r="G24" s="64">
        <v>3</v>
      </c>
      <c r="H24" s="47">
        <f>IF(B$27=0,0,G24/B$27)</f>
        <v>2.6833631484794273E-3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160</v>
      </c>
      <c r="B25" s="83">
        <v>19</v>
      </c>
      <c r="C25" s="51">
        <f>IF(B$3=0,0,B25/B$3)</f>
        <v>3.7167449139280124E-3</v>
      </c>
      <c r="E25" s="81" t="s">
        <v>92</v>
      </c>
      <c r="F25" s="77" t="s">
        <v>45</v>
      </c>
      <c r="G25" s="64">
        <v>3</v>
      </c>
      <c r="H25" s="47">
        <f>IF(B$27=0,0,G25/B$27)</f>
        <v>2.6833631484794273E-3</v>
      </c>
      <c r="I25" s="117">
        <v>3</v>
      </c>
      <c r="K25" s="46">
        <v>23</v>
      </c>
      <c r="L25" s="123">
        <v>-3</v>
      </c>
    </row>
    <row r="26" spans="1:17" x14ac:dyDescent="0.4">
      <c r="A26" s="71" t="s">
        <v>126</v>
      </c>
      <c r="B26" s="139">
        <v>3696</v>
      </c>
      <c r="C26" s="140"/>
      <c r="E26" s="81" t="s">
        <v>98</v>
      </c>
      <c r="F26" s="77" t="s">
        <v>51</v>
      </c>
      <c r="G26" s="64">
        <v>3</v>
      </c>
      <c r="H26" s="47">
        <f>IF(B$27=0,0,G26/B$27)</f>
        <v>2.6833631484794273E-3</v>
      </c>
      <c r="I26" s="117">
        <v>4</v>
      </c>
      <c r="K26" s="46">
        <v>24</v>
      </c>
      <c r="L26" s="123">
        <v>0</v>
      </c>
    </row>
    <row r="27" spans="1:17" x14ac:dyDescent="0.4">
      <c r="A27" s="74" t="s">
        <v>127</v>
      </c>
      <c r="B27" s="153">
        <v>1118</v>
      </c>
      <c r="C27" s="154"/>
      <c r="E27" s="81" t="s">
        <v>78</v>
      </c>
      <c r="F27" s="77" t="s">
        <v>31</v>
      </c>
      <c r="G27" s="64">
        <v>2</v>
      </c>
      <c r="H27" s="47">
        <f>IF(B$27=0,0,G27/B$27)</f>
        <v>1.7889087656529517E-3</v>
      </c>
      <c r="I27" s="117">
        <v>3</v>
      </c>
      <c r="K27" s="46">
        <v>25</v>
      </c>
      <c r="L27" s="123">
        <v>-41</v>
      </c>
    </row>
    <row r="28" spans="1:17" x14ac:dyDescent="0.4">
      <c r="E28" s="81" t="s">
        <v>85</v>
      </c>
      <c r="F28" s="77" t="s">
        <v>38</v>
      </c>
      <c r="G28" s="64">
        <v>1</v>
      </c>
      <c r="H28" s="47">
        <f>IF(B$27=0,0,G28/B$27)</f>
        <v>8.9445438282647585E-4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>IF(B$27=0,0,G29/B$27)</f>
        <v>8.9445438282647585E-4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>IF(B$27=0,0,G30/B$27)</f>
        <v>8.9445438282647585E-4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>IF(B$27=0,0,G31/B$27)</f>
        <v>8.9445438282647585E-4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>IF(B$27=0,0,G32/B$27)</f>
        <v>8.9445438282647585E-4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>IF(B$27=0,0,G33/B$27)</f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>IF(B$27=0,0,G35/B$27)</f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-21.999999999999957</v>
      </c>
    </row>
    <row r="658" spans="11:12" x14ac:dyDescent="0.4">
      <c r="K658" s="46">
        <v>656</v>
      </c>
      <c r="L658" s="123">
        <v>-1.2999999999999581</v>
      </c>
    </row>
    <row r="659" spans="11:12" x14ac:dyDescent="0.4">
      <c r="K659" s="46">
        <v>657</v>
      </c>
      <c r="L659" s="123">
        <v>-4.9999999999999583</v>
      </c>
    </row>
    <row r="660" spans="11:12" x14ac:dyDescent="0.4">
      <c r="K660" s="46">
        <v>658</v>
      </c>
      <c r="L660" s="123">
        <v>-31.199999999999957</v>
      </c>
    </row>
    <row r="661" spans="11:12" x14ac:dyDescent="0.4">
      <c r="K661" s="46">
        <v>659</v>
      </c>
      <c r="L661" s="123">
        <v>31.500000000000046</v>
      </c>
    </row>
    <row r="662" spans="11:12" x14ac:dyDescent="0.4">
      <c r="K662" s="46">
        <v>660</v>
      </c>
      <c r="L662" s="123">
        <v>-4.9999999999999538</v>
      </c>
    </row>
    <row r="663" spans="11:12" x14ac:dyDescent="0.4">
      <c r="K663" s="46">
        <v>661</v>
      </c>
      <c r="L663" s="123">
        <v>-23.899999999999952</v>
      </c>
    </row>
    <row r="664" spans="11:12" x14ac:dyDescent="0.4">
      <c r="K664" s="46">
        <v>662</v>
      </c>
      <c r="L664" s="123">
        <v>-17.299999999999955</v>
      </c>
    </row>
    <row r="665" spans="11:12" x14ac:dyDescent="0.4">
      <c r="K665" s="46">
        <v>663</v>
      </c>
      <c r="L665" s="123">
        <v>-4.9999999999999538</v>
      </c>
    </row>
    <row r="666" spans="11:12" x14ac:dyDescent="0.4">
      <c r="K666" s="46">
        <v>664</v>
      </c>
      <c r="L666" s="123">
        <v>31.000000000000046</v>
      </c>
    </row>
    <row r="667" spans="11:12" x14ac:dyDescent="0.4">
      <c r="K667" s="46">
        <v>665</v>
      </c>
      <c r="L667" s="123">
        <v>10.500000000000046</v>
      </c>
    </row>
    <row r="668" spans="11:12" x14ac:dyDescent="0.4">
      <c r="K668" s="46">
        <v>666</v>
      </c>
      <c r="L668" s="123">
        <v>-4.9999999999999538</v>
      </c>
    </row>
    <row r="669" spans="11:12" x14ac:dyDescent="0.4">
      <c r="K669" s="46">
        <v>667</v>
      </c>
      <c r="L669" s="123">
        <v>31.700000000000049</v>
      </c>
    </row>
    <row r="670" spans="11:12" x14ac:dyDescent="0.4">
      <c r="K670" s="46">
        <v>668</v>
      </c>
      <c r="L670" s="123">
        <v>-5.299999999999951</v>
      </c>
    </row>
    <row r="671" spans="11:12" x14ac:dyDescent="0.4">
      <c r="K671" s="46">
        <v>669</v>
      </c>
      <c r="L671" s="123">
        <v>-4.9999999999999512</v>
      </c>
    </row>
    <row r="672" spans="11:12" x14ac:dyDescent="0.4">
      <c r="K672" s="46">
        <v>670</v>
      </c>
      <c r="L672" s="123">
        <v>7.4000000000000492</v>
      </c>
    </row>
    <row r="673" spans="11:12" x14ac:dyDescent="0.4">
      <c r="K673" s="46">
        <v>671</v>
      </c>
      <c r="L673" s="123">
        <v>-9.1999999999999531</v>
      </c>
    </row>
    <row r="674" spans="11:12" x14ac:dyDescent="0.4">
      <c r="K674" s="46">
        <v>672</v>
      </c>
      <c r="L674" s="123">
        <v>-4.9999999999999529</v>
      </c>
    </row>
    <row r="675" spans="11:12" x14ac:dyDescent="0.4">
      <c r="K675" s="46">
        <v>673</v>
      </c>
      <c r="L675" s="123">
        <v>9.0000000000000462</v>
      </c>
    </row>
    <row r="676" spans="11:12" x14ac:dyDescent="0.4">
      <c r="K676" s="46">
        <v>674</v>
      </c>
      <c r="L676" s="123">
        <v>36.400000000000048</v>
      </c>
    </row>
    <row r="677" spans="11:12" x14ac:dyDescent="0.4">
      <c r="K677" s="46">
        <v>675</v>
      </c>
      <c r="L677" s="123">
        <v>-4.9999999999999503</v>
      </c>
    </row>
  </sheetData>
  <sortState ref="N10:Q21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6CA1-4466-453A-B495-4BA9E1110AA7}">
  <sheetPr codeName="Sheet7"/>
  <dimension ref="A1:Q19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133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197</v>
      </c>
      <c r="C2" s="140"/>
      <c r="E2" s="80" t="s">
        <v>71</v>
      </c>
      <c r="F2" s="76" t="s">
        <v>25</v>
      </c>
      <c r="G2" s="63">
        <v>320</v>
      </c>
      <c r="H2" s="45">
        <f>IF(B$27=0,0,G2/B$27)</f>
        <v>0.87671232876712324</v>
      </c>
      <c r="I2" s="116">
        <v>6</v>
      </c>
      <c r="K2" s="44">
        <v>0</v>
      </c>
      <c r="L2" s="122">
        <v>0</v>
      </c>
      <c r="N2" s="44" t="s">
        <v>147</v>
      </c>
      <c r="O2" s="126">
        <f t="shared" ref="O2:O7" si="0">IF(Q2=0,0,P2/Q2)</f>
        <v>1250.259067357513</v>
      </c>
      <c r="P2" s="59">
        <v>241300</v>
      </c>
      <c r="Q2" s="57">
        <v>193</v>
      </c>
    </row>
    <row r="3" spans="1:17" x14ac:dyDescent="0.4">
      <c r="A3" s="72" t="s">
        <v>8</v>
      </c>
      <c r="B3" s="141">
        <v>1472</v>
      </c>
      <c r="C3" s="142"/>
      <c r="E3" s="81" t="s">
        <v>69</v>
      </c>
      <c r="F3" s="77" t="s">
        <v>23</v>
      </c>
      <c r="G3" s="64">
        <v>238</v>
      </c>
      <c r="H3" s="47">
        <f>IF(B$27=0,0,G3/B$27)</f>
        <v>0.65205479452054793</v>
      </c>
      <c r="I3" s="117">
        <v>8</v>
      </c>
      <c r="K3" s="46">
        <v>1</v>
      </c>
      <c r="L3" s="123">
        <v>15</v>
      </c>
      <c r="N3" s="46" t="s">
        <v>148</v>
      </c>
      <c r="O3" s="127">
        <f t="shared" si="0"/>
        <v>436.75675675675677</v>
      </c>
      <c r="P3" s="60">
        <v>80800</v>
      </c>
      <c r="Q3" s="55">
        <v>185</v>
      </c>
    </row>
    <row r="4" spans="1:17" x14ac:dyDescent="0.4">
      <c r="A4" s="72" t="s">
        <v>6</v>
      </c>
      <c r="B4" s="143">
        <v>1284.8000000000002</v>
      </c>
      <c r="C4" s="144"/>
      <c r="E4" s="81" t="s">
        <v>67</v>
      </c>
      <c r="F4" s="77" t="s">
        <v>21</v>
      </c>
      <c r="G4" s="64">
        <v>201</v>
      </c>
      <c r="H4" s="47">
        <f>IF(B$27=0,0,G4/B$27)</f>
        <v>0.55068493150684927</v>
      </c>
      <c r="I4" s="117">
        <v>9</v>
      </c>
      <c r="K4" s="46">
        <v>2</v>
      </c>
      <c r="L4" s="123">
        <v>14</v>
      </c>
      <c r="N4" s="46" t="s">
        <v>149</v>
      </c>
      <c r="O4" s="127">
        <f t="shared" si="0"/>
        <v>1711.1111111111111</v>
      </c>
      <c r="P4" s="60">
        <v>292600</v>
      </c>
      <c r="Q4" s="55">
        <v>171</v>
      </c>
    </row>
    <row r="5" spans="1:17" x14ac:dyDescent="0.4">
      <c r="A5" s="72" t="s">
        <v>7</v>
      </c>
      <c r="B5" s="145">
        <f>IF(B$2=0,0,B$4/B$2)</f>
        <v>6.5218274111675134</v>
      </c>
      <c r="C5" s="146"/>
      <c r="E5" s="81" t="s">
        <v>76</v>
      </c>
      <c r="F5" s="77" t="s">
        <v>29</v>
      </c>
      <c r="G5" s="64">
        <v>195</v>
      </c>
      <c r="H5" s="47">
        <f>IF(B$27=0,0,G5/B$27)</f>
        <v>0.53424657534246578</v>
      </c>
      <c r="I5" s="117">
        <v>7</v>
      </c>
      <c r="K5" s="46">
        <v>3</v>
      </c>
      <c r="L5" s="123">
        <v>29.1</v>
      </c>
      <c r="N5" s="46" t="s">
        <v>150</v>
      </c>
      <c r="O5" s="127">
        <f t="shared" si="0"/>
        <v>1454.5454545454545</v>
      </c>
      <c r="P5" s="60">
        <v>224000</v>
      </c>
      <c r="Q5" s="55">
        <v>154</v>
      </c>
    </row>
    <row r="6" spans="1:17" x14ac:dyDescent="0.4">
      <c r="A6" s="72" t="s">
        <v>1</v>
      </c>
      <c r="B6" s="151">
        <f>IF(B$2=0,0,(B$7*1+B$8*2+B$9*3)/B$2)</f>
        <v>1.7868020304568528</v>
      </c>
      <c r="C6" s="152"/>
      <c r="E6" s="81" t="s">
        <v>70</v>
      </c>
      <c r="F6" s="77" t="s">
        <v>24</v>
      </c>
      <c r="G6" s="64">
        <v>114</v>
      </c>
      <c r="H6" s="47">
        <f>IF(B$27=0,0,G6/B$27)</f>
        <v>0.31232876712328766</v>
      </c>
      <c r="I6" s="117">
        <v>8</v>
      </c>
      <c r="K6" s="46">
        <v>4</v>
      </c>
      <c r="L6" s="123">
        <v>114.30000000000001</v>
      </c>
      <c r="N6" s="46" t="s">
        <v>151</v>
      </c>
      <c r="O6" s="127">
        <f t="shared" si="0"/>
        <v>1883.3333333333333</v>
      </c>
      <c r="P6" s="60">
        <v>248600</v>
      </c>
      <c r="Q6" s="55">
        <v>132</v>
      </c>
    </row>
    <row r="7" spans="1:17" x14ac:dyDescent="0.4">
      <c r="A7" s="72" t="s">
        <v>2</v>
      </c>
      <c r="B7" s="64">
        <v>85</v>
      </c>
      <c r="C7" s="47">
        <f>IF(B$2=0,0,B7/B$2)</f>
        <v>0.43147208121827413</v>
      </c>
      <c r="E7" s="81" t="s">
        <v>72</v>
      </c>
      <c r="F7" s="77" t="s">
        <v>12</v>
      </c>
      <c r="G7" s="64">
        <v>107</v>
      </c>
      <c r="H7" s="47">
        <f>IF(B$27=0,0,G7/B$27)</f>
        <v>0.29315068493150687</v>
      </c>
      <c r="I7" s="117">
        <v>8</v>
      </c>
      <c r="K7" s="46">
        <v>5</v>
      </c>
      <c r="L7" s="123">
        <v>145.80000000000001</v>
      </c>
      <c r="N7" s="50" t="s">
        <v>152</v>
      </c>
      <c r="O7" s="128">
        <f t="shared" si="0"/>
        <v>1567.9611650485438</v>
      </c>
      <c r="P7" s="61">
        <v>161500</v>
      </c>
      <c r="Q7" s="56">
        <v>103</v>
      </c>
    </row>
    <row r="8" spans="1:17" x14ac:dyDescent="0.4">
      <c r="A8" s="72" t="s">
        <v>3</v>
      </c>
      <c r="B8" s="64">
        <v>69</v>
      </c>
      <c r="C8" s="47">
        <f>IF(B$2=0,0,B8/B$2)</f>
        <v>0.35025380710659898</v>
      </c>
      <c r="E8" s="81" t="s">
        <v>94</v>
      </c>
      <c r="F8" s="77" t="s">
        <v>47</v>
      </c>
      <c r="G8" s="64">
        <v>65</v>
      </c>
      <c r="H8" s="47">
        <f>IF(B$27=0,0,G8/B$27)</f>
        <v>0.17808219178082191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43</v>
      </c>
      <c r="C9" s="48">
        <f t="shared" ref="C9" si="1">IF(B$2=0,0,B9/B$2)</f>
        <v>0.21827411167512689</v>
      </c>
      <c r="E9" s="81" t="s">
        <v>73</v>
      </c>
      <c r="F9" s="77" t="s">
        <v>26</v>
      </c>
      <c r="G9" s="64">
        <v>54</v>
      </c>
      <c r="H9" s="47">
        <f>IF(B$27=0,0,G9/B$27)</f>
        <v>0.14794520547945206</v>
      </c>
      <c r="I9" s="117">
        <v>4</v>
      </c>
      <c r="K9" s="46">
        <v>7</v>
      </c>
      <c r="L9" s="123">
        <v>91.700000000000017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20</v>
      </c>
      <c r="C10" s="48">
        <f>IF(B$2=0,0,B10/B$2)</f>
        <v>0.10152284263959391</v>
      </c>
      <c r="E10" s="81" t="s">
        <v>68</v>
      </c>
      <c r="F10" s="77" t="s">
        <v>22</v>
      </c>
      <c r="G10" s="64">
        <v>39</v>
      </c>
      <c r="H10" s="47">
        <f>IF(B$27=0,0,G10/B$27)</f>
        <v>0.10684931506849316</v>
      </c>
      <c r="I10" s="117">
        <v>9</v>
      </c>
      <c r="K10" s="46">
        <v>8</v>
      </c>
      <c r="L10" s="123">
        <v>55.700000000000017</v>
      </c>
      <c r="N10" s="44" t="s">
        <v>172</v>
      </c>
      <c r="O10" s="124">
        <f>IF(Q10=0,0,P10/Q10)</f>
        <v>125.9</v>
      </c>
      <c r="P10" s="130">
        <v>125.9</v>
      </c>
      <c r="Q10" s="57">
        <v>1</v>
      </c>
    </row>
    <row r="11" spans="1:17" x14ac:dyDescent="0.4">
      <c r="A11" s="73" t="s">
        <v>155</v>
      </c>
      <c r="B11" s="65">
        <v>41</v>
      </c>
      <c r="C11" s="48">
        <f>IF(B$2=0,0,B11/B$2)</f>
        <v>0.20812182741116753</v>
      </c>
      <c r="E11" s="81" t="s">
        <v>74</v>
      </c>
      <c r="F11" s="77" t="s">
        <v>27</v>
      </c>
      <c r="G11" s="64">
        <v>29</v>
      </c>
      <c r="H11" s="47">
        <f>IF(B$27=0,0,G11/B$27)</f>
        <v>7.9452054794520555E-2</v>
      </c>
      <c r="I11" s="117">
        <v>6</v>
      </c>
      <c r="K11" s="46">
        <v>9</v>
      </c>
      <c r="L11" s="123">
        <v>14.700000000000017</v>
      </c>
      <c r="N11" s="46" t="s">
        <v>167</v>
      </c>
      <c r="O11" s="125">
        <f>IF(Q11=0,0,P11/Q11)</f>
        <v>71.75</v>
      </c>
      <c r="P11" s="131">
        <v>287</v>
      </c>
      <c r="Q11" s="55">
        <v>4</v>
      </c>
    </row>
    <row r="12" spans="1:17" x14ac:dyDescent="0.4">
      <c r="A12" s="74" t="s">
        <v>240</v>
      </c>
      <c r="B12" s="66">
        <v>19</v>
      </c>
      <c r="C12" s="51">
        <f>IF(B$2=0,0,B12/B$2)</f>
        <v>9.6446700507614211E-2</v>
      </c>
      <c r="E12" s="81" t="s">
        <v>75</v>
      </c>
      <c r="F12" s="77" t="s">
        <v>28</v>
      </c>
      <c r="G12" s="64">
        <v>24</v>
      </c>
      <c r="H12" s="47">
        <f>IF(B$27=0,0,G12/B$27)</f>
        <v>6.575342465753424E-2</v>
      </c>
      <c r="I12" s="117">
        <v>2</v>
      </c>
      <c r="K12" s="46">
        <v>10</v>
      </c>
      <c r="L12" s="123">
        <v>-16.799999999999983</v>
      </c>
      <c r="N12" s="46" t="s">
        <v>158</v>
      </c>
      <c r="O12" s="125">
        <f>IF(Q12=0,0,P12/Q12)</f>
        <v>22.773684210526316</v>
      </c>
      <c r="P12" s="131">
        <v>432.7</v>
      </c>
      <c r="Q12" s="55">
        <v>19</v>
      </c>
    </row>
    <row r="13" spans="1:17" x14ac:dyDescent="0.4">
      <c r="A13" s="75" t="s">
        <v>128</v>
      </c>
      <c r="B13" s="67">
        <v>309</v>
      </c>
      <c r="C13" s="54">
        <f>IF(B$26=0,0,B13/B$26)</f>
        <v>0.30413385826771655</v>
      </c>
      <c r="E13" s="81" t="s">
        <v>91</v>
      </c>
      <c r="F13" s="77" t="s">
        <v>44</v>
      </c>
      <c r="G13" s="64">
        <v>24</v>
      </c>
      <c r="H13" s="47">
        <f>IF(B$27=0,0,G13/B$27)</f>
        <v>6.575342465753424E-2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>IF(Q13=0,0,P13/Q13)</f>
        <v>17.125000000000004</v>
      </c>
      <c r="P13" s="131">
        <v>822.00000000000011</v>
      </c>
      <c r="Q13" s="55">
        <v>48</v>
      </c>
    </row>
    <row r="14" spans="1:17" x14ac:dyDescent="0.4">
      <c r="A14" s="72" t="s">
        <v>123</v>
      </c>
      <c r="B14" s="64">
        <v>208</v>
      </c>
      <c r="C14" s="47">
        <f>IF(B$26=0,0,B14/B$26)</f>
        <v>0.20472440944881889</v>
      </c>
      <c r="E14" s="81" t="s">
        <v>88</v>
      </c>
      <c r="F14" s="77" t="s">
        <v>41</v>
      </c>
      <c r="G14" s="64">
        <v>11</v>
      </c>
      <c r="H14" s="47">
        <f>IF(B$27=0,0,G14/B$27)</f>
        <v>3.0136986301369864E-2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>IF(Q14=0,0,P14/Q14)</f>
        <v>15.324000000000002</v>
      </c>
      <c r="P14" s="131">
        <v>1149.3000000000002</v>
      </c>
      <c r="Q14" s="55">
        <v>75</v>
      </c>
    </row>
    <row r="15" spans="1:17" x14ac:dyDescent="0.4">
      <c r="A15" s="71" t="s">
        <v>130</v>
      </c>
      <c r="B15" s="63">
        <v>203</v>
      </c>
      <c r="C15" s="45">
        <f>IF(B$13=0,0,B15/B$13)</f>
        <v>0.65695792880258896</v>
      </c>
      <c r="E15" s="81" t="s">
        <v>86</v>
      </c>
      <c r="F15" s="77" t="s">
        <v>39</v>
      </c>
      <c r="G15" s="64">
        <v>8</v>
      </c>
      <c r="H15" s="47">
        <f>IF(B$27=0,0,G15/B$27)</f>
        <v>2.1917808219178082E-2</v>
      </c>
      <c r="I15" s="117">
        <v>6</v>
      </c>
      <c r="K15" s="46">
        <v>13</v>
      </c>
      <c r="L15" s="123">
        <v>71.300000000000011</v>
      </c>
      <c r="N15" s="46" t="s">
        <v>134</v>
      </c>
      <c r="O15" s="125">
        <f>IF(Q15=0,0,P15/Q15)</f>
        <v>8.3242424242424207</v>
      </c>
      <c r="P15" s="131">
        <v>824.09999999999957</v>
      </c>
      <c r="Q15" s="55">
        <v>99</v>
      </c>
    </row>
    <row r="16" spans="1:17" x14ac:dyDescent="0.4">
      <c r="A16" s="71" t="s">
        <v>131</v>
      </c>
      <c r="B16" s="63">
        <v>99</v>
      </c>
      <c r="C16" s="45">
        <f>IF(B$14=0,0,B16/B$14)</f>
        <v>0.47596153846153844</v>
      </c>
      <c r="E16" s="81" t="s">
        <v>82</v>
      </c>
      <c r="F16" s="77" t="s">
        <v>35</v>
      </c>
      <c r="G16" s="64">
        <v>6</v>
      </c>
      <c r="H16" s="47">
        <f>IF(B$27=0,0,G16/B$27)</f>
        <v>1.643835616438356E-2</v>
      </c>
      <c r="I16" s="117">
        <v>9</v>
      </c>
      <c r="K16" s="46">
        <v>14</v>
      </c>
      <c r="L16" s="123">
        <v>27.300000000000011</v>
      </c>
      <c r="N16" s="46" t="s">
        <v>168</v>
      </c>
      <c r="O16" s="125">
        <f>IF(Q16=0,0,P16/Q16)</f>
        <v>8</v>
      </c>
      <c r="P16" s="131">
        <v>8</v>
      </c>
      <c r="Q16" s="55">
        <v>1</v>
      </c>
    </row>
    <row r="17" spans="1:17" x14ac:dyDescent="0.4">
      <c r="A17" s="71" t="s">
        <v>10</v>
      </c>
      <c r="B17" s="63">
        <f>B19+B18</f>
        <v>521</v>
      </c>
      <c r="C17" s="45">
        <f>IF(B$3=0,0,B17/B$3)</f>
        <v>0.35394021739130432</v>
      </c>
      <c r="E17" s="81" t="s">
        <v>96</v>
      </c>
      <c r="F17" s="77" t="s">
        <v>49</v>
      </c>
      <c r="G17" s="64">
        <v>5</v>
      </c>
      <c r="H17" s="47">
        <f>IF(B$27=0,0,G17/B$27)</f>
        <v>1.3698630136986301E-2</v>
      </c>
      <c r="I17" s="117">
        <v>6</v>
      </c>
      <c r="K17" s="46">
        <v>15</v>
      </c>
      <c r="L17" s="123">
        <v>-9.6999999999999886</v>
      </c>
      <c r="N17" s="46" t="s">
        <v>138</v>
      </c>
      <c r="O17" s="125">
        <f>IF(Q17=0,0,P17/Q17)</f>
        <v>6.6095238095238118</v>
      </c>
      <c r="P17" s="131">
        <v>138.80000000000004</v>
      </c>
      <c r="Q17" s="55">
        <v>21</v>
      </c>
    </row>
    <row r="18" spans="1:17" x14ac:dyDescent="0.4">
      <c r="A18" s="72" t="s">
        <v>12</v>
      </c>
      <c r="B18" s="64">
        <v>199</v>
      </c>
      <c r="C18" s="47">
        <f>IF(B$17=0,0,B18/B$17)</f>
        <v>0.38195777351247601</v>
      </c>
      <c r="E18" s="81" t="s">
        <v>79</v>
      </c>
      <c r="F18" s="77" t="s">
        <v>32</v>
      </c>
      <c r="G18" s="64">
        <v>4</v>
      </c>
      <c r="H18" s="47">
        <f>IF(B$27=0,0,G18/B$27)</f>
        <v>1.0958904109589041E-2</v>
      </c>
      <c r="I18" s="117">
        <v>3</v>
      </c>
      <c r="K18" s="46">
        <v>16</v>
      </c>
      <c r="L18" s="123">
        <v>-8.099999999999989</v>
      </c>
      <c r="N18" s="46" t="s">
        <v>137</v>
      </c>
      <c r="O18" s="125">
        <f>IF(Q18=0,0,P18/Q18)</f>
        <v>0.90657894736842037</v>
      </c>
      <c r="P18" s="131">
        <v>68.899999999999949</v>
      </c>
      <c r="Q18" s="55">
        <v>76</v>
      </c>
    </row>
    <row r="19" spans="1:17" x14ac:dyDescent="0.4">
      <c r="A19" s="72" t="s">
        <v>11</v>
      </c>
      <c r="B19" s="64">
        <v>322</v>
      </c>
      <c r="C19" s="47">
        <f>IF(B$17=0,0,B19/B$17)</f>
        <v>0.61804222648752394</v>
      </c>
      <c r="E19" s="81" t="s">
        <v>81</v>
      </c>
      <c r="F19" s="77" t="s">
        <v>34</v>
      </c>
      <c r="G19" s="64">
        <v>4</v>
      </c>
      <c r="H19" s="47">
        <f>IF(B$27=0,0,G19/B$27)</f>
        <v>1.0958904109589041E-2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>IF(Q19=0,0,P19/Q19)</f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13</v>
      </c>
      <c r="B20" s="64">
        <v>208</v>
      </c>
      <c r="C20" s="47">
        <f>IF(B$3=0,0,B20/B$3)</f>
        <v>0.14130434782608695</v>
      </c>
      <c r="E20" s="81" t="s">
        <v>77</v>
      </c>
      <c r="F20" s="77" t="s">
        <v>30</v>
      </c>
      <c r="G20" s="64">
        <v>3</v>
      </c>
      <c r="H20" s="47">
        <f>IF(B$27=0,0,G20/B$27)</f>
        <v>8.21917808219178E-3</v>
      </c>
      <c r="I20" s="117">
        <v>3</v>
      </c>
      <c r="K20" s="46">
        <v>18</v>
      </c>
      <c r="L20" s="123">
        <v>-14.599999999999985</v>
      </c>
    </row>
    <row r="21" spans="1:17" x14ac:dyDescent="0.4">
      <c r="A21" s="72" t="s">
        <v>5</v>
      </c>
      <c r="B21" s="68">
        <f>IF(B$17=0,0,C21/B$17)</f>
        <v>9999.0403071017281</v>
      </c>
      <c r="C21" s="49">
        <v>5209500</v>
      </c>
      <c r="E21" s="81" t="s">
        <v>83</v>
      </c>
      <c r="F21" s="77" t="s">
        <v>36</v>
      </c>
      <c r="G21" s="64">
        <v>3</v>
      </c>
      <c r="H21" s="47">
        <f>IF(B$27=0,0,G21/B$27)</f>
        <v>8.21917808219178E-3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4" t="s">
        <v>14</v>
      </c>
      <c r="B22" s="69">
        <f>IF(B$20=0,0,C22/B$20)</f>
        <v>-9459.6153846153848</v>
      </c>
      <c r="C22" s="62">
        <v>-1967600</v>
      </c>
      <c r="E22" s="81" t="s">
        <v>97</v>
      </c>
      <c r="F22" s="77" t="s">
        <v>50</v>
      </c>
      <c r="G22" s="64">
        <v>3</v>
      </c>
      <c r="H22" s="47">
        <f>IF(B$27=0,0,G22/B$27)</f>
        <v>8.21917808219178E-3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112" t="s">
        <v>159</v>
      </c>
      <c r="B23" s="149">
        <v>10</v>
      </c>
      <c r="C23" s="150"/>
      <c r="E23" s="81" t="s">
        <v>92</v>
      </c>
      <c r="F23" s="77" t="s">
        <v>45</v>
      </c>
      <c r="G23" s="64">
        <v>2</v>
      </c>
      <c r="H23" s="47">
        <f>IF(B$27=0,0,G23/B$27)</f>
        <v>5.4794520547945206E-3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5" t="s">
        <v>200</v>
      </c>
      <c r="B24" s="147">
        <v>120200</v>
      </c>
      <c r="C24" s="148"/>
      <c r="E24" s="81" t="s">
        <v>78</v>
      </c>
      <c r="F24" s="77" t="s">
        <v>31</v>
      </c>
      <c r="G24" s="64">
        <v>1</v>
      </c>
      <c r="H24" s="47">
        <f>IF(B$27=0,0,G24/B$27)</f>
        <v>2.7397260273972603E-3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160</v>
      </c>
      <c r="B25" s="83">
        <v>2</v>
      </c>
      <c r="C25" s="51">
        <f>IF(B$3=0,0,B25/B$3)</f>
        <v>1.358695652173913E-3</v>
      </c>
      <c r="E25" s="81" t="s">
        <v>90</v>
      </c>
      <c r="F25" s="77" t="s">
        <v>43</v>
      </c>
      <c r="G25" s="64">
        <v>1</v>
      </c>
      <c r="H25" s="47">
        <f>IF(B$27=0,0,G25/B$27)</f>
        <v>2.7397260273972603E-3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71" t="s">
        <v>126</v>
      </c>
      <c r="B26" s="139">
        <v>1016</v>
      </c>
      <c r="C26" s="140"/>
      <c r="E26" s="81" t="s">
        <v>95</v>
      </c>
      <c r="F26" s="77" t="s">
        <v>48</v>
      </c>
      <c r="G26" s="64">
        <v>1</v>
      </c>
      <c r="H26" s="47">
        <f>IF(B$27=0,0,G26/B$27)</f>
        <v>2.7397260273972603E-3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4" t="s">
        <v>127</v>
      </c>
      <c r="B27" s="153">
        <v>365</v>
      </c>
      <c r="C27" s="154"/>
      <c r="E27" s="81" t="s">
        <v>100</v>
      </c>
      <c r="F27" s="77" t="s">
        <v>53</v>
      </c>
      <c r="G27" s="64">
        <v>1</v>
      </c>
      <c r="H27" s="47">
        <f>IF(B$27=0,0,G27/B$27)</f>
        <v>2.7397260273972603E-3</v>
      </c>
      <c r="I27" s="117">
        <v>1</v>
      </c>
      <c r="K27" s="46">
        <v>25</v>
      </c>
      <c r="L27" s="123">
        <v>84.300000000000011</v>
      </c>
    </row>
    <row r="28" spans="1:17" x14ac:dyDescent="0.4">
      <c r="E28" s="81" t="s">
        <v>111</v>
      </c>
      <c r="F28" s="77" t="s">
        <v>118</v>
      </c>
      <c r="G28" s="64">
        <v>1</v>
      </c>
      <c r="H28" s="47">
        <f>IF(B$27=0,0,G28/B$27)</f>
        <v>2.7397260273972603E-3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>IF(B$27=0,0,G29/B$27)</f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>IF(B$27=0,0,G32/B$27)</f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>IF(B$27=0,0,G34/B$27)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>IF(B$27=0,0,G35/B$27)</f>
        <v>0</v>
      </c>
      <c r="I35" s="117">
        <v>5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  <row r="195" spans="11:12" x14ac:dyDescent="0.4">
      <c r="K195" s="46">
        <v>193</v>
      </c>
      <c r="L195" s="123">
        <v>1240.6000000000001</v>
      </c>
    </row>
    <row r="196" spans="11:12" x14ac:dyDescent="0.4">
      <c r="K196" s="46">
        <v>194</v>
      </c>
      <c r="L196" s="123">
        <v>1221.7</v>
      </c>
    </row>
    <row r="197" spans="11:12" x14ac:dyDescent="0.4">
      <c r="K197" s="46">
        <v>195</v>
      </c>
      <c r="L197" s="123">
        <v>1258.4000000000001</v>
      </c>
    </row>
    <row r="198" spans="11:12" x14ac:dyDescent="0.4">
      <c r="K198" s="46">
        <v>196</v>
      </c>
      <c r="L198" s="123">
        <v>1270.8000000000002</v>
      </c>
    </row>
    <row r="199" spans="11:12" x14ac:dyDescent="0.4">
      <c r="K199" s="46">
        <v>197</v>
      </c>
      <c r="L199" s="123">
        <v>1284.8000000000002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B2D87-9EA3-4FB1-B68E-147BB297E4F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167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4</v>
      </c>
      <c r="C2" s="140"/>
      <c r="E2" s="80" t="s">
        <v>67</v>
      </c>
      <c r="F2" s="76" t="s">
        <v>21</v>
      </c>
      <c r="G2" s="63">
        <v>0</v>
      </c>
      <c r="H2" s="45">
        <f>IF(B$27=0,0,G2/B$27)</f>
        <v>0</v>
      </c>
      <c r="I2" s="116">
        <v>13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1">
        <v>25</v>
      </c>
      <c r="C3" s="142"/>
      <c r="E3" s="81" t="s">
        <v>68</v>
      </c>
      <c r="F3" s="77" t="s">
        <v>22</v>
      </c>
      <c r="G3" s="64">
        <v>0</v>
      </c>
      <c r="H3" s="47">
        <f>IF(B$27=0,0,G3/B$27)</f>
        <v>0</v>
      </c>
      <c r="I3" s="117">
        <v>12</v>
      </c>
      <c r="K3" s="46">
        <v>1</v>
      </c>
      <c r="L3" s="123">
        <v>-22</v>
      </c>
      <c r="N3" s="46" t="s">
        <v>148</v>
      </c>
      <c r="O3" s="127">
        <f t="shared" si="0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43">
        <v>-132.1</v>
      </c>
      <c r="C4" s="144"/>
      <c r="E4" s="81" t="s">
        <v>69</v>
      </c>
      <c r="F4" s="77" t="s">
        <v>23</v>
      </c>
      <c r="G4" s="64">
        <v>0</v>
      </c>
      <c r="H4" s="47">
        <f>IF(B$27=0,0,G4/B$27)</f>
        <v>0</v>
      </c>
      <c r="I4" s="117">
        <v>12</v>
      </c>
      <c r="K4" s="46">
        <v>2</v>
      </c>
      <c r="L4" s="123">
        <v>-60.4</v>
      </c>
      <c r="N4" s="46" t="s">
        <v>149</v>
      </c>
      <c r="O4" s="127">
        <f t="shared" si="0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45">
        <f>IF(B$2=0,0,B$4/B$2)</f>
        <v>-33.024999999999999</v>
      </c>
      <c r="C5" s="146"/>
      <c r="E5" s="81" t="s">
        <v>70</v>
      </c>
      <c r="F5" s="77" t="s">
        <v>24</v>
      </c>
      <c r="G5" s="64">
        <v>0</v>
      </c>
      <c r="H5" s="47">
        <f>IF(B$27=0,0,G5/B$27)</f>
        <v>0</v>
      </c>
      <c r="I5" s="117">
        <v>13</v>
      </c>
      <c r="K5" s="46">
        <v>3</v>
      </c>
      <c r="L5" s="123">
        <v>-85.6</v>
      </c>
      <c r="N5" s="46" t="s">
        <v>150</v>
      </c>
      <c r="O5" s="127">
        <f t="shared" si="0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51">
        <f>IF(B$2=0,0,(B$7*1+B$8*2+B$9*3)/B$2)</f>
        <v>3</v>
      </c>
      <c r="C6" s="152"/>
      <c r="E6" s="81" t="s">
        <v>71</v>
      </c>
      <c r="F6" s="77" t="s">
        <v>25</v>
      </c>
      <c r="G6" s="64">
        <v>0</v>
      </c>
      <c r="H6" s="47">
        <f>IF(B$27=0,0,G6/B$27)</f>
        <v>0</v>
      </c>
      <c r="I6" s="117">
        <v>12</v>
      </c>
      <c r="K6" s="46">
        <v>4</v>
      </c>
      <c r="L6" s="123">
        <v>-132.1</v>
      </c>
      <c r="N6" s="46" t="s">
        <v>151</v>
      </c>
      <c r="O6" s="127">
        <f t="shared" si="0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>IF(B$2=0,0,B8/B$2)</f>
        <v>0</v>
      </c>
      <c r="E8" s="81" t="s">
        <v>73</v>
      </c>
      <c r="F8" s="77" t="s">
        <v>26</v>
      </c>
      <c r="G8" s="64">
        <v>0</v>
      </c>
      <c r="H8" s="47">
        <f>IF(B$27=0,0,G8/B$27)</f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ref="C9" si="1">IF(B$2=0,0,B9/B$2)</f>
        <v>1</v>
      </c>
      <c r="E9" s="81" t="s">
        <v>74</v>
      </c>
      <c r="F9" s="77" t="s">
        <v>27</v>
      </c>
      <c r="G9" s="64">
        <v>0</v>
      </c>
      <c r="H9" s="47">
        <f>IF(B$27=0,0,G9/B$27)</f>
        <v>0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>IF(B$27=0,0,G10/B$27)</f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168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5" t="s">
        <v>128</v>
      </c>
      <c r="B13" s="67">
        <v>0</v>
      </c>
      <c r="C13" s="54">
        <f>IF(B$26=0,0,B13/B$26)</f>
        <v>0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</v>
      </c>
      <c r="C17" s="45">
        <f>IF(B$3=0,0,B17/B$3)</f>
        <v>0.04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1</v>
      </c>
      <c r="C18" s="47">
        <f>IF(B$17=0,0,B18/B$17)</f>
        <v>1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0</v>
      </c>
      <c r="C19" s="47">
        <f>IF(B$17=0,0,B19/B$17)</f>
        <v>0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10</v>
      </c>
      <c r="C20" s="47">
        <f>IF(B$3=0,0,B20/B$3)</f>
        <v>0.4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7800</v>
      </c>
      <c r="C21" s="49">
        <v>7800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-8240</v>
      </c>
      <c r="C22" s="62">
        <v>-82400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49">
        <v>0</v>
      </c>
      <c r="C23" s="15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47">
        <v>13000</v>
      </c>
      <c r="C24" s="14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39">
        <v>0</v>
      </c>
      <c r="C26" s="140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53">
        <v>0</v>
      </c>
      <c r="C27" s="154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2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C0D9-8431-473B-A62A-EEFDAC3358BB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3</v>
      </c>
      <c r="C2" s="140"/>
      <c r="E2" s="80" t="s">
        <v>70</v>
      </c>
      <c r="F2" s="76" t="s">
        <v>24</v>
      </c>
      <c r="G2" s="63">
        <v>2</v>
      </c>
      <c r="H2" s="45">
        <f>IF(B$27=0,0,G2/B$27)</f>
        <v>2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1">
        <v>16</v>
      </c>
      <c r="C3" s="142"/>
      <c r="E3" s="81" t="s">
        <v>67</v>
      </c>
      <c r="F3" s="77" t="s">
        <v>21</v>
      </c>
      <c r="G3" s="64">
        <v>1</v>
      </c>
      <c r="H3" s="47">
        <f>IF(B$27=0,0,G3/B$27)</f>
        <v>1</v>
      </c>
      <c r="I3" s="117">
        <v>1</v>
      </c>
      <c r="K3" s="46">
        <v>1</v>
      </c>
      <c r="L3" s="123">
        <v>7</v>
      </c>
      <c r="N3" s="46" t="s">
        <v>148</v>
      </c>
      <c r="O3" s="127">
        <f t="shared" si="0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43">
        <v>-26.5</v>
      </c>
      <c r="C4" s="144"/>
      <c r="E4" s="81" t="s">
        <v>73</v>
      </c>
      <c r="F4" s="77" t="s">
        <v>26</v>
      </c>
      <c r="G4" s="64">
        <v>1</v>
      </c>
      <c r="H4" s="47">
        <f>IF(B$27=0,0,G4/B$27)</f>
        <v>1</v>
      </c>
      <c r="I4" s="117">
        <v>1</v>
      </c>
      <c r="K4" s="46">
        <v>2</v>
      </c>
      <c r="L4" s="123">
        <v>-24.5</v>
      </c>
      <c r="N4" s="46" t="s">
        <v>149</v>
      </c>
      <c r="O4" s="127">
        <f t="shared" si="0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45">
        <f>IF(B$2=0,0,B$4/B$2)</f>
        <v>-8.8333333333333339</v>
      </c>
      <c r="C5" s="146"/>
      <c r="E5" s="81" t="s">
        <v>75</v>
      </c>
      <c r="F5" s="77" t="s">
        <v>28</v>
      </c>
      <c r="G5" s="64">
        <v>1</v>
      </c>
      <c r="H5" s="47">
        <f>IF(B$27=0,0,G5/B$27)</f>
        <v>1</v>
      </c>
      <c r="I5" s="117">
        <v>1</v>
      </c>
      <c r="K5" s="46">
        <v>3</v>
      </c>
      <c r="L5" s="123">
        <v>-26.5</v>
      </c>
      <c r="N5" s="46" t="s">
        <v>150</v>
      </c>
      <c r="O5" s="127">
        <f t="shared" si="0"/>
        <v>0</v>
      </c>
      <c r="P5" s="60">
        <v>0</v>
      </c>
      <c r="Q5" s="55">
        <v>1</v>
      </c>
    </row>
    <row r="6" spans="1:17" x14ac:dyDescent="0.4">
      <c r="A6" s="72" t="s">
        <v>1</v>
      </c>
      <c r="B6" s="151">
        <f>IF(B$2=0,0,(B$7*1+B$8*2+B$9*3)/B$2)</f>
        <v>2.3333333333333335</v>
      </c>
      <c r="C6" s="152"/>
      <c r="E6" s="81" t="s">
        <v>68</v>
      </c>
      <c r="F6" s="77" t="s">
        <v>22</v>
      </c>
      <c r="G6" s="64">
        <v>0</v>
      </c>
      <c r="H6" s="47">
        <f>IF(B$27=0,0,G6/B$27)</f>
        <v>0</v>
      </c>
      <c r="I6" s="117">
        <v>12</v>
      </c>
      <c r="N6" s="46" t="s">
        <v>151</v>
      </c>
      <c r="O6" s="127">
        <f t="shared" si="0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>IF(B$2=0,0,B8/B$2)</f>
        <v>0.66666666666666663</v>
      </c>
      <c r="E8" s="81" t="s">
        <v>71</v>
      </c>
      <c r="F8" s="77" t="s">
        <v>25</v>
      </c>
      <c r="G8" s="64">
        <v>0</v>
      </c>
      <c r="H8" s="47">
        <f>IF(B$27=0,0,G8/B$27)</f>
        <v>0</v>
      </c>
      <c r="I8" s="117">
        <v>12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ref="C9" si="1">IF(B$2=0,0,B9/B$2)</f>
        <v>0.33333333333333331</v>
      </c>
      <c r="E9" s="81" t="s">
        <v>72</v>
      </c>
      <c r="F9" s="77" t="s">
        <v>12</v>
      </c>
      <c r="G9" s="64">
        <v>0</v>
      </c>
      <c r="H9" s="47">
        <f>IF(B$27=0,0,G9/B$27)</f>
        <v>0</v>
      </c>
      <c r="I9" s="117">
        <v>12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>IF(B$27=0,0,G10/B$27)</f>
        <v>0</v>
      </c>
      <c r="I10" s="117">
        <v>11</v>
      </c>
      <c r="N10" s="44" t="s">
        <v>167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5" t="s">
        <v>128</v>
      </c>
      <c r="B13" s="67">
        <v>5</v>
      </c>
      <c r="C13" s="54">
        <f>IF(B$26=0,0,B13/B$26)</f>
        <v>0.45454545454545453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1</v>
      </c>
      <c r="C15" s="45">
        <f>IF(B$13=0,0,B15/B$13)</f>
        <v>0.2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3</v>
      </c>
      <c r="C17" s="45">
        <f>IF(B$3=0,0,B17/B$3)</f>
        <v>0.1875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0</v>
      </c>
      <c r="C18" s="47">
        <f>IF(B$17=0,0,B18/B$17)</f>
        <v>0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3</v>
      </c>
      <c r="C19" s="47">
        <f>IF(B$17=0,0,B19/B$17)</f>
        <v>1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2</v>
      </c>
      <c r="C20" s="47">
        <f>IF(B$3=0,0,B20/B$3)</f>
        <v>0.125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8000</v>
      </c>
      <c r="C21" s="49">
        <v>24000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-12000</v>
      </c>
      <c r="C22" s="62">
        <v>-24000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49">
        <v>2</v>
      </c>
      <c r="C23" s="15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47">
        <v>42000</v>
      </c>
      <c r="C24" s="14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39">
        <v>11</v>
      </c>
      <c r="C26" s="140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53">
        <v>1</v>
      </c>
      <c r="C27" s="154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3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17A2B-F0AE-47E5-9DF4-0FC5B4B985D2}">
  <sheetPr codeName="Sheet13"/>
  <dimension ref="A1:Q11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134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116</v>
      </c>
      <c r="C2" s="140"/>
      <c r="E2" s="80" t="s">
        <v>71</v>
      </c>
      <c r="F2" s="76" t="s">
        <v>25</v>
      </c>
      <c r="G2" s="63">
        <v>132</v>
      </c>
      <c r="H2" s="45">
        <f>IF(B$27=0,0,G2/B$27)</f>
        <v>0.76300578034682076</v>
      </c>
      <c r="I2" s="116">
        <v>9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-268.42105263157896</v>
      </c>
      <c r="P2" s="59">
        <v>-30600</v>
      </c>
      <c r="Q2" s="57">
        <v>114</v>
      </c>
    </row>
    <row r="3" spans="1:17" x14ac:dyDescent="0.4">
      <c r="A3" s="72" t="s">
        <v>8</v>
      </c>
      <c r="B3" s="141">
        <v>898</v>
      </c>
      <c r="C3" s="142"/>
      <c r="E3" s="81" t="s">
        <v>69</v>
      </c>
      <c r="F3" s="77" t="s">
        <v>23</v>
      </c>
      <c r="G3" s="64">
        <v>122</v>
      </c>
      <c r="H3" s="47">
        <f>IF(B$27=0,0,G3/B$27)</f>
        <v>0.7052023121387283</v>
      </c>
      <c r="I3" s="117">
        <v>6</v>
      </c>
      <c r="K3" s="46">
        <v>1</v>
      </c>
      <c r="L3" s="123">
        <v>40.9</v>
      </c>
      <c r="N3" s="46" t="s">
        <v>148</v>
      </c>
      <c r="O3" s="127">
        <f t="shared" si="0"/>
        <v>-1910.909090909091</v>
      </c>
      <c r="P3" s="60">
        <v>-210200</v>
      </c>
      <c r="Q3" s="55">
        <v>110</v>
      </c>
    </row>
    <row r="4" spans="1:17" x14ac:dyDescent="0.4">
      <c r="A4" s="72" t="s">
        <v>6</v>
      </c>
      <c r="B4" s="143">
        <v>-383.99999999999994</v>
      </c>
      <c r="C4" s="144"/>
      <c r="E4" s="81" t="s">
        <v>67</v>
      </c>
      <c r="F4" s="77" t="s">
        <v>21</v>
      </c>
      <c r="G4" s="64">
        <v>108</v>
      </c>
      <c r="H4" s="47">
        <f>IF(B$27=0,0,G4/B$27)</f>
        <v>0.62427745664739887</v>
      </c>
      <c r="I4" s="117">
        <v>5</v>
      </c>
      <c r="K4" s="46">
        <v>2</v>
      </c>
      <c r="L4" s="123">
        <v>-0.89999999999999858</v>
      </c>
      <c r="N4" s="46" t="s">
        <v>149</v>
      </c>
      <c r="O4" s="127">
        <f t="shared" si="0"/>
        <v>2474.766355140187</v>
      </c>
      <c r="P4" s="60">
        <v>264800</v>
      </c>
      <c r="Q4" s="55">
        <v>107</v>
      </c>
    </row>
    <row r="5" spans="1:17" x14ac:dyDescent="0.4">
      <c r="A5" s="72" t="s">
        <v>7</v>
      </c>
      <c r="B5" s="145">
        <f>IF(B$2=0,0,B$4/B$2)</f>
        <v>-3.3103448275862064</v>
      </c>
      <c r="C5" s="146"/>
      <c r="E5" s="81" t="s">
        <v>76</v>
      </c>
      <c r="F5" s="77" t="s">
        <v>29</v>
      </c>
      <c r="G5" s="64">
        <v>90</v>
      </c>
      <c r="H5" s="47">
        <f>IF(B$27=0,0,G5/B$27)</f>
        <v>0.52023121387283233</v>
      </c>
      <c r="I5" s="117">
        <v>9</v>
      </c>
      <c r="K5" s="46">
        <v>3</v>
      </c>
      <c r="L5" s="123">
        <v>-36.4</v>
      </c>
      <c r="N5" s="46" t="s">
        <v>150</v>
      </c>
      <c r="O5" s="127">
        <f t="shared" si="0"/>
        <v>-901.04166666666663</v>
      </c>
      <c r="P5" s="60">
        <v>-86500</v>
      </c>
      <c r="Q5" s="55">
        <v>96</v>
      </c>
    </row>
    <row r="6" spans="1:17" x14ac:dyDescent="0.4">
      <c r="A6" s="72" t="s">
        <v>1</v>
      </c>
      <c r="B6" s="151">
        <f>IF(B$2=0,0,(B$7*1+B$8*2+B$9*3)/B$2)</f>
        <v>2.0948275862068964</v>
      </c>
      <c r="C6" s="152"/>
      <c r="E6" s="81" t="s">
        <v>72</v>
      </c>
      <c r="F6" s="77" t="s">
        <v>12</v>
      </c>
      <c r="G6" s="64">
        <v>61</v>
      </c>
      <c r="H6" s="47">
        <f>IF(B$27=0,0,G6/B$27)</f>
        <v>0.35260115606936415</v>
      </c>
      <c r="I6" s="117">
        <v>2</v>
      </c>
      <c r="K6" s="46">
        <v>4</v>
      </c>
      <c r="L6" s="123">
        <v>3.6000000000000014</v>
      </c>
      <c r="N6" s="46" t="s">
        <v>151</v>
      </c>
      <c r="O6" s="127">
        <f t="shared" si="0"/>
        <v>-2533.75</v>
      </c>
      <c r="P6" s="60">
        <v>-202700</v>
      </c>
      <c r="Q6" s="55">
        <v>80</v>
      </c>
    </row>
    <row r="7" spans="1:17" x14ac:dyDescent="0.4">
      <c r="A7" s="72" t="s">
        <v>2</v>
      </c>
      <c r="B7" s="64">
        <v>35</v>
      </c>
      <c r="C7" s="47">
        <f>IF(B$2=0,0,B7/B$2)</f>
        <v>0.30172413793103448</v>
      </c>
      <c r="E7" s="81" t="s">
        <v>70</v>
      </c>
      <c r="F7" s="77" t="s">
        <v>24</v>
      </c>
      <c r="G7" s="64">
        <v>57</v>
      </c>
      <c r="H7" s="47">
        <f>IF(B$27=0,0,G7/B$27)</f>
        <v>0.32947976878612717</v>
      </c>
      <c r="I7" s="117">
        <v>6</v>
      </c>
      <c r="K7" s="46">
        <v>5</v>
      </c>
      <c r="L7" s="123">
        <v>14.600000000000001</v>
      </c>
      <c r="N7" s="50" t="s">
        <v>152</v>
      </c>
      <c r="O7" s="128">
        <f t="shared" si="0"/>
        <v>-2488.8888888888887</v>
      </c>
      <c r="P7" s="61">
        <v>-156800</v>
      </c>
      <c r="Q7" s="56">
        <v>63</v>
      </c>
    </row>
    <row r="8" spans="1:17" x14ac:dyDescent="0.4">
      <c r="A8" s="72" t="s">
        <v>3</v>
      </c>
      <c r="B8" s="64">
        <v>35</v>
      </c>
      <c r="C8" s="47">
        <f>IF(B$2=0,0,B8/B$2)</f>
        <v>0.30172413793103448</v>
      </c>
      <c r="E8" s="81" t="s">
        <v>68</v>
      </c>
      <c r="F8" s="77" t="s">
        <v>22</v>
      </c>
      <c r="G8" s="64">
        <v>29</v>
      </c>
      <c r="H8" s="47">
        <f>IF(B$27=0,0,G8/B$27)</f>
        <v>0.16763005780346821</v>
      </c>
      <c r="I8" s="117">
        <v>3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ref="C9" si="1">IF(B$2=0,0,B9/B$2)</f>
        <v>0.39655172413793105</v>
      </c>
      <c r="E9" s="81" t="s">
        <v>94</v>
      </c>
      <c r="F9" s="77" t="s">
        <v>47</v>
      </c>
      <c r="G9" s="64">
        <v>28</v>
      </c>
      <c r="H9" s="47">
        <f>IF(B$27=0,0,G9/B$27)</f>
        <v>0.16184971098265896</v>
      </c>
      <c r="I9" s="117">
        <v>4</v>
      </c>
      <c r="K9" s="46">
        <v>7</v>
      </c>
      <c r="L9" s="123">
        <v>100.1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0.19827586206896552</v>
      </c>
      <c r="E10" s="81" t="s">
        <v>74</v>
      </c>
      <c r="F10" s="77" t="s">
        <v>27</v>
      </c>
      <c r="G10" s="64">
        <v>26</v>
      </c>
      <c r="H10" s="47">
        <f>IF(B$27=0,0,G10/B$27)</f>
        <v>0.15028901734104047</v>
      </c>
      <c r="I10" s="117">
        <v>2</v>
      </c>
      <c r="K10" s="46">
        <v>8</v>
      </c>
      <c r="L10" s="123">
        <v>60.199999999999996</v>
      </c>
      <c r="N10" s="44" t="s">
        <v>168</v>
      </c>
      <c r="O10" s="124">
        <f>IF(Q10=0,0,P10/Q10)</f>
        <v>50.95</v>
      </c>
      <c r="P10" s="130">
        <v>101.9</v>
      </c>
      <c r="Q10" s="57">
        <v>2</v>
      </c>
    </row>
    <row r="11" spans="1:17" x14ac:dyDescent="0.4">
      <c r="A11" s="73" t="s">
        <v>155</v>
      </c>
      <c r="B11" s="65">
        <v>16</v>
      </c>
      <c r="C11" s="48">
        <f>IF(B$2=0,0,B11/B$2)</f>
        <v>0.13793103448275862</v>
      </c>
      <c r="E11" s="81" t="s">
        <v>73</v>
      </c>
      <c r="F11" s="77" t="s">
        <v>26</v>
      </c>
      <c r="G11" s="64">
        <v>25</v>
      </c>
      <c r="H11" s="47">
        <f>IF(B$27=0,0,G11/B$27)</f>
        <v>0.14450867052023122</v>
      </c>
      <c r="I11" s="117">
        <v>5</v>
      </c>
      <c r="K11" s="46">
        <v>9</v>
      </c>
      <c r="L11" s="123">
        <v>24.4</v>
      </c>
      <c r="N11" s="46" t="s">
        <v>136</v>
      </c>
      <c r="O11" s="125">
        <f>IF(Q11=0,0,P11/Q11)</f>
        <v>28.981249999999999</v>
      </c>
      <c r="P11" s="131">
        <v>463.7</v>
      </c>
      <c r="Q11" s="55">
        <v>16</v>
      </c>
    </row>
    <row r="12" spans="1:17" x14ac:dyDescent="0.4">
      <c r="A12" s="74" t="s">
        <v>240</v>
      </c>
      <c r="B12" s="66">
        <v>9</v>
      </c>
      <c r="C12" s="51">
        <f>IF(B$2=0,0,B12/B$2)</f>
        <v>7.7586206896551727E-2</v>
      </c>
      <c r="E12" s="81" t="s">
        <v>91</v>
      </c>
      <c r="F12" s="77" t="s">
        <v>44</v>
      </c>
      <c r="G12" s="64">
        <v>17</v>
      </c>
      <c r="H12" s="47">
        <f>IF(B$27=0,0,G12/B$27)</f>
        <v>9.8265895953757232E-2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>IF(Q12=0,0,P12/Q12)</f>
        <v>9.3027027027026996</v>
      </c>
      <c r="P12" s="131">
        <v>344.19999999999987</v>
      </c>
      <c r="Q12" s="55">
        <v>37</v>
      </c>
    </row>
    <row r="13" spans="1:17" x14ac:dyDescent="0.4">
      <c r="A13" s="75" t="s">
        <v>128</v>
      </c>
      <c r="B13" s="67">
        <v>188</v>
      </c>
      <c r="C13" s="54">
        <f>IF(B$26=0,0,B13/B$26)</f>
        <v>0.29513343799058084</v>
      </c>
      <c r="E13" s="81" t="s">
        <v>88</v>
      </c>
      <c r="F13" s="77" t="s">
        <v>41</v>
      </c>
      <c r="G13" s="64">
        <v>15</v>
      </c>
      <c r="H13" s="47">
        <f>IF(B$27=0,0,G13/B$27)</f>
        <v>8.6705202312138727E-2</v>
      </c>
      <c r="I13" s="117">
        <v>3</v>
      </c>
      <c r="K13" s="46">
        <v>11</v>
      </c>
      <c r="L13" s="123">
        <v>-3.6000000000000014</v>
      </c>
      <c r="N13" s="46" t="s">
        <v>138</v>
      </c>
      <c r="O13" s="125">
        <f>IF(Q13=0,0,P13/Q13)</f>
        <v>-1.2833333333333339</v>
      </c>
      <c r="P13" s="131">
        <v>-7.7000000000000028</v>
      </c>
      <c r="Q13" s="55">
        <v>6</v>
      </c>
    </row>
    <row r="14" spans="1:17" x14ac:dyDescent="0.4">
      <c r="A14" s="72" t="s">
        <v>123</v>
      </c>
      <c r="B14" s="64">
        <v>108</v>
      </c>
      <c r="C14" s="47">
        <f>IF(B$26=0,0,B14/B$26)</f>
        <v>0.1695447409733124</v>
      </c>
      <c r="E14" s="81" t="s">
        <v>86</v>
      </c>
      <c r="F14" s="77" t="s">
        <v>39</v>
      </c>
      <c r="G14" s="64">
        <v>8</v>
      </c>
      <c r="H14" s="47">
        <f>IF(B$27=0,0,G14/B$27)</f>
        <v>4.6242774566473986E-2</v>
      </c>
      <c r="I14" s="117">
        <v>2</v>
      </c>
      <c r="K14" s="46">
        <v>12</v>
      </c>
      <c r="L14" s="123">
        <v>-12.000000000000002</v>
      </c>
      <c r="N14" s="46" t="s">
        <v>133</v>
      </c>
      <c r="O14" s="125">
        <f>IF(Q14=0,0,P14/Q14)</f>
        <v>-8.3242424242424207</v>
      </c>
      <c r="P14" s="131">
        <v>-824.09999999999957</v>
      </c>
      <c r="Q14" s="55">
        <v>99</v>
      </c>
    </row>
    <row r="15" spans="1:17" x14ac:dyDescent="0.4">
      <c r="A15" s="71" t="s">
        <v>130</v>
      </c>
      <c r="B15" s="63">
        <v>109</v>
      </c>
      <c r="C15" s="45">
        <f>IF(B$13=0,0,B15/B$13)</f>
        <v>0.57978723404255317</v>
      </c>
      <c r="E15" s="81" t="s">
        <v>96</v>
      </c>
      <c r="F15" s="77" t="s">
        <v>49</v>
      </c>
      <c r="G15" s="64">
        <v>7</v>
      </c>
      <c r="H15" s="47">
        <f>IF(B$27=0,0,G15/B$27)</f>
        <v>4.046242774566474E-2</v>
      </c>
      <c r="I15" s="117">
        <v>2</v>
      </c>
      <c r="K15" s="46">
        <v>13</v>
      </c>
      <c r="L15" s="123">
        <v>49.5</v>
      </c>
      <c r="N15" s="46" t="s">
        <v>158</v>
      </c>
      <c r="O15" s="125">
        <f>IF(Q15=0,0,P15/Q15)</f>
        <v>-10.366666666666665</v>
      </c>
      <c r="P15" s="131">
        <v>-31.099999999999998</v>
      </c>
      <c r="Q15" s="55">
        <v>3</v>
      </c>
    </row>
    <row r="16" spans="1:17" x14ac:dyDescent="0.4">
      <c r="A16" s="71" t="s">
        <v>131</v>
      </c>
      <c r="B16" s="63">
        <v>42</v>
      </c>
      <c r="C16" s="45">
        <f>IF(B$14=0,0,B16/B$14)</f>
        <v>0.3888888888888889</v>
      </c>
      <c r="E16" s="81" t="s">
        <v>75</v>
      </c>
      <c r="F16" s="77" t="s">
        <v>28</v>
      </c>
      <c r="G16" s="64">
        <v>4</v>
      </c>
      <c r="H16" s="47">
        <f>IF(B$27=0,0,G16/B$27)</f>
        <v>2.3121387283236993E-2</v>
      </c>
      <c r="I16" s="117">
        <v>10</v>
      </c>
      <c r="K16" s="46">
        <v>14</v>
      </c>
      <c r="L16" s="123">
        <v>33</v>
      </c>
      <c r="N16" s="46" t="s">
        <v>135</v>
      </c>
      <c r="O16" s="125">
        <f>IF(Q16=0,0,P16/Q16)</f>
        <v>-15.51666666666666</v>
      </c>
      <c r="P16" s="131">
        <v>-558.5999999999998</v>
      </c>
      <c r="Q16" s="55">
        <v>36</v>
      </c>
    </row>
    <row r="17" spans="1:17" x14ac:dyDescent="0.4">
      <c r="A17" s="71" t="s">
        <v>10</v>
      </c>
      <c r="B17" s="63">
        <f>B19+B18</f>
        <v>234</v>
      </c>
      <c r="C17" s="45">
        <f>IF(B$3=0,0,B17/B$3)</f>
        <v>0.26057906458797325</v>
      </c>
      <c r="E17" s="81" t="s">
        <v>82</v>
      </c>
      <c r="F17" s="77" t="s">
        <v>35</v>
      </c>
      <c r="G17" s="64">
        <v>3</v>
      </c>
      <c r="H17" s="47">
        <f>IF(B$27=0,0,G17/B$27)</f>
        <v>1.7341040462427744E-2</v>
      </c>
      <c r="I17" s="117">
        <v>8</v>
      </c>
      <c r="K17" s="46">
        <v>15</v>
      </c>
      <c r="L17" s="123">
        <v>38.5</v>
      </c>
      <c r="N17" s="46" t="s">
        <v>137</v>
      </c>
      <c r="O17" s="125">
        <f>IF(Q17=0,0,P17/Q17)</f>
        <v>-18.27666666666666</v>
      </c>
      <c r="P17" s="131">
        <v>-548.29999999999984</v>
      </c>
      <c r="Q17" s="55">
        <v>30</v>
      </c>
    </row>
    <row r="18" spans="1:17" x14ac:dyDescent="0.4">
      <c r="A18" s="72" t="s">
        <v>12</v>
      </c>
      <c r="B18" s="64">
        <v>99</v>
      </c>
      <c r="C18" s="47">
        <f>IF(B$17=0,0,B18/B$17)</f>
        <v>0.42307692307692307</v>
      </c>
      <c r="E18" s="81" t="s">
        <v>83</v>
      </c>
      <c r="F18" s="77" t="s">
        <v>36</v>
      </c>
      <c r="G18" s="64">
        <v>2</v>
      </c>
      <c r="H18" s="47">
        <f>IF(B$27=0,0,G18/B$27)</f>
        <v>1.1560693641618497E-2</v>
      </c>
      <c r="I18" s="117">
        <v>5</v>
      </c>
      <c r="K18" s="46">
        <v>16</v>
      </c>
      <c r="L18" s="123">
        <v>14.600000000000001</v>
      </c>
      <c r="N18" s="46" t="s">
        <v>195</v>
      </c>
      <c r="O18" s="125">
        <f>IF(Q18=0,0,P18/Q18)</f>
        <v>-29.333333333333332</v>
      </c>
      <c r="P18" s="131">
        <v>-88</v>
      </c>
      <c r="Q18" s="55">
        <v>3</v>
      </c>
    </row>
    <row r="19" spans="1:17" x14ac:dyDescent="0.4">
      <c r="A19" s="72" t="s">
        <v>11</v>
      </c>
      <c r="B19" s="64">
        <v>135</v>
      </c>
      <c r="C19" s="47">
        <f>IF(B$17=0,0,B19/B$17)</f>
        <v>0.57692307692307687</v>
      </c>
      <c r="E19" s="81" t="s">
        <v>90</v>
      </c>
      <c r="F19" s="77" t="s">
        <v>43</v>
      </c>
      <c r="G19" s="64">
        <v>2</v>
      </c>
      <c r="H19" s="47">
        <f>IF(B$27=0,0,G19/B$27)</f>
        <v>1.1560693641618497E-2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13</v>
      </c>
      <c r="B20" s="64">
        <v>174</v>
      </c>
      <c r="C20" s="47">
        <f>IF(B$3=0,0,B20/B$3)</f>
        <v>0.19376391982182628</v>
      </c>
      <c r="E20" s="81" t="s">
        <v>97</v>
      </c>
      <c r="F20" s="77" t="s">
        <v>50</v>
      </c>
      <c r="G20" s="64">
        <v>2</v>
      </c>
      <c r="H20" s="47">
        <f>IF(B$27=0,0,G20/B$27)</f>
        <v>1.1560693641618497E-2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2" t="s">
        <v>5</v>
      </c>
      <c r="B21" s="68">
        <f>IF(B$17=0,0,C21/B$17)</f>
        <v>11123.931623931623</v>
      </c>
      <c r="C21" s="49">
        <v>2603000</v>
      </c>
      <c r="E21" s="81" t="s">
        <v>85</v>
      </c>
      <c r="F21" s="77" t="s">
        <v>38</v>
      </c>
      <c r="G21" s="64">
        <v>1</v>
      </c>
      <c r="H21" s="47">
        <f>IF(B$27=0,0,G21/B$27)</f>
        <v>5.7803468208092483E-3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4" t="s">
        <v>14</v>
      </c>
      <c r="B22" s="69">
        <f>IF(B$20=0,0,C22/B$20)</f>
        <v>-9597.7011494252874</v>
      </c>
      <c r="C22" s="62">
        <v>-1670000</v>
      </c>
      <c r="E22" s="81" t="s">
        <v>89</v>
      </c>
      <c r="F22" s="77" t="s">
        <v>42</v>
      </c>
      <c r="G22" s="64">
        <v>1</v>
      </c>
      <c r="H22" s="47">
        <f>IF(B$27=0,0,G22/B$27)</f>
        <v>5.7803468208092483E-3</v>
      </c>
      <c r="I22" s="117">
        <v>1</v>
      </c>
      <c r="K22" s="46">
        <v>20</v>
      </c>
      <c r="L22" s="123">
        <v>-57.899999999999991</v>
      </c>
    </row>
    <row r="23" spans="1:17" x14ac:dyDescent="0.4">
      <c r="A23" s="112" t="s">
        <v>159</v>
      </c>
      <c r="B23" s="149">
        <v>10</v>
      </c>
      <c r="C23" s="150"/>
      <c r="E23" s="81" t="s">
        <v>92</v>
      </c>
      <c r="F23" s="77" t="s">
        <v>45</v>
      </c>
      <c r="G23" s="64">
        <v>1</v>
      </c>
      <c r="H23" s="47">
        <f>IF(B$27=0,0,G23/B$27)</f>
        <v>5.7803468208092483E-3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5" t="s">
        <v>200</v>
      </c>
      <c r="B24" s="147">
        <v>97700</v>
      </c>
      <c r="C24" s="148"/>
      <c r="E24" s="81" t="s">
        <v>93</v>
      </c>
      <c r="F24" s="77" t="s">
        <v>46</v>
      </c>
      <c r="G24" s="64">
        <v>1</v>
      </c>
      <c r="H24" s="47">
        <f>IF(B$27=0,0,G24/B$27)</f>
        <v>5.7803468208092483E-3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160</v>
      </c>
      <c r="B25" s="83">
        <v>4</v>
      </c>
      <c r="C25" s="51">
        <f>IF(B$3=0,0,B25/B$3)</f>
        <v>4.4543429844097994E-3</v>
      </c>
      <c r="E25" s="81" t="s">
        <v>77</v>
      </c>
      <c r="F25" s="77" t="s">
        <v>30</v>
      </c>
      <c r="G25" s="64">
        <v>0</v>
      </c>
      <c r="H25" s="47">
        <f>IF(B$27=0,0,G25/B$27)</f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71" t="s">
        <v>126</v>
      </c>
      <c r="B26" s="139">
        <v>637</v>
      </c>
      <c r="C26" s="140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4" t="s">
        <v>127</v>
      </c>
      <c r="B27" s="153">
        <v>173</v>
      </c>
      <c r="C27" s="154"/>
      <c r="E27" s="81" t="s">
        <v>79</v>
      </c>
      <c r="F27" s="77" t="s">
        <v>32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E28" s="81" t="s">
        <v>80</v>
      </c>
      <c r="F28" s="77" t="s">
        <v>33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>IF(B$27=0,0,G31/B$27)</f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  <row r="114" spans="11:12" x14ac:dyDescent="0.4">
      <c r="K114" s="46">
        <v>112</v>
      </c>
      <c r="L114" s="123">
        <v>-447.69999999999993</v>
      </c>
    </row>
    <row r="115" spans="11:12" x14ac:dyDescent="0.4">
      <c r="K115" s="46">
        <v>113</v>
      </c>
      <c r="L115" s="123">
        <v>-384.99999999999994</v>
      </c>
    </row>
    <row r="116" spans="11:12" x14ac:dyDescent="0.4">
      <c r="K116" s="46">
        <v>114</v>
      </c>
      <c r="L116" s="123">
        <v>-372.69999999999993</v>
      </c>
    </row>
    <row r="117" spans="11:12" x14ac:dyDescent="0.4">
      <c r="K117" s="46">
        <v>115</v>
      </c>
      <c r="L117" s="123">
        <v>-388.19999999999993</v>
      </c>
    </row>
    <row r="118" spans="11:12" x14ac:dyDescent="0.4">
      <c r="K118" s="46">
        <v>116</v>
      </c>
      <c r="L118" s="123">
        <v>-383.99999999999994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9D3A-2A83-4E98-9DCE-0E6DD0130BAC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135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57</v>
      </c>
      <c r="C2" s="140"/>
      <c r="E2" s="80" t="s">
        <v>69</v>
      </c>
      <c r="F2" s="76" t="s">
        <v>23</v>
      </c>
      <c r="G2" s="63">
        <v>52</v>
      </c>
      <c r="H2" s="45">
        <f>IF(B$27=0,0,G2/B$27)</f>
        <v>0.91228070175438591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1">
        <v>410</v>
      </c>
      <c r="C3" s="142"/>
      <c r="E3" s="81" t="s">
        <v>71</v>
      </c>
      <c r="F3" s="77" t="s">
        <v>25</v>
      </c>
      <c r="G3" s="64">
        <v>51</v>
      </c>
      <c r="H3" s="47">
        <f>IF(B$27=0,0,G3/B$27)</f>
        <v>0.89473684210526316</v>
      </c>
      <c r="I3" s="117">
        <v>5</v>
      </c>
      <c r="K3" s="46">
        <v>1</v>
      </c>
      <c r="L3" s="123">
        <v>-39.9</v>
      </c>
      <c r="N3" s="46" t="s">
        <v>148</v>
      </c>
      <c r="O3" s="127">
        <f t="shared" si="0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43">
        <v>257.3</v>
      </c>
      <c r="C4" s="144"/>
      <c r="E4" s="81" t="s">
        <v>76</v>
      </c>
      <c r="F4" s="77" t="s">
        <v>29</v>
      </c>
      <c r="G4" s="64">
        <v>36</v>
      </c>
      <c r="H4" s="47">
        <f>IF(B$27=0,0,G4/B$27)</f>
        <v>0.63157894736842102</v>
      </c>
      <c r="I4" s="117">
        <v>4</v>
      </c>
      <c r="K4" s="46">
        <v>2</v>
      </c>
      <c r="L4" s="123">
        <v>-13.2</v>
      </c>
      <c r="N4" s="46" t="s">
        <v>149</v>
      </c>
      <c r="O4" s="127">
        <f t="shared" si="0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45">
        <f>IF(B$2=0,0,B$4/B$2)</f>
        <v>4.5140350877192983</v>
      </c>
      <c r="C5" s="146"/>
      <c r="E5" s="81" t="s">
        <v>67</v>
      </c>
      <c r="F5" s="77" t="s">
        <v>21</v>
      </c>
      <c r="G5" s="64">
        <v>24</v>
      </c>
      <c r="H5" s="47">
        <f>IF(B$27=0,0,G5/B$27)</f>
        <v>0.42105263157894735</v>
      </c>
      <c r="I5" s="117">
        <v>11</v>
      </c>
      <c r="K5" s="46">
        <v>3</v>
      </c>
      <c r="L5" s="123">
        <v>-57.7</v>
      </c>
      <c r="N5" s="46" t="s">
        <v>150</v>
      </c>
      <c r="O5" s="127">
        <f t="shared" si="0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51">
        <f>IF(B$2=0,0,(B$7*1+B$8*2+B$9*3)/B$2)</f>
        <v>1.8771929824561404</v>
      </c>
      <c r="C6" s="152"/>
      <c r="E6" s="81" t="s">
        <v>72</v>
      </c>
      <c r="F6" s="77" t="s">
        <v>12</v>
      </c>
      <c r="G6" s="64">
        <v>18</v>
      </c>
      <c r="H6" s="47">
        <f>IF(B$27=0,0,G6/B$27)</f>
        <v>0.31578947368421051</v>
      </c>
      <c r="I6" s="117">
        <v>6</v>
      </c>
      <c r="K6" s="46">
        <v>4</v>
      </c>
      <c r="L6" s="123">
        <v>-53.7</v>
      </c>
      <c r="N6" s="46" t="s">
        <v>151</v>
      </c>
      <c r="O6" s="127">
        <f t="shared" si="0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>IF(B$27=0,0,G7/B$27)</f>
        <v>0.2982456140350877</v>
      </c>
      <c r="I7" s="117">
        <v>9</v>
      </c>
      <c r="K7" s="46">
        <v>5</v>
      </c>
      <c r="L7" s="123">
        <v>-45.7</v>
      </c>
      <c r="N7" s="50" t="s">
        <v>152</v>
      </c>
      <c r="O7" s="128">
        <f t="shared" si="0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>IF(B$2=0,0,B8/B$2)</f>
        <v>0.42105263157894735</v>
      </c>
      <c r="E8" s="81" t="s">
        <v>73</v>
      </c>
      <c r="F8" s="77" t="s">
        <v>26</v>
      </c>
      <c r="G8" s="64">
        <v>6</v>
      </c>
      <c r="H8" s="47">
        <f>IF(B$27=0,0,G8/B$27)</f>
        <v>0.10526315789473684</v>
      </c>
      <c r="I8" s="117">
        <v>10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0.22807017543859648</v>
      </c>
      <c r="E9" s="81" t="s">
        <v>88</v>
      </c>
      <c r="F9" s="77" t="s">
        <v>41</v>
      </c>
      <c r="G9" s="64">
        <v>6</v>
      </c>
      <c r="H9" s="47">
        <f>IF(B$27=0,0,G9/B$27)</f>
        <v>0.10526315789473684</v>
      </c>
      <c r="I9" s="117">
        <v>2</v>
      </c>
      <c r="K9" s="46">
        <v>7</v>
      </c>
      <c r="L9" s="123">
        <v>-47.6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>IF(B$27=0,0,G10/B$27)</f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>IF(Q10=0,0,P10/Q10)</f>
        <v>34</v>
      </c>
      <c r="P10" s="130">
        <v>34</v>
      </c>
      <c r="Q10" s="57">
        <v>1</v>
      </c>
    </row>
    <row r="11" spans="1:17" x14ac:dyDescent="0.4">
      <c r="A11" s="73" t="s">
        <v>155</v>
      </c>
      <c r="B11" s="65">
        <v>10</v>
      </c>
      <c r="C11" s="48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>IF(B$27=0,0,G11/B$27)</f>
        <v>7.0175438596491224E-2</v>
      </c>
      <c r="I11" s="117">
        <v>8</v>
      </c>
      <c r="K11" s="46">
        <v>9</v>
      </c>
      <c r="L11" s="123">
        <v>-77.900000000000006</v>
      </c>
      <c r="N11" s="46" t="s">
        <v>167</v>
      </c>
      <c r="O11" s="125">
        <f>IF(Q11=0,0,P11/Q11)</f>
        <v>26.766666666666666</v>
      </c>
      <c r="P11" s="131">
        <v>80.3</v>
      </c>
      <c r="Q11" s="55">
        <v>3</v>
      </c>
    </row>
    <row r="12" spans="1:17" x14ac:dyDescent="0.4">
      <c r="A12" s="74" t="s">
        <v>240</v>
      </c>
      <c r="B12" s="66">
        <v>3</v>
      </c>
      <c r="C12" s="51">
        <f>IF(B$2=0,0,B12/B$2)</f>
        <v>5.2631578947368418E-2</v>
      </c>
      <c r="E12" s="81" t="s">
        <v>86</v>
      </c>
      <c r="F12" s="77" t="s">
        <v>39</v>
      </c>
      <c r="G12" s="64">
        <v>4</v>
      </c>
      <c r="H12" s="47">
        <f>IF(B$27=0,0,G12/B$27)</f>
        <v>7.0175438596491224E-2</v>
      </c>
      <c r="I12" s="117">
        <v>1</v>
      </c>
      <c r="K12" s="46">
        <v>10</v>
      </c>
      <c r="L12" s="123">
        <v>-78.900000000000006</v>
      </c>
      <c r="N12" s="46" t="s">
        <v>172</v>
      </c>
      <c r="O12" s="125">
        <f>IF(Q12=0,0,P12/Q12)</f>
        <v>21.200000000000003</v>
      </c>
      <c r="P12" s="131">
        <v>63.600000000000009</v>
      </c>
      <c r="Q12" s="55">
        <v>3</v>
      </c>
    </row>
    <row r="13" spans="1:17" x14ac:dyDescent="0.4">
      <c r="A13" s="75" t="s">
        <v>128</v>
      </c>
      <c r="B13" s="67">
        <v>39</v>
      </c>
      <c r="C13" s="54">
        <f>IF(B$26=0,0,B13/B$26)</f>
        <v>0.22674418604651161</v>
      </c>
      <c r="E13" s="81" t="s">
        <v>94</v>
      </c>
      <c r="F13" s="77" t="s">
        <v>47</v>
      </c>
      <c r="G13" s="64">
        <v>4</v>
      </c>
      <c r="H13" s="47">
        <f>IF(B$27=0,0,G13/B$27)</f>
        <v>7.0175438596491224E-2</v>
      </c>
      <c r="I13" s="117">
        <v>8</v>
      </c>
      <c r="K13" s="46">
        <v>11</v>
      </c>
      <c r="L13" s="123">
        <v>-88.9</v>
      </c>
      <c r="N13" s="46" t="s">
        <v>134</v>
      </c>
      <c r="O13" s="125">
        <f>IF(Q13=0,0,P13/Q13)</f>
        <v>15.51666666666666</v>
      </c>
      <c r="P13" s="131">
        <v>558.5999999999998</v>
      </c>
      <c r="Q13" s="55">
        <v>36</v>
      </c>
    </row>
    <row r="14" spans="1:17" x14ac:dyDescent="0.4">
      <c r="A14" s="72" t="s">
        <v>123</v>
      </c>
      <c r="B14" s="64">
        <v>55</v>
      </c>
      <c r="C14" s="47">
        <f>IF(B$26=0,0,B14/B$26)</f>
        <v>0.31976744186046513</v>
      </c>
      <c r="E14" s="81" t="s">
        <v>91</v>
      </c>
      <c r="F14" s="77" t="s">
        <v>44</v>
      </c>
      <c r="G14" s="64">
        <v>3</v>
      </c>
      <c r="H14" s="47">
        <f>IF(B$27=0,0,G14/B$27)</f>
        <v>5.2631578947368418E-2</v>
      </c>
      <c r="I14" s="117">
        <v>8</v>
      </c>
      <c r="K14" s="46">
        <v>12</v>
      </c>
      <c r="L14" s="123">
        <v>-23.5</v>
      </c>
      <c r="N14" s="46" t="s">
        <v>137</v>
      </c>
      <c r="O14" s="125">
        <f>IF(Q14=0,0,P14/Q14)</f>
        <v>14.371428571428575</v>
      </c>
      <c r="P14" s="131">
        <v>100.60000000000002</v>
      </c>
      <c r="Q14" s="55">
        <v>7</v>
      </c>
    </row>
    <row r="15" spans="1:17" x14ac:dyDescent="0.4">
      <c r="A15" s="71" t="s">
        <v>130</v>
      </c>
      <c r="B15" s="63">
        <v>24</v>
      </c>
      <c r="C15" s="45">
        <f>IF(B$13=0,0,B15/B$13)</f>
        <v>0.61538461538461542</v>
      </c>
      <c r="E15" s="81" t="s">
        <v>75</v>
      </c>
      <c r="F15" s="77" t="s">
        <v>28</v>
      </c>
      <c r="G15" s="64">
        <v>1</v>
      </c>
      <c r="H15" s="47">
        <f>IF(B$27=0,0,G15/B$27)</f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>IF(Q15=0,0,P15/Q15)</f>
        <v>13.249999999999998</v>
      </c>
      <c r="P15" s="131">
        <v>26.499999999999996</v>
      </c>
      <c r="Q15" s="55">
        <v>2</v>
      </c>
    </row>
    <row r="16" spans="1:17" x14ac:dyDescent="0.4">
      <c r="A16" s="71" t="s">
        <v>131</v>
      </c>
      <c r="B16" s="63">
        <v>21</v>
      </c>
      <c r="C16" s="45">
        <f>IF(B$14=0,0,B16/B$14)</f>
        <v>0.38181818181818183</v>
      </c>
      <c r="E16" s="81" t="s">
        <v>82</v>
      </c>
      <c r="F16" s="77" t="s">
        <v>35</v>
      </c>
      <c r="G16" s="64">
        <v>1</v>
      </c>
      <c r="H16" s="47">
        <f>IF(B$27=0,0,G16/B$27)</f>
        <v>1.7543859649122806E-2</v>
      </c>
      <c r="I16" s="117">
        <v>7</v>
      </c>
      <c r="K16" s="46">
        <v>14</v>
      </c>
      <c r="L16" s="123">
        <v>38.6</v>
      </c>
      <c r="N16" s="46" t="s">
        <v>133</v>
      </c>
      <c r="O16" s="125">
        <f>IF(Q16=0,0,P16/Q16)</f>
        <v>-3.3999999999999773E-2</v>
      </c>
      <c r="P16" s="131">
        <v>-1.6999999999999886</v>
      </c>
      <c r="Q16" s="55">
        <v>50</v>
      </c>
    </row>
    <row r="17" spans="1:17" x14ac:dyDescent="0.4">
      <c r="A17" s="71" t="s">
        <v>10</v>
      </c>
      <c r="B17" s="63">
        <f>B19+B18</f>
        <v>144</v>
      </c>
      <c r="C17" s="45">
        <f>IF(B$3=0,0,B17/B$3)</f>
        <v>0.35121951219512193</v>
      </c>
      <c r="E17" s="81" t="s">
        <v>98</v>
      </c>
      <c r="F17" s="77" t="s">
        <v>51</v>
      </c>
      <c r="G17" s="64">
        <v>1</v>
      </c>
      <c r="H17" s="47">
        <f>IF(B$27=0,0,G17/B$27)</f>
        <v>1.7543859649122806E-2</v>
      </c>
      <c r="I17" s="117">
        <v>1</v>
      </c>
      <c r="K17" s="46">
        <v>15</v>
      </c>
      <c r="L17" s="123">
        <v>55.8</v>
      </c>
      <c r="N17" s="46" t="s">
        <v>195</v>
      </c>
      <c r="O17" s="125">
        <f>IF(Q17=0,0,P17/Q17)</f>
        <v>-4.9000000000000004</v>
      </c>
      <c r="P17" s="131">
        <v>-9.8000000000000007</v>
      </c>
      <c r="Q17" s="55">
        <v>2</v>
      </c>
    </row>
    <row r="18" spans="1:17" x14ac:dyDescent="0.4">
      <c r="A18" s="72" t="s">
        <v>12</v>
      </c>
      <c r="B18" s="64">
        <v>67</v>
      </c>
      <c r="C18" s="47">
        <f>IF(B$17=0,0,B18/B$17)</f>
        <v>0.46527777777777779</v>
      </c>
      <c r="E18" s="81" t="s">
        <v>77</v>
      </c>
      <c r="F18" s="77" t="s">
        <v>30</v>
      </c>
      <c r="G18" s="64">
        <v>0</v>
      </c>
      <c r="H18" s="47">
        <f>IF(B$27=0,0,G18/B$27)</f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>IF(Q18=0,0,P18/Q18)</f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11</v>
      </c>
      <c r="B19" s="64">
        <v>77</v>
      </c>
      <c r="C19" s="47">
        <f>IF(B$17=0,0,B19/B$17)</f>
        <v>0.53472222222222221</v>
      </c>
      <c r="E19" s="81" t="s">
        <v>78</v>
      </c>
      <c r="F19" s="77" t="s">
        <v>31</v>
      </c>
      <c r="G19" s="64">
        <v>0</v>
      </c>
      <c r="H19" s="47">
        <f>IF(B$27=0,0,G19/B$27)</f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13</v>
      </c>
      <c r="B20" s="64">
        <v>64</v>
      </c>
      <c r="C20" s="47">
        <f>IF(B$3=0,0,B20/B$3)</f>
        <v>0.15609756097560976</v>
      </c>
      <c r="E20" s="81" t="s">
        <v>79</v>
      </c>
      <c r="F20" s="77" t="s">
        <v>32</v>
      </c>
      <c r="G20" s="64">
        <v>0</v>
      </c>
      <c r="H20" s="47">
        <f>IF(B$27=0,0,G20/B$27)</f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2" t="s">
        <v>5</v>
      </c>
      <c r="B21" s="68">
        <f>IF(B$17=0,0,C21/B$17)</f>
        <v>9825.6944444444453</v>
      </c>
      <c r="C21" s="49">
        <v>1414900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4" t="s">
        <v>14</v>
      </c>
      <c r="B22" s="69">
        <f>IF(B$20=0,0,C22/B$20)</f>
        <v>-9007.8125</v>
      </c>
      <c r="C22" s="62">
        <v>-576500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112" t="s">
        <v>159</v>
      </c>
      <c r="B23" s="149">
        <v>7</v>
      </c>
      <c r="C23" s="150"/>
      <c r="E23" s="81" t="s">
        <v>83</v>
      </c>
      <c r="F23" s="77" t="s">
        <v>36</v>
      </c>
      <c r="G23" s="64">
        <v>0</v>
      </c>
      <c r="H23" s="47">
        <f>IF(B$27=0,0,G23/B$27)</f>
        <v>0</v>
      </c>
      <c r="I23" s="117">
        <v>9</v>
      </c>
      <c r="K23" s="46">
        <v>21</v>
      </c>
      <c r="L23" s="123">
        <v>69.8</v>
      </c>
    </row>
    <row r="24" spans="1:17" x14ac:dyDescent="0.4">
      <c r="A24" s="75" t="s">
        <v>200</v>
      </c>
      <c r="B24" s="147">
        <v>118000</v>
      </c>
      <c r="C24" s="148"/>
      <c r="E24" s="81" t="s">
        <v>84</v>
      </c>
      <c r="F24" s="77" t="s">
        <v>37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160</v>
      </c>
      <c r="B25" s="83">
        <v>1</v>
      </c>
      <c r="C25" s="51">
        <f>IF(B$3=0,0,B25/B$3)</f>
        <v>2.4390243902439024E-3</v>
      </c>
      <c r="E25" s="81" t="s">
        <v>85</v>
      </c>
      <c r="F25" s="77" t="s">
        <v>38</v>
      </c>
      <c r="G25" s="64">
        <v>0</v>
      </c>
      <c r="H25" s="47">
        <f>IF(B$27=0,0,G25/B$27)</f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71" t="s">
        <v>126</v>
      </c>
      <c r="B26" s="139">
        <v>172</v>
      </c>
      <c r="C26" s="140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4" t="s">
        <v>127</v>
      </c>
      <c r="B27" s="153">
        <v>57</v>
      </c>
      <c r="C27" s="154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>IF(B$27=0,0,G32/B$27)</f>
        <v>0</v>
      </c>
      <c r="I32" s="117">
        <v>8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5F956-63A6-47F7-882A-40EF610D0E22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172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</v>
      </c>
      <c r="C2" s="140"/>
      <c r="E2" s="80" t="s">
        <v>67</v>
      </c>
      <c r="F2" s="76" t="s">
        <v>21</v>
      </c>
      <c r="G2" s="63">
        <v>6</v>
      </c>
      <c r="H2" s="45">
        <f>IF(B$27=0,0,G2/B$27)</f>
        <v>0.66666666666666663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1">
        <v>37</v>
      </c>
      <c r="C3" s="142"/>
      <c r="E3" s="81" t="s">
        <v>71</v>
      </c>
      <c r="F3" s="77" t="s">
        <v>25</v>
      </c>
      <c r="G3" s="64">
        <v>6</v>
      </c>
      <c r="H3" s="47">
        <f>IF(B$27=0,0,G3/B$27)</f>
        <v>0.66666666666666663</v>
      </c>
      <c r="I3" s="117">
        <v>10</v>
      </c>
      <c r="K3" s="46">
        <v>1</v>
      </c>
      <c r="L3" s="123">
        <v>-40.700000000000003</v>
      </c>
      <c r="N3" s="46" t="s">
        <v>148</v>
      </c>
      <c r="O3" s="127">
        <f t="shared" si="0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43">
        <v>-86.4</v>
      </c>
      <c r="C4" s="144"/>
      <c r="E4" s="81" t="s">
        <v>68</v>
      </c>
      <c r="F4" s="77" t="s">
        <v>22</v>
      </c>
      <c r="G4" s="64">
        <v>4</v>
      </c>
      <c r="H4" s="47">
        <f>IF(B$27=0,0,G4/B$27)</f>
        <v>0.44444444444444442</v>
      </c>
      <c r="I4" s="117">
        <v>1</v>
      </c>
      <c r="K4" s="46">
        <v>2</v>
      </c>
      <c r="L4" s="123">
        <v>-81.7</v>
      </c>
      <c r="N4" s="46" t="s">
        <v>149</v>
      </c>
      <c r="O4" s="127">
        <f t="shared" si="0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45">
        <f>IF(B$2=0,0,B$4/B$2)</f>
        <v>-17.28</v>
      </c>
      <c r="C5" s="146"/>
      <c r="E5" s="81" t="s">
        <v>76</v>
      </c>
      <c r="F5" s="77" t="s">
        <v>29</v>
      </c>
      <c r="G5" s="64">
        <v>4</v>
      </c>
      <c r="H5" s="47">
        <f>IF(B$27=0,0,G5/B$27)</f>
        <v>0.44444444444444442</v>
      </c>
      <c r="I5" s="117">
        <v>10</v>
      </c>
      <c r="K5" s="46">
        <v>3</v>
      </c>
      <c r="L5" s="123">
        <v>-88.9</v>
      </c>
      <c r="N5" s="46" t="s">
        <v>150</v>
      </c>
      <c r="O5" s="127">
        <f t="shared" si="0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51">
        <f>IF(B$2=0,0,(B$7*1+B$8*2+B$9*3)/B$2)</f>
        <v>2.2000000000000002</v>
      </c>
      <c r="C6" s="152"/>
      <c r="E6" s="81" t="s">
        <v>72</v>
      </c>
      <c r="F6" s="77" t="s">
        <v>12</v>
      </c>
      <c r="G6" s="64">
        <v>3</v>
      </c>
      <c r="H6" s="47">
        <f>IF(B$27=0,0,G6/B$27)</f>
        <v>0.33333333333333331</v>
      </c>
      <c r="I6" s="117">
        <v>3</v>
      </c>
      <c r="K6" s="46">
        <v>4</v>
      </c>
      <c r="L6" s="123">
        <v>-109.2</v>
      </c>
      <c r="N6" s="46" t="s">
        <v>151</v>
      </c>
      <c r="O6" s="127">
        <f t="shared" si="0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>IF(B$27=0,0,G7/B$27)</f>
        <v>0.22222222222222221</v>
      </c>
      <c r="I7" s="117">
        <v>10</v>
      </c>
      <c r="K7" s="46">
        <v>5</v>
      </c>
      <c r="L7" s="123">
        <v>-86.4</v>
      </c>
      <c r="N7" s="50" t="s">
        <v>152</v>
      </c>
      <c r="O7" s="128">
        <f t="shared" si="0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0.4</v>
      </c>
      <c r="E8" s="81" t="s">
        <v>83</v>
      </c>
      <c r="F8" s="77" t="s">
        <v>36</v>
      </c>
      <c r="G8" s="64">
        <v>2</v>
      </c>
      <c r="H8" s="47">
        <f>IF(B$27=0,0,G8/B$27)</f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0.4</v>
      </c>
      <c r="E9" s="81" t="s">
        <v>69</v>
      </c>
      <c r="F9" s="77" t="s">
        <v>23</v>
      </c>
      <c r="G9" s="64">
        <v>1</v>
      </c>
      <c r="H9" s="47">
        <f>IF(B$27=0,0,G9/B$27)</f>
        <v>0.1111111111111111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>IF(B$27=0,0,G10/B$27)</f>
        <v>0.1111111111111111</v>
      </c>
      <c r="I10" s="117">
        <v>9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0.2</v>
      </c>
      <c r="E11" s="81" t="s">
        <v>91</v>
      </c>
      <c r="F11" s="77" t="s">
        <v>44</v>
      </c>
      <c r="G11" s="64">
        <v>1</v>
      </c>
      <c r="H11" s="47">
        <f>IF(B$27=0,0,G11/B$27)</f>
        <v>0.1111111111111111</v>
      </c>
      <c r="I11" s="117">
        <v>2</v>
      </c>
      <c r="N11" s="46" t="s">
        <v>158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4" t="s">
        <v>240</v>
      </c>
      <c r="B12" s="66">
        <v>1</v>
      </c>
      <c r="C12" s="51">
        <f>IF(B$2=0,0,B12/B$2)</f>
        <v>0.2</v>
      </c>
      <c r="E12" s="81" t="s">
        <v>74</v>
      </c>
      <c r="F12" s="77" t="s">
        <v>27</v>
      </c>
      <c r="G12" s="64">
        <v>0</v>
      </c>
      <c r="H12" s="47">
        <f>IF(B$27=0,0,G12/B$27)</f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5" t="s">
        <v>128</v>
      </c>
      <c r="B13" s="67">
        <v>8</v>
      </c>
      <c r="C13" s="54">
        <f>IF(B$26=0,0,B13/B$26)</f>
        <v>0.25806451612903225</v>
      </c>
      <c r="E13" s="81" t="s">
        <v>75</v>
      </c>
      <c r="F13" s="77" t="s">
        <v>28</v>
      </c>
      <c r="G13" s="64">
        <v>0</v>
      </c>
      <c r="H13" s="47">
        <f>IF(B$27=0,0,G13/B$27)</f>
        <v>0</v>
      </c>
      <c r="I13" s="117">
        <v>12</v>
      </c>
      <c r="N13" s="46" t="s">
        <v>195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2" t="s">
        <v>123</v>
      </c>
      <c r="B14" s="64">
        <v>5</v>
      </c>
      <c r="C14" s="47">
        <f>IF(B$26=0,0,B14/B$26)</f>
        <v>0.16129032258064516</v>
      </c>
      <c r="E14" s="81" t="s">
        <v>77</v>
      </c>
      <c r="F14" s="77" t="s">
        <v>30</v>
      </c>
      <c r="G14" s="64">
        <v>0</v>
      </c>
      <c r="H14" s="47">
        <f>IF(B$27=0,0,G14/B$27)</f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130</v>
      </c>
      <c r="B15" s="63">
        <v>6</v>
      </c>
      <c r="C15" s="45">
        <f>IF(B$13=0,0,B15/B$13)</f>
        <v>0.75</v>
      </c>
      <c r="E15" s="81" t="s">
        <v>78</v>
      </c>
      <c r="F15" s="77" t="s">
        <v>31</v>
      </c>
      <c r="G15" s="64">
        <v>0</v>
      </c>
      <c r="H15" s="47">
        <f>IF(B$27=0,0,G15/B$27)</f>
        <v>0</v>
      </c>
      <c r="I15" s="117">
        <v>4</v>
      </c>
    </row>
    <row r="16" spans="1:17" x14ac:dyDescent="0.4">
      <c r="A16" s="71" t="s">
        <v>131</v>
      </c>
      <c r="B16" s="63">
        <v>1</v>
      </c>
      <c r="C16" s="45">
        <f>IF(B$14=0,0,B16/B$14)</f>
        <v>0.2</v>
      </c>
      <c r="E16" s="81" t="s">
        <v>79</v>
      </c>
      <c r="F16" s="77" t="s">
        <v>32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10</v>
      </c>
      <c r="C17" s="45">
        <f>IF(B$3=0,0,B17/B$3)</f>
        <v>0.27027027027027029</v>
      </c>
      <c r="E17" s="81" t="s">
        <v>80</v>
      </c>
      <c r="F17" s="77" t="s">
        <v>33</v>
      </c>
      <c r="G17" s="64">
        <v>0</v>
      </c>
      <c r="H17" s="47">
        <f>IF(B$27=0,0,G17/B$27)</f>
        <v>0</v>
      </c>
      <c r="I17" s="117">
        <v>1</v>
      </c>
    </row>
    <row r="18" spans="1:9" x14ac:dyDescent="0.4">
      <c r="A18" s="72" t="s">
        <v>12</v>
      </c>
      <c r="B18" s="64">
        <v>3</v>
      </c>
      <c r="C18" s="47">
        <f>IF(B$17=0,0,B18/B$17)</f>
        <v>0.3</v>
      </c>
      <c r="E18" s="81" t="s">
        <v>81</v>
      </c>
      <c r="F18" s="77" t="s">
        <v>34</v>
      </c>
      <c r="G18" s="64">
        <v>0</v>
      </c>
      <c r="H18" s="47">
        <f>IF(B$27=0,0,G18/B$27)</f>
        <v>0</v>
      </c>
      <c r="I18" s="117">
        <v>6</v>
      </c>
    </row>
    <row r="19" spans="1:9" x14ac:dyDescent="0.4">
      <c r="A19" s="72" t="s">
        <v>11</v>
      </c>
      <c r="B19" s="64">
        <v>7</v>
      </c>
      <c r="C19" s="47">
        <f>IF(B$17=0,0,B19/B$17)</f>
        <v>0.7</v>
      </c>
      <c r="E19" s="81" t="s">
        <v>82</v>
      </c>
      <c r="F19" s="77" t="s">
        <v>35</v>
      </c>
      <c r="G19" s="64">
        <v>0</v>
      </c>
      <c r="H19" s="47">
        <f>IF(B$27=0,0,G19/B$27)</f>
        <v>0</v>
      </c>
      <c r="I19" s="117">
        <v>10</v>
      </c>
    </row>
    <row r="20" spans="1:9" x14ac:dyDescent="0.4">
      <c r="A20" s="72" t="s">
        <v>13</v>
      </c>
      <c r="B20" s="64">
        <v>8</v>
      </c>
      <c r="C20" s="47">
        <f>IF(B$3=0,0,B20/B$3)</f>
        <v>0.21621621621621623</v>
      </c>
      <c r="E20" s="81" t="s">
        <v>84</v>
      </c>
      <c r="F20" s="77" t="s">
        <v>37</v>
      </c>
      <c r="G20" s="64">
        <v>0</v>
      </c>
      <c r="H20" s="47">
        <f>IF(B$27=0,0,G20/B$27)</f>
        <v>0</v>
      </c>
      <c r="I20" s="117">
        <v>1</v>
      </c>
    </row>
    <row r="21" spans="1:9" x14ac:dyDescent="0.4">
      <c r="A21" s="72" t="s">
        <v>5</v>
      </c>
      <c r="B21" s="68">
        <f>IF(B$17=0,0,C21/B$17)</f>
        <v>7100</v>
      </c>
      <c r="C21" s="49">
        <v>71000</v>
      </c>
      <c r="E21" s="81" t="s">
        <v>85</v>
      </c>
      <c r="F21" s="77" t="s">
        <v>38</v>
      </c>
      <c r="G21" s="64">
        <v>0</v>
      </c>
      <c r="H21" s="47">
        <f>IF(B$27=0,0,G21/B$27)</f>
        <v>0</v>
      </c>
      <c r="I21" s="117">
        <v>3</v>
      </c>
    </row>
    <row r="22" spans="1:9" x14ac:dyDescent="0.4">
      <c r="A22" s="74" t="s">
        <v>14</v>
      </c>
      <c r="B22" s="69">
        <f>IF(B$20=0,0,C22/B$20)</f>
        <v>-12487.5</v>
      </c>
      <c r="C22" s="62">
        <v>-99900</v>
      </c>
      <c r="E22" s="81" t="s">
        <v>86</v>
      </c>
      <c r="F22" s="77" t="s">
        <v>39</v>
      </c>
      <c r="G22" s="64">
        <v>0</v>
      </c>
      <c r="H22" s="47">
        <f>IF(B$27=0,0,G22/B$27)</f>
        <v>0</v>
      </c>
      <c r="I22" s="117">
        <v>9</v>
      </c>
    </row>
    <row r="23" spans="1:9" x14ac:dyDescent="0.4">
      <c r="A23" s="112" t="s">
        <v>159</v>
      </c>
      <c r="B23" s="149">
        <v>3</v>
      </c>
      <c r="C23" s="150"/>
      <c r="E23" s="81" t="s">
        <v>87</v>
      </c>
      <c r="F23" s="77" t="s">
        <v>40</v>
      </c>
      <c r="G23" s="64">
        <v>0</v>
      </c>
      <c r="H23" s="47">
        <f>IF(B$27=0,0,G23/B$27)</f>
        <v>0</v>
      </c>
      <c r="I23" s="117">
        <v>1</v>
      </c>
    </row>
    <row r="24" spans="1:9" x14ac:dyDescent="0.4">
      <c r="A24" s="75" t="s">
        <v>200</v>
      </c>
      <c r="B24" s="147">
        <v>57800</v>
      </c>
      <c r="C24" s="148"/>
      <c r="E24" s="81" t="s">
        <v>88</v>
      </c>
      <c r="F24" s="77" t="s">
        <v>41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89</v>
      </c>
      <c r="F25" s="77" t="s">
        <v>42</v>
      </c>
      <c r="G25" s="64">
        <v>0</v>
      </c>
      <c r="H25" s="47">
        <f>IF(B$27=0,0,G25/B$27)</f>
        <v>0</v>
      </c>
      <c r="I25" s="117">
        <v>5</v>
      </c>
    </row>
    <row r="26" spans="1:9" x14ac:dyDescent="0.4">
      <c r="A26" s="71" t="s">
        <v>126</v>
      </c>
      <c r="B26" s="139">
        <v>31</v>
      </c>
      <c r="C26" s="140"/>
      <c r="E26" s="81" t="s">
        <v>90</v>
      </c>
      <c r="F26" s="77" t="s">
        <v>43</v>
      </c>
      <c r="G26" s="64">
        <v>0</v>
      </c>
      <c r="H26" s="47">
        <f>IF(B$27=0,0,G26/B$27)</f>
        <v>0</v>
      </c>
      <c r="I26" s="117">
        <v>6</v>
      </c>
    </row>
    <row r="27" spans="1:9" x14ac:dyDescent="0.4">
      <c r="A27" s="74" t="s">
        <v>127</v>
      </c>
      <c r="B27" s="153">
        <v>9</v>
      </c>
      <c r="C27" s="154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61D2-20A5-4922-B559-BFB8E16FF6FA}">
  <sheetPr codeName="Sheet19"/>
  <dimension ref="A1:Q5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136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56</v>
      </c>
      <c r="C2" s="140"/>
      <c r="E2" s="80" t="s">
        <v>71</v>
      </c>
      <c r="F2" s="76" t="s">
        <v>25</v>
      </c>
      <c r="G2" s="63">
        <v>57</v>
      </c>
      <c r="H2" s="45">
        <f>IF(B$27=0,0,G2/B$27)</f>
        <v>0.93442622950819676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-2546.4285714285716</v>
      </c>
      <c r="P2" s="59">
        <v>-142600</v>
      </c>
      <c r="Q2" s="57">
        <v>56</v>
      </c>
    </row>
    <row r="3" spans="1:17" x14ac:dyDescent="0.4">
      <c r="A3" s="72" t="s">
        <v>8</v>
      </c>
      <c r="B3" s="141">
        <v>437</v>
      </c>
      <c r="C3" s="142"/>
      <c r="E3" s="81" t="s">
        <v>69</v>
      </c>
      <c r="F3" s="77" t="s">
        <v>23</v>
      </c>
      <c r="G3" s="64">
        <v>40</v>
      </c>
      <c r="H3" s="47">
        <f>IF(B$27=0,0,G3/B$27)</f>
        <v>0.65573770491803274</v>
      </c>
      <c r="I3" s="117">
        <v>7</v>
      </c>
      <c r="K3" s="46">
        <v>1</v>
      </c>
      <c r="L3" s="123">
        <v>68.2</v>
      </c>
      <c r="N3" s="46" t="s">
        <v>148</v>
      </c>
      <c r="O3" s="127">
        <f t="shared" si="0"/>
        <v>-3626.4150943396226</v>
      </c>
      <c r="P3" s="60">
        <v>-192200</v>
      </c>
      <c r="Q3" s="55">
        <v>53</v>
      </c>
    </row>
    <row r="4" spans="1:17" x14ac:dyDescent="0.4">
      <c r="A4" s="72" t="s">
        <v>6</v>
      </c>
      <c r="B4" s="143">
        <v>-502.59999999999991</v>
      </c>
      <c r="C4" s="144"/>
      <c r="E4" s="81" t="s">
        <v>76</v>
      </c>
      <c r="F4" s="77" t="s">
        <v>29</v>
      </c>
      <c r="G4" s="64">
        <v>40</v>
      </c>
      <c r="H4" s="47">
        <f>IF(B$27=0,0,G4/B$27)</f>
        <v>0.65573770491803274</v>
      </c>
      <c r="I4" s="117">
        <v>2</v>
      </c>
      <c r="K4" s="46">
        <v>2</v>
      </c>
      <c r="L4" s="123">
        <v>58.5</v>
      </c>
      <c r="N4" s="46" t="s">
        <v>149</v>
      </c>
      <c r="O4" s="127">
        <f t="shared" si="0"/>
        <v>-1508.695652173913</v>
      </c>
      <c r="P4" s="60">
        <v>-69400</v>
      </c>
      <c r="Q4" s="55">
        <v>46</v>
      </c>
    </row>
    <row r="5" spans="1:17" x14ac:dyDescent="0.4">
      <c r="A5" s="72" t="s">
        <v>7</v>
      </c>
      <c r="B5" s="145">
        <f>IF(B$2=0,0,B$4/B$2)</f>
        <v>-8.9749999999999979</v>
      </c>
      <c r="C5" s="146"/>
      <c r="E5" s="81" t="s">
        <v>67</v>
      </c>
      <c r="F5" s="77" t="s">
        <v>21</v>
      </c>
      <c r="G5" s="64">
        <v>26</v>
      </c>
      <c r="H5" s="47">
        <f>IF(B$27=0,0,G5/B$27)</f>
        <v>0.42622950819672129</v>
      </c>
      <c r="I5" s="117">
        <v>10</v>
      </c>
      <c r="K5" s="46">
        <v>3</v>
      </c>
      <c r="L5" s="123">
        <v>82.1</v>
      </c>
      <c r="N5" s="46" t="s">
        <v>150</v>
      </c>
      <c r="O5" s="127">
        <f t="shared" si="0"/>
        <v>795.4545454545455</v>
      </c>
      <c r="P5" s="60">
        <v>35000</v>
      </c>
      <c r="Q5" s="55">
        <v>44</v>
      </c>
    </row>
    <row r="6" spans="1:17" x14ac:dyDescent="0.4">
      <c r="A6" s="72" t="s">
        <v>1</v>
      </c>
      <c r="B6" s="151">
        <f>IF(B$2=0,0,(B$7*1+B$8*2+B$9*3)/B$2)</f>
        <v>2.2678571428571428</v>
      </c>
      <c r="C6" s="152"/>
      <c r="E6" s="81" t="s">
        <v>72</v>
      </c>
      <c r="F6" s="77" t="s">
        <v>12</v>
      </c>
      <c r="G6" s="64">
        <v>16</v>
      </c>
      <c r="H6" s="47">
        <f>IF(B$27=0,0,G6/B$27)</f>
        <v>0.26229508196721313</v>
      </c>
      <c r="I6" s="117">
        <v>9</v>
      </c>
      <c r="K6" s="46">
        <v>4</v>
      </c>
      <c r="L6" s="123">
        <v>57.699999999999996</v>
      </c>
      <c r="N6" s="46" t="s">
        <v>151</v>
      </c>
      <c r="O6" s="127">
        <f t="shared" si="0"/>
        <v>-2982.3529411764707</v>
      </c>
      <c r="P6" s="60">
        <v>-101400</v>
      </c>
      <c r="Q6" s="55">
        <v>34</v>
      </c>
    </row>
    <row r="7" spans="1:17" x14ac:dyDescent="0.4">
      <c r="A7" s="72" t="s">
        <v>2</v>
      </c>
      <c r="B7" s="64">
        <v>10</v>
      </c>
      <c r="C7" s="47">
        <f>IF(B$2=0,0,B7/B$2)</f>
        <v>0.17857142857142858</v>
      </c>
      <c r="E7" s="81" t="s">
        <v>68</v>
      </c>
      <c r="F7" s="77" t="s">
        <v>22</v>
      </c>
      <c r="G7" s="64">
        <v>8</v>
      </c>
      <c r="H7" s="47">
        <f>IF(B$27=0,0,G7/B$27)</f>
        <v>0.13114754098360656</v>
      </c>
      <c r="I7" s="117">
        <v>6</v>
      </c>
      <c r="K7" s="46">
        <v>5</v>
      </c>
      <c r="L7" s="123">
        <v>123.69999999999999</v>
      </c>
      <c r="N7" s="50" t="s">
        <v>152</v>
      </c>
      <c r="O7" s="128">
        <f t="shared" si="0"/>
        <v>-1185.1851851851852</v>
      </c>
      <c r="P7" s="61">
        <v>-32000</v>
      </c>
      <c r="Q7" s="56">
        <v>27</v>
      </c>
    </row>
    <row r="8" spans="1:17" x14ac:dyDescent="0.4">
      <c r="A8" s="72" t="s">
        <v>3</v>
      </c>
      <c r="B8" s="64">
        <v>21</v>
      </c>
      <c r="C8" s="47">
        <f>IF(B$2=0,0,B8/B$2)</f>
        <v>0.375</v>
      </c>
      <c r="E8" s="81" t="s">
        <v>70</v>
      </c>
      <c r="F8" s="77" t="s">
        <v>24</v>
      </c>
      <c r="G8" s="64">
        <v>6</v>
      </c>
      <c r="H8" s="47">
        <f>IF(B$27=0,0,G8/B$27)</f>
        <v>9.8360655737704916E-2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25</v>
      </c>
      <c r="C9" s="48">
        <f t="shared" ref="C9" si="1">IF(B$2=0,0,B9/B$2)</f>
        <v>0.44642857142857145</v>
      </c>
      <c r="E9" s="81" t="s">
        <v>73</v>
      </c>
      <c r="F9" s="77" t="s">
        <v>26</v>
      </c>
      <c r="G9" s="64">
        <v>5</v>
      </c>
      <c r="H9" s="47">
        <f>IF(B$27=0,0,G9/B$27)</f>
        <v>8.1967213114754092E-2</v>
      </c>
      <c r="I9" s="117">
        <v>11</v>
      </c>
      <c r="K9" s="46">
        <v>7</v>
      </c>
      <c r="L9" s="123">
        <v>129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12</v>
      </c>
      <c r="C10" s="48">
        <f>IF(B$2=0,0,B10/B$2)</f>
        <v>0.21428571428571427</v>
      </c>
      <c r="E10" s="81" t="s">
        <v>94</v>
      </c>
      <c r="F10" s="77" t="s">
        <v>47</v>
      </c>
      <c r="G10" s="64">
        <v>4</v>
      </c>
      <c r="H10" s="47">
        <f>IF(B$27=0,0,G10/B$27)</f>
        <v>6.5573770491803282E-2</v>
      </c>
      <c r="I10" s="117">
        <v>9</v>
      </c>
      <c r="K10" s="46">
        <v>8</v>
      </c>
      <c r="L10" s="123">
        <v>96.5</v>
      </c>
      <c r="N10" s="44" t="s">
        <v>158</v>
      </c>
      <c r="O10" s="124">
        <f>IF(Q10=0,0,P10/Q10)</f>
        <v>26.049999999999997</v>
      </c>
      <c r="P10" s="130">
        <v>52.099999999999994</v>
      </c>
      <c r="Q10" s="57">
        <v>2</v>
      </c>
    </row>
    <row r="11" spans="1:17" x14ac:dyDescent="0.4">
      <c r="A11" s="73" t="s">
        <v>155</v>
      </c>
      <c r="B11" s="65">
        <v>7</v>
      </c>
      <c r="C11" s="48">
        <f>IF(B$2=0,0,B11/B$2)</f>
        <v>0.125</v>
      </c>
      <c r="E11" s="81" t="s">
        <v>74</v>
      </c>
      <c r="F11" s="77" t="s">
        <v>27</v>
      </c>
      <c r="G11" s="64">
        <v>3</v>
      </c>
      <c r="H11" s="47">
        <f>IF(B$27=0,0,G11/B$27)</f>
        <v>4.9180327868852458E-2</v>
      </c>
      <c r="I11" s="117">
        <v>9</v>
      </c>
      <c r="K11" s="46">
        <v>9</v>
      </c>
      <c r="L11" s="123">
        <v>82.8</v>
      </c>
      <c r="N11" s="46" t="s">
        <v>139</v>
      </c>
      <c r="O11" s="125">
        <f>IF(Q11=0,0,P11/Q11)</f>
        <v>9.06</v>
      </c>
      <c r="P11" s="131">
        <v>45.300000000000004</v>
      </c>
      <c r="Q11" s="55">
        <v>5</v>
      </c>
    </row>
    <row r="12" spans="1:17" x14ac:dyDescent="0.4">
      <c r="A12" s="74" t="s">
        <v>240</v>
      </c>
      <c r="B12" s="66">
        <v>3</v>
      </c>
      <c r="C12" s="51">
        <f>IF(B$2=0,0,B12/B$2)</f>
        <v>5.3571428571428568E-2</v>
      </c>
      <c r="E12" s="81" t="s">
        <v>75</v>
      </c>
      <c r="F12" s="77" t="s">
        <v>28</v>
      </c>
      <c r="G12" s="64">
        <v>3</v>
      </c>
      <c r="H12" s="47">
        <f>IF(B$27=0,0,G12/B$27)</f>
        <v>4.9180327868852458E-2</v>
      </c>
      <c r="I12" s="117">
        <v>5</v>
      </c>
      <c r="K12" s="46">
        <v>10</v>
      </c>
      <c r="L12" s="123">
        <v>110.5</v>
      </c>
      <c r="N12" s="46" t="s">
        <v>137</v>
      </c>
      <c r="O12" s="125">
        <f>IF(Q12=0,0,P12/Q12)</f>
        <v>3.4124999999999983</v>
      </c>
      <c r="P12" s="131">
        <v>81.899999999999963</v>
      </c>
      <c r="Q12" s="55">
        <v>24</v>
      </c>
    </row>
    <row r="13" spans="1:17" x14ac:dyDescent="0.4">
      <c r="A13" s="75" t="s">
        <v>128</v>
      </c>
      <c r="B13" s="67">
        <v>62</v>
      </c>
      <c r="C13" s="54">
        <f>IF(B$26=0,0,B13/B$26)</f>
        <v>0.24124513618677043</v>
      </c>
      <c r="E13" s="81" t="s">
        <v>82</v>
      </c>
      <c r="F13" s="77" t="s">
        <v>35</v>
      </c>
      <c r="G13" s="64">
        <v>3</v>
      </c>
      <c r="H13" s="47">
        <f>IF(B$27=0,0,G13/B$27)</f>
        <v>4.9180327868852458E-2</v>
      </c>
      <c r="I13" s="117">
        <v>2</v>
      </c>
      <c r="K13" s="46">
        <v>11</v>
      </c>
      <c r="L13" s="123">
        <v>71.599999999999994</v>
      </c>
      <c r="N13" s="46" t="s">
        <v>135</v>
      </c>
      <c r="O13" s="125">
        <f>IF(Q13=0,0,P13/Q13)</f>
        <v>-13.249999999999998</v>
      </c>
      <c r="P13" s="131">
        <v>-26.499999999999996</v>
      </c>
      <c r="Q13" s="55">
        <v>2</v>
      </c>
    </row>
    <row r="14" spans="1:17" x14ac:dyDescent="0.4">
      <c r="A14" s="72" t="s">
        <v>123</v>
      </c>
      <c r="B14" s="64">
        <v>68</v>
      </c>
      <c r="C14" s="47">
        <f>IF(B$26=0,0,B14/B$26)</f>
        <v>0.26459143968871596</v>
      </c>
      <c r="E14" s="81" t="s">
        <v>91</v>
      </c>
      <c r="F14" s="77" t="s">
        <v>44</v>
      </c>
      <c r="G14" s="64">
        <v>3</v>
      </c>
      <c r="H14" s="47">
        <f>IF(B$27=0,0,G14/B$27)</f>
        <v>4.9180327868852458E-2</v>
      </c>
      <c r="I14" s="117">
        <v>9</v>
      </c>
      <c r="K14" s="46">
        <v>12</v>
      </c>
      <c r="L14" s="123">
        <v>33.599999999999994</v>
      </c>
      <c r="N14" s="46" t="s">
        <v>133</v>
      </c>
      <c r="O14" s="125">
        <f>IF(Q14=0,0,P14/Q14)</f>
        <v>-17.125000000000004</v>
      </c>
      <c r="P14" s="131">
        <v>-822.00000000000011</v>
      </c>
      <c r="Q14" s="55">
        <v>48</v>
      </c>
    </row>
    <row r="15" spans="1:17" x14ac:dyDescent="0.4">
      <c r="A15" s="71" t="s">
        <v>130</v>
      </c>
      <c r="B15" s="63">
        <v>27</v>
      </c>
      <c r="C15" s="45">
        <f>IF(B$13=0,0,B15/B$13)</f>
        <v>0.43548387096774194</v>
      </c>
      <c r="E15" s="81" t="s">
        <v>83</v>
      </c>
      <c r="F15" s="77" t="s">
        <v>36</v>
      </c>
      <c r="G15" s="64">
        <v>2</v>
      </c>
      <c r="H15" s="47">
        <f>IF(B$27=0,0,G15/B$27)</f>
        <v>3.2786885245901641E-2</v>
      </c>
      <c r="I15" s="117">
        <v>3</v>
      </c>
      <c r="K15" s="46">
        <v>13</v>
      </c>
      <c r="L15" s="123">
        <v>13.299999999999994</v>
      </c>
      <c r="N15" s="46" t="s">
        <v>138</v>
      </c>
      <c r="O15" s="125">
        <f>IF(Q15=0,0,P15/Q15)</f>
        <v>-24.993333333333332</v>
      </c>
      <c r="P15" s="131">
        <v>-374.9</v>
      </c>
      <c r="Q15" s="55">
        <v>15</v>
      </c>
    </row>
    <row r="16" spans="1:17" x14ac:dyDescent="0.4">
      <c r="A16" s="71" t="s">
        <v>131</v>
      </c>
      <c r="B16" s="63">
        <v>25</v>
      </c>
      <c r="C16" s="45">
        <f>IF(B$14=0,0,B16/B$14)</f>
        <v>0.36764705882352944</v>
      </c>
      <c r="E16" s="81" t="s">
        <v>79</v>
      </c>
      <c r="F16" s="77" t="s">
        <v>32</v>
      </c>
      <c r="G16" s="64">
        <v>1</v>
      </c>
      <c r="H16" s="47">
        <f>IF(B$27=0,0,G16/B$27)</f>
        <v>1.6393442622950821E-2</v>
      </c>
      <c r="I16" s="117">
        <v>1</v>
      </c>
      <c r="K16" s="46">
        <v>14</v>
      </c>
      <c r="L16" s="123">
        <v>4.7999999999999936</v>
      </c>
      <c r="N16" s="46" t="s">
        <v>134</v>
      </c>
      <c r="O16" s="125">
        <f>IF(Q16=0,0,P16/Q16)</f>
        <v>-28.981249999999999</v>
      </c>
      <c r="P16" s="131">
        <v>-463.7</v>
      </c>
      <c r="Q16" s="55">
        <v>16</v>
      </c>
    </row>
    <row r="17" spans="1:12" x14ac:dyDescent="0.4">
      <c r="A17" s="71" t="s">
        <v>10</v>
      </c>
      <c r="B17" s="63">
        <f>B19+B18</f>
        <v>112</v>
      </c>
      <c r="C17" s="45">
        <f>IF(B$3=0,0,B17/B$3)</f>
        <v>0.25629290617848971</v>
      </c>
      <c r="E17" s="81" t="s">
        <v>86</v>
      </c>
      <c r="F17" s="77" t="s">
        <v>39</v>
      </c>
      <c r="G17" s="64">
        <v>1</v>
      </c>
      <c r="H17" s="47">
        <f>IF(B$27=0,0,G17/B$27)</f>
        <v>1.6393442622950821E-2</v>
      </c>
      <c r="I17" s="117">
        <v>8</v>
      </c>
      <c r="K17" s="46">
        <v>15</v>
      </c>
      <c r="L17" s="123">
        <v>-33.700000000000003</v>
      </c>
    </row>
    <row r="18" spans="1:12" x14ac:dyDescent="0.4">
      <c r="A18" s="72" t="s">
        <v>12</v>
      </c>
      <c r="B18" s="64">
        <v>51</v>
      </c>
      <c r="C18" s="47">
        <f>IF(B$17=0,0,B18/B$17)</f>
        <v>0.45535714285714285</v>
      </c>
      <c r="E18" s="81" t="s">
        <v>88</v>
      </c>
      <c r="F18" s="77" t="s">
        <v>41</v>
      </c>
      <c r="G18" s="64">
        <v>1</v>
      </c>
      <c r="H18" s="47">
        <f>IF(B$27=0,0,G18/B$27)</f>
        <v>1.6393442622950821E-2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11</v>
      </c>
      <c r="B19" s="64">
        <v>61</v>
      </c>
      <c r="C19" s="47">
        <f>IF(B$17=0,0,B19/B$17)</f>
        <v>0.5446428571428571</v>
      </c>
      <c r="E19" s="81" t="s">
        <v>77</v>
      </c>
      <c r="F19" s="77" t="s">
        <v>30</v>
      </c>
      <c r="G19" s="64">
        <v>0</v>
      </c>
      <c r="H19" s="47">
        <f>IF(B$27=0,0,G19/B$27)</f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13</v>
      </c>
      <c r="B20" s="64">
        <v>86</v>
      </c>
      <c r="C20" s="47">
        <f>IF(B$3=0,0,B20/B$3)</f>
        <v>0.19679633867276888</v>
      </c>
      <c r="E20" s="81" t="s">
        <v>78</v>
      </c>
      <c r="F20" s="77" t="s">
        <v>31</v>
      </c>
      <c r="G20" s="64">
        <v>0</v>
      </c>
      <c r="H20" s="47">
        <f>IF(B$27=0,0,G20/B$27)</f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2" t="s">
        <v>5</v>
      </c>
      <c r="B21" s="68">
        <f>IF(B$17=0,0,C21/B$17)</f>
        <v>9053.5714285714294</v>
      </c>
      <c r="C21" s="49">
        <v>1014000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4" t="s">
        <v>14</v>
      </c>
      <c r="B22" s="69">
        <f>IF(B$20=0,0,C22/B$20)</f>
        <v>-9515.1162790697672</v>
      </c>
      <c r="C22" s="62">
        <v>-818300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112" t="s">
        <v>159</v>
      </c>
      <c r="B23" s="149">
        <v>5</v>
      </c>
      <c r="C23" s="15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5" t="s">
        <v>200</v>
      </c>
      <c r="B24" s="147">
        <v>103200</v>
      </c>
      <c r="C24" s="14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160</v>
      </c>
      <c r="B25" s="83">
        <v>2</v>
      </c>
      <c r="C25" s="51">
        <f>IF(B$3=0,0,B25/B$3)</f>
        <v>4.5766590389016018E-3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71" t="s">
        <v>126</v>
      </c>
      <c r="B26" s="139">
        <v>257</v>
      </c>
      <c r="C26" s="140"/>
      <c r="E26" s="81" t="s">
        <v>89</v>
      </c>
      <c r="F26" s="77" t="s">
        <v>42</v>
      </c>
      <c r="G26" s="64">
        <v>0</v>
      </c>
      <c r="H26" s="47">
        <f>IF(B$27=0,0,G26/B$27)</f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4" t="s">
        <v>127</v>
      </c>
      <c r="B27" s="153">
        <v>61</v>
      </c>
      <c r="C27" s="154"/>
      <c r="E27" s="81" t="s">
        <v>90</v>
      </c>
      <c r="F27" s="77" t="s">
        <v>43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E28" s="81" t="s">
        <v>92</v>
      </c>
      <c r="F28" s="77" t="s">
        <v>45</v>
      </c>
      <c r="G28" s="64">
        <v>0</v>
      </c>
      <c r="H28" s="47">
        <f>IF(B$27=0,0,G28/B$27)</f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8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  <row r="56" spans="5:12" x14ac:dyDescent="0.4">
      <c r="K56" s="46">
        <v>54</v>
      </c>
      <c r="L56" s="123">
        <v>-445.09999999999991</v>
      </c>
    </row>
    <row r="57" spans="5:12" x14ac:dyDescent="0.4">
      <c r="K57" s="46">
        <v>55</v>
      </c>
      <c r="L57" s="123">
        <v>-465.59999999999991</v>
      </c>
    </row>
    <row r="58" spans="5:12" x14ac:dyDescent="0.4">
      <c r="K58" s="46">
        <v>56</v>
      </c>
      <c r="L58" s="123">
        <v>-502.59999999999991</v>
      </c>
    </row>
  </sheetData>
  <sortState ref="N10:Q16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8796-59D7-475E-88CB-D2071A15349B}">
  <sheetPr codeName="Sheet21"/>
  <dimension ref="A1:Q92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137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90</v>
      </c>
      <c r="C2" s="140"/>
      <c r="E2" s="80" t="s">
        <v>71</v>
      </c>
      <c r="F2" s="76" t="s">
        <v>25</v>
      </c>
      <c r="G2" s="63">
        <v>146</v>
      </c>
      <c r="H2" s="45">
        <f>IF(B$27=0,0,G2/B$27)</f>
        <v>0.83908045977011492</v>
      </c>
      <c r="I2" s="116">
        <v>8</v>
      </c>
      <c r="K2" s="44">
        <v>0</v>
      </c>
      <c r="L2" s="122">
        <v>0</v>
      </c>
      <c r="N2" s="44" t="s">
        <v>147</v>
      </c>
      <c r="O2" s="126">
        <f t="shared" ref="O2:O7" si="0">IF(Q2=0,0,P2/Q2)</f>
        <v>2651.1363636363635</v>
      </c>
      <c r="P2" s="59">
        <v>233300</v>
      </c>
      <c r="Q2" s="57">
        <v>88</v>
      </c>
    </row>
    <row r="3" spans="1:17" x14ac:dyDescent="0.4">
      <c r="A3" s="72" t="s">
        <v>8</v>
      </c>
      <c r="B3" s="141">
        <v>670</v>
      </c>
      <c r="C3" s="142"/>
      <c r="E3" s="81" t="s">
        <v>69</v>
      </c>
      <c r="F3" s="77" t="s">
        <v>23</v>
      </c>
      <c r="G3" s="64">
        <v>140</v>
      </c>
      <c r="H3" s="47">
        <f>IF(B$27=0,0,G3/B$27)</f>
        <v>0.8045977011494253</v>
      </c>
      <c r="I3" s="117">
        <v>3</v>
      </c>
      <c r="K3" s="46">
        <v>1</v>
      </c>
      <c r="L3" s="123">
        <v>-36.700000000000003</v>
      </c>
      <c r="N3" s="46" t="s">
        <v>148</v>
      </c>
      <c r="O3" s="127">
        <f t="shared" si="0"/>
        <v>1002.4096385542168</v>
      </c>
      <c r="P3" s="60">
        <v>83200</v>
      </c>
      <c r="Q3" s="55">
        <v>83</v>
      </c>
    </row>
    <row r="4" spans="1:17" x14ac:dyDescent="0.4">
      <c r="A4" s="72" t="s">
        <v>6</v>
      </c>
      <c r="B4" s="143">
        <v>286.89999999999992</v>
      </c>
      <c r="C4" s="144"/>
      <c r="E4" s="81" t="s">
        <v>67</v>
      </c>
      <c r="F4" s="77" t="s">
        <v>21</v>
      </c>
      <c r="G4" s="64">
        <v>102</v>
      </c>
      <c r="H4" s="47">
        <f>IF(B$27=0,0,G4/B$27)</f>
        <v>0.58620689655172409</v>
      </c>
      <c r="I4" s="117">
        <v>7</v>
      </c>
      <c r="K4" s="46">
        <v>2</v>
      </c>
      <c r="L4" s="123">
        <v>-45.300000000000004</v>
      </c>
      <c r="N4" s="46" t="s">
        <v>149</v>
      </c>
      <c r="O4" s="127">
        <f t="shared" si="0"/>
        <v>68.421052631578945</v>
      </c>
      <c r="P4" s="60">
        <v>5200</v>
      </c>
      <c r="Q4" s="55">
        <v>76</v>
      </c>
    </row>
    <row r="5" spans="1:17" x14ac:dyDescent="0.4">
      <c r="A5" s="72" t="s">
        <v>7</v>
      </c>
      <c r="B5" s="145">
        <f>IF(B$2=0,0,B$4/B$2)</f>
        <v>3.1877777777777769</v>
      </c>
      <c r="C5" s="146"/>
      <c r="E5" s="81" t="s">
        <v>76</v>
      </c>
      <c r="F5" s="77" t="s">
        <v>29</v>
      </c>
      <c r="G5" s="64">
        <v>95</v>
      </c>
      <c r="H5" s="47">
        <f>IF(B$27=0,0,G5/B$27)</f>
        <v>0.54597701149425293</v>
      </c>
      <c r="I5" s="117">
        <v>6</v>
      </c>
      <c r="K5" s="46">
        <v>3</v>
      </c>
      <c r="L5" s="123">
        <v>-81.7</v>
      </c>
      <c r="N5" s="46" t="s">
        <v>150</v>
      </c>
      <c r="O5" s="127">
        <f t="shared" si="0"/>
        <v>-1657.7464788732395</v>
      </c>
      <c r="P5" s="60">
        <v>-117700</v>
      </c>
      <c r="Q5" s="55">
        <v>71</v>
      </c>
    </row>
    <row r="6" spans="1:17" x14ac:dyDescent="0.4">
      <c r="A6" s="72" t="s">
        <v>1</v>
      </c>
      <c r="B6" s="151">
        <f>IF(B$2=0,0,(B$7*1+B$8*2+B$9*3)/B$2)</f>
        <v>1.8888888888888888</v>
      </c>
      <c r="C6" s="152"/>
      <c r="E6" s="81" t="s">
        <v>70</v>
      </c>
      <c r="F6" s="77" t="s">
        <v>24</v>
      </c>
      <c r="G6" s="64">
        <v>65</v>
      </c>
      <c r="H6" s="47">
        <f>IF(B$27=0,0,G6/B$27)</f>
        <v>0.37356321839080459</v>
      </c>
      <c r="I6" s="117">
        <v>4</v>
      </c>
      <c r="K6" s="46">
        <v>4</v>
      </c>
      <c r="L6" s="123">
        <v>-114.30000000000001</v>
      </c>
      <c r="N6" s="46" t="s">
        <v>151</v>
      </c>
      <c r="O6" s="127">
        <f t="shared" si="0"/>
        <v>284.74576271186442</v>
      </c>
      <c r="P6" s="60">
        <v>16800</v>
      </c>
      <c r="Q6" s="55">
        <v>59</v>
      </c>
    </row>
    <row r="7" spans="1:17" x14ac:dyDescent="0.4">
      <c r="A7" s="72" t="s">
        <v>2</v>
      </c>
      <c r="B7" s="64">
        <v>36</v>
      </c>
      <c r="C7" s="47">
        <f>IF(B$2=0,0,B7/B$2)</f>
        <v>0.4</v>
      </c>
      <c r="E7" s="81" t="s">
        <v>72</v>
      </c>
      <c r="F7" s="77" t="s">
        <v>12</v>
      </c>
      <c r="G7" s="64">
        <v>58</v>
      </c>
      <c r="H7" s="47">
        <f>IF(B$27=0,0,G7/B$27)</f>
        <v>0.33333333333333331</v>
      </c>
      <c r="I7" s="117">
        <v>3</v>
      </c>
      <c r="K7" s="46">
        <v>5</v>
      </c>
      <c r="L7" s="123">
        <v>-136.30000000000001</v>
      </c>
      <c r="N7" s="50" t="s">
        <v>152</v>
      </c>
      <c r="O7" s="128">
        <f t="shared" si="0"/>
        <v>508</v>
      </c>
      <c r="P7" s="61">
        <v>25400</v>
      </c>
      <c r="Q7" s="56">
        <v>50</v>
      </c>
    </row>
    <row r="8" spans="1:17" x14ac:dyDescent="0.4">
      <c r="A8" s="72" t="s">
        <v>3</v>
      </c>
      <c r="B8" s="64">
        <v>28</v>
      </c>
      <c r="C8" s="47">
        <f>IF(B$2=0,0,B8/B$2)</f>
        <v>0.31111111111111112</v>
      </c>
      <c r="E8" s="81" t="s">
        <v>73</v>
      </c>
      <c r="F8" s="77" t="s">
        <v>26</v>
      </c>
      <c r="G8" s="64">
        <v>35</v>
      </c>
      <c r="H8" s="47">
        <f>IF(B$27=0,0,G8/B$27)</f>
        <v>0.20114942528735633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26</v>
      </c>
      <c r="C9" s="48">
        <f t="shared" ref="C9" si="1">IF(B$2=0,0,B9/B$2)</f>
        <v>0.28888888888888886</v>
      </c>
      <c r="E9" s="81" t="s">
        <v>94</v>
      </c>
      <c r="F9" s="77" t="s">
        <v>47</v>
      </c>
      <c r="G9" s="64">
        <v>30</v>
      </c>
      <c r="H9" s="47">
        <f>IF(B$27=0,0,G9/B$27)</f>
        <v>0.17241379310344829</v>
      </c>
      <c r="I9" s="117">
        <v>3</v>
      </c>
      <c r="K9" s="46">
        <v>7</v>
      </c>
      <c r="L9" s="123">
        <v>-106.20000000000002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0.12222222222222222</v>
      </c>
      <c r="E10" s="81" t="s">
        <v>68</v>
      </c>
      <c r="F10" s="77" t="s">
        <v>22</v>
      </c>
      <c r="G10" s="64">
        <v>23</v>
      </c>
      <c r="H10" s="47">
        <f>IF(B$27=0,0,G10/B$27)</f>
        <v>0.13218390804597702</v>
      </c>
      <c r="I10" s="117">
        <v>5</v>
      </c>
      <c r="K10" s="46">
        <v>8</v>
      </c>
      <c r="L10" s="123">
        <v>-52.300000000000018</v>
      </c>
      <c r="N10" s="44" t="s">
        <v>134</v>
      </c>
      <c r="O10" s="124">
        <f>IF(Q10=0,0,P10/Q10)</f>
        <v>18.27666666666666</v>
      </c>
      <c r="P10" s="130">
        <v>548.29999999999984</v>
      </c>
      <c r="Q10" s="57">
        <v>30</v>
      </c>
    </row>
    <row r="11" spans="1:17" x14ac:dyDescent="0.4">
      <c r="A11" s="73" t="s">
        <v>155</v>
      </c>
      <c r="B11" s="65">
        <v>17</v>
      </c>
      <c r="C11" s="48">
        <f>IF(B$2=0,0,B11/B$2)</f>
        <v>0.18888888888888888</v>
      </c>
      <c r="E11" s="81" t="s">
        <v>74</v>
      </c>
      <c r="F11" s="77" t="s">
        <v>27</v>
      </c>
      <c r="G11" s="64">
        <v>13</v>
      </c>
      <c r="H11" s="47">
        <f>IF(B$27=0,0,G11/B$27)</f>
        <v>7.4712643678160925E-2</v>
      </c>
      <c r="I11" s="117">
        <v>7</v>
      </c>
      <c r="K11" s="46">
        <v>9</v>
      </c>
      <c r="L11" s="123">
        <v>-53.500000000000021</v>
      </c>
      <c r="N11" s="46" t="s">
        <v>158</v>
      </c>
      <c r="O11" s="125">
        <f>IF(Q11=0,0,P11/Q11)</f>
        <v>16.583333333333332</v>
      </c>
      <c r="P11" s="131">
        <v>99.5</v>
      </c>
      <c r="Q11" s="55">
        <v>6</v>
      </c>
    </row>
    <row r="12" spans="1:17" x14ac:dyDescent="0.4">
      <c r="A12" s="74" t="s">
        <v>240</v>
      </c>
      <c r="B12" s="66">
        <v>11</v>
      </c>
      <c r="C12" s="51">
        <f>IF(B$2=0,0,B12/B$2)</f>
        <v>0.12222222222222222</v>
      </c>
      <c r="E12" s="81" t="s">
        <v>82</v>
      </c>
      <c r="F12" s="77" t="s">
        <v>35</v>
      </c>
      <c r="G12" s="64">
        <v>11</v>
      </c>
      <c r="H12" s="47">
        <f>IF(B$27=0,0,G12/B$27)</f>
        <v>6.3218390804597707E-2</v>
      </c>
      <c r="I12" s="117">
        <v>1</v>
      </c>
      <c r="K12" s="46">
        <v>10</v>
      </c>
      <c r="L12" s="123">
        <v>-72.800000000000026</v>
      </c>
      <c r="N12" s="46" t="s">
        <v>139</v>
      </c>
      <c r="O12" s="125">
        <f>IF(Q12=0,0,P12/Q12)</f>
        <v>14.393939393939391</v>
      </c>
      <c r="P12" s="131">
        <v>474.99999999999989</v>
      </c>
      <c r="Q12" s="55">
        <v>33</v>
      </c>
    </row>
    <row r="13" spans="1:17" x14ac:dyDescent="0.4">
      <c r="A13" s="75" t="s">
        <v>128</v>
      </c>
      <c r="B13" s="67">
        <v>177</v>
      </c>
      <c r="C13" s="54">
        <f>IF(B$26=0,0,B13/B$26)</f>
        <v>0.32536764705882354</v>
      </c>
      <c r="E13" s="81" t="s">
        <v>75</v>
      </c>
      <c r="F13" s="77" t="s">
        <v>28</v>
      </c>
      <c r="G13" s="64">
        <v>10</v>
      </c>
      <c r="H13" s="47">
        <f>IF(B$27=0,0,G13/B$27)</f>
        <v>5.7471264367816091E-2</v>
      </c>
      <c r="I13" s="117">
        <v>3</v>
      </c>
      <c r="K13" s="46">
        <v>11</v>
      </c>
      <c r="L13" s="123">
        <v>-69.800000000000026</v>
      </c>
      <c r="N13" s="46" t="s">
        <v>138</v>
      </c>
      <c r="O13" s="125">
        <f>IF(Q13=0,0,P13/Q13)</f>
        <v>8.9</v>
      </c>
      <c r="P13" s="131">
        <v>8.9</v>
      </c>
      <c r="Q13" s="55">
        <v>1</v>
      </c>
    </row>
    <row r="14" spans="1:17" x14ac:dyDescent="0.4">
      <c r="A14" s="72" t="s">
        <v>123</v>
      </c>
      <c r="B14" s="64">
        <v>127</v>
      </c>
      <c r="C14" s="47">
        <f>IF(B$26=0,0,B14/B$26)</f>
        <v>0.23345588235294118</v>
      </c>
      <c r="E14" s="81" t="s">
        <v>91</v>
      </c>
      <c r="F14" s="77" t="s">
        <v>44</v>
      </c>
      <c r="G14" s="64">
        <v>7</v>
      </c>
      <c r="H14" s="47">
        <f>IF(B$27=0,0,G14/B$27)</f>
        <v>4.0229885057471264E-2</v>
      </c>
      <c r="I14" s="117">
        <v>11</v>
      </c>
      <c r="K14" s="46">
        <v>12</v>
      </c>
      <c r="L14" s="123">
        <v>-54.300000000000026</v>
      </c>
      <c r="N14" s="46" t="s">
        <v>133</v>
      </c>
      <c r="O14" s="125">
        <f>IF(Q14=0,0,P14/Q14)</f>
        <v>-0.90657894736842115</v>
      </c>
      <c r="P14" s="131">
        <v>-68.900000000000006</v>
      </c>
      <c r="Q14" s="55">
        <v>76</v>
      </c>
    </row>
    <row r="15" spans="1:17" x14ac:dyDescent="0.4">
      <c r="A15" s="71" t="s">
        <v>130</v>
      </c>
      <c r="B15" s="63">
        <v>104</v>
      </c>
      <c r="C15" s="45">
        <f>IF(B$13=0,0,B15/B$13)</f>
        <v>0.58757062146892658</v>
      </c>
      <c r="E15" s="81" t="s">
        <v>86</v>
      </c>
      <c r="F15" s="77" t="s">
        <v>39</v>
      </c>
      <c r="G15" s="64">
        <v>6</v>
      </c>
      <c r="H15" s="47">
        <f>IF(B$27=0,0,G15/B$27)</f>
        <v>3.4482758620689655E-2</v>
      </c>
      <c r="I15" s="117">
        <v>4</v>
      </c>
      <c r="K15" s="46">
        <v>13</v>
      </c>
      <c r="L15" s="123">
        <v>-43.200000000000024</v>
      </c>
      <c r="N15" s="46" t="s">
        <v>136</v>
      </c>
      <c r="O15" s="125">
        <f>IF(Q15=0,0,P15/Q15)</f>
        <v>-3.4125000000000019</v>
      </c>
      <c r="P15" s="131">
        <v>-81.900000000000048</v>
      </c>
      <c r="Q15" s="55">
        <v>24</v>
      </c>
    </row>
    <row r="16" spans="1:17" x14ac:dyDescent="0.4">
      <c r="A16" s="71" t="s">
        <v>131</v>
      </c>
      <c r="B16" s="63">
        <v>49</v>
      </c>
      <c r="C16" s="45">
        <f>IF(B$14=0,0,B16/B$14)</f>
        <v>0.38582677165354329</v>
      </c>
      <c r="E16" s="81" t="s">
        <v>88</v>
      </c>
      <c r="F16" s="77" t="s">
        <v>41</v>
      </c>
      <c r="G16" s="64">
        <v>5</v>
      </c>
      <c r="H16" s="47">
        <f>IF(B$27=0,0,G16/B$27)</f>
        <v>2.8735632183908046E-2</v>
      </c>
      <c r="I16" s="117">
        <v>7</v>
      </c>
      <c r="K16" s="46">
        <v>14</v>
      </c>
      <c r="L16" s="123">
        <v>-50.400000000000027</v>
      </c>
      <c r="N16" s="46" t="s">
        <v>195</v>
      </c>
      <c r="O16" s="125">
        <f>IF(Q16=0,0,P16/Q16)</f>
        <v>-5.8666666666666671</v>
      </c>
      <c r="P16" s="131">
        <v>-17.600000000000001</v>
      </c>
      <c r="Q16" s="55">
        <v>3</v>
      </c>
    </row>
    <row r="17" spans="1:17" x14ac:dyDescent="0.4">
      <c r="A17" s="71" t="s">
        <v>10</v>
      </c>
      <c r="B17" s="63">
        <f>B19+B18</f>
        <v>211</v>
      </c>
      <c r="C17" s="45">
        <f>IF(B$3=0,0,B17/B$3)</f>
        <v>0.31492537313432833</v>
      </c>
      <c r="E17" s="81" t="s">
        <v>77</v>
      </c>
      <c r="F17" s="77" t="s">
        <v>30</v>
      </c>
      <c r="G17" s="64">
        <v>2</v>
      </c>
      <c r="H17" s="47">
        <f>IF(B$27=0,0,G17/B$27)</f>
        <v>1.1494252873563218E-2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>IF(Q17=0,0,P17/Q17)</f>
        <v>-14.371428571428575</v>
      </c>
      <c r="P17" s="131">
        <v>-100.60000000000002</v>
      </c>
      <c r="Q17" s="55">
        <v>7</v>
      </c>
    </row>
    <row r="18" spans="1:17" x14ac:dyDescent="0.4">
      <c r="A18" s="72" t="s">
        <v>12</v>
      </c>
      <c r="B18" s="64">
        <v>95</v>
      </c>
      <c r="C18" s="47">
        <f>IF(B$17=0,0,B18/B$17)</f>
        <v>0.45023696682464454</v>
      </c>
      <c r="E18" s="81" t="s">
        <v>81</v>
      </c>
      <c r="F18" s="77" t="s">
        <v>34</v>
      </c>
      <c r="G18" s="64">
        <v>2</v>
      </c>
      <c r="H18" s="47">
        <f>IF(B$27=0,0,G18/B$27)</f>
        <v>1.1494252873563218E-2</v>
      </c>
      <c r="I18" s="117">
        <v>2</v>
      </c>
      <c r="K18" s="46">
        <v>16</v>
      </c>
      <c r="L18" s="123">
        <v>58.89999999999997</v>
      </c>
    </row>
    <row r="19" spans="1:17" x14ac:dyDescent="0.4">
      <c r="A19" s="72" t="s">
        <v>11</v>
      </c>
      <c r="B19" s="64">
        <v>116</v>
      </c>
      <c r="C19" s="47">
        <f>IF(B$17=0,0,B19/B$17)</f>
        <v>0.54976303317535546</v>
      </c>
      <c r="E19" s="81" t="s">
        <v>83</v>
      </c>
      <c r="F19" s="77" t="s">
        <v>36</v>
      </c>
      <c r="G19" s="64">
        <v>2</v>
      </c>
      <c r="H19" s="47">
        <f>IF(B$27=0,0,G19/B$27)</f>
        <v>1.1494252873563218E-2</v>
      </c>
      <c r="I19" s="117">
        <v>6</v>
      </c>
      <c r="K19" s="46">
        <v>17</v>
      </c>
      <c r="L19" s="123">
        <v>58.599999999999973</v>
      </c>
    </row>
    <row r="20" spans="1:17" x14ac:dyDescent="0.4">
      <c r="A20" s="72" t="s">
        <v>13</v>
      </c>
      <c r="B20" s="64">
        <v>108</v>
      </c>
      <c r="C20" s="47">
        <f>IF(B$3=0,0,B20/B$3)</f>
        <v>0.16119402985074627</v>
      </c>
      <c r="E20" s="81" t="s">
        <v>96</v>
      </c>
      <c r="F20" s="77" t="s">
        <v>49</v>
      </c>
      <c r="G20" s="64">
        <v>2</v>
      </c>
      <c r="H20" s="47">
        <f>IF(B$27=0,0,G20/B$27)</f>
        <v>1.1494252873563218E-2</v>
      </c>
      <c r="I20" s="117">
        <v>7</v>
      </c>
      <c r="K20" s="46">
        <v>18</v>
      </c>
      <c r="L20" s="123">
        <v>122.59999999999997</v>
      </c>
    </row>
    <row r="21" spans="1:17" x14ac:dyDescent="0.4">
      <c r="A21" s="72" t="s">
        <v>5</v>
      </c>
      <c r="B21" s="68">
        <f>IF(B$17=0,0,C21/B$17)</f>
        <v>10525.592417061611</v>
      </c>
      <c r="C21" s="49">
        <v>2220900</v>
      </c>
      <c r="E21" s="81" t="s">
        <v>78</v>
      </c>
      <c r="F21" s="77" t="s">
        <v>31</v>
      </c>
      <c r="G21" s="64">
        <v>1</v>
      </c>
      <c r="H21" s="47">
        <f>IF(B$27=0,0,G21/B$27)</f>
        <v>5.7471264367816091E-3</v>
      </c>
      <c r="I21" s="117">
        <v>1</v>
      </c>
      <c r="K21" s="46">
        <v>19</v>
      </c>
      <c r="L21" s="123">
        <v>125.69999999999996</v>
      </c>
    </row>
    <row r="22" spans="1:17" x14ac:dyDescent="0.4">
      <c r="A22" s="74" t="s">
        <v>14</v>
      </c>
      <c r="B22" s="69">
        <f>IF(B$20=0,0,C22/B$20)</f>
        <v>-9055.5555555555547</v>
      </c>
      <c r="C22" s="62">
        <v>-978000</v>
      </c>
      <c r="E22" s="81" t="s">
        <v>79</v>
      </c>
      <c r="F22" s="77" t="s">
        <v>32</v>
      </c>
      <c r="G22" s="64">
        <v>1</v>
      </c>
      <c r="H22" s="47">
        <f>IF(B$27=0,0,G22/B$27)</f>
        <v>5.7471264367816091E-3</v>
      </c>
      <c r="I22" s="117">
        <v>5</v>
      </c>
      <c r="K22" s="46">
        <v>20</v>
      </c>
      <c r="L22" s="123">
        <v>126.89999999999996</v>
      </c>
    </row>
    <row r="23" spans="1:17" x14ac:dyDescent="0.4">
      <c r="A23" s="112" t="s">
        <v>159</v>
      </c>
      <c r="B23" s="149">
        <v>9</v>
      </c>
      <c r="C23" s="150"/>
      <c r="E23" s="81" t="s">
        <v>89</v>
      </c>
      <c r="F23" s="77" t="s">
        <v>42</v>
      </c>
      <c r="G23" s="64">
        <v>1</v>
      </c>
      <c r="H23" s="47">
        <f>IF(B$27=0,0,G23/B$27)</f>
        <v>5.7471264367816091E-3</v>
      </c>
      <c r="I23" s="117">
        <v>2</v>
      </c>
      <c r="K23" s="46">
        <v>21</v>
      </c>
      <c r="L23" s="123">
        <v>129.69999999999996</v>
      </c>
    </row>
    <row r="24" spans="1:17" x14ac:dyDescent="0.4">
      <c r="A24" s="75" t="s">
        <v>200</v>
      </c>
      <c r="B24" s="147">
        <v>109300</v>
      </c>
      <c r="C24" s="148"/>
      <c r="E24" s="81" t="s">
        <v>98</v>
      </c>
      <c r="F24" s="77" t="s">
        <v>51</v>
      </c>
      <c r="G24" s="64">
        <v>1</v>
      </c>
      <c r="H24" s="47">
        <f>IF(B$27=0,0,G24/B$27)</f>
        <v>5.7471264367816091E-3</v>
      </c>
      <c r="I24" s="117">
        <v>2</v>
      </c>
      <c r="K24" s="46">
        <v>22</v>
      </c>
      <c r="L24" s="123">
        <v>174.29999999999995</v>
      </c>
    </row>
    <row r="25" spans="1:17" x14ac:dyDescent="0.4">
      <c r="A25" s="74" t="s">
        <v>160</v>
      </c>
      <c r="B25" s="83">
        <v>3</v>
      </c>
      <c r="C25" s="51">
        <f>IF(B$3=0,0,B25/B$3)</f>
        <v>4.4776119402985077E-3</v>
      </c>
      <c r="E25" s="81" t="s">
        <v>80</v>
      </c>
      <c r="F25" s="77" t="s">
        <v>33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71" t="s">
        <v>126</v>
      </c>
      <c r="B26" s="139">
        <v>544</v>
      </c>
      <c r="C26" s="140"/>
      <c r="E26" s="81" t="s">
        <v>84</v>
      </c>
      <c r="F26" s="77" t="s">
        <v>37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133.19999999999993</v>
      </c>
    </row>
    <row r="27" spans="1:17" x14ac:dyDescent="0.4">
      <c r="A27" s="74" t="s">
        <v>127</v>
      </c>
      <c r="B27" s="153">
        <v>174</v>
      </c>
      <c r="C27" s="154"/>
      <c r="E27" s="81" t="s">
        <v>85</v>
      </c>
      <c r="F27" s="77" t="s">
        <v>38</v>
      </c>
      <c r="G27" s="64">
        <v>0</v>
      </c>
      <c r="H27" s="47">
        <f>IF(B$27=0,0,G27/B$27)</f>
        <v>0</v>
      </c>
      <c r="I27" s="117">
        <v>3</v>
      </c>
      <c r="K27" s="46">
        <v>25</v>
      </c>
      <c r="L27" s="123">
        <v>117.39999999999993</v>
      </c>
    </row>
    <row r="28" spans="1:17" x14ac:dyDescent="0.4">
      <c r="E28" s="81" t="s">
        <v>87</v>
      </c>
      <c r="F28" s="77" t="s">
        <v>40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128.69999999999993</v>
      </c>
    </row>
    <row r="29" spans="1:17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84.699999999999932</v>
      </c>
    </row>
    <row r="30" spans="1:17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  <c r="K30" s="46">
        <v>28</v>
      </c>
      <c r="L30" s="123">
        <v>43.699999999999932</v>
      </c>
    </row>
    <row r="31" spans="1:17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48.499999999999936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  <row r="88" spans="11:12" x14ac:dyDescent="0.4">
      <c r="K88" s="46">
        <v>86</v>
      </c>
      <c r="L88" s="123">
        <v>239.79999999999995</v>
      </c>
    </row>
    <row r="89" spans="11:12" x14ac:dyDescent="0.4">
      <c r="K89" s="46">
        <v>87</v>
      </c>
      <c r="L89" s="123">
        <v>275.79999999999995</v>
      </c>
    </row>
    <row r="90" spans="11:12" x14ac:dyDescent="0.4">
      <c r="K90" s="46">
        <v>88</v>
      </c>
      <c r="L90" s="123">
        <v>276.09999999999997</v>
      </c>
    </row>
    <row r="91" spans="11:12" x14ac:dyDescent="0.4">
      <c r="K91" s="46">
        <v>89</v>
      </c>
      <c r="L91" s="123">
        <v>259.49999999999994</v>
      </c>
    </row>
    <row r="92" spans="11:12" x14ac:dyDescent="0.4">
      <c r="K92" s="46">
        <v>90</v>
      </c>
      <c r="L92" s="123">
        <v>286.89999999999992</v>
      </c>
    </row>
  </sheetData>
  <sortState ref="N10:Q17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0262-B882-4F1B-A3F8-79100BCE9DF8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23</v>
      </c>
      <c r="C2" s="140"/>
      <c r="E2" s="80" t="s">
        <v>71</v>
      </c>
      <c r="F2" s="76" t="s">
        <v>25</v>
      </c>
      <c r="G2" s="63">
        <v>22</v>
      </c>
      <c r="H2" s="45">
        <f>IF(B$27=0,0,G2/B$27)</f>
        <v>0.95652173913043481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313.04347826086956</v>
      </c>
      <c r="P2" s="59">
        <v>7200</v>
      </c>
      <c r="Q2" s="57">
        <v>23</v>
      </c>
    </row>
    <row r="3" spans="1:17" x14ac:dyDescent="0.4">
      <c r="A3" s="72" t="s">
        <v>8</v>
      </c>
      <c r="B3" s="141">
        <v>183</v>
      </c>
      <c r="C3" s="142"/>
      <c r="E3" s="81" t="s">
        <v>67</v>
      </c>
      <c r="F3" s="77" t="s">
        <v>21</v>
      </c>
      <c r="G3" s="64">
        <v>17</v>
      </c>
      <c r="H3" s="47">
        <f>IF(B$27=0,0,G3/B$27)</f>
        <v>0.73913043478260865</v>
      </c>
      <c r="I3" s="117">
        <v>2</v>
      </c>
      <c r="K3" s="46">
        <v>1</v>
      </c>
      <c r="L3" s="123">
        <v>-14.4</v>
      </c>
      <c r="N3" s="46" t="s">
        <v>148</v>
      </c>
      <c r="O3" s="127">
        <f t="shared" si="0"/>
        <v>4776.1904761904761</v>
      </c>
      <c r="P3" s="60">
        <v>100300</v>
      </c>
      <c r="Q3" s="55">
        <v>21</v>
      </c>
    </row>
    <row r="4" spans="1:17" x14ac:dyDescent="0.4">
      <c r="A4" s="72" t="s">
        <v>6</v>
      </c>
      <c r="B4" s="143">
        <v>53.800000000000026</v>
      </c>
      <c r="C4" s="144"/>
      <c r="E4" s="81" t="s">
        <v>70</v>
      </c>
      <c r="F4" s="77" t="s">
        <v>24</v>
      </c>
      <c r="G4" s="64">
        <v>17</v>
      </c>
      <c r="H4" s="47">
        <f>IF(B$27=0,0,G4/B$27)</f>
        <v>0.73913043478260865</v>
      </c>
      <c r="I4" s="117">
        <v>2</v>
      </c>
      <c r="K4" s="46">
        <v>2</v>
      </c>
      <c r="L4" s="123">
        <v>37.6</v>
      </c>
      <c r="N4" s="46" t="s">
        <v>149</v>
      </c>
      <c r="O4" s="127">
        <f t="shared" si="0"/>
        <v>-4255.5555555555557</v>
      </c>
      <c r="P4" s="60">
        <v>-76600</v>
      </c>
      <c r="Q4" s="55">
        <v>18</v>
      </c>
    </row>
    <row r="5" spans="1:17" x14ac:dyDescent="0.4">
      <c r="A5" s="72" t="s">
        <v>7</v>
      </c>
      <c r="B5" s="145">
        <f>IF(B$2=0,0,B$4/B$2)</f>
        <v>2.3391304347826098</v>
      </c>
      <c r="C5" s="146"/>
      <c r="E5" s="81" t="s">
        <v>69</v>
      </c>
      <c r="F5" s="77" t="s">
        <v>23</v>
      </c>
      <c r="G5" s="64">
        <v>11</v>
      </c>
      <c r="H5" s="47">
        <f>IF(B$27=0,0,G5/B$27)</f>
        <v>0.47826086956521741</v>
      </c>
      <c r="I5" s="117">
        <v>10</v>
      </c>
      <c r="K5" s="46">
        <v>3</v>
      </c>
      <c r="L5" s="123">
        <v>-2.7999999999999972</v>
      </c>
      <c r="N5" s="46" t="s">
        <v>150</v>
      </c>
      <c r="O5" s="127">
        <f t="shared" si="0"/>
        <v>2970.5882352941176</v>
      </c>
      <c r="P5" s="60">
        <v>50500</v>
      </c>
      <c r="Q5" s="55">
        <v>17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72</v>
      </c>
      <c r="F6" s="77" t="s">
        <v>12</v>
      </c>
      <c r="G6" s="64">
        <v>9</v>
      </c>
      <c r="H6" s="47">
        <f>IF(B$27=0,0,G6/B$27)</f>
        <v>0.39130434782608697</v>
      </c>
      <c r="I6" s="117">
        <v>1</v>
      </c>
      <c r="K6" s="46">
        <v>4</v>
      </c>
      <c r="L6" s="123">
        <v>-44.3</v>
      </c>
      <c r="N6" s="46" t="s">
        <v>151</v>
      </c>
      <c r="O6" s="127">
        <f t="shared" si="0"/>
        <v>-950</v>
      </c>
      <c r="P6" s="60">
        <v>-13300</v>
      </c>
      <c r="Q6" s="55">
        <v>14</v>
      </c>
    </row>
    <row r="7" spans="1:17" x14ac:dyDescent="0.4">
      <c r="A7" s="72" t="s">
        <v>2</v>
      </c>
      <c r="B7" s="64">
        <v>8</v>
      </c>
      <c r="C7" s="47">
        <f>IF(B$2=0,0,B7/B$2)</f>
        <v>0.34782608695652173</v>
      </c>
      <c r="E7" s="81" t="s">
        <v>76</v>
      </c>
      <c r="F7" s="77" t="s">
        <v>29</v>
      </c>
      <c r="G7" s="64">
        <v>9</v>
      </c>
      <c r="H7" s="47">
        <f>IF(B$27=0,0,G7/B$27)</f>
        <v>0.39130434782608697</v>
      </c>
      <c r="I7" s="117">
        <v>11</v>
      </c>
      <c r="K7" s="46">
        <v>5</v>
      </c>
      <c r="L7" s="123">
        <v>8.2000000000000028</v>
      </c>
      <c r="N7" s="50" t="s">
        <v>152</v>
      </c>
      <c r="O7" s="128">
        <f t="shared" si="0"/>
        <v>-1191.6666666666667</v>
      </c>
      <c r="P7" s="61">
        <v>-14300</v>
      </c>
      <c r="Q7" s="56">
        <v>12</v>
      </c>
    </row>
    <row r="8" spans="1:17" x14ac:dyDescent="0.4">
      <c r="A8" s="72" t="s">
        <v>3</v>
      </c>
      <c r="B8" s="64">
        <v>7</v>
      </c>
      <c r="C8" s="47">
        <f>IF(B$2=0,0,B8/B$2)</f>
        <v>0.30434782608695654</v>
      </c>
      <c r="E8" s="81" t="s">
        <v>68</v>
      </c>
      <c r="F8" s="77" t="s">
        <v>22</v>
      </c>
      <c r="G8" s="64">
        <v>4</v>
      </c>
      <c r="H8" s="47">
        <f>IF(B$27=0,0,G8/B$27)</f>
        <v>0.17391304347826086</v>
      </c>
      <c r="I8" s="117">
        <v>2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8</v>
      </c>
      <c r="C9" s="48">
        <f t="shared" ref="C9" si="1">IF(B$2=0,0,B9/B$2)</f>
        <v>0.34782608695652173</v>
      </c>
      <c r="E9" s="81" t="s">
        <v>73</v>
      </c>
      <c r="F9" s="77" t="s">
        <v>26</v>
      </c>
      <c r="G9" s="64">
        <v>3</v>
      </c>
      <c r="H9" s="47">
        <f>IF(B$27=0,0,G9/B$27)</f>
        <v>0.13043478260869565</v>
      </c>
      <c r="I9" s="117">
        <v>8</v>
      </c>
      <c r="K9" s="46">
        <v>7</v>
      </c>
      <c r="L9" s="123">
        <v>40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0.21739130434782608</v>
      </c>
      <c r="E10" s="81" t="s">
        <v>74</v>
      </c>
      <c r="F10" s="77" t="s">
        <v>27</v>
      </c>
      <c r="G10" s="64">
        <v>1</v>
      </c>
      <c r="H10" s="47">
        <f>IF(B$27=0,0,G10/B$27)</f>
        <v>4.3478260869565216E-2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>IF(Q10=0,0,P10/Q10)</f>
        <v>24.993333333333332</v>
      </c>
      <c r="P10" s="130">
        <v>374.9</v>
      </c>
      <c r="Q10" s="57">
        <v>15</v>
      </c>
    </row>
    <row r="11" spans="1:17" x14ac:dyDescent="0.4">
      <c r="A11" s="73" t="s">
        <v>155</v>
      </c>
      <c r="B11" s="65">
        <v>4</v>
      </c>
      <c r="C11" s="48">
        <f>IF(B$2=0,0,B11/B$2)</f>
        <v>0.17391304347826086</v>
      </c>
      <c r="E11" s="81" t="s">
        <v>75</v>
      </c>
      <c r="F11" s="77" t="s">
        <v>28</v>
      </c>
      <c r="G11" s="64">
        <v>1</v>
      </c>
      <c r="H11" s="47">
        <f>IF(B$27=0,0,G11/B$27)</f>
        <v>4.3478260869565216E-2</v>
      </c>
      <c r="I11" s="117">
        <v>8</v>
      </c>
      <c r="K11" s="46">
        <v>9</v>
      </c>
      <c r="L11" s="123">
        <v>6.8000000000000025</v>
      </c>
      <c r="N11" s="46" t="s">
        <v>134</v>
      </c>
      <c r="O11" s="125">
        <f>IF(Q11=0,0,P11/Q11)</f>
        <v>1.2833333333333339</v>
      </c>
      <c r="P11" s="131">
        <v>7.7000000000000028</v>
      </c>
      <c r="Q11" s="55">
        <v>6</v>
      </c>
    </row>
    <row r="12" spans="1:17" x14ac:dyDescent="0.4">
      <c r="A12" s="74" t="s">
        <v>240</v>
      </c>
      <c r="B12" s="66">
        <v>2</v>
      </c>
      <c r="C12" s="51">
        <f>IF(B$2=0,0,B12/B$2)</f>
        <v>8.6956521739130432E-2</v>
      </c>
      <c r="E12" s="81" t="s">
        <v>82</v>
      </c>
      <c r="F12" s="77" t="s">
        <v>35</v>
      </c>
      <c r="G12" s="64">
        <v>1</v>
      </c>
      <c r="H12" s="47">
        <f>IF(B$27=0,0,G12/B$27)</f>
        <v>4.3478260869565216E-2</v>
      </c>
      <c r="I12" s="117">
        <v>4</v>
      </c>
      <c r="K12" s="46">
        <v>10</v>
      </c>
      <c r="L12" s="123">
        <v>56.800000000000004</v>
      </c>
      <c r="N12" s="46" t="s">
        <v>133</v>
      </c>
      <c r="O12" s="125">
        <f>IF(Q12=0,0,P12/Q12)</f>
        <v>-6.60952380952381</v>
      </c>
      <c r="P12" s="131">
        <v>-138.80000000000001</v>
      </c>
      <c r="Q12" s="55">
        <v>21</v>
      </c>
    </row>
    <row r="13" spans="1:17" x14ac:dyDescent="0.4">
      <c r="A13" s="75" t="s">
        <v>128</v>
      </c>
      <c r="B13" s="67">
        <v>34</v>
      </c>
      <c r="C13" s="54">
        <f>IF(B$26=0,0,B13/B$26)</f>
        <v>0.33663366336633666</v>
      </c>
      <c r="E13" s="81" t="s">
        <v>91</v>
      </c>
      <c r="F13" s="77" t="s">
        <v>44</v>
      </c>
      <c r="G13" s="64">
        <v>1</v>
      </c>
      <c r="H13" s="47">
        <f>IF(B$27=0,0,G13/B$27)</f>
        <v>4.3478260869565216E-2</v>
      </c>
      <c r="I13" s="117">
        <v>10</v>
      </c>
      <c r="K13" s="46">
        <v>11</v>
      </c>
      <c r="L13" s="123">
        <v>69.300000000000011</v>
      </c>
      <c r="N13" s="46" t="s">
        <v>137</v>
      </c>
      <c r="O13" s="125">
        <f>IF(Q13=0,0,P13/Q13)</f>
        <v>-8.9</v>
      </c>
      <c r="P13" s="131">
        <v>-8.9</v>
      </c>
      <c r="Q13" s="55">
        <v>1</v>
      </c>
    </row>
    <row r="14" spans="1:17" x14ac:dyDescent="0.4">
      <c r="A14" s="72" t="s">
        <v>123</v>
      </c>
      <c r="B14" s="64">
        <v>23</v>
      </c>
      <c r="C14" s="47">
        <f>IF(B$26=0,0,B14/B$26)</f>
        <v>0.22772277227722773</v>
      </c>
      <c r="E14" s="81" t="s">
        <v>94</v>
      </c>
      <c r="F14" s="77" t="s">
        <v>47</v>
      </c>
      <c r="G14" s="64">
        <v>1</v>
      </c>
      <c r="H14" s="47">
        <f>IF(B$27=0,0,G14/B$27)</f>
        <v>4.3478260869565216E-2</v>
      </c>
      <c r="I14" s="117">
        <v>10</v>
      </c>
      <c r="K14" s="46">
        <v>12</v>
      </c>
      <c r="L14" s="123">
        <v>80.800000000000011</v>
      </c>
      <c r="N14" s="46" t="s">
        <v>139</v>
      </c>
      <c r="O14" s="125">
        <f>IF(Q14=0,0,P14/Q14)</f>
        <v>-19.750000000000004</v>
      </c>
      <c r="P14" s="131">
        <v>-39.500000000000007</v>
      </c>
      <c r="Q14" s="55">
        <v>2</v>
      </c>
    </row>
    <row r="15" spans="1:17" x14ac:dyDescent="0.4">
      <c r="A15" s="71" t="s">
        <v>130</v>
      </c>
      <c r="B15" s="63">
        <v>16</v>
      </c>
      <c r="C15" s="45">
        <f>IF(B$13=0,0,B15/B$13)</f>
        <v>0.47058823529411764</v>
      </c>
      <c r="E15" s="81" t="s">
        <v>97</v>
      </c>
      <c r="F15" s="77" t="s">
        <v>50</v>
      </c>
      <c r="G15" s="64">
        <v>1</v>
      </c>
      <c r="H15" s="47">
        <f>IF(B$27=0,0,G15/B$27)</f>
        <v>4.3478260869565216E-2</v>
      </c>
      <c r="I15" s="117">
        <v>1</v>
      </c>
      <c r="K15" s="46">
        <v>13</v>
      </c>
      <c r="L15" s="123">
        <v>155.10000000000002</v>
      </c>
      <c r="N15" s="46" t="s">
        <v>135</v>
      </c>
      <c r="O15" s="125">
        <f>IF(Q15=0,0,P15/Q15)</f>
        <v>-34</v>
      </c>
      <c r="P15" s="131">
        <v>-34</v>
      </c>
      <c r="Q15" s="55">
        <v>1</v>
      </c>
    </row>
    <row r="16" spans="1:17" x14ac:dyDescent="0.4">
      <c r="A16" s="71" t="s">
        <v>131</v>
      </c>
      <c r="B16" s="63">
        <v>3</v>
      </c>
      <c r="C16" s="45">
        <f>IF(B$14=0,0,B16/B$14)</f>
        <v>0.13043478260869565</v>
      </c>
      <c r="E16" s="81" t="s">
        <v>77</v>
      </c>
      <c r="F16" s="77" t="s">
        <v>30</v>
      </c>
      <c r="G16" s="64">
        <v>0</v>
      </c>
      <c r="H16" s="47">
        <f>IF(B$27=0,0,G16/B$27)</f>
        <v>0</v>
      </c>
      <c r="I16" s="117">
        <v>5</v>
      </c>
      <c r="K16" s="46">
        <v>14</v>
      </c>
      <c r="L16" s="123">
        <v>147.10000000000002</v>
      </c>
    </row>
    <row r="17" spans="1:12" x14ac:dyDescent="0.4">
      <c r="A17" s="71" t="s">
        <v>10</v>
      </c>
      <c r="B17" s="63">
        <f>B19+B18</f>
        <v>51</v>
      </c>
      <c r="C17" s="45">
        <f>IF(B$3=0,0,B17/B$3)</f>
        <v>0.27868852459016391</v>
      </c>
      <c r="E17" s="81" t="s">
        <v>78</v>
      </c>
      <c r="F17" s="77" t="s">
        <v>31</v>
      </c>
      <c r="G17" s="64">
        <v>0</v>
      </c>
      <c r="H17" s="47">
        <f>IF(B$27=0,0,G17/B$27)</f>
        <v>0</v>
      </c>
      <c r="I17" s="117">
        <v>4</v>
      </c>
      <c r="K17" s="46">
        <v>15</v>
      </c>
      <c r="L17" s="123">
        <v>148.80000000000001</v>
      </c>
    </row>
    <row r="18" spans="1:12" x14ac:dyDescent="0.4">
      <c r="A18" s="72" t="s">
        <v>12</v>
      </c>
      <c r="B18" s="64">
        <v>23</v>
      </c>
      <c r="C18" s="47">
        <f>IF(B$17=0,0,B18/B$17)</f>
        <v>0.45098039215686275</v>
      </c>
      <c r="E18" s="81" t="s">
        <v>79</v>
      </c>
      <c r="F18" s="77" t="s">
        <v>32</v>
      </c>
      <c r="G18" s="64">
        <v>0</v>
      </c>
      <c r="H18" s="47">
        <f>IF(B$27=0,0,G18/B$27)</f>
        <v>0</v>
      </c>
      <c r="I18" s="117">
        <v>6</v>
      </c>
      <c r="K18" s="46">
        <v>16</v>
      </c>
      <c r="L18" s="123">
        <v>152.30000000000001</v>
      </c>
    </row>
    <row r="19" spans="1:12" x14ac:dyDescent="0.4">
      <c r="A19" s="72" t="s">
        <v>11</v>
      </c>
      <c r="B19" s="64">
        <v>28</v>
      </c>
      <c r="C19" s="47">
        <f>IF(B$17=0,0,B19/B$17)</f>
        <v>0.5490196078431373</v>
      </c>
      <c r="E19" s="81" t="s">
        <v>80</v>
      </c>
      <c r="F19" s="77" t="s">
        <v>33</v>
      </c>
      <c r="G19" s="64">
        <v>0</v>
      </c>
      <c r="H19" s="47">
        <f>IF(B$27=0,0,G19/B$27)</f>
        <v>0</v>
      </c>
      <c r="I19" s="117">
        <v>1</v>
      </c>
      <c r="K19" s="46">
        <v>17</v>
      </c>
      <c r="L19" s="123">
        <v>178.10000000000002</v>
      </c>
    </row>
    <row r="20" spans="1:12" x14ac:dyDescent="0.4">
      <c r="A20" s="72" t="s">
        <v>13</v>
      </c>
      <c r="B20" s="64">
        <v>30</v>
      </c>
      <c r="C20" s="47">
        <f>IF(B$3=0,0,B20/B$3)</f>
        <v>0.16393442622950818</v>
      </c>
      <c r="E20" s="81" t="s">
        <v>81</v>
      </c>
      <c r="F20" s="77" t="s">
        <v>34</v>
      </c>
      <c r="G20" s="64">
        <v>0</v>
      </c>
      <c r="H20" s="47">
        <f>IF(B$27=0,0,G20/B$27)</f>
        <v>0</v>
      </c>
      <c r="I20" s="117">
        <v>6</v>
      </c>
      <c r="K20" s="46">
        <v>18</v>
      </c>
      <c r="L20" s="123">
        <v>155.00000000000003</v>
      </c>
    </row>
    <row r="21" spans="1:12" x14ac:dyDescent="0.4">
      <c r="A21" s="72" t="s">
        <v>5</v>
      </c>
      <c r="B21" s="68">
        <f>IF(B$17=0,0,C21/B$17)</f>
        <v>11427.450980392157</v>
      </c>
      <c r="C21" s="49">
        <v>582800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9</v>
      </c>
      <c r="K21" s="46">
        <v>19</v>
      </c>
      <c r="L21" s="123">
        <v>143.60000000000002</v>
      </c>
    </row>
    <row r="22" spans="1:12" x14ac:dyDescent="0.4">
      <c r="A22" s="74" t="s">
        <v>14</v>
      </c>
      <c r="B22" s="69">
        <f>IF(B$20=0,0,C22/B$20)</f>
        <v>-9023.3333333333339</v>
      </c>
      <c r="C22" s="62">
        <v>-270700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  <c r="K22" s="46">
        <v>20</v>
      </c>
      <c r="L22" s="123">
        <v>152.50000000000003</v>
      </c>
    </row>
    <row r="23" spans="1:12" x14ac:dyDescent="0.4">
      <c r="A23" s="112" t="s">
        <v>159</v>
      </c>
      <c r="B23" s="149">
        <v>7</v>
      </c>
      <c r="C23" s="150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  <c r="K23" s="46">
        <v>21</v>
      </c>
      <c r="L23" s="123">
        <v>138.00000000000003</v>
      </c>
    </row>
    <row r="24" spans="1:12" x14ac:dyDescent="0.4">
      <c r="A24" s="75" t="s">
        <v>200</v>
      </c>
      <c r="B24" s="147">
        <v>109300</v>
      </c>
      <c r="C24" s="148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  <c r="K24" s="46">
        <v>22</v>
      </c>
      <c r="L24" s="123">
        <v>101.30000000000003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53.800000000000026</v>
      </c>
    </row>
    <row r="26" spans="1:12" x14ac:dyDescent="0.4">
      <c r="A26" s="71" t="s">
        <v>126</v>
      </c>
      <c r="B26" s="139">
        <v>101</v>
      </c>
      <c r="C26" s="140"/>
      <c r="E26" s="81" t="s">
        <v>88</v>
      </c>
      <c r="F26" s="77" t="s">
        <v>41</v>
      </c>
      <c r="G26" s="64">
        <v>0</v>
      </c>
      <c r="H26" s="47">
        <f>IF(B$27=0,0,G26/B$27)</f>
        <v>0</v>
      </c>
      <c r="I26" s="117">
        <v>9</v>
      </c>
    </row>
    <row r="27" spans="1:12" x14ac:dyDescent="0.4">
      <c r="A27" s="74" t="s">
        <v>127</v>
      </c>
      <c r="B27" s="153">
        <v>23</v>
      </c>
      <c r="C27" s="154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</row>
    <row r="28" spans="1:12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96</v>
      </c>
      <c r="F32" s="77" t="s">
        <v>49</v>
      </c>
      <c r="G32" s="64">
        <v>0</v>
      </c>
      <c r="H32" s="47">
        <f>IF(B$27=0,0,G32/B$27)</f>
        <v>0</v>
      </c>
      <c r="I32" s="117">
        <v>8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F026-8973-426E-B265-89C2B50BBF3A}">
  <sheetPr codeName="Sheet25"/>
  <dimension ref="A1:Q9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139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93</v>
      </c>
      <c r="C2" s="140"/>
      <c r="E2" s="80" t="s">
        <v>71</v>
      </c>
      <c r="F2" s="76" t="s">
        <v>25</v>
      </c>
      <c r="G2" s="63">
        <v>183</v>
      </c>
      <c r="H2" s="45">
        <f>IF(B$27=0,0,G2/B$27)</f>
        <v>0.953125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-1735.9550561797753</v>
      </c>
      <c r="P2" s="59">
        <v>-154500</v>
      </c>
      <c r="Q2" s="57">
        <v>89</v>
      </c>
    </row>
    <row r="3" spans="1:17" x14ac:dyDescent="0.4">
      <c r="A3" s="72" t="s">
        <v>8</v>
      </c>
      <c r="B3" s="141">
        <v>718</v>
      </c>
      <c r="C3" s="142"/>
      <c r="E3" s="81" t="s">
        <v>69</v>
      </c>
      <c r="F3" s="77" t="s">
        <v>23</v>
      </c>
      <c r="G3" s="64">
        <v>160</v>
      </c>
      <c r="H3" s="47">
        <f>IF(B$27=0,0,G3/B$27)</f>
        <v>0.83333333333333337</v>
      </c>
      <c r="I3" s="117">
        <v>2</v>
      </c>
      <c r="K3" s="46">
        <v>1</v>
      </c>
      <c r="L3" s="123">
        <v>3.9</v>
      </c>
      <c r="N3" s="46" t="s">
        <v>148</v>
      </c>
      <c r="O3" s="127">
        <f t="shared" si="0"/>
        <v>-6.8181818181818183</v>
      </c>
      <c r="P3" s="60">
        <v>-600</v>
      </c>
      <c r="Q3" s="55">
        <v>88</v>
      </c>
    </row>
    <row r="4" spans="1:17" x14ac:dyDescent="0.4">
      <c r="A4" s="72" t="s">
        <v>6</v>
      </c>
      <c r="B4" s="143">
        <v>-563.19999999999993</v>
      </c>
      <c r="C4" s="144"/>
      <c r="E4" s="81" t="s">
        <v>76</v>
      </c>
      <c r="F4" s="77" t="s">
        <v>29</v>
      </c>
      <c r="G4" s="64">
        <v>125</v>
      </c>
      <c r="H4" s="47">
        <f>IF(B$27=0,0,G4/B$27)</f>
        <v>0.65104166666666663</v>
      </c>
      <c r="I4" s="117">
        <v>3</v>
      </c>
      <c r="K4" s="46">
        <v>2</v>
      </c>
      <c r="L4" s="123">
        <v>-33.9</v>
      </c>
      <c r="N4" s="46" t="s">
        <v>149</v>
      </c>
      <c r="O4" s="127">
        <f t="shared" si="0"/>
        <v>-1718.0722891566265</v>
      </c>
      <c r="P4" s="60">
        <v>-142600</v>
      </c>
      <c r="Q4" s="55">
        <v>83</v>
      </c>
    </row>
    <row r="5" spans="1:17" x14ac:dyDescent="0.4">
      <c r="A5" s="72" t="s">
        <v>7</v>
      </c>
      <c r="B5" s="145">
        <f>IF(B$2=0,0,B$4/B$2)</f>
        <v>-6.0559139784946225</v>
      </c>
      <c r="C5" s="146"/>
      <c r="E5" s="81" t="s">
        <v>67</v>
      </c>
      <c r="F5" s="77" t="s">
        <v>21</v>
      </c>
      <c r="G5" s="64">
        <v>116</v>
      </c>
      <c r="H5" s="47">
        <f>IF(B$27=0,0,G5/B$27)</f>
        <v>0.60416666666666663</v>
      </c>
      <c r="I5" s="117">
        <v>6</v>
      </c>
      <c r="K5" s="46">
        <v>3</v>
      </c>
      <c r="L5" s="123">
        <v>-70.099999999999994</v>
      </c>
      <c r="N5" s="46" t="s">
        <v>150</v>
      </c>
      <c r="O5" s="127">
        <f t="shared" si="0"/>
        <v>-693.42105263157896</v>
      </c>
      <c r="P5" s="60">
        <v>-52700</v>
      </c>
      <c r="Q5" s="55">
        <v>76</v>
      </c>
    </row>
    <row r="6" spans="1:17" x14ac:dyDescent="0.4">
      <c r="A6" s="72" t="s">
        <v>1</v>
      </c>
      <c r="B6" s="151">
        <f>IF(B$2=0,0,(B$7*1+B$8*2+B$9*3)/B$2)</f>
        <v>2.21505376344086</v>
      </c>
      <c r="C6" s="152"/>
      <c r="E6" s="81" t="s">
        <v>70</v>
      </c>
      <c r="F6" s="77" t="s">
        <v>24</v>
      </c>
      <c r="G6" s="64">
        <v>73</v>
      </c>
      <c r="H6" s="47">
        <f>IF(B$27=0,0,G6/B$27)</f>
        <v>0.38020833333333331</v>
      </c>
      <c r="I6" s="117">
        <v>3</v>
      </c>
      <c r="K6" s="46">
        <v>4</v>
      </c>
      <c r="L6" s="123">
        <v>-35.099999999999994</v>
      </c>
      <c r="N6" s="46" t="s">
        <v>151</v>
      </c>
      <c r="O6" s="127">
        <f t="shared" si="0"/>
        <v>-2468.1159420289855</v>
      </c>
      <c r="P6" s="60">
        <v>-170300</v>
      </c>
      <c r="Q6" s="55">
        <v>69</v>
      </c>
    </row>
    <row r="7" spans="1:17" x14ac:dyDescent="0.4">
      <c r="A7" s="72" t="s">
        <v>2</v>
      </c>
      <c r="B7" s="64">
        <v>22</v>
      </c>
      <c r="C7" s="47">
        <f>IF(B$2=0,0,B7/B$2)</f>
        <v>0.23655913978494625</v>
      </c>
      <c r="E7" s="81" t="s">
        <v>72</v>
      </c>
      <c r="F7" s="77" t="s">
        <v>12</v>
      </c>
      <c r="G7" s="64">
        <v>63</v>
      </c>
      <c r="H7" s="47">
        <f>IF(B$27=0,0,G7/B$27)</f>
        <v>0.328125</v>
      </c>
      <c r="I7" s="117">
        <v>5</v>
      </c>
      <c r="K7" s="46">
        <v>5</v>
      </c>
      <c r="L7" s="123">
        <v>-80.099999999999994</v>
      </c>
      <c r="N7" s="50" t="s">
        <v>152</v>
      </c>
      <c r="O7" s="128">
        <f t="shared" si="0"/>
        <v>1316.9811320754718</v>
      </c>
      <c r="P7" s="61">
        <v>69800</v>
      </c>
      <c r="Q7" s="56">
        <v>53</v>
      </c>
    </row>
    <row r="8" spans="1:17" x14ac:dyDescent="0.4">
      <c r="A8" s="72" t="s">
        <v>3</v>
      </c>
      <c r="B8" s="64">
        <v>29</v>
      </c>
      <c r="C8" s="47">
        <f>IF(B$2=0,0,B8/B$2)</f>
        <v>0.31182795698924731</v>
      </c>
      <c r="E8" s="81" t="s">
        <v>73</v>
      </c>
      <c r="F8" s="77" t="s">
        <v>26</v>
      </c>
      <c r="G8" s="64">
        <v>26</v>
      </c>
      <c r="H8" s="47">
        <f>IF(B$27=0,0,G8/B$27)</f>
        <v>0.13541666666666666</v>
      </c>
      <c r="I8" s="117">
        <v>7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42</v>
      </c>
      <c r="C9" s="48">
        <f t="shared" ref="C9" si="1">IF(B$2=0,0,B9/B$2)</f>
        <v>0.45161290322580644</v>
      </c>
      <c r="E9" s="81" t="s">
        <v>94</v>
      </c>
      <c r="F9" s="77" t="s">
        <v>47</v>
      </c>
      <c r="G9" s="64">
        <v>26</v>
      </c>
      <c r="H9" s="47">
        <f>IF(B$27=0,0,G9/B$27)</f>
        <v>0.13541666666666666</v>
      </c>
      <c r="I9" s="117">
        <v>7</v>
      </c>
      <c r="K9" s="46">
        <v>7</v>
      </c>
      <c r="L9" s="123">
        <v>-147.4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22</v>
      </c>
      <c r="C10" s="48">
        <f>IF(B$2=0,0,B10/B$2)</f>
        <v>0.23655913978494625</v>
      </c>
      <c r="E10" s="81" t="s">
        <v>74</v>
      </c>
      <c r="F10" s="77" t="s">
        <v>27</v>
      </c>
      <c r="G10" s="64">
        <v>24</v>
      </c>
      <c r="H10" s="47">
        <f>IF(B$27=0,0,G10/B$27)</f>
        <v>0.125</v>
      </c>
      <c r="I10" s="117">
        <v>4</v>
      </c>
      <c r="K10" s="46">
        <v>8</v>
      </c>
      <c r="L10" s="123">
        <v>-146</v>
      </c>
      <c r="N10" s="44" t="s">
        <v>195</v>
      </c>
      <c r="O10" s="124">
        <f>IF(Q10=0,0,P10/Q10)</f>
        <v>25.3</v>
      </c>
      <c r="P10" s="130">
        <v>50.6</v>
      </c>
      <c r="Q10" s="57">
        <v>2</v>
      </c>
    </row>
    <row r="11" spans="1:17" x14ac:dyDescent="0.4">
      <c r="A11" s="73" t="s">
        <v>155</v>
      </c>
      <c r="B11" s="65">
        <v>12</v>
      </c>
      <c r="C11" s="48">
        <f>IF(B$2=0,0,B11/B$2)</f>
        <v>0.12903225806451613</v>
      </c>
      <c r="E11" s="81" t="s">
        <v>68</v>
      </c>
      <c r="F11" s="77" t="s">
        <v>22</v>
      </c>
      <c r="G11" s="64">
        <v>16</v>
      </c>
      <c r="H11" s="47">
        <f>IF(B$27=0,0,G11/B$27)</f>
        <v>8.3333333333333329E-2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>IF(Q11=0,0,P11/Q11)</f>
        <v>19.75</v>
      </c>
      <c r="P11" s="131">
        <v>39.5</v>
      </c>
      <c r="Q11" s="55">
        <v>2</v>
      </c>
    </row>
    <row r="12" spans="1:17" x14ac:dyDescent="0.4">
      <c r="A12" s="74" t="s">
        <v>240</v>
      </c>
      <c r="B12" s="66">
        <v>9</v>
      </c>
      <c r="C12" s="51">
        <f>IF(B$2=0,0,B12/B$2)</f>
        <v>9.6774193548387094E-2</v>
      </c>
      <c r="E12" s="81" t="s">
        <v>91</v>
      </c>
      <c r="F12" s="77" t="s">
        <v>44</v>
      </c>
      <c r="G12" s="64">
        <v>14</v>
      </c>
      <c r="H12" s="47">
        <f>IF(B$27=0,0,G12/B$27)</f>
        <v>7.2916666666666671E-2</v>
      </c>
      <c r="I12" s="117">
        <v>5</v>
      </c>
      <c r="K12" s="46">
        <v>10</v>
      </c>
      <c r="L12" s="123">
        <v>-206.1</v>
      </c>
      <c r="N12" s="46" t="s">
        <v>158</v>
      </c>
      <c r="O12" s="125">
        <f>IF(Q12=0,0,P12/Q12)</f>
        <v>10.761111111111113</v>
      </c>
      <c r="P12" s="131">
        <v>193.70000000000002</v>
      </c>
      <c r="Q12" s="55">
        <v>18</v>
      </c>
    </row>
    <row r="13" spans="1:17" x14ac:dyDescent="0.4">
      <c r="A13" s="75" t="s">
        <v>128</v>
      </c>
      <c r="B13" s="67">
        <v>207</v>
      </c>
      <c r="C13" s="54">
        <f>IF(B$26=0,0,B13/B$26)</f>
        <v>0.30396475770925108</v>
      </c>
      <c r="E13" s="81" t="s">
        <v>82</v>
      </c>
      <c r="F13" s="77" t="s">
        <v>35</v>
      </c>
      <c r="G13" s="64">
        <v>9</v>
      </c>
      <c r="H13" s="47">
        <f>IF(B$27=0,0,G13/B$27)</f>
        <v>4.6875E-2</v>
      </c>
      <c r="I13" s="117">
        <v>3</v>
      </c>
      <c r="K13" s="46">
        <v>11</v>
      </c>
      <c r="L13" s="123">
        <v>-174</v>
      </c>
      <c r="N13" s="46" t="s">
        <v>135</v>
      </c>
      <c r="O13" s="125">
        <f>IF(Q13=0,0,P13/Q13)</f>
        <v>7.7199999999999989</v>
      </c>
      <c r="P13" s="131">
        <v>77.199999999999989</v>
      </c>
      <c r="Q13" s="55">
        <v>10</v>
      </c>
    </row>
    <row r="14" spans="1:17" x14ac:dyDescent="0.4">
      <c r="A14" s="72" t="s">
        <v>123</v>
      </c>
      <c r="B14" s="64">
        <v>142</v>
      </c>
      <c r="C14" s="47">
        <f>IF(B$26=0,0,B14/B$26)</f>
        <v>0.20851688693098386</v>
      </c>
      <c r="E14" s="81" t="s">
        <v>88</v>
      </c>
      <c r="F14" s="77" t="s">
        <v>41</v>
      </c>
      <c r="G14" s="64">
        <v>6</v>
      </c>
      <c r="H14" s="47">
        <f>IF(B$27=0,0,G14/B$27)</f>
        <v>3.125E-2</v>
      </c>
      <c r="I14" s="117">
        <v>5</v>
      </c>
      <c r="K14" s="46">
        <v>12</v>
      </c>
      <c r="L14" s="123">
        <v>-197</v>
      </c>
      <c r="N14" s="46" t="s">
        <v>168</v>
      </c>
      <c r="O14" s="125">
        <f>IF(Q14=0,0,P14/Q14)</f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130</v>
      </c>
      <c r="B15" s="63">
        <v>119</v>
      </c>
      <c r="C15" s="45">
        <f>IF(B$13=0,0,B15/B$13)</f>
        <v>0.5748792270531401</v>
      </c>
      <c r="E15" s="81" t="s">
        <v>75</v>
      </c>
      <c r="F15" s="77" t="s">
        <v>28</v>
      </c>
      <c r="G15" s="64">
        <v>5</v>
      </c>
      <c r="H15" s="47">
        <f>IF(B$27=0,0,G15/B$27)</f>
        <v>2.6041666666666668E-2</v>
      </c>
      <c r="I15" s="117">
        <v>9</v>
      </c>
      <c r="K15" s="46">
        <v>13</v>
      </c>
      <c r="L15" s="123">
        <v>-235</v>
      </c>
      <c r="N15" s="46" t="s">
        <v>136</v>
      </c>
      <c r="O15" s="125">
        <f>IF(Q15=0,0,P15/Q15)</f>
        <v>-9.06</v>
      </c>
      <c r="P15" s="131">
        <v>-45.300000000000004</v>
      </c>
      <c r="Q15" s="55">
        <v>5</v>
      </c>
    </row>
    <row r="16" spans="1:17" x14ac:dyDescent="0.4">
      <c r="A16" s="71" t="s">
        <v>131</v>
      </c>
      <c r="B16" s="63">
        <v>52</v>
      </c>
      <c r="C16" s="45">
        <f>IF(B$14=0,0,B16/B$14)</f>
        <v>0.36619718309859156</v>
      </c>
      <c r="E16" s="81" t="s">
        <v>77</v>
      </c>
      <c r="F16" s="77" t="s">
        <v>30</v>
      </c>
      <c r="G16" s="64">
        <v>4</v>
      </c>
      <c r="H16" s="47">
        <f>IF(B$27=0,0,G16/B$27)</f>
        <v>2.0833333333333332E-2</v>
      </c>
      <c r="I16" s="117">
        <v>1</v>
      </c>
      <c r="K16" s="46">
        <v>14</v>
      </c>
      <c r="L16" s="123">
        <v>-231</v>
      </c>
      <c r="N16" s="46" t="s">
        <v>134</v>
      </c>
      <c r="O16" s="125">
        <f>IF(Q16=0,0,P16/Q16)</f>
        <v>-9.3027027027026996</v>
      </c>
      <c r="P16" s="131">
        <v>-344.19999999999987</v>
      </c>
      <c r="Q16" s="55">
        <v>37</v>
      </c>
    </row>
    <row r="17" spans="1:17" x14ac:dyDescent="0.4">
      <c r="A17" s="71" t="s">
        <v>10</v>
      </c>
      <c r="B17" s="63">
        <f>B19+B18</f>
        <v>202</v>
      </c>
      <c r="C17" s="45">
        <f>IF(B$3=0,0,B17/B$3)</f>
        <v>0.28133704735376047</v>
      </c>
      <c r="E17" s="81" t="s">
        <v>86</v>
      </c>
      <c r="F17" s="77" t="s">
        <v>39</v>
      </c>
      <c r="G17" s="64">
        <v>4</v>
      </c>
      <c r="H17" s="47">
        <f>IF(B$27=0,0,G17/B$27)</f>
        <v>2.0833333333333332E-2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>IF(Q17=0,0,P17/Q17)</f>
        <v>-14.393939393939393</v>
      </c>
      <c r="P17" s="131">
        <v>-474.99999999999994</v>
      </c>
      <c r="Q17" s="55">
        <v>33</v>
      </c>
    </row>
    <row r="18" spans="1:17" x14ac:dyDescent="0.4">
      <c r="A18" s="72" t="s">
        <v>12</v>
      </c>
      <c r="B18" s="64">
        <v>91</v>
      </c>
      <c r="C18" s="47">
        <f>IF(B$17=0,0,B18/B$17)</f>
        <v>0.45049504950495051</v>
      </c>
      <c r="E18" s="81" t="s">
        <v>79</v>
      </c>
      <c r="F18" s="77" t="s">
        <v>32</v>
      </c>
      <c r="G18" s="64">
        <v>3</v>
      </c>
      <c r="H18" s="47">
        <f>IF(B$27=0,0,G18/B$27)</f>
        <v>1.5625E-2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>IF(Q18=0,0,P18/Q18)</f>
        <v>-15.324</v>
      </c>
      <c r="P18" s="131">
        <v>-1149.3</v>
      </c>
      <c r="Q18" s="55">
        <v>75</v>
      </c>
    </row>
    <row r="19" spans="1:17" x14ac:dyDescent="0.4">
      <c r="A19" s="72" t="s">
        <v>11</v>
      </c>
      <c r="B19" s="64">
        <v>111</v>
      </c>
      <c r="C19" s="47">
        <f>IF(B$17=0,0,B19/B$17)</f>
        <v>0.54950495049504955</v>
      </c>
      <c r="E19" s="81" t="s">
        <v>96</v>
      </c>
      <c r="F19" s="77" t="s">
        <v>49</v>
      </c>
      <c r="G19" s="64">
        <v>3</v>
      </c>
      <c r="H19" s="47">
        <f>IF(B$27=0,0,G19/B$27)</f>
        <v>1.5625E-2</v>
      </c>
      <c r="I19" s="117">
        <v>5</v>
      </c>
      <c r="K19" s="46">
        <v>17</v>
      </c>
      <c r="L19" s="123">
        <v>-268.7</v>
      </c>
      <c r="N19" s="46" t="s">
        <v>172</v>
      </c>
      <c r="O19" s="125">
        <f>IF(Q19=0,0,P19/Q19)</f>
        <v>-17.200000000000003</v>
      </c>
      <c r="P19" s="131">
        <v>-34.400000000000006</v>
      </c>
      <c r="Q19" s="55">
        <v>2</v>
      </c>
    </row>
    <row r="20" spans="1:17" x14ac:dyDescent="0.4">
      <c r="A20" s="72" t="s">
        <v>13</v>
      </c>
      <c r="B20" s="64">
        <v>157</v>
      </c>
      <c r="C20" s="47">
        <f>IF(B$3=0,0,B20/B$3)</f>
        <v>0.21866295264623956</v>
      </c>
      <c r="E20" s="81" t="s">
        <v>81</v>
      </c>
      <c r="F20" s="77" t="s">
        <v>34</v>
      </c>
      <c r="G20" s="64">
        <v>1</v>
      </c>
      <c r="H20" s="47">
        <f>IF(B$27=0,0,G20/B$27)</f>
        <v>5.208333333333333E-3</v>
      </c>
      <c r="I20" s="117">
        <v>5</v>
      </c>
      <c r="K20" s="46">
        <v>18</v>
      </c>
      <c r="L20" s="123">
        <v>-295.8</v>
      </c>
    </row>
    <row r="21" spans="1:17" x14ac:dyDescent="0.4">
      <c r="A21" s="72" t="s">
        <v>5</v>
      </c>
      <c r="B21" s="68">
        <f>IF(B$17=0,0,C21/B$17)</f>
        <v>10747.029702970298</v>
      </c>
      <c r="C21" s="49">
        <v>2170900</v>
      </c>
      <c r="E21" s="81" t="s">
        <v>83</v>
      </c>
      <c r="F21" s="77" t="s">
        <v>36</v>
      </c>
      <c r="G21" s="64">
        <v>1</v>
      </c>
      <c r="H21" s="47">
        <f>IF(B$27=0,0,G21/B$27)</f>
        <v>5.208333333333333E-3</v>
      </c>
      <c r="I21" s="117">
        <v>8</v>
      </c>
      <c r="K21" s="46">
        <v>19</v>
      </c>
      <c r="L21" s="123">
        <v>-273.2</v>
      </c>
    </row>
    <row r="22" spans="1:17" x14ac:dyDescent="0.4">
      <c r="A22" s="74" t="s">
        <v>14</v>
      </c>
      <c r="B22" s="69">
        <f>IF(B$20=0,0,C22/B$20)</f>
        <v>-9776.4331210191085</v>
      </c>
      <c r="C22" s="62">
        <v>-1534900</v>
      </c>
      <c r="E22" s="81" t="s">
        <v>89</v>
      </c>
      <c r="F22" s="77" t="s">
        <v>42</v>
      </c>
      <c r="G22" s="64">
        <v>1</v>
      </c>
      <c r="H22" s="47">
        <f>IF(B$27=0,0,G22/B$27)</f>
        <v>5.208333333333333E-3</v>
      </c>
      <c r="I22" s="117">
        <v>3</v>
      </c>
      <c r="K22" s="46">
        <v>20</v>
      </c>
      <c r="L22" s="123">
        <v>-270</v>
      </c>
    </row>
    <row r="23" spans="1:17" x14ac:dyDescent="0.4">
      <c r="A23" s="112" t="s">
        <v>159</v>
      </c>
      <c r="B23" s="149">
        <v>7</v>
      </c>
      <c r="C23" s="150"/>
      <c r="E23" s="81" t="s">
        <v>90</v>
      </c>
      <c r="F23" s="77" t="s">
        <v>43</v>
      </c>
      <c r="G23" s="64">
        <v>1</v>
      </c>
      <c r="H23" s="47">
        <f>IF(B$27=0,0,G23/B$27)</f>
        <v>5.208333333333333E-3</v>
      </c>
      <c r="I23" s="117">
        <v>3</v>
      </c>
      <c r="K23" s="46">
        <v>21</v>
      </c>
      <c r="L23" s="123">
        <v>-242</v>
      </c>
    </row>
    <row r="24" spans="1:17" x14ac:dyDescent="0.4">
      <c r="A24" s="75" t="s">
        <v>200</v>
      </c>
      <c r="B24" s="147">
        <v>124700</v>
      </c>
      <c r="C24" s="148"/>
      <c r="E24" s="81" t="s">
        <v>97</v>
      </c>
      <c r="F24" s="77" t="s">
        <v>50</v>
      </c>
      <c r="G24" s="64">
        <v>1</v>
      </c>
      <c r="H24" s="47">
        <f>IF(B$27=0,0,G24/B$27)</f>
        <v>5.208333333333333E-3</v>
      </c>
      <c r="I24" s="117">
        <v>5</v>
      </c>
      <c r="K24" s="46">
        <v>22</v>
      </c>
      <c r="L24" s="123">
        <v>-202.9</v>
      </c>
    </row>
    <row r="25" spans="1:17" x14ac:dyDescent="0.4">
      <c r="A25" s="74" t="s">
        <v>160</v>
      </c>
      <c r="B25" s="83">
        <v>7</v>
      </c>
      <c r="C25" s="51">
        <f>IF(B$3=0,0,B25/B$3)</f>
        <v>9.7493036211699167E-3</v>
      </c>
      <c r="E25" s="81" t="s">
        <v>98</v>
      </c>
      <c r="F25" s="77" t="s">
        <v>51</v>
      </c>
      <c r="G25" s="64">
        <v>1</v>
      </c>
      <c r="H25" s="47">
        <f>IF(B$27=0,0,G25/B$27)</f>
        <v>5.208333333333333E-3</v>
      </c>
      <c r="I25" s="117">
        <v>3</v>
      </c>
      <c r="K25" s="46">
        <v>23</v>
      </c>
      <c r="L25" s="123">
        <v>-200.9</v>
      </c>
    </row>
    <row r="26" spans="1:17" x14ac:dyDescent="0.4">
      <c r="A26" s="71" t="s">
        <v>126</v>
      </c>
      <c r="B26" s="139">
        <v>681</v>
      </c>
      <c r="C26" s="140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4" t="s">
        <v>127</v>
      </c>
      <c r="B27" s="153">
        <v>192</v>
      </c>
      <c r="C27" s="154"/>
      <c r="E27" s="81" t="s">
        <v>80</v>
      </c>
      <c r="F27" s="77" t="s">
        <v>33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E28" s="81" t="s">
        <v>84</v>
      </c>
      <c r="F28" s="77" t="s">
        <v>37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>IF(B$27=0,0,G31/B$27)</f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>IF(B$27=0,0,G33/B$27)</f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  <row r="93" spans="11:12" x14ac:dyDescent="0.4">
      <c r="K93" s="46">
        <v>91</v>
      </c>
      <c r="L93" s="123">
        <v>-485.2999999999999</v>
      </c>
    </row>
    <row r="94" spans="11:12" x14ac:dyDescent="0.4">
      <c r="K94" s="46">
        <v>92</v>
      </c>
      <c r="L94" s="123">
        <v>-521.79999999999995</v>
      </c>
    </row>
    <row r="95" spans="11:12" x14ac:dyDescent="0.4">
      <c r="K95" s="46">
        <v>93</v>
      </c>
      <c r="L95" s="123">
        <v>-563.19999999999993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0C67-0455-49EE-880B-E51CF05180B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195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6</v>
      </c>
      <c r="C2" s="140"/>
      <c r="E2" s="80" t="s">
        <v>67</v>
      </c>
      <c r="F2" s="76" t="s">
        <v>21</v>
      </c>
      <c r="G2" s="63">
        <v>12</v>
      </c>
      <c r="H2" s="45">
        <f>IF(B$27=0,0,G2/B$27)</f>
        <v>0.63157894736842102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1">
        <v>50</v>
      </c>
      <c r="C3" s="142"/>
      <c r="E3" s="81" t="s">
        <v>69</v>
      </c>
      <c r="F3" s="77" t="s">
        <v>23</v>
      </c>
      <c r="G3" s="64">
        <v>12</v>
      </c>
      <c r="H3" s="47">
        <f>IF(B$27=0,0,G3/B$27)</f>
        <v>0.63157894736842102</v>
      </c>
      <c r="I3" s="117">
        <v>9</v>
      </c>
      <c r="K3" s="46">
        <v>1</v>
      </c>
      <c r="L3" s="123">
        <v>28.3</v>
      </c>
      <c r="N3" s="46" t="s">
        <v>148</v>
      </c>
      <c r="O3" s="127">
        <f t="shared" si="0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43">
        <v>47</v>
      </c>
      <c r="C4" s="144"/>
      <c r="E4" s="81" t="s">
        <v>71</v>
      </c>
      <c r="F4" s="77" t="s">
        <v>25</v>
      </c>
      <c r="G4" s="64">
        <v>12</v>
      </c>
      <c r="H4" s="47">
        <f>IF(B$27=0,0,G4/B$27)</f>
        <v>0.63157894736842102</v>
      </c>
      <c r="I4" s="117">
        <v>11</v>
      </c>
      <c r="K4" s="46">
        <v>2</v>
      </c>
      <c r="L4" s="123">
        <v>71.3</v>
      </c>
      <c r="N4" s="46" t="s">
        <v>149</v>
      </c>
      <c r="O4" s="127">
        <f t="shared" si="0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45">
        <f>IF(B$2=0,0,B$4/B$2)</f>
        <v>7.833333333333333</v>
      </c>
      <c r="C5" s="146"/>
      <c r="E5" s="81" t="s">
        <v>76</v>
      </c>
      <c r="F5" s="77" t="s">
        <v>29</v>
      </c>
      <c r="G5" s="64">
        <v>10</v>
      </c>
      <c r="H5" s="47">
        <f>IF(B$27=0,0,G5/B$27)</f>
        <v>0.52631578947368418</v>
      </c>
      <c r="I5" s="117">
        <v>8</v>
      </c>
      <c r="K5" s="46">
        <v>3</v>
      </c>
      <c r="L5" s="123">
        <v>57.3</v>
      </c>
      <c r="N5" s="46" t="s">
        <v>150</v>
      </c>
      <c r="O5" s="127">
        <f t="shared" si="0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51">
        <f>IF(B$2=0,0,(B$7*1+B$8*2+B$9*3)/B$2)</f>
        <v>1.8333333333333333</v>
      </c>
      <c r="C6" s="152"/>
      <c r="E6" s="81" t="s">
        <v>70</v>
      </c>
      <c r="F6" s="77" t="s">
        <v>24</v>
      </c>
      <c r="G6" s="64">
        <v>7</v>
      </c>
      <c r="H6" s="47">
        <f>IF(B$27=0,0,G6/B$27)</f>
        <v>0.36842105263157893</v>
      </c>
      <c r="I6" s="117">
        <v>5</v>
      </c>
      <c r="K6" s="46">
        <v>4</v>
      </c>
      <c r="L6" s="123">
        <v>64.5</v>
      </c>
      <c r="N6" s="46" t="s">
        <v>151</v>
      </c>
      <c r="O6" s="127">
        <f t="shared" si="0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>IF(B$27=0,0,G7/B$27)</f>
        <v>0.21052631578947367</v>
      </c>
      <c r="I7" s="117">
        <v>10</v>
      </c>
      <c r="K7" s="46">
        <v>5</v>
      </c>
      <c r="L7" s="123">
        <v>89</v>
      </c>
      <c r="N7" s="50" t="s">
        <v>152</v>
      </c>
      <c r="O7" s="128">
        <f t="shared" si="0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>IF(B$2=0,0,B8/B$2)</f>
        <v>0.16666666666666666</v>
      </c>
      <c r="E8" s="81" t="s">
        <v>74</v>
      </c>
      <c r="F8" s="77" t="s">
        <v>27</v>
      </c>
      <c r="G8" s="64">
        <v>4</v>
      </c>
      <c r="H8" s="47">
        <f>IF(B$27=0,0,G8/B$27)</f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0.33333333333333331</v>
      </c>
      <c r="E9" s="81" t="s">
        <v>68</v>
      </c>
      <c r="F9" s="77" t="s">
        <v>22</v>
      </c>
      <c r="G9" s="64">
        <v>3</v>
      </c>
      <c r="H9" s="47">
        <f>IF(B$27=0,0,G9/B$27)</f>
        <v>0.15789473684210525</v>
      </c>
      <c r="I9" s="117">
        <v>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>IF(B$27=0,0,G10/B$27)</f>
        <v>0.15789473684210525</v>
      </c>
      <c r="I10" s="117">
        <v>3</v>
      </c>
      <c r="N10" s="44" t="s">
        <v>172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>IF(B$27=0,0,G11/B$27)</f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94</v>
      </c>
      <c r="F12" s="77" t="s">
        <v>47</v>
      </c>
      <c r="G12" s="64">
        <v>3</v>
      </c>
      <c r="H12" s="47">
        <f>IF(B$27=0,0,G12/B$27)</f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5" t="s">
        <v>128</v>
      </c>
      <c r="B13" s="67">
        <v>21</v>
      </c>
      <c r="C13" s="54">
        <f>IF(B$26=0,0,B13/B$26)</f>
        <v>0.42</v>
      </c>
      <c r="E13" s="81" t="s">
        <v>75</v>
      </c>
      <c r="F13" s="77" t="s">
        <v>28</v>
      </c>
      <c r="G13" s="64">
        <v>1</v>
      </c>
      <c r="H13" s="47">
        <f>IF(B$27=0,0,G13/B$27)</f>
        <v>5.2631578947368418E-2</v>
      </c>
      <c r="I13" s="117">
        <v>4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2" t="s">
        <v>123</v>
      </c>
      <c r="B14" s="64">
        <v>6</v>
      </c>
      <c r="C14" s="47">
        <f>IF(B$26=0,0,B14/B$26)</f>
        <v>0.12</v>
      </c>
      <c r="E14" s="81" t="s">
        <v>96</v>
      </c>
      <c r="F14" s="77" t="s">
        <v>49</v>
      </c>
      <c r="G14" s="64">
        <v>1</v>
      </c>
      <c r="H14" s="47">
        <f>IF(B$27=0,0,G14/B$27)</f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130</v>
      </c>
      <c r="B15" s="63">
        <v>13</v>
      </c>
      <c r="C15" s="45">
        <f>IF(B$13=0,0,B15/B$13)</f>
        <v>0.61904761904761907</v>
      </c>
      <c r="E15" s="81" t="s">
        <v>77</v>
      </c>
      <c r="F15" s="77" t="s">
        <v>30</v>
      </c>
      <c r="G15" s="64">
        <v>0</v>
      </c>
      <c r="H15" s="47">
        <f>IF(B$27=0,0,G15/B$27)</f>
        <v>0</v>
      </c>
      <c r="I15" s="117">
        <v>5</v>
      </c>
    </row>
    <row r="16" spans="1:17" x14ac:dyDescent="0.4">
      <c r="A16" s="71" t="s">
        <v>131</v>
      </c>
      <c r="B16" s="63">
        <v>3</v>
      </c>
      <c r="C16" s="45">
        <f>IF(B$14=0,0,B16/B$14)</f>
        <v>0.5</v>
      </c>
      <c r="E16" s="81" t="s">
        <v>78</v>
      </c>
      <c r="F16" s="77" t="s">
        <v>31</v>
      </c>
      <c r="G16" s="64">
        <v>0</v>
      </c>
      <c r="H16" s="47">
        <f>IF(B$27=0,0,G16/B$27)</f>
        <v>0</v>
      </c>
      <c r="I16" s="117">
        <v>4</v>
      </c>
    </row>
    <row r="17" spans="1:9" x14ac:dyDescent="0.4">
      <c r="A17" s="71" t="s">
        <v>10</v>
      </c>
      <c r="B17" s="63">
        <f>B19+B18</f>
        <v>19</v>
      </c>
      <c r="C17" s="45">
        <f>IF(B$3=0,0,B17/B$3)</f>
        <v>0.38</v>
      </c>
      <c r="E17" s="81" t="s">
        <v>79</v>
      </c>
      <c r="F17" s="77" t="s">
        <v>32</v>
      </c>
      <c r="G17" s="64">
        <v>0</v>
      </c>
      <c r="H17" s="47">
        <f>IF(B$27=0,0,G17/B$27)</f>
        <v>0</v>
      </c>
      <c r="I17" s="117">
        <v>6</v>
      </c>
    </row>
    <row r="18" spans="1:9" x14ac:dyDescent="0.4">
      <c r="A18" s="72" t="s">
        <v>12</v>
      </c>
      <c r="B18" s="64">
        <v>6</v>
      </c>
      <c r="C18" s="47">
        <f>IF(B$17=0,0,B18/B$17)</f>
        <v>0.31578947368421051</v>
      </c>
      <c r="E18" s="81" t="s">
        <v>80</v>
      </c>
      <c r="F18" s="77" t="s">
        <v>33</v>
      </c>
      <c r="G18" s="64">
        <v>0</v>
      </c>
      <c r="H18" s="47">
        <f>IF(B$27=0,0,G18/B$27)</f>
        <v>0</v>
      </c>
      <c r="I18" s="117">
        <v>1</v>
      </c>
    </row>
    <row r="19" spans="1:9" x14ac:dyDescent="0.4">
      <c r="A19" s="72" t="s">
        <v>11</v>
      </c>
      <c r="B19" s="64">
        <v>13</v>
      </c>
      <c r="C19" s="47">
        <f>IF(B$17=0,0,B19/B$17)</f>
        <v>0.68421052631578949</v>
      </c>
      <c r="E19" s="81" t="s">
        <v>81</v>
      </c>
      <c r="F19" s="77" t="s">
        <v>34</v>
      </c>
      <c r="G19" s="64">
        <v>0</v>
      </c>
      <c r="H19" s="47">
        <f>IF(B$27=0,0,G19/B$27)</f>
        <v>0</v>
      </c>
      <c r="I19" s="117">
        <v>6</v>
      </c>
    </row>
    <row r="20" spans="1:9" x14ac:dyDescent="0.4">
      <c r="A20" s="72" t="s">
        <v>13</v>
      </c>
      <c r="B20" s="64">
        <v>4</v>
      </c>
      <c r="C20" s="47">
        <f>IF(B$3=0,0,B20/B$3)</f>
        <v>0.08</v>
      </c>
      <c r="E20" s="81" t="s">
        <v>82</v>
      </c>
      <c r="F20" s="77" t="s">
        <v>35</v>
      </c>
      <c r="G20" s="64">
        <v>0</v>
      </c>
      <c r="H20" s="47">
        <f>IF(B$27=0,0,G20/B$27)</f>
        <v>0</v>
      </c>
      <c r="I20" s="117">
        <v>10</v>
      </c>
    </row>
    <row r="21" spans="1:9" x14ac:dyDescent="0.4">
      <c r="A21" s="72" t="s">
        <v>5</v>
      </c>
      <c r="B21" s="68">
        <f>IF(B$17=0,0,C21/B$17)</f>
        <v>9163.1578947368416</v>
      </c>
      <c r="C21" s="49">
        <v>174100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-10025</v>
      </c>
      <c r="C22" s="62">
        <v>-40100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49">
        <v>5</v>
      </c>
      <c r="C23" s="150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</row>
    <row r="24" spans="1:9" x14ac:dyDescent="0.4">
      <c r="A24" s="75" t="s">
        <v>200</v>
      </c>
      <c r="B24" s="147">
        <v>78000</v>
      </c>
      <c r="C24" s="148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</row>
    <row r="26" spans="1:9" x14ac:dyDescent="0.4">
      <c r="A26" s="71" t="s">
        <v>126</v>
      </c>
      <c r="B26" s="139">
        <v>50</v>
      </c>
      <c r="C26" s="140"/>
      <c r="E26" s="81" t="s">
        <v>88</v>
      </c>
      <c r="F26" s="77" t="s">
        <v>41</v>
      </c>
      <c r="G26" s="64">
        <v>0</v>
      </c>
      <c r="H26" s="47">
        <f>IF(B$27=0,0,G26/B$27)</f>
        <v>0</v>
      </c>
      <c r="I26" s="117">
        <v>9</v>
      </c>
    </row>
    <row r="27" spans="1:9" x14ac:dyDescent="0.4">
      <c r="A27" s="74" t="s">
        <v>127</v>
      </c>
      <c r="B27" s="153">
        <v>19</v>
      </c>
      <c r="C27" s="154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</row>
    <row r="28" spans="1:9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B37F-F387-4E89-B54E-EE8D0A4A04EB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158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25</v>
      </c>
      <c r="C2" s="140"/>
      <c r="E2" s="80" t="s">
        <v>71</v>
      </c>
      <c r="F2" s="76" t="s">
        <v>25</v>
      </c>
      <c r="G2" s="63">
        <v>46</v>
      </c>
      <c r="H2" s="45">
        <f>IF(B$27=0,0,G2/B$27)</f>
        <v>1.0454545454545454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1">
        <v>196</v>
      </c>
      <c r="C3" s="142"/>
      <c r="E3" s="81" t="s">
        <v>69</v>
      </c>
      <c r="F3" s="77" t="s">
        <v>23</v>
      </c>
      <c r="G3" s="64">
        <v>32</v>
      </c>
      <c r="H3" s="47">
        <f>IF(B$27=0,0,G3/B$27)</f>
        <v>0.72727272727272729</v>
      </c>
      <c r="I3" s="117">
        <v>4</v>
      </c>
      <c r="K3" s="46">
        <v>1</v>
      </c>
      <c r="L3" s="123">
        <v>15</v>
      </c>
      <c r="N3" s="46" t="s">
        <v>148</v>
      </c>
      <c r="O3" s="127">
        <f t="shared" si="0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43">
        <v>-240.00000000000003</v>
      </c>
      <c r="C4" s="144"/>
      <c r="E4" s="81" t="s">
        <v>76</v>
      </c>
      <c r="F4" s="77" t="s">
        <v>29</v>
      </c>
      <c r="G4" s="64">
        <v>32</v>
      </c>
      <c r="H4" s="47">
        <f>IF(B$27=0,0,G4/B$27)</f>
        <v>0.72727272727272729</v>
      </c>
      <c r="I4" s="117">
        <v>1</v>
      </c>
      <c r="K4" s="46">
        <v>2</v>
      </c>
      <c r="L4" s="123">
        <v>-24.299999999999997</v>
      </c>
      <c r="N4" s="46" t="s">
        <v>149</v>
      </c>
      <c r="O4" s="127">
        <f t="shared" si="0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45">
        <f>IF(B$2=0,0,B$4/B$2)</f>
        <v>-9.6000000000000014</v>
      </c>
      <c r="C5" s="146"/>
      <c r="E5" s="81" t="s">
        <v>67</v>
      </c>
      <c r="F5" s="77" t="s">
        <v>21</v>
      </c>
      <c r="G5" s="64">
        <v>13</v>
      </c>
      <c r="H5" s="47">
        <f>IF(B$27=0,0,G5/B$27)</f>
        <v>0.29545454545454547</v>
      </c>
      <c r="I5" s="117">
        <v>12</v>
      </c>
      <c r="K5" s="46">
        <v>3</v>
      </c>
      <c r="L5" s="123">
        <v>-15.599999999999998</v>
      </c>
      <c r="N5" s="46" t="s">
        <v>150</v>
      </c>
      <c r="O5" s="127">
        <f t="shared" si="0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51">
        <f>IF(B$2=0,0,(B$7*1+B$8*2+B$9*3)/B$2)</f>
        <v>2.3199999999999998</v>
      </c>
      <c r="C6" s="152"/>
      <c r="E6" s="81" t="s">
        <v>88</v>
      </c>
      <c r="F6" s="77" t="s">
        <v>41</v>
      </c>
      <c r="G6" s="64">
        <v>9</v>
      </c>
      <c r="H6" s="47">
        <f>IF(B$27=0,0,G6/B$27)</f>
        <v>0.20454545454545456</v>
      </c>
      <c r="I6" s="117">
        <v>1</v>
      </c>
      <c r="K6" s="46">
        <v>4</v>
      </c>
      <c r="L6" s="123">
        <v>5.1000000000000014</v>
      </c>
      <c r="N6" s="46" t="s">
        <v>151</v>
      </c>
      <c r="O6" s="127">
        <f t="shared" si="0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>IF(B$27=0,0,G7/B$27)</f>
        <v>0.18181818181818182</v>
      </c>
      <c r="I7" s="117">
        <v>11</v>
      </c>
      <c r="K7" s="46">
        <v>5</v>
      </c>
      <c r="L7" s="123">
        <v>9.6000000000000014</v>
      </c>
      <c r="N7" s="50" t="s">
        <v>152</v>
      </c>
      <c r="O7" s="128">
        <f t="shared" si="0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>IF(B$2=0,0,B8/B$2)</f>
        <v>0.28000000000000003</v>
      </c>
      <c r="E8" s="81" t="s">
        <v>94</v>
      </c>
      <c r="F8" s="77" t="s">
        <v>47</v>
      </c>
      <c r="G8" s="64">
        <v>8</v>
      </c>
      <c r="H8" s="47">
        <f>IF(B$27=0,0,G8/B$27)</f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0.52</v>
      </c>
      <c r="E9" s="81" t="s">
        <v>74</v>
      </c>
      <c r="F9" s="77" t="s">
        <v>27</v>
      </c>
      <c r="G9" s="64">
        <v>6</v>
      </c>
      <c r="H9" s="47">
        <f>IF(B$27=0,0,G9/B$27)</f>
        <v>0.13636363636363635</v>
      </c>
      <c r="I9" s="117">
        <v>3</v>
      </c>
      <c r="K9" s="46">
        <v>7</v>
      </c>
      <c r="L9" s="123">
        <v>27.200000000000003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>IF(B$27=0,0,G10/B$27)</f>
        <v>0.11363636363636363</v>
      </c>
      <c r="I10" s="117">
        <v>8</v>
      </c>
      <c r="K10" s="46">
        <v>8</v>
      </c>
      <c r="L10" s="123">
        <v>-4.4999999999999964</v>
      </c>
      <c r="N10" s="44" t="s">
        <v>172</v>
      </c>
      <c r="O10" s="124">
        <f>IF(Q10=0,0,P10/Q10)</f>
        <v>13.450000000000001</v>
      </c>
      <c r="P10" s="130">
        <v>26.900000000000002</v>
      </c>
      <c r="Q10" s="57">
        <v>2</v>
      </c>
    </row>
    <row r="11" spans="1:17" x14ac:dyDescent="0.4">
      <c r="A11" s="73" t="s">
        <v>155</v>
      </c>
      <c r="B11" s="65">
        <v>2</v>
      </c>
      <c r="C11" s="48">
        <f>IF(B$2=0,0,B11/B$2)</f>
        <v>0.08</v>
      </c>
      <c r="E11" s="81" t="s">
        <v>70</v>
      </c>
      <c r="F11" s="77" t="s">
        <v>24</v>
      </c>
      <c r="G11" s="64">
        <v>5</v>
      </c>
      <c r="H11" s="47">
        <f>IF(B$27=0,0,G11/B$27)</f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>IF(Q11=0,0,P11/Q11)</f>
        <v>10.366666666666665</v>
      </c>
      <c r="P11" s="131">
        <v>31.099999999999998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91</v>
      </c>
      <c r="F12" s="77" t="s">
        <v>44</v>
      </c>
      <c r="G12" s="64">
        <v>4</v>
      </c>
      <c r="H12" s="47">
        <f>IF(B$27=0,0,G12/B$27)</f>
        <v>9.0909090909090912E-2</v>
      </c>
      <c r="I12" s="117">
        <v>4</v>
      </c>
      <c r="K12" s="46">
        <v>10</v>
      </c>
      <c r="L12" s="123">
        <v>-24.299999999999997</v>
      </c>
      <c r="N12" s="46" t="s">
        <v>139</v>
      </c>
      <c r="O12" s="125">
        <f>IF(Q12=0,0,P12/Q12)</f>
        <v>-10.761111111111111</v>
      </c>
      <c r="P12" s="131">
        <v>-193.7</v>
      </c>
      <c r="Q12" s="55">
        <v>18</v>
      </c>
    </row>
    <row r="13" spans="1:17" x14ac:dyDescent="0.4">
      <c r="A13" s="75" t="s">
        <v>128</v>
      </c>
      <c r="B13" s="67">
        <v>30</v>
      </c>
      <c r="C13" s="54">
        <f>IF(B$26=0,0,B13/B$26)</f>
        <v>0.15306122448979592</v>
      </c>
      <c r="E13" s="81" t="s">
        <v>73</v>
      </c>
      <c r="F13" s="77" t="s">
        <v>26</v>
      </c>
      <c r="G13" s="64">
        <v>2</v>
      </c>
      <c r="H13" s="47">
        <f>IF(B$27=0,0,G13/B$27)</f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>IF(Q13=0,0,P13/Q13)</f>
        <v>-16.583333333333332</v>
      </c>
      <c r="P13" s="131">
        <v>-99.5</v>
      </c>
      <c r="Q13" s="55">
        <v>6</v>
      </c>
    </row>
    <row r="14" spans="1:17" x14ac:dyDescent="0.4">
      <c r="A14" s="72" t="s">
        <v>123</v>
      </c>
      <c r="B14" s="64">
        <v>76</v>
      </c>
      <c r="C14" s="47">
        <f>IF(B$26=0,0,B14/B$26)</f>
        <v>0.38775510204081631</v>
      </c>
      <c r="E14" s="81" t="s">
        <v>75</v>
      </c>
      <c r="F14" s="77" t="s">
        <v>28</v>
      </c>
      <c r="G14" s="64">
        <v>2</v>
      </c>
      <c r="H14" s="47">
        <f>IF(B$27=0,0,G14/B$27)</f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>IF(Q14=0,0,P14/Q14)</f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130</v>
      </c>
      <c r="B15" s="63">
        <v>14</v>
      </c>
      <c r="C15" s="45">
        <f>IF(B$13=0,0,B15/B$13)</f>
        <v>0.46666666666666667</v>
      </c>
      <c r="E15" s="81" t="s">
        <v>83</v>
      </c>
      <c r="F15" s="77" t="s">
        <v>36</v>
      </c>
      <c r="G15" s="64">
        <v>2</v>
      </c>
      <c r="H15" s="47">
        <f>IF(B$27=0,0,G15/B$27)</f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>IF(Q15=0,0,P15/Q15)</f>
        <v>-26.049999999999997</v>
      </c>
      <c r="P15" s="131">
        <v>-52.099999999999994</v>
      </c>
      <c r="Q15" s="55">
        <v>2</v>
      </c>
    </row>
    <row r="16" spans="1:17" x14ac:dyDescent="0.4">
      <c r="A16" s="71" t="s">
        <v>131</v>
      </c>
      <c r="B16" s="63">
        <v>24</v>
      </c>
      <c r="C16" s="45">
        <f>IF(B$14=0,0,B16/B$14)</f>
        <v>0.31578947368421051</v>
      </c>
      <c r="E16" s="81" t="s">
        <v>86</v>
      </c>
      <c r="F16" s="77" t="s">
        <v>39</v>
      </c>
      <c r="G16" s="64">
        <v>2</v>
      </c>
      <c r="H16" s="47">
        <f>IF(B$27=0,0,G16/B$27)</f>
        <v>4.5454545454545456E-2</v>
      </c>
      <c r="I16" s="117">
        <v>3</v>
      </c>
      <c r="K16" s="46">
        <v>14</v>
      </c>
      <c r="L16" s="123">
        <v>-5.7999999999999945</v>
      </c>
    </row>
    <row r="17" spans="1:12" x14ac:dyDescent="0.4">
      <c r="A17" s="71" t="s">
        <v>10</v>
      </c>
      <c r="B17" s="63">
        <f>B19+B18</f>
        <v>44</v>
      </c>
      <c r="C17" s="45">
        <f>IF(B$3=0,0,B17/B$3)</f>
        <v>0.22448979591836735</v>
      </c>
      <c r="E17" s="81" t="s">
        <v>81</v>
      </c>
      <c r="F17" s="77" t="s">
        <v>34</v>
      </c>
      <c r="G17" s="64">
        <v>1</v>
      </c>
      <c r="H17" s="47">
        <f>IF(B$27=0,0,G17/B$27)</f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12</v>
      </c>
      <c r="B18" s="64">
        <v>13</v>
      </c>
      <c r="C18" s="47">
        <f>IF(B$17=0,0,B18/B$17)</f>
        <v>0.29545454545454547</v>
      </c>
      <c r="E18" s="81" t="s">
        <v>82</v>
      </c>
      <c r="F18" s="77" t="s">
        <v>35</v>
      </c>
      <c r="G18" s="64">
        <v>1</v>
      </c>
      <c r="H18" s="47">
        <f>IF(B$27=0,0,G18/B$27)</f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11</v>
      </c>
      <c r="B19" s="64">
        <v>31</v>
      </c>
      <c r="C19" s="47">
        <f>IF(B$17=0,0,B19/B$17)</f>
        <v>0.70454545454545459</v>
      </c>
      <c r="E19" s="81" t="s">
        <v>90</v>
      </c>
      <c r="F19" s="77" t="s">
        <v>43</v>
      </c>
      <c r="G19" s="64">
        <v>1</v>
      </c>
      <c r="H19" s="47">
        <f>IF(B$27=0,0,G19/B$27)</f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13</v>
      </c>
      <c r="B20" s="64">
        <v>34</v>
      </c>
      <c r="C20" s="47">
        <f>IF(B$3=0,0,B20/B$3)</f>
        <v>0.17346938775510204</v>
      </c>
      <c r="E20" s="81" t="s">
        <v>96</v>
      </c>
      <c r="F20" s="77" t="s">
        <v>49</v>
      </c>
      <c r="G20" s="64">
        <v>1</v>
      </c>
      <c r="H20" s="47">
        <f>IF(B$27=0,0,G20/B$27)</f>
        <v>2.2727272727272728E-2</v>
      </c>
      <c r="I20" s="117">
        <v>3</v>
      </c>
      <c r="K20" s="46">
        <v>18</v>
      </c>
      <c r="L20" s="123">
        <v>-60.4</v>
      </c>
    </row>
    <row r="21" spans="1:12" x14ac:dyDescent="0.4">
      <c r="A21" s="72" t="s">
        <v>5</v>
      </c>
      <c r="B21" s="68">
        <f>IF(B$17=0,0,C21/B$17)</f>
        <v>9343.181818181818</v>
      </c>
      <c r="C21" s="49">
        <v>411100</v>
      </c>
      <c r="E21" s="81" t="s">
        <v>77</v>
      </c>
      <c r="F21" s="77" t="s">
        <v>30</v>
      </c>
      <c r="G21" s="64">
        <v>0</v>
      </c>
      <c r="H21" s="47">
        <f>IF(B$27=0,0,G21/B$27)</f>
        <v>0</v>
      </c>
      <c r="I21" s="117">
        <v>5</v>
      </c>
      <c r="K21" s="46">
        <v>19</v>
      </c>
      <c r="L21" s="123">
        <v>-60</v>
      </c>
    </row>
    <row r="22" spans="1:12" x14ac:dyDescent="0.4">
      <c r="A22" s="74" t="s">
        <v>14</v>
      </c>
      <c r="B22" s="69">
        <f>IF(B$20=0,0,C22/B$20)</f>
        <v>-8441.176470588236</v>
      </c>
      <c r="C22" s="62">
        <v>-287000</v>
      </c>
      <c r="E22" s="81" t="s">
        <v>78</v>
      </c>
      <c r="F22" s="77" t="s">
        <v>31</v>
      </c>
      <c r="G22" s="64">
        <v>0</v>
      </c>
      <c r="H22" s="47">
        <f>IF(B$27=0,0,G22/B$27)</f>
        <v>0</v>
      </c>
      <c r="I22" s="117">
        <v>4</v>
      </c>
      <c r="K22" s="46">
        <v>20</v>
      </c>
      <c r="L22" s="123">
        <v>-88.2</v>
      </c>
    </row>
    <row r="23" spans="1:12" x14ac:dyDescent="0.4">
      <c r="A23" s="112" t="s">
        <v>159</v>
      </c>
      <c r="B23" s="149">
        <v>5</v>
      </c>
      <c r="C23" s="150"/>
      <c r="E23" s="81" t="s">
        <v>79</v>
      </c>
      <c r="F23" s="77" t="s">
        <v>32</v>
      </c>
      <c r="G23" s="64">
        <v>0</v>
      </c>
      <c r="H23" s="47">
        <f>IF(B$27=0,0,G23/B$27)</f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5" t="s">
        <v>200</v>
      </c>
      <c r="B24" s="147">
        <v>67700</v>
      </c>
      <c r="C24" s="148"/>
      <c r="E24" s="81" t="s">
        <v>80</v>
      </c>
      <c r="F24" s="77" t="s">
        <v>33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84</v>
      </c>
      <c r="F25" s="77" t="s">
        <v>37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71" t="s">
        <v>126</v>
      </c>
      <c r="B26" s="139">
        <v>196</v>
      </c>
      <c r="C26" s="140"/>
      <c r="E26" s="81" t="s">
        <v>85</v>
      </c>
      <c r="F26" s="77" t="s">
        <v>38</v>
      </c>
      <c r="G26" s="64">
        <v>0</v>
      </c>
      <c r="H26" s="47">
        <f>IF(B$27=0,0,G26/B$27)</f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4" t="s">
        <v>127</v>
      </c>
      <c r="B27" s="153">
        <v>44</v>
      </c>
      <c r="C27" s="154"/>
      <c r="E27" s="81" t="s">
        <v>87</v>
      </c>
      <c r="F27" s="77" t="s">
        <v>40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7C34-58B6-4970-A704-65677AD308A2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158</v>
      </c>
      <c r="B1" s="88" t="s">
        <v>158</v>
      </c>
      <c r="C1" s="88" t="s">
        <v>158</v>
      </c>
      <c r="D1" s="89" t="s">
        <v>158</v>
      </c>
      <c r="E1" s="88" t="s">
        <v>158</v>
      </c>
      <c r="F1" s="88" t="s">
        <v>158</v>
      </c>
      <c r="G1" s="88" t="s">
        <v>158</v>
      </c>
      <c r="H1" s="88" t="s">
        <v>158</v>
      </c>
      <c r="I1" s="88" t="s">
        <v>158</v>
      </c>
      <c r="J1" s="88" t="s">
        <v>158</v>
      </c>
      <c r="K1" s="88" t="s">
        <v>158</v>
      </c>
      <c r="L1" s="88" t="s">
        <v>158</v>
      </c>
      <c r="M1" s="88" t="s">
        <v>158</v>
      </c>
      <c r="N1" s="88" t="s">
        <v>158</v>
      </c>
      <c r="O1" s="88" t="s">
        <v>158</v>
      </c>
      <c r="P1" s="88" t="s">
        <v>158</v>
      </c>
      <c r="Q1" s="88" t="s">
        <v>158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</v>
      </c>
      <c r="N4" s="85">
        <v>0.8571428571428571</v>
      </c>
      <c r="O4" s="85">
        <v>0</v>
      </c>
      <c r="P4" s="85">
        <v>0.33333333333333331</v>
      </c>
      <c r="Q4" s="85">
        <v>0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</v>
      </c>
      <c r="N5" s="85">
        <v>0.5</v>
      </c>
      <c r="O5" s="85">
        <v>0</v>
      </c>
      <c r="P5" s="85">
        <v>0.2857142857142857</v>
      </c>
      <c r="Q5" s="85">
        <v>0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0</v>
      </c>
      <c r="M6" s="85">
        <v>4.1666666666666664E-2</v>
      </c>
      <c r="N6" s="85">
        <v>0.54166666666666663</v>
      </c>
      <c r="O6" s="85">
        <v>0</v>
      </c>
      <c r="P6" s="85">
        <v>0.46153846153846156</v>
      </c>
      <c r="Q6" s="85">
        <v>0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0</v>
      </c>
      <c r="M7" s="85">
        <v>6.8965517241379309E-2</v>
      </c>
      <c r="N7" s="85">
        <v>0.51724137931034486</v>
      </c>
      <c r="O7" s="85">
        <v>0.5</v>
      </c>
      <c r="P7" s="85">
        <v>0.46666666666666667</v>
      </c>
      <c r="Q7" s="85">
        <v>0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0</v>
      </c>
      <c r="M8" s="85">
        <v>6.0606060606060608E-2</v>
      </c>
      <c r="N8" s="85">
        <v>0.48484848484848486</v>
      </c>
      <c r="O8" s="85">
        <v>0.5</v>
      </c>
      <c r="P8" s="85">
        <v>0.5</v>
      </c>
      <c r="Q8" s="85">
        <v>0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0</v>
      </c>
      <c r="M9" s="85">
        <v>6.9767441860465115E-2</v>
      </c>
      <c r="N9" s="85">
        <v>0.48837209302325579</v>
      </c>
      <c r="O9" s="85">
        <v>0.33333333333333331</v>
      </c>
      <c r="P9" s="85">
        <v>0.38095238095238093</v>
      </c>
      <c r="Q9" s="85">
        <v>0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0</v>
      </c>
      <c r="M10" s="85">
        <v>6.25E-2</v>
      </c>
      <c r="N10" s="85">
        <v>0.47916666666666669</v>
      </c>
      <c r="O10" s="85">
        <v>0.33333333333333331</v>
      </c>
      <c r="P10" s="85">
        <v>0.43478260869565216</v>
      </c>
      <c r="Q10" s="85">
        <v>9.0909090909090912E-2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0</v>
      </c>
      <c r="M11" s="85">
        <v>7.0175438596491224E-2</v>
      </c>
      <c r="N11" s="85">
        <v>0.43859649122807015</v>
      </c>
      <c r="O11" s="85">
        <v>0.25</v>
      </c>
      <c r="P11" s="85">
        <v>0.4</v>
      </c>
      <c r="Q11" s="85">
        <v>8.3333333333333329E-2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0</v>
      </c>
      <c r="M12" s="85">
        <v>7.575757575757576E-2</v>
      </c>
      <c r="N12" s="85">
        <v>0.46969696969696972</v>
      </c>
      <c r="O12" s="85">
        <v>0.4</v>
      </c>
      <c r="P12" s="85">
        <v>0.38709677419354838</v>
      </c>
      <c r="Q12" s="85">
        <v>6.6666666666666666E-2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</v>
      </c>
      <c r="M13" s="85">
        <v>0.10256410256410256</v>
      </c>
      <c r="N13" s="85">
        <v>0.47435897435897434</v>
      </c>
      <c r="O13" s="85">
        <v>0.5</v>
      </c>
      <c r="P13" s="85">
        <v>0.32432432432432434</v>
      </c>
      <c r="Q13" s="85">
        <v>0.16666666666666666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0</v>
      </c>
      <c r="M14" s="85">
        <v>9.4117647058823528E-2</v>
      </c>
      <c r="N14" s="85">
        <v>0.47058823529411764</v>
      </c>
      <c r="O14" s="85">
        <v>0.5</v>
      </c>
      <c r="P14" s="85">
        <v>0.3</v>
      </c>
      <c r="Q14" s="85">
        <v>0.16666666666666666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</v>
      </c>
      <c r="M15" s="85">
        <v>0.11702127659574468</v>
      </c>
      <c r="N15" s="85">
        <v>0.43617021276595747</v>
      </c>
      <c r="O15" s="85">
        <v>0.54545454545454541</v>
      </c>
      <c r="P15" s="85">
        <v>0.31707317073170732</v>
      </c>
      <c r="Q15" s="85">
        <v>0.18181818181818182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</v>
      </c>
      <c r="M16" s="85">
        <v>0.16190476190476191</v>
      </c>
      <c r="N16" s="85">
        <v>0.40952380952380951</v>
      </c>
      <c r="O16" s="85">
        <v>0.58823529411764708</v>
      </c>
      <c r="P16" s="85">
        <v>0.32558139534883723</v>
      </c>
      <c r="Q16" s="85">
        <v>0.22222222222222221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</v>
      </c>
      <c r="M17" s="85">
        <v>0.17543859649122806</v>
      </c>
      <c r="N17" s="85">
        <v>0.41228070175438597</v>
      </c>
      <c r="O17" s="85">
        <v>0.6</v>
      </c>
      <c r="P17" s="85">
        <v>0.2978723404255319</v>
      </c>
      <c r="Q17" s="85">
        <v>0.2413793103448276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</v>
      </c>
      <c r="M18" s="85">
        <v>0.1864406779661017</v>
      </c>
      <c r="N18" s="85">
        <v>0.39830508474576271</v>
      </c>
      <c r="O18" s="85">
        <v>0.54545454545454541</v>
      </c>
      <c r="P18" s="85">
        <v>0.2978723404255319</v>
      </c>
      <c r="Q18" s="85">
        <v>0.2413793103448276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</v>
      </c>
      <c r="M19" s="85">
        <v>0.2</v>
      </c>
      <c r="N19" s="85">
        <v>0.39200000000000002</v>
      </c>
      <c r="O19" s="85">
        <v>0.56000000000000005</v>
      </c>
      <c r="P19" s="85">
        <v>0.30612244897959184</v>
      </c>
      <c r="Q19" s="85">
        <v>0.24242424242424243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</v>
      </c>
      <c r="M20" s="85">
        <v>0.19402985074626866</v>
      </c>
      <c r="N20" s="85">
        <v>0.38059701492537312</v>
      </c>
      <c r="O20" s="85">
        <v>0.53846153846153844</v>
      </c>
      <c r="P20" s="85">
        <v>0.33333333333333331</v>
      </c>
      <c r="Q20" s="85">
        <v>0.25714285714285712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</v>
      </c>
      <c r="M21" s="85">
        <v>0.18181818181818182</v>
      </c>
      <c r="N21" s="85">
        <v>0.3776223776223776</v>
      </c>
      <c r="O21" s="85">
        <v>0.53846153846153844</v>
      </c>
      <c r="P21" s="85">
        <v>0.33333333333333331</v>
      </c>
      <c r="Q21" s="85">
        <v>0.29729729729729731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</v>
      </c>
      <c r="M22" s="85">
        <v>0.17880794701986755</v>
      </c>
      <c r="N22" s="85">
        <v>0.38410596026490068</v>
      </c>
      <c r="O22" s="85">
        <v>0.51851851851851849</v>
      </c>
      <c r="P22" s="85">
        <v>0.36206896551724138</v>
      </c>
      <c r="Q22" s="85">
        <v>0.27500000000000002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</v>
      </c>
      <c r="M23" s="85">
        <v>0.16666666666666666</v>
      </c>
      <c r="N23" s="85">
        <v>0.3888888888888889</v>
      </c>
      <c r="O23" s="85">
        <v>0.51851851851851849</v>
      </c>
      <c r="P23" s="85">
        <v>0.33333333333333331</v>
      </c>
      <c r="Q23" s="85">
        <v>0.29268292682926828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</v>
      </c>
      <c r="M24" s="85">
        <v>0.15976331360946747</v>
      </c>
      <c r="N24" s="85">
        <v>0.38461538461538464</v>
      </c>
      <c r="O24" s="85">
        <v>0.51851851851851849</v>
      </c>
      <c r="P24" s="85">
        <v>0.32307692307692309</v>
      </c>
      <c r="Q24" s="85">
        <v>0.29268292682926828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</v>
      </c>
      <c r="M25" s="85">
        <v>0.15819209039548024</v>
      </c>
      <c r="N25" s="85">
        <v>0.38983050847457629</v>
      </c>
      <c r="O25" s="85">
        <v>0.5</v>
      </c>
      <c r="P25" s="85">
        <v>0.3188405797101449</v>
      </c>
      <c r="Q25" s="85">
        <v>0.2857142857142857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</v>
      </c>
      <c r="M26" s="85">
        <v>0.15135135135135136</v>
      </c>
      <c r="N26" s="85">
        <v>0.38918918918918921</v>
      </c>
      <c r="O26" s="85">
        <v>0.5</v>
      </c>
      <c r="P26" s="85">
        <v>0.31944444444444442</v>
      </c>
      <c r="Q26" s="85">
        <v>0.27906976744186046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</v>
      </c>
      <c r="M27" s="85">
        <v>0.15183246073298429</v>
      </c>
      <c r="N27" s="85">
        <v>0.39267015706806285</v>
      </c>
      <c r="O27" s="85">
        <v>0.48275862068965519</v>
      </c>
      <c r="P27" s="85">
        <v>0.32</v>
      </c>
      <c r="Q27" s="85">
        <v>0.29545454545454547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</v>
      </c>
      <c r="M28" s="85">
        <v>0.15306122448979592</v>
      </c>
      <c r="N28" s="85">
        <v>0.38775510204081631</v>
      </c>
      <c r="O28" s="85">
        <v>0.46666666666666667</v>
      </c>
      <c r="P28" s="85">
        <v>0.31578947368421051</v>
      </c>
      <c r="Q28" s="85">
        <v>0.29545454545454547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D4D3-FAD1-4973-B43E-CAC063D01AFC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195</v>
      </c>
      <c r="B1" s="88" t="s">
        <v>195</v>
      </c>
      <c r="C1" s="88" t="s">
        <v>195</v>
      </c>
      <c r="D1" s="89" t="s">
        <v>195</v>
      </c>
      <c r="E1" s="88" t="s">
        <v>195</v>
      </c>
      <c r="F1" s="88" t="s">
        <v>195</v>
      </c>
      <c r="G1" s="88" t="s">
        <v>195</v>
      </c>
      <c r="H1" s="88" t="s">
        <v>195</v>
      </c>
      <c r="I1" s="88" t="s">
        <v>195</v>
      </c>
      <c r="J1" s="88" t="s">
        <v>195</v>
      </c>
      <c r="K1" s="88" t="s">
        <v>195</v>
      </c>
      <c r="L1" s="88" t="s">
        <v>195</v>
      </c>
      <c r="M1" s="88" t="s">
        <v>195</v>
      </c>
      <c r="N1" s="88" t="s">
        <v>195</v>
      </c>
      <c r="O1" s="88" t="s">
        <v>195</v>
      </c>
      <c r="P1" s="88" t="s">
        <v>195</v>
      </c>
      <c r="Q1" s="88" t="s">
        <v>195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</v>
      </c>
      <c r="M4" s="85">
        <v>0.45454545454545453</v>
      </c>
      <c r="N4" s="85">
        <v>0.18181818181818182</v>
      </c>
      <c r="O4" s="85">
        <v>0.8</v>
      </c>
      <c r="P4" s="85">
        <v>0.5</v>
      </c>
      <c r="Q4" s="85">
        <v>0.16666666666666666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</v>
      </c>
      <c r="M5" s="85">
        <v>0.5714285714285714</v>
      </c>
      <c r="N5" s="85">
        <v>0.14285714285714285</v>
      </c>
      <c r="O5" s="85">
        <v>0.75</v>
      </c>
      <c r="P5" s="85">
        <v>0.5</v>
      </c>
      <c r="Q5" s="85">
        <v>0.125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</v>
      </c>
      <c r="M6" s="85">
        <v>0.48148148148148145</v>
      </c>
      <c r="N6" s="85">
        <v>0.14814814814814814</v>
      </c>
      <c r="O6" s="85">
        <v>0.69230769230769229</v>
      </c>
      <c r="P6" s="85">
        <v>0.25</v>
      </c>
      <c r="Q6" s="85">
        <v>0.18181818181818182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</v>
      </c>
      <c r="M7" s="85">
        <v>0.43243243243243246</v>
      </c>
      <c r="N7" s="85">
        <v>0.13513513513513514</v>
      </c>
      <c r="O7" s="85">
        <v>0.6875</v>
      </c>
      <c r="P7" s="85">
        <v>0.4</v>
      </c>
      <c r="Q7" s="85">
        <v>0.26666666666666666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</v>
      </c>
      <c r="M8" s="85">
        <v>0.43478260869565216</v>
      </c>
      <c r="N8" s="85">
        <v>0.13043478260869565</v>
      </c>
      <c r="O8" s="85">
        <v>0.6</v>
      </c>
      <c r="P8" s="85">
        <v>0.5</v>
      </c>
      <c r="Q8" s="85">
        <v>0.27777777777777779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</v>
      </c>
      <c r="M9" s="85">
        <v>0.42</v>
      </c>
      <c r="N9" s="85">
        <v>0.12</v>
      </c>
      <c r="O9" s="85">
        <v>0.61904761904761907</v>
      </c>
      <c r="P9" s="85">
        <v>0.5</v>
      </c>
      <c r="Q9" s="85">
        <v>0.31578947368421051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AD3F-C704-4559-94DC-A9983444D845}">
  <sheetPr codeName="Sheet26"/>
  <dimension ref="A1:Q9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L4" s="85">
        <v>0</v>
      </c>
      <c r="Q4" s="85">
        <v>0.4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L6" s="85">
        <v>0</v>
      </c>
      <c r="Q6" s="85">
        <v>0.42857142857142855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L7" s="85">
        <v>0</v>
      </c>
      <c r="Q7" s="85">
        <v>0.5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L8" s="85">
        <v>0</v>
      </c>
      <c r="Q8" s="85">
        <v>0.5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L9" s="85">
        <v>0</v>
      </c>
      <c r="Q9" s="85">
        <v>0.5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L10" s="85">
        <v>0</v>
      </c>
      <c r="Q10" s="85">
        <v>0.5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</v>
      </c>
      <c r="M11" s="85">
        <v>0.42857142857142855</v>
      </c>
      <c r="N11" s="85">
        <v>0.14285714285714285</v>
      </c>
      <c r="O11" s="85">
        <v>0.33333333333333331</v>
      </c>
      <c r="P11" s="85">
        <v>0</v>
      </c>
      <c r="Q11" s="85">
        <v>0.5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</v>
      </c>
      <c r="M12" s="85">
        <v>0.33333333333333331</v>
      </c>
      <c r="N12" s="85">
        <v>0.13333333333333333</v>
      </c>
      <c r="O12" s="85">
        <v>0.6</v>
      </c>
      <c r="P12" s="85">
        <v>0.5</v>
      </c>
      <c r="Q12" s="85">
        <v>0.53333333333333333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</v>
      </c>
      <c r="M13" s="85">
        <v>0.2608695652173913</v>
      </c>
      <c r="N13" s="85">
        <v>0.21739130434782608</v>
      </c>
      <c r="O13" s="85">
        <v>0.5</v>
      </c>
      <c r="P13" s="85">
        <v>0.2</v>
      </c>
      <c r="Q13" s="85">
        <v>0.53333333333333333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</v>
      </c>
      <c r="M14" s="85">
        <v>0.25806451612903225</v>
      </c>
      <c r="N14" s="85">
        <v>0.22580645161290322</v>
      </c>
      <c r="O14" s="85">
        <v>0.5</v>
      </c>
      <c r="P14" s="85">
        <v>0.14285714285714285</v>
      </c>
      <c r="Q14" s="85">
        <v>0.58823529411764708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</v>
      </c>
      <c r="M15" s="85">
        <v>0.27906976744186046</v>
      </c>
      <c r="N15" s="85">
        <v>0.20930232558139536</v>
      </c>
      <c r="O15" s="85">
        <v>0.41666666666666669</v>
      </c>
      <c r="P15" s="85">
        <v>0.1111111111111111</v>
      </c>
      <c r="Q15" s="85">
        <v>0.61111111111111116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</v>
      </c>
      <c r="M16" s="85">
        <v>0.2857142857142857</v>
      </c>
      <c r="N16" s="85">
        <v>0.19642857142857142</v>
      </c>
      <c r="O16" s="85">
        <v>0.375</v>
      </c>
      <c r="P16" s="85">
        <v>0.18181818181818182</v>
      </c>
      <c r="Q16" s="85">
        <v>0.5714285714285714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</v>
      </c>
      <c r="M17" s="85">
        <v>0.27868852459016391</v>
      </c>
      <c r="N17" s="85">
        <v>0.21311475409836064</v>
      </c>
      <c r="O17" s="85">
        <v>0.41176470588235292</v>
      </c>
      <c r="P17" s="85">
        <v>0.15384615384615385</v>
      </c>
      <c r="Q17" s="85">
        <v>0.59090909090909094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</v>
      </c>
      <c r="M18" s="85">
        <v>0.28985507246376813</v>
      </c>
      <c r="N18" s="85">
        <v>0.21739130434782608</v>
      </c>
      <c r="O18" s="85">
        <v>0.5</v>
      </c>
      <c r="P18" s="85">
        <v>0.13333333333333333</v>
      </c>
      <c r="Q18" s="85">
        <v>0.6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</v>
      </c>
      <c r="M19" s="85">
        <v>0.27272727272727271</v>
      </c>
      <c r="N19" s="85">
        <v>0.20779220779220781</v>
      </c>
      <c r="O19" s="85">
        <v>0.52380952380952384</v>
      </c>
      <c r="P19" s="85">
        <v>0.125</v>
      </c>
      <c r="Q19" s="85">
        <v>0.57692307692307687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</v>
      </c>
      <c r="M20" s="85">
        <v>0.25609756097560976</v>
      </c>
      <c r="N20" s="85">
        <v>0.21951219512195122</v>
      </c>
      <c r="O20" s="85">
        <v>0.52380952380952384</v>
      </c>
      <c r="P20" s="85">
        <v>0.1111111111111111</v>
      </c>
      <c r="Q20" s="85">
        <v>0.59259259259259256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</v>
      </c>
      <c r="M21" s="85">
        <v>0.23958333333333334</v>
      </c>
      <c r="N21" s="85">
        <v>0.21875</v>
      </c>
      <c r="O21" s="85">
        <v>0.52173913043478259</v>
      </c>
      <c r="P21" s="85">
        <v>0.14285714285714285</v>
      </c>
      <c r="Q21" s="85">
        <v>0.58620689655172409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</v>
      </c>
      <c r="M22" s="85">
        <v>0.24038461538461539</v>
      </c>
      <c r="N22" s="85">
        <v>0.22115384615384615</v>
      </c>
      <c r="O22" s="85">
        <v>0.56000000000000005</v>
      </c>
      <c r="P22" s="85">
        <v>0.21739130434782608</v>
      </c>
      <c r="Q22" s="85">
        <v>0.5757575757575758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</v>
      </c>
      <c r="M23" s="85">
        <v>0.22413793103448276</v>
      </c>
      <c r="N23" s="85">
        <v>0.23275862068965517</v>
      </c>
      <c r="O23" s="85">
        <v>0.53846153846153844</v>
      </c>
      <c r="P23" s="85">
        <v>0.29629629629629628</v>
      </c>
      <c r="Q23" s="85">
        <v>0.56756756756756754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</v>
      </c>
      <c r="M24" s="85">
        <v>0.22764227642276422</v>
      </c>
      <c r="N24" s="85">
        <v>0.22764227642276422</v>
      </c>
      <c r="O24" s="85">
        <v>0.5714285714285714</v>
      </c>
      <c r="P24" s="85">
        <v>0.32142857142857145</v>
      </c>
      <c r="Q24" s="85">
        <v>0.52500000000000002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4.5454545454545456E-2</v>
      </c>
      <c r="M25" s="85">
        <v>0.22727272727272727</v>
      </c>
      <c r="N25" s="85">
        <v>0.23484848484848486</v>
      </c>
      <c r="O25" s="85">
        <v>0.6</v>
      </c>
      <c r="P25" s="85">
        <v>0.35483870967741937</v>
      </c>
      <c r="Q25" s="85">
        <v>0.53333333333333333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4.3478260869565216E-2</v>
      </c>
      <c r="M26" s="85">
        <v>0.23571428571428571</v>
      </c>
      <c r="N26" s="85">
        <v>0.24285714285714285</v>
      </c>
      <c r="O26" s="85">
        <v>0.5757575757575758</v>
      </c>
      <c r="P26" s="85">
        <v>0.35294117647058826</v>
      </c>
      <c r="Q26" s="85">
        <v>0.53191489361702127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8.3333333333333329E-2</v>
      </c>
      <c r="M27" s="85">
        <v>0.25827814569536423</v>
      </c>
      <c r="N27" s="85">
        <v>0.2251655629139073</v>
      </c>
      <c r="O27" s="85">
        <v>0.61538461538461542</v>
      </c>
      <c r="P27" s="85">
        <v>0.35294117647058826</v>
      </c>
      <c r="Q27" s="85">
        <v>0.51923076923076927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0.08</v>
      </c>
      <c r="M28" s="85">
        <v>0.24223602484472051</v>
      </c>
      <c r="N28" s="85">
        <v>0.22981366459627328</v>
      </c>
      <c r="O28" s="85">
        <v>0.61538461538461542</v>
      </c>
      <c r="P28" s="85">
        <v>0.3783783783783784</v>
      </c>
      <c r="Q28" s="85">
        <v>0.5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7.6923076923076927E-2</v>
      </c>
      <c r="M29" s="85">
        <v>0.23809523809523808</v>
      </c>
      <c r="N29" s="85">
        <v>0.23214285714285715</v>
      </c>
      <c r="O29" s="85">
        <v>0.625</v>
      </c>
      <c r="P29" s="85">
        <v>0.35897435897435898</v>
      </c>
      <c r="Q29" s="85">
        <v>0.49090909090909091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7.407407407407407E-2</v>
      </c>
      <c r="M30" s="85">
        <v>0.23976608187134502</v>
      </c>
      <c r="N30" s="85">
        <v>0.22807017543859648</v>
      </c>
      <c r="O30" s="85">
        <v>0.6097560975609756</v>
      </c>
      <c r="P30" s="85">
        <v>0.35897435897435898</v>
      </c>
      <c r="Q30" s="85">
        <v>0.49090909090909091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0.10714285714285714</v>
      </c>
      <c r="M31" s="85">
        <v>0.25139664804469275</v>
      </c>
      <c r="N31" s="85">
        <v>0.24022346368715083</v>
      </c>
      <c r="O31" s="85">
        <v>0.6</v>
      </c>
      <c r="P31" s="85">
        <v>0.34883720930232559</v>
      </c>
      <c r="Q31" s="85">
        <v>0.48275862068965519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0.10344827586206896</v>
      </c>
      <c r="M32" s="85">
        <v>0.26486486486486488</v>
      </c>
      <c r="N32" s="85">
        <v>0.23243243243243245</v>
      </c>
      <c r="O32" s="85">
        <v>0.63265306122448983</v>
      </c>
      <c r="P32" s="85">
        <v>0.34883720930232559</v>
      </c>
      <c r="Q32" s="85">
        <v>0.5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0.1</v>
      </c>
      <c r="M33" s="85">
        <v>0.26178010471204188</v>
      </c>
      <c r="N33" s="85">
        <v>0.22513089005235601</v>
      </c>
      <c r="O33" s="85">
        <v>0.62</v>
      </c>
      <c r="P33" s="85">
        <v>0.34883720930232559</v>
      </c>
      <c r="Q33" s="85">
        <v>0.5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9.6774193548387094E-2</v>
      </c>
      <c r="M34" s="85">
        <v>0.25742574257425743</v>
      </c>
      <c r="N34" s="85">
        <v>0.21782178217821782</v>
      </c>
      <c r="O34" s="85">
        <v>0.63461538461538458</v>
      </c>
      <c r="P34" s="85">
        <v>0.36363636363636365</v>
      </c>
      <c r="Q34" s="85">
        <v>0.49230769230769234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9.375E-2</v>
      </c>
      <c r="M35" s="85">
        <v>0.25490196078431371</v>
      </c>
      <c r="N35" s="85">
        <v>0.21568627450980393</v>
      </c>
      <c r="O35" s="85">
        <v>0.63461538461538458</v>
      </c>
      <c r="P35" s="85">
        <v>0.36363636363636365</v>
      </c>
      <c r="Q35" s="85">
        <v>0.49230769230769234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9.0909090909090912E-2</v>
      </c>
      <c r="M36" s="85">
        <v>0.25592417061611372</v>
      </c>
      <c r="N36" s="85">
        <v>0.2132701421800948</v>
      </c>
      <c r="O36" s="85">
        <v>0.62962962962962965</v>
      </c>
      <c r="P36" s="85">
        <v>0.35555555555555557</v>
      </c>
      <c r="Q36" s="85">
        <v>0.5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8.8235294117647065E-2</v>
      </c>
      <c r="M37" s="85">
        <v>0.26363636363636361</v>
      </c>
      <c r="N37" s="85">
        <v>0.20909090909090908</v>
      </c>
      <c r="O37" s="85">
        <v>0.60344827586206895</v>
      </c>
      <c r="P37" s="85">
        <v>0.34782608695652173</v>
      </c>
      <c r="Q37" s="85">
        <v>0.48529411764705882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8.5714285714285715E-2</v>
      </c>
      <c r="M38" s="85">
        <v>0.26106194690265488</v>
      </c>
      <c r="N38" s="85">
        <v>0.21238938053097345</v>
      </c>
      <c r="O38" s="85">
        <v>0.61016949152542377</v>
      </c>
      <c r="P38" s="85">
        <v>0.33333333333333331</v>
      </c>
      <c r="Q38" s="85">
        <v>0.47826086956521741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0.1111111111111111</v>
      </c>
      <c r="M39" s="85">
        <v>0.25847457627118642</v>
      </c>
      <c r="N39" s="85">
        <v>0.22033898305084745</v>
      </c>
      <c r="O39" s="85">
        <v>0.5901639344262295</v>
      </c>
      <c r="P39" s="85">
        <v>0.34615384615384615</v>
      </c>
      <c r="Q39" s="85">
        <v>0.47222222222222221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0.10810810810810811</v>
      </c>
      <c r="M40" s="85">
        <v>0.26141078838174275</v>
      </c>
      <c r="N40" s="85">
        <v>0.21576763485477179</v>
      </c>
      <c r="O40" s="85">
        <v>0.5714285714285714</v>
      </c>
      <c r="P40" s="85">
        <v>0.34615384615384615</v>
      </c>
      <c r="Q40" s="85">
        <v>0.47222222222222221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0.10526315789473684</v>
      </c>
      <c r="M41" s="85">
        <v>0.26400000000000001</v>
      </c>
      <c r="N41" s="85">
        <v>0.20799999999999999</v>
      </c>
      <c r="O41" s="85">
        <v>0.59090909090909094</v>
      </c>
      <c r="P41" s="85">
        <v>0.34615384615384615</v>
      </c>
      <c r="Q41" s="85">
        <v>0.48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0.12820512820512819</v>
      </c>
      <c r="M42" s="85">
        <v>0.2734375</v>
      </c>
      <c r="N42" s="85">
        <v>0.20703125</v>
      </c>
      <c r="O42" s="85">
        <v>0.6</v>
      </c>
      <c r="P42" s="85">
        <v>0.33962264150943394</v>
      </c>
      <c r="Q42" s="85">
        <v>0.46153846153846156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0.125</v>
      </c>
      <c r="M43" s="85">
        <v>0.27547169811320754</v>
      </c>
      <c r="N43" s="85">
        <v>0.21509433962264152</v>
      </c>
      <c r="O43" s="85">
        <v>0.60273972602739723</v>
      </c>
      <c r="P43" s="85">
        <v>0.33333333333333331</v>
      </c>
      <c r="Q43" s="85">
        <v>0.46913580246913578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0.12195121951219512</v>
      </c>
      <c r="M44" s="85">
        <v>0.27407407407407408</v>
      </c>
      <c r="N44" s="85">
        <v>0.21481481481481482</v>
      </c>
      <c r="O44" s="85">
        <v>0.60810810810810811</v>
      </c>
      <c r="P44" s="85">
        <v>0.32758620689655171</v>
      </c>
      <c r="Q44" s="85">
        <v>0.46987951807228917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0.11904761904761904</v>
      </c>
      <c r="M45" s="85">
        <v>0.27272727272727271</v>
      </c>
      <c r="N45" s="85">
        <v>0.21454545454545454</v>
      </c>
      <c r="O45" s="85">
        <v>0.61333333333333329</v>
      </c>
      <c r="P45" s="85">
        <v>0.32203389830508472</v>
      </c>
      <c r="Q45" s="85">
        <v>0.47619047619047616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0.11627906976744186</v>
      </c>
      <c r="M46" s="85">
        <v>0.27598566308243727</v>
      </c>
      <c r="N46" s="85">
        <v>0.21863799283154123</v>
      </c>
      <c r="O46" s="85">
        <v>0.62337662337662336</v>
      </c>
      <c r="P46" s="85">
        <v>0.34426229508196721</v>
      </c>
      <c r="Q46" s="85">
        <v>0.47727272727272729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0.11363636363636363</v>
      </c>
      <c r="M47" s="85">
        <v>0.28027681660899656</v>
      </c>
      <c r="N47" s="85">
        <v>0.22491349480968859</v>
      </c>
      <c r="O47" s="85">
        <v>0.62962962962962965</v>
      </c>
      <c r="P47" s="85">
        <v>0.36923076923076925</v>
      </c>
      <c r="Q47" s="85">
        <v>0.45744680851063829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0.1111111111111111</v>
      </c>
      <c r="M48" s="85">
        <v>0.28000000000000003</v>
      </c>
      <c r="N48" s="85">
        <v>0.22666666666666666</v>
      </c>
      <c r="O48" s="85">
        <v>0.6428571428571429</v>
      </c>
      <c r="P48" s="85">
        <v>0.38235294117647056</v>
      </c>
      <c r="Q48" s="85">
        <v>0.45454545454545453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0.10869565217391304</v>
      </c>
      <c r="M49" s="85">
        <v>0.28155339805825241</v>
      </c>
      <c r="N49" s="85">
        <v>0.22653721682847897</v>
      </c>
      <c r="O49" s="85">
        <v>0.62068965517241381</v>
      </c>
      <c r="P49" s="85">
        <v>0.38571428571428573</v>
      </c>
      <c r="Q49" s="85">
        <v>0.46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0.10638297872340426</v>
      </c>
      <c r="M50" s="85">
        <v>0.29153605015673983</v>
      </c>
      <c r="N50" s="85">
        <v>0.21943573667711599</v>
      </c>
      <c r="O50" s="85">
        <v>0.60215053763440862</v>
      </c>
      <c r="P50" s="85">
        <v>0.38571428571428573</v>
      </c>
      <c r="Q50" s="85">
        <v>0.44660194174757284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0.10416666666666667</v>
      </c>
      <c r="M51" s="85">
        <v>0.29357798165137616</v>
      </c>
      <c r="N51" s="85">
        <v>0.22018348623853212</v>
      </c>
      <c r="O51" s="85">
        <v>0.59375</v>
      </c>
      <c r="P51" s="85">
        <v>0.3888888888888889</v>
      </c>
      <c r="Q51" s="85">
        <v>0.44761904761904764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0.10204081632653061</v>
      </c>
      <c r="M52" s="85">
        <v>0.29850746268656714</v>
      </c>
      <c r="N52" s="85">
        <v>0.22089552238805971</v>
      </c>
      <c r="O52" s="85">
        <v>0.57999999999999996</v>
      </c>
      <c r="P52" s="85">
        <v>0.39189189189189189</v>
      </c>
      <c r="Q52" s="85">
        <v>0.46296296296296297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0.1</v>
      </c>
      <c r="M53" s="85">
        <v>0.29705882352941176</v>
      </c>
      <c r="N53" s="85">
        <v>0.22058823529411764</v>
      </c>
      <c r="O53" s="85">
        <v>0.57425742574257421</v>
      </c>
      <c r="P53" s="85">
        <v>0.38666666666666666</v>
      </c>
      <c r="Q53" s="85">
        <v>0.46296296296296297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9.8039215686274508E-2</v>
      </c>
      <c r="M54" s="85">
        <v>0.29682997118155618</v>
      </c>
      <c r="N54" s="85">
        <v>0.21902017291066284</v>
      </c>
      <c r="O54" s="85">
        <v>0.58252427184466016</v>
      </c>
      <c r="P54" s="85">
        <v>0.39473684210526316</v>
      </c>
      <c r="Q54" s="85">
        <v>0.45945945945945948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9.6153846153846159E-2</v>
      </c>
      <c r="M55" s="85">
        <v>0.29775280898876405</v>
      </c>
      <c r="N55" s="85">
        <v>0.21629213483146068</v>
      </c>
      <c r="O55" s="85">
        <v>0.58490566037735847</v>
      </c>
      <c r="P55" s="85">
        <v>0.38961038961038963</v>
      </c>
      <c r="Q55" s="85">
        <v>0.45132743362831856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9.4339622641509441E-2</v>
      </c>
      <c r="M56" s="85">
        <v>0.29863013698630136</v>
      </c>
      <c r="N56" s="85">
        <v>0.21369863013698631</v>
      </c>
      <c r="O56" s="85">
        <v>0.59633027522935778</v>
      </c>
      <c r="P56" s="85">
        <v>0.39743589743589741</v>
      </c>
      <c r="Q56" s="85">
        <v>0.46153846153846156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9.2592592592592587E-2</v>
      </c>
      <c r="M57" s="85">
        <v>0.30213903743315507</v>
      </c>
      <c r="N57" s="85">
        <v>0.21390374331550802</v>
      </c>
      <c r="O57" s="85">
        <v>0.59292035398230092</v>
      </c>
      <c r="P57" s="85">
        <v>0.38750000000000001</v>
      </c>
      <c r="Q57" s="85">
        <v>0.46218487394957986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9.0909090909090912E-2</v>
      </c>
      <c r="M58" s="85">
        <v>0.29792746113989638</v>
      </c>
      <c r="N58" s="85">
        <v>0.21502590673575128</v>
      </c>
      <c r="O58" s="85">
        <v>0.59130434782608698</v>
      </c>
      <c r="P58" s="85">
        <v>0.38554216867469882</v>
      </c>
      <c r="Q58" s="85">
        <v>0.47107438016528924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8.9285714285714288E-2</v>
      </c>
      <c r="M59" s="85">
        <v>0.2951653944020356</v>
      </c>
      <c r="N59" s="85">
        <v>0.21882951653944022</v>
      </c>
      <c r="O59" s="85">
        <v>0.59482758620689657</v>
      </c>
      <c r="P59" s="85">
        <v>0.39534883720930231</v>
      </c>
      <c r="Q59" s="85">
        <v>0.46774193548387094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8.771929824561403E-2</v>
      </c>
      <c r="M60" s="85">
        <v>0.29104477611940299</v>
      </c>
      <c r="N60" s="85">
        <v>0.22139303482587064</v>
      </c>
      <c r="O60" s="85">
        <v>0.58974358974358976</v>
      </c>
      <c r="P60" s="85">
        <v>0.39325842696629215</v>
      </c>
      <c r="Q60" s="85">
        <v>0.47199999999999998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8.6206896551724144E-2</v>
      </c>
      <c r="M61" s="85">
        <v>0.29055690072639223</v>
      </c>
      <c r="N61" s="85">
        <v>0.21791767554479419</v>
      </c>
      <c r="O61" s="85">
        <v>0.58333333333333337</v>
      </c>
      <c r="P61" s="85">
        <v>0.3888888888888889</v>
      </c>
      <c r="Q61" s="85">
        <v>0.46825396825396826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8.4745762711864403E-2</v>
      </c>
      <c r="M62" s="85">
        <v>0.29146919431279622</v>
      </c>
      <c r="N62" s="85">
        <v>0.21800947867298578</v>
      </c>
      <c r="O62" s="85">
        <v>0.5934959349593496</v>
      </c>
      <c r="P62" s="85">
        <v>0.38043478260869568</v>
      </c>
      <c r="Q62" s="85">
        <v>0.47286821705426357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8.3333333333333329E-2</v>
      </c>
      <c r="M63" s="85">
        <v>0.29534883720930233</v>
      </c>
      <c r="N63" s="85">
        <v>0.21860465116279071</v>
      </c>
      <c r="O63" s="85">
        <v>0.59055118110236215</v>
      </c>
      <c r="P63" s="85">
        <v>0.38297872340425532</v>
      </c>
      <c r="Q63" s="85">
        <v>0.4621212121212121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8.1967213114754092E-2</v>
      </c>
      <c r="M64" s="85">
        <v>0.29680365296803651</v>
      </c>
      <c r="N64" s="85">
        <v>0.21917808219178081</v>
      </c>
      <c r="O64" s="85">
        <v>0.57692307692307687</v>
      </c>
      <c r="P64" s="85">
        <v>0.375</v>
      </c>
      <c r="Q64" s="85">
        <v>0.46616541353383456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8.0645161290322578E-2</v>
      </c>
      <c r="M65" s="85">
        <v>0.29464285714285715</v>
      </c>
      <c r="N65" s="85">
        <v>0.21651785714285715</v>
      </c>
      <c r="O65" s="85">
        <v>0.58333333333333337</v>
      </c>
      <c r="P65" s="85">
        <v>0.38144329896907214</v>
      </c>
      <c r="Q65" s="85">
        <v>0.47058823529411764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7.9365079365079361E-2</v>
      </c>
      <c r="M66" s="85">
        <v>0.30434782608695654</v>
      </c>
      <c r="N66" s="85">
        <v>0.21304347826086956</v>
      </c>
      <c r="O66" s="85">
        <v>0.6</v>
      </c>
      <c r="P66" s="85">
        <v>0.37755102040816324</v>
      </c>
      <c r="Q66" s="85">
        <v>0.46527777777777779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7.8125E-2</v>
      </c>
      <c r="M67" s="85">
        <v>0.30472103004291845</v>
      </c>
      <c r="N67" s="85">
        <v>0.21030042918454936</v>
      </c>
      <c r="O67" s="85">
        <v>0.59859154929577463</v>
      </c>
      <c r="P67" s="85">
        <v>0.37755102040816324</v>
      </c>
      <c r="Q67" s="85">
        <v>0.46206896551724136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7.6923076923076927E-2</v>
      </c>
      <c r="M68" s="85">
        <v>0.30360934182590232</v>
      </c>
      <c r="N68" s="85">
        <v>0.21019108280254778</v>
      </c>
      <c r="O68" s="85">
        <v>0.59440559440559437</v>
      </c>
      <c r="P68" s="85">
        <v>0.37373737373737376</v>
      </c>
      <c r="Q68" s="85">
        <v>0.46575342465753422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7.575757575757576E-2</v>
      </c>
      <c r="M69" s="85">
        <v>0.30062630480167013</v>
      </c>
      <c r="N69" s="85">
        <v>0.21085594989561587</v>
      </c>
      <c r="O69" s="85">
        <v>0.59027777777777779</v>
      </c>
      <c r="P69" s="85">
        <v>0.36633663366336633</v>
      </c>
      <c r="Q69" s="85">
        <v>0.46575342465753422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7.4626865671641784E-2</v>
      </c>
      <c r="M70" s="85">
        <v>0.29713114754098363</v>
      </c>
      <c r="N70" s="85">
        <v>0.21106557377049182</v>
      </c>
      <c r="O70" s="85">
        <v>0.59310344827586203</v>
      </c>
      <c r="P70" s="85">
        <v>0.35922330097087379</v>
      </c>
      <c r="Q70" s="85">
        <v>0.46938775510204084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8.8235294117647065E-2</v>
      </c>
      <c r="M71" s="85">
        <v>0.29959514170040485</v>
      </c>
      <c r="N71" s="85">
        <v>0.20850202429149797</v>
      </c>
      <c r="O71" s="85">
        <v>0.60135135135135132</v>
      </c>
      <c r="P71" s="85">
        <v>0.35922330097087379</v>
      </c>
      <c r="Q71" s="85">
        <v>0.46052631578947367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8.6956521739130432E-2</v>
      </c>
      <c r="M72" s="85">
        <v>0.30297029702970296</v>
      </c>
      <c r="N72" s="85">
        <v>0.20594059405940593</v>
      </c>
      <c r="O72" s="85">
        <v>0.6143790849673203</v>
      </c>
      <c r="P72" s="85">
        <v>0.36538461538461536</v>
      </c>
      <c r="Q72" s="85">
        <v>0.46202531645569622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8.5714285714285715E-2</v>
      </c>
      <c r="M73" s="85">
        <v>0.3046875</v>
      </c>
      <c r="N73" s="85">
        <v>0.205078125</v>
      </c>
      <c r="O73" s="85">
        <v>0.62179487179487181</v>
      </c>
      <c r="P73" s="85">
        <v>0.37142857142857144</v>
      </c>
      <c r="Q73" s="85">
        <v>0.46012269938650308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8.4507042253521125E-2</v>
      </c>
      <c r="M74" s="85">
        <v>0.30426356589147285</v>
      </c>
      <c r="N74" s="85">
        <v>0.20348837209302326</v>
      </c>
      <c r="O74" s="85">
        <v>0.61783439490445857</v>
      </c>
      <c r="P74" s="85">
        <v>0.37142857142857144</v>
      </c>
      <c r="Q74" s="85">
        <v>0.46012269938650308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8.3333333333333329E-2</v>
      </c>
      <c r="M75" s="85">
        <v>0.30367504835589942</v>
      </c>
      <c r="N75" s="85">
        <v>0.20502901353965183</v>
      </c>
      <c r="O75" s="85">
        <v>0.61783439490445857</v>
      </c>
      <c r="P75" s="85">
        <v>0.36792452830188677</v>
      </c>
      <c r="Q75" s="85">
        <v>0.46012269938650308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8.2191780821917804E-2</v>
      </c>
      <c r="M76" s="85">
        <v>0.30418250950570341</v>
      </c>
      <c r="N76" s="85">
        <v>0.20532319391634982</v>
      </c>
      <c r="O76" s="85">
        <v>0.625</v>
      </c>
      <c r="P76" s="85">
        <v>0.3611111111111111</v>
      </c>
      <c r="Q76" s="85">
        <v>0.46385542168674698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9.45945945945946E-2</v>
      </c>
      <c r="M77" s="85">
        <v>0.30524344569288392</v>
      </c>
      <c r="N77" s="85">
        <v>0.20411985018726592</v>
      </c>
      <c r="O77" s="85">
        <v>0.62576687116564422</v>
      </c>
      <c r="P77" s="85">
        <v>0.3669724770642202</v>
      </c>
      <c r="Q77" s="85">
        <v>0.46153846153846156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9.3333333333333338E-2</v>
      </c>
      <c r="M78" s="85">
        <v>0.30868761552680224</v>
      </c>
      <c r="N78" s="85">
        <v>0.20517560073937152</v>
      </c>
      <c r="O78" s="85">
        <v>0.61676646706586824</v>
      </c>
      <c r="P78" s="85">
        <v>0.36036036036036034</v>
      </c>
      <c r="Q78" s="85">
        <v>0.45882352941176469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9.2105263157894732E-2</v>
      </c>
      <c r="M79" s="85">
        <v>0.31034482758620691</v>
      </c>
      <c r="N79" s="85">
        <v>0.20689655172413793</v>
      </c>
      <c r="O79" s="85">
        <v>0.6257309941520468</v>
      </c>
      <c r="P79" s="85">
        <v>0.35964912280701755</v>
      </c>
      <c r="Q79" s="85">
        <v>0.45714285714285713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9.0909090909090912E-2</v>
      </c>
      <c r="M80" s="85">
        <v>0.30948121645796062</v>
      </c>
      <c r="N80" s="85">
        <v>0.2075134168157424</v>
      </c>
      <c r="O80" s="85">
        <v>0.62427745664739887</v>
      </c>
      <c r="P80" s="85">
        <v>0.35344827586206895</v>
      </c>
      <c r="Q80" s="85">
        <v>0.45454545454545453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0.10256410256410256</v>
      </c>
      <c r="M81" s="85">
        <v>0.31040564373897706</v>
      </c>
      <c r="N81" s="85">
        <v>0.20987654320987653</v>
      </c>
      <c r="O81" s="85">
        <v>0.61931818181818177</v>
      </c>
      <c r="P81" s="85">
        <v>0.35294117647058826</v>
      </c>
      <c r="Q81" s="85">
        <v>0.4606741573033708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0.10126582278481013</v>
      </c>
      <c r="M82" s="85">
        <v>0.30608695652173912</v>
      </c>
      <c r="N82" s="85">
        <v>0.20869565217391303</v>
      </c>
      <c r="O82" s="85">
        <v>0.61931818181818177</v>
      </c>
      <c r="P82" s="85">
        <v>0.35833333333333334</v>
      </c>
      <c r="Q82" s="85">
        <v>0.46666666666666667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0.1</v>
      </c>
      <c r="M83" s="85">
        <v>0.30636833046471601</v>
      </c>
      <c r="N83" s="85">
        <v>0.20826161790017211</v>
      </c>
      <c r="O83" s="85">
        <v>0.61235955056179781</v>
      </c>
      <c r="P83" s="85">
        <v>0.35537190082644626</v>
      </c>
      <c r="Q83" s="85">
        <v>0.46961325966850831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9.8765432098765427E-2</v>
      </c>
      <c r="M84" s="85">
        <v>0.30716723549488056</v>
      </c>
      <c r="N84" s="85">
        <v>0.20989761092150169</v>
      </c>
      <c r="O84" s="85">
        <v>0.6166666666666667</v>
      </c>
      <c r="P84" s="85">
        <v>0.36585365853658536</v>
      </c>
      <c r="Q84" s="85">
        <v>0.4702702702702703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0.10975609756097561</v>
      </c>
      <c r="M85" s="85">
        <v>0.30847457627118646</v>
      </c>
      <c r="N85" s="85">
        <v>0.20847457627118643</v>
      </c>
      <c r="O85" s="85">
        <v>0.61538461538461542</v>
      </c>
      <c r="P85" s="85">
        <v>0.36585365853658536</v>
      </c>
      <c r="Q85" s="85">
        <v>0.4731182795698925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0.10843373493975904</v>
      </c>
      <c r="M86" s="85">
        <v>0.30897009966777411</v>
      </c>
      <c r="N86" s="85">
        <v>0.20764119601328904</v>
      </c>
      <c r="O86" s="85">
        <v>0.60752688172043012</v>
      </c>
      <c r="P86" s="85">
        <v>0.376</v>
      </c>
      <c r="Q86" s="85">
        <v>0.46560846560846558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0.10714285714285714</v>
      </c>
      <c r="M87" s="85">
        <v>0.31198686371100165</v>
      </c>
      <c r="N87" s="85">
        <v>0.20689655172413793</v>
      </c>
      <c r="O87" s="85">
        <v>0.60526315789473684</v>
      </c>
      <c r="P87" s="85">
        <v>0.38095238095238093</v>
      </c>
      <c r="Q87" s="85">
        <v>0.46354166666666669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0.10588235294117647</v>
      </c>
      <c r="M88" s="85">
        <v>0.31168831168831168</v>
      </c>
      <c r="N88" s="85">
        <v>0.20779220779220781</v>
      </c>
      <c r="O88" s="85">
        <v>0.59895833333333337</v>
      </c>
      <c r="P88" s="85">
        <v>0.3828125</v>
      </c>
      <c r="Q88" s="85">
        <v>0.46113989637305697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0.10465116279069768</v>
      </c>
      <c r="M89" s="85">
        <v>0.3108974358974359</v>
      </c>
      <c r="N89" s="85">
        <v>0.20673076923076922</v>
      </c>
      <c r="O89" s="85">
        <v>0.59793814432989689</v>
      </c>
      <c r="P89" s="85">
        <v>0.37984496124031009</v>
      </c>
      <c r="Q89" s="85">
        <v>0.45876288659793812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0.10344827586206896</v>
      </c>
      <c r="M90" s="85">
        <v>0.310126582278481</v>
      </c>
      <c r="N90" s="85">
        <v>0.20886075949367089</v>
      </c>
      <c r="O90" s="85">
        <v>0.59693877551020413</v>
      </c>
      <c r="P90" s="85">
        <v>0.37121212121212122</v>
      </c>
      <c r="Q90" s="85">
        <v>0.46153846153846156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0.10227272727272728</v>
      </c>
      <c r="M91" s="85">
        <v>0.30866141732283464</v>
      </c>
      <c r="N91" s="85">
        <v>0.20787401574803149</v>
      </c>
      <c r="O91" s="85">
        <v>0.59693877551020413</v>
      </c>
      <c r="P91" s="85">
        <v>0.37121212121212122</v>
      </c>
      <c r="Q91" s="85">
        <v>0.46153846153846156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0.10112359550561797</v>
      </c>
      <c r="M92" s="85">
        <v>0.30697674418604654</v>
      </c>
      <c r="N92" s="85">
        <v>0.20775193798449612</v>
      </c>
      <c r="O92" s="85">
        <v>0.59090909090909094</v>
      </c>
      <c r="P92" s="85">
        <v>0.36567164179104478</v>
      </c>
      <c r="Q92" s="85">
        <v>0.46153846153846156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0.1</v>
      </c>
      <c r="M93" s="85">
        <v>0.30934150076569678</v>
      </c>
      <c r="N93" s="85">
        <v>0.20826952526799389</v>
      </c>
      <c r="O93" s="85">
        <v>0.58910891089108908</v>
      </c>
      <c r="P93" s="85">
        <v>0.36764705882352944</v>
      </c>
      <c r="Q93" s="85">
        <v>0.457286432160804</v>
      </c>
    </row>
    <row r="94" spans="1:17" x14ac:dyDescent="0.4">
      <c r="A94" s="87">
        <v>91</v>
      </c>
      <c r="B94" s="84">
        <v>-485.2999999999999</v>
      </c>
      <c r="C94" s="84">
        <v>-5.3329670329670318</v>
      </c>
      <c r="D94" s="89">
        <v>2.197802197802198</v>
      </c>
      <c r="E94" s="85">
        <v>0.24175824175824176</v>
      </c>
      <c r="F94" s="85">
        <v>0.28898426323319026</v>
      </c>
      <c r="G94" s="85">
        <v>0.22031473533619456</v>
      </c>
      <c r="H94" s="86">
        <v>10747.029702970298</v>
      </c>
      <c r="I94" s="86">
        <v>-9824.6753246753251</v>
      </c>
      <c r="J94" s="85">
        <v>0.21978021978021978</v>
      </c>
      <c r="K94" s="85">
        <v>0.13186813186813187</v>
      </c>
      <c r="L94" s="85">
        <v>9.8901098901098897E-2</v>
      </c>
      <c r="M94" s="85">
        <v>0.30664652567975831</v>
      </c>
      <c r="N94" s="85">
        <v>0.20845921450151059</v>
      </c>
      <c r="O94" s="85">
        <v>0.58620689655172409</v>
      </c>
      <c r="P94" s="85">
        <v>0.37681159420289856</v>
      </c>
      <c r="Q94" s="85">
        <v>0.45049504950495051</v>
      </c>
    </row>
    <row r="95" spans="1:17" x14ac:dyDescent="0.4">
      <c r="A95" s="87">
        <v>92</v>
      </c>
      <c r="B95" s="84">
        <v>-521.79999999999995</v>
      </c>
      <c r="C95" s="84">
        <v>-5.6717391304347817</v>
      </c>
      <c r="D95" s="89">
        <v>2.2065217391304346</v>
      </c>
      <c r="E95" s="85">
        <v>0.2391304347826087</v>
      </c>
      <c r="F95" s="85">
        <v>0.28490832157968971</v>
      </c>
      <c r="G95" s="85">
        <v>0.21861777150916784</v>
      </c>
      <c r="H95" s="86">
        <v>10747.029702970298</v>
      </c>
      <c r="I95" s="86">
        <v>-9767.7419354838712</v>
      </c>
      <c r="J95" s="85">
        <v>0.22826086956521738</v>
      </c>
      <c r="K95" s="85">
        <v>0.13043478260869565</v>
      </c>
      <c r="L95" s="85">
        <v>9.7826086956521743E-2</v>
      </c>
      <c r="M95" s="85">
        <v>0.30505952380952384</v>
      </c>
      <c r="N95" s="85">
        <v>0.20684523809523808</v>
      </c>
      <c r="O95" s="85">
        <v>0.58048780487804874</v>
      </c>
      <c r="P95" s="85">
        <v>0.37410071942446044</v>
      </c>
      <c r="Q95" s="85">
        <v>0.45049504950495051</v>
      </c>
    </row>
    <row r="96" spans="1:17" x14ac:dyDescent="0.4">
      <c r="A96" s="87">
        <v>93</v>
      </c>
      <c r="B96" s="84">
        <v>-563.19999999999993</v>
      </c>
      <c r="C96" s="84">
        <v>-6.0559139784946225</v>
      </c>
      <c r="D96" s="89">
        <v>2.21505376344086</v>
      </c>
      <c r="E96" s="85">
        <v>0.23655913978494625</v>
      </c>
      <c r="F96" s="85">
        <v>0.28133704735376047</v>
      </c>
      <c r="G96" s="85">
        <v>0.21866295264623956</v>
      </c>
      <c r="H96" s="86">
        <v>10747.029702970298</v>
      </c>
      <c r="I96" s="86">
        <v>-9776.4331210191085</v>
      </c>
      <c r="J96" s="85">
        <v>0.23655913978494625</v>
      </c>
      <c r="K96" s="85">
        <v>0.12903225806451613</v>
      </c>
      <c r="L96" s="85">
        <v>9.6774193548387094E-2</v>
      </c>
      <c r="M96" s="85">
        <v>0.30396475770925108</v>
      </c>
      <c r="N96" s="85">
        <v>0.20851688693098386</v>
      </c>
      <c r="O96" s="85">
        <v>0.5748792270531401</v>
      </c>
      <c r="P96" s="85">
        <v>0.36619718309859156</v>
      </c>
      <c r="Q96" s="85">
        <v>0.45049504950495051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F827A-2A0E-40D7-834D-3BD4AB925F33}">
  <sheetPr codeName="Sheet24"/>
  <dimension ref="A1:Q2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L4" s="85">
        <v>0</v>
      </c>
      <c r="Q4" s="85">
        <v>1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L5" s="85">
        <v>0</v>
      </c>
      <c r="Q5" s="85">
        <v>1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L6" s="85">
        <v>0</v>
      </c>
      <c r="Q6" s="85">
        <v>0.8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L7" s="85">
        <v>0</v>
      </c>
      <c r="Q7" s="85">
        <v>0.8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L8" s="85">
        <v>0</v>
      </c>
      <c r="Q8" s="85">
        <v>0.8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L9" s="85">
        <v>0</v>
      </c>
      <c r="Q9" s="85">
        <v>0.69230769230769229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L10" s="85">
        <v>0</v>
      </c>
      <c r="Q10" s="85">
        <v>0.625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L11" s="85">
        <v>0</v>
      </c>
      <c r="Q11" s="85">
        <v>0.58823529411764708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L12" s="85">
        <v>0</v>
      </c>
      <c r="Q12" s="85">
        <v>0.55555555555555558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L13" s="85">
        <v>0.1</v>
      </c>
      <c r="Q13" s="85">
        <v>0.5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L14" s="85">
        <v>9.0909090909090912E-2</v>
      </c>
      <c r="Q14" s="85">
        <v>0.48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L15" s="85">
        <v>8.3333333333333329E-2</v>
      </c>
      <c r="Q15" s="85">
        <v>0.4642857142857143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0.15384615384615385</v>
      </c>
      <c r="M16" s="85">
        <v>0.33333333333333331</v>
      </c>
      <c r="N16" s="85">
        <v>0.16666666666666666</v>
      </c>
      <c r="O16" s="85">
        <v>1</v>
      </c>
      <c r="P16" s="85">
        <v>1</v>
      </c>
      <c r="Q16" s="85">
        <v>0.46875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0.14285714285714285</v>
      </c>
      <c r="M17" s="85">
        <v>0.25</v>
      </c>
      <c r="N17" s="85">
        <v>0.375</v>
      </c>
      <c r="O17" s="85">
        <v>0.5</v>
      </c>
      <c r="P17" s="85">
        <v>0.33333333333333331</v>
      </c>
      <c r="Q17" s="85">
        <v>0.47058823529411764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0.13333333333333333</v>
      </c>
      <c r="M18" s="85">
        <v>0.2608695652173913</v>
      </c>
      <c r="N18" s="85">
        <v>0.30434782608695654</v>
      </c>
      <c r="O18" s="85">
        <v>0.5</v>
      </c>
      <c r="P18" s="85">
        <v>0.2857142857142857</v>
      </c>
      <c r="Q18" s="85">
        <v>0.45714285714285713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0.125</v>
      </c>
      <c r="M19" s="85">
        <v>0.30303030303030304</v>
      </c>
      <c r="N19" s="85">
        <v>0.24242424242424243</v>
      </c>
      <c r="O19" s="85">
        <v>0.7</v>
      </c>
      <c r="P19" s="85">
        <v>0.25</v>
      </c>
      <c r="Q19" s="85">
        <v>0.48717948717948717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0.11764705882352941</v>
      </c>
      <c r="M20" s="85">
        <v>0.30232558139534882</v>
      </c>
      <c r="N20" s="85">
        <v>0.27906976744186046</v>
      </c>
      <c r="O20" s="85">
        <v>0.76923076923076927</v>
      </c>
      <c r="P20" s="85">
        <v>0.25</v>
      </c>
      <c r="Q20" s="85">
        <v>0.46511627906976744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0.1111111111111111</v>
      </c>
      <c r="M21" s="85">
        <v>0.33333333333333331</v>
      </c>
      <c r="N21" s="85">
        <v>0.27777777777777779</v>
      </c>
      <c r="O21" s="85">
        <v>0.61111111111111116</v>
      </c>
      <c r="P21" s="85">
        <v>0.2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0.10526315789473684</v>
      </c>
      <c r="M22" s="85">
        <v>0.38805970149253732</v>
      </c>
      <c r="N22" s="85">
        <v>0.22388059701492538</v>
      </c>
      <c r="O22" s="85">
        <v>0.53846153846153844</v>
      </c>
      <c r="P22" s="85">
        <v>0.2</v>
      </c>
      <c r="Q22" s="85">
        <v>0.4375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0.1</v>
      </c>
      <c r="M23" s="85">
        <v>0.36</v>
      </c>
      <c r="N23" s="85">
        <v>0.22666666666666666</v>
      </c>
      <c r="O23" s="85">
        <v>0.55555555555555558</v>
      </c>
      <c r="P23" s="85">
        <v>0.17647058823529413</v>
      </c>
      <c r="Q23" s="85">
        <v>0.44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9.5238095238095233E-2</v>
      </c>
      <c r="M24" s="85">
        <v>0.37647058823529411</v>
      </c>
      <c r="N24" s="85">
        <v>0.22352941176470589</v>
      </c>
      <c r="O24" s="85">
        <v>0.5</v>
      </c>
      <c r="P24" s="85">
        <v>0.15789473684210525</v>
      </c>
      <c r="Q24" s="85">
        <v>0.45098039215686275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9.0909090909090912E-2</v>
      </c>
      <c r="M25" s="85">
        <v>0.34408602150537637</v>
      </c>
      <c r="N25" s="85">
        <v>0.22580645161290322</v>
      </c>
      <c r="O25" s="85">
        <v>0.5</v>
      </c>
      <c r="P25" s="85">
        <v>0.14285714285714285</v>
      </c>
      <c r="Q25" s="85">
        <v>0.45098039215686275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8.6956521739130432E-2</v>
      </c>
      <c r="M26" s="85">
        <v>0.33663366336633666</v>
      </c>
      <c r="N26" s="85">
        <v>0.22772277227722773</v>
      </c>
      <c r="O26" s="85">
        <v>0.47058823529411764</v>
      </c>
      <c r="P26" s="85">
        <v>0.13043478260869565</v>
      </c>
      <c r="Q26" s="85">
        <v>0.45098039215686275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112C-F2C0-4F42-8020-FED0CE60B363}">
  <sheetPr codeName="Sheet22"/>
  <dimension ref="A1:Q9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L6" s="85">
        <v>0</v>
      </c>
      <c r="Q6" s="85">
        <v>0.5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L7" s="85">
        <v>0</v>
      </c>
      <c r="Q7" s="85">
        <v>0.42857142857142855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L8" s="85">
        <v>0</v>
      </c>
      <c r="Q8" s="85">
        <v>0.33333333333333331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L9" s="85">
        <v>0</v>
      </c>
      <c r="Q9" s="85">
        <v>0.27272727272727271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L10" s="85">
        <v>0</v>
      </c>
      <c r="Q10" s="85">
        <v>0.30769230769230771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L11" s="85">
        <v>0</v>
      </c>
      <c r="Q11" s="85">
        <v>0.3888888888888889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L12" s="85">
        <v>0</v>
      </c>
      <c r="Q12" s="85">
        <v>0.35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L13" s="85">
        <v>0</v>
      </c>
      <c r="Q13" s="85">
        <v>0.33333333333333331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L14" s="85">
        <v>0</v>
      </c>
      <c r="Q14" s="85">
        <v>0.375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L15" s="85">
        <v>8.3333333333333329E-2</v>
      </c>
      <c r="Q15" s="85">
        <v>0.37931034482758619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L16" s="85">
        <v>7.6923076923076927E-2</v>
      </c>
      <c r="Q16" s="85">
        <v>0.38709677419354838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L17" s="85">
        <v>7.1428571428571425E-2</v>
      </c>
      <c r="Q17" s="85">
        <v>0.36363636363636365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L18" s="85">
        <v>6.6666666666666666E-2</v>
      </c>
      <c r="Q18" s="85">
        <v>0.3783783783783784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L19" s="85">
        <v>6.25E-2</v>
      </c>
      <c r="Q19" s="85">
        <v>0.3783783783783784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L20" s="85">
        <v>5.8823529411764705E-2</v>
      </c>
      <c r="Q20" s="85">
        <v>0.3783783783783784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5.5555555555555552E-2</v>
      </c>
      <c r="M21" s="85">
        <v>1</v>
      </c>
      <c r="N21" s="85">
        <v>0</v>
      </c>
      <c r="O21" s="85">
        <v>1</v>
      </c>
      <c r="P21" s="85">
        <v>0</v>
      </c>
      <c r="Q21" s="85">
        <v>0.4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5.2631578947368418E-2</v>
      </c>
      <c r="M22" s="85">
        <v>0.45454545454545453</v>
      </c>
      <c r="N22" s="85">
        <v>9.0909090909090912E-2</v>
      </c>
      <c r="O22" s="85">
        <v>1</v>
      </c>
      <c r="P22" s="85">
        <v>0</v>
      </c>
      <c r="Q22" s="85">
        <v>0.36363636363636365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0.1</v>
      </c>
      <c r="M23" s="85">
        <v>0.47368421052631576</v>
      </c>
      <c r="N23" s="85">
        <v>0.10526315789473684</v>
      </c>
      <c r="O23" s="85">
        <v>0.88888888888888884</v>
      </c>
      <c r="P23" s="85">
        <v>0</v>
      </c>
      <c r="Q23" s="85">
        <v>0.38297872340425532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9.5238095238095233E-2</v>
      </c>
      <c r="M24" s="85">
        <v>0.48</v>
      </c>
      <c r="N24" s="85">
        <v>0.12</v>
      </c>
      <c r="O24" s="85">
        <v>0.75</v>
      </c>
      <c r="P24" s="85">
        <v>0.33333333333333331</v>
      </c>
      <c r="Q24" s="85">
        <v>0.36734693877551022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9.0909090909090912E-2</v>
      </c>
      <c r="M25" s="85">
        <v>0.46875</v>
      </c>
      <c r="N25" s="85">
        <v>0.21875</v>
      </c>
      <c r="O25" s="85">
        <v>0.8</v>
      </c>
      <c r="P25" s="85">
        <v>0.2857142857142857</v>
      </c>
      <c r="Q25" s="85">
        <v>0.35849056603773582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8.6956521739130432E-2</v>
      </c>
      <c r="M26" s="85">
        <v>0.42499999999999999</v>
      </c>
      <c r="N26" s="85">
        <v>0.22500000000000001</v>
      </c>
      <c r="O26" s="85">
        <v>0.70588235294117652</v>
      </c>
      <c r="P26" s="85">
        <v>0.22222222222222221</v>
      </c>
      <c r="Q26" s="85">
        <v>0.37037037037037035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8.3333333333333329E-2</v>
      </c>
      <c r="M27" s="85">
        <v>0.43478260869565216</v>
      </c>
      <c r="N27" s="85">
        <v>0.21739130434782608</v>
      </c>
      <c r="O27" s="85">
        <v>0.6</v>
      </c>
      <c r="P27" s="85">
        <v>0.2</v>
      </c>
      <c r="Q27" s="85">
        <v>0.37037037037037035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0.08</v>
      </c>
      <c r="M28" s="85">
        <v>0.42307692307692307</v>
      </c>
      <c r="N28" s="85">
        <v>0.19230769230769232</v>
      </c>
      <c r="O28" s="85">
        <v>0.59090909090909094</v>
      </c>
      <c r="P28" s="85">
        <v>0.2</v>
      </c>
      <c r="Q28" s="85">
        <v>0.36363636363636365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0.11538461538461539</v>
      </c>
      <c r="M29" s="85">
        <v>0.40677966101694918</v>
      </c>
      <c r="N29" s="85">
        <v>0.1864406779661017</v>
      </c>
      <c r="O29" s="85">
        <v>0.625</v>
      </c>
      <c r="P29" s="85">
        <v>0.27272727272727271</v>
      </c>
      <c r="Q29" s="85">
        <v>0.36206896551724138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0.1111111111111111</v>
      </c>
      <c r="M30" s="85">
        <v>0.390625</v>
      </c>
      <c r="N30" s="85">
        <v>0.1875</v>
      </c>
      <c r="O30" s="85">
        <v>0.6</v>
      </c>
      <c r="P30" s="85">
        <v>0.25</v>
      </c>
      <c r="Q30" s="85">
        <v>0.36206896551724138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0.10714285714285714</v>
      </c>
      <c r="M31" s="85">
        <v>0.3888888888888889</v>
      </c>
      <c r="N31" s="85">
        <v>0.20833333333333334</v>
      </c>
      <c r="O31" s="85">
        <v>0.5357142857142857</v>
      </c>
      <c r="P31" s="85">
        <v>0.2</v>
      </c>
      <c r="Q31" s="85">
        <v>0.36206896551724138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0.10344827586206896</v>
      </c>
      <c r="M32" s="85">
        <v>0.375</v>
      </c>
      <c r="N32" s="85">
        <v>0.21249999999999999</v>
      </c>
      <c r="O32" s="85">
        <v>0.56666666666666665</v>
      </c>
      <c r="P32" s="85">
        <v>0.17647058823529413</v>
      </c>
      <c r="Q32" s="85">
        <v>0.35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0.13333333333333333</v>
      </c>
      <c r="M33" s="85">
        <v>0.38636363636363635</v>
      </c>
      <c r="N33" s="85">
        <v>0.20454545454545456</v>
      </c>
      <c r="O33" s="85">
        <v>0.61764705882352944</v>
      </c>
      <c r="P33" s="85">
        <v>0.16666666666666666</v>
      </c>
      <c r="Q33" s="85">
        <v>0.359375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0.12903225806451613</v>
      </c>
      <c r="M34" s="85">
        <v>0.36</v>
      </c>
      <c r="N34" s="85">
        <v>0.21</v>
      </c>
      <c r="O34" s="85">
        <v>0.61111111111111116</v>
      </c>
      <c r="P34" s="85">
        <v>0.23809523809523808</v>
      </c>
      <c r="Q34" s="85">
        <v>0.35820895522388058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0.125</v>
      </c>
      <c r="M35" s="85">
        <v>0.35454545454545455</v>
      </c>
      <c r="N35" s="85">
        <v>0.21818181818181817</v>
      </c>
      <c r="O35" s="85">
        <v>0.61538461538461542</v>
      </c>
      <c r="P35" s="85">
        <v>0.25</v>
      </c>
      <c r="Q35" s="85">
        <v>0.34285714285714286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0.15151515151515152</v>
      </c>
      <c r="M36" s="85">
        <v>0.33613445378151263</v>
      </c>
      <c r="N36" s="85">
        <v>0.25210084033613445</v>
      </c>
      <c r="O36" s="85">
        <v>0.625</v>
      </c>
      <c r="P36" s="85">
        <v>0.3</v>
      </c>
      <c r="Q36" s="85">
        <v>0.35135135135135137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0.14705882352941177</v>
      </c>
      <c r="M37" s="85">
        <v>0.33333333333333331</v>
      </c>
      <c r="N37" s="85">
        <v>0.26190476190476192</v>
      </c>
      <c r="O37" s="85">
        <v>0.59523809523809523</v>
      </c>
      <c r="P37" s="85">
        <v>0.30303030303030304</v>
      </c>
      <c r="Q37" s="85">
        <v>0.36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0.14285714285714285</v>
      </c>
      <c r="M38" s="85">
        <v>0.34108527131782945</v>
      </c>
      <c r="N38" s="85">
        <v>0.2558139534883721</v>
      </c>
      <c r="O38" s="85">
        <v>0.61363636363636365</v>
      </c>
      <c r="P38" s="85">
        <v>0.30303030303030304</v>
      </c>
      <c r="Q38" s="85">
        <v>0.37662337662337664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0.1388888888888889</v>
      </c>
      <c r="M39" s="85">
        <v>0.33823529411764708</v>
      </c>
      <c r="N39" s="85">
        <v>0.25735294117647056</v>
      </c>
      <c r="O39" s="85">
        <v>0.58695652173913049</v>
      </c>
      <c r="P39" s="85">
        <v>0.31428571428571428</v>
      </c>
      <c r="Q39" s="85">
        <v>0.38461538461538464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0.13513513513513514</v>
      </c>
      <c r="M40" s="85">
        <v>0.34722222222222221</v>
      </c>
      <c r="N40" s="85">
        <v>0.2638888888888889</v>
      </c>
      <c r="O40" s="85">
        <v>0.6</v>
      </c>
      <c r="P40" s="85">
        <v>0.34210526315789475</v>
      </c>
      <c r="Q40" s="85">
        <v>0.42168674698795183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0.13157894736842105</v>
      </c>
      <c r="M41" s="85">
        <v>0.33766233766233766</v>
      </c>
      <c r="N41" s="85">
        <v>0.26623376623376621</v>
      </c>
      <c r="O41" s="85">
        <v>0.59615384615384615</v>
      </c>
      <c r="P41" s="85">
        <v>0.36585365853658536</v>
      </c>
      <c r="Q41" s="85">
        <v>0.41860465116279072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0.12820512820512819</v>
      </c>
      <c r="M42" s="85">
        <v>0.33750000000000002</v>
      </c>
      <c r="N42" s="85">
        <v>0.26250000000000001</v>
      </c>
      <c r="O42" s="85">
        <v>0.61111111111111116</v>
      </c>
      <c r="P42" s="85">
        <v>0.38095238095238093</v>
      </c>
      <c r="Q42" s="85">
        <v>0.43333333333333335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0.125</v>
      </c>
      <c r="M43" s="85">
        <v>0.34545454545454546</v>
      </c>
      <c r="N43" s="85">
        <v>0.25454545454545452</v>
      </c>
      <c r="O43" s="85">
        <v>0.61403508771929827</v>
      </c>
      <c r="P43" s="85">
        <v>0.38095238095238093</v>
      </c>
      <c r="Q43" s="85">
        <v>0.43478260869565216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0.12195121951219512</v>
      </c>
      <c r="M44" s="85">
        <v>0.33707865168539325</v>
      </c>
      <c r="N44" s="85">
        <v>0.25842696629213485</v>
      </c>
      <c r="O44" s="85">
        <v>0.6</v>
      </c>
      <c r="P44" s="85">
        <v>0.39130434782608697</v>
      </c>
      <c r="Q44" s="85">
        <v>0.42708333333333331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0.14285714285714285</v>
      </c>
      <c r="M45" s="85">
        <v>0.33689839572192515</v>
      </c>
      <c r="N45" s="85">
        <v>0.24598930481283424</v>
      </c>
      <c r="O45" s="85">
        <v>0.61904761904761907</v>
      </c>
      <c r="P45" s="85">
        <v>0.39130434782608697</v>
      </c>
      <c r="Q45" s="85">
        <v>0.42424242424242425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0.13953488372093023</v>
      </c>
      <c r="M46" s="85">
        <v>0.3383838383838384</v>
      </c>
      <c r="N46" s="85">
        <v>0.25252525252525254</v>
      </c>
      <c r="O46" s="85">
        <v>0.61194029850746268</v>
      </c>
      <c r="P46" s="85">
        <v>0.38</v>
      </c>
      <c r="Q46" s="85">
        <v>0.40776699029126212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0.13636363636363635</v>
      </c>
      <c r="M47" s="85">
        <v>0.33658536585365856</v>
      </c>
      <c r="N47" s="85">
        <v>0.24390243902439024</v>
      </c>
      <c r="O47" s="85">
        <v>0.59420289855072461</v>
      </c>
      <c r="P47" s="85">
        <v>0.38</v>
      </c>
      <c r="Q47" s="85">
        <v>0.41346153846153844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0.13333333333333333</v>
      </c>
      <c r="M48" s="85">
        <v>0.34433962264150941</v>
      </c>
      <c r="N48" s="85">
        <v>0.24056603773584906</v>
      </c>
      <c r="O48" s="85">
        <v>0.61643835616438358</v>
      </c>
      <c r="P48" s="85">
        <v>0.39215686274509803</v>
      </c>
      <c r="Q48" s="85">
        <v>0.41284403669724773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0.13043478260869565</v>
      </c>
      <c r="M49" s="85">
        <v>0.35</v>
      </c>
      <c r="N49" s="85">
        <v>0.23181818181818181</v>
      </c>
      <c r="O49" s="85">
        <v>0.62337662337662336</v>
      </c>
      <c r="P49" s="85">
        <v>0.39215686274509803</v>
      </c>
      <c r="Q49" s="85">
        <v>0.41964285714285715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0.1276595744680851</v>
      </c>
      <c r="M50" s="85">
        <v>0.34782608695652173</v>
      </c>
      <c r="N50" s="85">
        <v>0.23043478260869565</v>
      </c>
      <c r="O50" s="85">
        <v>0.625</v>
      </c>
      <c r="P50" s="85">
        <v>0.39622641509433965</v>
      </c>
      <c r="Q50" s="85">
        <v>0.41739130434782606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0.125</v>
      </c>
      <c r="M51" s="85">
        <v>0.34728033472803349</v>
      </c>
      <c r="N51" s="85">
        <v>0.2384937238493724</v>
      </c>
      <c r="O51" s="85">
        <v>0.61445783132530118</v>
      </c>
      <c r="P51" s="85">
        <v>0.40350877192982454</v>
      </c>
      <c r="Q51" s="85">
        <v>0.40677966101694918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0.12244897959183673</v>
      </c>
      <c r="M52" s="85">
        <v>0.34399999999999997</v>
      </c>
      <c r="N52" s="85">
        <v>0.23599999999999999</v>
      </c>
      <c r="O52" s="85">
        <v>0.61627906976744184</v>
      </c>
      <c r="P52" s="85">
        <v>0.38983050847457629</v>
      </c>
      <c r="Q52" s="85">
        <v>0.4049586776859504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0.12</v>
      </c>
      <c r="M53" s="85">
        <v>0.33852140077821014</v>
      </c>
      <c r="N53" s="85">
        <v>0.23346303501945526</v>
      </c>
      <c r="O53" s="85">
        <v>0.60919540229885061</v>
      </c>
      <c r="P53" s="85">
        <v>0.38333333333333336</v>
      </c>
      <c r="Q53" s="85">
        <v>0.4049586776859504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0.11764705882352941</v>
      </c>
      <c r="M54" s="85">
        <v>0.33962264150943394</v>
      </c>
      <c r="N54" s="85">
        <v>0.23018867924528302</v>
      </c>
      <c r="O54" s="85">
        <v>0.61111111111111116</v>
      </c>
      <c r="P54" s="85">
        <v>0.37704918032786883</v>
      </c>
      <c r="Q54" s="85">
        <v>0.41463414634146339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0.11538461538461539</v>
      </c>
      <c r="M55" s="85">
        <v>0.33699633699633702</v>
      </c>
      <c r="N55" s="85">
        <v>0.23809523809523808</v>
      </c>
      <c r="O55" s="85">
        <v>0.61956521739130432</v>
      </c>
      <c r="P55" s="85">
        <v>0.38461538461538464</v>
      </c>
      <c r="Q55" s="85">
        <v>0.4140625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0.11320754716981132</v>
      </c>
      <c r="M56" s="85">
        <v>0.33922261484098942</v>
      </c>
      <c r="N56" s="85">
        <v>0.22968197879858657</v>
      </c>
      <c r="O56" s="85">
        <v>0.63541666666666663</v>
      </c>
      <c r="P56" s="85">
        <v>0.38461538461538464</v>
      </c>
      <c r="Q56" s="85">
        <v>0.40909090909090912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0.1111111111111111</v>
      </c>
      <c r="M57" s="85">
        <v>0.34146341463414637</v>
      </c>
      <c r="N57" s="85">
        <v>0.2264808362369338</v>
      </c>
      <c r="O57" s="85">
        <v>0.6428571428571429</v>
      </c>
      <c r="P57" s="85">
        <v>0.38461538461538464</v>
      </c>
      <c r="Q57" s="85">
        <v>0.40740740740740738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0.10909090909090909</v>
      </c>
      <c r="M58" s="85">
        <v>0.33333333333333331</v>
      </c>
      <c r="N58" s="85">
        <v>0.22448979591836735</v>
      </c>
      <c r="O58" s="85">
        <v>0.6428571428571429</v>
      </c>
      <c r="P58" s="85">
        <v>0.39393939393939392</v>
      </c>
      <c r="Q58" s="85">
        <v>0.40441176470588236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0.10714285714285714</v>
      </c>
      <c r="M59" s="85">
        <v>0.33559322033898303</v>
      </c>
      <c r="N59" s="85">
        <v>0.22372881355932203</v>
      </c>
      <c r="O59" s="85">
        <v>0.64646464646464652</v>
      </c>
      <c r="P59" s="85">
        <v>0.39393939393939392</v>
      </c>
      <c r="Q59" s="85">
        <v>0.40145985401459855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0.10526315789473684</v>
      </c>
      <c r="M60" s="85">
        <v>0.33223684210526316</v>
      </c>
      <c r="N60" s="85">
        <v>0.22368421052631579</v>
      </c>
      <c r="O60" s="85">
        <v>0.63366336633663367</v>
      </c>
      <c r="P60" s="85">
        <v>0.39705882352941174</v>
      </c>
      <c r="Q60" s="85">
        <v>0.39855072463768115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0.10344827586206896</v>
      </c>
      <c r="M61" s="85">
        <v>0.33546325878594252</v>
      </c>
      <c r="N61" s="85">
        <v>0.22044728434504793</v>
      </c>
      <c r="O61" s="85">
        <v>0.62857142857142856</v>
      </c>
      <c r="P61" s="85">
        <v>0.39130434782608697</v>
      </c>
      <c r="Q61" s="85">
        <v>0.3971631205673759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0.11864406779661017</v>
      </c>
      <c r="M62" s="85">
        <v>0.32919254658385094</v>
      </c>
      <c r="N62" s="85">
        <v>0.2267080745341615</v>
      </c>
      <c r="O62" s="85">
        <v>0.63207547169811318</v>
      </c>
      <c r="P62" s="85">
        <v>0.38356164383561642</v>
      </c>
      <c r="Q62" s="85">
        <v>0.40689655172413791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0.11666666666666667</v>
      </c>
      <c r="M63" s="85">
        <v>0.32826747720364741</v>
      </c>
      <c r="N63" s="85">
        <v>0.22492401215805471</v>
      </c>
      <c r="O63" s="85">
        <v>0.62962962962962965</v>
      </c>
      <c r="P63" s="85">
        <v>0.39189189189189189</v>
      </c>
      <c r="Q63" s="85">
        <v>0.40816326530612246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0.11475409836065574</v>
      </c>
      <c r="M64" s="85">
        <v>0.3303834808259587</v>
      </c>
      <c r="N64" s="85">
        <v>0.22418879056047197</v>
      </c>
      <c r="O64" s="85">
        <v>0.6428571428571429</v>
      </c>
      <c r="P64" s="85">
        <v>0.38157894736842107</v>
      </c>
      <c r="Q64" s="85">
        <v>0.41059602649006621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0.11290322580645161</v>
      </c>
      <c r="M65" s="85">
        <v>0.32853025936599423</v>
      </c>
      <c r="N65" s="85">
        <v>0.22478386167146974</v>
      </c>
      <c r="O65" s="85">
        <v>0.64035087719298245</v>
      </c>
      <c r="P65" s="85">
        <v>0.37179487179487181</v>
      </c>
      <c r="Q65" s="85">
        <v>0.42207792207792205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0.1111111111111111</v>
      </c>
      <c r="M66" s="85">
        <v>0.3342696629213483</v>
      </c>
      <c r="N66" s="85">
        <v>0.2247191011235955</v>
      </c>
      <c r="O66" s="85">
        <v>0.63025210084033612</v>
      </c>
      <c r="P66" s="85">
        <v>0.375</v>
      </c>
      <c r="Q66" s="85">
        <v>0.43312101910828027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0.109375</v>
      </c>
      <c r="M67" s="85">
        <v>0.3324175824175824</v>
      </c>
      <c r="N67" s="85">
        <v>0.23076923076923078</v>
      </c>
      <c r="O67" s="85">
        <v>0.6198347107438017</v>
      </c>
      <c r="P67" s="85">
        <v>0.36904761904761907</v>
      </c>
      <c r="Q67" s="85">
        <v>0.43037974683544306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0.1076923076923077</v>
      </c>
      <c r="M68" s="85">
        <v>0.33243243243243242</v>
      </c>
      <c r="N68" s="85">
        <v>0.23243243243243245</v>
      </c>
      <c r="O68" s="85">
        <v>0.62601626016260159</v>
      </c>
      <c r="P68" s="85">
        <v>0.38372093023255816</v>
      </c>
      <c r="Q68" s="85">
        <v>0.41975308641975306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0.10606060606060606</v>
      </c>
      <c r="M69" s="85">
        <v>0.33333333333333331</v>
      </c>
      <c r="N69" s="85">
        <v>0.23280423280423279</v>
      </c>
      <c r="O69" s="85">
        <v>0.62698412698412698</v>
      </c>
      <c r="P69" s="85">
        <v>0.38636363636363635</v>
      </c>
      <c r="Q69" s="85">
        <v>0.42424242424242425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0.1044776119402985</v>
      </c>
      <c r="M70" s="85">
        <v>0.328125</v>
      </c>
      <c r="N70" s="85">
        <v>0.234375</v>
      </c>
      <c r="O70" s="85">
        <v>0.62698412698412698</v>
      </c>
      <c r="P70" s="85">
        <v>0.4</v>
      </c>
      <c r="Q70" s="85">
        <v>0.43113772455089822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0.10294117647058823</v>
      </c>
      <c r="M71" s="85">
        <v>0.32647814910025708</v>
      </c>
      <c r="N71" s="85">
        <v>0.23393316195372751</v>
      </c>
      <c r="O71" s="85">
        <v>0.62204724409448819</v>
      </c>
      <c r="P71" s="85">
        <v>0.39560439560439559</v>
      </c>
      <c r="Q71" s="85">
        <v>0.43113772455089822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0.11594202898550725</v>
      </c>
      <c r="M72" s="85">
        <v>0.32241813602015112</v>
      </c>
      <c r="N72" s="85">
        <v>0.23425692695214106</v>
      </c>
      <c r="O72" s="85">
        <v>0.625</v>
      </c>
      <c r="P72" s="85">
        <v>0.39784946236559138</v>
      </c>
      <c r="Q72" s="85">
        <v>0.42603550295857989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0.11428571428571428</v>
      </c>
      <c r="M73" s="85">
        <v>0.32758620689655171</v>
      </c>
      <c r="N73" s="85">
        <v>0.23399014778325122</v>
      </c>
      <c r="O73" s="85">
        <v>0.62406015037593987</v>
      </c>
      <c r="P73" s="85">
        <v>0.38947368421052631</v>
      </c>
      <c r="Q73" s="85">
        <v>0.43352601156069365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0.11267605633802817</v>
      </c>
      <c r="M74" s="85">
        <v>0.32524271844660196</v>
      </c>
      <c r="N74" s="85">
        <v>0.2354368932038835</v>
      </c>
      <c r="O74" s="85">
        <v>0.61940298507462688</v>
      </c>
      <c r="P74" s="85">
        <v>0.38144329896907214</v>
      </c>
      <c r="Q74" s="85">
        <v>0.43352601156069365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0.1111111111111111</v>
      </c>
      <c r="M75" s="85">
        <v>0.32451923076923078</v>
      </c>
      <c r="N75" s="85">
        <v>0.23557692307692307</v>
      </c>
      <c r="O75" s="85">
        <v>0.61481481481481481</v>
      </c>
      <c r="P75" s="85">
        <v>0.37755102040816324</v>
      </c>
      <c r="Q75" s="85">
        <v>0.43352601156069365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0.1095890410958904</v>
      </c>
      <c r="M76" s="85">
        <v>0.32613908872901681</v>
      </c>
      <c r="N76" s="85">
        <v>0.23501199040767387</v>
      </c>
      <c r="O76" s="85">
        <v>0.61764705882352944</v>
      </c>
      <c r="P76" s="85">
        <v>0.37755102040816324</v>
      </c>
      <c r="Q76" s="85">
        <v>0.43103448275862066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0.10810810810810811</v>
      </c>
      <c r="M77" s="85">
        <v>0.32629107981220656</v>
      </c>
      <c r="N77" s="85">
        <v>0.23708920187793428</v>
      </c>
      <c r="O77" s="85">
        <v>0.62589928057553956</v>
      </c>
      <c r="P77" s="85">
        <v>0.38613861386138615</v>
      </c>
      <c r="Q77" s="85">
        <v>0.44134078212290501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0.12</v>
      </c>
      <c r="M78" s="85">
        <v>0.32563510392609701</v>
      </c>
      <c r="N78" s="85">
        <v>0.24018475750577367</v>
      </c>
      <c r="O78" s="85">
        <v>0.62411347517730498</v>
      </c>
      <c r="P78" s="85">
        <v>0.375</v>
      </c>
      <c r="Q78" s="85">
        <v>0.44198895027624308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0.11842105263157894</v>
      </c>
      <c r="M79" s="85">
        <v>0.31828442437923249</v>
      </c>
      <c r="N79" s="85">
        <v>0.24153498871331827</v>
      </c>
      <c r="O79" s="85">
        <v>0.62411347517730498</v>
      </c>
      <c r="P79" s="85">
        <v>0.38317757009345793</v>
      </c>
      <c r="Q79" s="85">
        <v>0.43478260869565216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0.11688311688311688</v>
      </c>
      <c r="M80" s="85">
        <v>0.31767337807606266</v>
      </c>
      <c r="N80" s="85">
        <v>0.24161073825503357</v>
      </c>
      <c r="O80" s="85">
        <v>0.61971830985915488</v>
      </c>
      <c r="P80" s="85">
        <v>0.3888888888888889</v>
      </c>
      <c r="Q80" s="85">
        <v>0.43243243243243246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0.11538461538461539</v>
      </c>
      <c r="M81" s="85">
        <v>0.31277533039647576</v>
      </c>
      <c r="N81" s="85">
        <v>0.24008810572687225</v>
      </c>
      <c r="O81" s="85">
        <v>0.61971830985915488</v>
      </c>
      <c r="P81" s="85">
        <v>0.38532110091743121</v>
      </c>
      <c r="Q81" s="85">
        <v>0.43548387096774194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0.11392405063291139</v>
      </c>
      <c r="M82" s="85">
        <v>0.31019522776572667</v>
      </c>
      <c r="N82" s="85">
        <v>0.24078091106290672</v>
      </c>
      <c r="O82" s="85">
        <v>0.61538461538461542</v>
      </c>
      <c r="P82" s="85">
        <v>0.3783783783783784</v>
      </c>
      <c r="Q82" s="85">
        <v>0.43548387096774194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0.1125</v>
      </c>
      <c r="M83" s="85">
        <v>0.31196581196581197</v>
      </c>
      <c r="N83" s="85">
        <v>0.23931623931623933</v>
      </c>
      <c r="O83" s="85">
        <v>0.62328767123287676</v>
      </c>
      <c r="P83" s="85">
        <v>0.375</v>
      </c>
      <c r="Q83" s="85">
        <v>0.43915343915343913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0.12345679012345678</v>
      </c>
      <c r="M84" s="85">
        <v>0.31512605042016806</v>
      </c>
      <c r="N84" s="85">
        <v>0.23949579831932774</v>
      </c>
      <c r="O84" s="85">
        <v>0.62</v>
      </c>
      <c r="P84" s="85">
        <v>0.37719298245614036</v>
      </c>
      <c r="Q84" s="85">
        <v>0.4375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0.12195121951219512</v>
      </c>
      <c r="M85" s="85">
        <v>0.31198347107438018</v>
      </c>
      <c r="N85" s="85">
        <v>0.23966942148760331</v>
      </c>
      <c r="O85" s="85">
        <v>0.62251655629139069</v>
      </c>
      <c r="P85" s="85">
        <v>0.37068965517241381</v>
      </c>
      <c r="Q85" s="85">
        <v>0.44102564102564101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0.12048192771084337</v>
      </c>
      <c r="M86" s="85">
        <v>0.31211498973305957</v>
      </c>
      <c r="N86" s="85">
        <v>0.2402464065708419</v>
      </c>
      <c r="O86" s="85">
        <v>0.61842105263157898</v>
      </c>
      <c r="P86" s="85">
        <v>0.36752136752136755</v>
      </c>
      <c r="Q86" s="85">
        <v>0.44102564102564101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0.11904761904761904</v>
      </c>
      <c r="M87" s="85">
        <v>0.31991951710261568</v>
      </c>
      <c r="N87" s="85">
        <v>0.23742454728370221</v>
      </c>
      <c r="O87" s="85">
        <v>0.60377358490566035</v>
      </c>
      <c r="P87" s="85">
        <v>0.3728813559322034</v>
      </c>
      <c r="Q87" s="85">
        <v>0.4494949494949495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0.11764705882352941</v>
      </c>
      <c r="M88" s="85">
        <v>0.31683168316831684</v>
      </c>
      <c r="N88" s="85">
        <v>0.23564356435643563</v>
      </c>
      <c r="O88" s="85">
        <v>0.60624999999999996</v>
      </c>
      <c r="P88" s="85">
        <v>0.36974789915966388</v>
      </c>
      <c r="Q88" s="85">
        <v>0.45226130653266333</v>
      </c>
    </row>
    <row r="89" spans="1:17" x14ac:dyDescent="0.4">
      <c r="A89" s="87">
        <v>86</v>
      </c>
      <c r="B89" s="84">
        <v>239.79999999999995</v>
      </c>
      <c r="C89" s="84">
        <v>2.7883720930232552</v>
      </c>
      <c r="D89" s="89">
        <v>1.8953488372093024</v>
      </c>
      <c r="E89" s="85">
        <v>0.39534883720930231</v>
      </c>
      <c r="F89" s="85">
        <v>0.31357254290171604</v>
      </c>
      <c r="G89" s="85">
        <v>0.1606864274570983</v>
      </c>
      <c r="H89" s="86">
        <v>10467.661691542289</v>
      </c>
      <c r="I89" s="86">
        <v>-9230.0970873786409</v>
      </c>
      <c r="J89" s="85">
        <v>0.12790697674418605</v>
      </c>
      <c r="K89" s="85">
        <v>0.18604651162790697</v>
      </c>
      <c r="L89" s="85">
        <v>0.11627906976744186</v>
      </c>
      <c r="M89" s="85">
        <v>0.32038834951456313</v>
      </c>
      <c r="N89" s="85">
        <v>0.23300970873786409</v>
      </c>
      <c r="O89" s="85">
        <v>0.59393939393939399</v>
      </c>
      <c r="P89" s="85">
        <v>0.375</v>
      </c>
      <c r="Q89" s="85">
        <v>0.45273631840796019</v>
      </c>
    </row>
    <row r="90" spans="1:17" x14ac:dyDescent="0.4">
      <c r="A90" s="87">
        <v>87</v>
      </c>
      <c r="B90" s="84">
        <v>275.79999999999995</v>
      </c>
      <c r="C90" s="84">
        <v>3.1701149425287349</v>
      </c>
      <c r="D90" s="89">
        <v>1.8850574712643677</v>
      </c>
      <c r="E90" s="85">
        <v>0.40229885057471265</v>
      </c>
      <c r="F90" s="85">
        <v>0.31327160493827161</v>
      </c>
      <c r="G90" s="85">
        <v>0.15895061728395063</v>
      </c>
      <c r="H90" s="86">
        <v>10561.576354679803</v>
      </c>
      <c r="I90" s="86">
        <v>-9230.0970873786409</v>
      </c>
      <c r="J90" s="85">
        <v>0.12643678160919541</v>
      </c>
      <c r="K90" s="85">
        <v>0.18390804597701149</v>
      </c>
      <c r="L90" s="85">
        <v>0.11494252873563218</v>
      </c>
      <c r="M90" s="85">
        <v>0.32183908045977011</v>
      </c>
      <c r="N90" s="85">
        <v>0.22988505747126436</v>
      </c>
      <c r="O90" s="85">
        <v>0.59523809523809523</v>
      </c>
      <c r="P90" s="85">
        <v>0.375</v>
      </c>
      <c r="Q90" s="85">
        <v>0.45812807881773399</v>
      </c>
    </row>
    <row r="91" spans="1:17" x14ac:dyDescent="0.4">
      <c r="A91" s="87">
        <v>88</v>
      </c>
      <c r="B91" s="84">
        <v>276.09999999999997</v>
      </c>
      <c r="C91" s="84">
        <v>3.1374999999999997</v>
      </c>
      <c r="D91" s="89">
        <v>1.8863636363636365</v>
      </c>
      <c r="E91" s="85">
        <v>0.39772727272727271</v>
      </c>
      <c r="F91" s="85">
        <v>0.31393568147013784</v>
      </c>
      <c r="G91" s="85">
        <v>0.15926493108728942</v>
      </c>
      <c r="H91" s="86">
        <v>10536.585365853658</v>
      </c>
      <c r="I91" s="86">
        <v>-9215.3846153846152</v>
      </c>
      <c r="J91" s="85">
        <v>0.125</v>
      </c>
      <c r="K91" s="85">
        <v>0.18181818181818182</v>
      </c>
      <c r="L91" s="85">
        <v>0.11363636363636363</v>
      </c>
      <c r="M91" s="85">
        <v>0.3206831119544592</v>
      </c>
      <c r="N91" s="85">
        <v>0.23339658444022771</v>
      </c>
      <c r="O91" s="85">
        <v>0.59171597633136097</v>
      </c>
      <c r="P91" s="85">
        <v>0.38211382113821141</v>
      </c>
      <c r="Q91" s="85">
        <v>0.45853658536585368</v>
      </c>
    </row>
    <row r="92" spans="1:17" x14ac:dyDescent="0.4">
      <c r="A92" s="87">
        <v>89</v>
      </c>
      <c r="B92" s="84">
        <v>259.49999999999994</v>
      </c>
      <c r="C92" s="84">
        <v>2.9157303370786511</v>
      </c>
      <c r="D92" s="89">
        <v>1.898876404494382</v>
      </c>
      <c r="E92" s="85">
        <v>0.39325842696629215</v>
      </c>
      <c r="F92" s="85">
        <v>0.31316187594553707</v>
      </c>
      <c r="G92" s="85">
        <v>0.16187594553706505</v>
      </c>
      <c r="H92" s="86">
        <v>10512.077294685991</v>
      </c>
      <c r="I92" s="86">
        <v>-9065.4205607476633</v>
      </c>
      <c r="J92" s="85">
        <v>0.12359550561797752</v>
      </c>
      <c r="K92" s="85">
        <v>0.1797752808988764</v>
      </c>
      <c r="L92" s="85">
        <v>0.11235955056179775</v>
      </c>
      <c r="M92" s="85">
        <v>0.3252336448598131</v>
      </c>
      <c r="N92" s="85">
        <v>0.23177570093457944</v>
      </c>
      <c r="O92" s="85">
        <v>0.58620689655172409</v>
      </c>
      <c r="P92" s="85">
        <v>0.37903225806451613</v>
      </c>
      <c r="Q92" s="85">
        <v>0.45410628019323673</v>
      </c>
    </row>
    <row r="93" spans="1:17" x14ac:dyDescent="0.4">
      <c r="A93" s="87">
        <v>90</v>
      </c>
      <c r="B93" s="84">
        <v>286.89999999999992</v>
      </c>
      <c r="C93" s="84">
        <v>3.1877777777777769</v>
      </c>
      <c r="D93" s="89">
        <v>1.8888888888888888</v>
      </c>
      <c r="E93" s="85">
        <v>0.4</v>
      </c>
      <c r="F93" s="85">
        <v>0.31492537313432833</v>
      </c>
      <c r="G93" s="85">
        <v>0.16119402985074627</v>
      </c>
      <c r="H93" s="86">
        <v>10525.592417061611</v>
      </c>
      <c r="I93" s="86">
        <v>-9055.5555555555547</v>
      </c>
      <c r="J93" s="85">
        <v>0.12222222222222222</v>
      </c>
      <c r="K93" s="85">
        <v>0.18888888888888888</v>
      </c>
      <c r="L93" s="85">
        <v>0.12222222222222222</v>
      </c>
      <c r="M93" s="85">
        <v>0.32536764705882354</v>
      </c>
      <c r="N93" s="85">
        <v>0.23345588235294118</v>
      </c>
      <c r="O93" s="85">
        <v>0.58757062146892658</v>
      </c>
      <c r="P93" s="85">
        <v>0.38582677165354329</v>
      </c>
      <c r="Q93" s="85">
        <v>0.45023696682464454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6A1D-BE9C-4D77-A980-6283E45899EE}">
  <sheetPr codeName="Sheet20"/>
  <dimension ref="A1:Q5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L4" s="85">
        <v>0</v>
      </c>
      <c r="Q4" s="85">
        <v>0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L6" s="85">
        <v>0.33333333333333331</v>
      </c>
      <c r="Q6" s="85">
        <v>0.375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L7" s="85">
        <v>0.25</v>
      </c>
      <c r="Q7" s="85">
        <v>0.45454545454545453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L8" s="85">
        <v>0.2</v>
      </c>
      <c r="Q8" s="85">
        <v>0.5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L9" s="85">
        <v>0.16666666666666666</v>
      </c>
      <c r="Q9" s="85">
        <v>0.5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L10" s="85">
        <v>0.2857142857142857</v>
      </c>
      <c r="Q10" s="85">
        <v>0.55555555555555558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L11" s="85">
        <v>0.25</v>
      </c>
      <c r="Q11" s="85">
        <v>0.55555555555555558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L12" s="85">
        <v>0.22222222222222221</v>
      </c>
      <c r="Q12" s="85">
        <v>0.55000000000000004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L13" s="85">
        <v>0.2</v>
      </c>
      <c r="Q13" s="85">
        <v>0.52173913043478259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L14" s="85">
        <v>0.18181818181818182</v>
      </c>
      <c r="Q14" s="85">
        <v>0.54166666666666663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L15" s="85">
        <v>0.16666666666666666</v>
      </c>
      <c r="Q15" s="85">
        <v>0.54166666666666663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L16" s="85">
        <v>0.15384615384615385</v>
      </c>
      <c r="Q16" s="85">
        <v>0.48148148148148145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L17" s="85">
        <v>0.14285714285714285</v>
      </c>
      <c r="Q17" s="85">
        <v>0.48148148148148145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L18" s="85">
        <v>0.13333333333333333</v>
      </c>
      <c r="Q18" s="85">
        <v>0.4642857142857143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L19" s="85">
        <v>0.125</v>
      </c>
      <c r="Q19" s="85">
        <v>0.5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L20" s="85">
        <v>0.11764705882352941</v>
      </c>
      <c r="Q20" s="85">
        <v>0.46875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L21" s="85">
        <v>0.1111111111111111</v>
      </c>
      <c r="Q21" s="85">
        <v>0.45945945945945948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L22" s="85">
        <v>0.10526315789473684</v>
      </c>
      <c r="Q22" s="85">
        <v>0.44736842105263158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L23" s="85">
        <v>0.1</v>
      </c>
      <c r="Q23" s="85">
        <v>0.44736842105263158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L24" s="85">
        <v>9.5238095238095233E-2</v>
      </c>
      <c r="Q24" s="85">
        <v>0.45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L25" s="85">
        <v>9.0909090909090912E-2</v>
      </c>
      <c r="Q25" s="85">
        <v>0.46666666666666667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L26" s="85">
        <v>8.6956521739130432E-2</v>
      </c>
      <c r="Q26" s="85">
        <v>0.46938775510204084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L27" s="85">
        <v>8.3333333333333329E-2</v>
      </c>
      <c r="Q27" s="85">
        <v>0.45098039215686275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0.08</v>
      </c>
      <c r="M28" s="85">
        <v>0</v>
      </c>
      <c r="N28" s="85">
        <v>0.33333333333333331</v>
      </c>
      <c r="O28" s="85">
        <v>0</v>
      </c>
      <c r="P28" s="85">
        <v>0.5</v>
      </c>
      <c r="Q28" s="85">
        <v>0.44230769230769229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7.6923076923076927E-2</v>
      </c>
      <c r="M29" s="85">
        <v>0.1111111111111111</v>
      </c>
      <c r="N29" s="85">
        <v>0.33333333333333331</v>
      </c>
      <c r="O29" s="85">
        <v>0.5</v>
      </c>
      <c r="P29" s="85">
        <v>0.5</v>
      </c>
      <c r="Q29" s="85">
        <v>0.45454545454545453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7.407407407407407E-2</v>
      </c>
      <c r="M30" s="85">
        <v>0.16129032258064516</v>
      </c>
      <c r="N30" s="85">
        <v>0.35483870967741937</v>
      </c>
      <c r="O30" s="85">
        <v>0.4</v>
      </c>
      <c r="P30" s="85">
        <v>0.45454545454545453</v>
      </c>
      <c r="Q30" s="85">
        <v>0.4576271186440678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7.1428571428571425E-2</v>
      </c>
      <c r="M31" s="85">
        <v>0.15384615384615385</v>
      </c>
      <c r="N31" s="85">
        <v>0.38461538461538464</v>
      </c>
      <c r="O31" s="85">
        <v>0.5</v>
      </c>
      <c r="P31" s="85">
        <v>0.46666666666666667</v>
      </c>
      <c r="Q31" s="85">
        <v>0.45161290322580644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6.8965517241379309E-2</v>
      </c>
      <c r="M32" s="85">
        <v>0.17647058823529413</v>
      </c>
      <c r="N32" s="85">
        <v>0.37254901960784315</v>
      </c>
      <c r="O32" s="85">
        <v>0.44444444444444442</v>
      </c>
      <c r="P32" s="85">
        <v>0.47368421052631576</v>
      </c>
      <c r="Q32" s="85">
        <v>0.43283582089552236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6.6666666666666666E-2</v>
      </c>
      <c r="M33" s="85">
        <v>0.21052631578947367</v>
      </c>
      <c r="N33" s="85">
        <v>0.35087719298245612</v>
      </c>
      <c r="O33" s="85">
        <v>0.33333333333333331</v>
      </c>
      <c r="P33" s="85">
        <v>0.45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6.4516129032258063E-2</v>
      </c>
      <c r="M34" s="85">
        <v>0.19696969696969696</v>
      </c>
      <c r="N34" s="85">
        <v>0.30303030303030304</v>
      </c>
      <c r="O34" s="85">
        <v>0.38461538461538464</v>
      </c>
      <c r="P34" s="85">
        <v>0.45</v>
      </c>
      <c r="Q34" s="85">
        <v>0.43478260869565216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6.25E-2</v>
      </c>
      <c r="M35" s="85">
        <v>0.20547945205479451</v>
      </c>
      <c r="N35" s="85">
        <v>0.28767123287671231</v>
      </c>
      <c r="O35" s="85">
        <v>0.4</v>
      </c>
      <c r="P35" s="85">
        <v>0.42857142857142855</v>
      </c>
      <c r="Q35" s="85">
        <v>0.42253521126760563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6.0606060606060608E-2</v>
      </c>
      <c r="M36" s="85">
        <v>0.19753086419753085</v>
      </c>
      <c r="N36" s="85">
        <v>0.27160493827160492</v>
      </c>
      <c r="O36" s="85">
        <v>0.375</v>
      </c>
      <c r="P36" s="85">
        <v>0.40909090909090912</v>
      </c>
      <c r="Q36" s="85">
        <v>0.41666666666666669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5.8823529411764705E-2</v>
      </c>
      <c r="M37" s="85">
        <v>0.19540229885057472</v>
      </c>
      <c r="N37" s="85">
        <v>0.28735632183908044</v>
      </c>
      <c r="O37" s="85">
        <v>0.41176470588235292</v>
      </c>
      <c r="P37" s="85">
        <v>0.4</v>
      </c>
      <c r="Q37" s="85">
        <v>0.40540540540540543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5.7142857142857141E-2</v>
      </c>
      <c r="M38" s="85">
        <v>0.22340425531914893</v>
      </c>
      <c r="N38" s="85">
        <v>0.2978723404255319</v>
      </c>
      <c r="O38" s="85">
        <v>0.42857142857142855</v>
      </c>
      <c r="P38" s="85">
        <v>0.42857142857142855</v>
      </c>
      <c r="Q38" s="85">
        <v>0.42307692307692307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5.5555555555555552E-2</v>
      </c>
      <c r="M39" s="85">
        <v>0.22772277227722773</v>
      </c>
      <c r="N39" s="85">
        <v>0.30693069306930693</v>
      </c>
      <c r="O39" s="85">
        <v>0.39130434782608697</v>
      </c>
      <c r="P39" s="85">
        <v>0.4838709677419355</v>
      </c>
      <c r="Q39" s="85">
        <v>0.41975308641975306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5.4054054054054057E-2</v>
      </c>
      <c r="M40" s="85">
        <v>0.21100917431192662</v>
      </c>
      <c r="N40" s="85">
        <v>0.31192660550458717</v>
      </c>
      <c r="O40" s="85">
        <v>0.39130434782608697</v>
      </c>
      <c r="P40" s="85">
        <v>0.44117647058823528</v>
      </c>
      <c r="Q40" s="85">
        <v>0.41975308641975306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5.2631578947368418E-2</v>
      </c>
      <c r="M41" s="85">
        <v>0.21238938053097345</v>
      </c>
      <c r="N41" s="85">
        <v>0.30973451327433627</v>
      </c>
      <c r="O41" s="85">
        <v>0.41666666666666669</v>
      </c>
      <c r="P41" s="85">
        <v>0.42857142857142855</v>
      </c>
      <c r="Q41" s="85">
        <v>0.41463414634146339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5.128205128205128E-2</v>
      </c>
      <c r="M42" s="85">
        <v>0.21666666666666667</v>
      </c>
      <c r="N42" s="85">
        <v>0.31666666666666665</v>
      </c>
      <c r="O42" s="85">
        <v>0.38461538461538464</v>
      </c>
      <c r="P42" s="85">
        <v>0.42105263157894735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0.05</v>
      </c>
      <c r="M43" s="85">
        <v>0.20472440944881889</v>
      </c>
      <c r="N43" s="85">
        <v>0.30708661417322836</v>
      </c>
      <c r="O43" s="85">
        <v>0.38461538461538464</v>
      </c>
      <c r="P43" s="85">
        <v>0.41025641025641024</v>
      </c>
      <c r="Q43" s="85">
        <v>0.40963855421686746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4.878048780487805E-2</v>
      </c>
      <c r="M44" s="85">
        <v>0.21481481481481482</v>
      </c>
      <c r="N44" s="85">
        <v>0.3037037037037037</v>
      </c>
      <c r="O44" s="85">
        <v>0.34482758620689657</v>
      </c>
      <c r="P44" s="85">
        <v>0.3902439024390244</v>
      </c>
      <c r="Q44" s="85">
        <v>0.40963855421686746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4.7619047619047616E-2</v>
      </c>
      <c r="M45" s="85">
        <v>0.21379310344827587</v>
      </c>
      <c r="N45" s="85">
        <v>0.30344827586206896</v>
      </c>
      <c r="O45" s="85">
        <v>0.35483870967741937</v>
      </c>
      <c r="P45" s="85">
        <v>0.38636363636363635</v>
      </c>
      <c r="Q45" s="85">
        <v>0.4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4.6511627906976744E-2</v>
      </c>
      <c r="M46" s="85">
        <v>0.2251655629139073</v>
      </c>
      <c r="N46" s="85">
        <v>0.29139072847682118</v>
      </c>
      <c r="O46" s="85">
        <v>0.35294117647058826</v>
      </c>
      <c r="P46" s="85">
        <v>0.38636363636363635</v>
      </c>
      <c r="Q46" s="85">
        <v>0.40697674418604651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4.5454545454545456E-2</v>
      </c>
      <c r="M47" s="85">
        <v>0.22839506172839505</v>
      </c>
      <c r="N47" s="85">
        <v>0.2839506172839506</v>
      </c>
      <c r="O47" s="85">
        <v>0.35135135135135137</v>
      </c>
      <c r="P47" s="85">
        <v>0.39130434782608697</v>
      </c>
      <c r="Q47" s="85">
        <v>0.42045454545454547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4.4444444444444446E-2</v>
      </c>
      <c r="M48" s="85">
        <v>0.22754491017964071</v>
      </c>
      <c r="N48" s="85">
        <v>0.28143712574850299</v>
      </c>
      <c r="O48" s="85">
        <v>0.34210526315789475</v>
      </c>
      <c r="P48" s="85">
        <v>0.38297872340425532</v>
      </c>
      <c r="Q48" s="85">
        <v>0.42045454545454547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4.3478260869565216E-2</v>
      </c>
      <c r="M49" s="85">
        <v>0.22285714285714286</v>
      </c>
      <c r="N49" s="85">
        <v>0.28000000000000003</v>
      </c>
      <c r="O49" s="85">
        <v>0.35897435897435898</v>
      </c>
      <c r="P49" s="85">
        <v>0.36734693877551022</v>
      </c>
      <c r="Q49" s="85">
        <v>0.42696629213483145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4.2553191489361701E-2</v>
      </c>
      <c r="M50" s="85">
        <v>0.22826086956521738</v>
      </c>
      <c r="N50" s="85">
        <v>0.27717391304347827</v>
      </c>
      <c r="O50" s="85">
        <v>0.35714285714285715</v>
      </c>
      <c r="P50" s="85">
        <v>0.37254901960784315</v>
      </c>
      <c r="Q50" s="85">
        <v>0.42857142857142855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4.1666666666666664E-2</v>
      </c>
      <c r="M51" s="85">
        <v>0.22631578947368422</v>
      </c>
      <c r="N51" s="85">
        <v>0.27368421052631581</v>
      </c>
      <c r="O51" s="85">
        <v>0.37209302325581395</v>
      </c>
      <c r="P51" s="85">
        <v>0.36538461538461536</v>
      </c>
      <c r="Q51" s="85">
        <v>0.42391304347826086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4.0816326530612242E-2</v>
      </c>
      <c r="M52" s="85">
        <v>0.22222222222222221</v>
      </c>
      <c r="N52" s="85">
        <v>0.27777777777777779</v>
      </c>
      <c r="O52" s="85">
        <v>0.38636363636363635</v>
      </c>
      <c r="P52" s="85">
        <v>0.38181818181818183</v>
      </c>
      <c r="Q52" s="85">
        <v>0.43157894736842106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0.06</v>
      </c>
      <c r="M53" s="85">
        <v>0.23076923076923078</v>
      </c>
      <c r="N53" s="85">
        <v>0.27403846153846156</v>
      </c>
      <c r="O53" s="85">
        <v>0.41666666666666669</v>
      </c>
      <c r="P53" s="85">
        <v>0.36842105263157893</v>
      </c>
      <c r="Q53" s="85">
        <v>0.43877551020408162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5.8823529411764705E-2</v>
      </c>
      <c r="M54" s="85">
        <v>0.23853211009174313</v>
      </c>
      <c r="N54" s="85">
        <v>0.27064220183486237</v>
      </c>
      <c r="O54" s="85">
        <v>0.40384615384615385</v>
      </c>
      <c r="P54" s="85">
        <v>0.3728813559322034</v>
      </c>
      <c r="Q54" s="85">
        <v>0.44554455445544555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5.7692307692307696E-2</v>
      </c>
      <c r="M55" s="85">
        <v>0.24</v>
      </c>
      <c r="N55" s="85">
        <v>0.27111111111111114</v>
      </c>
      <c r="O55" s="85">
        <v>0.3888888888888889</v>
      </c>
      <c r="P55" s="85">
        <v>0.37704918032786883</v>
      </c>
      <c r="Q55" s="85">
        <v>0.45098039215686275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5.6603773584905662E-2</v>
      </c>
      <c r="M56" s="85">
        <v>0.24050632911392406</v>
      </c>
      <c r="N56" s="85">
        <v>0.27004219409282698</v>
      </c>
      <c r="O56" s="85">
        <v>0.40350877192982454</v>
      </c>
      <c r="P56" s="85">
        <v>0.375</v>
      </c>
      <c r="Q56" s="85">
        <v>0.45283018867924529</v>
      </c>
    </row>
    <row r="57" spans="1:17" x14ac:dyDescent="0.4">
      <c r="A57" s="87">
        <v>54</v>
      </c>
      <c r="B57" s="84">
        <v>-445.09999999999991</v>
      </c>
      <c r="C57" s="84">
        <v>-8.2425925925925903</v>
      </c>
      <c r="D57" s="89">
        <v>2.2407407407407409</v>
      </c>
      <c r="E57" s="85">
        <v>0.18518518518518517</v>
      </c>
      <c r="F57" s="85">
        <v>0.25882352941176473</v>
      </c>
      <c r="G57" s="85">
        <v>0.19529411764705881</v>
      </c>
      <c r="H57" s="86">
        <v>9090.9090909090901</v>
      </c>
      <c r="I57" s="86">
        <v>-9473.4939759036151</v>
      </c>
      <c r="J57" s="85">
        <v>0.20370370370370369</v>
      </c>
      <c r="K57" s="85">
        <v>0.12962962962962962</v>
      </c>
      <c r="L57" s="85">
        <v>5.5555555555555552E-2</v>
      </c>
      <c r="M57" s="85">
        <v>0.24897959183673468</v>
      </c>
      <c r="N57" s="85">
        <v>0.26938775510204083</v>
      </c>
      <c r="O57" s="85">
        <v>0.42622950819672129</v>
      </c>
      <c r="P57" s="85">
        <v>0.36363636363636365</v>
      </c>
      <c r="Q57" s="85">
        <v>0.45454545454545453</v>
      </c>
    </row>
    <row r="58" spans="1:17" x14ac:dyDescent="0.4">
      <c r="A58" s="87">
        <v>55</v>
      </c>
      <c r="B58" s="84">
        <v>-465.59999999999991</v>
      </c>
      <c r="C58" s="84">
        <v>-8.4654545454545431</v>
      </c>
      <c r="D58" s="89">
        <v>2.2545454545454544</v>
      </c>
      <c r="E58" s="85">
        <v>0.18181818181818182</v>
      </c>
      <c r="F58" s="85">
        <v>0.25925925925925924</v>
      </c>
      <c r="G58" s="85">
        <v>0.19444444444444445</v>
      </c>
      <c r="H58" s="86">
        <v>9053.5714285714294</v>
      </c>
      <c r="I58" s="86">
        <v>-9551.1904761904771</v>
      </c>
      <c r="J58" s="85">
        <v>0.2</v>
      </c>
      <c r="K58" s="85">
        <v>0.12727272727272726</v>
      </c>
      <c r="L58" s="85">
        <v>5.4545454545454543E-2</v>
      </c>
      <c r="M58" s="85">
        <v>0.24603174603174602</v>
      </c>
      <c r="N58" s="85">
        <v>0.26587301587301587</v>
      </c>
      <c r="O58" s="85">
        <v>0.43548387096774194</v>
      </c>
      <c r="P58" s="85">
        <v>0.37313432835820898</v>
      </c>
      <c r="Q58" s="85">
        <v>0.45535714285714285</v>
      </c>
    </row>
    <row r="59" spans="1:17" x14ac:dyDescent="0.4">
      <c r="A59" s="87">
        <v>56</v>
      </c>
      <c r="B59" s="84">
        <v>-502.59999999999991</v>
      </c>
      <c r="C59" s="84">
        <v>-8.9749999999999979</v>
      </c>
      <c r="D59" s="89">
        <v>2.2678571428571428</v>
      </c>
      <c r="E59" s="85">
        <v>0.17857142857142858</v>
      </c>
      <c r="F59" s="85">
        <v>0.25629290617848971</v>
      </c>
      <c r="G59" s="85">
        <v>0.19679633867276888</v>
      </c>
      <c r="H59" s="86">
        <v>9053.5714285714294</v>
      </c>
      <c r="I59" s="86">
        <v>-9515.1162790697672</v>
      </c>
      <c r="J59" s="85">
        <v>0.21428571428571427</v>
      </c>
      <c r="K59" s="85">
        <v>0.125</v>
      </c>
      <c r="L59" s="85">
        <v>5.3571428571428568E-2</v>
      </c>
      <c r="M59" s="85">
        <v>0.24124513618677043</v>
      </c>
      <c r="N59" s="85">
        <v>0.26459143968871596</v>
      </c>
      <c r="O59" s="85">
        <v>0.43548387096774194</v>
      </c>
      <c r="P59" s="85">
        <v>0.36764705882352944</v>
      </c>
      <c r="Q59" s="85">
        <v>0.45535714285714285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3692A-3C81-44FE-89B1-1E733DEF14B6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172</v>
      </c>
      <c r="B1" s="88" t="s">
        <v>172</v>
      </c>
      <c r="C1" s="88" t="s">
        <v>172</v>
      </c>
      <c r="D1" s="89" t="s">
        <v>172</v>
      </c>
      <c r="E1" s="88" t="s">
        <v>172</v>
      </c>
      <c r="F1" s="88" t="s">
        <v>172</v>
      </c>
      <c r="G1" s="88" t="s">
        <v>172</v>
      </c>
      <c r="H1" s="88" t="s">
        <v>172</v>
      </c>
      <c r="I1" s="88" t="s">
        <v>172</v>
      </c>
      <c r="J1" s="88" t="s">
        <v>172</v>
      </c>
      <c r="K1" s="88" t="s">
        <v>172</v>
      </c>
      <c r="L1" s="88" t="s">
        <v>172</v>
      </c>
      <c r="M1" s="88" t="s">
        <v>172</v>
      </c>
      <c r="N1" s="88" t="s">
        <v>172</v>
      </c>
      <c r="O1" s="88" t="s">
        <v>172</v>
      </c>
      <c r="P1" s="88" t="s">
        <v>172</v>
      </c>
      <c r="Q1" s="88" t="s">
        <v>172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</v>
      </c>
      <c r="N5" s="85">
        <v>0.33333333333333331</v>
      </c>
      <c r="O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</v>
      </c>
      <c r="M6" s="85">
        <v>0.25</v>
      </c>
      <c r="N6" s="85">
        <v>0.25</v>
      </c>
      <c r="O6" s="85">
        <v>0.75</v>
      </c>
      <c r="P6" s="85">
        <v>0.25</v>
      </c>
      <c r="Q6" s="85">
        <v>0.4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</v>
      </c>
      <c r="M7" s="85">
        <v>0.23076923076923078</v>
      </c>
      <c r="N7" s="85">
        <v>0.19230769230769232</v>
      </c>
      <c r="O7" s="85">
        <v>0.83333333333333337</v>
      </c>
      <c r="P7" s="85">
        <v>0.2</v>
      </c>
      <c r="Q7" s="85">
        <v>0.2857142857142857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</v>
      </c>
      <c r="M8" s="85">
        <v>0.25806451612903225</v>
      </c>
      <c r="N8" s="85">
        <v>0.16129032258064516</v>
      </c>
      <c r="O8" s="85">
        <v>0.75</v>
      </c>
      <c r="P8" s="85">
        <v>0.2</v>
      </c>
      <c r="Q8" s="85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DDC46-9380-41A2-B240-3F76283F632C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L5" s="85">
        <v>0</v>
      </c>
      <c r="Q5" s="85">
        <v>0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L6" s="85">
        <v>0</v>
      </c>
      <c r="Q6" s="85">
        <v>0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L7" s="85">
        <v>0</v>
      </c>
      <c r="Q7" s="85">
        <v>0.16666666666666666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L8" s="85">
        <v>0</v>
      </c>
      <c r="Q8" s="85">
        <v>0.14285714285714285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L9" s="85">
        <v>0</v>
      </c>
      <c r="Q9" s="85">
        <v>0.1111111111111111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L10" s="85">
        <v>0</v>
      </c>
      <c r="Q10" s="85">
        <v>0.27272727272727271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L11" s="85">
        <v>0</v>
      </c>
      <c r="Q11" s="85">
        <v>0.25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L12" s="85">
        <v>0</v>
      </c>
      <c r="Q12" s="85">
        <v>0.26666666666666666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L13" s="85">
        <v>0</v>
      </c>
      <c r="Q13" s="85">
        <v>0.27777777777777779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L14" s="85">
        <v>0</v>
      </c>
      <c r="Q14" s="85">
        <v>0.26315789473684209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L15" s="85">
        <v>0</v>
      </c>
      <c r="Q15" s="85">
        <v>0.22222222222222221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L16" s="85">
        <v>0</v>
      </c>
      <c r="Q16" s="85">
        <v>0.26666666666666666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L17" s="85">
        <v>0</v>
      </c>
      <c r="Q17" s="85">
        <v>0.27272727272727271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L18" s="85">
        <v>6.6666666666666666E-2</v>
      </c>
      <c r="Q18" s="85">
        <v>0.34210526315789475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L19" s="85">
        <v>6.25E-2</v>
      </c>
      <c r="Q19" s="85">
        <v>0.36585365853658536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L20" s="85">
        <v>5.8823529411764705E-2</v>
      </c>
      <c r="Q20" s="85">
        <v>0.38095238095238093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L21" s="85">
        <v>5.5555555555555552E-2</v>
      </c>
      <c r="Q21" s="85">
        <v>0.37209302325581395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L22" s="85">
        <v>5.2631578947368418E-2</v>
      </c>
      <c r="Q22" s="85">
        <v>0.38636363636363635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L23" s="85">
        <v>0.05</v>
      </c>
      <c r="Q23" s="85">
        <v>0.38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L24" s="85">
        <v>4.7619047619047616E-2</v>
      </c>
      <c r="Q24" s="85">
        <v>0.41818181818181815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L25" s="85">
        <v>4.5454545454545456E-2</v>
      </c>
      <c r="Q25" s="85">
        <v>0.43859649122807015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L26" s="85">
        <v>4.3478260869565216E-2</v>
      </c>
      <c r="Q26" s="85">
        <v>0.42622950819672129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L27" s="85">
        <v>4.1666666666666664E-2</v>
      </c>
      <c r="Q27" s="85">
        <v>0.41935483870967744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L28" s="85">
        <v>0.04</v>
      </c>
      <c r="Q28" s="85">
        <v>0.4375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L29" s="85">
        <v>3.8461538461538464E-2</v>
      </c>
      <c r="Q29" s="85">
        <v>0.44927536231884058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L30" s="85">
        <v>7.407407407407407E-2</v>
      </c>
      <c r="Q30" s="85">
        <v>0.45070422535211269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L31" s="85">
        <v>7.1428571428571425E-2</v>
      </c>
      <c r="Q31" s="85">
        <v>0.43835616438356162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L32" s="85">
        <v>6.8965517241379309E-2</v>
      </c>
      <c r="Q32" s="85">
        <v>0.41558441558441561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L33" s="85">
        <v>6.6666666666666666E-2</v>
      </c>
      <c r="Q33" s="85">
        <v>0.41558441558441561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L34" s="85">
        <v>6.4516129032258063E-2</v>
      </c>
      <c r="Q34" s="85">
        <v>0.42307692307692307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L35" s="85">
        <v>6.25E-2</v>
      </c>
      <c r="Q35" s="85">
        <v>0.41975308641975306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L36" s="85">
        <v>9.0909090909090912E-2</v>
      </c>
      <c r="Q36" s="85">
        <v>0.43529411764705883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L37" s="85">
        <v>8.8235294117647065E-2</v>
      </c>
      <c r="Q37" s="85">
        <v>0.43678160919540232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8.5714285714285715E-2</v>
      </c>
      <c r="M38" s="85">
        <v>0.14285714285714285</v>
      </c>
      <c r="N38" s="85">
        <v>0.42857142857142855</v>
      </c>
      <c r="O38" s="85">
        <v>0</v>
      </c>
      <c r="P38" s="85">
        <v>0</v>
      </c>
      <c r="Q38" s="85">
        <v>0.43678160919540232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8.3333333333333329E-2</v>
      </c>
      <c r="M39" s="85">
        <v>0.30769230769230771</v>
      </c>
      <c r="N39" s="85">
        <v>0.38461538461538464</v>
      </c>
      <c r="O39" s="85">
        <v>0.5</v>
      </c>
      <c r="P39" s="85">
        <v>0.2</v>
      </c>
      <c r="Q39" s="85">
        <v>0.43956043956043955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8.1081081081081086E-2</v>
      </c>
      <c r="M40" s="85">
        <v>0.23809523809523808</v>
      </c>
      <c r="N40" s="85">
        <v>0.38095238095238093</v>
      </c>
      <c r="O40" s="85">
        <v>0.4</v>
      </c>
      <c r="P40" s="85">
        <v>0.375</v>
      </c>
      <c r="Q40" s="85">
        <v>0.45263157894736844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7.8947368421052627E-2</v>
      </c>
      <c r="M41" s="85">
        <v>0.20689655172413793</v>
      </c>
      <c r="N41" s="85">
        <v>0.37931034482758619</v>
      </c>
      <c r="O41" s="85">
        <v>0.33333333333333331</v>
      </c>
      <c r="P41" s="85">
        <v>0.36363636363636365</v>
      </c>
      <c r="Q41" s="85">
        <v>0.45833333333333331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7.6923076923076927E-2</v>
      </c>
      <c r="M42" s="85">
        <v>0.21212121212121213</v>
      </c>
      <c r="N42" s="85">
        <v>0.33333333333333331</v>
      </c>
      <c r="O42" s="85">
        <v>0.42857142857142855</v>
      </c>
      <c r="P42" s="85">
        <v>0.36363636363636365</v>
      </c>
      <c r="Q42" s="85">
        <v>0.45360824742268041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7.4999999999999997E-2</v>
      </c>
      <c r="M43" s="85">
        <v>0.17391304347826086</v>
      </c>
      <c r="N43" s="85">
        <v>0.34782608695652173</v>
      </c>
      <c r="O43" s="85">
        <v>0.5</v>
      </c>
      <c r="P43" s="85">
        <v>0.375</v>
      </c>
      <c r="Q43" s="85">
        <v>0.47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7.3170731707317069E-2</v>
      </c>
      <c r="M44" s="85">
        <v>0.16326530612244897</v>
      </c>
      <c r="N44" s="85">
        <v>0.34693877551020408</v>
      </c>
      <c r="O44" s="85">
        <v>0.5</v>
      </c>
      <c r="P44" s="85">
        <v>0.35294117647058826</v>
      </c>
      <c r="Q44" s="85">
        <v>0.47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7.1428571428571425E-2</v>
      </c>
      <c r="M45" s="85">
        <v>0.20967741935483872</v>
      </c>
      <c r="N45" s="85">
        <v>0.32258064516129031</v>
      </c>
      <c r="O45" s="85">
        <v>0.53846153846153844</v>
      </c>
      <c r="P45" s="85">
        <v>0.35</v>
      </c>
      <c r="Q45" s="85">
        <v>0.47619047619047616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6.9767441860465115E-2</v>
      </c>
      <c r="M46" s="85">
        <v>0.21212121212121213</v>
      </c>
      <c r="N46" s="85">
        <v>0.34848484848484851</v>
      </c>
      <c r="O46" s="85">
        <v>0.5714285714285714</v>
      </c>
      <c r="P46" s="85">
        <v>0.39130434782608697</v>
      </c>
      <c r="Q46" s="85">
        <v>0.46296296296296297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6.8181818181818177E-2</v>
      </c>
      <c r="M47" s="85">
        <v>0.20547945205479451</v>
      </c>
      <c r="N47" s="85">
        <v>0.35616438356164382</v>
      </c>
      <c r="O47" s="85">
        <v>0.53333333333333333</v>
      </c>
      <c r="P47" s="85">
        <v>0.38461538461538464</v>
      </c>
      <c r="Q47" s="85">
        <v>0.45454545454545453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6.6666666666666666E-2</v>
      </c>
      <c r="M48" s="85">
        <v>0.20253164556962025</v>
      </c>
      <c r="N48" s="85">
        <v>0.35443037974683544</v>
      </c>
      <c r="O48" s="85">
        <v>0.5625</v>
      </c>
      <c r="P48" s="85">
        <v>0.35714285714285715</v>
      </c>
      <c r="Q48" s="85">
        <v>0.45045045045045046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6.5217391304347824E-2</v>
      </c>
      <c r="M49" s="85">
        <v>0.18390804597701149</v>
      </c>
      <c r="N49" s="85">
        <v>0.34482758620689657</v>
      </c>
      <c r="O49" s="85">
        <v>0.5625</v>
      </c>
      <c r="P49" s="85">
        <v>0.33333333333333331</v>
      </c>
      <c r="Q49" s="85">
        <v>0.45045045045045046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6.3829787234042548E-2</v>
      </c>
      <c r="M50" s="85">
        <v>0.17894736842105263</v>
      </c>
      <c r="N50" s="85">
        <v>0.33684210526315789</v>
      </c>
      <c r="O50" s="85">
        <v>0.58823529411764708</v>
      </c>
      <c r="P50" s="85">
        <v>0.375</v>
      </c>
      <c r="Q50" s="85">
        <v>0.43859649122807015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6.25E-2</v>
      </c>
      <c r="M51" s="85">
        <v>0.20952380952380953</v>
      </c>
      <c r="N51" s="85">
        <v>0.32380952380952382</v>
      </c>
      <c r="O51" s="85">
        <v>0.68181818181818177</v>
      </c>
      <c r="P51" s="85">
        <v>0.38235294117647056</v>
      </c>
      <c r="Q51" s="85">
        <v>0.42148760330578511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6.1224489795918366E-2</v>
      </c>
      <c r="M52" s="85">
        <v>0.22321428571428573</v>
      </c>
      <c r="N52" s="85">
        <v>0.33035714285714285</v>
      </c>
      <c r="O52" s="85">
        <v>0.68</v>
      </c>
      <c r="P52" s="85">
        <v>0.35135135135135137</v>
      </c>
      <c r="Q52" s="85">
        <v>0.43089430894308944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0.06</v>
      </c>
      <c r="M53" s="85">
        <v>0.22123893805309736</v>
      </c>
      <c r="N53" s="85">
        <v>0.32743362831858408</v>
      </c>
      <c r="O53" s="85">
        <v>0.68</v>
      </c>
      <c r="P53" s="85">
        <v>0.35135135135135137</v>
      </c>
      <c r="Q53" s="85">
        <v>0.43089430894308944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5.8823529411764705E-2</v>
      </c>
      <c r="M54" s="85">
        <v>0.22131147540983606</v>
      </c>
      <c r="N54" s="85">
        <v>0.31147540983606559</v>
      </c>
      <c r="O54" s="85">
        <v>0.66666666666666663</v>
      </c>
      <c r="P54" s="85">
        <v>0.36842105263157893</v>
      </c>
      <c r="Q54" s="85">
        <v>0.4573643410852713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5.7692307692307696E-2</v>
      </c>
      <c r="M55" s="85">
        <v>0.22900763358778625</v>
      </c>
      <c r="N55" s="85">
        <v>0.29770992366412213</v>
      </c>
      <c r="O55" s="85">
        <v>0.66666666666666663</v>
      </c>
      <c r="P55" s="85">
        <v>0.38461538461538464</v>
      </c>
      <c r="Q55" s="85">
        <v>0.46616541353383456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5.6603773584905662E-2</v>
      </c>
      <c r="M56" s="85">
        <v>0.22058823529411764</v>
      </c>
      <c r="N56" s="85">
        <v>0.3014705882352941</v>
      </c>
      <c r="O56" s="85">
        <v>0.66666666666666663</v>
      </c>
      <c r="P56" s="85">
        <v>0.36585365853658536</v>
      </c>
      <c r="Q56" s="85">
        <v>0.46616541353383456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5.5555555555555552E-2</v>
      </c>
      <c r="M57" s="85">
        <v>0.22448979591836735</v>
      </c>
      <c r="N57" s="85">
        <v>0.32653061224489793</v>
      </c>
      <c r="O57" s="85">
        <v>0.66666666666666663</v>
      </c>
      <c r="P57" s="85">
        <v>0.35416666666666669</v>
      </c>
      <c r="Q57" s="85">
        <v>0.45985401459854014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5.4545454545454543E-2</v>
      </c>
      <c r="M58" s="85">
        <v>0.23376623376623376</v>
      </c>
      <c r="N58" s="85">
        <v>0.32467532467532467</v>
      </c>
      <c r="O58" s="85">
        <v>0.63888888888888884</v>
      </c>
      <c r="P58" s="85">
        <v>0.38</v>
      </c>
      <c r="Q58" s="85">
        <v>0.46099290780141844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5.3571428571428568E-2</v>
      </c>
      <c r="M59" s="85">
        <v>0.23170731707317074</v>
      </c>
      <c r="N59" s="85">
        <v>0.31707317073170732</v>
      </c>
      <c r="O59" s="85">
        <v>0.63157894736842102</v>
      </c>
      <c r="P59" s="85">
        <v>0.38461538461538464</v>
      </c>
      <c r="Q59" s="85">
        <v>0.46853146853146854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5.2631578947368418E-2</v>
      </c>
      <c r="M60" s="85">
        <v>0.22674418604651161</v>
      </c>
      <c r="N60" s="85">
        <v>0.31976744186046513</v>
      </c>
      <c r="O60" s="85">
        <v>0.61538461538461542</v>
      </c>
      <c r="P60" s="85">
        <v>0.38181818181818183</v>
      </c>
      <c r="Q60" s="85">
        <v>0.46527777777777779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FE360-DC72-4759-9E0D-C278975F90B8}">
  <sheetPr codeName="Sheet14"/>
  <dimension ref="A1:Q11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L4" s="85">
        <v>0</v>
      </c>
      <c r="Q4" s="85">
        <v>0.33333333333333331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L6" s="85">
        <v>0</v>
      </c>
      <c r="Q6" s="85">
        <v>0.33333333333333331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L7" s="85">
        <v>0.25</v>
      </c>
      <c r="Q7" s="85">
        <v>0.25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L8" s="85">
        <v>0.2</v>
      </c>
      <c r="Q8" s="85">
        <v>0.16666666666666666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L9" s="85">
        <v>0.16666666666666666</v>
      </c>
      <c r="Q9" s="85">
        <v>0.1111111111111111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L10" s="85">
        <v>0.14285714285714285</v>
      </c>
      <c r="Q10" s="85">
        <v>0.15384615384615385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L11" s="85">
        <v>0.125</v>
      </c>
      <c r="Q11" s="85">
        <v>0.13333333333333333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L12" s="85">
        <v>0.1111111111111111</v>
      </c>
      <c r="Q12" s="85">
        <v>0.13333333333333333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L13" s="85">
        <v>0.1</v>
      </c>
      <c r="Q13" s="85">
        <v>0.13333333333333333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L14" s="85">
        <v>9.0909090909090912E-2</v>
      </c>
      <c r="Q14" s="85">
        <v>0.17647058823529413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L15" s="85">
        <v>8.3333333333333329E-2</v>
      </c>
      <c r="Q15" s="85">
        <v>0.16666666666666666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L16" s="85">
        <v>7.6923076923076927E-2</v>
      </c>
      <c r="Q16" s="85">
        <v>0.25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L17" s="85">
        <v>7.1428571428571425E-2</v>
      </c>
      <c r="Q17" s="85">
        <v>0.30434782608695654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L18" s="85">
        <v>0.13333333333333333</v>
      </c>
      <c r="Q18" s="85">
        <v>0.32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L19" s="85">
        <v>0.125</v>
      </c>
      <c r="Q19" s="85">
        <v>0.34615384615384615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L20" s="85">
        <v>0.11764705882352941</v>
      </c>
      <c r="Q20" s="85">
        <v>0.37931034482758619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L21" s="85">
        <v>0.1111111111111111</v>
      </c>
      <c r="Q21" s="85">
        <v>0.37931034482758619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L22" s="85">
        <v>0.10526315789473684</v>
      </c>
      <c r="Q22" s="85">
        <v>0.375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L23" s="85">
        <v>0.1</v>
      </c>
      <c r="Q23" s="85">
        <v>0.39393939393939392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L24" s="85">
        <v>9.5238095238095233E-2</v>
      </c>
      <c r="Q24" s="85">
        <v>0.39393939393939392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L25" s="85">
        <v>9.0909090909090912E-2</v>
      </c>
      <c r="Q25" s="85">
        <v>0.37142857142857144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L26" s="85">
        <v>8.6956521739130432E-2</v>
      </c>
      <c r="Q26" s="85">
        <v>0.3783783783783784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L27" s="85">
        <v>0.125</v>
      </c>
      <c r="Q27" s="85">
        <v>0.4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L28" s="85">
        <v>0.12</v>
      </c>
      <c r="Q28" s="85">
        <v>0.38095238095238093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L29" s="85">
        <v>0.11538461538461539</v>
      </c>
      <c r="Q29" s="85">
        <v>0.37209302325581395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L30" s="85">
        <v>0.1111111111111111</v>
      </c>
      <c r="Q30" s="85">
        <v>0.38636363636363635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L31" s="85">
        <v>0.10714285714285714</v>
      </c>
      <c r="Q31" s="85">
        <v>0.4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L32" s="85">
        <v>0.10344827586206896</v>
      </c>
      <c r="Q32" s="85">
        <v>0.39583333333333331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L33" s="85">
        <v>0.1</v>
      </c>
      <c r="Q33" s="85">
        <v>0.39583333333333331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L34" s="85">
        <v>9.6774193548387094E-2</v>
      </c>
      <c r="Q34" s="85">
        <v>0.39583333333333331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L35" s="85">
        <v>0.125</v>
      </c>
      <c r="Q35" s="85">
        <v>0.37735849056603776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L36" s="85">
        <v>0.15151515151515152</v>
      </c>
      <c r="Q36" s="85">
        <v>0.35087719298245612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L37" s="85">
        <v>0.14705882352941177</v>
      </c>
      <c r="Q37" s="85">
        <v>0.3559322033898305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L38" s="85">
        <v>0.14285714285714285</v>
      </c>
      <c r="Q38" s="85">
        <v>0.37704918032786883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L39" s="85">
        <v>0.1388888888888889</v>
      </c>
      <c r="Q39" s="85">
        <v>0.37704918032786883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0.13513513513513514</v>
      </c>
      <c r="M40" s="85">
        <v>0.33333333333333331</v>
      </c>
      <c r="N40" s="85">
        <v>0.33333333333333331</v>
      </c>
      <c r="O40" s="85">
        <v>0</v>
      </c>
      <c r="P40" s="85">
        <v>0</v>
      </c>
      <c r="Q40" s="85">
        <v>0.37704918032786883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0.13157894736842105</v>
      </c>
      <c r="M41" s="85">
        <v>0.45454545454545453</v>
      </c>
      <c r="N41" s="85">
        <v>0.18181818181818182</v>
      </c>
      <c r="O41" s="85">
        <v>0.4</v>
      </c>
      <c r="P41" s="85">
        <v>0</v>
      </c>
      <c r="Q41" s="85">
        <v>0.3968253968253968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0.12820512820512819</v>
      </c>
      <c r="M42" s="85">
        <v>0.42105263157894735</v>
      </c>
      <c r="N42" s="85">
        <v>0.15789473684210525</v>
      </c>
      <c r="O42" s="85">
        <v>0.375</v>
      </c>
      <c r="P42" s="85">
        <v>0.33333333333333331</v>
      </c>
      <c r="Q42" s="85">
        <v>0.4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0.125</v>
      </c>
      <c r="M43" s="85">
        <v>0.32</v>
      </c>
      <c r="N43" s="85">
        <v>0.16</v>
      </c>
      <c r="O43" s="85">
        <v>0.375</v>
      </c>
      <c r="P43" s="85">
        <v>0.25</v>
      </c>
      <c r="Q43" s="85">
        <v>0.4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0.12195121951219512</v>
      </c>
      <c r="M44" s="85">
        <v>0.27586206896551724</v>
      </c>
      <c r="N44" s="85">
        <v>0.13793103448275862</v>
      </c>
      <c r="O44" s="85">
        <v>0.375</v>
      </c>
      <c r="P44" s="85">
        <v>0.25</v>
      </c>
      <c r="Q44" s="85">
        <v>0.4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0.11904761904761904</v>
      </c>
      <c r="M45" s="85">
        <v>0.31428571428571428</v>
      </c>
      <c r="N45" s="85">
        <v>0.11428571428571428</v>
      </c>
      <c r="O45" s="85">
        <v>0.45454545454545453</v>
      </c>
      <c r="P45" s="85">
        <v>0.25</v>
      </c>
      <c r="Q45" s="85">
        <v>0.41791044776119401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0.11627906976744186</v>
      </c>
      <c r="M46" s="85">
        <v>0.31707317073170732</v>
      </c>
      <c r="N46" s="85">
        <v>0.14634146341463414</v>
      </c>
      <c r="O46" s="85">
        <v>0.53846153846153844</v>
      </c>
      <c r="P46" s="85">
        <v>0.16666666666666666</v>
      </c>
      <c r="Q46" s="85">
        <v>0.44285714285714284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0.11363636363636363</v>
      </c>
      <c r="M47" s="85">
        <v>0.28301886792452829</v>
      </c>
      <c r="N47" s="85">
        <v>0.16981132075471697</v>
      </c>
      <c r="O47" s="85">
        <v>0.6</v>
      </c>
      <c r="P47" s="85">
        <v>0.33333333333333331</v>
      </c>
      <c r="Q47" s="85">
        <v>0.44736842105263158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0.1111111111111111</v>
      </c>
      <c r="M48" s="85">
        <v>0.3</v>
      </c>
      <c r="N48" s="85">
        <v>0.16666666666666666</v>
      </c>
      <c r="O48" s="85">
        <v>0.55555555555555558</v>
      </c>
      <c r="P48" s="85">
        <v>0.3</v>
      </c>
      <c r="Q48" s="85">
        <v>0.45454545454545453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0.10869565217391304</v>
      </c>
      <c r="M49" s="85">
        <v>0.30769230769230771</v>
      </c>
      <c r="N49" s="85">
        <v>0.18461538461538463</v>
      </c>
      <c r="O49" s="85">
        <v>0.6</v>
      </c>
      <c r="P49" s="85">
        <v>0.25</v>
      </c>
      <c r="Q49" s="85">
        <v>0.45569620253164556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0.1276595744680851</v>
      </c>
      <c r="M50" s="85">
        <v>0.30379746835443039</v>
      </c>
      <c r="N50" s="85">
        <v>0.21518987341772153</v>
      </c>
      <c r="O50" s="85">
        <v>0.58333333333333337</v>
      </c>
      <c r="P50" s="85">
        <v>0.29411764705882354</v>
      </c>
      <c r="Q50" s="85">
        <v>0.4642857142857143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0.125</v>
      </c>
      <c r="M51" s="85">
        <v>0.31034482758620691</v>
      </c>
      <c r="N51" s="85">
        <v>0.22988505747126436</v>
      </c>
      <c r="O51" s="85">
        <v>0.55555555555555558</v>
      </c>
      <c r="P51" s="85">
        <v>0.25</v>
      </c>
      <c r="Q51" s="85">
        <v>0.47058823529411764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0.12244897959183673</v>
      </c>
      <c r="M52" s="85">
        <v>0.28421052631578947</v>
      </c>
      <c r="N52" s="85">
        <v>0.23157894736842105</v>
      </c>
      <c r="O52" s="85">
        <v>0.55555555555555558</v>
      </c>
      <c r="P52" s="85">
        <v>0.31818181818181818</v>
      </c>
      <c r="Q52" s="85">
        <v>0.47126436781609193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0.12</v>
      </c>
      <c r="M53" s="85">
        <v>0.27184466019417475</v>
      </c>
      <c r="N53" s="85">
        <v>0.22330097087378642</v>
      </c>
      <c r="O53" s="85">
        <v>0.5714285714285714</v>
      </c>
      <c r="P53" s="85">
        <v>0.34782608695652173</v>
      </c>
      <c r="Q53" s="85">
        <v>0.4606741573033708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0.11764705882352941</v>
      </c>
      <c r="M54" s="85">
        <v>0.2818181818181818</v>
      </c>
      <c r="N54" s="85">
        <v>0.22727272727272727</v>
      </c>
      <c r="O54" s="85">
        <v>0.54838709677419351</v>
      </c>
      <c r="P54" s="85">
        <v>0.32</v>
      </c>
      <c r="Q54" s="85">
        <v>0.45555555555555555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0.11538461538461539</v>
      </c>
      <c r="M55" s="85">
        <v>0.27731092436974791</v>
      </c>
      <c r="N55" s="85">
        <v>0.21848739495798319</v>
      </c>
      <c r="O55" s="85">
        <v>0.51515151515151514</v>
      </c>
      <c r="P55" s="85">
        <v>0.30769230769230771</v>
      </c>
      <c r="Q55" s="85">
        <v>0.45555555555555555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0.11320754716981132</v>
      </c>
      <c r="M56" s="85">
        <v>0.27559055118110237</v>
      </c>
      <c r="N56" s="85">
        <v>0.22047244094488189</v>
      </c>
      <c r="O56" s="85">
        <v>0.54285714285714282</v>
      </c>
      <c r="P56" s="85">
        <v>0.32142857142857145</v>
      </c>
      <c r="Q56" s="85">
        <v>0.44086021505376344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0.1111111111111111</v>
      </c>
      <c r="M57" s="85">
        <v>0.28985507246376813</v>
      </c>
      <c r="N57" s="85">
        <v>0.20289855072463769</v>
      </c>
      <c r="O57" s="85">
        <v>0.5</v>
      </c>
      <c r="P57" s="85">
        <v>0.32142857142857145</v>
      </c>
      <c r="Q57" s="85">
        <v>0.43617021276595747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0.10909090909090909</v>
      </c>
      <c r="M58" s="85">
        <v>0.28472222222222221</v>
      </c>
      <c r="N58" s="85">
        <v>0.2013888888888889</v>
      </c>
      <c r="O58" s="85">
        <v>0.51219512195121952</v>
      </c>
      <c r="P58" s="85">
        <v>0.31034482758620691</v>
      </c>
      <c r="Q58" s="85">
        <v>0.44210526315789472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0.10714285714285714</v>
      </c>
      <c r="M59" s="85">
        <v>0.27272727272727271</v>
      </c>
      <c r="N59" s="85">
        <v>0.18831168831168832</v>
      </c>
      <c r="O59" s="85">
        <v>0.52380952380952384</v>
      </c>
      <c r="P59" s="85">
        <v>0.31034482758620691</v>
      </c>
      <c r="Q59" s="85">
        <v>0.44329896907216493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0.10526315789473684</v>
      </c>
      <c r="M60" s="85">
        <v>0.26993865030674846</v>
      </c>
      <c r="N60" s="85">
        <v>0.19018404907975461</v>
      </c>
      <c r="O60" s="85">
        <v>0.54545454545454541</v>
      </c>
      <c r="P60" s="85">
        <v>0.29032258064516131</v>
      </c>
      <c r="Q60" s="85">
        <v>0.44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0.1206896551724138</v>
      </c>
      <c r="M61" s="85">
        <v>0.2807017543859649</v>
      </c>
      <c r="N61" s="85">
        <v>0.19298245614035087</v>
      </c>
      <c r="O61" s="85">
        <v>0.5625</v>
      </c>
      <c r="P61" s="85">
        <v>0.33333333333333331</v>
      </c>
      <c r="Q61" s="85">
        <v>0.43809523809523809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0.11864406779661017</v>
      </c>
      <c r="M62" s="85">
        <v>0.2824858757062147</v>
      </c>
      <c r="N62" s="85">
        <v>0.19209039548022599</v>
      </c>
      <c r="O62" s="85">
        <v>0.56000000000000005</v>
      </c>
      <c r="P62" s="85">
        <v>0.35294117647058826</v>
      </c>
      <c r="Q62" s="85">
        <v>0.44444444444444442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0.11666666666666667</v>
      </c>
      <c r="M63" s="85">
        <v>0.28333333333333333</v>
      </c>
      <c r="N63" s="85">
        <v>0.19444444444444445</v>
      </c>
      <c r="O63" s="85">
        <v>0.56862745098039214</v>
      </c>
      <c r="P63" s="85">
        <v>0.34285714285714286</v>
      </c>
      <c r="Q63" s="85">
        <v>0.44036697247706424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0.11475409836065574</v>
      </c>
      <c r="M64" s="85">
        <v>0.27807486631016043</v>
      </c>
      <c r="N64" s="85">
        <v>0.18716577540106952</v>
      </c>
      <c r="O64" s="85">
        <v>0.57692307692307687</v>
      </c>
      <c r="P64" s="85">
        <v>0.34285714285714286</v>
      </c>
      <c r="Q64" s="85">
        <v>0.43636363636363634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0.11290322580645161</v>
      </c>
      <c r="M65" s="85">
        <v>0.27692307692307694</v>
      </c>
      <c r="N65" s="85">
        <v>0.17948717948717949</v>
      </c>
      <c r="O65" s="85">
        <v>0.55555555555555558</v>
      </c>
      <c r="P65" s="85">
        <v>0.34285714285714286</v>
      </c>
      <c r="Q65" s="85">
        <v>0.43636363636363634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0.1111111111111111</v>
      </c>
      <c r="M66" s="85">
        <v>0.2780487804878049</v>
      </c>
      <c r="N66" s="85">
        <v>0.17073170731707318</v>
      </c>
      <c r="O66" s="85">
        <v>0.54385964912280704</v>
      </c>
      <c r="P66" s="85">
        <v>0.34285714285714286</v>
      </c>
      <c r="Q66" s="85">
        <v>0.43243243243243246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0.109375</v>
      </c>
      <c r="M67" s="85">
        <v>0.28436018957345971</v>
      </c>
      <c r="N67" s="85">
        <v>0.16587677725118483</v>
      </c>
      <c r="O67" s="85">
        <v>0.51666666666666672</v>
      </c>
      <c r="P67" s="85">
        <v>0.34285714285714286</v>
      </c>
      <c r="Q67" s="85">
        <v>0.43243243243243246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0.1076923076923077</v>
      </c>
      <c r="M68" s="85">
        <v>0.28240740740740738</v>
      </c>
      <c r="N68" s="85">
        <v>0.16666666666666666</v>
      </c>
      <c r="O68" s="85">
        <v>0.50819672131147542</v>
      </c>
      <c r="P68" s="85">
        <v>0.33333333333333331</v>
      </c>
      <c r="Q68" s="85">
        <v>0.42857142857142855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0.10606060606060606</v>
      </c>
      <c r="M69" s="85">
        <v>0.29257641921397382</v>
      </c>
      <c r="N69" s="85">
        <v>0.16593886462882096</v>
      </c>
      <c r="O69" s="85">
        <v>0.5074626865671642</v>
      </c>
      <c r="P69" s="85">
        <v>0.31578947368421051</v>
      </c>
      <c r="Q69" s="85">
        <v>0.42241379310344829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0.1044776119402985</v>
      </c>
      <c r="M70" s="85">
        <v>0.28991596638655465</v>
      </c>
      <c r="N70" s="85">
        <v>0.1638655462184874</v>
      </c>
      <c r="O70" s="85">
        <v>0.52173913043478259</v>
      </c>
      <c r="P70" s="85">
        <v>0.33333333333333331</v>
      </c>
      <c r="Q70" s="85">
        <v>0.42857142857142855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0.10294117647058823</v>
      </c>
      <c r="M71" s="85">
        <v>0.28514056224899598</v>
      </c>
      <c r="N71" s="85">
        <v>0.1606425702811245</v>
      </c>
      <c r="O71" s="85">
        <v>0.52112676056338025</v>
      </c>
      <c r="P71" s="85">
        <v>0.35</v>
      </c>
      <c r="Q71" s="85">
        <v>0.41803278688524592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0.10144927536231885</v>
      </c>
      <c r="M72" s="85">
        <v>0.2890625</v>
      </c>
      <c r="N72" s="85">
        <v>0.16015625</v>
      </c>
      <c r="O72" s="85">
        <v>0.54054054054054057</v>
      </c>
      <c r="P72" s="85">
        <v>0.34146341463414637</v>
      </c>
      <c r="Q72" s="85">
        <v>0.41599999999999998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0.1</v>
      </c>
      <c r="M73" s="85">
        <v>0.29343629343629346</v>
      </c>
      <c r="N73" s="85">
        <v>0.15830115830115829</v>
      </c>
      <c r="O73" s="85">
        <v>0.55263157894736847</v>
      </c>
      <c r="P73" s="85">
        <v>0.34146341463414637</v>
      </c>
      <c r="Q73" s="85">
        <v>0.41732283464566927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9.8591549295774641E-2</v>
      </c>
      <c r="M74" s="85">
        <v>0.29588014981273408</v>
      </c>
      <c r="N74" s="85">
        <v>0.15355805243445692</v>
      </c>
      <c r="O74" s="85">
        <v>0.54430379746835444</v>
      </c>
      <c r="P74" s="85">
        <v>0.34146341463414637</v>
      </c>
      <c r="Q74" s="85">
        <v>0.41538461538461541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9.7222222222222224E-2</v>
      </c>
      <c r="M75" s="85">
        <v>0.29304029304029305</v>
      </c>
      <c r="N75" s="85">
        <v>0.15018315018315018</v>
      </c>
      <c r="O75" s="85">
        <v>0.53749999999999998</v>
      </c>
      <c r="P75" s="85">
        <v>0.34146341463414637</v>
      </c>
      <c r="Q75" s="85">
        <v>0.41538461538461541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9.5890410958904104E-2</v>
      </c>
      <c r="M76" s="85">
        <v>0.29020979020979021</v>
      </c>
      <c r="N76" s="85">
        <v>0.16783216783216784</v>
      </c>
      <c r="O76" s="85">
        <v>0.55421686746987953</v>
      </c>
      <c r="P76" s="85">
        <v>0.35416666666666669</v>
      </c>
      <c r="Q76" s="85">
        <v>0.40441176470588236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9.45945945945946E-2</v>
      </c>
      <c r="M77" s="85">
        <v>0.2910958904109589</v>
      </c>
      <c r="N77" s="85">
        <v>0.16438356164383561</v>
      </c>
      <c r="O77" s="85">
        <v>0.55294117647058827</v>
      </c>
      <c r="P77" s="85">
        <v>0.35416666666666669</v>
      </c>
      <c r="Q77" s="85">
        <v>0.40579710144927539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9.3333333333333338E-2</v>
      </c>
      <c r="M78" s="85">
        <v>0.28382838283828382</v>
      </c>
      <c r="N78" s="85">
        <v>0.16831683168316833</v>
      </c>
      <c r="O78" s="85">
        <v>0.54651162790697672</v>
      </c>
      <c r="P78" s="85">
        <v>0.37254901960784315</v>
      </c>
      <c r="Q78" s="85">
        <v>0.40714285714285714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9.2105263157894732E-2</v>
      </c>
      <c r="M79" s="85">
        <v>0.28852459016393445</v>
      </c>
      <c r="N79" s="85">
        <v>0.16721311475409836</v>
      </c>
      <c r="O79" s="85">
        <v>0.55681818181818177</v>
      </c>
      <c r="P79" s="85">
        <v>0.37254901960784315</v>
      </c>
      <c r="Q79" s="85">
        <v>0.40845070422535212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9.0909090909090912E-2</v>
      </c>
      <c r="M80" s="85">
        <v>0.28525641025641024</v>
      </c>
      <c r="N80" s="85">
        <v>0.16987179487179488</v>
      </c>
      <c r="O80" s="85">
        <v>0.5617977528089888</v>
      </c>
      <c r="P80" s="85">
        <v>0.37735849056603776</v>
      </c>
      <c r="Q80" s="85">
        <v>0.40972222222222221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8.9743589743589744E-2</v>
      </c>
      <c r="M81" s="85">
        <v>0.28660436137071649</v>
      </c>
      <c r="N81" s="85">
        <v>0.17445482866043613</v>
      </c>
      <c r="O81" s="85">
        <v>0.55434782608695654</v>
      </c>
      <c r="P81" s="85">
        <v>0.39285714285714285</v>
      </c>
      <c r="Q81" s="85">
        <v>0.40540540540540543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8.8607594936708861E-2</v>
      </c>
      <c r="M82" s="85">
        <v>0.29051987767584098</v>
      </c>
      <c r="N82" s="85">
        <v>0.1743119266055046</v>
      </c>
      <c r="O82" s="85">
        <v>0.5368421052631579</v>
      </c>
      <c r="P82" s="85">
        <v>0.40350877192982454</v>
      </c>
      <c r="Q82" s="85">
        <v>0.40666666666666668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8.7499999999999994E-2</v>
      </c>
      <c r="M83" s="85">
        <v>0.28869047619047616</v>
      </c>
      <c r="N83" s="85">
        <v>0.17261904761904762</v>
      </c>
      <c r="O83" s="85">
        <v>0.54639175257731953</v>
      </c>
      <c r="P83" s="85">
        <v>0.39655172413793105</v>
      </c>
      <c r="Q83" s="85">
        <v>0.40131578947368424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8.6419753086419748E-2</v>
      </c>
      <c r="M84" s="85">
        <v>0.28901734104046245</v>
      </c>
      <c r="N84" s="85">
        <v>0.17341040462427745</v>
      </c>
      <c r="O84" s="85">
        <v>0.55000000000000004</v>
      </c>
      <c r="P84" s="85">
        <v>0.4</v>
      </c>
      <c r="Q84" s="85">
        <v>0.4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8.5365853658536592E-2</v>
      </c>
      <c r="M85" s="85">
        <v>0.28732394366197184</v>
      </c>
      <c r="N85" s="85">
        <v>0.17746478873239438</v>
      </c>
      <c r="O85" s="85">
        <v>0.5490196078431373</v>
      </c>
      <c r="P85" s="85">
        <v>0.38095238095238093</v>
      </c>
      <c r="Q85" s="85">
        <v>0.40384615384615385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8.4337349397590355E-2</v>
      </c>
      <c r="M86" s="85">
        <v>0.28846153846153844</v>
      </c>
      <c r="N86" s="85">
        <v>0.18131868131868131</v>
      </c>
      <c r="O86" s="85">
        <v>0.55238095238095242</v>
      </c>
      <c r="P86" s="85">
        <v>0.37878787878787878</v>
      </c>
      <c r="Q86" s="85">
        <v>0.40251572327044027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8.3333333333333329E-2</v>
      </c>
      <c r="M87" s="85">
        <v>0.2872628726287263</v>
      </c>
      <c r="N87" s="85">
        <v>0.18157181571815717</v>
      </c>
      <c r="O87" s="85">
        <v>0.55660377358490565</v>
      </c>
      <c r="P87" s="85">
        <v>0.38805970149253732</v>
      </c>
      <c r="Q87" s="85">
        <v>0.40372670807453415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8.2352941176470587E-2</v>
      </c>
      <c r="M88" s="85">
        <v>0.28342245989304815</v>
      </c>
      <c r="N88" s="85">
        <v>0.17914438502673796</v>
      </c>
      <c r="O88" s="85">
        <v>0.55660377358490565</v>
      </c>
      <c r="P88" s="85">
        <v>0.38805970149253732</v>
      </c>
      <c r="Q88" s="85">
        <v>0.40372670807453415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8.1395348837209308E-2</v>
      </c>
      <c r="M89" s="85">
        <v>0.2879581151832461</v>
      </c>
      <c r="N89" s="85">
        <v>0.17801047120418848</v>
      </c>
      <c r="O89" s="85">
        <v>0.55454545454545456</v>
      </c>
      <c r="P89" s="85">
        <v>0.38235294117647056</v>
      </c>
      <c r="Q89" s="85">
        <v>0.41104294478527609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8.0459770114942528E-2</v>
      </c>
      <c r="M90" s="85">
        <v>0.28900255754475701</v>
      </c>
      <c r="N90" s="85">
        <v>0.17902813299232737</v>
      </c>
      <c r="O90" s="85">
        <v>0.5663716814159292</v>
      </c>
      <c r="P90" s="85">
        <v>0.38571428571428573</v>
      </c>
      <c r="Q90" s="85">
        <v>0.41916167664670656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7.9545454545454544E-2</v>
      </c>
      <c r="M91" s="85">
        <v>0.28678304239401498</v>
      </c>
      <c r="N91" s="85">
        <v>0.18453865336658354</v>
      </c>
      <c r="O91" s="85">
        <v>0.57391304347826089</v>
      </c>
      <c r="P91" s="85">
        <v>0.3783783783783784</v>
      </c>
      <c r="Q91" s="85">
        <v>0.41764705882352943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7.8651685393258425E-2</v>
      </c>
      <c r="M92" s="85">
        <v>0.28223844282238442</v>
      </c>
      <c r="N92" s="85">
        <v>0.18734793187347931</v>
      </c>
      <c r="O92" s="85">
        <v>0.56896551724137934</v>
      </c>
      <c r="P92" s="85">
        <v>0.36363636363636365</v>
      </c>
      <c r="Q92" s="85">
        <v>0.41764705882352943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7.7777777777777779E-2</v>
      </c>
      <c r="M93" s="85">
        <v>0.28297362110311752</v>
      </c>
      <c r="N93" s="85">
        <v>0.18465227817745802</v>
      </c>
      <c r="O93" s="85">
        <v>0.56779661016949157</v>
      </c>
      <c r="P93" s="85">
        <v>0.36363636363636365</v>
      </c>
      <c r="Q93" s="85">
        <v>0.41520467836257308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7.6923076923076927E-2</v>
      </c>
      <c r="M94" s="85">
        <v>0.28199052132701424</v>
      </c>
      <c r="N94" s="85">
        <v>0.19194312796208532</v>
      </c>
      <c r="O94" s="85">
        <v>0.56302521008403361</v>
      </c>
      <c r="P94" s="85">
        <v>0.37037037037037035</v>
      </c>
      <c r="Q94" s="85">
        <v>0.41618497109826591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7.6086956521739135E-2</v>
      </c>
      <c r="M95" s="85">
        <v>0.28205128205128205</v>
      </c>
      <c r="N95" s="85">
        <v>0.1888111888111888</v>
      </c>
      <c r="O95" s="85">
        <v>0.57024793388429751</v>
      </c>
      <c r="P95" s="85">
        <v>0.37037037037037035</v>
      </c>
      <c r="Q95" s="85">
        <v>0.41142857142857142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7.5268817204301078E-2</v>
      </c>
      <c r="M96" s="85">
        <v>0.27954545454545454</v>
      </c>
      <c r="N96" s="85">
        <v>0.18863636363636363</v>
      </c>
      <c r="O96" s="85">
        <v>0.56097560975609762</v>
      </c>
      <c r="P96" s="85">
        <v>0.36144578313253012</v>
      </c>
      <c r="Q96" s="85">
        <v>0.41142857142857142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8.5106382978723402E-2</v>
      </c>
      <c r="M97" s="85">
        <v>0.27640449438202247</v>
      </c>
      <c r="N97" s="85">
        <v>0.19101123595505617</v>
      </c>
      <c r="O97" s="85">
        <v>0.56097560975609762</v>
      </c>
      <c r="P97" s="85">
        <v>0.36470588235294116</v>
      </c>
      <c r="Q97" s="85">
        <v>0.4101123595505618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8.4210526315789472E-2</v>
      </c>
      <c r="M98" s="85">
        <v>0.27814569536423839</v>
      </c>
      <c r="N98" s="85">
        <v>0.18984547461368653</v>
      </c>
      <c r="O98" s="85">
        <v>0.55555555555555558</v>
      </c>
      <c r="P98" s="85">
        <v>0.36046511627906974</v>
      </c>
      <c r="Q98" s="85">
        <v>0.40782122905027934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8.3333333333333329E-2</v>
      </c>
      <c r="M99" s="85">
        <v>0.2813852813852814</v>
      </c>
      <c r="N99" s="85">
        <v>0.18831168831168832</v>
      </c>
      <c r="O99" s="85">
        <v>0.56153846153846154</v>
      </c>
      <c r="P99" s="85">
        <v>0.36781609195402298</v>
      </c>
      <c r="Q99" s="85">
        <v>0.40760869565217389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8.247422680412371E-2</v>
      </c>
      <c r="M100" s="85">
        <v>0.28025477707006369</v>
      </c>
      <c r="N100" s="85">
        <v>0.18683651804670912</v>
      </c>
      <c r="O100" s="85">
        <v>0.56818181818181823</v>
      </c>
      <c r="P100" s="85">
        <v>0.375</v>
      </c>
      <c r="Q100" s="85">
        <v>0.40641711229946526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8.1632653061224483E-2</v>
      </c>
      <c r="M101" s="85">
        <v>0.28361344537815125</v>
      </c>
      <c r="N101" s="85">
        <v>0.18907563025210083</v>
      </c>
      <c r="O101" s="85">
        <v>0.57037037037037042</v>
      </c>
      <c r="P101" s="85">
        <v>0.37777777777777777</v>
      </c>
      <c r="Q101" s="85">
        <v>0.41052631578947368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8.0808080808080815E-2</v>
      </c>
      <c r="M102" s="85">
        <v>0.28747433264887062</v>
      </c>
      <c r="N102" s="85">
        <v>0.18480492813141683</v>
      </c>
      <c r="O102" s="85">
        <v>0.55714285714285716</v>
      </c>
      <c r="P102" s="85">
        <v>0.37777777777777777</v>
      </c>
      <c r="Q102" s="85">
        <v>0.41361256544502617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0.08</v>
      </c>
      <c r="M103" s="85">
        <v>0.2834008097165992</v>
      </c>
      <c r="N103" s="85">
        <v>0.19028340080971659</v>
      </c>
      <c r="O103" s="85">
        <v>0.55714285714285716</v>
      </c>
      <c r="P103" s="85">
        <v>0.38297872340425532</v>
      </c>
      <c r="Q103" s="85">
        <v>0.40932642487046633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7.9207920792079209E-2</v>
      </c>
      <c r="M104" s="85">
        <v>0.28628230616302186</v>
      </c>
      <c r="N104" s="85">
        <v>0.18886679920477137</v>
      </c>
      <c r="O104" s="85">
        <v>0.5625</v>
      </c>
      <c r="P104" s="85">
        <v>0.37894736842105264</v>
      </c>
      <c r="Q104" s="85">
        <v>0.41836734693877553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7.8431372549019607E-2</v>
      </c>
      <c r="M105" s="85">
        <v>0.28627450980392155</v>
      </c>
      <c r="N105" s="85">
        <v>0.18823529411764706</v>
      </c>
      <c r="O105" s="85">
        <v>0.56164383561643838</v>
      </c>
      <c r="P105" s="85">
        <v>0.375</v>
      </c>
      <c r="Q105" s="85">
        <v>0.41624365482233505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7.7669902912621352E-2</v>
      </c>
      <c r="M106" s="85">
        <v>0.28820116054158607</v>
      </c>
      <c r="N106" s="85">
        <v>0.18762088974854932</v>
      </c>
      <c r="O106" s="85">
        <v>0.56375838926174493</v>
      </c>
      <c r="P106" s="85">
        <v>0.37113402061855671</v>
      </c>
      <c r="Q106" s="85">
        <v>0.41708542713567837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7.6923076923076927E-2</v>
      </c>
      <c r="M107" s="85">
        <v>0.2884250474383302</v>
      </c>
      <c r="N107" s="85">
        <v>0.1859582542694497</v>
      </c>
      <c r="O107" s="85">
        <v>0.55921052631578949</v>
      </c>
      <c r="P107" s="85">
        <v>0.37755102040816324</v>
      </c>
      <c r="Q107" s="85">
        <v>0.41293532338308458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7.6190476190476197E-2</v>
      </c>
      <c r="M108" s="85">
        <v>0.2899628252788104</v>
      </c>
      <c r="N108" s="85">
        <v>0.18401486988847585</v>
      </c>
      <c r="O108" s="85">
        <v>0.55769230769230771</v>
      </c>
      <c r="P108" s="85">
        <v>0.38383838383838381</v>
      </c>
      <c r="Q108" s="85">
        <v>0.40975609756097559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7.5471698113207544E-2</v>
      </c>
      <c r="M109" s="85">
        <v>0.29401088929219599</v>
      </c>
      <c r="N109" s="85">
        <v>0.18148820326678766</v>
      </c>
      <c r="O109" s="85">
        <v>0.55555555555555558</v>
      </c>
      <c r="P109" s="85">
        <v>0.38</v>
      </c>
      <c r="Q109" s="85">
        <v>0.41626794258373206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7.476635514018691E-2</v>
      </c>
      <c r="M110" s="85">
        <v>0.29443447037701975</v>
      </c>
      <c r="N110" s="85">
        <v>0.18312387791741472</v>
      </c>
      <c r="O110" s="85">
        <v>0.55487804878048785</v>
      </c>
      <c r="P110" s="85">
        <v>0.37254901960784315</v>
      </c>
      <c r="Q110" s="85">
        <v>0.41904761904761906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7.407407407407407E-2</v>
      </c>
      <c r="M111" s="85">
        <v>0.2938053097345133</v>
      </c>
      <c r="N111" s="85">
        <v>0.18230088495575222</v>
      </c>
      <c r="O111" s="85">
        <v>0.56024096385542166</v>
      </c>
      <c r="P111" s="85">
        <v>0.37864077669902912</v>
      </c>
      <c r="Q111" s="85">
        <v>0.41784037558685444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7.3394495412844041E-2</v>
      </c>
      <c r="M112" s="85">
        <v>0.29116117850953205</v>
      </c>
      <c r="N112" s="85">
        <v>0.17850953206239167</v>
      </c>
      <c r="O112" s="85">
        <v>0.56547619047619047</v>
      </c>
      <c r="P112" s="85">
        <v>0.37864077669902912</v>
      </c>
      <c r="Q112" s="85">
        <v>0.42325581395348838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7.2727272727272724E-2</v>
      </c>
      <c r="M113" s="85">
        <v>0.29059829059829062</v>
      </c>
      <c r="N113" s="85">
        <v>0.17777777777777778</v>
      </c>
      <c r="O113" s="85">
        <v>0.56470588235294117</v>
      </c>
      <c r="P113" s="85">
        <v>0.38461538461538464</v>
      </c>
      <c r="Q113" s="85">
        <v>0.42396313364055299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8.1081081081081086E-2</v>
      </c>
      <c r="M114" s="85">
        <v>0.29075630252100843</v>
      </c>
      <c r="N114" s="85">
        <v>0.17815126050420169</v>
      </c>
      <c r="O114" s="85">
        <v>0.56647398843930641</v>
      </c>
      <c r="P114" s="85">
        <v>0.3867924528301887</v>
      </c>
      <c r="Q114" s="85">
        <v>0.42272727272727273</v>
      </c>
    </row>
    <row r="115" spans="1:17" x14ac:dyDescent="0.4">
      <c r="A115" s="87">
        <v>112</v>
      </c>
      <c r="B115" s="84">
        <v>-447.69999999999993</v>
      </c>
      <c r="C115" s="84">
        <v>-3.997321428571428</v>
      </c>
      <c r="D115" s="89">
        <v>2.1160714285714284</v>
      </c>
      <c r="E115" s="85">
        <v>0.29464285714285715</v>
      </c>
      <c r="F115" s="85">
        <v>0.25780346820809247</v>
      </c>
      <c r="G115" s="85">
        <v>0.19653179190751446</v>
      </c>
      <c r="H115" s="86">
        <v>11121.973094170404</v>
      </c>
      <c r="I115" s="86">
        <v>-9702.3529411764703</v>
      </c>
      <c r="J115" s="85">
        <v>0.20535714285714285</v>
      </c>
      <c r="K115" s="85">
        <v>0.13392857142857142</v>
      </c>
      <c r="L115" s="85">
        <v>8.0357142857142863E-2</v>
      </c>
      <c r="M115" s="85">
        <v>0.29139072847682118</v>
      </c>
      <c r="N115" s="85">
        <v>0.17549668874172186</v>
      </c>
      <c r="O115" s="85">
        <v>0.56818181818181823</v>
      </c>
      <c r="P115" s="85">
        <v>0.3867924528301887</v>
      </c>
      <c r="Q115" s="85">
        <v>0.42152466367713004</v>
      </c>
    </row>
    <row r="116" spans="1:17" x14ac:dyDescent="0.4">
      <c r="A116" s="87">
        <v>113</v>
      </c>
      <c r="B116" s="84">
        <v>-384.99999999999994</v>
      </c>
      <c r="C116" s="84">
        <v>-3.4070796460176984</v>
      </c>
      <c r="D116" s="89">
        <v>2.1061946902654869</v>
      </c>
      <c r="E116" s="85">
        <v>0.30088495575221241</v>
      </c>
      <c r="F116" s="85">
        <v>0.25942857142857145</v>
      </c>
      <c r="G116" s="85">
        <v>0.19428571428571428</v>
      </c>
      <c r="H116" s="86">
        <v>11160.352422907488</v>
      </c>
      <c r="I116" s="86">
        <v>-9702.3529411764703</v>
      </c>
      <c r="J116" s="85">
        <v>0.20353982300884957</v>
      </c>
      <c r="K116" s="85">
        <v>0.1415929203539823</v>
      </c>
      <c r="L116" s="85">
        <v>7.9646017699115043E-2</v>
      </c>
      <c r="M116" s="85">
        <v>0.29315960912052119</v>
      </c>
      <c r="N116" s="85">
        <v>0.17263843648208468</v>
      </c>
      <c r="O116" s="85">
        <v>0.57222222222222219</v>
      </c>
      <c r="P116" s="85">
        <v>0.3867924528301887</v>
      </c>
      <c r="Q116" s="85">
        <v>0.42290748898678415</v>
      </c>
    </row>
    <row r="117" spans="1:17" x14ac:dyDescent="0.4">
      <c r="A117" s="87">
        <v>114</v>
      </c>
      <c r="B117" s="84">
        <v>-372.69999999999993</v>
      </c>
      <c r="C117" s="84">
        <v>-3.2692982456140345</v>
      </c>
      <c r="D117" s="89">
        <v>2.0964912280701755</v>
      </c>
      <c r="E117" s="85">
        <v>0.30701754385964913</v>
      </c>
      <c r="F117" s="85">
        <v>0.26047565118912797</v>
      </c>
      <c r="G117" s="85">
        <v>0.19365798414496035</v>
      </c>
      <c r="H117" s="86">
        <v>11129.565217391304</v>
      </c>
      <c r="I117" s="86">
        <v>-9660.8187134502932</v>
      </c>
      <c r="J117" s="85">
        <v>0.20175438596491227</v>
      </c>
      <c r="K117" s="85">
        <v>0.14035087719298245</v>
      </c>
      <c r="L117" s="85">
        <v>7.8947368421052627E-2</v>
      </c>
      <c r="M117" s="85">
        <v>0.29260450160771706</v>
      </c>
      <c r="N117" s="85">
        <v>0.17202572347266881</v>
      </c>
      <c r="O117" s="85">
        <v>0.57692307692307687</v>
      </c>
      <c r="P117" s="85">
        <v>0.3925233644859813</v>
      </c>
      <c r="Q117" s="85">
        <v>0.42173913043478262</v>
      </c>
    </row>
    <row r="118" spans="1:17" x14ac:dyDescent="0.4">
      <c r="A118" s="87">
        <v>115</v>
      </c>
      <c r="B118" s="84">
        <v>-388.19999999999993</v>
      </c>
      <c r="C118" s="84">
        <v>-3.3756521739130427</v>
      </c>
      <c r="D118" s="89">
        <v>2.0956521739130434</v>
      </c>
      <c r="E118" s="85">
        <v>0.30434782608695654</v>
      </c>
      <c r="F118" s="85">
        <v>0.25955056179775282</v>
      </c>
      <c r="G118" s="85">
        <v>0.19325842696629214</v>
      </c>
      <c r="H118" s="86">
        <v>11150.64935064935</v>
      </c>
      <c r="I118" s="86">
        <v>-9616.2790697674427</v>
      </c>
      <c r="J118" s="85">
        <v>0.2</v>
      </c>
      <c r="K118" s="85">
        <v>0.1391304347826087</v>
      </c>
      <c r="L118" s="85">
        <v>7.8260869565217397E-2</v>
      </c>
      <c r="M118" s="85">
        <v>0.29411764705882354</v>
      </c>
      <c r="N118" s="85">
        <v>0.17170111287758347</v>
      </c>
      <c r="O118" s="85">
        <v>0.572972972972973</v>
      </c>
      <c r="P118" s="85">
        <v>0.3888888888888889</v>
      </c>
      <c r="Q118" s="85">
        <v>0.41991341991341991</v>
      </c>
    </row>
    <row r="119" spans="1:17" x14ac:dyDescent="0.4">
      <c r="A119" s="87">
        <v>116</v>
      </c>
      <c r="B119" s="84">
        <v>-383.99999999999994</v>
      </c>
      <c r="C119" s="84">
        <v>-3.3103448275862064</v>
      </c>
      <c r="D119" s="89">
        <v>2.0948275862068964</v>
      </c>
      <c r="E119" s="85">
        <v>0.30172413793103448</v>
      </c>
      <c r="F119" s="85">
        <v>0.26057906458797325</v>
      </c>
      <c r="G119" s="85">
        <v>0.19376391982182628</v>
      </c>
      <c r="H119" s="86">
        <v>11123.931623931623</v>
      </c>
      <c r="I119" s="86">
        <v>-9597.7011494252874</v>
      </c>
      <c r="J119" s="85">
        <v>0.19827586206896552</v>
      </c>
      <c r="K119" s="85">
        <v>0.13793103448275862</v>
      </c>
      <c r="L119" s="85">
        <v>7.7586206896551727E-2</v>
      </c>
      <c r="M119" s="85">
        <v>0.29513343799058084</v>
      </c>
      <c r="N119" s="85">
        <v>0.1695447409733124</v>
      </c>
      <c r="O119" s="85">
        <v>0.57978723404255317</v>
      </c>
      <c r="P119" s="85">
        <v>0.3888888888888889</v>
      </c>
      <c r="Q119" s="85">
        <v>0.42307692307692307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B3CB-92D9-46A0-BF83-999668FAE758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168</v>
      </c>
      <c r="B1" s="88" t="s">
        <v>168</v>
      </c>
      <c r="C1" s="88" t="s">
        <v>168</v>
      </c>
      <c r="D1" s="89" t="s">
        <v>168</v>
      </c>
      <c r="E1" s="88" t="s">
        <v>168</v>
      </c>
      <c r="F1" s="88" t="s">
        <v>168</v>
      </c>
      <c r="G1" s="88" t="s">
        <v>168</v>
      </c>
      <c r="H1" s="88" t="s">
        <v>168</v>
      </c>
      <c r="I1" s="88" t="s">
        <v>168</v>
      </c>
      <c r="J1" s="88" t="s">
        <v>168</v>
      </c>
      <c r="K1" s="88" t="s">
        <v>168</v>
      </c>
      <c r="L1" s="88" t="s">
        <v>168</v>
      </c>
      <c r="M1" s="88" t="s">
        <v>168</v>
      </c>
      <c r="N1" s="88" t="s">
        <v>168</v>
      </c>
      <c r="O1" s="88" t="s">
        <v>168</v>
      </c>
      <c r="P1" s="88" t="s">
        <v>168</v>
      </c>
      <c r="Q1" s="88" t="s">
        <v>168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</v>
      </c>
      <c r="M5" s="85">
        <v>0.5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</v>
      </c>
      <c r="M6" s="85">
        <v>0.45454545454545453</v>
      </c>
      <c r="N6" s="85">
        <v>0</v>
      </c>
      <c r="O6" s="85">
        <v>0.2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A37E2-9539-46D9-B622-82882E4754C1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167</v>
      </c>
      <c r="B1" s="88" t="s">
        <v>167</v>
      </c>
      <c r="C1" s="88" t="s">
        <v>167</v>
      </c>
      <c r="D1" s="89" t="s">
        <v>167</v>
      </c>
      <c r="E1" s="88" t="s">
        <v>167</v>
      </c>
      <c r="F1" s="88" t="s">
        <v>167</v>
      </c>
      <c r="G1" s="88" t="s">
        <v>167</v>
      </c>
      <c r="H1" s="88" t="s">
        <v>167</v>
      </c>
      <c r="I1" s="88" t="s">
        <v>167</v>
      </c>
      <c r="J1" s="88" t="s">
        <v>167</v>
      </c>
      <c r="K1" s="88" t="s">
        <v>167</v>
      </c>
      <c r="L1" s="88" t="s">
        <v>167</v>
      </c>
      <c r="M1" s="88" t="s">
        <v>167</v>
      </c>
      <c r="N1" s="88" t="s">
        <v>167</v>
      </c>
      <c r="O1" s="88" t="s">
        <v>167</v>
      </c>
      <c r="P1" s="88" t="s">
        <v>167</v>
      </c>
      <c r="Q1" s="88" t="s">
        <v>167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L5" s="85">
        <v>0</v>
      </c>
      <c r="Q5" s="85">
        <v>1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L6" s="85">
        <v>0</v>
      </c>
      <c r="Q6" s="85">
        <v>1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L7" s="85">
        <v>0</v>
      </c>
      <c r="Q7" s="85">
        <v>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5B3F8-4DD7-4AF4-AA89-6C89D0BA5716}">
  <sheetPr codeName="Sheet8"/>
  <dimension ref="A1:Q20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L4" s="85">
        <v>1</v>
      </c>
      <c r="Q4" s="85">
        <v>0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L5" s="85">
        <v>0.5</v>
      </c>
      <c r="Q5" s="85">
        <v>0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L6" s="85">
        <v>0.33333333333333331</v>
      </c>
      <c r="Q6" s="85">
        <v>0.2857142857142857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L7" s="85">
        <v>0.25</v>
      </c>
      <c r="Q7" s="85">
        <v>0.27272727272727271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L8" s="85">
        <v>0.2</v>
      </c>
      <c r="Q8" s="85">
        <v>0.2857142857142857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L9" s="85">
        <v>0.16666666666666666</v>
      </c>
      <c r="Q9" s="85">
        <v>0.2857142857142857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L10" s="85">
        <v>0.14285714285714285</v>
      </c>
      <c r="Q10" s="85">
        <v>0.29411764705882354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L11" s="85">
        <v>0.125</v>
      </c>
      <c r="Q11" s="85">
        <v>0.27777777777777779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L12" s="85">
        <v>0.1111111111111111</v>
      </c>
      <c r="Q12" s="85">
        <v>0.27777777777777779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L13" s="85">
        <v>0.1</v>
      </c>
      <c r="Q13" s="85">
        <v>0.27777777777777779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L14" s="85">
        <v>9.0909090909090912E-2</v>
      </c>
      <c r="Q14" s="85">
        <v>0.33333333333333331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L15" s="85">
        <v>8.3333333333333329E-2</v>
      </c>
      <c r="Q15" s="85">
        <v>0.37037037037037035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L16" s="85">
        <v>7.6923076923076927E-2</v>
      </c>
      <c r="Q16" s="85">
        <v>0.33333333333333331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L17" s="85">
        <v>7.1428571428571425E-2</v>
      </c>
      <c r="Q17" s="85">
        <v>0.33333333333333331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L18" s="85">
        <v>6.6666666666666666E-2</v>
      </c>
      <c r="Q18" s="85">
        <v>0.33333333333333331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L19" s="85">
        <v>6.25E-2</v>
      </c>
      <c r="Q19" s="85">
        <v>0.34285714285714286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L20" s="85">
        <v>5.8823529411764705E-2</v>
      </c>
      <c r="Q20" s="85">
        <v>0.34285714285714286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L21" s="85">
        <v>5.5555555555555552E-2</v>
      </c>
      <c r="Q21" s="85">
        <v>0.31707317073170732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L22" s="85">
        <v>5.2631578947368418E-2</v>
      </c>
      <c r="Q22" s="85">
        <v>0.32608695652173914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L23" s="85">
        <v>0.05</v>
      </c>
      <c r="Q23" s="85">
        <v>0.32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L24" s="85">
        <v>9.5238095238095233E-2</v>
      </c>
      <c r="Q24" s="85">
        <v>0.32692307692307693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L25" s="85">
        <v>9.0909090909090912E-2</v>
      </c>
      <c r="Q25" s="85">
        <v>0.32692307692307693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L26" s="85">
        <v>8.6956521739130432E-2</v>
      </c>
      <c r="Q26" s="85">
        <v>0.36363636363636365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L27" s="85">
        <v>8.3333333333333329E-2</v>
      </c>
      <c r="Q27" s="85">
        <v>0.35714285714285715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L28" s="85">
        <v>0.08</v>
      </c>
      <c r="Q28" s="85">
        <v>0.35087719298245612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L29" s="85">
        <v>7.6923076923076927E-2</v>
      </c>
      <c r="Q29" s="85">
        <v>0.33333333333333331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L30" s="85">
        <v>7.407407407407407E-2</v>
      </c>
      <c r="Q30" s="85">
        <v>0.33333333333333331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L31" s="85">
        <v>7.1428571428571425E-2</v>
      </c>
      <c r="Q31" s="85">
        <v>0.34375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L32" s="85">
        <v>6.8965517241379309E-2</v>
      </c>
      <c r="Q32" s="85">
        <v>0.35820895522388058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L33" s="85">
        <v>6.6666666666666666E-2</v>
      </c>
      <c r="Q33" s="85">
        <v>0.34246575342465752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L34" s="85">
        <v>6.4516129032258063E-2</v>
      </c>
      <c r="Q34" s="85">
        <v>0.33783783783783783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L35" s="85">
        <v>6.25E-2</v>
      </c>
      <c r="Q35" s="85">
        <v>0.35443037974683544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L36" s="85">
        <v>6.0606060606060608E-2</v>
      </c>
      <c r="Q36" s="85">
        <v>0.35365853658536583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L37" s="85">
        <v>5.8823529411764705E-2</v>
      </c>
      <c r="Q37" s="85">
        <v>0.35714285714285715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L38" s="85">
        <v>5.7142857142857141E-2</v>
      </c>
      <c r="Q38" s="85">
        <v>0.34883720930232559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L39" s="85">
        <v>5.5555555555555552E-2</v>
      </c>
      <c r="Q39" s="85">
        <v>0.35227272727272729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L40" s="85">
        <v>8.1081081081081086E-2</v>
      </c>
      <c r="Q40" s="85">
        <v>0.38043478260869568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L41" s="85">
        <v>7.8947368421052627E-2</v>
      </c>
      <c r="Q41" s="85">
        <v>0.38043478260869568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L42" s="85">
        <v>7.6923076923076927E-2</v>
      </c>
      <c r="Q42" s="85">
        <v>0.38709677419354838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L43" s="85">
        <v>7.4999999999999997E-2</v>
      </c>
      <c r="Q43" s="85">
        <v>0.39361702127659576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L44" s="85">
        <v>7.3170731707317069E-2</v>
      </c>
      <c r="Q44" s="85">
        <v>0.38947368421052631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L45" s="85">
        <v>7.1428571428571425E-2</v>
      </c>
      <c r="Q45" s="85">
        <v>0.40816326530612246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L46" s="85">
        <v>6.9767441860465115E-2</v>
      </c>
      <c r="Q46" s="85">
        <v>0.40196078431372551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L47" s="85">
        <v>6.8181818181818177E-2</v>
      </c>
      <c r="Q47" s="85">
        <v>0.39047619047619048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L48" s="85">
        <v>6.6666666666666666E-2</v>
      </c>
      <c r="Q48" s="85">
        <v>0.37614678899082571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L49" s="85">
        <v>6.5217391304347824E-2</v>
      </c>
      <c r="Q49" s="85">
        <v>0.375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L50" s="85">
        <v>6.3829787234042548E-2</v>
      </c>
      <c r="Q50" s="85">
        <v>0.37168141592920356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L51" s="85">
        <v>6.25E-2</v>
      </c>
      <c r="Q51" s="85">
        <v>0.36752136752136755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L52" s="85">
        <v>6.1224489795918366E-2</v>
      </c>
      <c r="Q52" s="85">
        <v>0.36974789915966388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L53" s="85">
        <v>0.06</v>
      </c>
      <c r="Q53" s="85">
        <v>0.37096774193548387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L54" s="85">
        <v>5.8823529411764705E-2</v>
      </c>
      <c r="Q54" s="85">
        <v>0.37007874015748032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L55" s="85">
        <v>5.7692307692307696E-2</v>
      </c>
      <c r="Q55" s="85">
        <v>0.37209302325581395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L56" s="85">
        <v>5.6603773584905662E-2</v>
      </c>
      <c r="Q56" s="85">
        <v>0.36923076923076925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L57" s="85">
        <v>5.5555555555555552E-2</v>
      </c>
      <c r="Q57" s="85">
        <v>0.36842105263157893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L58" s="85">
        <v>5.4545454545454543E-2</v>
      </c>
      <c r="Q58" s="85">
        <v>0.36842105263157893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L59" s="85">
        <v>5.3571428571428568E-2</v>
      </c>
      <c r="Q59" s="85">
        <v>0.36956521739130432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L60" s="85">
        <v>5.2631578947368418E-2</v>
      </c>
      <c r="Q60" s="85">
        <v>0.36428571428571427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L61" s="85">
        <v>5.1724137931034482E-2</v>
      </c>
      <c r="Q61" s="85">
        <v>0.36363636363636365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L62" s="85">
        <v>5.0847457627118647E-2</v>
      </c>
      <c r="Q62" s="85">
        <v>0.36054421768707484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L63" s="85">
        <v>0.05</v>
      </c>
      <c r="Q63" s="85">
        <v>0.36054421768707484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L64" s="85">
        <v>4.9180327868852458E-2</v>
      </c>
      <c r="Q64" s="85">
        <v>0.35526315789473684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L65" s="85">
        <v>4.8387096774193547E-2</v>
      </c>
      <c r="Q65" s="85">
        <v>0.35256410256410259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L66" s="85">
        <v>4.7619047619047616E-2</v>
      </c>
      <c r="Q66" s="85">
        <v>0.35256410256410259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L67" s="85">
        <v>4.6875E-2</v>
      </c>
      <c r="Q67" s="85">
        <v>0.35256410256410259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L68" s="85">
        <v>4.6153846153846156E-2</v>
      </c>
      <c r="Q68" s="85">
        <v>0.35256410256410259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4.5454545454545456E-2</v>
      </c>
      <c r="M69" s="85">
        <v>0</v>
      </c>
      <c r="N69" s="85">
        <v>0</v>
      </c>
      <c r="O69" s="85">
        <v>0</v>
      </c>
      <c r="P69" s="85">
        <v>0</v>
      </c>
      <c r="Q69" s="85">
        <v>0.35256410256410259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4.4776119402985072E-2</v>
      </c>
      <c r="M70" s="85">
        <v>0.18181818181818182</v>
      </c>
      <c r="N70" s="85">
        <v>0.27272727272727271</v>
      </c>
      <c r="O70" s="85">
        <v>0.5</v>
      </c>
      <c r="P70" s="85">
        <v>0.33333333333333331</v>
      </c>
      <c r="Q70" s="85">
        <v>0.34810126582278483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4.4117647058823532E-2</v>
      </c>
      <c r="M71" s="85">
        <v>0.15789473684210525</v>
      </c>
      <c r="N71" s="85">
        <v>0.26315789473684209</v>
      </c>
      <c r="O71" s="85">
        <v>0.66666666666666663</v>
      </c>
      <c r="P71" s="85">
        <v>0.4</v>
      </c>
      <c r="Q71" s="85">
        <v>0.34782608695652173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4.3478260869565216E-2</v>
      </c>
      <c r="M72" s="85">
        <v>0.2</v>
      </c>
      <c r="N72" s="85">
        <v>0.28000000000000003</v>
      </c>
      <c r="O72" s="85">
        <v>0.8</v>
      </c>
      <c r="P72" s="85">
        <v>0.42857142857142855</v>
      </c>
      <c r="Q72" s="85">
        <v>0.35365853658536583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4.2857142857142858E-2</v>
      </c>
      <c r="M73" s="85">
        <v>0.21212121212121213</v>
      </c>
      <c r="N73" s="85">
        <v>0.33333333333333331</v>
      </c>
      <c r="O73" s="85">
        <v>0.8571428571428571</v>
      </c>
      <c r="P73" s="85">
        <v>0.36363636363636365</v>
      </c>
      <c r="Q73" s="85">
        <v>0.3592814371257485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4.2253521126760563E-2</v>
      </c>
      <c r="M74" s="85">
        <v>0.20512820512820512</v>
      </c>
      <c r="N74" s="85">
        <v>0.30769230769230771</v>
      </c>
      <c r="O74" s="85">
        <v>0.875</v>
      </c>
      <c r="P74" s="85">
        <v>0.33333333333333331</v>
      </c>
      <c r="Q74" s="85">
        <v>0.35714285714285715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5.5555555555555552E-2</v>
      </c>
      <c r="M75" s="85">
        <v>0.21276595744680851</v>
      </c>
      <c r="N75" s="85">
        <v>0.31914893617021278</v>
      </c>
      <c r="O75" s="85">
        <v>0.8</v>
      </c>
      <c r="P75" s="85">
        <v>0.4</v>
      </c>
      <c r="Q75" s="85">
        <v>0.35087719298245612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5.4794520547945202E-2</v>
      </c>
      <c r="M76" s="85">
        <v>0.21818181818181817</v>
      </c>
      <c r="N76" s="85">
        <v>0.32727272727272727</v>
      </c>
      <c r="O76" s="85">
        <v>0.75</v>
      </c>
      <c r="P76" s="85">
        <v>0.5</v>
      </c>
      <c r="Q76" s="85">
        <v>0.35428571428571426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5.4054054054054057E-2</v>
      </c>
      <c r="M77" s="85">
        <v>0.23728813559322035</v>
      </c>
      <c r="N77" s="85">
        <v>0.32203389830508472</v>
      </c>
      <c r="O77" s="85">
        <v>0.7857142857142857</v>
      </c>
      <c r="P77" s="85">
        <v>0.52631578947368418</v>
      </c>
      <c r="Q77" s="85">
        <v>0.3539325842696629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5.3333333333333337E-2</v>
      </c>
      <c r="M78" s="85">
        <v>0.26153846153846155</v>
      </c>
      <c r="N78" s="85">
        <v>0.30769230769230771</v>
      </c>
      <c r="O78" s="85">
        <v>0.76470588235294112</v>
      </c>
      <c r="P78" s="85">
        <v>0.5</v>
      </c>
      <c r="Q78" s="85">
        <v>0.35911602209944754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5.2631578947368418E-2</v>
      </c>
      <c r="M79" s="85">
        <v>0.25352112676056338</v>
      </c>
      <c r="N79" s="85">
        <v>0.29577464788732394</v>
      </c>
      <c r="O79" s="85">
        <v>0.77777777777777779</v>
      </c>
      <c r="P79" s="85">
        <v>0.47619047619047616</v>
      </c>
      <c r="Q79" s="85">
        <v>0.35714285714285715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5.1948051948051951E-2</v>
      </c>
      <c r="M80" s="85">
        <v>0.28205128205128205</v>
      </c>
      <c r="N80" s="85">
        <v>0.29487179487179488</v>
      </c>
      <c r="O80" s="85">
        <v>0.77272727272727271</v>
      </c>
      <c r="P80" s="85">
        <v>0.43478260869565216</v>
      </c>
      <c r="Q80" s="85">
        <v>0.35675675675675678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5.128205128205128E-2</v>
      </c>
      <c r="M81" s="85">
        <v>0.25274725274725274</v>
      </c>
      <c r="N81" s="85">
        <v>0.30769230769230771</v>
      </c>
      <c r="O81" s="85">
        <v>0.78260869565217395</v>
      </c>
      <c r="P81" s="85">
        <v>0.42857142857142855</v>
      </c>
      <c r="Q81" s="85">
        <v>0.3473684210526316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5.0632911392405063E-2</v>
      </c>
      <c r="M82" s="85">
        <v>0.27083333333333331</v>
      </c>
      <c r="N82" s="85">
        <v>0.29166666666666669</v>
      </c>
      <c r="O82" s="85">
        <v>0.76923076923076927</v>
      </c>
      <c r="P82" s="85">
        <v>0.42857142857142855</v>
      </c>
      <c r="Q82" s="85">
        <v>0.34196891191709844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0.05</v>
      </c>
      <c r="M83" s="85">
        <v>0.25961538461538464</v>
      </c>
      <c r="N83" s="85">
        <v>0.28846153846153844</v>
      </c>
      <c r="O83" s="85">
        <v>0.77777777777777779</v>
      </c>
      <c r="P83" s="85">
        <v>0.46666666666666667</v>
      </c>
      <c r="Q83" s="85">
        <v>0.34343434343434343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4.9382716049382713E-2</v>
      </c>
      <c r="M84" s="85">
        <v>0.25892857142857145</v>
      </c>
      <c r="N84" s="85">
        <v>0.2767857142857143</v>
      </c>
      <c r="O84" s="85">
        <v>0.75862068965517238</v>
      </c>
      <c r="P84" s="85">
        <v>0.45161290322580644</v>
      </c>
      <c r="Q84" s="85">
        <v>0.35323383084577115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6.097560975609756E-2</v>
      </c>
      <c r="M85" s="85">
        <v>0.26495726495726496</v>
      </c>
      <c r="N85" s="85">
        <v>0.26495726495726496</v>
      </c>
      <c r="O85" s="85">
        <v>0.74193548387096775</v>
      </c>
      <c r="P85" s="85">
        <v>0.45161290322580644</v>
      </c>
      <c r="Q85" s="85">
        <v>0.35960591133004927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6.0240963855421686E-2</v>
      </c>
      <c r="M86" s="85">
        <v>0.27480916030534353</v>
      </c>
      <c r="N86" s="85">
        <v>0.25190839694656486</v>
      </c>
      <c r="O86" s="85">
        <v>0.75</v>
      </c>
      <c r="P86" s="85">
        <v>0.45454545454545453</v>
      </c>
      <c r="Q86" s="85">
        <v>0.35406698564593303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5.9523809523809521E-2</v>
      </c>
      <c r="M87" s="85">
        <v>0.28776978417266186</v>
      </c>
      <c r="N87" s="85">
        <v>0.2446043165467626</v>
      </c>
      <c r="O87" s="85">
        <v>0.72499999999999998</v>
      </c>
      <c r="P87" s="85">
        <v>0.44117647058823528</v>
      </c>
      <c r="Q87" s="85">
        <v>0.35071090047393366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5.8823529411764705E-2</v>
      </c>
      <c r="M88" s="85">
        <v>0.29251700680272108</v>
      </c>
      <c r="N88" s="85">
        <v>0.23129251700680273</v>
      </c>
      <c r="O88" s="85">
        <v>0.72093023255813948</v>
      </c>
      <c r="P88" s="85">
        <v>0.44117647058823528</v>
      </c>
      <c r="Q88" s="85">
        <v>0.352112676056338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5.8139534883720929E-2</v>
      </c>
      <c r="M89" s="85">
        <v>0.29032258064516131</v>
      </c>
      <c r="N89" s="85">
        <v>0.23225806451612904</v>
      </c>
      <c r="O89" s="85">
        <v>0.71111111111111114</v>
      </c>
      <c r="P89" s="85">
        <v>0.47222222222222221</v>
      </c>
      <c r="Q89" s="85">
        <v>0.34722222222222221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5.7471264367816091E-2</v>
      </c>
      <c r="M90" s="85">
        <v>0.29012345679012347</v>
      </c>
      <c r="N90" s="85">
        <v>0.23456790123456789</v>
      </c>
      <c r="O90" s="85">
        <v>0.7021276595744681</v>
      </c>
      <c r="P90" s="85">
        <v>0.47368421052631576</v>
      </c>
      <c r="Q90" s="85">
        <v>0.34862385321100919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5.6818181818181816E-2</v>
      </c>
      <c r="M91" s="85">
        <v>0.29239766081871343</v>
      </c>
      <c r="N91" s="85">
        <v>0.23391812865497075</v>
      </c>
      <c r="O91" s="85">
        <v>0.72</v>
      </c>
      <c r="P91" s="85">
        <v>0.47499999999999998</v>
      </c>
      <c r="Q91" s="85">
        <v>0.34684684684684686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5.6179775280898875E-2</v>
      </c>
      <c r="M92" s="85">
        <v>0.29050279329608941</v>
      </c>
      <c r="N92" s="85">
        <v>0.22346368715083798</v>
      </c>
      <c r="O92" s="85">
        <v>0.73076923076923073</v>
      </c>
      <c r="P92" s="85">
        <v>0.47499999999999998</v>
      </c>
      <c r="Q92" s="85">
        <v>0.35267857142857145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5.5555555555555552E-2</v>
      </c>
      <c r="M93" s="85">
        <v>0.28421052631578947</v>
      </c>
      <c r="N93" s="85">
        <v>0.23157894736842105</v>
      </c>
      <c r="O93" s="85">
        <v>0.7407407407407407</v>
      </c>
      <c r="P93" s="85">
        <v>0.45454545454545453</v>
      </c>
      <c r="Q93" s="85">
        <v>0.35087719298245612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5.4945054945054944E-2</v>
      </c>
      <c r="M94" s="85">
        <v>0.29081632653061223</v>
      </c>
      <c r="N94" s="85">
        <v>0.23469387755102042</v>
      </c>
      <c r="O94" s="85">
        <v>0.75438596491228072</v>
      </c>
      <c r="P94" s="85">
        <v>0.45652173913043476</v>
      </c>
      <c r="Q94" s="85">
        <v>0.34913793103448276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5.434782608695652E-2</v>
      </c>
      <c r="M95" s="85">
        <v>0.29556650246305421</v>
      </c>
      <c r="N95" s="85">
        <v>0.23645320197044334</v>
      </c>
      <c r="O95" s="85">
        <v>0.75</v>
      </c>
      <c r="P95" s="85">
        <v>0.47916666666666669</v>
      </c>
      <c r="Q95" s="85">
        <v>0.35169491525423729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5.3763440860215055E-2</v>
      </c>
      <c r="M96" s="85">
        <v>0.29383886255924169</v>
      </c>
      <c r="N96" s="85">
        <v>0.22748815165876776</v>
      </c>
      <c r="O96" s="85">
        <v>0.74193548387096775</v>
      </c>
      <c r="P96" s="85">
        <v>0.47916666666666669</v>
      </c>
      <c r="Q96" s="85">
        <v>0.35294117647058826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5.3191489361702128E-2</v>
      </c>
      <c r="M97" s="85">
        <v>0.29032258064516131</v>
      </c>
      <c r="N97" s="85">
        <v>0.22580645161290322</v>
      </c>
      <c r="O97" s="85">
        <v>0.73015873015873012</v>
      </c>
      <c r="P97" s="85">
        <v>0.46938775510204084</v>
      </c>
      <c r="Q97" s="85">
        <v>0.35294117647058826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5.2631578947368418E-2</v>
      </c>
      <c r="M98" s="85">
        <v>0.29090909090909089</v>
      </c>
      <c r="N98" s="85">
        <v>0.22272727272727272</v>
      </c>
      <c r="O98" s="85">
        <v>0.71875</v>
      </c>
      <c r="P98" s="85">
        <v>0.46938775510204084</v>
      </c>
      <c r="Q98" s="85">
        <v>0.35294117647058826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5.2083333333333336E-2</v>
      </c>
      <c r="M99" s="85">
        <v>0.29515418502202645</v>
      </c>
      <c r="N99" s="85">
        <v>0.22466960352422907</v>
      </c>
      <c r="O99" s="85">
        <v>0.71641791044776115</v>
      </c>
      <c r="P99" s="85">
        <v>0.47058823529411764</v>
      </c>
      <c r="Q99" s="85">
        <v>0.35537190082644626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5.1546391752577317E-2</v>
      </c>
      <c r="M100" s="85">
        <v>0.2978723404255319</v>
      </c>
      <c r="N100" s="85">
        <v>0.21702127659574469</v>
      </c>
      <c r="O100" s="85">
        <v>0.7142857142857143</v>
      </c>
      <c r="P100" s="85">
        <v>0.47058823529411764</v>
      </c>
      <c r="Q100" s="85">
        <v>0.36065573770491804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5.1020408163265307E-2</v>
      </c>
      <c r="M101" s="85">
        <v>0.29795918367346941</v>
      </c>
      <c r="N101" s="85">
        <v>0.22448979591836735</v>
      </c>
      <c r="O101" s="85">
        <v>0.71232876712328763</v>
      </c>
      <c r="P101" s="85">
        <v>0.49090909090909091</v>
      </c>
      <c r="Q101" s="85">
        <v>0.35856573705179284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5.0505050505050504E-2</v>
      </c>
      <c r="M102" s="85">
        <v>0.30278884462151395</v>
      </c>
      <c r="N102" s="85">
        <v>0.21912350597609562</v>
      </c>
      <c r="O102" s="85">
        <v>0.71052631578947367</v>
      </c>
      <c r="P102" s="85">
        <v>0.49090909090909091</v>
      </c>
      <c r="Q102" s="85">
        <v>0.35968379446640314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0.05</v>
      </c>
      <c r="M103" s="85">
        <v>0.30078125</v>
      </c>
      <c r="N103" s="85">
        <v>0.21875</v>
      </c>
      <c r="O103" s="85">
        <v>0.7142857142857143</v>
      </c>
      <c r="P103" s="85">
        <v>0.48214285714285715</v>
      </c>
      <c r="Q103" s="85">
        <v>0.36220472440944884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4.9504950495049507E-2</v>
      </c>
      <c r="M104" s="85">
        <v>0.29368029739776952</v>
      </c>
      <c r="N104" s="85">
        <v>0.21561338289962825</v>
      </c>
      <c r="O104" s="85">
        <v>0.70886075949367089</v>
      </c>
      <c r="P104" s="85">
        <v>0.46551724137931033</v>
      </c>
      <c r="Q104" s="85">
        <v>0.35797665369649806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4.9019607843137254E-2</v>
      </c>
      <c r="M105" s="85">
        <v>0.29496402877697842</v>
      </c>
      <c r="N105" s="85">
        <v>0.21582733812949639</v>
      </c>
      <c r="O105" s="85">
        <v>0.70731707317073167</v>
      </c>
      <c r="P105" s="85">
        <v>0.45</v>
      </c>
      <c r="Q105" s="85">
        <v>0.36153846153846153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5.8252427184466021E-2</v>
      </c>
      <c r="M106" s="85">
        <v>0.28719723183391005</v>
      </c>
      <c r="N106" s="85">
        <v>0.2179930795847751</v>
      </c>
      <c r="O106" s="85">
        <v>0.6987951807228916</v>
      </c>
      <c r="P106" s="85">
        <v>0.44444444444444442</v>
      </c>
      <c r="Q106" s="85">
        <v>0.36501901140684412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5.7692307692307696E-2</v>
      </c>
      <c r="M107" s="85">
        <v>0.28716216216216217</v>
      </c>
      <c r="N107" s="85">
        <v>0.2195945945945946</v>
      </c>
      <c r="O107" s="85">
        <v>0.70588235294117652</v>
      </c>
      <c r="P107" s="85">
        <v>0.44615384615384618</v>
      </c>
      <c r="Q107" s="85">
        <v>0.36842105263157893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5.7142857142857141E-2</v>
      </c>
      <c r="M108" s="85">
        <v>0.28428093645484948</v>
      </c>
      <c r="N108" s="85">
        <v>0.21739130434782608</v>
      </c>
      <c r="O108" s="85">
        <v>0.70588235294117652</v>
      </c>
      <c r="P108" s="85">
        <v>0.44615384615384618</v>
      </c>
      <c r="Q108" s="85">
        <v>0.36704119850187267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5.6603773584905662E-2</v>
      </c>
      <c r="M109" s="85">
        <v>0.28338762214983715</v>
      </c>
      <c r="N109" s="85">
        <v>0.21824104234527689</v>
      </c>
      <c r="O109" s="85">
        <v>0.70114942528735635</v>
      </c>
      <c r="P109" s="85">
        <v>0.44776119402985076</v>
      </c>
      <c r="Q109" s="85">
        <v>0.36431226765799257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5.6074766355140186E-2</v>
      </c>
      <c r="M110" s="85">
        <v>0.28115015974440893</v>
      </c>
      <c r="N110" s="85">
        <v>0.21725239616613418</v>
      </c>
      <c r="O110" s="85">
        <v>0.70454545454545459</v>
      </c>
      <c r="P110" s="85">
        <v>0.45588235294117646</v>
      </c>
      <c r="Q110" s="85">
        <v>0.36900369003690037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5.5555555555555552E-2</v>
      </c>
      <c r="M111" s="85">
        <v>0.2822085889570552</v>
      </c>
      <c r="N111" s="85">
        <v>0.21779141104294478</v>
      </c>
      <c r="O111" s="85">
        <v>0.70652173913043481</v>
      </c>
      <c r="P111" s="85">
        <v>0.45070422535211269</v>
      </c>
      <c r="Q111" s="85">
        <v>0.37454545454545457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5.5045871559633031E-2</v>
      </c>
      <c r="M112" s="85">
        <v>0.28313253012048195</v>
      </c>
      <c r="N112" s="85">
        <v>0.22289156626506024</v>
      </c>
      <c r="O112" s="85">
        <v>0.71276595744680848</v>
      </c>
      <c r="P112" s="85">
        <v>0.44594594594594594</v>
      </c>
      <c r="Q112" s="85">
        <v>0.37410071942446044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5.4545454545454543E-2</v>
      </c>
      <c r="M113" s="85">
        <v>0.28613569321533922</v>
      </c>
      <c r="N113" s="85">
        <v>0.22123893805309736</v>
      </c>
      <c r="O113" s="85">
        <v>0.72164948453608246</v>
      </c>
      <c r="P113" s="85">
        <v>0.44</v>
      </c>
      <c r="Q113" s="85">
        <v>0.37722419928825623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5.4054054054054057E-2</v>
      </c>
      <c r="M114" s="85">
        <v>0.28735632183908044</v>
      </c>
      <c r="N114" s="85">
        <v>0.21551724137931033</v>
      </c>
      <c r="O114" s="85">
        <v>0.72</v>
      </c>
      <c r="P114" s="85">
        <v>0.44</v>
      </c>
      <c r="Q114" s="85">
        <v>0.37809187279151946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6.25E-2</v>
      </c>
      <c r="M115" s="85">
        <v>0.28813559322033899</v>
      </c>
      <c r="N115" s="85">
        <v>0.2175141242937853</v>
      </c>
      <c r="O115" s="85">
        <v>0.71568627450980393</v>
      </c>
      <c r="P115" s="85">
        <v>0.45454545454545453</v>
      </c>
      <c r="Q115" s="85">
        <v>0.37412587412587411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7.0796460176991149E-2</v>
      </c>
      <c r="M116" s="85">
        <v>0.29005524861878451</v>
      </c>
      <c r="N116" s="85">
        <v>0.21546961325966851</v>
      </c>
      <c r="O116" s="85">
        <v>0.70476190476190481</v>
      </c>
      <c r="P116" s="85">
        <v>0.46153846153846156</v>
      </c>
      <c r="Q116" s="85">
        <v>0.37024221453287198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7.0175438596491224E-2</v>
      </c>
      <c r="M117" s="85">
        <v>0.28688524590163933</v>
      </c>
      <c r="N117" s="85">
        <v>0.21311475409836064</v>
      </c>
      <c r="O117" s="85">
        <v>0.70476190476190481</v>
      </c>
      <c r="P117" s="85">
        <v>0.46153846153846156</v>
      </c>
      <c r="Q117" s="85">
        <v>0.37024221453287198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6.9565217391304349E-2</v>
      </c>
      <c r="M118" s="85">
        <v>0.28418230563002683</v>
      </c>
      <c r="N118" s="85">
        <v>0.21179624664879357</v>
      </c>
      <c r="O118" s="85">
        <v>0.70754716981132071</v>
      </c>
      <c r="P118" s="85">
        <v>0.46835443037974683</v>
      </c>
      <c r="Q118" s="85">
        <v>0.3651877133105802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6.8965517241379309E-2</v>
      </c>
      <c r="M119" s="85">
        <v>0.2879581151832461</v>
      </c>
      <c r="N119" s="85">
        <v>0.20942408376963351</v>
      </c>
      <c r="O119" s="85">
        <v>0.70909090909090911</v>
      </c>
      <c r="P119" s="85">
        <v>0.46250000000000002</v>
      </c>
      <c r="Q119" s="85">
        <v>0.36148648648648651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6.8376068376068383E-2</v>
      </c>
      <c r="M120" s="85">
        <v>0.28865979381443296</v>
      </c>
      <c r="N120" s="85">
        <v>0.20876288659793815</v>
      </c>
      <c r="O120" s="85">
        <v>0.7142857142857143</v>
      </c>
      <c r="P120" s="85">
        <v>0.4567901234567901</v>
      </c>
      <c r="Q120" s="85">
        <v>0.36241610738255031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6.7796610169491525E-2</v>
      </c>
      <c r="M121" s="85">
        <v>0.2871536523929471</v>
      </c>
      <c r="N121" s="85">
        <v>0.20906801007556675</v>
      </c>
      <c r="O121" s="85">
        <v>0.71052631578947367</v>
      </c>
      <c r="P121" s="85">
        <v>0.44578313253012047</v>
      </c>
      <c r="Q121" s="85">
        <v>0.36333333333333334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6.7226890756302518E-2</v>
      </c>
      <c r="M122" s="85">
        <v>0.28358208955223879</v>
      </c>
      <c r="N122" s="85">
        <v>0.20895522388059701</v>
      </c>
      <c r="O122" s="85">
        <v>0.71052631578947367</v>
      </c>
      <c r="P122" s="85">
        <v>0.44047619047619047</v>
      </c>
      <c r="Q122" s="85">
        <v>0.36333333333333334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6.6666666666666666E-2</v>
      </c>
      <c r="M123" s="85">
        <v>0.28501228501228504</v>
      </c>
      <c r="N123" s="85">
        <v>0.20638820638820637</v>
      </c>
      <c r="O123" s="85">
        <v>0.71551724137931039</v>
      </c>
      <c r="P123" s="85">
        <v>0.44047619047619047</v>
      </c>
      <c r="Q123" s="85">
        <v>0.36513157894736842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6.6115702479338845E-2</v>
      </c>
      <c r="M124" s="85">
        <v>0.28467153284671531</v>
      </c>
      <c r="N124" s="85">
        <v>0.20681265206812652</v>
      </c>
      <c r="O124" s="85">
        <v>0.70940170940170943</v>
      </c>
      <c r="P124" s="85">
        <v>0.43529411764705883</v>
      </c>
      <c r="Q124" s="85">
        <v>0.36513157894736842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6.5573770491803282E-2</v>
      </c>
      <c r="M125" s="85">
        <v>0.28503562945368172</v>
      </c>
      <c r="N125" s="85">
        <v>0.20902612826603326</v>
      </c>
      <c r="O125" s="85">
        <v>0.69166666666666665</v>
      </c>
      <c r="P125" s="85">
        <v>0.43181818181818182</v>
      </c>
      <c r="Q125" s="85">
        <v>0.36601307189542481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6.5040650406504072E-2</v>
      </c>
      <c r="M126" s="85">
        <v>0.28472222222222221</v>
      </c>
      <c r="N126" s="85">
        <v>0.20833333333333334</v>
      </c>
      <c r="O126" s="85">
        <v>0.68292682926829273</v>
      </c>
      <c r="P126" s="85">
        <v>0.42222222222222222</v>
      </c>
      <c r="Q126" s="85">
        <v>0.36482084690553745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6.4516129032258063E-2</v>
      </c>
      <c r="M127" s="85">
        <v>0.2847380410022779</v>
      </c>
      <c r="N127" s="85">
        <v>0.20956719817767655</v>
      </c>
      <c r="O127" s="85">
        <v>0.68</v>
      </c>
      <c r="P127" s="85">
        <v>0.43478260869565216</v>
      </c>
      <c r="Q127" s="85">
        <v>0.36334405144694532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7.1999999999999995E-2</v>
      </c>
      <c r="M128" s="85">
        <v>0.28635346756152125</v>
      </c>
      <c r="N128" s="85">
        <v>0.21252796420581654</v>
      </c>
      <c r="O128" s="85">
        <v>0.6796875</v>
      </c>
      <c r="P128" s="85">
        <v>0.45263157894736844</v>
      </c>
      <c r="Q128" s="85">
        <v>0.36075949367088606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7.1428571428571425E-2</v>
      </c>
      <c r="M129" s="85">
        <v>0.28289473684210525</v>
      </c>
      <c r="N129" s="85">
        <v>0.21710526315789475</v>
      </c>
      <c r="O129" s="85">
        <v>0.68217054263565891</v>
      </c>
      <c r="P129" s="85">
        <v>0.46464646464646464</v>
      </c>
      <c r="Q129" s="85">
        <v>0.36562499999999998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7.0866141732283464E-2</v>
      </c>
      <c r="M130" s="85">
        <v>0.28232758620689657</v>
      </c>
      <c r="N130" s="85">
        <v>0.21982758620689655</v>
      </c>
      <c r="O130" s="85">
        <v>0.68702290076335881</v>
      </c>
      <c r="P130" s="85">
        <v>0.48039215686274511</v>
      </c>
      <c r="Q130" s="85">
        <v>0.36615384615384616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7.03125E-2</v>
      </c>
      <c r="M131" s="85">
        <v>0.28177966101694918</v>
      </c>
      <c r="N131" s="85">
        <v>0.22033898305084745</v>
      </c>
      <c r="O131" s="85">
        <v>0.69172932330827064</v>
      </c>
      <c r="P131" s="85">
        <v>0.47115384615384615</v>
      </c>
      <c r="Q131" s="85">
        <v>0.37003058103975534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6.9767441860465115E-2</v>
      </c>
      <c r="M132" s="85">
        <v>0.28215767634854771</v>
      </c>
      <c r="N132" s="85">
        <v>0.22199170124481327</v>
      </c>
      <c r="O132" s="85">
        <v>0.68382352941176472</v>
      </c>
      <c r="P132" s="85">
        <v>0.46728971962616822</v>
      </c>
      <c r="Q132" s="85">
        <v>0.37082066869300911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6.9230769230769235E-2</v>
      </c>
      <c r="M133" s="85">
        <v>0.28688524590163933</v>
      </c>
      <c r="N133" s="85">
        <v>0.22131147540983606</v>
      </c>
      <c r="O133" s="85">
        <v>0.6785714285714286</v>
      </c>
      <c r="P133" s="85">
        <v>0.47222222222222221</v>
      </c>
      <c r="Q133" s="85">
        <v>0.37349397590361444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6.8702290076335881E-2</v>
      </c>
      <c r="M134" s="85">
        <v>0.28282828282828282</v>
      </c>
      <c r="N134" s="85">
        <v>0.22222222222222221</v>
      </c>
      <c r="O134" s="85">
        <v>0.6785714285714286</v>
      </c>
      <c r="P134" s="85">
        <v>0.47272727272727272</v>
      </c>
      <c r="Q134" s="85">
        <v>0.37237237237237236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7.575757575757576E-2</v>
      </c>
      <c r="M135" s="85">
        <v>0.28063241106719367</v>
      </c>
      <c r="N135" s="85">
        <v>0.22332015810276679</v>
      </c>
      <c r="O135" s="85">
        <v>0.676056338028169</v>
      </c>
      <c r="P135" s="85">
        <v>0.48672566371681414</v>
      </c>
      <c r="Q135" s="85">
        <v>0.36950146627565983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7.5187969924812026E-2</v>
      </c>
      <c r="M136" s="85">
        <v>0.28375733855185908</v>
      </c>
      <c r="N136" s="85">
        <v>0.22309197651663404</v>
      </c>
      <c r="O136" s="85">
        <v>0.66896551724137931</v>
      </c>
      <c r="P136" s="85">
        <v>0.48245614035087719</v>
      </c>
      <c r="Q136" s="85">
        <v>0.36842105263157893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7.4626865671641784E-2</v>
      </c>
      <c r="M137" s="85">
        <v>0.28709055876685935</v>
      </c>
      <c r="N137" s="85">
        <v>0.22157996146435452</v>
      </c>
      <c r="O137" s="85">
        <v>0.67785234899328861</v>
      </c>
      <c r="P137" s="85">
        <v>0.48695652173913045</v>
      </c>
      <c r="Q137" s="85">
        <v>0.37068965517241381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7.407407407407407E-2</v>
      </c>
      <c r="M138" s="85">
        <v>0.28977272727272729</v>
      </c>
      <c r="N138" s="85">
        <v>0.2196969696969697</v>
      </c>
      <c r="O138" s="85">
        <v>0.6797385620915033</v>
      </c>
      <c r="P138" s="85">
        <v>0.48275862068965519</v>
      </c>
      <c r="Q138" s="85">
        <v>0.36931818181818182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7.3529411764705885E-2</v>
      </c>
      <c r="M139" s="85">
        <v>0.29422718808193671</v>
      </c>
      <c r="N139" s="85">
        <v>0.21601489757914338</v>
      </c>
      <c r="O139" s="85">
        <v>0.67088607594936711</v>
      </c>
      <c r="P139" s="85">
        <v>0.48275862068965519</v>
      </c>
      <c r="Q139" s="85">
        <v>0.36901408450704226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7.2992700729927001E-2</v>
      </c>
      <c r="M140" s="85">
        <v>0.29326047358834245</v>
      </c>
      <c r="N140" s="85">
        <v>0.21493624772313297</v>
      </c>
      <c r="O140" s="85">
        <v>0.67080745341614911</v>
      </c>
      <c r="P140" s="85">
        <v>0.48305084745762711</v>
      </c>
      <c r="Q140" s="85">
        <v>0.36768802228412256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7.2463768115942032E-2</v>
      </c>
      <c r="M141" s="85">
        <v>0.29316546762589929</v>
      </c>
      <c r="N141" s="85">
        <v>0.21762589928057555</v>
      </c>
      <c r="O141" s="85">
        <v>0.66871165644171782</v>
      </c>
      <c r="P141" s="85">
        <v>0.48760330578512395</v>
      </c>
      <c r="Q141" s="85">
        <v>0.36464088397790057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7.1942446043165464E-2</v>
      </c>
      <c r="M142" s="85">
        <v>0.29203539823008851</v>
      </c>
      <c r="N142" s="85">
        <v>0.21592920353982301</v>
      </c>
      <c r="O142" s="85">
        <v>0.67272727272727273</v>
      </c>
      <c r="P142" s="85">
        <v>0.48360655737704916</v>
      </c>
      <c r="Q142" s="85">
        <v>0.36538461538461536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7.1428571428571425E-2</v>
      </c>
      <c r="M143" s="85">
        <v>0.296875</v>
      </c>
      <c r="N143" s="85">
        <v>0.2170138888888889</v>
      </c>
      <c r="O143" s="85">
        <v>0.67251461988304095</v>
      </c>
      <c r="P143" s="85">
        <v>0.47199999999999998</v>
      </c>
      <c r="Q143" s="85">
        <v>0.37127371273712739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7.0921985815602842E-2</v>
      </c>
      <c r="M144" s="85">
        <v>0.29401709401709403</v>
      </c>
      <c r="N144" s="85">
        <v>0.22222222222222221</v>
      </c>
      <c r="O144" s="85">
        <v>0.66860465116279066</v>
      </c>
      <c r="P144" s="85">
        <v>0.46923076923076923</v>
      </c>
      <c r="Q144" s="85">
        <v>0.37096774193548387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7.0422535211267609E-2</v>
      </c>
      <c r="M145" s="85">
        <v>0.29342327150084319</v>
      </c>
      <c r="N145" s="85">
        <v>0.22259696458684655</v>
      </c>
      <c r="O145" s="85">
        <v>0.66666666666666663</v>
      </c>
      <c r="P145" s="85">
        <v>0.46969696969696972</v>
      </c>
      <c r="Q145" s="85">
        <v>0.37165775401069517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6.9930069930069935E-2</v>
      </c>
      <c r="M146" s="85">
        <v>0.28951747088186358</v>
      </c>
      <c r="N146" s="85">
        <v>0.22296173044925124</v>
      </c>
      <c r="O146" s="85">
        <v>0.66666666666666663</v>
      </c>
      <c r="P146" s="85">
        <v>0.47014925373134331</v>
      </c>
      <c r="Q146" s="85">
        <v>0.36968085106382981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6.9444444444444448E-2</v>
      </c>
      <c r="M147" s="85">
        <v>0.28641571194762683</v>
      </c>
      <c r="N147" s="85">
        <v>0.22422258592471359</v>
      </c>
      <c r="O147" s="85">
        <v>0.66285714285714281</v>
      </c>
      <c r="P147" s="85">
        <v>0.46715328467153283</v>
      </c>
      <c r="Q147" s="85">
        <v>0.3687002652519894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6.8965517241379309E-2</v>
      </c>
      <c r="M148" s="85">
        <v>0.28780487804878047</v>
      </c>
      <c r="N148" s="85">
        <v>0.22439024390243903</v>
      </c>
      <c r="O148" s="85">
        <v>0.66101694915254239</v>
      </c>
      <c r="P148" s="85">
        <v>0.47101449275362317</v>
      </c>
      <c r="Q148" s="85">
        <v>0.36675461741424803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6.8493150684931503E-2</v>
      </c>
      <c r="M149" s="85">
        <v>0.2861736334405145</v>
      </c>
      <c r="N149" s="85">
        <v>0.22990353697749197</v>
      </c>
      <c r="O149" s="85">
        <v>0.6629213483146067</v>
      </c>
      <c r="P149" s="85">
        <v>0.47552447552447552</v>
      </c>
      <c r="Q149" s="85">
        <v>0.36292428198433418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6.8027210884353748E-2</v>
      </c>
      <c r="M150" s="85">
        <v>0.2857142857142857</v>
      </c>
      <c r="N150" s="85">
        <v>0.22953451043338685</v>
      </c>
      <c r="O150" s="85">
        <v>0.6629213483146067</v>
      </c>
      <c r="P150" s="85">
        <v>0.47552447552447552</v>
      </c>
      <c r="Q150" s="85">
        <v>0.36292428198433418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6.7567567567567571E-2</v>
      </c>
      <c r="M151" s="85">
        <v>0.2848101265822785</v>
      </c>
      <c r="N151" s="85">
        <v>0.23259493670886075</v>
      </c>
      <c r="O151" s="85">
        <v>0.66111111111111109</v>
      </c>
      <c r="P151" s="85">
        <v>0.46938775510204084</v>
      </c>
      <c r="Q151" s="85">
        <v>0.36623376623376624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6.7114093959731544E-2</v>
      </c>
      <c r="M152" s="85">
        <v>0.28705148205928238</v>
      </c>
      <c r="N152" s="85">
        <v>0.23244929797191888</v>
      </c>
      <c r="O152" s="85">
        <v>0.65760869565217395</v>
      </c>
      <c r="P152" s="85">
        <v>0.47651006711409394</v>
      </c>
      <c r="Q152" s="85">
        <v>0.36503856041131105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6.6666666666666666E-2</v>
      </c>
      <c r="M153" s="85">
        <v>0.2846153846153846</v>
      </c>
      <c r="N153" s="85">
        <v>0.23692307692307693</v>
      </c>
      <c r="O153" s="85">
        <v>0.6594594594594595</v>
      </c>
      <c r="P153" s="85">
        <v>0.46753246753246752</v>
      </c>
      <c r="Q153" s="85">
        <v>0.3631713554987212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6.6225165562913912E-2</v>
      </c>
      <c r="M154" s="85">
        <v>0.28396946564885495</v>
      </c>
      <c r="N154" s="85">
        <v>0.23511450381679388</v>
      </c>
      <c r="O154" s="85">
        <v>0.66129032258064513</v>
      </c>
      <c r="P154" s="85">
        <v>0.46753246753246752</v>
      </c>
      <c r="Q154" s="85">
        <v>0.36479591836734693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6.5789473684210523E-2</v>
      </c>
      <c r="M155" s="85">
        <v>0.28378378378378377</v>
      </c>
      <c r="N155" s="85">
        <v>0.23273273273273273</v>
      </c>
      <c r="O155" s="85">
        <v>0.65608465608465605</v>
      </c>
      <c r="P155" s="85">
        <v>0.47096774193548385</v>
      </c>
      <c r="Q155" s="85">
        <v>0.36775818639798491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6.535947712418301E-2</v>
      </c>
      <c r="M156" s="85">
        <v>0.2838038632986627</v>
      </c>
      <c r="N156" s="85">
        <v>0.23179791976225855</v>
      </c>
      <c r="O156" s="85">
        <v>0.65445026178010468</v>
      </c>
      <c r="P156" s="85">
        <v>0.46794871794871795</v>
      </c>
      <c r="Q156" s="85">
        <v>0.36683417085427134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7.1428571428571425E-2</v>
      </c>
      <c r="M157" s="85">
        <v>0.2838235294117647</v>
      </c>
      <c r="N157" s="85">
        <v>0.23088235294117648</v>
      </c>
      <c r="O157" s="85">
        <v>0.65803108808290156</v>
      </c>
      <c r="P157" s="85">
        <v>0.46496815286624205</v>
      </c>
      <c r="Q157" s="85">
        <v>0.36907730673316708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7.0967741935483872E-2</v>
      </c>
      <c r="M158" s="85">
        <v>0.28425655976676384</v>
      </c>
      <c r="N158" s="85">
        <v>0.22886297376093295</v>
      </c>
      <c r="O158" s="85">
        <v>0.65641025641025641</v>
      </c>
      <c r="P158" s="85">
        <v>0.46496815286624205</v>
      </c>
      <c r="Q158" s="85">
        <v>0.36815920398009949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7.0512820512820512E-2</v>
      </c>
      <c r="M159" s="85">
        <v>0.28591954022988508</v>
      </c>
      <c r="N159" s="85">
        <v>0.22557471264367815</v>
      </c>
      <c r="O159" s="85">
        <v>0.65326633165829151</v>
      </c>
      <c r="P159" s="85">
        <v>0.46496815286624205</v>
      </c>
      <c r="Q159" s="85">
        <v>0.36633663366336633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7.6433121019108277E-2</v>
      </c>
      <c r="M160" s="85">
        <v>0.28267045454545453</v>
      </c>
      <c r="N160" s="85">
        <v>0.22443181818181818</v>
      </c>
      <c r="O160" s="85">
        <v>0.65326633165829151</v>
      </c>
      <c r="P160" s="85">
        <v>0.46835443037974683</v>
      </c>
      <c r="Q160" s="85">
        <v>0.36945812807881773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7.5949367088607597E-2</v>
      </c>
      <c r="M161" s="85">
        <v>0.28270042194092826</v>
      </c>
      <c r="N161" s="85">
        <v>0.22222222222222221</v>
      </c>
      <c r="O161" s="85">
        <v>0.65671641791044777</v>
      </c>
      <c r="P161" s="85">
        <v>0.46835443037974683</v>
      </c>
      <c r="Q161" s="85">
        <v>0.36829268292682926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7.5471698113207544E-2</v>
      </c>
      <c r="M162" s="85">
        <v>0.28710124826629679</v>
      </c>
      <c r="N162" s="85">
        <v>0.22052704576976423</v>
      </c>
      <c r="O162" s="85">
        <v>0.64734299516908211</v>
      </c>
      <c r="P162" s="85">
        <v>0.46540880503144655</v>
      </c>
      <c r="Q162" s="85">
        <v>0.36650485436893204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7.4999999999999997E-2</v>
      </c>
      <c r="M163" s="85">
        <v>0.28767123287671231</v>
      </c>
      <c r="N163" s="85">
        <v>0.22054794520547946</v>
      </c>
      <c r="O163" s="85">
        <v>0.64761904761904765</v>
      </c>
      <c r="P163" s="85">
        <v>0.46583850931677018</v>
      </c>
      <c r="Q163" s="85">
        <v>0.36867469879518072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7.4534161490683232E-2</v>
      </c>
      <c r="M164" s="85">
        <v>0.2872628726287263</v>
      </c>
      <c r="N164" s="85">
        <v>0.22086720867208673</v>
      </c>
      <c r="O164" s="85">
        <v>0.65094339622641506</v>
      </c>
      <c r="P164" s="85">
        <v>0.47239263803680981</v>
      </c>
      <c r="Q164" s="85">
        <v>0.37231503579952269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8.0246913580246909E-2</v>
      </c>
      <c r="M165" s="85">
        <v>0.28838451268357812</v>
      </c>
      <c r="N165" s="85">
        <v>0.22162883845126835</v>
      </c>
      <c r="O165" s="85">
        <v>0.64351851851851849</v>
      </c>
      <c r="P165" s="85">
        <v>0.4759036144578313</v>
      </c>
      <c r="Q165" s="85">
        <v>0.37677725118483413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7.9754601226993863E-2</v>
      </c>
      <c r="M166" s="85">
        <v>0.28477690288713908</v>
      </c>
      <c r="N166" s="85">
        <v>0.2230971128608924</v>
      </c>
      <c r="O166" s="85">
        <v>0.64055299539170507</v>
      </c>
      <c r="P166" s="85">
        <v>0.48823529411764705</v>
      </c>
      <c r="Q166" s="85">
        <v>0.3779342723004695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7.926829268292683E-2</v>
      </c>
      <c r="M167" s="85">
        <v>0.28385416666666669</v>
      </c>
      <c r="N167" s="85">
        <v>0.22135416666666666</v>
      </c>
      <c r="O167" s="85">
        <v>0.63761467889908252</v>
      </c>
      <c r="P167" s="85">
        <v>0.48823529411764705</v>
      </c>
      <c r="Q167" s="85">
        <v>0.37939110070257609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7.8787878787878782E-2</v>
      </c>
      <c r="M168" s="85">
        <v>0.28479381443298968</v>
      </c>
      <c r="N168" s="85">
        <v>0.22293814432989692</v>
      </c>
      <c r="O168" s="85">
        <v>0.63348416289592757</v>
      </c>
      <c r="P168" s="85">
        <v>0.48554913294797686</v>
      </c>
      <c r="Q168" s="85">
        <v>0.38228438228438227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7.8313253012048195E-2</v>
      </c>
      <c r="M169" s="85">
        <v>0.28172588832487311</v>
      </c>
      <c r="N169" s="85">
        <v>0.22461928934010153</v>
      </c>
      <c r="O169" s="85">
        <v>0.63063063063063063</v>
      </c>
      <c r="P169" s="85">
        <v>0.47457627118644069</v>
      </c>
      <c r="Q169" s="85">
        <v>0.38139534883720932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8.3832335329341312E-2</v>
      </c>
      <c r="M170" s="85">
        <v>0.28211586901763225</v>
      </c>
      <c r="N170" s="85">
        <v>0.22418136020151133</v>
      </c>
      <c r="O170" s="85">
        <v>0.6294642857142857</v>
      </c>
      <c r="P170" s="85">
        <v>0.47752808988764045</v>
      </c>
      <c r="Q170" s="85">
        <v>0.38106235565819863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8.9285714285714288E-2</v>
      </c>
      <c r="M171" s="85">
        <v>0.28410513141426785</v>
      </c>
      <c r="N171" s="85">
        <v>0.2227784730913642</v>
      </c>
      <c r="O171" s="85">
        <v>0.63436123348017626</v>
      </c>
      <c r="P171" s="85">
        <v>0.47752808988764045</v>
      </c>
      <c r="Q171" s="85">
        <v>0.37986270022883295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8.8757396449704137E-2</v>
      </c>
      <c r="M172" s="85">
        <v>0.28376703841387857</v>
      </c>
      <c r="N172" s="85">
        <v>0.22304832713754646</v>
      </c>
      <c r="O172" s="85">
        <v>0.63755458515283847</v>
      </c>
      <c r="P172" s="85">
        <v>0.48333333333333334</v>
      </c>
      <c r="Q172" s="85">
        <v>0.3832199546485261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8.8235294117647065E-2</v>
      </c>
      <c r="M173" s="85">
        <v>0.28431372549019607</v>
      </c>
      <c r="N173" s="85">
        <v>0.22426470588235295</v>
      </c>
      <c r="O173" s="85">
        <v>0.64224137931034486</v>
      </c>
      <c r="P173" s="85">
        <v>0.47540983606557374</v>
      </c>
      <c r="Q173" s="85">
        <v>0.38288288288288286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8.771929824561403E-2</v>
      </c>
      <c r="M174" s="85">
        <v>0.28223844282238442</v>
      </c>
      <c r="N174" s="85">
        <v>0.22384428223844283</v>
      </c>
      <c r="O174" s="85">
        <v>0.64224137931034486</v>
      </c>
      <c r="P174" s="85">
        <v>0.47826086956521741</v>
      </c>
      <c r="Q174" s="85">
        <v>0.38426966292134829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8.7209302325581398E-2</v>
      </c>
      <c r="M175" s="85">
        <v>0.28331332533013204</v>
      </c>
      <c r="N175" s="85">
        <v>0.22448979591836735</v>
      </c>
      <c r="O175" s="85">
        <v>0.63983050847457623</v>
      </c>
      <c r="P175" s="85">
        <v>0.47593582887700536</v>
      </c>
      <c r="Q175" s="85">
        <v>0.38392857142857145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8.6705202312138727E-2</v>
      </c>
      <c r="M176" s="85">
        <v>0.28333333333333333</v>
      </c>
      <c r="N176" s="85">
        <v>0.22261904761904761</v>
      </c>
      <c r="O176" s="85">
        <v>0.6386554621848739</v>
      </c>
      <c r="P176" s="85">
        <v>0.47593582887700536</v>
      </c>
      <c r="Q176" s="85">
        <v>0.38530066815144765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8.6206896551724144E-2</v>
      </c>
      <c r="M177" s="85">
        <v>0.28436018957345971</v>
      </c>
      <c r="N177" s="85">
        <v>0.22393364928909953</v>
      </c>
      <c r="O177" s="85">
        <v>0.64166666666666672</v>
      </c>
      <c r="P177" s="85">
        <v>0.48148148148148145</v>
      </c>
      <c r="Q177" s="85">
        <v>0.38189845474613687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8.5714285714285715E-2</v>
      </c>
      <c r="M178" s="85">
        <v>0.28402366863905326</v>
      </c>
      <c r="N178" s="85">
        <v>0.22366863905325443</v>
      </c>
      <c r="O178" s="85">
        <v>0.64166666666666672</v>
      </c>
      <c r="P178" s="85">
        <v>0.48148148148148145</v>
      </c>
      <c r="Q178" s="85">
        <v>0.38189845474613687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8.5227272727272721E-2</v>
      </c>
      <c r="M179" s="85">
        <v>0.28337236533957844</v>
      </c>
      <c r="N179" s="85">
        <v>0.22131147540983606</v>
      </c>
      <c r="O179" s="85">
        <v>0.64049586776859502</v>
      </c>
      <c r="P179" s="85">
        <v>0.48148148148148145</v>
      </c>
      <c r="Q179" s="85">
        <v>0.38105726872246698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8.4745762711864403E-2</v>
      </c>
      <c r="M180" s="85">
        <v>0.28703703703703703</v>
      </c>
      <c r="N180" s="85">
        <v>0.22106481481481483</v>
      </c>
      <c r="O180" s="85">
        <v>0.63709677419354838</v>
      </c>
      <c r="P180" s="85">
        <v>0.47643979057591623</v>
      </c>
      <c r="Q180" s="85">
        <v>0.38074398249452956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8.4269662921348312E-2</v>
      </c>
      <c r="M181" s="85">
        <v>0.29128440366972475</v>
      </c>
      <c r="N181" s="85">
        <v>0.22018348623853212</v>
      </c>
      <c r="O181" s="85">
        <v>0.63779527559055116</v>
      </c>
      <c r="P181" s="85">
        <v>0.47916666666666669</v>
      </c>
      <c r="Q181" s="85">
        <v>0.38012958963282939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8.9385474860335198E-2</v>
      </c>
      <c r="M182" s="85">
        <v>0.29090909090909089</v>
      </c>
      <c r="N182" s="85">
        <v>0.21818181818181817</v>
      </c>
      <c r="O182" s="85">
        <v>0.640625</v>
      </c>
      <c r="P182" s="85">
        <v>0.47916666666666669</v>
      </c>
      <c r="Q182" s="85">
        <v>0.38329764453961457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8.8888888888888892E-2</v>
      </c>
      <c r="M183" s="85">
        <v>0.29166666666666669</v>
      </c>
      <c r="N183" s="85">
        <v>0.21734234234234234</v>
      </c>
      <c r="O183" s="85">
        <v>0.64478764478764483</v>
      </c>
      <c r="P183" s="85">
        <v>0.48186528497409326</v>
      </c>
      <c r="Q183" s="85">
        <v>0.38004246284501064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9.3922651933701654E-2</v>
      </c>
      <c r="M184" s="85">
        <v>0.29464285714285715</v>
      </c>
      <c r="N184" s="85">
        <v>0.21651785714285715</v>
      </c>
      <c r="O184" s="85">
        <v>0.64772727272727271</v>
      </c>
      <c r="P184" s="85">
        <v>0.47938144329896909</v>
      </c>
      <c r="Q184" s="85">
        <v>0.38105263157894737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9.3406593406593408E-2</v>
      </c>
      <c r="M185" s="85">
        <v>0.29490022172949004</v>
      </c>
      <c r="N185" s="85">
        <v>0.21507760532150777</v>
      </c>
      <c r="O185" s="85">
        <v>0.65037593984962405</v>
      </c>
      <c r="P185" s="85">
        <v>0.47938144329896909</v>
      </c>
      <c r="Q185" s="85">
        <v>0.38284518828451886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9.2896174863387984E-2</v>
      </c>
      <c r="M186" s="85">
        <v>0.29547960308710031</v>
      </c>
      <c r="N186" s="85">
        <v>0.21499448732083792</v>
      </c>
      <c r="O186" s="85">
        <v>0.64552238805970152</v>
      </c>
      <c r="P186" s="85">
        <v>0.47692307692307695</v>
      </c>
      <c r="Q186" s="85">
        <v>0.38204592901878914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9.2391304347826081E-2</v>
      </c>
      <c r="M187" s="85">
        <v>0.2964989059080963</v>
      </c>
      <c r="N187" s="85">
        <v>0.21444201312910285</v>
      </c>
      <c r="O187" s="85">
        <v>0.64944649446494462</v>
      </c>
      <c r="P187" s="85">
        <v>0.47959183673469385</v>
      </c>
      <c r="Q187" s="85">
        <v>0.38095238095238093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9.1891891891891897E-2</v>
      </c>
      <c r="M188" s="85">
        <v>0.29697624190064797</v>
      </c>
      <c r="N188" s="85">
        <v>0.21274298056155508</v>
      </c>
      <c r="O188" s="85">
        <v>0.65090909090909088</v>
      </c>
      <c r="P188" s="85">
        <v>0.48223350253807107</v>
      </c>
      <c r="Q188" s="85">
        <v>0.38114754098360654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9.1397849462365593E-2</v>
      </c>
      <c r="M189" s="85">
        <v>0.29796355841371919</v>
      </c>
      <c r="N189" s="85">
        <v>0.21221864951768488</v>
      </c>
      <c r="O189" s="85">
        <v>0.65107913669064743</v>
      </c>
      <c r="P189" s="85">
        <v>0.48484848484848486</v>
      </c>
      <c r="Q189" s="85">
        <v>0.38289205702647655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9.0909090909090912E-2</v>
      </c>
      <c r="M190" s="85">
        <v>0.29680851063829788</v>
      </c>
      <c r="N190" s="85">
        <v>0.21063829787234042</v>
      </c>
      <c r="O190" s="85">
        <v>0.6523297491039427</v>
      </c>
      <c r="P190" s="85">
        <v>0.48484848484848486</v>
      </c>
      <c r="Q190" s="85">
        <v>0.38259109311740891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9.0425531914893623E-2</v>
      </c>
      <c r="M191" s="85">
        <v>0.29852320675105487</v>
      </c>
      <c r="N191" s="85">
        <v>0.20991561181434598</v>
      </c>
      <c r="O191" s="85">
        <v>0.65017667844522964</v>
      </c>
      <c r="P191" s="85">
        <v>0.48241206030150752</v>
      </c>
      <c r="Q191" s="85">
        <v>0.38104838709677419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8.9947089947089942E-2</v>
      </c>
      <c r="M192" s="85">
        <v>0.30020920502092052</v>
      </c>
      <c r="N192" s="85">
        <v>0.20815899581589958</v>
      </c>
      <c r="O192" s="85">
        <v>0.65156794425087106</v>
      </c>
      <c r="P192" s="85">
        <v>0.48241206030150752</v>
      </c>
      <c r="Q192" s="85">
        <v>0.38076152304609218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8.9473684210526316E-2</v>
      </c>
      <c r="M193" s="85">
        <v>0.30239833159541191</v>
      </c>
      <c r="N193" s="85">
        <v>0.20750782064650677</v>
      </c>
      <c r="O193" s="85">
        <v>0.65517241379310343</v>
      </c>
      <c r="P193" s="85">
        <v>0.48241206030150752</v>
      </c>
      <c r="Q193" s="85">
        <v>0.38047808764940239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9.4240837696335081E-2</v>
      </c>
      <c r="M194" s="85">
        <v>0.30237358101135192</v>
      </c>
      <c r="N194" s="85">
        <v>0.20536635706914344</v>
      </c>
      <c r="O194" s="85">
        <v>0.65529010238907848</v>
      </c>
      <c r="P194" s="85">
        <v>0.48241206030150752</v>
      </c>
      <c r="Q194" s="85">
        <v>0.37944664031620551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9.8958333333333329E-2</v>
      </c>
      <c r="M195" s="85">
        <v>0.30399181166837258</v>
      </c>
      <c r="N195" s="85">
        <v>0.20368474923234392</v>
      </c>
      <c r="O195" s="85">
        <v>0.65656565656565657</v>
      </c>
      <c r="P195" s="85">
        <v>0.48241206030150752</v>
      </c>
      <c r="Q195" s="85">
        <v>0.37917485265225931</v>
      </c>
    </row>
    <row r="196" spans="1:17" x14ac:dyDescent="0.4">
      <c r="A196" s="87">
        <v>193</v>
      </c>
      <c r="B196" s="84">
        <v>1240.6000000000001</v>
      </c>
      <c r="C196" s="84">
        <v>6.4279792746114</v>
      </c>
      <c r="D196" s="89">
        <v>1.7875647668393781</v>
      </c>
      <c r="E196" s="85">
        <v>0.43005181347150256</v>
      </c>
      <c r="F196" s="85">
        <v>0.35436893203883496</v>
      </c>
      <c r="G196" s="85">
        <v>0.14147018030513175</v>
      </c>
      <c r="H196" s="86">
        <v>9983.1702544031305</v>
      </c>
      <c r="I196" s="86">
        <v>-9505.8823529411766</v>
      </c>
      <c r="J196" s="85">
        <v>0.10362694300518134</v>
      </c>
      <c r="K196" s="85">
        <v>0.20725388601036268</v>
      </c>
      <c r="L196" s="85">
        <v>9.8445595854922283E-2</v>
      </c>
      <c r="M196" s="85">
        <v>0.30223123732251522</v>
      </c>
      <c r="N196" s="85">
        <v>0.20689655172413793</v>
      </c>
      <c r="O196" s="85">
        <v>0.65436241610738255</v>
      </c>
      <c r="P196" s="85">
        <v>0.48039215686274511</v>
      </c>
      <c r="Q196" s="85">
        <v>0.37964774951076319</v>
      </c>
    </row>
    <row r="197" spans="1:17" x14ac:dyDescent="0.4">
      <c r="A197" s="87">
        <v>194</v>
      </c>
      <c r="B197" s="84">
        <v>1221.7</v>
      </c>
      <c r="C197" s="84">
        <v>6.297422680412371</v>
      </c>
      <c r="D197" s="89">
        <v>1.7938144329896908</v>
      </c>
      <c r="E197" s="85">
        <v>0.42783505154639173</v>
      </c>
      <c r="F197" s="85">
        <v>0.35310344827586204</v>
      </c>
      <c r="G197" s="85">
        <v>0.14275862068965517</v>
      </c>
      <c r="H197" s="86">
        <v>9987.109375</v>
      </c>
      <c r="I197" s="86">
        <v>-9447.3429951690814</v>
      </c>
      <c r="J197" s="85">
        <v>0.10309278350515463</v>
      </c>
      <c r="K197" s="85">
        <v>0.20618556701030927</v>
      </c>
      <c r="L197" s="85">
        <v>9.7938144329896906E-2</v>
      </c>
      <c r="M197" s="85">
        <v>0.30181086519114686</v>
      </c>
      <c r="N197" s="85">
        <v>0.20623742454728369</v>
      </c>
      <c r="O197" s="85">
        <v>0.65333333333333332</v>
      </c>
      <c r="P197" s="85">
        <v>0.47804878048780486</v>
      </c>
      <c r="Q197" s="85">
        <v>0.380859375</v>
      </c>
    </row>
    <row r="198" spans="1:17" x14ac:dyDescent="0.4">
      <c r="A198" s="87">
        <v>195</v>
      </c>
      <c r="B198" s="84">
        <v>1258.4000000000001</v>
      </c>
      <c r="C198" s="84">
        <v>6.453333333333334</v>
      </c>
      <c r="D198" s="89">
        <v>1.7897435897435898</v>
      </c>
      <c r="E198" s="85">
        <v>0.43076923076923079</v>
      </c>
      <c r="F198" s="85">
        <v>0.35395189003436428</v>
      </c>
      <c r="G198" s="85">
        <v>0.1422680412371134</v>
      </c>
      <c r="H198" s="86">
        <v>10006.019417475729</v>
      </c>
      <c r="I198" s="86">
        <v>-9447.3429951690814</v>
      </c>
      <c r="J198" s="85">
        <v>0.10256410256410256</v>
      </c>
      <c r="K198" s="85">
        <v>0.21025641025641026</v>
      </c>
      <c r="L198" s="85">
        <v>9.7435897435897437E-2</v>
      </c>
      <c r="M198" s="85">
        <v>0.3033033033033033</v>
      </c>
      <c r="N198" s="85">
        <v>0.20520520520520522</v>
      </c>
      <c r="O198" s="85">
        <v>0.65346534653465349</v>
      </c>
      <c r="P198" s="85">
        <v>0.47804878048780486</v>
      </c>
      <c r="Q198" s="85">
        <v>0.38058252427184464</v>
      </c>
    </row>
    <row r="199" spans="1:17" x14ac:dyDescent="0.4">
      <c r="A199" s="87">
        <v>196</v>
      </c>
      <c r="B199" s="84">
        <v>1270.8000000000002</v>
      </c>
      <c r="C199" s="84">
        <v>6.4836734693877558</v>
      </c>
      <c r="D199" s="89">
        <v>1.7857142857142858</v>
      </c>
      <c r="E199" s="85">
        <v>0.43367346938775508</v>
      </c>
      <c r="F199" s="85">
        <v>0.35406698564593303</v>
      </c>
      <c r="G199" s="85">
        <v>0.14149008885850992</v>
      </c>
      <c r="H199" s="86">
        <v>9987.4517374517382</v>
      </c>
      <c r="I199" s="86">
        <v>-9447.3429951690814</v>
      </c>
      <c r="J199" s="85">
        <v>0.10204081632653061</v>
      </c>
      <c r="K199" s="85">
        <v>0.20918367346938777</v>
      </c>
      <c r="L199" s="85">
        <v>9.6938775510204078E-2</v>
      </c>
      <c r="M199" s="85">
        <v>0.30387288977159882</v>
      </c>
      <c r="N199" s="85">
        <v>0.20456802383316783</v>
      </c>
      <c r="O199" s="85">
        <v>0.65686274509803921</v>
      </c>
      <c r="P199" s="85">
        <v>0.47572815533980584</v>
      </c>
      <c r="Q199" s="85">
        <v>0.38030888030888033</v>
      </c>
    </row>
    <row r="200" spans="1:17" x14ac:dyDescent="0.4">
      <c r="A200" s="87">
        <v>197</v>
      </c>
      <c r="B200" s="84">
        <v>1284.8000000000002</v>
      </c>
      <c r="C200" s="84">
        <v>6.5218274111675134</v>
      </c>
      <c r="D200" s="89">
        <v>1.7868020304568528</v>
      </c>
      <c r="E200" s="85">
        <v>0.43147208121827413</v>
      </c>
      <c r="F200" s="85">
        <v>0.35394021739130432</v>
      </c>
      <c r="G200" s="85">
        <v>0.14130434782608695</v>
      </c>
      <c r="H200" s="86">
        <v>9999.0403071017281</v>
      </c>
      <c r="I200" s="86">
        <v>-9459.6153846153848</v>
      </c>
      <c r="J200" s="85">
        <v>0.10152284263959391</v>
      </c>
      <c r="K200" s="85">
        <v>0.20812182741116753</v>
      </c>
      <c r="L200" s="85">
        <v>9.6446700507614211E-2</v>
      </c>
      <c r="M200" s="85">
        <v>0.30413385826771655</v>
      </c>
      <c r="N200" s="85">
        <v>0.20472440944881889</v>
      </c>
      <c r="O200" s="85">
        <v>0.65695792880258896</v>
      </c>
      <c r="P200" s="85">
        <v>0.47596153846153844</v>
      </c>
      <c r="Q200" s="85">
        <v>0.38195777351247601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38B5-1868-4950-A94D-13ABC3365464}">
  <sheetPr codeName="Sheet6"/>
  <dimension ref="A1:Q2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162</v>
      </c>
      <c r="B1" s="88" t="s">
        <v>162</v>
      </c>
      <c r="C1" s="88" t="s">
        <v>162</v>
      </c>
      <c r="D1" s="89" t="s">
        <v>162</v>
      </c>
      <c r="E1" s="88" t="s">
        <v>162</v>
      </c>
      <c r="F1" s="88" t="s">
        <v>162</v>
      </c>
      <c r="G1" s="88" t="s">
        <v>162</v>
      </c>
      <c r="H1" s="88" t="s">
        <v>162</v>
      </c>
      <c r="I1" s="88" t="s">
        <v>162</v>
      </c>
      <c r="J1" s="88" t="s">
        <v>162</v>
      </c>
      <c r="K1" s="88" t="s">
        <v>162</v>
      </c>
      <c r="L1" s="88" t="s">
        <v>162</v>
      </c>
      <c r="M1" s="88" t="s">
        <v>162</v>
      </c>
      <c r="N1" s="88" t="s">
        <v>162</v>
      </c>
      <c r="O1" s="88" t="s">
        <v>162</v>
      </c>
      <c r="P1" s="88" t="s">
        <v>162</v>
      </c>
      <c r="Q1" s="88" t="s">
        <v>162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L4" s="85">
        <v>0.33333333333333331</v>
      </c>
      <c r="Q4" s="85">
        <v>0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L5" s="85">
        <v>0.16666666666666666</v>
      </c>
      <c r="Q5" s="85">
        <v>0.1111111111111111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L6" s="85">
        <v>0.1111111111111111</v>
      </c>
      <c r="Q6" s="85">
        <v>0.21428571428571427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L7" s="85">
        <v>8.3333333333333329E-2</v>
      </c>
      <c r="Q7" s="85">
        <v>0.21052631578947367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L8" s="85">
        <v>6.6666666666666666E-2</v>
      </c>
      <c r="Q8" s="85">
        <v>0.23076923076923078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L9" s="85">
        <v>0.1111111111111111</v>
      </c>
      <c r="Q9" s="85">
        <v>0.21428571428571427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L10" s="85">
        <v>9.5238095238095233E-2</v>
      </c>
      <c r="Q10" s="85">
        <v>0.2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L11" s="85">
        <v>8.3333333333333329E-2</v>
      </c>
      <c r="Q11" s="85">
        <v>0.21951219512195122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L12" s="85">
        <v>7.407407407407407E-2</v>
      </c>
      <c r="Q12" s="85">
        <v>0.21739130434782608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L13" s="85">
        <v>6.6666666666666666E-2</v>
      </c>
      <c r="Q13" s="85">
        <v>0.2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L14" s="85">
        <v>6.0606060606060608E-2</v>
      </c>
      <c r="Q14" s="85">
        <v>0.27419354838709675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L15" s="85">
        <v>8.3333333333333329E-2</v>
      </c>
      <c r="Q15" s="85">
        <v>0.29850746268656714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L16" s="85">
        <v>7.6923076923076927E-2</v>
      </c>
      <c r="Q16" s="85">
        <v>0.30379746835443039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L17" s="85">
        <v>7.1428571428571425E-2</v>
      </c>
      <c r="Q17" s="85">
        <v>0.30952380952380953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L18" s="85">
        <v>6.6666666666666666E-2</v>
      </c>
      <c r="Q18" s="85">
        <v>0.30232558139534882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L19" s="85">
        <v>8.3333333333333329E-2</v>
      </c>
      <c r="Q19" s="85">
        <v>0.32978723404255317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L20" s="85">
        <v>7.8431372549019607E-2</v>
      </c>
      <c r="Q20" s="85">
        <v>0.34343434343434343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L21" s="85">
        <v>7.407407407407407E-2</v>
      </c>
      <c r="Q21" s="85">
        <v>0.33027522935779818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L22" s="85">
        <v>7.0175438596491224E-2</v>
      </c>
      <c r="Q22" s="85">
        <v>0.33898305084745761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L23" s="85">
        <v>6.6666666666666666E-2</v>
      </c>
      <c r="Q23" s="85">
        <v>0.33600000000000002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L24" s="85">
        <v>7.9365079365079361E-2</v>
      </c>
      <c r="Q24" s="85">
        <v>0.3359375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L25" s="85">
        <v>7.575757575757576E-2</v>
      </c>
      <c r="Q25" s="85">
        <v>0.3188405797101449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L26" s="85">
        <v>7.2463768115942032E-2</v>
      </c>
      <c r="Q26" s="85">
        <v>0.34027777777777779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L27" s="85">
        <v>6.9444444444444448E-2</v>
      </c>
      <c r="Q27" s="85">
        <v>0.33783783783783783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L28" s="85">
        <v>0.08</v>
      </c>
      <c r="Q28" s="85">
        <v>0.35256410256410259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L29" s="85">
        <v>7.6923076923076927E-2</v>
      </c>
      <c r="Q29" s="85">
        <v>0.34969325153374231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L30" s="85">
        <v>7.407407407407407E-2</v>
      </c>
      <c r="Q30" s="85">
        <v>0.36144578313253012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L31" s="85">
        <v>7.1428571428571425E-2</v>
      </c>
      <c r="Q31" s="85">
        <v>0.36781609195402298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L32" s="85">
        <v>6.8965517241379309E-2</v>
      </c>
      <c r="Q32" s="85">
        <v>0.37016574585635359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L33" s="85">
        <v>6.6666666666666666E-2</v>
      </c>
      <c r="Q33" s="85">
        <v>0.37037037037037035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L34" s="85">
        <v>6.4516129032258063E-2</v>
      </c>
      <c r="Q34" s="85">
        <v>0.375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L35" s="85">
        <v>6.25E-2</v>
      </c>
      <c r="Q35" s="85">
        <v>0.37623762376237624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L36" s="85">
        <v>6.0606060606060608E-2</v>
      </c>
      <c r="Q36" s="85">
        <v>0.37560975609756098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L37" s="85">
        <v>5.8823529411764705E-2</v>
      </c>
      <c r="Q37" s="85">
        <v>0.38497652582159625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L38" s="85">
        <v>5.7142857142857141E-2</v>
      </c>
      <c r="Q38" s="85">
        <v>0.38636363636363635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L39" s="85">
        <v>5.5555555555555552E-2</v>
      </c>
      <c r="Q39" s="85">
        <v>0.38325991189427311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L40" s="85">
        <v>6.3063063063063057E-2</v>
      </c>
      <c r="Q40" s="85">
        <v>0.39240506329113922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L41" s="85">
        <v>6.1403508771929821E-2</v>
      </c>
      <c r="Q41" s="85">
        <v>0.38912133891213391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L42" s="85">
        <v>6.8376068376068383E-2</v>
      </c>
      <c r="Q42" s="85">
        <v>0.38934426229508196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L43" s="85">
        <v>6.6666666666666666E-2</v>
      </c>
      <c r="Q43" s="85">
        <v>0.39200000000000002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L44" s="85">
        <v>6.5040650406504072E-2</v>
      </c>
      <c r="Q44" s="85">
        <v>0.39382239382239381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L45" s="85">
        <v>7.1428571428571425E-2</v>
      </c>
      <c r="Q45" s="85">
        <v>0.4044943820224719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L46" s="85">
        <v>7.7519379844961239E-2</v>
      </c>
      <c r="Q46" s="85">
        <v>0.40433212996389889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L47" s="85">
        <v>7.575757575757576E-2</v>
      </c>
      <c r="Q47" s="85">
        <v>0.40350877192982454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L48" s="85">
        <v>7.407407407407407E-2</v>
      </c>
      <c r="Q48" s="85">
        <v>0.4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L49" s="85">
        <v>7.2463768115942032E-2</v>
      </c>
      <c r="Q49" s="85">
        <v>0.39735099337748342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L50" s="85">
        <v>7.0921985815602842E-2</v>
      </c>
      <c r="Q50" s="85">
        <v>0.4045307443365696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L51" s="85">
        <v>6.9444444444444448E-2</v>
      </c>
      <c r="Q51" s="85">
        <v>0.40634920634920635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L52" s="85">
        <v>6.8027210884353748E-2</v>
      </c>
      <c r="Q52" s="85">
        <v>0.4024767801857585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L53" s="85">
        <v>6.6666666666666666E-2</v>
      </c>
      <c r="Q53" s="85">
        <v>0.40298507462686567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L54" s="85">
        <v>7.1895424836601302E-2</v>
      </c>
      <c r="Q54" s="85">
        <v>0.40350877192982454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L55" s="85">
        <v>7.0512820512820512E-2</v>
      </c>
      <c r="Q55" s="85">
        <v>0.40517241379310343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L56" s="85">
        <v>6.9182389937106917E-2</v>
      </c>
      <c r="Q56" s="85">
        <v>0.40563380281690142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L57" s="85">
        <v>7.407407407407407E-2</v>
      </c>
      <c r="Q57" s="85">
        <v>0.40720221606648199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L58" s="85">
        <v>7.2727272727272724E-2</v>
      </c>
      <c r="Q58" s="85">
        <v>0.40659340659340659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L59" s="85">
        <v>7.1428571428571425E-2</v>
      </c>
      <c r="Q59" s="85">
        <v>0.40750670241286863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L60" s="85">
        <v>7.0175438596491224E-2</v>
      </c>
      <c r="Q60" s="85">
        <v>0.40105540897097625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L61" s="85">
        <v>6.8965517241379309E-2</v>
      </c>
      <c r="Q61" s="85">
        <v>0.40052356020942409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L62" s="85">
        <v>7.3446327683615822E-2</v>
      </c>
      <c r="Q62" s="85">
        <v>0.39795918367346939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L63" s="85">
        <v>7.7777777777777779E-2</v>
      </c>
      <c r="Q63" s="85">
        <v>0.39250000000000002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L64" s="85">
        <v>8.1967213114754092E-2</v>
      </c>
      <c r="Q64" s="85">
        <v>0.39655172413793105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L65" s="85">
        <v>8.0645161290322578E-2</v>
      </c>
      <c r="Q65" s="85">
        <v>0.40193704600484259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L66" s="85">
        <v>7.9365079365079361E-2</v>
      </c>
      <c r="Q66" s="85">
        <v>0.39858490566037735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L67" s="85">
        <v>7.8125E-2</v>
      </c>
      <c r="Q67" s="85">
        <v>0.39631336405529954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L68" s="85">
        <v>7.6923076923076927E-2</v>
      </c>
      <c r="Q68" s="85">
        <v>0.39631336405529954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L69" s="85">
        <v>7.575757575757576E-2</v>
      </c>
      <c r="Q69" s="85">
        <v>0.39631336405529954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L70" s="85">
        <v>7.4626865671641784E-2</v>
      </c>
      <c r="Q70" s="85">
        <v>0.39631336405529954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7.3529411764705885E-2</v>
      </c>
      <c r="M71" s="85">
        <v>0.44444444444444442</v>
      </c>
      <c r="N71" s="85">
        <v>0.1111111111111111</v>
      </c>
      <c r="O71" s="85">
        <v>0.75</v>
      </c>
      <c r="P71" s="85">
        <v>0</v>
      </c>
      <c r="Q71" s="85">
        <v>0.39816933638443935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7.2463768115942032E-2</v>
      </c>
      <c r="M72" s="85">
        <v>0.36363636363636365</v>
      </c>
      <c r="N72" s="85">
        <v>0.18181818181818182</v>
      </c>
      <c r="O72" s="85">
        <v>0.66666666666666663</v>
      </c>
      <c r="P72" s="85">
        <v>0.16666666666666666</v>
      </c>
      <c r="Q72" s="85">
        <v>0.39550561797752809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7.6190476190476197E-2</v>
      </c>
      <c r="M73" s="85">
        <v>0.35087719298245612</v>
      </c>
      <c r="N73" s="85">
        <v>0.17543859649122806</v>
      </c>
      <c r="O73" s="85">
        <v>0.65</v>
      </c>
      <c r="P73" s="85">
        <v>0.3</v>
      </c>
      <c r="Q73" s="85">
        <v>0.39735099337748342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7.5117370892018781E-2</v>
      </c>
      <c r="M74" s="85">
        <v>0.33333333333333331</v>
      </c>
      <c r="N74" s="85">
        <v>0.18666666666666668</v>
      </c>
      <c r="O74" s="85">
        <v>0.64</v>
      </c>
      <c r="P74" s="85">
        <v>0.35714285714285715</v>
      </c>
      <c r="Q74" s="85">
        <v>0.39737991266375544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7.407407407407407E-2</v>
      </c>
      <c r="M75" s="85">
        <v>0.33333333333333331</v>
      </c>
      <c r="N75" s="85">
        <v>0.22916666666666666</v>
      </c>
      <c r="O75" s="85">
        <v>0.625</v>
      </c>
      <c r="P75" s="85">
        <v>0.27272727272727271</v>
      </c>
      <c r="Q75" s="85">
        <v>0.39655172413793105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7.3059360730593603E-2</v>
      </c>
      <c r="M76" s="85">
        <v>0.31666666666666665</v>
      </c>
      <c r="N76" s="85">
        <v>0.24166666666666667</v>
      </c>
      <c r="O76" s="85">
        <v>0.63157894736842102</v>
      </c>
      <c r="P76" s="85">
        <v>0.27586206896551724</v>
      </c>
      <c r="Q76" s="85">
        <v>0.40127388535031849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7.2072072072072071E-2</v>
      </c>
      <c r="M77" s="85">
        <v>0.32608695652173914</v>
      </c>
      <c r="N77" s="85">
        <v>0.2391304347826087</v>
      </c>
      <c r="O77" s="85">
        <v>0.6</v>
      </c>
      <c r="P77" s="85">
        <v>0.27272727272727271</v>
      </c>
      <c r="Q77" s="85">
        <v>0.40126050420168069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7.5555555555555556E-2</v>
      </c>
      <c r="M78" s="85">
        <v>0.30246913580246915</v>
      </c>
      <c r="N78" s="85">
        <v>0.25925925925925924</v>
      </c>
      <c r="O78" s="85">
        <v>0.5714285714285714</v>
      </c>
      <c r="P78" s="85">
        <v>0.30952380952380953</v>
      </c>
      <c r="Q78" s="85">
        <v>0.40165631469979296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7.4561403508771926E-2</v>
      </c>
      <c r="M79" s="85">
        <v>0.29032258064516131</v>
      </c>
      <c r="N79" s="85">
        <v>0.26881720430107525</v>
      </c>
      <c r="O79" s="85">
        <v>0.55555555555555558</v>
      </c>
      <c r="P79" s="85">
        <v>0.34</v>
      </c>
      <c r="Q79" s="85">
        <v>0.40612244897959182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7.3593073593073599E-2</v>
      </c>
      <c r="M80" s="85">
        <v>0.2878787878787879</v>
      </c>
      <c r="N80" s="85">
        <v>0.25757575757575757</v>
      </c>
      <c r="O80" s="85">
        <v>0.57894736842105265</v>
      </c>
      <c r="P80" s="85">
        <v>0.35294117647058826</v>
      </c>
      <c r="Q80" s="85">
        <v>0.40485829959514169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7.2649572649572655E-2</v>
      </c>
      <c r="M81" s="85">
        <v>0.29166666666666669</v>
      </c>
      <c r="N81" s="85">
        <v>0.25</v>
      </c>
      <c r="O81" s="85">
        <v>0.58730158730158732</v>
      </c>
      <c r="P81" s="85">
        <v>0.35185185185185186</v>
      </c>
      <c r="Q81" s="85">
        <v>0.40799999999999997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7.1729957805907171E-2</v>
      </c>
      <c r="M82" s="85">
        <v>0.29059829059829062</v>
      </c>
      <c r="N82" s="85">
        <v>0.24358974358974358</v>
      </c>
      <c r="O82" s="85">
        <v>0.6029411764705882</v>
      </c>
      <c r="P82" s="85">
        <v>0.33333333333333331</v>
      </c>
      <c r="Q82" s="85">
        <v>0.40990099009900988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7.0833333333333331E-2</v>
      </c>
      <c r="M83" s="85">
        <v>0.2814814814814815</v>
      </c>
      <c r="N83" s="85">
        <v>0.24444444444444444</v>
      </c>
      <c r="O83" s="85">
        <v>0.59210526315789469</v>
      </c>
      <c r="P83" s="85">
        <v>0.34848484848484851</v>
      </c>
      <c r="Q83" s="85">
        <v>0.41359223300970877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7.407407407407407E-2</v>
      </c>
      <c r="M84" s="85">
        <v>0.29209621993127149</v>
      </c>
      <c r="N84" s="85">
        <v>0.24054982817869416</v>
      </c>
      <c r="O84" s="85">
        <v>0.6</v>
      </c>
      <c r="P84" s="85">
        <v>0.34285714285714286</v>
      </c>
      <c r="Q84" s="85">
        <v>0.41379310344827586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7.3170731707317069E-2</v>
      </c>
      <c r="M85" s="85">
        <v>0.2818181818181818</v>
      </c>
      <c r="N85" s="85">
        <v>0.24848484848484848</v>
      </c>
      <c r="O85" s="85">
        <v>0.58064516129032262</v>
      </c>
      <c r="P85" s="85">
        <v>0.35365853658536583</v>
      </c>
      <c r="Q85" s="85">
        <v>0.4101123595505618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7.2289156626506021E-2</v>
      </c>
      <c r="M86" s="85">
        <v>0.28405797101449276</v>
      </c>
      <c r="N86" s="85">
        <v>0.24637681159420291</v>
      </c>
      <c r="O86" s="85">
        <v>0.58163265306122447</v>
      </c>
      <c r="P86" s="85">
        <v>0.3411764705882353</v>
      </c>
      <c r="Q86" s="85">
        <v>0.40892193308550184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7.1428571428571425E-2</v>
      </c>
      <c r="M87" s="85">
        <v>0.28455284552845528</v>
      </c>
      <c r="N87" s="85">
        <v>0.24932249322493225</v>
      </c>
      <c r="O87" s="85">
        <v>0.580952380952381</v>
      </c>
      <c r="P87" s="85">
        <v>0.33695652173913043</v>
      </c>
      <c r="Q87" s="85">
        <v>0.41025641025641024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7.0588235294117646E-2</v>
      </c>
      <c r="M88" s="85">
        <v>0.27989821882951654</v>
      </c>
      <c r="N88" s="85">
        <v>0.24427480916030533</v>
      </c>
      <c r="O88" s="85">
        <v>0.59090909090909094</v>
      </c>
      <c r="P88" s="85">
        <v>0.32291666666666669</v>
      </c>
      <c r="Q88" s="85">
        <v>0.41123188405797101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7.3643410852713184E-2</v>
      </c>
      <c r="M89" s="85">
        <v>0.27941176470588236</v>
      </c>
      <c r="N89" s="85">
        <v>0.24509803921568626</v>
      </c>
      <c r="O89" s="85">
        <v>0.59649122807017541</v>
      </c>
      <c r="P89" s="85">
        <v>0.31</v>
      </c>
      <c r="Q89" s="85">
        <v>0.414721723518851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7.662835249042145E-2</v>
      </c>
      <c r="M90" s="85">
        <v>0.27777777777777779</v>
      </c>
      <c r="N90" s="85">
        <v>0.24444444444444444</v>
      </c>
      <c r="O90" s="85">
        <v>0.6</v>
      </c>
      <c r="P90" s="85">
        <v>0.31818181818181818</v>
      </c>
      <c r="Q90" s="85">
        <v>0.41403508771929826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7.575757575757576E-2</v>
      </c>
      <c r="M91" s="85">
        <v>0.28270042194092826</v>
      </c>
      <c r="N91" s="85">
        <v>0.24472573839662448</v>
      </c>
      <c r="O91" s="85">
        <v>0.59701492537313428</v>
      </c>
      <c r="P91" s="85">
        <v>0.31896551724137934</v>
      </c>
      <c r="Q91" s="85">
        <v>0.41421143847487002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7.8651685393258425E-2</v>
      </c>
      <c r="M92" s="85">
        <v>0.28313253012048195</v>
      </c>
      <c r="N92" s="85">
        <v>0.23895582329317269</v>
      </c>
      <c r="O92" s="85">
        <v>0.60992907801418439</v>
      </c>
      <c r="P92" s="85">
        <v>0.32773109243697479</v>
      </c>
      <c r="Q92" s="85">
        <v>0.41538461538461541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7.7777777777777779E-2</v>
      </c>
      <c r="M93" s="85">
        <v>0.27777777777777779</v>
      </c>
      <c r="N93" s="85">
        <v>0.2413793103448276</v>
      </c>
      <c r="O93" s="85">
        <v>0.61379310344827587</v>
      </c>
      <c r="P93" s="85">
        <v>0.34920634920634919</v>
      </c>
      <c r="Q93" s="85">
        <v>0.41146711635750421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7.6923076923076927E-2</v>
      </c>
      <c r="M94" s="85">
        <v>0.27060931899641577</v>
      </c>
      <c r="N94" s="85">
        <v>0.24551971326164876</v>
      </c>
      <c r="O94" s="85">
        <v>0.60264900662251653</v>
      </c>
      <c r="P94" s="85">
        <v>0.37226277372262773</v>
      </c>
      <c r="Q94" s="85">
        <v>0.40991735537190083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7.6086956521739135E-2</v>
      </c>
      <c r="M95" s="85">
        <v>0.27288428324697755</v>
      </c>
      <c r="N95" s="85">
        <v>0.24525043177892919</v>
      </c>
      <c r="O95" s="85">
        <v>0.60126582278481011</v>
      </c>
      <c r="P95" s="85">
        <v>0.37323943661971831</v>
      </c>
      <c r="Q95" s="85">
        <v>0.40752864157119478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7.8853046594982074E-2</v>
      </c>
      <c r="M96" s="85">
        <v>0.2722772277227723</v>
      </c>
      <c r="N96" s="85">
        <v>0.24422442244224424</v>
      </c>
      <c r="O96" s="85">
        <v>0.60606060606060608</v>
      </c>
      <c r="P96" s="85">
        <v>0.3783783783783784</v>
      </c>
      <c r="Q96" s="85">
        <v>0.40806451612903227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7.8014184397163122E-2</v>
      </c>
      <c r="M97" s="85">
        <v>0.27301587301587299</v>
      </c>
      <c r="N97" s="85">
        <v>0.24285714285714285</v>
      </c>
      <c r="O97" s="85">
        <v>0.61046511627906974</v>
      </c>
      <c r="P97" s="85">
        <v>0.37908496732026142</v>
      </c>
      <c r="Q97" s="85">
        <v>0.40829346092503987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8.0701754385964913E-2</v>
      </c>
      <c r="M98" s="85">
        <v>0.27903469079939669</v>
      </c>
      <c r="N98" s="85">
        <v>0.2368024132730015</v>
      </c>
      <c r="O98" s="85">
        <v>0.61081081081081079</v>
      </c>
      <c r="P98" s="85">
        <v>0.37579617834394907</v>
      </c>
      <c r="Q98" s="85">
        <v>0.40659340659340659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7.9861111111111105E-2</v>
      </c>
      <c r="M99" s="85">
        <v>0.28193832599118945</v>
      </c>
      <c r="N99" s="85">
        <v>0.23641703377386197</v>
      </c>
      <c r="O99" s="85">
        <v>0.609375</v>
      </c>
      <c r="P99" s="85">
        <v>0.37267080745341613</v>
      </c>
      <c r="Q99" s="85">
        <v>0.40746500777604977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7.903780068728522E-2</v>
      </c>
      <c r="M100" s="85">
        <v>0.27566807313642755</v>
      </c>
      <c r="N100" s="85">
        <v>0.23488045007032349</v>
      </c>
      <c r="O100" s="85">
        <v>0.61224489795918369</v>
      </c>
      <c r="P100" s="85">
        <v>0.3772455089820359</v>
      </c>
      <c r="Q100" s="85">
        <v>0.4046153846153846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8.1632653061224483E-2</v>
      </c>
      <c r="M101" s="85">
        <v>0.27100271002710025</v>
      </c>
      <c r="N101" s="85">
        <v>0.23712737127371275</v>
      </c>
      <c r="O101" s="85">
        <v>0.62</v>
      </c>
      <c r="P101" s="85">
        <v>0.37714285714285717</v>
      </c>
      <c r="Q101" s="85">
        <v>0.40425531914893614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8.0808080808080815E-2</v>
      </c>
      <c r="M102" s="85">
        <v>0.27272727272727271</v>
      </c>
      <c r="N102" s="85">
        <v>0.23847167325428195</v>
      </c>
      <c r="O102" s="85">
        <v>0.61352657004830913</v>
      </c>
      <c r="P102" s="85">
        <v>0.38121546961325969</v>
      </c>
      <c r="Q102" s="85">
        <v>0.40451127819548871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8.3333333333333329E-2</v>
      </c>
      <c r="M103" s="85">
        <v>0.27330779054916987</v>
      </c>
      <c r="N103" s="85">
        <v>0.23499361430395913</v>
      </c>
      <c r="O103" s="85">
        <v>0.61214953271028039</v>
      </c>
      <c r="P103" s="85">
        <v>0.3858695652173913</v>
      </c>
      <c r="Q103" s="85">
        <v>0.40416047548291234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8.2508250825082508E-2</v>
      </c>
      <c r="M104" s="85">
        <v>0.27215980024968789</v>
      </c>
      <c r="N104" s="85">
        <v>0.23595505617977527</v>
      </c>
      <c r="O104" s="85">
        <v>0.61009174311926606</v>
      </c>
      <c r="P104" s="85">
        <v>0.38624338624338622</v>
      </c>
      <c r="Q104" s="85">
        <v>0.40412979351032446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8.1699346405228759E-2</v>
      </c>
      <c r="M105" s="85">
        <v>0.27407407407407408</v>
      </c>
      <c r="N105" s="85">
        <v>0.23456790123456789</v>
      </c>
      <c r="O105" s="85">
        <v>0.61261261261261257</v>
      </c>
      <c r="P105" s="85">
        <v>0.38421052631578945</v>
      </c>
      <c r="Q105" s="85">
        <v>0.40528634361233479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8.0906148867313912E-2</v>
      </c>
      <c r="M106" s="85">
        <v>0.27436823104693142</v>
      </c>
      <c r="N106" s="85">
        <v>0.23345367027677497</v>
      </c>
      <c r="O106" s="85">
        <v>0.60964912280701755</v>
      </c>
      <c r="P106" s="85">
        <v>0.38659793814432991</v>
      </c>
      <c r="Q106" s="85">
        <v>0.40611353711790393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8.0128205128205135E-2</v>
      </c>
      <c r="M107" s="85">
        <v>0.27719298245614032</v>
      </c>
      <c r="N107" s="85">
        <v>0.2304093567251462</v>
      </c>
      <c r="O107" s="85">
        <v>0.60759493670886078</v>
      </c>
      <c r="P107" s="85">
        <v>0.39086294416243655</v>
      </c>
      <c r="Q107" s="85">
        <v>0.41210374639769454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7.9365079365079361E-2</v>
      </c>
      <c r="M108" s="85">
        <v>0.2768361581920904</v>
      </c>
      <c r="N108" s="85">
        <v>0.23050847457627119</v>
      </c>
      <c r="O108" s="85">
        <v>0.60408163265306125</v>
      </c>
      <c r="P108" s="85">
        <v>0.40196078431372551</v>
      </c>
      <c r="Q108" s="85">
        <v>0.40992907801418438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7.8616352201257858E-2</v>
      </c>
      <c r="M109" s="85">
        <v>0.28017718715393136</v>
      </c>
      <c r="N109" s="85">
        <v>0.22702104097452935</v>
      </c>
      <c r="O109" s="85">
        <v>0.60079051383399207</v>
      </c>
      <c r="P109" s="85">
        <v>0.40487804878048783</v>
      </c>
      <c r="Q109" s="85">
        <v>0.41209563994374121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7.7881619937694699E-2</v>
      </c>
      <c r="M110" s="85">
        <v>0.28104575163398693</v>
      </c>
      <c r="N110" s="85">
        <v>0.22549019607843138</v>
      </c>
      <c r="O110" s="85">
        <v>0.60077519379844957</v>
      </c>
      <c r="P110" s="85">
        <v>0.40096618357487923</v>
      </c>
      <c r="Q110" s="85">
        <v>0.41258741258741261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7.716049382716049E-2</v>
      </c>
      <c r="M111" s="85">
        <v>0.28108672936259144</v>
      </c>
      <c r="N111" s="85">
        <v>0.22466039707419017</v>
      </c>
      <c r="O111" s="85">
        <v>0.59479553903345728</v>
      </c>
      <c r="P111" s="85">
        <v>0.39534883720930231</v>
      </c>
      <c r="Q111" s="85">
        <v>0.40909090909090912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7.9510703363914373E-2</v>
      </c>
      <c r="M112" s="85">
        <v>0.2815040650406504</v>
      </c>
      <c r="N112" s="85">
        <v>0.22154471544715448</v>
      </c>
      <c r="O112" s="85">
        <v>0.6028880866425993</v>
      </c>
      <c r="P112" s="85">
        <v>0.39449541284403672</v>
      </c>
      <c r="Q112" s="85">
        <v>0.41088435374149662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8.1818181818181818E-2</v>
      </c>
      <c r="M113" s="85">
        <v>0.27925270403146507</v>
      </c>
      <c r="N113" s="85">
        <v>0.22222222222222221</v>
      </c>
      <c r="O113" s="85">
        <v>0.59859154929577463</v>
      </c>
      <c r="P113" s="85">
        <v>0.39380530973451328</v>
      </c>
      <c r="Q113" s="85">
        <v>0.40805369127516777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8.1081081081081086E-2</v>
      </c>
      <c r="M114" s="85">
        <v>0.279383429672447</v>
      </c>
      <c r="N114" s="85">
        <v>0.22254335260115607</v>
      </c>
      <c r="O114" s="85">
        <v>0.60689655172413792</v>
      </c>
      <c r="P114" s="85">
        <v>0.38961038961038963</v>
      </c>
      <c r="Q114" s="85">
        <v>0.40824468085106386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8.0357142857142863E-2</v>
      </c>
      <c r="M115" s="85">
        <v>0.279847182425979</v>
      </c>
      <c r="N115" s="85">
        <v>0.22063037249283668</v>
      </c>
      <c r="O115" s="85">
        <v>0.60750853242320824</v>
      </c>
      <c r="P115" s="85">
        <v>0.38961038961038963</v>
      </c>
      <c r="Q115" s="85">
        <v>0.40794701986754967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8.2595870206489674E-2</v>
      </c>
      <c r="M116" s="85">
        <v>0.28197945845004668</v>
      </c>
      <c r="N116" s="85">
        <v>0.22128851540616246</v>
      </c>
      <c r="O116" s="85">
        <v>0.60264900662251653</v>
      </c>
      <c r="P116" s="85">
        <v>0.3881856540084388</v>
      </c>
      <c r="Q116" s="85">
        <v>0.40629095674967236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8.1871345029239762E-2</v>
      </c>
      <c r="M117" s="85">
        <v>0.28282828282828282</v>
      </c>
      <c r="N117" s="85">
        <v>0.21854912764003673</v>
      </c>
      <c r="O117" s="85">
        <v>0.6071428571428571</v>
      </c>
      <c r="P117" s="85">
        <v>0.3907563025210084</v>
      </c>
      <c r="Q117" s="85">
        <v>0.4096228868660598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8.1159420289855067E-2</v>
      </c>
      <c r="M118" s="85">
        <v>0.28014184397163122</v>
      </c>
      <c r="N118" s="85">
        <v>0.22429078014184398</v>
      </c>
      <c r="O118" s="85">
        <v>0.61392405063291144</v>
      </c>
      <c r="P118" s="85">
        <v>0.39130434782608697</v>
      </c>
      <c r="Q118" s="85">
        <v>0.41176470588235292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8.0459770114942528E-2</v>
      </c>
      <c r="M119" s="85">
        <v>0.28010471204188481</v>
      </c>
      <c r="N119" s="85">
        <v>0.22338568935427575</v>
      </c>
      <c r="O119" s="85">
        <v>0.61370716510903423</v>
      </c>
      <c r="P119" s="85">
        <v>0.390625</v>
      </c>
      <c r="Q119" s="85">
        <v>0.41168996188055906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7.9772079772079771E-2</v>
      </c>
      <c r="M120" s="85">
        <v>0.27905004240882103</v>
      </c>
      <c r="N120" s="85">
        <v>0.22222222222222221</v>
      </c>
      <c r="O120" s="85">
        <v>0.61702127659574468</v>
      </c>
      <c r="P120" s="85">
        <v>0.39694656488549618</v>
      </c>
      <c r="Q120" s="85">
        <v>0.40977443609022557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7.909604519774012E-2</v>
      </c>
      <c r="M121" s="85">
        <v>0.28016877637130799</v>
      </c>
      <c r="N121" s="85">
        <v>0.22109704641350211</v>
      </c>
      <c r="O121" s="85">
        <v>0.61746987951807231</v>
      </c>
      <c r="P121" s="85">
        <v>0.39694656488549618</v>
      </c>
      <c r="Q121" s="85">
        <v>0.41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7.8431372549019607E-2</v>
      </c>
      <c r="M122" s="85">
        <v>0.28026533996683251</v>
      </c>
      <c r="N122" s="85">
        <v>0.22056384742951907</v>
      </c>
      <c r="O122" s="85">
        <v>0.62130177514792895</v>
      </c>
      <c r="P122" s="85">
        <v>0.39473684210526316</v>
      </c>
      <c r="Q122" s="85">
        <v>0.41191066997518611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7.7777777777777779E-2</v>
      </c>
      <c r="M123" s="85">
        <v>0.28223844282238442</v>
      </c>
      <c r="N123" s="85">
        <v>0.21897810218978103</v>
      </c>
      <c r="O123" s="85">
        <v>0.61494252873563215</v>
      </c>
      <c r="P123" s="85">
        <v>0.39629629629629631</v>
      </c>
      <c r="Q123" s="85">
        <v>0.41031941031941033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7.9889807162534437E-2</v>
      </c>
      <c r="M124" s="85">
        <v>0.28297362110311752</v>
      </c>
      <c r="N124" s="85">
        <v>0.21982414068745004</v>
      </c>
      <c r="O124" s="85">
        <v>0.61016949152542377</v>
      </c>
      <c r="P124" s="85">
        <v>0.4</v>
      </c>
      <c r="Q124" s="85">
        <v>0.40853658536585363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7.9234972677595633E-2</v>
      </c>
      <c r="M125" s="85">
        <v>0.28333333333333333</v>
      </c>
      <c r="N125" s="85">
        <v>0.21984126984126984</v>
      </c>
      <c r="O125" s="85">
        <v>0.61064425770308128</v>
      </c>
      <c r="P125" s="85">
        <v>0.4007220216606498</v>
      </c>
      <c r="Q125" s="85">
        <v>0.40704738760631837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7.8590785907859076E-2</v>
      </c>
      <c r="M126" s="85">
        <v>0.28560431100846806</v>
      </c>
      <c r="N126" s="85">
        <v>0.21939953810623555</v>
      </c>
      <c r="O126" s="85">
        <v>0.61185983827493262</v>
      </c>
      <c r="P126" s="85">
        <v>0.39298245614035088</v>
      </c>
      <c r="Q126" s="85">
        <v>0.40887290167865709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7.7956989247311828E-2</v>
      </c>
      <c r="M127" s="85">
        <v>0.28560606060606059</v>
      </c>
      <c r="N127" s="85">
        <v>0.22272727272727272</v>
      </c>
      <c r="O127" s="85">
        <v>0.60742705570291777</v>
      </c>
      <c r="P127" s="85">
        <v>0.39455782312925169</v>
      </c>
      <c r="Q127" s="85">
        <v>0.41022592152199761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7.7333333333333337E-2</v>
      </c>
      <c r="M128" s="85">
        <v>0.28560775540641314</v>
      </c>
      <c r="N128" s="85">
        <v>0.22296793437733034</v>
      </c>
      <c r="O128" s="85">
        <v>0.60835509138381205</v>
      </c>
      <c r="P128" s="85">
        <v>0.40133779264214048</v>
      </c>
      <c r="Q128" s="85">
        <v>0.40989399293286222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7.9365079365079361E-2</v>
      </c>
      <c r="M129" s="85">
        <v>0.2857142857142857</v>
      </c>
      <c r="N129" s="85">
        <v>0.22197802197802197</v>
      </c>
      <c r="O129" s="85">
        <v>0.60769230769230764</v>
      </c>
      <c r="P129" s="85">
        <v>0.39933993399339934</v>
      </c>
      <c r="Q129" s="85">
        <v>0.40935672514619881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7.874015748031496E-2</v>
      </c>
      <c r="M130" s="85">
        <v>0.28467683369644153</v>
      </c>
      <c r="N130" s="85">
        <v>0.22294843863471314</v>
      </c>
      <c r="O130" s="85">
        <v>0.60969387755102045</v>
      </c>
      <c r="P130" s="85">
        <v>0.40065146579804561</v>
      </c>
      <c r="Q130" s="85">
        <v>0.40745052386495928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7.8125E-2</v>
      </c>
      <c r="M131" s="85">
        <v>0.2832618025751073</v>
      </c>
      <c r="N131" s="85">
        <v>0.22460658082975679</v>
      </c>
      <c r="O131" s="85">
        <v>0.60606060606060608</v>
      </c>
      <c r="P131" s="85">
        <v>0.40127388535031849</v>
      </c>
      <c r="Q131" s="85">
        <v>0.40415704387990764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8.0103359173126609E-2</v>
      </c>
      <c r="M132" s="85">
        <v>0.28081232492997199</v>
      </c>
      <c r="N132" s="85">
        <v>0.22759103641456582</v>
      </c>
      <c r="O132" s="85">
        <v>0.60349127182044893</v>
      </c>
      <c r="P132" s="85">
        <v>0.40615384615384614</v>
      </c>
      <c r="Q132" s="85">
        <v>0.40114285714285713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8.2051282051282051E-2</v>
      </c>
      <c r="M133" s="85">
        <v>0.28135828135828134</v>
      </c>
      <c r="N133" s="85">
        <v>0.22661122661122662</v>
      </c>
      <c r="O133" s="85">
        <v>0.60098522167487689</v>
      </c>
      <c r="P133" s="85">
        <v>0.40672782874617736</v>
      </c>
      <c r="Q133" s="85">
        <v>0.4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8.1424936386768454E-2</v>
      </c>
      <c r="M134" s="85">
        <v>0.28231292517006801</v>
      </c>
      <c r="N134" s="85">
        <v>0.22380952380952382</v>
      </c>
      <c r="O134" s="85">
        <v>0.60722891566265058</v>
      </c>
      <c r="P134" s="85">
        <v>0.40425531914893614</v>
      </c>
      <c r="Q134" s="85">
        <v>0.39864864864864863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8.3333333333333329E-2</v>
      </c>
      <c r="M135" s="85">
        <v>0.28360215053763443</v>
      </c>
      <c r="N135" s="85">
        <v>0.22379032258064516</v>
      </c>
      <c r="O135" s="85">
        <v>0.61137440758293837</v>
      </c>
      <c r="P135" s="85">
        <v>0.39939939939939939</v>
      </c>
      <c r="Q135" s="85">
        <v>0.3970917225950783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8.2706766917293228E-2</v>
      </c>
      <c r="M136" s="85">
        <v>0.28392621870882739</v>
      </c>
      <c r="N136" s="85">
        <v>0.22266139657444006</v>
      </c>
      <c r="O136" s="85">
        <v>0.61252900232018559</v>
      </c>
      <c r="P136" s="85">
        <v>0.40236686390532544</v>
      </c>
      <c r="Q136" s="85">
        <v>0.39712389380530971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8.2089552238805971E-2</v>
      </c>
      <c r="M137" s="85">
        <v>0.28478964401294499</v>
      </c>
      <c r="N137" s="85">
        <v>0.22394822006472492</v>
      </c>
      <c r="O137" s="85">
        <v>0.60681818181818181</v>
      </c>
      <c r="P137" s="85">
        <v>0.40173410404624277</v>
      </c>
      <c r="Q137" s="85">
        <v>0.39626783754116357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8.1481481481481488E-2</v>
      </c>
      <c r="M138" s="85">
        <v>0.28498727735368956</v>
      </c>
      <c r="N138" s="85">
        <v>0.22582697201017812</v>
      </c>
      <c r="O138" s="85">
        <v>0.6071428571428571</v>
      </c>
      <c r="P138" s="85">
        <v>0.39718309859154932</v>
      </c>
      <c r="Q138" s="85">
        <v>0.397170837867247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8.0882352941176475E-2</v>
      </c>
      <c r="M139" s="85">
        <v>0.28355387523629488</v>
      </c>
      <c r="N139" s="85">
        <v>0.22558286074354128</v>
      </c>
      <c r="O139" s="85">
        <v>0.60888888888888892</v>
      </c>
      <c r="P139" s="85">
        <v>0.39664804469273746</v>
      </c>
      <c r="Q139" s="85">
        <v>0.39761646803900325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8.0291970802919707E-2</v>
      </c>
      <c r="M140" s="85">
        <v>0.28277153558052437</v>
      </c>
      <c r="N140" s="85">
        <v>0.22409488139825218</v>
      </c>
      <c r="O140" s="85">
        <v>0.61147902869757176</v>
      </c>
      <c r="P140" s="85">
        <v>0.3955431754874652</v>
      </c>
      <c r="Q140" s="85">
        <v>0.39870689655172414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7.9710144927536225E-2</v>
      </c>
      <c r="M141" s="85">
        <v>0.28252788104089221</v>
      </c>
      <c r="N141" s="85">
        <v>0.22490706319702602</v>
      </c>
      <c r="O141" s="85">
        <v>0.61184210526315785</v>
      </c>
      <c r="P141" s="85">
        <v>0.39944903581267216</v>
      </c>
      <c r="Q141" s="85">
        <v>0.3987138263665595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7.9136690647482008E-2</v>
      </c>
      <c r="M142" s="85">
        <v>0.28223844282238442</v>
      </c>
      <c r="N142" s="85">
        <v>0.2281021897810219</v>
      </c>
      <c r="O142" s="85">
        <v>0.60775862068965514</v>
      </c>
      <c r="P142" s="85">
        <v>0.39733333333333332</v>
      </c>
      <c r="Q142" s="85">
        <v>0.39744952178533477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7.857142857142857E-2</v>
      </c>
      <c r="M143" s="85">
        <v>0.28205128205128205</v>
      </c>
      <c r="N143" s="85">
        <v>0.22778771615980919</v>
      </c>
      <c r="O143" s="85">
        <v>0.60887949260042284</v>
      </c>
      <c r="P143" s="85">
        <v>0.39528795811518325</v>
      </c>
      <c r="Q143" s="85">
        <v>0.39684210526315788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7.8014184397163122E-2</v>
      </c>
      <c r="M144" s="85">
        <v>0.28032979976442873</v>
      </c>
      <c r="N144" s="85">
        <v>0.22732626619552415</v>
      </c>
      <c r="O144" s="85">
        <v>0.6071428571428571</v>
      </c>
      <c r="P144" s="85">
        <v>0.39637305699481867</v>
      </c>
      <c r="Q144" s="85">
        <v>0.39622641509433965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7.9812206572769953E-2</v>
      </c>
      <c r="M145" s="85">
        <v>0.28222996515679444</v>
      </c>
      <c r="N145" s="85">
        <v>0.22764227642276422</v>
      </c>
      <c r="O145" s="85">
        <v>0.60288065843621397</v>
      </c>
      <c r="P145" s="85">
        <v>0.39795918367346939</v>
      </c>
      <c r="Q145" s="85">
        <v>0.39646201873048909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7.9254079254079249E-2</v>
      </c>
      <c r="M146" s="85">
        <v>0.28187535734705543</v>
      </c>
      <c r="N146" s="85">
        <v>0.22870211549456831</v>
      </c>
      <c r="O146" s="85">
        <v>0.60243407707910746</v>
      </c>
      <c r="P146" s="85">
        <v>0.40250000000000002</v>
      </c>
      <c r="Q146" s="85">
        <v>0.4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7.8703703703703706E-2</v>
      </c>
      <c r="M147" s="85">
        <v>0.28274311410905001</v>
      </c>
      <c r="N147" s="85">
        <v>0.22878021360314785</v>
      </c>
      <c r="O147" s="85">
        <v>0.60039761431411531</v>
      </c>
      <c r="P147" s="85">
        <v>0.40049140049140047</v>
      </c>
      <c r="Q147" s="85">
        <v>0.39775051124744376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7.8160919540229884E-2</v>
      </c>
      <c r="M148" s="85">
        <v>0.28175263449805882</v>
      </c>
      <c r="N148" s="85">
        <v>0.22961730449251247</v>
      </c>
      <c r="O148" s="85">
        <v>0.60039370078740162</v>
      </c>
      <c r="P148" s="85">
        <v>0.40338164251207731</v>
      </c>
      <c r="Q148" s="85">
        <v>0.39796954314720812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7.7625570776255703E-2</v>
      </c>
      <c r="M149" s="85">
        <v>0.28188286808976465</v>
      </c>
      <c r="N149" s="85">
        <v>0.22988505747126436</v>
      </c>
      <c r="O149" s="85">
        <v>0.6</v>
      </c>
      <c r="P149" s="85">
        <v>0.40476190476190477</v>
      </c>
      <c r="Q149" s="85">
        <v>0.3997985901309164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7.7097505668934238E-2</v>
      </c>
      <c r="M150" s="85">
        <v>0.28217555196553579</v>
      </c>
      <c r="N150" s="85">
        <v>0.23047926763597198</v>
      </c>
      <c r="O150" s="85">
        <v>0.60114503816793896</v>
      </c>
      <c r="P150" s="85">
        <v>0.40186915887850466</v>
      </c>
      <c r="Q150" s="85">
        <v>0.39820359281437123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7.6576576576576572E-2</v>
      </c>
      <c r="M151" s="85">
        <v>0.28426666666666667</v>
      </c>
      <c r="N151" s="85">
        <v>0.2288</v>
      </c>
      <c r="O151" s="85">
        <v>0.59849906191369606</v>
      </c>
      <c r="P151" s="85">
        <v>0.40326340326340326</v>
      </c>
      <c r="Q151" s="85">
        <v>0.39920556107249255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7.6062639821029079E-2</v>
      </c>
      <c r="M152" s="85">
        <v>0.28306878306878308</v>
      </c>
      <c r="N152" s="85">
        <v>0.23068783068783069</v>
      </c>
      <c r="O152" s="85">
        <v>0.5962616822429907</v>
      </c>
      <c r="P152" s="85">
        <v>0.40596330275229359</v>
      </c>
      <c r="Q152" s="85">
        <v>0.39960435212660733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7.5555555555555556E-2</v>
      </c>
      <c r="M153" s="85">
        <v>0.28205128205128205</v>
      </c>
      <c r="N153" s="85">
        <v>0.22972265829408686</v>
      </c>
      <c r="O153" s="85">
        <v>0.5992578849721707</v>
      </c>
      <c r="P153" s="85">
        <v>0.40774487471526194</v>
      </c>
      <c r="Q153" s="85">
        <v>0.39823008849557523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7.7262693156732898E-2</v>
      </c>
      <c r="M154" s="85">
        <v>0.28086419753086422</v>
      </c>
      <c r="N154" s="85">
        <v>0.22942386831275721</v>
      </c>
      <c r="O154" s="85">
        <v>0.59523809523809523</v>
      </c>
      <c r="P154" s="85">
        <v>0.4103139013452915</v>
      </c>
      <c r="Q154" s="85">
        <v>0.39824732229795523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7.8947368421052627E-2</v>
      </c>
      <c r="M155" s="85">
        <v>0.28075548749361917</v>
      </c>
      <c r="N155" s="85">
        <v>0.22970903522205208</v>
      </c>
      <c r="O155" s="85">
        <v>0.59272727272727277</v>
      </c>
      <c r="P155" s="85">
        <v>0.40888888888888891</v>
      </c>
      <c r="Q155" s="85">
        <v>0.39767216294859359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7.8431372549019607E-2</v>
      </c>
      <c r="M156" s="85">
        <v>0.28139183055975792</v>
      </c>
      <c r="N156" s="85">
        <v>0.22894604135148763</v>
      </c>
      <c r="O156" s="85">
        <v>0.59498207885304655</v>
      </c>
      <c r="P156" s="85">
        <v>0.40748898678414097</v>
      </c>
      <c r="Q156" s="85">
        <v>0.39846005774783444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7.792207792207792E-2</v>
      </c>
      <c r="M157" s="85">
        <v>0.28308457711442786</v>
      </c>
      <c r="N157" s="85">
        <v>0.22686567164179106</v>
      </c>
      <c r="O157" s="85">
        <v>0.59402460456942008</v>
      </c>
      <c r="P157" s="85">
        <v>0.40789473684210525</v>
      </c>
      <c r="Q157" s="85">
        <v>0.39732569245463228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7.7419354838709681E-2</v>
      </c>
      <c r="M158" s="85">
        <v>0.28325969563082964</v>
      </c>
      <c r="N158" s="85">
        <v>0.22582228767795778</v>
      </c>
      <c r="O158" s="85">
        <v>0.59618717504332752</v>
      </c>
      <c r="P158" s="85">
        <v>0.40652173913043477</v>
      </c>
      <c r="Q158" s="85">
        <v>0.39772727272727271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7.6923076923076927E-2</v>
      </c>
      <c r="M159" s="85">
        <v>0.28439922480620156</v>
      </c>
      <c r="N159" s="85">
        <v>0.22674418604651161</v>
      </c>
      <c r="O159" s="85">
        <v>0.59454855195911416</v>
      </c>
      <c r="P159" s="85">
        <v>0.40384615384615385</v>
      </c>
      <c r="Q159" s="85">
        <v>0.39661654135338348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7.6433121019108277E-2</v>
      </c>
      <c r="M160" s="85">
        <v>0.28333333333333333</v>
      </c>
      <c r="N160" s="85">
        <v>0.2280952380952381</v>
      </c>
      <c r="O160" s="85">
        <v>0.59495798319327731</v>
      </c>
      <c r="P160" s="85">
        <v>0.39874739039665968</v>
      </c>
      <c r="Q160" s="85">
        <v>0.39794967381174279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7.5949367088607597E-2</v>
      </c>
      <c r="M161" s="85">
        <v>0.28194247996228194</v>
      </c>
      <c r="N161" s="85">
        <v>0.23008015087223008</v>
      </c>
      <c r="O161" s="85">
        <v>0.59531772575250841</v>
      </c>
      <c r="P161" s="85">
        <v>0.39959016393442626</v>
      </c>
      <c r="Q161" s="85">
        <v>0.39666357738646896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7.5471698113207544E-2</v>
      </c>
      <c r="M162" s="85">
        <v>0.28119180633147112</v>
      </c>
      <c r="N162" s="85">
        <v>0.22951582867783984</v>
      </c>
      <c r="O162" s="85">
        <v>0.59602649006622521</v>
      </c>
      <c r="P162" s="85">
        <v>0.39959432048681542</v>
      </c>
      <c r="Q162" s="85">
        <v>0.39686924493554326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7.4999999999999997E-2</v>
      </c>
      <c r="M163" s="85">
        <v>0.28381476386978449</v>
      </c>
      <c r="N163" s="85">
        <v>0.22879413113250802</v>
      </c>
      <c r="O163" s="85">
        <v>0.59612277867528274</v>
      </c>
      <c r="P163" s="85">
        <v>0.39679358717434871</v>
      </c>
      <c r="Q163" s="85">
        <v>0.39835916134913402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7.4534161490683232E-2</v>
      </c>
      <c r="M164" s="85">
        <v>0.28351449275362317</v>
      </c>
      <c r="N164" s="85">
        <v>0.23097826086956522</v>
      </c>
      <c r="O164" s="85">
        <v>0.597444089456869</v>
      </c>
      <c r="P164" s="85">
        <v>0.39215686274509803</v>
      </c>
      <c r="Q164" s="85">
        <v>0.39909502262443441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7.407407407407407E-2</v>
      </c>
      <c r="M165" s="85">
        <v>0.28449820788530467</v>
      </c>
      <c r="N165" s="85">
        <v>0.2307347670250896</v>
      </c>
      <c r="O165" s="85">
        <v>0.59685039370078741</v>
      </c>
      <c r="P165" s="85">
        <v>0.39223300970873787</v>
      </c>
      <c r="Q165" s="85">
        <v>0.39928057553956836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7.3619631901840496E-2</v>
      </c>
      <c r="M166" s="85">
        <v>0.28368794326241137</v>
      </c>
      <c r="N166" s="85">
        <v>0.23182624113475178</v>
      </c>
      <c r="O166" s="85">
        <v>0.59531250000000002</v>
      </c>
      <c r="P166" s="85">
        <v>0.39196940726577439</v>
      </c>
      <c r="Q166" s="85">
        <v>0.39910714285714288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7.3170731707317069E-2</v>
      </c>
      <c r="M167" s="85">
        <v>0.28302712160979876</v>
      </c>
      <c r="N167" s="85">
        <v>0.23053368328958881</v>
      </c>
      <c r="O167" s="85">
        <v>0.59814528593508498</v>
      </c>
      <c r="P167" s="85">
        <v>0.39278937381404172</v>
      </c>
      <c r="Q167" s="85">
        <v>0.39893617021276595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7.2727272727272724E-2</v>
      </c>
      <c r="M168" s="85">
        <v>0.28416013925152306</v>
      </c>
      <c r="N168" s="85">
        <v>0.2297650130548303</v>
      </c>
      <c r="O168" s="85">
        <v>0.59724349157733536</v>
      </c>
      <c r="P168" s="85">
        <v>0.39393939393939392</v>
      </c>
      <c r="Q168" s="85">
        <v>0.39805825242718446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7.2289156626506021E-2</v>
      </c>
      <c r="M169" s="85">
        <v>0.2833117723156533</v>
      </c>
      <c r="N169" s="85">
        <v>0.23156532988357051</v>
      </c>
      <c r="O169" s="85">
        <v>0.59817351598173518</v>
      </c>
      <c r="P169" s="85">
        <v>0.39478584729981381</v>
      </c>
      <c r="Q169" s="85">
        <v>0.39736842105263159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7.1856287425149698E-2</v>
      </c>
      <c r="M170" s="85">
        <v>0.2833763996554694</v>
      </c>
      <c r="N170" s="85">
        <v>0.23126614987080105</v>
      </c>
      <c r="O170" s="85">
        <v>0.59878419452887544</v>
      </c>
      <c r="P170" s="85">
        <v>0.39478584729981381</v>
      </c>
      <c r="Q170" s="85">
        <v>0.39702015775635408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7.1428571428571425E-2</v>
      </c>
      <c r="M171" s="85">
        <v>0.28267347807577692</v>
      </c>
      <c r="N171" s="85">
        <v>0.23158790974882928</v>
      </c>
      <c r="O171" s="85">
        <v>0.59638554216867468</v>
      </c>
      <c r="P171" s="85">
        <v>0.3952205882352941</v>
      </c>
      <c r="Q171" s="85">
        <v>0.40086956521739131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7.1005917159763315E-2</v>
      </c>
      <c r="M172" s="85">
        <v>0.28409090909090912</v>
      </c>
      <c r="N172" s="85">
        <v>0.23106060606060605</v>
      </c>
      <c r="O172" s="85">
        <v>0.59407407407407409</v>
      </c>
      <c r="P172" s="85">
        <v>0.39708561020036431</v>
      </c>
      <c r="Q172" s="85">
        <v>0.40034512510785158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7.0588235294117646E-2</v>
      </c>
      <c r="M173" s="85">
        <v>0.28339575530586769</v>
      </c>
      <c r="N173" s="85">
        <v>0.23137744486059092</v>
      </c>
      <c r="O173" s="85">
        <v>0.59618208516886928</v>
      </c>
      <c r="P173" s="85">
        <v>0.39748201438848924</v>
      </c>
      <c r="Q173" s="85">
        <v>0.40068493150684931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7.0175438596491224E-2</v>
      </c>
      <c r="M174" s="85">
        <v>0.28329197684036395</v>
      </c>
      <c r="N174" s="85">
        <v>0.23159636062861869</v>
      </c>
      <c r="O174" s="85">
        <v>0.59708029197080292</v>
      </c>
      <c r="P174" s="85">
        <v>0.39642857142857141</v>
      </c>
      <c r="Q174" s="85">
        <v>0.40187713310580203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6.9767441860465115E-2</v>
      </c>
      <c r="M175" s="85">
        <v>0.28396572827417382</v>
      </c>
      <c r="N175" s="85">
        <v>0.2317421460628315</v>
      </c>
      <c r="O175" s="85">
        <v>0.5933908045977011</v>
      </c>
      <c r="P175" s="85">
        <v>0.39612676056338031</v>
      </c>
      <c r="Q175" s="85">
        <v>0.40270727580372251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6.9364161849710976E-2</v>
      </c>
      <c r="M176" s="85">
        <v>0.28357605177993528</v>
      </c>
      <c r="N176" s="85">
        <v>0.23260517799352751</v>
      </c>
      <c r="O176" s="85">
        <v>0.59343794579172615</v>
      </c>
      <c r="P176" s="85">
        <v>0.39652173913043476</v>
      </c>
      <c r="Q176" s="85">
        <v>0.40117746005046256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7.0881226053639848E-2</v>
      </c>
      <c r="M177" s="85">
        <v>0.28291316526610644</v>
      </c>
      <c r="N177" s="85">
        <v>0.23289315726290516</v>
      </c>
      <c r="O177" s="85">
        <v>0.59405940594059403</v>
      </c>
      <c r="P177" s="85">
        <v>0.39690721649484534</v>
      </c>
      <c r="Q177" s="85">
        <v>0.40400667779632721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7.2380952380952379E-2</v>
      </c>
      <c r="M178" s="85">
        <v>0.28293650793650793</v>
      </c>
      <c r="N178" s="85">
        <v>0.23214285714285715</v>
      </c>
      <c r="O178" s="85">
        <v>0.5946704067321178</v>
      </c>
      <c r="P178" s="85">
        <v>0.39658119658119656</v>
      </c>
      <c r="Q178" s="85">
        <v>0.40448504983388706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7.3863636363636367E-2</v>
      </c>
      <c r="M179" s="85">
        <v>0.28289992119779356</v>
      </c>
      <c r="N179" s="85">
        <v>0.23128447596532703</v>
      </c>
      <c r="O179" s="85">
        <v>0.59610027855153203</v>
      </c>
      <c r="P179" s="85">
        <v>0.39693356047700168</v>
      </c>
      <c r="Q179" s="85">
        <v>0.40413223140495869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7.3446327683615822E-2</v>
      </c>
      <c r="M180" s="85">
        <v>0.2834890965732087</v>
      </c>
      <c r="N180" s="85">
        <v>0.23130841121495327</v>
      </c>
      <c r="O180" s="85">
        <v>0.59615384615384615</v>
      </c>
      <c r="P180" s="85">
        <v>0.39393939393939392</v>
      </c>
      <c r="Q180" s="85">
        <v>0.4039408866995074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7.4906367041198504E-2</v>
      </c>
      <c r="M181" s="85">
        <v>0.28202160493827161</v>
      </c>
      <c r="N181" s="85">
        <v>0.23148148148148148</v>
      </c>
      <c r="O181" s="85">
        <v>0.59644322845417241</v>
      </c>
      <c r="P181" s="85">
        <v>0.39500000000000002</v>
      </c>
      <c r="Q181" s="85">
        <v>0.40701468189233281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7.4487895716946001E-2</v>
      </c>
      <c r="M182" s="85">
        <v>0.28243398392652125</v>
      </c>
      <c r="N182" s="85">
        <v>0.23038652889399158</v>
      </c>
      <c r="O182" s="85">
        <v>0.59756097560975607</v>
      </c>
      <c r="P182" s="85">
        <v>0.39368770764119604</v>
      </c>
      <c r="Q182" s="85">
        <v>0.40632603406326034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7.5925925925925924E-2</v>
      </c>
      <c r="M183" s="85">
        <v>0.2833900870223231</v>
      </c>
      <c r="N183" s="85">
        <v>0.22928490351872871</v>
      </c>
      <c r="O183" s="85">
        <v>0.59946595460614149</v>
      </c>
      <c r="P183" s="85">
        <v>0.39273927392739272</v>
      </c>
      <c r="Q183" s="85">
        <v>0.40740740740740738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7.550644567219153E-2</v>
      </c>
      <c r="M184" s="85">
        <v>0.28507295173961839</v>
      </c>
      <c r="N184" s="85">
        <v>0.22933034044145156</v>
      </c>
      <c r="O184" s="85">
        <v>0.59711286089238846</v>
      </c>
      <c r="P184" s="85">
        <v>0.39151712887438828</v>
      </c>
      <c r="Q184" s="85">
        <v>0.40687450039968026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7.5091575091575088E-2</v>
      </c>
      <c r="M185" s="85">
        <v>0.28518518518518521</v>
      </c>
      <c r="N185" s="85">
        <v>0.22962962962962963</v>
      </c>
      <c r="O185" s="85">
        <v>0.59610389610389614</v>
      </c>
      <c r="P185" s="85">
        <v>0.39193548387096772</v>
      </c>
      <c r="Q185" s="85">
        <v>0.40984908657664815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7.4681238615664849E-2</v>
      </c>
      <c r="M186" s="85">
        <v>0.28450807635829661</v>
      </c>
      <c r="N186" s="85">
        <v>0.23127753303964757</v>
      </c>
      <c r="O186" s="85">
        <v>0.59483870967741936</v>
      </c>
      <c r="P186" s="85">
        <v>0.39523809523809522</v>
      </c>
      <c r="Q186" s="85">
        <v>0.409629044988161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7.6086956521739135E-2</v>
      </c>
      <c r="M187" s="85">
        <v>0.28581791802684076</v>
      </c>
      <c r="N187" s="85">
        <v>0.23104824084149439</v>
      </c>
      <c r="O187" s="85">
        <v>0.59010152284263961</v>
      </c>
      <c r="P187" s="85">
        <v>0.39560439560439559</v>
      </c>
      <c r="Q187" s="85">
        <v>0.40987460815047022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7.567567567567568E-2</v>
      </c>
      <c r="M188" s="85">
        <v>0.28719599427753933</v>
      </c>
      <c r="N188" s="85">
        <v>0.2296137339055794</v>
      </c>
      <c r="O188" s="85">
        <v>0.58655043586550437</v>
      </c>
      <c r="P188" s="85">
        <v>0.39875389408099687</v>
      </c>
      <c r="Q188" s="85">
        <v>0.41103341103341101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7.5268817204301078E-2</v>
      </c>
      <c r="M189" s="85">
        <v>0.28713574982231699</v>
      </c>
      <c r="N189" s="85">
        <v>0.22956645344705046</v>
      </c>
      <c r="O189" s="85">
        <v>0.5866336633663366</v>
      </c>
      <c r="P189" s="85">
        <v>0.39938080495356038</v>
      </c>
      <c r="Q189" s="85">
        <v>0.41067285382830626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7.4866310160427801E-2</v>
      </c>
      <c r="M190" s="85">
        <v>0.28752642706131076</v>
      </c>
      <c r="N190" s="85">
        <v>0.22973925299506695</v>
      </c>
      <c r="O190" s="85">
        <v>0.58700980392156865</v>
      </c>
      <c r="P190" s="85">
        <v>0.40030674846625769</v>
      </c>
      <c r="Q190" s="85">
        <v>0.41199077632590314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7.4468085106382975E-2</v>
      </c>
      <c r="M191" s="85">
        <v>0.28775226165622825</v>
      </c>
      <c r="N191" s="85">
        <v>0.22860125260960334</v>
      </c>
      <c r="O191" s="85">
        <v>0.59008464328899635</v>
      </c>
      <c r="P191" s="85">
        <v>0.39726027397260272</v>
      </c>
      <c r="Q191" s="85">
        <v>0.41234756097560976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7.5837742504409167E-2</v>
      </c>
      <c r="M192" s="85">
        <v>0.28734439834024894</v>
      </c>
      <c r="N192" s="85">
        <v>0.22821576763485477</v>
      </c>
      <c r="O192" s="85">
        <v>0.58965102286401927</v>
      </c>
      <c r="P192" s="85">
        <v>0.4</v>
      </c>
      <c r="Q192" s="85">
        <v>0.41274658573596357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7.7192982456140355E-2</v>
      </c>
      <c r="M193" s="85">
        <v>0.28758169934640521</v>
      </c>
      <c r="N193" s="85">
        <v>0.22772617819057447</v>
      </c>
      <c r="O193" s="85">
        <v>0.58971291866028708</v>
      </c>
      <c r="P193" s="85">
        <v>0.3987915407854985</v>
      </c>
      <c r="Q193" s="85">
        <v>0.41269841269841268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7.8534031413612565E-2</v>
      </c>
      <c r="M194" s="85">
        <v>0.2865916069600819</v>
      </c>
      <c r="N194" s="85">
        <v>0.22790856363016035</v>
      </c>
      <c r="O194" s="85">
        <v>0.59047619047619049</v>
      </c>
      <c r="P194" s="85">
        <v>0.39970059880239522</v>
      </c>
      <c r="Q194" s="85">
        <v>0.41309255079006774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7.8125E-2</v>
      </c>
      <c r="M195" s="85">
        <v>0.2870182555780933</v>
      </c>
      <c r="N195" s="85">
        <v>0.2281947261663286</v>
      </c>
      <c r="O195" s="85">
        <v>0.59246171967020023</v>
      </c>
      <c r="P195" s="85">
        <v>0.39555555555555555</v>
      </c>
      <c r="Q195" s="85">
        <v>0.41436050860134632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7.9447322970639028E-2</v>
      </c>
      <c r="M196" s="85">
        <v>0.2866263440860215</v>
      </c>
      <c r="N196" s="85">
        <v>0.22782258064516128</v>
      </c>
      <c r="O196" s="85">
        <v>0.59320046893317702</v>
      </c>
      <c r="P196" s="85">
        <v>0.39528023598820061</v>
      </c>
      <c r="Q196" s="85">
        <v>0.41399851079672373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7.903780068728522E-2</v>
      </c>
      <c r="M197" s="85">
        <v>0.28647391159853774</v>
      </c>
      <c r="N197" s="85">
        <v>0.22831505483549352</v>
      </c>
      <c r="O197" s="85">
        <v>0.59512761020881666</v>
      </c>
      <c r="P197" s="85">
        <v>0.3930131004366812</v>
      </c>
      <c r="Q197" s="85">
        <v>0.41463414634146339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7.8632478632478631E-2</v>
      </c>
      <c r="M198" s="85">
        <v>0.28613861386138612</v>
      </c>
      <c r="N198" s="85">
        <v>0.22772277227722773</v>
      </c>
      <c r="O198" s="85">
        <v>0.59630911188004609</v>
      </c>
      <c r="P198" s="85">
        <v>0.39275362318840579</v>
      </c>
      <c r="Q198" s="85">
        <v>0.41501103752759383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7.8231292517006806E-2</v>
      </c>
      <c r="M199" s="85">
        <v>0.28632478632478631</v>
      </c>
      <c r="N199" s="85">
        <v>0.22781065088757396</v>
      </c>
      <c r="O199" s="85">
        <v>0.59586681974741673</v>
      </c>
      <c r="P199" s="85">
        <v>0.39393939393939392</v>
      </c>
      <c r="Q199" s="85">
        <v>0.41379310344827586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7.7834179357021999E-2</v>
      </c>
      <c r="M200" s="85">
        <v>0.28637110016420364</v>
      </c>
      <c r="N200" s="85">
        <v>0.22791461412151068</v>
      </c>
      <c r="O200" s="85">
        <v>0.59633027522935778</v>
      </c>
      <c r="P200" s="85">
        <v>0.39337175792507206</v>
      </c>
      <c r="Q200" s="85">
        <v>0.41348973607038125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7.7441077441077436E-2</v>
      </c>
      <c r="M201" s="85">
        <v>0.28645833333333331</v>
      </c>
      <c r="N201" s="85">
        <v>0.2275390625</v>
      </c>
      <c r="O201" s="85">
        <v>0.59886363636363638</v>
      </c>
      <c r="P201" s="85">
        <v>0.39341917024320455</v>
      </c>
      <c r="Q201" s="85">
        <v>0.41514930808448652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7.8726968174204354E-2</v>
      </c>
      <c r="M202" s="85">
        <v>0.28617571059431524</v>
      </c>
      <c r="N202" s="85">
        <v>0.2270671834625323</v>
      </c>
      <c r="O202" s="85">
        <v>0.59932279909706543</v>
      </c>
      <c r="P202" s="85">
        <v>0.39402560455192032</v>
      </c>
      <c r="Q202" s="85">
        <v>0.41521739130434782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0.08</v>
      </c>
      <c r="M203" s="85">
        <v>0.287135065768367</v>
      </c>
      <c r="N203" s="85">
        <v>0.22778312479948667</v>
      </c>
      <c r="O203" s="85">
        <v>0.59664804469273747</v>
      </c>
      <c r="P203" s="85">
        <v>0.39295774647887322</v>
      </c>
      <c r="Q203" s="85">
        <v>0.41528478731074259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8.12603648424544E-2</v>
      </c>
      <c r="M204" s="85">
        <v>0.28884652049571019</v>
      </c>
      <c r="N204" s="85">
        <v>0.22751827136955832</v>
      </c>
      <c r="O204" s="85">
        <v>0.59405940594059403</v>
      </c>
      <c r="P204" s="85">
        <v>0.39106145251396646</v>
      </c>
      <c r="Q204" s="85">
        <v>0.41535150645624103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8.0858085808580851E-2</v>
      </c>
      <c r="M205" s="85">
        <v>0.28800755429650615</v>
      </c>
      <c r="N205" s="85">
        <v>0.22788794460182563</v>
      </c>
      <c r="O205" s="85">
        <v>0.59562841530054644</v>
      </c>
      <c r="P205" s="85">
        <v>0.39226519337016574</v>
      </c>
      <c r="Q205" s="85">
        <v>0.41524216524216523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8.0459770114942528E-2</v>
      </c>
      <c r="M206" s="85">
        <v>0.28834739144017496</v>
      </c>
      <c r="N206" s="85">
        <v>0.22774133083411435</v>
      </c>
      <c r="O206" s="85">
        <v>0.59588299024918745</v>
      </c>
      <c r="P206" s="85">
        <v>0.39094650205761317</v>
      </c>
      <c r="Q206" s="85">
        <v>0.41459957476966691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8.1699346405228759E-2</v>
      </c>
      <c r="M207" s="85">
        <v>0.28775193798449611</v>
      </c>
      <c r="N207" s="85">
        <v>0.22759689922480619</v>
      </c>
      <c r="O207" s="85">
        <v>0.59482758620689657</v>
      </c>
      <c r="P207" s="85">
        <v>0.38964577656675747</v>
      </c>
      <c r="Q207" s="85">
        <v>0.4152542372881356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8.2926829268292687E-2</v>
      </c>
      <c r="M208" s="85">
        <v>0.28778085564789163</v>
      </c>
      <c r="N208" s="85">
        <v>0.22837796244998462</v>
      </c>
      <c r="O208" s="85">
        <v>0.59465240641711226</v>
      </c>
      <c r="P208" s="85">
        <v>0.38948787061994611</v>
      </c>
      <c r="Q208" s="85">
        <v>0.41461700632466619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8.4142394822006472E-2</v>
      </c>
      <c r="M209" s="85">
        <v>0.2871982890314696</v>
      </c>
      <c r="N209" s="85">
        <v>0.22823098075160403</v>
      </c>
      <c r="O209" s="85">
        <v>0.5957446808510638</v>
      </c>
      <c r="P209" s="85">
        <v>0.38955823293172692</v>
      </c>
      <c r="Q209" s="85">
        <v>0.41538461538461541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8.3735909822866342E-2</v>
      </c>
      <c r="M210" s="85">
        <v>0.2871467639015497</v>
      </c>
      <c r="N210" s="85">
        <v>0.22819811607414159</v>
      </c>
      <c r="O210" s="85">
        <v>0.59470899470899474</v>
      </c>
      <c r="P210" s="85">
        <v>0.38881491344873503</v>
      </c>
      <c r="Q210" s="85">
        <v>0.41672473867595816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8.3333333333333329E-2</v>
      </c>
      <c r="M211" s="85">
        <v>0.28735632183908044</v>
      </c>
      <c r="N211" s="85">
        <v>0.22837265577737448</v>
      </c>
      <c r="O211" s="85">
        <v>0.59368421052631581</v>
      </c>
      <c r="P211" s="85">
        <v>0.38940397350993378</v>
      </c>
      <c r="Q211" s="85">
        <v>0.41666666666666669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8.4529505582137163E-2</v>
      </c>
      <c r="M212" s="85">
        <v>0.28752260397830021</v>
      </c>
      <c r="N212" s="85">
        <v>0.22784810126582278</v>
      </c>
      <c r="O212" s="85">
        <v>0.59329140461215935</v>
      </c>
      <c r="P212" s="85">
        <v>0.39021164021164023</v>
      </c>
      <c r="Q212" s="85">
        <v>0.41718641718641719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8.4126984126984133E-2</v>
      </c>
      <c r="M213" s="85">
        <v>0.28721174004192873</v>
      </c>
      <c r="N213" s="85">
        <v>0.22761305780173705</v>
      </c>
      <c r="O213" s="85">
        <v>0.59332638164754958</v>
      </c>
      <c r="P213" s="85">
        <v>0.39078947368421052</v>
      </c>
      <c r="Q213" s="85">
        <v>0.41752933057280883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8.3728278041074244E-2</v>
      </c>
      <c r="M214" s="85">
        <v>0.28740740740740739</v>
      </c>
      <c r="N214" s="85">
        <v>0.22696296296296295</v>
      </c>
      <c r="O214" s="85">
        <v>0.59278350515463918</v>
      </c>
      <c r="P214" s="85">
        <v>0.39295039164490864</v>
      </c>
      <c r="Q214" s="85">
        <v>0.41683778234086244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8.3333333333333329E-2</v>
      </c>
      <c r="M215" s="85">
        <v>0.28798586572438162</v>
      </c>
      <c r="N215" s="85">
        <v>0.22673733804475854</v>
      </c>
      <c r="O215" s="85">
        <v>0.59202453987730064</v>
      </c>
      <c r="P215" s="85">
        <v>0.39350649350649353</v>
      </c>
      <c r="Q215" s="85">
        <v>0.41717791411042943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8.2942097026604072E-2</v>
      </c>
      <c r="M216" s="85">
        <v>0.28797190517998245</v>
      </c>
      <c r="N216" s="85">
        <v>0.22622183201638865</v>
      </c>
      <c r="O216" s="85">
        <v>0.59247967479674801</v>
      </c>
      <c r="P216" s="85">
        <v>0.39327296248382926</v>
      </c>
      <c r="Q216" s="85">
        <v>0.41723202170963364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8.4112149532710276E-2</v>
      </c>
      <c r="M217" s="85">
        <v>0.28886951467596628</v>
      </c>
      <c r="N217" s="85">
        <v>0.22580645161290322</v>
      </c>
      <c r="O217" s="85">
        <v>0.59154929577464788</v>
      </c>
      <c r="P217" s="85">
        <v>0.39253539253539255</v>
      </c>
      <c r="Q217" s="85">
        <v>0.41621621621621624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8.3720930232558138E-2</v>
      </c>
      <c r="M218" s="85">
        <v>0.28888888888888886</v>
      </c>
      <c r="N218" s="85">
        <v>0.22568542568542568</v>
      </c>
      <c r="O218" s="85">
        <v>0.59240759240759244</v>
      </c>
      <c r="P218" s="85">
        <v>0.39002557544757033</v>
      </c>
      <c r="Q218" s="85">
        <v>0.41694687289845328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8.3333333333333329E-2</v>
      </c>
      <c r="M219" s="85">
        <v>0.28929188255613125</v>
      </c>
      <c r="N219" s="85">
        <v>0.22538860103626943</v>
      </c>
      <c r="O219" s="85">
        <v>0.59303482587064682</v>
      </c>
      <c r="P219" s="85">
        <v>0.38952745849297571</v>
      </c>
      <c r="Q219" s="85">
        <v>0.41677852348993288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8.4485407066052232E-2</v>
      </c>
      <c r="M220" s="85">
        <v>0.29023972602739728</v>
      </c>
      <c r="N220" s="85">
        <v>0.22431506849315069</v>
      </c>
      <c r="O220" s="85">
        <v>0.58997050147492625</v>
      </c>
      <c r="P220" s="85">
        <v>0.38931297709923662</v>
      </c>
      <c r="Q220" s="85">
        <v>0.41750167000668004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8.5626911314984705E-2</v>
      </c>
      <c r="M221" s="85">
        <v>0.29081632653061223</v>
      </c>
      <c r="N221" s="85">
        <v>0.22363945578231292</v>
      </c>
      <c r="O221" s="85">
        <v>0.59064327485380119</v>
      </c>
      <c r="P221" s="85">
        <v>0.38910012674271227</v>
      </c>
      <c r="Q221" s="85">
        <v>0.41727574750830565</v>
      </c>
    </row>
    <row r="222" spans="1:17" x14ac:dyDescent="0.4">
      <c r="A222" s="87">
        <v>219</v>
      </c>
      <c r="B222" s="84">
        <v>-4.9999999999999583</v>
      </c>
      <c r="C222" s="84">
        <v>-7.610350076103437E-3</v>
      </c>
      <c r="D222" s="89">
        <v>2</v>
      </c>
      <c r="E222" s="85">
        <v>0.33333333333333331</v>
      </c>
      <c r="F222" s="85">
        <v>0.30436531884932611</v>
      </c>
      <c r="G222" s="85">
        <v>0.17380808690404345</v>
      </c>
      <c r="H222" s="86">
        <v>10249.570389953735</v>
      </c>
      <c r="I222" s="86">
        <v>-9493.0555555555547</v>
      </c>
      <c r="J222" s="85">
        <v>0.16438356164383561</v>
      </c>
      <c r="K222" s="85">
        <v>0.16438356164383561</v>
      </c>
      <c r="L222" s="85">
        <v>8.5235920852359204E-2</v>
      </c>
      <c r="M222" s="85">
        <v>0.29001406469760899</v>
      </c>
      <c r="N222" s="85">
        <v>0.2239099859353024</v>
      </c>
      <c r="O222" s="85">
        <v>0.58971871968962175</v>
      </c>
      <c r="P222" s="85">
        <v>0.3907035175879397</v>
      </c>
      <c r="Q222" s="85">
        <v>0.41639127561136813</v>
      </c>
    </row>
    <row r="223" spans="1:17" x14ac:dyDescent="0.4">
      <c r="A223" s="87">
        <v>220</v>
      </c>
      <c r="B223" s="84">
        <v>-4.9999999999999538</v>
      </c>
      <c r="C223" s="84">
        <v>-7.5757575757575057E-3</v>
      </c>
      <c r="D223" s="89">
        <v>2</v>
      </c>
      <c r="E223" s="85">
        <v>0.33333333333333331</v>
      </c>
      <c r="F223" s="85">
        <v>0.30373925214957009</v>
      </c>
      <c r="G223" s="85">
        <v>0.17336532693461307</v>
      </c>
      <c r="H223" s="86">
        <v>10252.666227781436</v>
      </c>
      <c r="I223" s="86">
        <v>-9481.1995386389844</v>
      </c>
      <c r="J223" s="85">
        <v>0.16515151515151516</v>
      </c>
      <c r="K223" s="85">
        <v>0.16515151515151516</v>
      </c>
      <c r="L223" s="85">
        <v>8.4848484848484854E-2</v>
      </c>
      <c r="M223" s="85">
        <v>0.29065550906555093</v>
      </c>
      <c r="N223" s="85">
        <v>0.22259414225941423</v>
      </c>
      <c r="O223" s="85">
        <v>0.58733205374280228</v>
      </c>
      <c r="P223" s="85">
        <v>0.39097744360902253</v>
      </c>
      <c r="Q223" s="85">
        <v>0.41672152732060569</v>
      </c>
    </row>
    <row r="224" spans="1:17" x14ac:dyDescent="0.4">
      <c r="A224" s="87">
        <v>221</v>
      </c>
      <c r="B224" s="84">
        <v>-4.9999999999999538</v>
      </c>
      <c r="C224" s="84">
        <v>-7.5414781297133545E-3</v>
      </c>
      <c r="D224" s="89">
        <v>2</v>
      </c>
      <c r="E224" s="85">
        <v>0.33333333333333331</v>
      </c>
      <c r="F224" s="85">
        <v>0.30388059701492537</v>
      </c>
      <c r="G224" s="85">
        <v>0.17333333333333334</v>
      </c>
      <c r="H224" s="86">
        <v>10238.244924688932</v>
      </c>
      <c r="I224" s="86">
        <v>-9459.47187141217</v>
      </c>
      <c r="J224" s="85">
        <v>0.16440422322775264</v>
      </c>
      <c r="K224" s="85">
        <v>0.16440422322775264</v>
      </c>
      <c r="L224" s="85">
        <v>8.4464555052790352E-2</v>
      </c>
      <c r="M224" s="85">
        <v>0.29093931837073983</v>
      </c>
      <c r="N224" s="85">
        <v>0.22222222222222221</v>
      </c>
      <c r="O224" s="85">
        <v>0.58857142857142852</v>
      </c>
      <c r="P224" s="85">
        <v>0.39027431421446385</v>
      </c>
      <c r="Q224" s="85">
        <v>0.4171578258022266</v>
      </c>
    </row>
    <row r="225" spans="1:17" x14ac:dyDescent="0.4">
      <c r="A225" s="87">
        <v>222</v>
      </c>
      <c r="B225" s="84">
        <v>-4.9999999999999538</v>
      </c>
      <c r="C225" s="84">
        <v>-7.5075075075074381E-3</v>
      </c>
      <c r="D225" s="89">
        <v>2</v>
      </c>
      <c r="E225" s="85">
        <v>0.33333333333333331</v>
      </c>
      <c r="F225" s="85">
        <v>0.30360681728101468</v>
      </c>
      <c r="G225" s="85">
        <v>0.17300832342449465</v>
      </c>
      <c r="H225" s="86">
        <v>10250.522193211489</v>
      </c>
      <c r="I225" s="86">
        <v>-9458.4192439862545</v>
      </c>
      <c r="J225" s="85">
        <v>0.16366366366366367</v>
      </c>
      <c r="K225" s="85">
        <v>0.16366366366366367</v>
      </c>
      <c r="L225" s="85">
        <v>8.408408408408409E-2</v>
      </c>
      <c r="M225" s="85">
        <v>0.2911845730027548</v>
      </c>
      <c r="N225" s="85">
        <v>0.22148760330578512</v>
      </c>
      <c r="O225" s="85">
        <v>0.5884578997161779</v>
      </c>
      <c r="P225" s="85">
        <v>0.39054726368159204</v>
      </c>
      <c r="Q225" s="85">
        <v>0.4177545691906005</v>
      </c>
    </row>
    <row r="226" spans="1:17" x14ac:dyDescent="0.4">
      <c r="A226" s="87">
        <v>223</v>
      </c>
      <c r="B226" s="84">
        <v>-4.9999999999999512</v>
      </c>
      <c r="C226" s="84">
        <v>-7.4738415545589701E-3</v>
      </c>
      <c r="D226" s="89">
        <v>2</v>
      </c>
      <c r="E226" s="85">
        <v>0.33333333333333331</v>
      </c>
      <c r="F226" s="85">
        <v>0.30369492195218334</v>
      </c>
      <c r="G226" s="85">
        <v>0.17308832246591582</v>
      </c>
      <c r="H226" s="86">
        <v>10253.415744957711</v>
      </c>
      <c r="I226" s="86">
        <v>-9453.0821917808225</v>
      </c>
      <c r="J226" s="85">
        <v>0.16442451420029897</v>
      </c>
      <c r="K226" s="85">
        <v>0.16442451420029897</v>
      </c>
      <c r="L226" s="85">
        <v>8.3707025411061287E-2</v>
      </c>
      <c r="M226" s="85">
        <v>0.29108367626886145</v>
      </c>
      <c r="N226" s="85">
        <v>0.22167352537722909</v>
      </c>
      <c r="O226" s="85">
        <v>0.58812441093308199</v>
      </c>
      <c r="P226" s="85">
        <v>0.3910891089108911</v>
      </c>
      <c r="Q226" s="85">
        <v>0.41769681197137282</v>
      </c>
    </row>
    <row r="227" spans="1:17" x14ac:dyDescent="0.4">
      <c r="A227" s="87">
        <v>224</v>
      </c>
      <c r="B227" s="84">
        <v>-4.9999999999999529</v>
      </c>
      <c r="C227" s="84">
        <v>-7.4404761904761207E-3</v>
      </c>
      <c r="D227" s="89">
        <v>2</v>
      </c>
      <c r="E227" s="85">
        <v>0.33333333333333331</v>
      </c>
      <c r="F227" s="85">
        <v>0.30383480825958703</v>
      </c>
      <c r="G227" s="85">
        <v>0.17325467059980335</v>
      </c>
      <c r="H227" s="86">
        <v>10241.488673139158</v>
      </c>
      <c r="I227" s="86">
        <v>-9430.7604994324629</v>
      </c>
      <c r="J227" s="85">
        <v>0.16369047619047619</v>
      </c>
      <c r="K227" s="85">
        <v>0.16369047619047619</v>
      </c>
      <c r="L227" s="85">
        <v>8.3333333333333329E-2</v>
      </c>
      <c r="M227" s="85">
        <v>0.29217770509675661</v>
      </c>
      <c r="N227" s="85">
        <v>0.22076860179885527</v>
      </c>
      <c r="O227" s="85">
        <v>0.58955223880597019</v>
      </c>
      <c r="P227" s="85">
        <v>0.39012345679012345</v>
      </c>
      <c r="Q227" s="85">
        <v>0.41747572815533979</v>
      </c>
    </row>
    <row r="228" spans="1:17" x14ac:dyDescent="0.4">
      <c r="A228" s="87">
        <v>225</v>
      </c>
      <c r="B228" s="84">
        <v>-4.9999999999999503</v>
      </c>
      <c r="C228" s="84">
        <v>-7.407407407407334E-3</v>
      </c>
      <c r="D228" s="89">
        <v>2</v>
      </c>
      <c r="E228" s="85">
        <v>0.33333333333333331</v>
      </c>
      <c r="F228" s="85">
        <v>0.30359937402190923</v>
      </c>
      <c r="G228" s="85">
        <v>0.17312206572769953</v>
      </c>
      <c r="H228" s="86">
        <v>10247.422680412372</v>
      </c>
      <c r="I228" s="86">
        <v>-9434.3502824858751</v>
      </c>
      <c r="J228" s="85">
        <v>0.16444444444444445</v>
      </c>
      <c r="K228" s="85">
        <v>0.16444444444444445</v>
      </c>
      <c r="L228" s="85">
        <v>8.4444444444444447E-2</v>
      </c>
      <c r="M228" s="85">
        <v>0.29220779220779219</v>
      </c>
      <c r="N228" s="85">
        <v>0.22132034632034633</v>
      </c>
      <c r="O228" s="85">
        <v>0.58888888888888891</v>
      </c>
      <c r="P228" s="85">
        <v>0.38997555012224938</v>
      </c>
      <c r="Q228" s="85">
        <v>0.4175257731958763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2019-02-08T17:49:40Z</dcterms:modified>
</cp:coreProperties>
</file>