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4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6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4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"/>
    </mc:Choice>
  </mc:AlternateContent>
  <xr:revisionPtr revIDLastSave="0" documentId="13_ncr:1_{F6291A0C-170F-4B64-AB88-5F9325ECB6F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70" r:id="rId6"/>
    <sheet name="だいち" sheetId="4372" r:id="rId7"/>
    <sheet name="りくと" sheetId="4374" r:id="rId8"/>
    <sheet name="ただ" sheetId="4376" r:id="rId9"/>
    <sheet name="れんたろう" sheetId="4378" r:id="rId10"/>
    <sheet name="たかの" sheetId="4380" r:id="rId11"/>
    <sheet name="たかの2" sheetId="4381" state="hidden" r:id="rId12"/>
    <sheet name="れんたろう2" sheetId="4379" state="hidden" r:id="rId13"/>
    <sheet name="ただ2" sheetId="4377" state="hidden" r:id="rId14"/>
    <sheet name="りくと2" sheetId="4375" state="hidden" r:id="rId15"/>
    <sheet name="だいち2" sheetId="4373" state="hidden" r:id="rId16"/>
    <sheet name="全体2" sheetId="4371" state="hidden" r:id="rId17"/>
    <sheet name="通算スコア" sheetId="3331" state="hidden" r:id="rId18"/>
    <sheet name="平均スコア" sheetId="3493" state="hidden" r:id="rId19"/>
    <sheet name="平均順位" sheetId="3183" state="hidden" r:id="rId20"/>
    <sheet name="トップ率" sheetId="3185" state="hidden" r:id="rId21"/>
    <sheet name="アガリ率" sheetId="3189" state="hidden" r:id="rId22"/>
    <sheet name="放銃率" sheetId="3190" state="hidden" r:id="rId23"/>
    <sheet name="平均アガリ点" sheetId="3520" state="hidden" r:id="rId24"/>
    <sheet name="平均放銃点" sheetId="3521" state="hidden" r:id="rId25"/>
    <sheet name="ふっとび率" sheetId="3522" state="hidden" r:id="rId26"/>
    <sheet name="ふっとばし率" sheetId="3523" state="hidden" r:id="rId27"/>
    <sheet name="リーチ率" sheetId="3524" state="hidden" r:id="rId28"/>
    <sheet name="副露率" sheetId="3525" state="hidden" r:id="rId29"/>
    <sheet name="リーチ成功率" sheetId="3526" state="hidden" r:id="rId30"/>
    <sheet name="副露成功率" sheetId="3527" state="hidden" r:id="rId31"/>
    <sheet name="ツモ率" sheetId="3528" state="hidden" r:id="rId32"/>
    <sheet name="逆転率" sheetId="3529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7" i="4380" l="1"/>
  <c r="O15" i="4374"/>
  <c r="O16" i="4374"/>
  <c r="O17" i="4378"/>
  <c r="O15" i="4380"/>
  <c r="O16" i="4380"/>
  <c r="H51" i="4380"/>
  <c r="H50" i="4380"/>
  <c r="H49" i="4380"/>
  <c r="H48" i="4380"/>
  <c r="H47" i="4380"/>
  <c r="H46" i="4380"/>
  <c r="H45" i="4380"/>
  <c r="H44" i="4380"/>
  <c r="H43" i="4380"/>
  <c r="H42" i="4380"/>
  <c r="H41" i="4380"/>
  <c r="H40" i="4380"/>
  <c r="H39" i="4380"/>
  <c r="H38" i="4380"/>
  <c r="H37" i="4380"/>
  <c r="H36" i="4380"/>
  <c r="H35" i="4380"/>
  <c r="H34" i="4380"/>
  <c r="H33" i="4380"/>
  <c r="H32" i="4380"/>
  <c r="H31" i="4380"/>
  <c r="H30" i="4380"/>
  <c r="H3" i="4380"/>
  <c r="H29" i="4380"/>
  <c r="H28" i="4380"/>
  <c r="H27" i="4380"/>
  <c r="H26" i="4380"/>
  <c r="C25" i="4380"/>
  <c r="H25" i="4380"/>
  <c r="H24" i="4380"/>
  <c r="H23" i="4380"/>
  <c r="B22" i="4380"/>
  <c r="H22" i="4380"/>
  <c r="H21" i="4380"/>
  <c r="C20" i="4380"/>
  <c r="H20" i="4380"/>
  <c r="H19" i="4380"/>
  <c r="H18" i="4380"/>
  <c r="B17" i="4380"/>
  <c r="B21" i="4380" s="1"/>
  <c r="H17" i="4380"/>
  <c r="C16" i="4380"/>
  <c r="H16" i="4380"/>
  <c r="C15" i="4380"/>
  <c r="H15" i="4380"/>
  <c r="C14" i="4380"/>
  <c r="H14" i="4380"/>
  <c r="C13" i="4380"/>
  <c r="O12" i="4380"/>
  <c r="H13" i="4380"/>
  <c r="C12" i="4380"/>
  <c r="O11" i="4380"/>
  <c r="H2" i="4380"/>
  <c r="C11" i="4380"/>
  <c r="O10" i="4380"/>
  <c r="H12" i="4380"/>
  <c r="C10" i="4380"/>
  <c r="H11" i="4380"/>
  <c r="C9" i="4380"/>
  <c r="H10" i="4380"/>
  <c r="C8" i="4380"/>
  <c r="O7" i="4380"/>
  <c r="H9" i="4380"/>
  <c r="C7" i="4380"/>
  <c r="O6" i="4380"/>
  <c r="H8" i="4380"/>
  <c r="B6" i="4380"/>
  <c r="O5" i="4380"/>
  <c r="H7" i="4380"/>
  <c r="B5" i="4380"/>
  <c r="O4" i="4380"/>
  <c r="H6" i="4380"/>
  <c r="O3" i="4380"/>
  <c r="H5" i="4380"/>
  <c r="O2" i="4380"/>
  <c r="H4" i="4380"/>
  <c r="O16" i="4378"/>
  <c r="O15" i="4378"/>
  <c r="H51" i="4378"/>
  <c r="H50" i="4378"/>
  <c r="H49" i="4378"/>
  <c r="H48" i="4378"/>
  <c r="H47" i="4378"/>
  <c r="H46" i="4378"/>
  <c r="H45" i="4378"/>
  <c r="H44" i="4378"/>
  <c r="H43" i="4378"/>
  <c r="H42" i="4378"/>
  <c r="H41" i="4378"/>
  <c r="H40" i="4378"/>
  <c r="H39" i="4378"/>
  <c r="H38" i="4378"/>
  <c r="H37" i="4378"/>
  <c r="H36" i="4378"/>
  <c r="H35" i="4378"/>
  <c r="H34" i="4378"/>
  <c r="H33" i="4378"/>
  <c r="H32" i="4378"/>
  <c r="H31" i="4378"/>
  <c r="H30" i="4378"/>
  <c r="H29" i="4378"/>
  <c r="H28" i="4378"/>
  <c r="H27" i="4378"/>
  <c r="H26" i="4378"/>
  <c r="H25" i="4378"/>
  <c r="C25" i="4378"/>
  <c r="H24" i="4378"/>
  <c r="H23" i="4378"/>
  <c r="H22" i="4378"/>
  <c r="B22" i="4378"/>
  <c r="H21" i="4378"/>
  <c r="H20" i="4378"/>
  <c r="C20" i="4378"/>
  <c r="H19" i="4378"/>
  <c r="C19" i="4378"/>
  <c r="H18" i="4378"/>
  <c r="H17" i="4378"/>
  <c r="B17" i="4378"/>
  <c r="C17" i="4378" s="1"/>
  <c r="H16" i="4378"/>
  <c r="C16" i="4378"/>
  <c r="H15" i="4378"/>
  <c r="C15" i="4378"/>
  <c r="H14" i="4378"/>
  <c r="C14" i="4378"/>
  <c r="H13" i="4378"/>
  <c r="C13" i="4378"/>
  <c r="O12" i="4378"/>
  <c r="H12" i="4378"/>
  <c r="C12" i="4378"/>
  <c r="O11" i="4378"/>
  <c r="H11" i="4378"/>
  <c r="C11" i="4378"/>
  <c r="O10" i="4378"/>
  <c r="H10" i="4378"/>
  <c r="C10" i="4378"/>
  <c r="H9" i="4378"/>
  <c r="C9" i="4378"/>
  <c r="H3" i="4378"/>
  <c r="C8" i="4378"/>
  <c r="O7" i="4378"/>
  <c r="H8" i="4378"/>
  <c r="C7" i="4378"/>
  <c r="O6" i="4378"/>
  <c r="H7" i="4378"/>
  <c r="B6" i="4378"/>
  <c r="O5" i="4378"/>
  <c r="H6" i="4378"/>
  <c r="B5" i="4378"/>
  <c r="O4" i="4378"/>
  <c r="H2" i="4378"/>
  <c r="O3" i="4378"/>
  <c r="H5" i="4378"/>
  <c r="O2" i="4378"/>
  <c r="H4" i="4378"/>
  <c r="O18" i="4372"/>
  <c r="O15" i="4372"/>
  <c r="O17" i="4370"/>
  <c r="O15" i="4370"/>
  <c r="O15" i="4376"/>
  <c r="O16" i="4376"/>
  <c r="H51" i="4376"/>
  <c r="H50" i="4376"/>
  <c r="H49" i="4376"/>
  <c r="H48" i="4376"/>
  <c r="H47" i="4376"/>
  <c r="H46" i="4376"/>
  <c r="H45" i="4376"/>
  <c r="H44" i="4376"/>
  <c r="H43" i="4376"/>
  <c r="H42" i="4376"/>
  <c r="H41" i="4376"/>
  <c r="H40" i="4376"/>
  <c r="H39" i="4376"/>
  <c r="H38" i="4376"/>
  <c r="H37" i="4376"/>
  <c r="H36" i="4376"/>
  <c r="H35" i="4376"/>
  <c r="H34" i="4376"/>
  <c r="H33" i="4376"/>
  <c r="H32" i="4376"/>
  <c r="H31" i="4376"/>
  <c r="H30" i="4376"/>
  <c r="H6" i="4376"/>
  <c r="H29" i="4376"/>
  <c r="H28" i="4376"/>
  <c r="H27" i="4376"/>
  <c r="H26" i="4376"/>
  <c r="C25" i="4376"/>
  <c r="H25" i="4376"/>
  <c r="H24" i="4376"/>
  <c r="H23" i="4376"/>
  <c r="B22" i="4376"/>
  <c r="H22" i="4376"/>
  <c r="H21" i="4376"/>
  <c r="C20" i="4376"/>
  <c r="H20" i="4376"/>
  <c r="C19" i="4376"/>
  <c r="H19" i="4376"/>
  <c r="H18" i="4376"/>
  <c r="B17" i="4376"/>
  <c r="B21" i="4376" s="1"/>
  <c r="H17" i="4376"/>
  <c r="C16" i="4376"/>
  <c r="H16" i="4376"/>
  <c r="C15" i="4376"/>
  <c r="H15" i="4376"/>
  <c r="C14" i="4376"/>
  <c r="H14" i="4376"/>
  <c r="C13" i="4376"/>
  <c r="O12" i="4376"/>
  <c r="H13" i="4376"/>
  <c r="C12" i="4376"/>
  <c r="O11" i="4376"/>
  <c r="H3" i="4376"/>
  <c r="C11" i="4376"/>
  <c r="O10" i="4376"/>
  <c r="H5" i="4376"/>
  <c r="C10" i="4376"/>
  <c r="H12" i="4376"/>
  <c r="C9" i="4376"/>
  <c r="H9" i="4376"/>
  <c r="C8" i="4376"/>
  <c r="O7" i="4376"/>
  <c r="H8" i="4376"/>
  <c r="C7" i="4376"/>
  <c r="O6" i="4376"/>
  <c r="H11" i="4376"/>
  <c r="B6" i="4376"/>
  <c r="O5" i="4376"/>
  <c r="H7" i="4376"/>
  <c r="B5" i="4376"/>
  <c r="O4" i="4376"/>
  <c r="H2" i="4376"/>
  <c r="O3" i="4376"/>
  <c r="H10" i="4376"/>
  <c r="O2" i="4376"/>
  <c r="H4" i="4376"/>
  <c r="O18" i="4374"/>
  <c r="O17" i="4374"/>
  <c r="H51" i="4374"/>
  <c r="H50" i="4374"/>
  <c r="H49" i="4374"/>
  <c r="H48" i="4374"/>
  <c r="H47" i="4374"/>
  <c r="H46" i="4374"/>
  <c r="H45" i="4374"/>
  <c r="H44" i="4374"/>
  <c r="H43" i="4374"/>
  <c r="H42" i="4374"/>
  <c r="H41" i="4374"/>
  <c r="H40" i="4374"/>
  <c r="H39" i="4374"/>
  <c r="H38" i="4374"/>
  <c r="H37" i="4374"/>
  <c r="H36" i="4374"/>
  <c r="H35" i="4374"/>
  <c r="H34" i="4374"/>
  <c r="H33" i="4374"/>
  <c r="H32" i="4374"/>
  <c r="H12" i="4374"/>
  <c r="H31" i="4374"/>
  <c r="H11" i="4374"/>
  <c r="H30" i="4374"/>
  <c r="H29" i="4374"/>
  <c r="H10" i="4374"/>
  <c r="H28" i="4374"/>
  <c r="C25" i="4374"/>
  <c r="H27" i="4374"/>
  <c r="H26" i="4374"/>
  <c r="H25" i="4374"/>
  <c r="B22" i="4374"/>
  <c r="H24" i="4374"/>
  <c r="H23" i="4374"/>
  <c r="C20" i="4374"/>
  <c r="H22" i="4374"/>
  <c r="H21" i="4374"/>
  <c r="H20" i="4374"/>
  <c r="B17" i="4374"/>
  <c r="B21" i="4374" s="1"/>
  <c r="H19" i="4374"/>
  <c r="C16" i="4374"/>
  <c r="H18" i="4374"/>
  <c r="C15" i="4374"/>
  <c r="H17" i="4374"/>
  <c r="C14" i="4374"/>
  <c r="H16" i="4374"/>
  <c r="C13" i="4374"/>
  <c r="O12" i="4374"/>
  <c r="H15" i="4374"/>
  <c r="C12" i="4374"/>
  <c r="O11" i="4374"/>
  <c r="H5" i="4374"/>
  <c r="C11" i="4374"/>
  <c r="O10" i="4374"/>
  <c r="H14" i="4374"/>
  <c r="C10" i="4374"/>
  <c r="H9" i="4374"/>
  <c r="C9" i="4374"/>
  <c r="H8" i="4374"/>
  <c r="C8" i="4374"/>
  <c r="O7" i="4374"/>
  <c r="H6" i="4374"/>
  <c r="C7" i="4374"/>
  <c r="O6" i="4374"/>
  <c r="H13" i="4374"/>
  <c r="B6" i="4374"/>
  <c r="O5" i="4374"/>
  <c r="H4" i="4374"/>
  <c r="B5" i="4374"/>
  <c r="O4" i="4374"/>
  <c r="H3" i="4374"/>
  <c r="O3" i="4374"/>
  <c r="H7" i="4374"/>
  <c r="O2" i="4374"/>
  <c r="H2" i="4374"/>
  <c r="O19" i="4370"/>
  <c r="O17" i="4372"/>
  <c r="O16" i="4372"/>
  <c r="H51" i="4372"/>
  <c r="H50" i="4372"/>
  <c r="H49" i="4372"/>
  <c r="H48" i="4372"/>
  <c r="H47" i="4372"/>
  <c r="H46" i="4372"/>
  <c r="H45" i="4372"/>
  <c r="H44" i="4372"/>
  <c r="H43" i="4372"/>
  <c r="H42" i="4372"/>
  <c r="H41" i="4372"/>
  <c r="H40" i="4372"/>
  <c r="H39" i="4372"/>
  <c r="H38" i="4372"/>
  <c r="H37" i="4372"/>
  <c r="H36" i="4372"/>
  <c r="H35" i="4372"/>
  <c r="H34" i="4372"/>
  <c r="H33" i="4372"/>
  <c r="H32" i="4372"/>
  <c r="H31" i="4372"/>
  <c r="H30" i="4372"/>
  <c r="H7" i="4372"/>
  <c r="H29" i="4372"/>
  <c r="H28" i="4372"/>
  <c r="H9" i="4372"/>
  <c r="H27" i="4372"/>
  <c r="C25" i="4372"/>
  <c r="H26" i="4372"/>
  <c r="H25" i="4372"/>
  <c r="H24" i="4372"/>
  <c r="B22" i="4372"/>
  <c r="H23" i="4372"/>
  <c r="H22" i="4372"/>
  <c r="C20" i="4372"/>
  <c r="H21" i="4372"/>
  <c r="H20" i="4372"/>
  <c r="H19" i="4372"/>
  <c r="B17" i="4372"/>
  <c r="B21" i="4372" s="1"/>
  <c r="H18" i="4372"/>
  <c r="C16" i="4372"/>
  <c r="H17" i="4372"/>
  <c r="C15" i="4372"/>
  <c r="H16" i="4372"/>
  <c r="C14" i="4372"/>
  <c r="H15" i="4372"/>
  <c r="C13" i="4372"/>
  <c r="O12" i="4372"/>
  <c r="H14" i="4372"/>
  <c r="C12" i="4372"/>
  <c r="O11" i="4372"/>
  <c r="H2" i="4372"/>
  <c r="C11" i="4372"/>
  <c r="O10" i="4372"/>
  <c r="H13" i="4372"/>
  <c r="C10" i="4372"/>
  <c r="H11" i="4372"/>
  <c r="C9" i="4372"/>
  <c r="H6" i="4372"/>
  <c r="C8" i="4372"/>
  <c r="O7" i="4372"/>
  <c r="H10" i="4372"/>
  <c r="C7" i="4372"/>
  <c r="O6" i="4372"/>
  <c r="H12" i="4372"/>
  <c r="B6" i="4372"/>
  <c r="O5" i="4372"/>
  <c r="H5" i="4372"/>
  <c r="B5" i="4372"/>
  <c r="O4" i="4372"/>
  <c r="H3" i="4372"/>
  <c r="O3" i="4372"/>
  <c r="H8" i="4372"/>
  <c r="O2" i="4372"/>
  <c r="H4" i="4372"/>
  <c r="O16" i="4370"/>
  <c r="O18" i="4370"/>
  <c r="H51" i="4370"/>
  <c r="H50" i="4370"/>
  <c r="H49" i="4370"/>
  <c r="H48" i="4370"/>
  <c r="H47" i="4370"/>
  <c r="H46" i="4370"/>
  <c r="H45" i="4370"/>
  <c r="H44" i="4370"/>
  <c r="H43" i="4370"/>
  <c r="H42" i="4370"/>
  <c r="H41" i="4370"/>
  <c r="H40" i="4370"/>
  <c r="H39" i="4370"/>
  <c r="H38" i="4370"/>
  <c r="H37" i="4370"/>
  <c r="H36" i="4370"/>
  <c r="H35" i="4370"/>
  <c r="H34" i="4370"/>
  <c r="H33" i="4370"/>
  <c r="H32" i="4370"/>
  <c r="H13" i="4370"/>
  <c r="H31" i="4370"/>
  <c r="H7" i="4370"/>
  <c r="H30" i="4370"/>
  <c r="H29" i="4370"/>
  <c r="H10" i="4370"/>
  <c r="H28" i="4370"/>
  <c r="C25" i="4370"/>
  <c r="H27" i="4370"/>
  <c r="H26" i="4370"/>
  <c r="H25" i="4370"/>
  <c r="B22" i="4370"/>
  <c r="H24" i="4370"/>
  <c r="H23" i="4370"/>
  <c r="C20" i="4370"/>
  <c r="H22" i="4370"/>
  <c r="H21" i="4370"/>
  <c r="H20" i="4370"/>
  <c r="B17" i="4370"/>
  <c r="B21" i="4370" s="1"/>
  <c r="H19" i="4370"/>
  <c r="C16" i="4370"/>
  <c r="H18" i="4370"/>
  <c r="C15" i="4370"/>
  <c r="H17" i="4370"/>
  <c r="C14" i="4370"/>
  <c r="H16" i="4370"/>
  <c r="C13" i="4370"/>
  <c r="O12" i="4370"/>
  <c r="H15" i="4370"/>
  <c r="C12" i="4370"/>
  <c r="O11" i="4370"/>
  <c r="H3" i="4370"/>
  <c r="C11" i="4370"/>
  <c r="O10" i="4370"/>
  <c r="H12" i="4370"/>
  <c r="C10" i="4370"/>
  <c r="H11" i="4370"/>
  <c r="C9" i="4370"/>
  <c r="H6" i="4370"/>
  <c r="C8" i="4370"/>
  <c r="O7" i="4370"/>
  <c r="H8" i="4370"/>
  <c r="C7" i="4370"/>
  <c r="O6" i="4370"/>
  <c r="H14" i="4370"/>
  <c r="B6" i="4370"/>
  <c r="O5" i="4370"/>
  <c r="H5" i="4370"/>
  <c r="B5" i="4370"/>
  <c r="O4" i="4370"/>
  <c r="H2" i="4370"/>
  <c r="O3" i="4370"/>
  <c r="H9" i="4370"/>
  <c r="O2" i="4370"/>
  <c r="H4" i="4370"/>
  <c r="C17" i="4380" l="1"/>
  <c r="C18" i="4380"/>
  <c r="C19" i="4380"/>
  <c r="C18" i="4378"/>
  <c r="B21" i="4378"/>
  <c r="C18" i="4376"/>
  <c r="C18" i="4372"/>
  <c r="C19" i="4372"/>
  <c r="C17" i="4376"/>
  <c r="C18" i="4370"/>
  <c r="C19" i="4370"/>
  <c r="C18" i="4374"/>
  <c r="C19" i="4374"/>
  <c r="C17" i="4374"/>
  <c r="C17" i="4372"/>
  <c r="C17" i="4370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<sst xmlns="http://schemas.openxmlformats.org/spreadsheetml/2006/main" count="1487" uniqueCount="183">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</sst>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1.xml"/><Relationship Id="rId26" Type="http://schemas.openxmlformats.org/officeDocument/2006/relationships/chartsheet" Target="chartsheets/sheet9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4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8.xml"/><Relationship Id="rId33" Type="http://schemas.openxmlformats.org/officeDocument/2006/relationships/chartsheet" Target="chartsheets/sheet16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3.xml"/><Relationship Id="rId29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7.xml"/><Relationship Id="rId32" Type="http://schemas.openxmlformats.org/officeDocument/2006/relationships/chartsheet" Target="chartsheets/sheet15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6.xml"/><Relationship Id="rId28" Type="http://schemas.openxmlformats.org/officeDocument/2006/relationships/chartsheet" Target="chartsheets/sheet1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2.xml"/><Relationship Id="rId31" Type="http://schemas.openxmlformats.org/officeDocument/2006/relationships/chartsheet" Target="chartsheets/sheet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5.xml"/><Relationship Id="rId27" Type="http://schemas.openxmlformats.org/officeDocument/2006/relationships/chartsheet" Target="chartsheets/sheet10.xml"/><Relationship Id="rId30" Type="http://schemas.openxmlformats.org/officeDocument/2006/relationships/chartsheet" Target="chartsheets/sheet13.xml"/><Relationship Id="rId35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全体!$L$2:$L$17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0D-4531-BC2A-EDAFDB9F3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-200</c:v>
                </c:pt>
                <c:pt idx="1">
                  <c:v>0</c:v>
                </c:pt>
                <c:pt idx="2">
                  <c:v>200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BD-4413-AA60-1428D95CE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だいち!$L$2:$L$6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B-4305-B282-9F5C313F0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7000</c:v>
                </c:pt>
                <c:pt idx="1">
                  <c:v>850</c:v>
                </c:pt>
                <c:pt idx="2">
                  <c:v>10050</c:v>
                </c:pt>
                <c:pt idx="3">
                  <c:v>3450</c:v>
                </c:pt>
                <c:pt idx="4">
                  <c:v>-225</c:v>
                </c:pt>
                <c:pt idx="5">
                  <c:v>-6333.333333333333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B6-42CD-B87C-91E7874D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2E-4C4E-960A-1508DD067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-4225</c:v>
                </c:pt>
                <c:pt idx="1">
                  <c:v>550</c:v>
                </c:pt>
                <c:pt idx="2">
                  <c:v>-6050</c:v>
                </c:pt>
                <c:pt idx="3">
                  <c:v>1375</c:v>
                </c:pt>
                <c:pt idx="4">
                  <c:v>8250</c:v>
                </c:pt>
                <c:pt idx="5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9-41E9-B780-A4E0DA1C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2D-442C-A5AB-62C9905C5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-5200</c:v>
                </c:pt>
                <c:pt idx="1">
                  <c:v>-2533.3333333333335</c:v>
                </c:pt>
                <c:pt idx="2">
                  <c:v>2533.3333333333335</c:v>
                </c:pt>
                <c:pt idx="3">
                  <c:v>-5233.333333333333</c:v>
                </c:pt>
                <c:pt idx="4">
                  <c:v>-1600</c:v>
                </c:pt>
                <c:pt idx="5">
                  <c:v>4333.333333333333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AA-44E8-B2FB-27C3A62BB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C-4A55-9779-547DD7CBA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-6250</c:v>
                </c:pt>
                <c:pt idx="1">
                  <c:v>2950</c:v>
                </c:pt>
                <c:pt idx="2">
                  <c:v>-6550</c:v>
                </c:pt>
                <c:pt idx="3">
                  <c:v>-1800</c:v>
                </c:pt>
                <c:pt idx="4">
                  <c:v>-7000</c:v>
                </c:pt>
                <c:pt idx="5">
                  <c:v>-8000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FE-4DCC-8E97-FDE2806B0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25-4445-8241-24CBDCCD7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7000</c:v>
                </c:pt>
                <c:pt idx="1">
                  <c:v>-1950</c:v>
                </c:pt>
                <c:pt idx="2">
                  <c:v>-3750</c:v>
                </c:pt>
                <c:pt idx="3">
                  <c:v>0</c:v>
                </c:pt>
                <c:pt idx="4">
                  <c:v>-6650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2C8-84FC-2AEA2070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たかの2!$C$3:$C$5</c:f>
              <c:numCache>
                <c:formatCode>\+0.0;\-0.0;\±0</c:formatCode>
                <c:ptCount val="3"/>
                <c:pt idx="1">
                  <c:v>11.1</c:v>
                </c:pt>
                <c:pt idx="2">
                  <c:v>-3.8500000000000005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たかの2!$D$3:$D$5</c:f>
              <c:numCache>
                <c:formatCode>0.00\ "位"</c:formatCode>
                <c:ptCount val="3"/>
                <c:pt idx="1">
                  <c:v>2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たかの2!$F$3:$F$5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たかの2!$G$3:$G$5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たかの2!$H$3:$H$5</c:f>
              <c:numCache>
                <c:formatCode>0</c:formatCode>
                <c:ptCount val="3"/>
                <c:pt idx="1">
                  <c:v>8000</c:v>
                </c:pt>
                <c:pt idx="2">
                  <c:v>5050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たかの2!$I$3:$I$5</c:f>
              <c:numCache>
                <c:formatCode>0</c:formatCode>
                <c:ptCount val="3"/>
                <c:pt idx="1">
                  <c:v>-3900</c:v>
                </c:pt>
                <c:pt idx="2">
                  <c:v>-6750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たかの2!$J$3:$J$5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たかの2!$M$3:$M$5</c:f>
              <c:numCache>
                <c:formatCode>0.0%</c:formatCode>
                <c:ptCount val="3"/>
                <c:pt idx="1">
                  <c:v>0</c:v>
                </c:pt>
                <c:pt idx="2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たかの2!$N$3:$N$5</c:f>
              <c:numCache>
                <c:formatCode>0.0%</c:formatCode>
                <c:ptCount val="3"/>
                <c:pt idx="1">
                  <c:v>0.42857142857142855</c:v>
                </c:pt>
                <c:pt idx="2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たかの2!$O$3:$O$5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たかの2!$P$3:$P$5</c:f>
              <c:numCache>
                <c:formatCode>0.0%</c:formatCode>
                <c:ptCount val="3"/>
                <c:pt idx="1">
                  <c:v>0</c:v>
                </c:pt>
                <c:pt idx="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たかの2!$Q$1:$Q$2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たかの2!$Q$3:$Q$5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5AA6AD-F2D6-4A57-8CD2-7EBAD4FF1C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81E18B-8801-470D-AD64-C4BB394AA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91F182-9203-4B5E-A861-87160392E2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F2D7BA6-34C2-4CA5-8372-83D2FC748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3073D9-8A4C-48CA-871C-A83DF7CD59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6AA23D-714F-404A-93A9-F879014943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CFE5B0-2EBE-4CD9-8E32-C84355639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7871D84-1A80-4EF3-8643-068DECF835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31872B-1D0B-4F81-97E9-6F66B97259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BF7C1F-1DAE-40CD-92B0-45412BBA6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DD8C06-2758-499F-BD71-E66F0C8B3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BC63C7-1EC3-4805-AC36-C067125B3B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43"/>
      <c r="C1" s="144"/>
      <c r="E1" s="135" t="s">
        <v>177</v>
      </c>
      <c r="F1" s="12" t="s">
        <v>120</v>
      </c>
      <c r="G1" s="27" t="s">
        <v>121</v>
      </c>
      <c r="H1" s="136" t="s">
        <v>122</v>
      </c>
      <c r="I1" s="106" t="s">
        <v>161</v>
      </c>
      <c r="K1" s="2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166</v>
      </c>
    </row>
    <row r="2" spans="1:17" x14ac:dyDescent="0.4">
      <c r="A2" s="22" t="s">
        <v>9</v>
      </c>
      <c r="B2" s="145">
        <v>0</v>
      </c>
      <c r="C2" s="146"/>
      <c r="E2" s="64" t="s">
        <v>67</v>
      </c>
      <c r="F2" s="28" t="s">
        <v>21</v>
      </c>
      <c r="G2" s="14">
        <v>0</v>
      </c>
      <c r="H2" s="138">
        <f t="shared" ref="H2:H33" si="0">IF(B$27=0,0,G2/B$27)</f>
        <v>0</v>
      </c>
      <c r="I2" s="99"/>
      <c r="K2" s="3">
        <v>0</v>
      </c>
      <c r="L2" s="104">
        <v>0</v>
      </c>
      <c r="N2" s="120" t="s">
        <v>138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47">
        <v>0</v>
      </c>
      <c r="C3" s="148"/>
      <c r="E3" s="65" t="s">
        <v>68</v>
      </c>
      <c r="F3" s="29" t="s">
        <v>22</v>
      </c>
      <c r="G3" s="15">
        <v>0</v>
      </c>
      <c r="H3" s="139">
        <f t="shared" si="0"/>
        <v>0</v>
      </c>
      <c r="I3" s="100"/>
      <c r="N3" s="121" t="s">
        <v>139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49">
        <v>0</v>
      </c>
      <c r="C4" s="150"/>
      <c r="E4" s="65" t="s">
        <v>69</v>
      </c>
      <c r="F4" s="29" t="s">
        <v>23</v>
      </c>
      <c r="G4" s="15">
        <v>0</v>
      </c>
      <c r="H4" s="139">
        <f t="shared" si="0"/>
        <v>0</v>
      </c>
      <c r="I4" s="100"/>
      <c r="N4" s="121" t="s">
        <v>140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1">
        <f>IF(B$2=0,0,B$4/B$2)</f>
        <v>0</v>
      </c>
      <c r="C5" s="152"/>
      <c r="E5" s="65" t="s">
        <v>70</v>
      </c>
      <c r="F5" s="29" t="s">
        <v>24</v>
      </c>
      <c r="G5" s="15">
        <v>0</v>
      </c>
      <c r="H5" s="139">
        <f t="shared" si="0"/>
        <v>0</v>
      </c>
      <c r="I5" s="100"/>
      <c r="N5" s="121" t="s">
        <v>141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57">
        <f>IF(B$2=0,0,(B$7*1+B$8*2+B$9*3)/B$2)</f>
        <v>0</v>
      </c>
      <c r="C6" s="158"/>
      <c r="E6" s="65" t="s">
        <v>71</v>
      </c>
      <c r="F6" s="29" t="s">
        <v>25</v>
      </c>
      <c r="G6" s="15">
        <v>0</v>
      </c>
      <c r="H6" s="139">
        <f t="shared" si="0"/>
        <v>0</v>
      </c>
      <c r="I6" s="100"/>
      <c r="N6" s="121" t="s">
        <v>142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9">
        <f t="shared" si="0"/>
        <v>0</v>
      </c>
      <c r="I7" s="100"/>
      <c r="N7" s="122" t="s">
        <v>143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9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9">
        <f t="shared" si="0"/>
        <v>0</v>
      </c>
      <c r="I9" s="100"/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9">
        <f t="shared" si="0"/>
        <v>0</v>
      </c>
      <c r="I10" s="100"/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9">
        <f t="shared" si="0"/>
        <v>0</v>
      </c>
      <c r="I11" s="100"/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9">
        <f t="shared" si="0"/>
        <v>0</v>
      </c>
      <c r="I12" s="100"/>
      <c r="N12" s="122" t="s">
        <v>176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9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9">
        <f t="shared" si="0"/>
        <v>0</v>
      </c>
      <c r="I14" s="100"/>
      <c r="N14" s="119" t="s">
        <v>162</v>
      </c>
      <c r="O14" s="36" t="s">
        <v>163</v>
      </c>
      <c r="P14" s="123" t="s">
        <v>164</v>
      </c>
      <c r="Q14" s="111" t="s">
        <v>165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9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9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9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9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9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9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9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9">
        <f t="shared" si="0"/>
        <v>0</v>
      </c>
      <c r="I22" s="100"/>
    </row>
    <row r="23" spans="1:9" x14ac:dyDescent="0.4">
      <c r="A23" s="96" t="s">
        <v>148</v>
      </c>
      <c r="B23" s="155">
        <v>0</v>
      </c>
      <c r="C23" s="156"/>
      <c r="E23" s="65" t="s">
        <v>88</v>
      </c>
      <c r="F23" s="29" t="s">
        <v>41</v>
      </c>
      <c r="G23" s="15">
        <v>0</v>
      </c>
      <c r="H23" s="139">
        <f t="shared" si="0"/>
        <v>0</v>
      </c>
      <c r="I23" s="100"/>
    </row>
    <row r="24" spans="1:9" x14ac:dyDescent="0.4">
      <c r="A24" s="60" t="s">
        <v>159</v>
      </c>
      <c r="B24" s="153">
        <v>0</v>
      </c>
      <c r="C24" s="154"/>
      <c r="E24" s="65" t="s">
        <v>89</v>
      </c>
      <c r="F24" s="29" t="s">
        <v>42</v>
      </c>
      <c r="G24" s="15">
        <v>0</v>
      </c>
      <c r="H24" s="139">
        <f t="shared" si="0"/>
        <v>0</v>
      </c>
      <c r="I24" s="100"/>
    </row>
    <row r="25" spans="1:9" x14ac:dyDescent="0.4">
      <c r="A25" s="25" t="s">
        <v>149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9">
        <f t="shared" si="0"/>
        <v>0</v>
      </c>
      <c r="I25" s="100"/>
    </row>
    <row r="26" spans="1:9" x14ac:dyDescent="0.4">
      <c r="A26" s="22" t="s">
        <v>126</v>
      </c>
      <c r="B26" s="145">
        <v>0</v>
      </c>
      <c r="C26" s="146"/>
      <c r="E26" s="65" t="s">
        <v>91</v>
      </c>
      <c r="F26" s="29" t="s">
        <v>44</v>
      </c>
      <c r="G26" s="15">
        <v>0</v>
      </c>
      <c r="H26" s="139">
        <f t="shared" si="0"/>
        <v>0</v>
      </c>
      <c r="I26" s="100"/>
    </row>
    <row r="27" spans="1:9" x14ac:dyDescent="0.4">
      <c r="A27" s="25" t="s">
        <v>127</v>
      </c>
      <c r="B27" s="159">
        <v>0</v>
      </c>
      <c r="C27" s="160"/>
      <c r="E27" s="65" t="s">
        <v>92</v>
      </c>
      <c r="F27" s="29" t="s">
        <v>45</v>
      </c>
      <c r="G27" s="15">
        <v>0</v>
      </c>
      <c r="H27" s="139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9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9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9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9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9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9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9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9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9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9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9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9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9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9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9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9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9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9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9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9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9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9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9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0">
        <f t="shared" si="3"/>
        <v>0</v>
      </c>
      <c r="I51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5" x14ac:dyDescent="0.4">
      <c r="A1" s="31">
        <v>32874</v>
      </c>
      <c r="B1" s="31">
        <v>2958465</v>
      </c>
    </row>
    <row r="2" spans="1:5" x14ac:dyDescent="0.4">
      <c r="A2" s="32" t="s">
        <v>178</v>
      </c>
      <c r="B2" s="33">
        <v>43555.865243055552</v>
      </c>
      <c r="C2" s="32" t="s">
        <v>136</v>
      </c>
      <c r="D2" s="32" t="s">
        <v>137</v>
      </c>
      <c r="E2" s="32" t="s">
        <v>179</v>
      </c>
    </row>
    <row r="3" spans="1:5" x14ac:dyDescent="0.4">
      <c r="A3" s="32" t="s">
        <v>180</v>
      </c>
      <c r="B3" s="33">
        <v>43557.495798611111</v>
      </c>
      <c r="C3" s="32" t="s">
        <v>136</v>
      </c>
      <c r="D3" s="32" t="s">
        <v>137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6"/>
  <sheetViews>
    <sheetView workbookViewId="0"/>
  </sheetViews>
  <sheetFormatPr defaultRowHeight="18.75" x14ac:dyDescent="0.4"/>
  <sheetData>
    <row r="1" spans="1:1" x14ac:dyDescent="0.4">
      <c r="A1" t="s">
        <v>151</v>
      </c>
    </row>
    <row r="2" spans="1:1" x14ac:dyDescent="0.4">
      <c r="A2" t="s">
        <v>133</v>
      </c>
    </row>
    <row r="3" spans="1:1" x14ac:dyDescent="0.4">
      <c r="A3" t="s">
        <v>134</v>
      </c>
    </row>
    <row r="4" spans="1:1" x14ac:dyDescent="0.4">
      <c r="A4" t="s">
        <v>135</v>
      </c>
    </row>
    <row r="5" spans="1:1" x14ac:dyDescent="0.4">
      <c r="A5" t="s">
        <v>181</v>
      </c>
    </row>
    <row r="6" spans="1:1" x14ac:dyDescent="0.4">
      <c r="A6" t="s">
        <v>182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8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5" t="s">
        <v>6</v>
      </c>
      <c r="C1" s="166"/>
      <c r="D1" s="165" t="s">
        <v>7</v>
      </c>
      <c r="E1" s="166"/>
      <c r="F1" s="165" t="s">
        <v>16</v>
      </c>
      <c r="G1" s="166"/>
      <c r="H1" s="165" t="s">
        <v>15</v>
      </c>
      <c r="I1" s="166"/>
      <c r="J1" s="165" t="s">
        <v>171</v>
      </c>
      <c r="K1" s="166"/>
      <c r="L1" s="165" t="s">
        <v>155</v>
      </c>
      <c r="M1" s="166"/>
      <c r="N1" s="165" t="s">
        <v>156</v>
      </c>
      <c r="O1" s="166"/>
      <c r="P1" s="165" t="s">
        <v>5</v>
      </c>
      <c r="Q1" s="166"/>
      <c r="R1" s="165" t="s">
        <v>17</v>
      </c>
      <c r="S1" s="166"/>
      <c r="T1" s="165" t="s">
        <v>18</v>
      </c>
      <c r="U1" s="166"/>
      <c r="V1" s="165" t="s">
        <v>147</v>
      </c>
      <c r="W1" s="166"/>
      <c r="X1" s="165" t="s">
        <v>169</v>
      </c>
      <c r="Y1" s="166"/>
      <c r="Z1" s="165" t="s">
        <v>129</v>
      </c>
      <c r="AA1" s="166"/>
      <c r="AB1" s="165" t="s">
        <v>124</v>
      </c>
      <c r="AC1" s="166"/>
      <c r="AD1" s="165" t="s">
        <v>132</v>
      </c>
      <c r="AE1" s="166"/>
      <c r="AF1" s="165" t="s">
        <v>157</v>
      </c>
      <c r="AG1" s="166"/>
      <c r="AH1" s="165" t="s">
        <v>150</v>
      </c>
      <c r="AI1" s="166"/>
      <c r="AJ1" s="165" t="s">
        <v>158</v>
      </c>
      <c r="AK1" s="166"/>
      <c r="AL1" s="165" t="s">
        <v>160</v>
      </c>
      <c r="AM1" s="166"/>
      <c r="AN1" s="165" t="s">
        <v>172</v>
      </c>
      <c r="AO1" s="166"/>
    </row>
    <row r="2" spans="1:41" x14ac:dyDescent="0.4">
      <c r="A2" s="74" t="s">
        <v>170</v>
      </c>
      <c r="B2" s="163"/>
      <c r="C2" s="164"/>
      <c r="D2" s="163"/>
      <c r="E2" s="164"/>
      <c r="F2" s="161" t="e">
        <v>#DIV/0!</v>
      </c>
      <c r="G2" s="162"/>
      <c r="H2" s="161" t="e">
        <v>#DIV/0!</v>
      </c>
      <c r="I2" s="162"/>
      <c r="J2" s="161" t="e">
        <v>#DIV/0!</v>
      </c>
      <c r="K2" s="162"/>
      <c r="L2" s="161" t="e">
        <v>#DIV/0!</v>
      </c>
      <c r="M2" s="162"/>
      <c r="N2" s="161" t="e">
        <v>#DIV/0!</v>
      </c>
      <c r="O2" s="162"/>
      <c r="P2" s="161" t="e">
        <v>#DIV/0!</v>
      </c>
      <c r="Q2" s="162"/>
      <c r="R2" s="161" t="e">
        <v>#DIV/0!</v>
      </c>
      <c r="S2" s="162"/>
      <c r="T2" s="161" t="e">
        <v>#DIV/0!</v>
      </c>
      <c r="U2" s="162"/>
      <c r="V2" s="161" t="e">
        <v>#DIV/0!</v>
      </c>
      <c r="W2" s="162"/>
      <c r="X2" s="161" t="e">
        <v>#DIV/0!</v>
      </c>
      <c r="Y2" s="162"/>
      <c r="Z2" s="161" t="e">
        <v>#DIV/0!</v>
      </c>
      <c r="AA2" s="162"/>
      <c r="AB2" s="161" t="e">
        <v>#DIV/0!</v>
      </c>
      <c r="AC2" s="162"/>
      <c r="AD2" s="161" t="e">
        <v>#DIV/0!</v>
      </c>
      <c r="AE2" s="162"/>
      <c r="AF2" s="161" t="e">
        <v>#DIV/0!</v>
      </c>
      <c r="AG2" s="162"/>
      <c r="AH2" s="161" t="e">
        <v>#DIV/0!</v>
      </c>
      <c r="AI2" s="162"/>
      <c r="AJ2" s="161" t="e">
        <v>#DIV/0!</v>
      </c>
      <c r="AK2" s="162"/>
      <c r="AL2" s="161" t="e">
        <v>#DIV/0!</v>
      </c>
      <c r="AM2" s="162"/>
      <c r="AN2" s="161" t="e">
        <v>#DIV/0!</v>
      </c>
      <c r="AO2" s="162"/>
    </row>
    <row r="3" spans="1:41" x14ac:dyDescent="0.4">
      <c r="A3" s="76">
        <v>1</v>
      </c>
      <c r="B3" s="77" t="s">
        <v>133</v>
      </c>
      <c r="C3" s="78">
        <v>110.5</v>
      </c>
      <c r="D3" s="79" t="s">
        <v>133</v>
      </c>
      <c r="E3" s="102">
        <v>27.625</v>
      </c>
      <c r="F3" s="79" t="s">
        <v>133</v>
      </c>
      <c r="G3" s="80">
        <v>1.5</v>
      </c>
      <c r="H3" s="79" t="s">
        <v>133</v>
      </c>
      <c r="I3" s="81">
        <v>0.5</v>
      </c>
      <c r="J3" s="79" t="s">
        <v>133</v>
      </c>
      <c r="K3" s="81">
        <v>0</v>
      </c>
      <c r="L3" s="79" t="s">
        <v>133</v>
      </c>
      <c r="M3" s="82">
        <v>0.42424242424242425</v>
      </c>
      <c r="N3" s="79" t="s">
        <v>182</v>
      </c>
      <c r="O3" s="82">
        <v>0.125</v>
      </c>
      <c r="P3" s="79" t="s">
        <v>134</v>
      </c>
      <c r="Q3" s="83">
        <v>9500</v>
      </c>
      <c r="R3" s="79" t="s">
        <v>181</v>
      </c>
      <c r="S3" s="83">
        <v>-5014.2857142857147</v>
      </c>
      <c r="T3" s="79" t="s">
        <v>151</v>
      </c>
      <c r="U3" s="81">
        <v>0</v>
      </c>
      <c r="V3" s="79" t="s">
        <v>151</v>
      </c>
      <c r="W3" s="81">
        <v>0</v>
      </c>
      <c r="X3" s="79" t="s">
        <v>135</v>
      </c>
      <c r="Y3" s="81">
        <v>0.33333333333333331</v>
      </c>
      <c r="Z3" s="79" t="s">
        <v>133</v>
      </c>
      <c r="AA3" s="82">
        <v>0.45454545454545453</v>
      </c>
      <c r="AB3" s="79" t="s">
        <v>182</v>
      </c>
      <c r="AC3" s="82">
        <v>0.375</v>
      </c>
      <c r="AD3" s="79" t="s">
        <v>134</v>
      </c>
      <c r="AE3" s="82">
        <v>0.8</v>
      </c>
      <c r="AF3" s="79" t="s">
        <v>133</v>
      </c>
      <c r="AG3" s="82">
        <v>0.5</v>
      </c>
      <c r="AH3" s="79" t="s">
        <v>182</v>
      </c>
      <c r="AI3" s="82">
        <v>0.5</v>
      </c>
      <c r="AJ3" s="79" t="s">
        <v>151</v>
      </c>
      <c r="AK3" s="84">
        <v>4</v>
      </c>
      <c r="AL3" s="79" t="s">
        <v>151</v>
      </c>
      <c r="AM3" s="97">
        <v>88300</v>
      </c>
      <c r="AN3" s="79" t="s">
        <v>151</v>
      </c>
      <c r="AO3" s="85">
        <v>1</v>
      </c>
    </row>
    <row r="4" spans="1:41" x14ac:dyDescent="0.4">
      <c r="A4" s="86">
        <v>2</v>
      </c>
      <c r="B4" s="87" t="s">
        <v>134</v>
      </c>
      <c r="C4" s="88">
        <v>13.599999999999994</v>
      </c>
      <c r="D4" s="89" t="s">
        <v>134</v>
      </c>
      <c r="E4" s="103">
        <v>3.3999999999999986</v>
      </c>
      <c r="F4" s="89" t="s">
        <v>151</v>
      </c>
      <c r="G4" s="90">
        <v>2</v>
      </c>
      <c r="H4" s="89" t="s">
        <v>134</v>
      </c>
      <c r="I4" s="91">
        <v>0.5</v>
      </c>
      <c r="J4" s="89" t="s">
        <v>182</v>
      </c>
      <c r="K4" s="91">
        <v>0</v>
      </c>
      <c r="L4" s="89" t="s">
        <v>134</v>
      </c>
      <c r="M4" s="92">
        <v>0.34285714285714286</v>
      </c>
      <c r="N4" s="89" t="s">
        <v>133</v>
      </c>
      <c r="O4" s="92">
        <v>0.15151515151515152</v>
      </c>
      <c r="P4" s="89" t="s">
        <v>133</v>
      </c>
      <c r="Q4" s="93">
        <v>8442.8571428571431</v>
      </c>
      <c r="R4" s="89" t="s">
        <v>182</v>
      </c>
      <c r="S4" s="93">
        <v>-6750</v>
      </c>
      <c r="T4" s="89" t="s">
        <v>133</v>
      </c>
      <c r="U4" s="91">
        <v>0</v>
      </c>
      <c r="V4" s="89" t="s">
        <v>133</v>
      </c>
      <c r="W4" s="91">
        <v>0</v>
      </c>
      <c r="X4" s="89" t="s">
        <v>134</v>
      </c>
      <c r="Y4" s="91">
        <v>0.25</v>
      </c>
      <c r="Z4" s="89" t="s">
        <v>151</v>
      </c>
      <c r="AA4" s="92">
        <v>0.29365079365079366</v>
      </c>
      <c r="AB4" s="89" t="s">
        <v>135</v>
      </c>
      <c r="AC4" s="92">
        <v>0.30769230769230771</v>
      </c>
      <c r="AD4" s="89" t="s">
        <v>135</v>
      </c>
      <c r="AE4" s="92">
        <v>0.66666666666666663</v>
      </c>
      <c r="AF4" s="89" t="s">
        <v>135</v>
      </c>
      <c r="AG4" s="92">
        <v>0.375</v>
      </c>
      <c r="AH4" s="89" t="s">
        <v>134</v>
      </c>
      <c r="AI4" s="92">
        <v>0.25</v>
      </c>
      <c r="AJ4" s="89" t="s">
        <v>133</v>
      </c>
      <c r="AK4" s="94">
        <v>4</v>
      </c>
      <c r="AL4" s="89" t="s">
        <v>133</v>
      </c>
      <c r="AM4" s="98">
        <v>88300</v>
      </c>
      <c r="AN4" s="89" t="s">
        <v>181</v>
      </c>
      <c r="AO4" s="95">
        <v>1</v>
      </c>
    </row>
    <row r="5" spans="1:41" x14ac:dyDescent="0.4">
      <c r="A5" s="86">
        <v>3</v>
      </c>
      <c r="B5" s="87" t="s">
        <v>151</v>
      </c>
      <c r="C5" s="88">
        <v>-1.0658141036401503E-14</v>
      </c>
      <c r="D5" s="89" t="s">
        <v>151</v>
      </c>
      <c r="E5" s="103">
        <v>-7.1054273576010023E-16</v>
      </c>
      <c r="F5" s="89" t="s">
        <v>134</v>
      </c>
      <c r="G5" s="90">
        <v>2</v>
      </c>
      <c r="H5" s="89" t="s">
        <v>151</v>
      </c>
      <c r="I5" s="91">
        <v>0.33333333333333331</v>
      </c>
      <c r="J5" s="89" t="s">
        <v>151</v>
      </c>
      <c r="K5" s="91">
        <v>0.33333333333333331</v>
      </c>
      <c r="L5" s="89" t="s">
        <v>135</v>
      </c>
      <c r="M5" s="92">
        <v>0.30769230769230771</v>
      </c>
      <c r="N5" s="89" t="s">
        <v>134</v>
      </c>
      <c r="O5" s="92">
        <v>0.22857142857142856</v>
      </c>
      <c r="P5" s="89" t="s">
        <v>151</v>
      </c>
      <c r="Q5" s="93">
        <v>7971.0526315789475</v>
      </c>
      <c r="R5" s="89" t="s">
        <v>134</v>
      </c>
      <c r="S5" s="93">
        <v>-7300</v>
      </c>
      <c r="T5" s="89" t="s">
        <v>134</v>
      </c>
      <c r="U5" s="91">
        <v>0</v>
      </c>
      <c r="V5" s="89" t="s">
        <v>134</v>
      </c>
      <c r="W5" s="91">
        <v>0</v>
      </c>
      <c r="X5" s="89" t="s">
        <v>151</v>
      </c>
      <c r="Y5" s="91">
        <v>0.13333333333333333</v>
      </c>
      <c r="Z5" s="89" t="s">
        <v>134</v>
      </c>
      <c r="AA5" s="92">
        <v>0.2857142857142857</v>
      </c>
      <c r="AB5" s="89" t="s">
        <v>134</v>
      </c>
      <c r="AC5" s="92">
        <v>0.25714285714285712</v>
      </c>
      <c r="AD5" s="89" t="s">
        <v>151</v>
      </c>
      <c r="AE5" s="92">
        <v>0.54054054054054057</v>
      </c>
      <c r="AF5" s="89" t="s">
        <v>151</v>
      </c>
      <c r="AG5" s="92">
        <v>0.34375</v>
      </c>
      <c r="AH5" s="89" t="s">
        <v>135</v>
      </c>
      <c r="AI5" s="92">
        <v>0.25</v>
      </c>
      <c r="AJ5" s="89" t="s">
        <v>134</v>
      </c>
      <c r="AK5" s="94">
        <v>4</v>
      </c>
      <c r="AL5" s="89" t="s">
        <v>134</v>
      </c>
      <c r="AM5" s="98">
        <v>75900</v>
      </c>
      <c r="AN5" s="89" t="s">
        <v>133</v>
      </c>
      <c r="AO5" s="95">
        <v>0</v>
      </c>
    </row>
    <row r="6" spans="1:41" x14ac:dyDescent="0.4">
      <c r="A6" s="86">
        <v>4</v>
      </c>
      <c r="B6" s="87" t="s">
        <v>182</v>
      </c>
      <c r="C6" s="88">
        <v>-7.7000000000000011</v>
      </c>
      <c r="D6" s="89" t="s">
        <v>182</v>
      </c>
      <c r="E6" s="103">
        <v>-3.8500000000000005</v>
      </c>
      <c r="F6" s="89" t="s">
        <v>135</v>
      </c>
      <c r="G6" s="90">
        <v>2</v>
      </c>
      <c r="H6" s="89" t="s">
        <v>135</v>
      </c>
      <c r="I6" s="91">
        <v>0.33333333333333331</v>
      </c>
      <c r="J6" s="89" t="s">
        <v>135</v>
      </c>
      <c r="K6" s="91">
        <v>0.33333333333333331</v>
      </c>
      <c r="L6" s="89" t="s">
        <v>151</v>
      </c>
      <c r="M6" s="92">
        <v>0.30158730158730157</v>
      </c>
      <c r="N6" s="89" t="s">
        <v>151</v>
      </c>
      <c r="O6" s="92">
        <v>0.23015873015873015</v>
      </c>
      <c r="P6" s="89" t="s">
        <v>135</v>
      </c>
      <c r="Q6" s="93">
        <v>6837.5</v>
      </c>
      <c r="R6" s="89" t="s">
        <v>151</v>
      </c>
      <c r="S6" s="93">
        <v>-7324.1379310344828</v>
      </c>
      <c r="T6" s="89" t="s">
        <v>135</v>
      </c>
      <c r="U6" s="91">
        <v>0</v>
      </c>
      <c r="V6" s="89" t="s">
        <v>135</v>
      </c>
      <c r="W6" s="91">
        <v>0</v>
      </c>
      <c r="X6" s="89" t="s">
        <v>133</v>
      </c>
      <c r="Y6" s="91">
        <v>0</v>
      </c>
      <c r="Z6" s="89" t="s">
        <v>181</v>
      </c>
      <c r="AA6" s="92">
        <v>0.25</v>
      </c>
      <c r="AB6" s="89" t="s">
        <v>151</v>
      </c>
      <c r="AC6" s="92">
        <v>0.25396825396825395</v>
      </c>
      <c r="AD6" s="89" t="s">
        <v>133</v>
      </c>
      <c r="AE6" s="92">
        <v>0.46666666666666667</v>
      </c>
      <c r="AF6" s="89" t="s">
        <v>134</v>
      </c>
      <c r="AG6" s="92">
        <v>0.33333333333333331</v>
      </c>
      <c r="AH6" s="89" t="s">
        <v>151</v>
      </c>
      <c r="AI6" s="92">
        <v>0.23684210526315788</v>
      </c>
      <c r="AJ6" s="89" t="s">
        <v>135</v>
      </c>
      <c r="AK6" s="94">
        <v>4</v>
      </c>
      <c r="AL6" s="89" t="s">
        <v>135</v>
      </c>
      <c r="AM6" s="98">
        <v>52000</v>
      </c>
      <c r="AN6" s="89" t="s">
        <v>134</v>
      </c>
      <c r="AO6" s="95">
        <v>0</v>
      </c>
    </row>
    <row r="7" spans="1:41" x14ac:dyDescent="0.4">
      <c r="A7" s="86">
        <v>5</v>
      </c>
      <c r="B7" s="87" t="s">
        <v>135</v>
      </c>
      <c r="C7" s="88">
        <v>-23.099999999999998</v>
      </c>
      <c r="D7" s="89" t="s">
        <v>135</v>
      </c>
      <c r="E7" s="103">
        <v>-7.6999999999999993</v>
      </c>
      <c r="F7" s="89" t="s">
        <v>182</v>
      </c>
      <c r="G7" s="90">
        <v>2</v>
      </c>
      <c r="H7" s="89" t="s">
        <v>181</v>
      </c>
      <c r="I7" s="91">
        <v>0</v>
      </c>
      <c r="J7" s="89" t="s">
        <v>134</v>
      </c>
      <c r="K7" s="91">
        <v>0.5</v>
      </c>
      <c r="L7" s="89" t="s">
        <v>181</v>
      </c>
      <c r="M7" s="92">
        <v>0.125</v>
      </c>
      <c r="N7" s="89" t="s">
        <v>135</v>
      </c>
      <c r="O7" s="92">
        <v>0.26923076923076922</v>
      </c>
      <c r="P7" s="89" t="s">
        <v>182</v>
      </c>
      <c r="Q7" s="93">
        <v>5050</v>
      </c>
      <c r="R7" s="89" t="s">
        <v>135</v>
      </c>
      <c r="S7" s="93">
        <v>-8471.4285714285706</v>
      </c>
      <c r="T7" s="89" t="s">
        <v>181</v>
      </c>
      <c r="U7" s="91">
        <v>0</v>
      </c>
      <c r="V7" s="89" t="s">
        <v>181</v>
      </c>
      <c r="W7" s="91">
        <v>0</v>
      </c>
      <c r="X7" s="89" t="s">
        <v>181</v>
      </c>
      <c r="Y7" s="91">
        <v>0</v>
      </c>
      <c r="Z7" s="89" t="s">
        <v>135</v>
      </c>
      <c r="AA7" s="92">
        <v>0.23076923076923078</v>
      </c>
      <c r="AB7" s="89" t="s">
        <v>133</v>
      </c>
      <c r="AC7" s="92">
        <v>0.24242424242424243</v>
      </c>
      <c r="AD7" s="89" t="s">
        <v>181</v>
      </c>
      <c r="AE7" s="92">
        <v>0.25</v>
      </c>
      <c r="AF7" s="89" t="s">
        <v>182</v>
      </c>
      <c r="AG7" s="92">
        <v>0.16666666666666666</v>
      </c>
      <c r="AH7" s="89" t="s">
        <v>133</v>
      </c>
      <c r="AI7" s="92">
        <v>0.21428571428571427</v>
      </c>
      <c r="AJ7" s="89" t="s">
        <v>181</v>
      </c>
      <c r="AK7" s="94">
        <v>1</v>
      </c>
      <c r="AL7" s="89" t="s">
        <v>182</v>
      </c>
      <c r="AM7" s="98">
        <v>46100</v>
      </c>
      <c r="AN7" s="89" t="s">
        <v>135</v>
      </c>
      <c r="AO7" s="95">
        <v>0</v>
      </c>
    </row>
    <row r="8" spans="1:41" x14ac:dyDescent="0.4">
      <c r="A8" s="86">
        <v>6</v>
      </c>
      <c r="B8" s="87" t="s">
        <v>181</v>
      </c>
      <c r="C8" s="88">
        <v>-93.300000000000011</v>
      </c>
      <c r="D8" s="89" t="s">
        <v>181</v>
      </c>
      <c r="E8" s="103">
        <v>-46.650000000000006</v>
      </c>
      <c r="F8" s="89" t="s">
        <v>181</v>
      </c>
      <c r="G8" s="90">
        <v>3</v>
      </c>
      <c r="H8" s="89" t="s">
        <v>182</v>
      </c>
      <c r="I8" s="91">
        <v>0</v>
      </c>
      <c r="J8" s="89" t="s">
        <v>181</v>
      </c>
      <c r="K8" s="91">
        <v>1</v>
      </c>
      <c r="L8" s="89" t="s">
        <v>182</v>
      </c>
      <c r="M8" s="92">
        <v>0.125</v>
      </c>
      <c r="N8" s="89" t="s">
        <v>181</v>
      </c>
      <c r="O8" s="92">
        <v>0.4375</v>
      </c>
      <c r="P8" s="89" t="s">
        <v>181</v>
      </c>
      <c r="Q8" s="93">
        <v>2950</v>
      </c>
      <c r="R8" s="89" t="s">
        <v>133</v>
      </c>
      <c r="S8" s="93">
        <v>-9220</v>
      </c>
      <c r="T8" s="89" t="s">
        <v>182</v>
      </c>
      <c r="U8" s="91">
        <v>0</v>
      </c>
      <c r="V8" s="89" t="s">
        <v>182</v>
      </c>
      <c r="W8" s="91">
        <v>0</v>
      </c>
      <c r="X8" s="89" t="s">
        <v>182</v>
      </c>
      <c r="Y8" s="91">
        <v>0</v>
      </c>
      <c r="Z8" s="89" t="s">
        <v>182</v>
      </c>
      <c r="AA8" s="92">
        <v>0.125</v>
      </c>
      <c r="AB8" s="89" t="s">
        <v>181</v>
      </c>
      <c r="AC8" s="92">
        <v>6.25E-2</v>
      </c>
      <c r="AD8" s="89" t="s">
        <v>182</v>
      </c>
      <c r="AE8" s="92">
        <v>0</v>
      </c>
      <c r="AF8" s="89" t="s">
        <v>181</v>
      </c>
      <c r="AG8" s="92">
        <v>0</v>
      </c>
      <c r="AH8" s="89" t="s">
        <v>181</v>
      </c>
      <c r="AI8" s="92">
        <v>0</v>
      </c>
      <c r="AJ8" s="89" t="s">
        <v>182</v>
      </c>
      <c r="AK8" s="94">
        <v>1</v>
      </c>
      <c r="AL8" s="89" t="s">
        <v>181</v>
      </c>
      <c r="AM8" s="98">
        <v>12900</v>
      </c>
      <c r="AN8" s="89" t="s">
        <v>182</v>
      </c>
      <c r="AO8" s="95">
        <v>0</v>
      </c>
    </row>
  </sheetData>
  <sortState ref="AN3:AO34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34D8-668A-45C6-986F-EAD8697F9EB3}">
  <sheetPr codeName="Sheet4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151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15</v>
      </c>
      <c r="C2" s="146"/>
      <c r="E2" s="64" t="s">
        <v>69</v>
      </c>
      <c r="F2" s="61" t="s">
        <v>23</v>
      </c>
      <c r="G2" s="48">
        <v>26</v>
      </c>
      <c r="H2" s="138">
        <f>IF(B$27=0,0,G2/B$27)</f>
        <v>0.68421052631578949</v>
      </c>
      <c r="I2" s="99">
        <v>3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-200</v>
      </c>
      <c r="P2" s="124">
        <v>15</v>
      </c>
      <c r="Q2" s="108">
        <v>-3000</v>
      </c>
    </row>
    <row r="3" spans="1:17" x14ac:dyDescent="0.4">
      <c r="A3" s="57" t="s">
        <v>8</v>
      </c>
      <c r="B3" s="147">
        <v>126</v>
      </c>
      <c r="C3" s="148"/>
      <c r="E3" s="65" t="s">
        <v>76</v>
      </c>
      <c r="F3" s="62" t="s">
        <v>29</v>
      </c>
      <c r="G3" s="49">
        <v>21</v>
      </c>
      <c r="H3" s="139">
        <f>IF(B$27=0,0,G3/B$27)</f>
        <v>0.55263157894736847</v>
      </c>
      <c r="I3" s="100">
        <v>4</v>
      </c>
      <c r="K3" s="40">
        <v>1</v>
      </c>
      <c r="L3" s="105">
        <v>-5.0999999999999996</v>
      </c>
      <c r="N3" s="121" t="s">
        <v>139</v>
      </c>
      <c r="O3" s="128">
        <f t="shared" si="0"/>
        <v>0</v>
      </c>
      <c r="P3" s="125">
        <v>15</v>
      </c>
      <c r="Q3" s="109">
        <v>0</v>
      </c>
    </row>
    <row r="4" spans="1:17" x14ac:dyDescent="0.4">
      <c r="A4" s="57" t="s">
        <v>6</v>
      </c>
      <c r="B4" s="149">
        <v>-1.0658141036401503E-14</v>
      </c>
      <c r="C4" s="150"/>
      <c r="E4" s="65" t="s">
        <v>67</v>
      </c>
      <c r="F4" s="62" t="s">
        <v>21</v>
      </c>
      <c r="G4" s="49">
        <v>19</v>
      </c>
      <c r="H4" s="139">
        <f>IF(B$27=0,0,G4/B$27)</f>
        <v>0.5</v>
      </c>
      <c r="I4" s="100">
        <v>2</v>
      </c>
      <c r="K4" s="40">
        <v>2</v>
      </c>
      <c r="L4" s="105">
        <v>40.4</v>
      </c>
      <c r="N4" s="121" t="s">
        <v>140</v>
      </c>
      <c r="O4" s="128">
        <f t="shared" si="0"/>
        <v>200</v>
      </c>
      <c r="P4" s="125">
        <v>15</v>
      </c>
      <c r="Q4" s="109">
        <v>3000</v>
      </c>
    </row>
    <row r="5" spans="1:17" x14ac:dyDescent="0.4">
      <c r="A5" s="57" t="s">
        <v>7</v>
      </c>
      <c r="B5" s="151">
        <f>IF(B$2=0,0,B$4/B$2)</f>
        <v>-7.1054273576010023E-16</v>
      </c>
      <c r="C5" s="152"/>
      <c r="E5" s="65" t="s">
        <v>70</v>
      </c>
      <c r="F5" s="62" t="s">
        <v>24</v>
      </c>
      <c r="G5" s="49">
        <v>9</v>
      </c>
      <c r="H5" s="139">
        <f>IF(B$27=0,0,G5/B$27)</f>
        <v>0.23684210526315788</v>
      </c>
      <c r="I5" s="100">
        <v>2</v>
      </c>
      <c r="K5" s="40">
        <v>3</v>
      </c>
      <c r="L5" s="105">
        <v>0</v>
      </c>
      <c r="N5" s="121" t="s">
        <v>141</v>
      </c>
      <c r="O5" s="128">
        <f t="shared" si="0"/>
        <v>0</v>
      </c>
      <c r="P5" s="125">
        <v>15</v>
      </c>
      <c r="Q5" s="109">
        <v>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73</v>
      </c>
      <c r="F6" s="62" t="s">
        <v>26</v>
      </c>
      <c r="G6" s="49">
        <v>8</v>
      </c>
      <c r="H6" s="139">
        <f>IF(B$27=0,0,G6/B$27)</f>
        <v>0.21052631578947367</v>
      </c>
      <c r="I6" s="100">
        <v>3</v>
      </c>
      <c r="K6" s="40">
        <v>4</v>
      </c>
      <c r="L6" s="105">
        <v>2.2000000000000002</v>
      </c>
      <c r="N6" s="121" t="s">
        <v>142</v>
      </c>
      <c r="O6" s="128">
        <f t="shared" si="0"/>
        <v>0</v>
      </c>
      <c r="P6" s="125">
        <v>15</v>
      </c>
      <c r="Q6" s="109">
        <v>0</v>
      </c>
    </row>
    <row r="7" spans="1:17" x14ac:dyDescent="0.4">
      <c r="A7" s="57" t="s">
        <v>2</v>
      </c>
      <c r="B7" s="49">
        <v>5</v>
      </c>
      <c r="C7" s="41">
        <f>IF(B$2=0,0,B7/B$2)</f>
        <v>0.33333333333333331</v>
      </c>
      <c r="E7" s="65" t="s">
        <v>94</v>
      </c>
      <c r="F7" s="62" t="s">
        <v>47</v>
      </c>
      <c r="G7" s="49">
        <v>7</v>
      </c>
      <c r="H7" s="139">
        <f>IF(B$27=0,0,G7/B$27)</f>
        <v>0.18421052631578946</v>
      </c>
      <c r="I7" s="100">
        <v>4</v>
      </c>
      <c r="K7" s="40">
        <v>5</v>
      </c>
      <c r="L7" s="105">
        <v>-37</v>
      </c>
      <c r="N7" s="122" t="s">
        <v>143</v>
      </c>
      <c r="O7" s="129">
        <f t="shared" si="0"/>
        <v>0</v>
      </c>
      <c r="P7" s="126">
        <v>12</v>
      </c>
      <c r="Q7" s="110">
        <v>0</v>
      </c>
    </row>
    <row r="8" spans="1:17" x14ac:dyDescent="0.4">
      <c r="A8" s="57" t="s">
        <v>3</v>
      </c>
      <c r="B8" s="49">
        <v>5</v>
      </c>
      <c r="C8" s="41">
        <f>IF(B$2=0,0,B8/B$2)</f>
        <v>0.33333333333333331</v>
      </c>
      <c r="E8" s="65" t="s">
        <v>72</v>
      </c>
      <c r="F8" s="62" t="s">
        <v>12</v>
      </c>
      <c r="G8" s="49">
        <v>5</v>
      </c>
      <c r="H8" s="139">
        <f>IF(B$27=0,0,G8/B$27)</f>
        <v>0.13157894736842105</v>
      </c>
      <c r="I8" s="100">
        <v>2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5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4</v>
      </c>
      <c r="H9" s="139">
        <f>IF(B$27=0,0,G9/B$27)</f>
        <v>0.10526315789473684</v>
      </c>
      <c r="I9" s="100">
        <v>3</v>
      </c>
      <c r="K9" s="40">
        <v>7</v>
      </c>
      <c r="L9" s="105">
        <v>73.3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4</v>
      </c>
      <c r="H10" s="139">
        <f>IF(B$27=0,0,G10/B$27)</f>
        <v>0.10526315789473684</v>
      </c>
      <c r="I10" s="100">
        <v>3</v>
      </c>
      <c r="K10" s="40">
        <v>8</v>
      </c>
      <c r="L10" s="105">
        <v>19.699999999999996</v>
      </c>
      <c r="N10" s="120" t="s">
        <v>174</v>
      </c>
      <c r="O10" s="130">
        <f>IF(P10=0,0,Q10/P10)</f>
        <v>-37.019999999999996</v>
      </c>
      <c r="P10" s="124">
        <v>5</v>
      </c>
      <c r="Q10" s="112">
        <v>-185.1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74</v>
      </c>
      <c r="F11" s="62" t="s">
        <v>27</v>
      </c>
      <c r="G11" s="49">
        <v>3</v>
      </c>
      <c r="H11" s="139">
        <f>IF(B$27=0,0,G11/B$27)</f>
        <v>7.8947368421052627E-2</v>
      </c>
      <c r="I11" s="100">
        <v>2</v>
      </c>
      <c r="K11" s="40">
        <v>9</v>
      </c>
      <c r="L11" s="105">
        <v>-3.5527136788005009E-15</v>
      </c>
      <c r="N11" s="121" t="s">
        <v>175</v>
      </c>
      <c r="O11" s="131">
        <f>IF(P11=0,0,Q11/P11)</f>
        <v>1.6</v>
      </c>
      <c r="P11" s="125">
        <v>5</v>
      </c>
      <c r="Q11" s="113">
        <v>8</v>
      </c>
    </row>
    <row r="12" spans="1:17" x14ac:dyDescent="0.4">
      <c r="A12" s="59" t="s">
        <v>167</v>
      </c>
      <c r="B12" s="51">
        <v>2</v>
      </c>
      <c r="C12" s="44">
        <f>IF(B$2=0,0,B12/B$2)</f>
        <v>0.13333333333333333</v>
      </c>
      <c r="E12" s="65" t="s">
        <v>75</v>
      </c>
      <c r="F12" s="62" t="s">
        <v>28</v>
      </c>
      <c r="G12" s="49">
        <v>2</v>
      </c>
      <c r="H12" s="139">
        <f>IF(B$27=0,0,G12/B$27)</f>
        <v>5.2631578947368418E-2</v>
      </c>
      <c r="I12" s="100">
        <v>2</v>
      </c>
      <c r="K12" s="40">
        <v>10</v>
      </c>
      <c r="L12" s="105">
        <v>40.099999999999994</v>
      </c>
      <c r="N12" s="122" t="s">
        <v>176</v>
      </c>
      <c r="O12" s="132">
        <f>IF(P12=0,0,Q12/P12)</f>
        <v>35.42</v>
      </c>
      <c r="P12" s="126">
        <v>5</v>
      </c>
      <c r="Q12" s="114">
        <v>177.1</v>
      </c>
    </row>
    <row r="13" spans="1:17" x14ac:dyDescent="0.4">
      <c r="A13" s="60" t="s">
        <v>128</v>
      </c>
      <c r="B13" s="52">
        <v>37</v>
      </c>
      <c r="C13" s="46">
        <f>IF(B$26=0,0,B13/B$26)</f>
        <v>0.29365079365079366</v>
      </c>
      <c r="E13" s="65" t="s">
        <v>96</v>
      </c>
      <c r="F13" s="62" t="s">
        <v>49</v>
      </c>
      <c r="G13" s="49">
        <v>1</v>
      </c>
      <c r="H13" s="139">
        <f>IF(B$27=0,0,G13/B$27)</f>
        <v>2.6315789473684209E-2</v>
      </c>
      <c r="I13" s="100">
        <v>2</v>
      </c>
      <c r="K13" s="40">
        <v>11</v>
      </c>
      <c r="L13" s="105">
        <v>-11.100000000000009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32</v>
      </c>
      <c r="C14" s="41">
        <f>IF(B$26=0,0,B14/B$26)</f>
        <v>0.25396825396825395</v>
      </c>
      <c r="E14" s="65" t="s">
        <v>71</v>
      </c>
      <c r="F14" s="62" t="s">
        <v>25</v>
      </c>
      <c r="G14" s="49">
        <v>0</v>
      </c>
      <c r="H14" s="139">
        <f>IF(B$27=0,0,G14/B$27)</f>
        <v>0</v>
      </c>
      <c r="I14" s="100">
        <v>1</v>
      </c>
      <c r="K14" s="40">
        <v>12</v>
      </c>
      <c r="L14" s="105">
        <v>-8.8817841970012523E-15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20</v>
      </c>
      <c r="C15" s="39">
        <f>IF(B$13=0,0,B15/B$13)</f>
        <v>0.54054054054054057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K15" s="40">
        <v>13</v>
      </c>
      <c r="L15" s="105">
        <v>-42.100000000000009</v>
      </c>
      <c r="N15" s="120" t="s">
        <v>181</v>
      </c>
      <c r="O15" s="130">
        <f>IF(P15=0,0,Q15/P15)</f>
        <v>69.975000000000009</v>
      </c>
      <c r="P15" s="124">
        <v>4</v>
      </c>
      <c r="Q15" s="112">
        <v>279.90000000000003</v>
      </c>
    </row>
    <row r="16" spans="1:17" x14ac:dyDescent="0.4">
      <c r="A16" s="56" t="s">
        <v>131</v>
      </c>
      <c r="B16" s="48">
        <v>11</v>
      </c>
      <c r="C16" s="39">
        <f>IF(B$14=0,0,B16/B$14)</f>
        <v>0.34375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K16" s="40">
        <v>14</v>
      </c>
      <c r="L16" s="105">
        <v>18.79999999999999</v>
      </c>
      <c r="N16" s="121" t="s">
        <v>135</v>
      </c>
      <c r="O16" s="131">
        <f>IF(P16=0,0,Q16/P16)</f>
        <v>11.549999999999997</v>
      </c>
      <c r="P16" s="125">
        <v>6</v>
      </c>
      <c r="Q16" s="113">
        <v>69.299999999999983</v>
      </c>
    </row>
    <row r="17" spans="1:17" x14ac:dyDescent="0.4">
      <c r="A17" s="56" t="s">
        <v>10</v>
      </c>
      <c r="B17" s="48">
        <f>B19+B18</f>
        <v>38</v>
      </c>
      <c r="C17" s="39">
        <f>IF(B$3=0,0,B17/B$3)</f>
        <v>0.30158730158730157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  <c r="K17" s="40">
        <v>15</v>
      </c>
      <c r="L17" s="105">
        <v>-1.0658141036401503E-14</v>
      </c>
      <c r="N17" s="121" t="s">
        <v>182</v>
      </c>
      <c r="O17" s="131">
        <f>IF(P17=0,0,Q17/P17)</f>
        <v>5.7749999999999977</v>
      </c>
      <c r="P17" s="125">
        <v>4</v>
      </c>
      <c r="Q17" s="113">
        <v>23.099999999999991</v>
      </c>
    </row>
    <row r="18" spans="1:17" x14ac:dyDescent="0.4">
      <c r="A18" s="57" t="s">
        <v>12</v>
      </c>
      <c r="B18" s="49">
        <v>9</v>
      </c>
      <c r="C18" s="41">
        <f>IF(B$17=0,0,B18/B$17)</f>
        <v>0.23684210526315788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134</v>
      </c>
      <c r="O18" s="131">
        <f>IF(P18=0,0,Q18/P18)</f>
        <v>-5.0999999999999979</v>
      </c>
      <c r="P18" s="125">
        <v>8</v>
      </c>
      <c r="Q18" s="113">
        <v>-40.799999999999983</v>
      </c>
    </row>
    <row r="19" spans="1:17" x14ac:dyDescent="0.4">
      <c r="A19" s="57" t="s">
        <v>11</v>
      </c>
      <c r="B19" s="49">
        <v>29</v>
      </c>
      <c r="C19" s="41">
        <f>IF(B$17=0,0,B19/B$17)</f>
        <v>0.76315789473684215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  <c r="N19" s="121" t="s">
        <v>133</v>
      </c>
      <c r="O19" s="131">
        <f>IF(P19=0,0,Q19/P19)</f>
        <v>-41.4375</v>
      </c>
      <c r="P19" s="125">
        <v>8</v>
      </c>
      <c r="Q19" s="113">
        <v>-331.5</v>
      </c>
    </row>
    <row r="20" spans="1:17" x14ac:dyDescent="0.4">
      <c r="A20" s="57" t="s">
        <v>13</v>
      </c>
      <c r="B20" s="49">
        <v>29</v>
      </c>
      <c r="C20" s="41">
        <f>IF(B$3=0,0,B20/B$3)</f>
        <v>0.23015873015873015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7971.0526315789475</v>
      </c>
      <c r="C21" s="43">
        <v>302900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-7324.1379310344828</v>
      </c>
      <c r="C22" s="47">
        <v>-212400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5">
        <v>4</v>
      </c>
      <c r="C23" s="156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3">
        <v>88300</v>
      </c>
      <c r="C24" s="154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1</v>
      </c>
      <c r="C25" s="44">
        <f>IF(B$3=0,0,B25/B$3)</f>
        <v>7.9365079365079361E-3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126</v>
      </c>
      <c r="C26" s="146"/>
      <c r="E26" s="65" t="s">
        <v>88</v>
      </c>
      <c r="F26" s="62" t="s">
        <v>41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9">
        <v>38</v>
      </c>
      <c r="C27" s="160"/>
      <c r="E27" s="65" t="s">
        <v>89</v>
      </c>
      <c r="F27" s="62" t="s">
        <v>42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90</v>
      </c>
      <c r="F28" s="62" t="s">
        <v>43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F39B-7944-47CE-8874-B65A42EC51B8}">
  <sheetPr codeName="Sheet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133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4</v>
      </c>
      <c r="C2" s="146"/>
      <c r="E2" s="64" t="s">
        <v>76</v>
      </c>
      <c r="F2" s="61" t="s">
        <v>29</v>
      </c>
      <c r="G2" s="48">
        <v>10</v>
      </c>
      <c r="H2" s="138">
        <f>IF(B$27=0,0,G2/B$27)</f>
        <v>0.7142857142857143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7000</v>
      </c>
      <c r="P2" s="124">
        <v>4</v>
      </c>
      <c r="Q2" s="108">
        <v>28000</v>
      </c>
    </row>
    <row r="3" spans="1:17" x14ac:dyDescent="0.4">
      <c r="A3" s="57" t="s">
        <v>8</v>
      </c>
      <c r="B3" s="147">
        <v>33</v>
      </c>
      <c r="C3" s="148"/>
      <c r="E3" s="65" t="s">
        <v>69</v>
      </c>
      <c r="F3" s="62" t="s">
        <v>23</v>
      </c>
      <c r="G3" s="49">
        <v>9</v>
      </c>
      <c r="H3" s="139">
        <f>IF(B$27=0,0,G3/B$27)</f>
        <v>0.6428571428571429</v>
      </c>
      <c r="I3" s="100">
        <v>4</v>
      </c>
      <c r="K3" s="40">
        <v>1</v>
      </c>
      <c r="L3" s="105">
        <v>-5.0999999999999996</v>
      </c>
      <c r="N3" s="121" t="s">
        <v>139</v>
      </c>
      <c r="O3" s="128">
        <f t="shared" si="0"/>
        <v>850</v>
      </c>
      <c r="P3" s="125">
        <v>4</v>
      </c>
      <c r="Q3" s="109">
        <v>3400</v>
      </c>
    </row>
    <row r="4" spans="1:17" x14ac:dyDescent="0.4">
      <c r="A4" s="57" t="s">
        <v>6</v>
      </c>
      <c r="B4" s="149">
        <v>110.5</v>
      </c>
      <c r="C4" s="150"/>
      <c r="E4" s="65" t="s">
        <v>67</v>
      </c>
      <c r="F4" s="62" t="s">
        <v>21</v>
      </c>
      <c r="G4" s="49">
        <v>6</v>
      </c>
      <c r="H4" s="139">
        <f>IF(B$27=0,0,G4/B$27)</f>
        <v>0.42857142857142855</v>
      </c>
      <c r="I4" s="100">
        <v>5</v>
      </c>
      <c r="K4" s="40">
        <v>2</v>
      </c>
      <c r="L4" s="105">
        <v>-2.8999999999999995</v>
      </c>
      <c r="N4" s="121" t="s">
        <v>140</v>
      </c>
      <c r="O4" s="128">
        <f t="shared" si="0"/>
        <v>10050</v>
      </c>
      <c r="P4" s="125">
        <v>4</v>
      </c>
      <c r="Q4" s="109">
        <v>40200</v>
      </c>
    </row>
    <row r="5" spans="1:17" x14ac:dyDescent="0.4">
      <c r="A5" s="57" t="s">
        <v>7</v>
      </c>
      <c r="B5" s="151">
        <f>IF(B$2=0,0,B$4/B$2)</f>
        <v>27.625</v>
      </c>
      <c r="C5" s="152"/>
      <c r="E5" s="65" t="s">
        <v>70</v>
      </c>
      <c r="F5" s="62" t="s">
        <v>24</v>
      </c>
      <c r="G5" s="49">
        <v>3</v>
      </c>
      <c r="H5" s="139">
        <f>IF(B$27=0,0,G5/B$27)</f>
        <v>0.21428571428571427</v>
      </c>
      <c r="I5" s="100">
        <v>3</v>
      </c>
      <c r="K5" s="40">
        <v>3</v>
      </c>
      <c r="L5" s="105">
        <v>70.399999999999991</v>
      </c>
      <c r="N5" s="121" t="s">
        <v>141</v>
      </c>
      <c r="O5" s="128">
        <f t="shared" si="0"/>
        <v>3450</v>
      </c>
      <c r="P5" s="125">
        <v>4</v>
      </c>
      <c r="Q5" s="109">
        <v>13800</v>
      </c>
    </row>
    <row r="6" spans="1:17" x14ac:dyDescent="0.4">
      <c r="A6" s="57" t="s">
        <v>1</v>
      </c>
      <c r="B6" s="157">
        <f>IF(B$2=0,0,(B$7*1+B$8*2+B$9*3)/B$2)</f>
        <v>1.5</v>
      </c>
      <c r="C6" s="158"/>
      <c r="E6" s="65" t="s">
        <v>73</v>
      </c>
      <c r="F6" s="62" t="s">
        <v>26</v>
      </c>
      <c r="G6" s="49">
        <v>3</v>
      </c>
      <c r="H6" s="139">
        <f>IF(B$27=0,0,G6/B$27)</f>
        <v>0.21428571428571427</v>
      </c>
      <c r="I6" s="100">
        <v>2</v>
      </c>
      <c r="K6" s="40">
        <v>4</v>
      </c>
      <c r="L6" s="105">
        <v>110.5</v>
      </c>
      <c r="N6" s="121" t="s">
        <v>142</v>
      </c>
      <c r="O6" s="128">
        <f t="shared" si="0"/>
        <v>-225</v>
      </c>
      <c r="P6" s="125">
        <v>4</v>
      </c>
      <c r="Q6" s="109">
        <v>-900</v>
      </c>
    </row>
    <row r="7" spans="1:17" x14ac:dyDescent="0.4">
      <c r="A7" s="57" t="s">
        <v>2</v>
      </c>
      <c r="B7" s="49">
        <v>2</v>
      </c>
      <c r="C7" s="41">
        <f>IF(B$2=0,0,B7/B$2)</f>
        <v>0.5</v>
      </c>
      <c r="E7" s="65" t="s">
        <v>94</v>
      </c>
      <c r="F7" s="62" t="s">
        <v>47</v>
      </c>
      <c r="G7" s="49">
        <v>3</v>
      </c>
      <c r="H7" s="139">
        <f>IF(B$27=0,0,G7/B$27)</f>
        <v>0.21428571428571427</v>
      </c>
      <c r="I7" s="100">
        <v>3</v>
      </c>
      <c r="N7" s="122" t="s">
        <v>143</v>
      </c>
      <c r="O7" s="129">
        <f t="shared" si="0"/>
        <v>-6333.333333333333</v>
      </c>
      <c r="P7" s="126">
        <v>3</v>
      </c>
      <c r="Q7" s="110">
        <v>-19000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68</v>
      </c>
      <c r="F8" s="62" t="s">
        <v>22</v>
      </c>
      <c r="G8" s="49">
        <v>2</v>
      </c>
      <c r="H8" s="139">
        <f>IF(B$27=0,0,G8/B$27)</f>
        <v>0.14285714285714285</v>
      </c>
      <c r="I8" s="100">
        <v>2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91</v>
      </c>
      <c r="F9" s="62" t="s">
        <v>44</v>
      </c>
      <c r="G9" s="49">
        <v>2</v>
      </c>
      <c r="H9" s="139">
        <f>IF(B$27=0,0,G9/B$27)</f>
        <v>0.14285714285714285</v>
      </c>
      <c r="I9" s="100">
        <v>2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72</v>
      </c>
      <c r="F10" s="62" t="s">
        <v>12</v>
      </c>
      <c r="G10" s="49">
        <v>1</v>
      </c>
      <c r="H10" s="139">
        <f>IF(B$27=0,0,G10/B$27)</f>
        <v>7.1428571428571425E-2</v>
      </c>
      <c r="I10" s="100">
        <v>4</v>
      </c>
      <c r="N10" s="120" t="s">
        <v>174</v>
      </c>
      <c r="O10" s="130">
        <f>IF(P10=0,0,Q10/P10)</f>
        <v>2.2000000000000002</v>
      </c>
      <c r="P10" s="124">
        <v>1</v>
      </c>
      <c r="Q10" s="112">
        <v>2.2000000000000002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74</v>
      </c>
      <c r="F11" s="62" t="s">
        <v>27</v>
      </c>
      <c r="G11" s="49">
        <v>1</v>
      </c>
      <c r="H11" s="139">
        <f>IF(B$27=0,0,G11/B$27)</f>
        <v>7.1428571428571425E-2</v>
      </c>
      <c r="I11" s="100">
        <v>3</v>
      </c>
      <c r="N11" s="121" t="s">
        <v>175</v>
      </c>
      <c r="O11" s="131">
        <f>IF(P11=0,0,Q11/P11)</f>
        <v>-5.0999999999999996</v>
      </c>
      <c r="P11" s="125">
        <v>1</v>
      </c>
      <c r="Q11" s="113">
        <v>-5.0999999999999996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71</v>
      </c>
      <c r="F12" s="62" t="s">
        <v>25</v>
      </c>
      <c r="G12" s="49">
        <v>0</v>
      </c>
      <c r="H12" s="139">
        <f>IF(B$27=0,0,G12/B$27)</f>
        <v>0</v>
      </c>
      <c r="I12" s="100">
        <v>1</v>
      </c>
      <c r="N12" s="122" t="s">
        <v>176</v>
      </c>
      <c r="O12" s="132">
        <f>IF(P12=0,0,Q12/P12)</f>
        <v>56.7</v>
      </c>
      <c r="P12" s="126">
        <v>2</v>
      </c>
      <c r="Q12" s="114">
        <v>113.4</v>
      </c>
    </row>
    <row r="13" spans="1:17" x14ac:dyDescent="0.4">
      <c r="A13" s="60" t="s">
        <v>128</v>
      </c>
      <c r="B13" s="52">
        <v>15</v>
      </c>
      <c r="C13" s="46">
        <f>IF(B$26=0,0,B13/B$26)</f>
        <v>0.45454545454545453</v>
      </c>
      <c r="E13" s="65" t="s">
        <v>75</v>
      </c>
      <c r="F13" s="62" t="s">
        <v>28</v>
      </c>
      <c r="G13" s="49">
        <v>0</v>
      </c>
      <c r="H13" s="139">
        <f>IF(B$27=0,0,G13/B$27)</f>
        <v>0</v>
      </c>
      <c r="I13" s="100">
        <v>3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</v>
      </c>
      <c r="C14" s="41">
        <f>IF(B$26=0,0,B14/B$26)</f>
        <v>0.24242424242424243</v>
      </c>
      <c r="E14" s="65" t="s">
        <v>77</v>
      </c>
      <c r="F14" s="62" t="s">
        <v>30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7</v>
      </c>
      <c r="C15" s="39">
        <f>IF(B$13=0,0,B15/B$13)</f>
        <v>0.46666666666666667</v>
      </c>
      <c r="E15" s="65" t="s">
        <v>78</v>
      </c>
      <c r="F15" s="62" t="s">
        <v>31</v>
      </c>
      <c r="G15" s="49">
        <v>0</v>
      </c>
      <c r="H15" s="139">
        <f>IF(B$27=0,0,G15/B$27)</f>
        <v>0</v>
      </c>
      <c r="I15" s="100">
        <v>1</v>
      </c>
      <c r="N15" s="120" t="s">
        <v>181</v>
      </c>
      <c r="O15" s="130">
        <f>IF(P15=0,0,Q15/P15)</f>
        <v>91.300000000000011</v>
      </c>
      <c r="P15" s="124">
        <v>1</v>
      </c>
      <c r="Q15" s="112">
        <v>91.300000000000011</v>
      </c>
    </row>
    <row r="16" spans="1:17" x14ac:dyDescent="0.4">
      <c r="A16" s="56" t="s">
        <v>131</v>
      </c>
      <c r="B16" s="48">
        <v>4</v>
      </c>
      <c r="C16" s="39">
        <f>IF(B$14=0,0,B16/B$14)</f>
        <v>0.5</v>
      </c>
      <c r="E16" s="65" t="s">
        <v>79</v>
      </c>
      <c r="F16" s="62" t="s">
        <v>32</v>
      </c>
      <c r="G16" s="49">
        <v>0</v>
      </c>
      <c r="H16" s="139">
        <f>IF(B$27=0,0,G16/B$27)</f>
        <v>0</v>
      </c>
      <c r="I16" s="100">
        <v>1</v>
      </c>
      <c r="N16" s="121" t="s">
        <v>134</v>
      </c>
      <c r="O16" s="131">
        <f>IF(P16=0,0,Q16/P16)</f>
        <v>39.233333333333327</v>
      </c>
      <c r="P16" s="125">
        <v>3</v>
      </c>
      <c r="Q16" s="113">
        <v>117.69999999999999</v>
      </c>
    </row>
    <row r="17" spans="1:17" x14ac:dyDescent="0.4">
      <c r="A17" s="56" t="s">
        <v>10</v>
      </c>
      <c r="B17" s="48">
        <f>B19+B18</f>
        <v>14</v>
      </c>
      <c r="C17" s="39">
        <f>IF(B$3=0,0,B17/B$3)</f>
        <v>0.42424242424242425</v>
      </c>
      <c r="E17" s="65" t="s">
        <v>80</v>
      </c>
      <c r="F17" s="62" t="s">
        <v>33</v>
      </c>
      <c r="G17" s="49">
        <v>0</v>
      </c>
      <c r="H17" s="139">
        <f>IF(B$27=0,0,G17/B$27)</f>
        <v>0</v>
      </c>
      <c r="I17" s="100">
        <v>1</v>
      </c>
      <c r="N17" s="121" t="s">
        <v>135</v>
      </c>
      <c r="O17" s="131">
        <f>IF(P17=0,0,Q17/P17)</f>
        <v>31.166666666666668</v>
      </c>
      <c r="P17" s="125">
        <v>3</v>
      </c>
      <c r="Q17" s="113">
        <v>93.5</v>
      </c>
    </row>
    <row r="18" spans="1:17" x14ac:dyDescent="0.4">
      <c r="A18" s="57" t="s">
        <v>12</v>
      </c>
      <c r="B18" s="49">
        <v>3</v>
      </c>
      <c r="C18" s="41">
        <f>IF(B$17=0,0,B18/B$17)</f>
        <v>0.21428571428571427</v>
      </c>
      <c r="E18" s="65" t="s">
        <v>81</v>
      </c>
      <c r="F18" s="62" t="s">
        <v>34</v>
      </c>
      <c r="G18" s="49">
        <v>0</v>
      </c>
      <c r="H18" s="139">
        <f>IF(B$27=0,0,G18/B$27)</f>
        <v>0</v>
      </c>
      <c r="I18" s="100">
        <v>1</v>
      </c>
      <c r="N18" s="121" t="s">
        <v>182</v>
      </c>
      <c r="O18" s="131">
        <f>IF(P18=0,0,Q18/P18)</f>
        <v>29</v>
      </c>
      <c r="P18" s="125">
        <v>1</v>
      </c>
      <c r="Q18" s="113">
        <v>29</v>
      </c>
    </row>
    <row r="19" spans="1:17" x14ac:dyDescent="0.4">
      <c r="A19" s="57" t="s">
        <v>11</v>
      </c>
      <c r="B19" s="49">
        <v>11</v>
      </c>
      <c r="C19" s="41">
        <f>IF(B$17=0,0,B19/B$17)</f>
        <v>0.7857142857142857</v>
      </c>
      <c r="E19" s="65" t="s">
        <v>82</v>
      </c>
      <c r="F19" s="62" t="s">
        <v>35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5</v>
      </c>
      <c r="C20" s="41">
        <f>IF(B$3=0,0,B20/B$3)</f>
        <v>0.15151515151515152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8442.8571428571431</v>
      </c>
      <c r="C21" s="43">
        <v>118200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-9220</v>
      </c>
      <c r="C22" s="47">
        <v>-46100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5">
        <v>4</v>
      </c>
      <c r="C23" s="156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3">
        <v>88300</v>
      </c>
      <c r="C24" s="154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88</v>
      </c>
      <c r="F25" s="62" t="s">
        <v>41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33</v>
      </c>
      <c r="C26" s="146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9">
        <v>14</v>
      </c>
      <c r="C27" s="160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3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CD7D3-32F2-4B57-8B0E-7CB2DAB88892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134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4</v>
      </c>
      <c r="C2" s="146"/>
      <c r="E2" s="64" t="s">
        <v>67</v>
      </c>
      <c r="F2" s="61" t="s">
        <v>21</v>
      </c>
      <c r="G2" s="48">
        <v>8</v>
      </c>
      <c r="H2" s="138">
        <f>IF(B$27=0,0,G2/B$27)</f>
        <v>0.66666666666666663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-4225</v>
      </c>
      <c r="P2" s="124">
        <v>4</v>
      </c>
      <c r="Q2" s="108">
        <v>-16900</v>
      </c>
    </row>
    <row r="3" spans="1:17" x14ac:dyDescent="0.4">
      <c r="A3" s="57" t="s">
        <v>8</v>
      </c>
      <c r="B3" s="147">
        <v>35</v>
      </c>
      <c r="C3" s="148"/>
      <c r="E3" s="65" t="s">
        <v>69</v>
      </c>
      <c r="F3" s="62" t="s">
        <v>23</v>
      </c>
      <c r="G3" s="49">
        <v>7</v>
      </c>
      <c r="H3" s="139">
        <f>IF(B$27=0,0,G3/B$27)</f>
        <v>0.58333333333333337</v>
      </c>
      <c r="I3" s="100">
        <v>5</v>
      </c>
      <c r="K3" s="40">
        <v>1</v>
      </c>
      <c r="L3" s="105">
        <v>45.5</v>
      </c>
      <c r="N3" s="121" t="s">
        <v>139</v>
      </c>
      <c r="O3" s="128">
        <f t="shared" si="0"/>
        <v>550</v>
      </c>
      <c r="P3" s="125">
        <v>4</v>
      </c>
      <c r="Q3" s="109">
        <v>2200</v>
      </c>
    </row>
    <row r="4" spans="1:17" x14ac:dyDescent="0.4">
      <c r="A4" s="57" t="s">
        <v>6</v>
      </c>
      <c r="B4" s="149">
        <v>13.599999999999994</v>
      </c>
      <c r="C4" s="150"/>
      <c r="E4" s="65" t="s">
        <v>70</v>
      </c>
      <c r="F4" s="62" t="s">
        <v>24</v>
      </c>
      <c r="G4" s="49">
        <v>5</v>
      </c>
      <c r="H4" s="139">
        <f>IF(B$27=0,0,G4/B$27)</f>
        <v>0.41666666666666669</v>
      </c>
      <c r="I4" s="100">
        <v>1</v>
      </c>
      <c r="K4" s="40">
        <v>2</v>
      </c>
      <c r="L4" s="105">
        <v>6.2999999999999972</v>
      </c>
      <c r="N4" s="121" t="s">
        <v>140</v>
      </c>
      <c r="O4" s="128">
        <f t="shared" si="0"/>
        <v>-6050</v>
      </c>
      <c r="P4" s="125">
        <v>4</v>
      </c>
      <c r="Q4" s="109">
        <v>-24200</v>
      </c>
    </row>
    <row r="5" spans="1:17" x14ac:dyDescent="0.4">
      <c r="A5" s="57" t="s">
        <v>7</v>
      </c>
      <c r="B5" s="151">
        <f>IF(B$2=0,0,B$4/B$2)</f>
        <v>3.3999999999999986</v>
      </c>
      <c r="C5" s="152"/>
      <c r="E5" s="65" t="s">
        <v>76</v>
      </c>
      <c r="F5" s="62" t="s">
        <v>29</v>
      </c>
      <c r="G5" s="49">
        <v>4</v>
      </c>
      <c r="H5" s="139">
        <f>IF(B$27=0,0,G5/B$27)</f>
        <v>0.33333333333333331</v>
      </c>
      <c r="I5" s="100">
        <v>5</v>
      </c>
      <c r="K5" s="40">
        <v>3</v>
      </c>
      <c r="L5" s="105">
        <v>-47.300000000000004</v>
      </c>
      <c r="N5" s="121" t="s">
        <v>141</v>
      </c>
      <c r="O5" s="128">
        <f t="shared" si="0"/>
        <v>1375</v>
      </c>
      <c r="P5" s="125">
        <v>4</v>
      </c>
      <c r="Q5" s="109">
        <v>5500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72</v>
      </c>
      <c r="F6" s="62" t="s">
        <v>12</v>
      </c>
      <c r="G6" s="49">
        <v>3</v>
      </c>
      <c r="H6" s="139">
        <f>IF(B$27=0,0,G6/B$27)</f>
        <v>0.25</v>
      </c>
      <c r="I6" s="100">
        <v>1</v>
      </c>
      <c r="K6" s="40">
        <v>4</v>
      </c>
      <c r="L6" s="105">
        <v>13.599999999999994</v>
      </c>
      <c r="N6" s="121" t="s">
        <v>142</v>
      </c>
      <c r="O6" s="128">
        <f t="shared" si="0"/>
        <v>8250</v>
      </c>
      <c r="P6" s="125">
        <v>4</v>
      </c>
      <c r="Q6" s="109">
        <v>33000</v>
      </c>
    </row>
    <row r="7" spans="1:17" x14ac:dyDescent="0.4">
      <c r="A7" s="57" t="s">
        <v>2</v>
      </c>
      <c r="B7" s="49">
        <v>2</v>
      </c>
      <c r="C7" s="41">
        <f>IF(B$2=0,0,B7/B$2)</f>
        <v>0.5</v>
      </c>
      <c r="E7" s="65" t="s">
        <v>68</v>
      </c>
      <c r="F7" s="62" t="s">
        <v>22</v>
      </c>
      <c r="G7" s="49">
        <v>2</v>
      </c>
      <c r="H7" s="139">
        <f>IF(B$27=0,0,G7/B$27)</f>
        <v>0.16666666666666666</v>
      </c>
      <c r="I7" s="100">
        <v>1</v>
      </c>
      <c r="N7" s="122" t="s">
        <v>143</v>
      </c>
      <c r="O7" s="129">
        <f t="shared" si="0"/>
        <v>3500</v>
      </c>
      <c r="P7" s="126">
        <v>4</v>
      </c>
      <c r="Q7" s="110">
        <v>14000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2</v>
      </c>
      <c r="H8" s="139">
        <f>IF(B$27=0,0,G8/B$27)</f>
        <v>0.16666666666666666</v>
      </c>
      <c r="I8" s="100">
        <v>4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0.5</v>
      </c>
      <c r="E9" s="65" t="s">
        <v>74</v>
      </c>
      <c r="F9" s="62" t="s">
        <v>27</v>
      </c>
      <c r="G9" s="49">
        <v>2</v>
      </c>
      <c r="H9" s="139">
        <f>IF(B$27=0,0,G9/B$27)</f>
        <v>0.16666666666666666</v>
      </c>
      <c r="I9" s="100">
        <v>1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2</v>
      </c>
      <c r="H10" s="139">
        <f>IF(B$27=0,0,G10/B$27)</f>
        <v>0.16666666666666666</v>
      </c>
      <c r="I10" s="100">
        <v>1</v>
      </c>
      <c r="N10" s="120" t="s">
        <v>174</v>
      </c>
      <c r="O10" s="130">
        <f>IF(P10=0,0,Q10/P10)</f>
        <v>-53.6</v>
      </c>
      <c r="P10" s="124">
        <v>1</v>
      </c>
      <c r="Q10" s="112">
        <v>-53.6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94</v>
      </c>
      <c r="F11" s="62" t="s">
        <v>47</v>
      </c>
      <c r="G11" s="49">
        <v>1</v>
      </c>
      <c r="H11" s="139">
        <f>IF(B$27=0,0,G11/B$27)</f>
        <v>8.3333333333333329E-2</v>
      </c>
      <c r="I11" s="100">
        <v>5</v>
      </c>
      <c r="N11" s="121" t="s">
        <v>175</v>
      </c>
      <c r="O11" s="131">
        <f>IF(P11=0,0,Q11/P11)</f>
        <v>10.849999999999998</v>
      </c>
      <c r="P11" s="125">
        <v>2</v>
      </c>
      <c r="Q11" s="113">
        <v>21.699999999999996</v>
      </c>
    </row>
    <row r="12" spans="1:17" x14ac:dyDescent="0.4">
      <c r="A12" s="59" t="s">
        <v>167</v>
      </c>
      <c r="B12" s="51">
        <v>1</v>
      </c>
      <c r="C12" s="44">
        <f>IF(B$2=0,0,B12/B$2)</f>
        <v>0.25</v>
      </c>
      <c r="E12" s="65" t="s">
        <v>96</v>
      </c>
      <c r="F12" s="62" t="s">
        <v>49</v>
      </c>
      <c r="G12" s="49">
        <v>1</v>
      </c>
      <c r="H12" s="139">
        <f>IF(B$27=0,0,G12/B$27)</f>
        <v>8.3333333333333329E-2</v>
      </c>
      <c r="I12" s="100">
        <v>1</v>
      </c>
      <c r="N12" s="122" t="s">
        <v>176</v>
      </c>
      <c r="O12" s="132">
        <f>IF(P12=0,0,Q12/P12)</f>
        <v>45.5</v>
      </c>
      <c r="P12" s="126">
        <v>1</v>
      </c>
      <c r="Q12" s="114">
        <v>45.5</v>
      </c>
    </row>
    <row r="13" spans="1:17" x14ac:dyDescent="0.4">
      <c r="A13" s="60" t="s">
        <v>128</v>
      </c>
      <c r="B13" s="52">
        <v>10</v>
      </c>
      <c r="C13" s="46">
        <f>IF(B$26=0,0,B13/B$26)</f>
        <v>0.2857142857142857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</v>
      </c>
      <c r="C14" s="41">
        <f>IF(B$26=0,0,B14/B$26)</f>
        <v>0.25714285714285712</v>
      </c>
      <c r="E14" s="65" t="s">
        <v>75</v>
      </c>
      <c r="F14" s="62" t="s">
        <v>28</v>
      </c>
      <c r="G14" s="49">
        <v>0</v>
      </c>
      <c r="H14" s="139">
        <f>IF(B$27=0,0,G14/B$27)</f>
        <v>0</v>
      </c>
      <c r="I14" s="100">
        <v>3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8</v>
      </c>
      <c r="C15" s="39">
        <f>IF(B$13=0,0,B15/B$13)</f>
        <v>0.8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181</v>
      </c>
      <c r="O15" s="130">
        <f>IF(P15=0,0,Q15/P15)</f>
        <v>103</v>
      </c>
      <c r="P15" s="124">
        <v>1</v>
      </c>
      <c r="Q15" s="112">
        <v>103</v>
      </c>
    </row>
    <row r="16" spans="1:17" x14ac:dyDescent="0.4">
      <c r="A16" s="56" t="s">
        <v>131</v>
      </c>
      <c r="B16" s="48">
        <v>3</v>
      </c>
      <c r="C16" s="39">
        <f>IF(B$14=0,0,B16/B$14)</f>
        <v>0.33333333333333331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182</v>
      </c>
      <c r="O16" s="131">
        <f>IF(P16=0,0,Q16/P16)</f>
        <v>79.7</v>
      </c>
      <c r="P16" s="125">
        <v>1</v>
      </c>
      <c r="Q16" s="113">
        <v>79.7</v>
      </c>
    </row>
    <row r="17" spans="1:17" x14ac:dyDescent="0.4">
      <c r="A17" s="56" t="s">
        <v>10</v>
      </c>
      <c r="B17" s="48">
        <f>B19+B18</f>
        <v>12</v>
      </c>
      <c r="C17" s="39">
        <f>IF(B$3=0,0,B17/B$3)</f>
        <v>0.34285714285714286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  <c r="N17" s="121" t="s">
        <v>135</v>
      </c>
      <c r="O17" s="131">
        <f>IF(P17=0,0,Q17/P17)</f>
        <v>-8.0666666666666664</v>
      </c>
      <c r="P17" s="125">
        <v>3</v>
      </c>
      <c r="Q17" s="113">
        <v>-24.2</v>
      </c>
    </row>
    <row r="18" spans="1:17" x14ac:dyDescent="0.4">
      <c r="A18" s="57" t="s">
        <v>12</v>
      </c>
      <c r="B18" s="49">
        <v>3</v>
      </c>
      <c r="C18" s="41">
        <f>IF(B$17=0,0,B18/B$17)</f>
        <v>0.25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133</v>
      </c>
      <c r="O18" s="131">
        <f>IF(P18=0,0,Q18/P18)</f>
        <v>-39.233333333333334</v>
      </c>
      <c r="P18" s="125">
        <v>3</v>
      </c>
      <c r="Q18" s="113">
        <v>-117.7</v>
      </c>
    </row>
    <row r="19" spans="1:17" x14ac:dyDescent="0.4">
      <c r="A19" s="57" t="s">
        <v>11</v>
      </c>
      <c r="B19" s="49">
        <v>9</v>
      </c>
      <c r="C19" s="41">
        <f>IF(B$17=0,0,B19/B$17)</f>
        <v>0.75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8</v>
      </c>
      <c r="C20" s="41">
        <f>IF(B$3=0,0,B20/B$3)</f>
        <v>0.22857142857142856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9500</v>
      </c>
      <c r="C21" s="43">
        <v>114000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-7300</v>
      </c>
      <c r="C22" s="47">
        <v>-58400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5">
        <v>4</v>
      </c>
      <c r="C23" s="156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3">
        <v>75900</v>
      </c>
      <c r="C24" s="154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35</v>
      </c>
      <c r="C26" s="146"/>
      <c r="E26" s="65" t="s">
        <v>88</v>
      </c>
      <c r="F26" s="62" t="s">
        <v>41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9">
        <v>12</v>
      </c>
      <c r="C27" s="160"/>
      <c r="E27" s="65" t="s">
        <v>89</v>
      </c>
      <c r="F27" s="62" t="s">
        <v>42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90</v>
      </c>
      <c r="F28" s="62" t="s">
        <v>43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13F6B-7505-41E4-A9E3-0893F639CA4D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135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3</v>
      </c>
      <c r="C2" s="146"/>
      <c r="E2" s="64" t="s">
        <v>69</v>
      </c>
      <c r="F2" s="61" t="s">
        <v>23</v>
      </c>
      <c r="G2" s="48">
        <v>8</v>
      </c>
      <c r="H2" s="138">
        <f>IF(B$27=0,0,G2/B$27)</f>
        <v>1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-5200</v>
      </c>
      <c r="P2" s="124">
        <v>3</v>
      </c>
      <c r="Q2" s="108">
        <v>-15600</v>
      </c>
    </row>
    <row r="3" spans="1:17" x14ac:dyDescent="0.4">
      <c r="A3" s="57" t="s">
        <v>8</v>
      </c>
      <c r="B3" s="147">
        <v>26</v>
      </c>
      <c r="C3" s="148"/>
      <c r="E3" s="65" t="s">
        <v>76</v>
      </c>
      <c r="F3" s="62" t="s">
        <v>29</v>
      </c>
      <c r="G3" s="49">
        <v>5</v>
      </c>
      <c r="H3" s="139">
        <f>IF(B$27=0,0,G3/B$27)</f>
        <v>0.625</v>
      </c>
      <c r="I3" s="100">
        <v>3</v>
      </c>
      <c r="K3" s="40">
        <v>1</v>
      </c>
      <c r="L3" s="105">
        <v>-40.4</v>
      </c>
      <c r="N3" s="121" t="s">
        <v>139</v>
      </c>
      <c r="O3" s="128">
        <f t="shared" si="0"/>
        <v>-2533.3333333333335</v>
      </c>
      <c r="P3" s="125">
        <v>3</v>
      </c>
      <c r="Q3" s="109">
        <v>-7600</v>
      </c>
    </row>
    <row r="4" spans="1:17" x14ac:dyDescent="0.4">
      <c r="A4" s="57" t="s">
        <v>6</v>
      </c>
      <c r="B4" s="149">
        <v>-23.099999999999998</v>
      </c>
      <c r="C4" s="150"/>
      <c r="E4" s="65" t="s">
        <v>67</v>
      </c>
      <c r="F4" s="62" t="s">
        <v>21</v>
      </c>
      <c r="G4" s="49">
        <v>4</v>
      </c>
      <c r="H4" s="139">
        <f>IF(B$27=0,0,G4/B$27)</f>
        <v>0.5</v>
      </c>
      <c r="I4" s="100">
        <v>2</v>
      </c>
      <c r="K4" s="40">
        <v>2</v>
      </c>
      <c r="L4" s="105">
        <v>-3.3999999999999986</v>
      </c>
      <c r="N4" s="121" t="s">
        <v>140</v>
      </c>
      <c r="O4" s="128">
        <f t="shared" si="0"/>
        <v>2533.3333333333335</v>
      </c>
      <c r="P4" s="125">
        <v>3</v>
      </c>
      <c r="Q4" s="109">
        <v>7600</v>
      </c>
    </row>
    <row r="5" spans="1:17" x14ac:dyDescent="0.4">
      <c r="A5" s="57" t="s">
        <v>7</v>
      </c>
      <c r="B5" s="151">
        <f>IF(B$2=0,0,B$4/B$2)</f>
        <v>-7.6999999999999993</v>
      </c>
      <c r="C5" s="152"/>
      <c r="E5" s="65" t="s">
        <v>75</v>
      </c>
      <c r="F5" s="62" t="s">
        <v>28</v>
      </c>
      <c r="G5" s="49">
        <v>2</v>
      </c>
      <c r="H5" s="139">
        <f>IF(B$27=0,0,G5/B$27)</f>
        <v>0.25</v>
      </c>
      <c r="I5" s="100">
        <v>1</v>
      </c>
      <c r="K5" s="40">
        <v>3</v>
      </c>
      <c r="L5" s="105">
        <v>-23.099999999999998</v>
      </c>
      <c r="N5" s="121" t="s">
        <v>141</v>
      </c>
      <c r="O5" s="128">
        <f t="shared" si="0"/>
        <v>-5233.333333333333</v>
      </c>
      <c r="P5" s="125">
        <v>3</v>
      </c>
      <c r="Q5" s="109">
        <v>-15700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94</v>
      </c>
      <c r="F6" s="62" t="s">
        <v>47</v>
      </c>
      <c r="G6" s="49">
        <v>2</v>
      </c>
      <c r="H6" s="139">
        <f>IF(B$27=0,0,G6/B$27)</f>
        <v>0.25</v>
      </c>
      <c r="I6" s="100">
        <v>2</v>
      </c>
      <c r="N6" s="121" t="s">
        <v>142</v>
      </c>
      <c r="O6" s="128">
        <f t="shared" si="0"/>
        <v>-1600</v>
      </c>
      <c r="P6" s="125">
        <v>3</v>
      </c>
      <c r="Q6" s="109">
        <v>-4800</v>
      </c>
    </row>
    <row r="7" spans="1:17" x14ac:dyDescent="0.4">
      <c r="A7" s="57" t="s">
        <v>2</v>
      </c>
      <c r="B7" s="49">
        <v>1</v>
      </c>
      <c r="C7" s="41">
        <f>IF(B$2=0,0,B7/B$2)</f>
        <v>0.33333333333333331</v>
      </c>
      <c r="E7" s="65" t="s">
        <v>70</v>
      </c>
      <c r="F7" s="62" t="s">
        <v>24</v>
      </c>
      <c r="G7" s="49">
        <v>1</v>
      </c>
      <c r="H7" s="139">
        <f>IF(B$27=0,0,G7/B$27)</f>
        <v>0.125</v>
      </c>
      <c r="I7" s="100">
        <v>4</v>
      </c>
      <c r="N7" s="122" t="s">
        <v>143</v>
      </c>
      <c r="O7" s="129">
        <f t="shared" si="0"/>
        <v>4333.333333333333</v>
      </c>
      <c r="P7" s="126">
        <v>3</v>
      </c>
      <c r="Q7" s="110">
        <v>13000</v>
      </c>
    </row>
    <row r="8" spans="1:17" x14ac:dyDescent="0.4">
      <c r="A8" s="57" t="s">
        <v>3</v>
      </c>
      <c r="B8" s="49">
        <v>1</v>
      </c>
      <c r="C8" s="41">
        <f>IF(B$2=0,0,B8/B$2)</f>
        <v>0.33333333333333331</v>
      </c>
      <c r="E8" s="65" t="s">
        <v>72</v>
      </c>
      <c r="F8" s="62" t="s">
        <v>12</v>
      </c>
      <c r="G8" s="49">
        <v>1</v>
      </c>
      <c r="H8" s="139">
        <f>IF(B$27=0,0,G8/B$27)</f>
        <v>0.125</v>
      </c>
      <c r="I8" s="100">
        <v>3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1</v>
      </c>
      <c r="H9" s="139">
        <f>IF(B$27=0,0,G9/B$27)</f>
        <v>0.125</v>
      </c>
      <c r="I9" s="100">
        <v>5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68</v>
      </c>
      <c r="F10" s="62" t="s">
        <v>22</v>
      </c>
      <c r="G10" s="49">
        <v>0</v>
      </c>
      <c r="H10" s="139">
        <f>IF(B$27=0,0,G10/B$27)</f>
        <v>0</v>
      </c>
      <c r="I10" s="100">
        <v>4</v>
      </c>
      <c r="N10" s="120" t="s">
        <v>174</v>
      </c>
      <c r="O10" s="130">
        <f>IF(P10=0,0,Q10/P10)</f>
        <v>-40.4</v>
      </c>
      <c r="P10" s="124">
        <v>1</v>
      </c>
      <c r="Q10" s="112">
        <v>-40.4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71</v>
      </c>
      <c r="F11" s="62" t="s">
        <v>25</v>
      </c>
      <c r="G11" s="49">
        <v>0</v>
      </c>
      <c r="H11" s="139">
        <f>IF(B$27=0,0,G11/B$27)</f>
        <v>0</v>
      </c>
      <c r="I11" s="100">
        <v>1</v>
      </c>
      <c r="N11" s="121" t="s">
        <v>175</v>
      </c>
      <c r="O11" s="131">
        <f>IF(P11=0,0,Q11/P11)</f>
        <v>-19.7</v>
      </c>
      <c r="P11" s="125">
        <v>1</v>
      </c>
      <c r="Q11" s="113">
        <v>-19.7</v>
      </c>
    </row>
    <row r="12" spans="1:17" x14ac:dyDescent="0.4">
      <c r="A12" s="59" t="s">
        <v>167</v>
      </c>
      <c r="B12" s="51">
        <v>1</v>
      </c>
      <c r="C12" s="44">
        <f>IF(B$2=0,0,B12/B$2)</f>
        <v>0.33333333333333331</v>
      </c>
      <c r="E12" s="65" t="s">
        <v>74</v>
      </c>
      <c r="F12" s="62" t="s">
        <v>27</v>
      </c>
      <c r="G12" s="49">
        <v>0</v>
      </c>
      <c r="H12" s="139">
        <f>IF(B$27=0,0,G12/B$27)</f>
        <v>0</v>
      </c>
      <c r="I12" s="100">
        <v>4</v>
      </c>
      <c r="N12" s="122" t="s">
        <v>176</v>
      </c>
      <c r="O12" s="132">
        <f>IF(P12=0,0,Q12/P12)</f>
        <v>37</v>
      </c>
      <c r="P12" s="126">
        <v>1</v>
      </c>
      <c r="Q12" s="114">
        <v>37</v>
      </c>
    </row>
    <row r="13" spans="1:17" x14ac:dyDescent="0.4">
      <c r="A13" s="60" t="s">
        <v>128</v>
      </c>
      <c r="B13" s="52">
        <v>6</v>
      </c>
      <c r="C13" s="46">
        <f>IF(B$26=0,0,B13/B$26)</f>
        <v>0.23076923076923078</v>
      </c>
      <c r="E13" s="65" t="s">
        <v>77</v>
      </c>
      <c r="F13" s="62" t="s">
        <v>30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</v>
      </c>
      <c r="C14" s="41">
        <f>IF(B$26=0,0,B14/B$26)</f>
        <v>0.30769230769230771</v>
      </c>
      <c r="E14" s="65" t="s">
        <v>78</v>
      </c>
      <c r="F14" s="62" t="s">
        <v>31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4</v>
      </c>
      <c r="C15" s="39">
        <f>IF(B$13=0,0,B15/B$13)</f>
        <v>0.66666666666666663</v>
      </c>
      <c r="E15" s="65" t="s">
        <v>79</v>
      </c>
      <c r="F15" s="62" t="s">
        <v>32</v>
      </c>
      <c r="G15" s="49">
        <v>0</v>
      </c>
      <c r="H15" s="139">
        <f>IF(B$27=0,0,G15/B$27)</f>
        <v>0</v>
      </c>
      <c r="I15" s="100">
        <v>1</v>
      </c>
      <c r="N15" s="120" t="s">
        <v>134</v>
      </c>
      <c r="O15" s="130">
        <f>IF(P15=0,0,Q15/P15)</f>
        <v>8.0666666666666664</v>
      </c>
      <c r="P15" s="124">
        <v>3</v>
      </c>
      <c r="Q15" s="112">
        <v>24.2</v>
      </c>
    </row>
    <row r="16" spans="1:17" x14ac:dyDescent="0.4">
      <c r="A16" s="56" t="s">
        <v>131</v>
      </c>
      <c r="B16" s="48">
        <v>3</v>
      </c>
      <c r="C16" s="39">
        <f>IF(B$14=0,0,B16/B$14)</f>
        <v>0.375</v>
      </c>
      <c r="E16" s="65" t="s">
        <v>80</v>
      </c>
      <c r="F16" s="62" t="s">
        <v>33</v>
      </c>
      <c r="G16" s="49">
        <v>0</v>
      </c>
      <c r="H16" s="139">
        <f>IF(B$27=0,0,G16/B$27)</f>
        <v>0</v>
      </c>
      <c r="I16" s="100">
        <v>1</v>
      </c>
      <c r="N16" s="121" t="s">
        <v>133</v>
      </c>
      <c r="O16" s="131">
        <f>IF(P16=0,0,Q16/P16)</f>
        <v>-31.166666666666668</v>
      </c>
      <c r="P16" s="125">
        <v>3</v>
      </c>
      <c r="Q16" s="113">
        <v>-93.5</v>
      </c>
    </row>
    <row r="17" spans="1:9" x14ac:dyDescent="0.4">
      <c r="A17" s="56" t="s">
        <v>10</v>
      </c>
      <c r="B17" s="48">
        <f>B19+B18</f>
        <v>8</v>
      </c>
      <c r="C17" s="39">
        <f>IF(B$3=0,0,B17/B$3)</f>
        <v>0.30769230769230771</v>
      </c>
      <c r="E17" s="65" t="s">
        <v>81</v>
      </c>
      <c r="F17" s="62" t="s">
        <v>34</v>
      </c>
      <c r="G17" s="49">
        <v>0</v>
      </c>
      <c r="H17" s="139">
        <f>IF(B$27=0,0,G17/B$27)</f>
        <v>0</v>
      </c>
      <c r="I17" s="100">
        <v>1</v>
      </c>
    </row>
    <row r="18" spans="1:9" x14ac:dyDescent="0.4">
      <c r="A18" s="57" t="s">
        <v>12</v>
      </c>
      <c r="B18" s="49">
        <v>2</v>
      </c>
      <c r="C18" s="41">
        <f>IF(B$17=0,0,B18/B$17)</f>
        <v>0.25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1</v>
      </c>
    </row>
    <row r="19" spans="1:9" x14ac:dyDescent="0.4">
      <c r="A19" s="57" t="s">
        <v>11</v>
      </c>
      <c r="B19" s="49">
        <v>6</v>
      </c>
      <c r="C19" s="41">
        <f>IF(B$17=0,0,B19/B$17)</f>
        <v>0.75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7</v>
      </c>
      <c r="C20" s="41">
        <f>IF(B$3=0,0,B20/B$3)</f>
        <v>0.26923076923076922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6837.5</v>
      </c>
      <c r="C21" s="43">
        <v>54700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-8471.4285714285706</v>
      </c>
      <c r="C22" s="47">
        <v>-59300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148</v>
      </c>
      <c r="B23" s="155">
        <v>4</v>
      </c>
      <c r="C23" s="156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159</v>
      </c>
      <c r="B24" s="153">
        <v>52000</v>
      </c>
      <c r="C24" s="154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45">
        <v>26</v>
      </c>
      <c r="C26" s="146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9" x14ac:dyDescent="0.4">
      <c r="A27" s="59" t="s">
        <v>127</v>
      </c>
      <c r="B27" s="159">
        <v>8</v>
      </c>
      <c r="C27" s="160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4</v>
      </c>
    </row>
    <row r="28" spans="1:9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9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3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4432D-3748-4976-B1E5-EE557B40B2E4}">
  <sheetPr codeName="Sheet1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181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2</v>
      </c>
      <c r="C2" s="146"/>
      <c r="E2" s="64" t="s">
        <v>69</v>
      </c>
      <c r="F2" s="61" t="s">
        <v>23</v>
      </c>
      <c r="G2" s="48">
        <v>2</v>
      </c>
      <c r="H2" s="138">
        <f>IF(B$27=0,0,G2/B$27)</f>
        <v>1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-6250</v>
      </c>
      <c r="P2" s="124">
        <v>2</v>
      </c>
      <c r="Q2" s="108">
        <v>-12500</v>
      </c>
    </row>
    <row r="3" spans="1:17" x14ac:dyDescent="0.4">
      <c r="A3" s="57" t="s">
        <v>8</v>
      </c>
      <c r="B3" s="147">
        <v>16</v>
      </c>
      <c r="C3" s="148"/>
      <c r="E3" s="65" t="s">
        <v>73</v>
      </c>
      <c r="F3" s="62" t="s">
        <v>26</v>
      </c>
      <c r="G3" s="49">
        <v>2</v>
      </c>
      <c r="H3" s="139">
        <f>IF(B$27=0,0,G3/B$27)</f>
        <v>1</v>
      </c>
      <c r="I3" s="100">
        <v>1</v>
      </c>
      <c r="K3" s="40">
        <v>1</v>
      </c>
      <c r="L3" s="105">
        <v>-51.2</v>
      </c>
      <c r="N3" s="121" t="s">
        <v>139</v>
      </c>
      <c r="O3" s="128">
        <f t="shared" si="0"/>
        <v>2950</v>
      </c>
      <c r="P3" s="125">
        <v>2</v>
      </c>
      <c r="Q3" s="109">
        <v>5900</v>
      </c>
    </row>
    <row r="4" spans="1:17" x14ac:dyDescent="0.4">
      <c r="A4" s="57" t="s">
        <v>6</v>
      </c>
      <c r="B4" s="149">
        <v>-93.300000000000011</v>
      </c>
      <c r="C4" s="150"/>
      <c r="E4" s="65" t="s">
        <v>67</v>
      </c>
      <c r="F4" s="62" t="s">
        <v>21</v>
      </c>
      <c r="G4" s="49">
        <v>1</v>
      </c>
      <c r="H4" s="139">
        <f>IF(B$27=0,0,G4/B$27)</f>
        <v>0.5</v>
      </c>
      <c r="I4" s="100">
        <v>2</v>
      </c>
      <c r="K4" s="40">
        <v>2</v>
      </c>
      <c r="L4" s="105">
        <v>-93.300000000000011</v>
      </c>
      <c r="N4" s="121" t="s">
        <v>140</v>
      </c>
      <c r="O4" s="128">
        <f t="shared" si="0"/>
        <v>-6550</v>
      </c>
      <c r="P4" s="125">
        <v>2</v>
      </c>
      <c r="Q4" s="109">
        <v>-13100</v>
      </c>
    </row>
    <row r="5" spans="1:17" x14ac:dyDescent="0.4">
      <c r="A5" s="57" t="s">
        <v>7</v>
      </c>
      <c r="B5" s="151">
        <f>IF(B$2=0,0,B$4/B$2)</f>
        <v>-46.650000000000006</v>
      </c>
      <c r="C5" s="152"/>
      <c r="E5" s="65" t="s">
        <v>68</v>
      </c>
      <c r="F5" s="62" t="s">
        <v>22</v>
      </c>
      <c r="G5" s="49">
        <v>0</v>
      </c>
      <c r="H5" s="139">
        <f>IF(B$27=0,0,G5/B$27)</f>
        <v>0</v>
      </c>
      <c r="I5" s="100">
        <v>4</v>
      </c>
      <c r="N5" s="121" t="s">
        <v>141</v>
      </c>
      <c r="O5" s="128">
        <f t="shared" si="0"/>
        <v>-1800</v>
      </c>
      <c r="P5" s="125">
        <v>2</v>
      </c>
      <c r="Q5" s="109">
        <v>-3600</v>
      </c>
    </row>
    <row r="6" spans="1:17" x14ac:dyDescent="0.4">
      <c r="A6" s="57" t="s">
        <v>1</v>
      </c>
      <c r="B6" s="157">
        <f>IF(B$2=0,0,(B$7*1+B$8*2+B$9*3)/B$2)</f>
        <v>3</v>
      </c>
      <c r="C6" s="158"/>
      <c r="E6" s="65" t="s">
        <v>70</v>
      </c>
      <c r="F6" s="62" t="s">
        <v>24</v>
      </c>
      <c r="G6" s="49">
        <v>0</v>
      </c>
      <c r="H6" s="139">
        <f>IF(B$27=0,0,G6/B$27)</f>
        <v>0</v>
      </c>
      <c r="I6" s="100">
        <v>5</v>
      </c>
      <c r="N6" s="121" t="s">
        <v>142</v>
      </c>
      <c r="O6" s="128">
        <f t="shared" si="0"/>
        <v>-7000</v>
      </c>
      <c r="P6" s="125">
        <v>2</v>
      </c>
      <c r="Q6" s="109">
        <v>-14000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71</v>
      </c>
      <c r="F7" s="62" t="s">
        <v>25</v>
      </c>
      <c r="G7" s="49">
        <v>0</v>
      </c>
      <c r="H7" s="139">
        <f>IF(B$27=0,0,G7/B$27)</f>
        <v>0</v>
      </c>
      <c r="I7" s="100">
        <v>1</v>
      </c>
      <c r="N7" s="122" t="s">
        <v>143</v>
      </c>
      <c r="O7" s="129">
        <f t="shared" si="0"/>
        <v>-8000</v>
      </c>
      <c r="P7" s="126">
        <v>1</v>
      </c>
      <c r="Q7" s="110">
        <v>-8000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72</v>
      </c>
      <c r="F8" s="62" t="s">
        <v>12</v>
      </c>
      <c r="G8" s="49">
        <v>0</v>
      </c>
      <c r="H8" s="139">
        <f>IF(B$27=0,0,G8/B$27)</f>
        <v>0</v>
      </c>
      <c r="I8" s="100">
        <v>5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9">
        <f>IF(B$27=0,0,G9/B$27)</f>
        <v>0</v>
      </c>
      <c r="I9" s="100">
        <v>4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0</v>
      </c>
      <c r="H10" s="139">
        <f>IF(B$27=0,0,G10/B$27)</f>
        <v>0</v>
      </c>
      <c r="I10" s="100">
        <v>3</v>
      </c>
      <c r="N10" s="120" t="s">
        <v>174</v>
      </c>
      <c r="O10" s="130">
        <f>IF(P10=0,0,Q10/P10)</f>
        <v>-46.650000000000006</v>
      </c>
      <c r="P10" s="124">
        <v>2</v>
      </c>
      <c r="Q10" s="112">
        <v>-93.300000000000011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9">
        <f>IF(B$27=0,0,G11/B$27)</f>
        <v>0</v>
      </c>
      <c r="I11" s="100">
        <v>6</v>
      </c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9">
        <f>IF(B$27=0,0,G12/B$27)</f>
        <v>0</v>
      </c>
      <c r="I12" s="100">
        <v>1</v>
      </c>
      <c r="N12" s="122" t="s">
        <v>176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4</v>
      </c>
      <c r="C13" s="46">
        <f>IF(B$26=0,0,B13/B$26)</f>
        <v>0.25</v>
      </c>
      <c r="E13" s="65" t="s">
        <v>78</v>
      </c>
      <c r="F13" s="62" t="s">
        <v>31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</v>
      </c>
      <c r="C14" s="41">
        <f>IF(B$26=0,0,B14/B$26)</f>
        <v>6.25E-2</v>
      </c>
      <c r="E14" s="65" t="s">
        <v>79</v>
      </c>
      <c r="F14" s="62" t="s">
        <v>32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</v>
      </c>
      <c r="C15" s="39">
        <f>IF(B$13=0,0,B15/B$13)</f>
        <v>0.25</v>
      </c>
      <c r="E15" s="65" t="s">
        <v>80</v>
      </c>
      <c r="F15" s="62" t="s">
        <v>33</v>
      </c>
      <c r="G15" s="49">
        <v>0</v>
      </c>
      <c r="H15" s="139">
        <f>IF(B$27=0,0,G15/B$27)</f>
        <v>0</v>
      </c>
      <c r="I15" s="100">
        <v>1</v>
      </c>
      <c r="N15" s="120" t="s">
        <v>182</v>
      </c>
      <c r="O15" s="130">
        <f>IF(P15=0,0,Q15/P15)</f>
        <v>-42.800000000000004</v>
      </c>
      <c r="P15" s="124">
        <v>2</v>
      </c>
      <c r="Q15" s="112">
        <v>-85.600000000000009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9">
        <f>IF(B$27=0,0,G16/B$27)</f>
        <v>0</v>
      </c>
      <c r="I16" s="100">
        <v>1</v>
      </c>
      <c r="N16" s="121" t="s">
        <v>133</v>
      </c>
      <c r="O16" s="131">
        <f>IF(P16=0,0,Q16/P16)</f>
        <v>-91.300000000000011</v>
      </c>
      <c r="P16" s="125">
        <v>1</v>
      </c>
      <c r="Q16" s="113">
        <v>-91.300000000000011</v>
      </c>
    </row>
    <row r="17" spans="1:17" x14ac:dyDescent="0.4">
      <c r="A17" s="56" t="s">
        <v>10</v>
      </c>
      <c r="B17" s="48">
        <f>B19+B18</f>
        <v>2</v>
      </c>
      <c r="C17" s="39">
        <f>IF(B$3=0,0,B17/B$3)</f>
        <v>0.125</v>
      </c>
      <c r="E17" s="65" t="s">
        <v>82</v>
      </c>
      <c r="F17" s="62" t="s">
        <v>35</v>
      </c>
      <c r="G17" s="49">
        <v>0</v>
      </c>
      <c r="H17" s="139">
        <f>IF(B$27=0,0,G17/B$27)</f>
        <v>0</v>
      </c>
      <c r="I17" s="100">
        <v>1</v>
      </c>
      <c r="N17" s="121" t="s">
        <v>134</v>
      </c>
      <c r="O17" s="131">
        <f>IF(P17=0,0,Q17/P17)</f>
        <v>-103</v>
      </c>
      <c r="P17" s="125">
        <v>1</v>
      </c>
      <c r="Q17" s="113">
        <v>-103</v>
      </c>
    </row>
    <row r="18" spans="1:17" x14ac:dyDescent="0.4">
      <c r="A18" s="57" t="s">
        <v>12</v>
      </c>
      <c r="B18" s="49">
        <v>0</v>
      </c>
      <c r="C18" s="41">
        <f>IF(B$17=0,0,B18/B$17)</f>
        <v>0</v>
      </c>
      <c r="E18" s="65" t="s">
        <v>83</v>
      </c>
      <c r="F18" s="62" t="s">
        <v>36</v>
      </c>
      <c r="G18" s="49">
        <v>0</v>
      </c>
      <c r="H18" s="139">
        <f>IF(B$27=0,0,G18/B$27)</f>
        <v>0</v>
      </c>
      <c r="I18" s="100">
        <v>1</v>
      </c>
    </row>
    <row r="19" spans="1:17" x14ac:dyDescent="0.4">
      <c r="A19" s="57" t="s">
        <v>11</v>
      </c>
      <c r="B19" s="49">
        <v>2</v>
      </c>
      <c r="C19" s="41">
        <f>IF(B$17=0,0,B19/B$17)</f>
        <v>1</v>
      </c>
      <c r="E19" s="65" t="s">
        <v>84</v>
      </c>
      <c r="F19" s="62" t="s">
        <v>37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7</v>
      </c>
      <c r="C20" s="41">
        <f>IF(B$3=0,0,B20/B$3)</f>
        <v>0.4375</v>
      </c>
      <c r="E20" s="65" t="s">
        <v>85</v>
      </c>
      <c r="F20" s="62" t="s">
        <v>38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2950</v>
      </c>
      <c r="C21" s="43">
        <v>5900</v>
      </c>
      <c r="E21" s="65" t="s">
        <v>86</v>
      </c>
      <c r="F21" s="62" t="s">
        <v>39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-5014.2857142857147</v>
      </c>
      <c r="C22" s="47">
        <v>-35100</v>
      </c>
      <c r="E22" s="65" t="s">
        <v>87</v>
      </c>
      <c r="F22" s="62" t="s">
        <v>40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5">
        <v>1</v>
      </c>
      <c r="C23" s="156"/>
      <c r="E23" s="65" t="s">
        <v>88</v>
      </c>
      <c r="F23" s="62" t="s">
        <v>41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3">
        <v>12900</v>
      </c>
      <c r="C24" s="154"/>
      <c r="E24" s="65" t="s">
        <v>89</v>
      </c>
      <c r="F24" s="62" t="s">
        <v>42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1</v>
      </c>
      <c r="C25" s="44">
        <f>IF(B$3=0,0,B25/B$3)</f>
        <v>6.25E-2</v>
      </c>
      <c r="E25" s="65" t="s">
        <v>90</v>
      </c>
      <c r="F25" s="62" t="s">
        <v>43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16</v>
      </c>
      <c r="C26" s="146"/>
      <c r="E26" s="65" t="s">
        <v>91</v>
      </c>
      <c r="F26" s="62" t="s">
        <v>44</v>
      </c>
      <c r="G26" s="49">
        <v>0</v>
      </c>
      <c r="H26" s="139">
        <f>IF(B$27=0,0,G26/B$27)</f>
        <v>0</v>
      </c>
      <c r="I26" s="100">
        <v>4</v>
      </c>
    </row>
    <row r="27" spans="1:17" x14ac:dyDescent="0.4">
      <c r="A27" s="59" t="s">
        <v>127</v>
      </c>
      <c r="B27" s="159">
        <v>2</v>
      </c>
      <c r="C27" s="160"/>
      <c r="E27" s="65" t="s">
        <v>92</v>
      </c>
      <c r="F27" s="62" t="s">
        <v>45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93</v>
      </c>
      <c r="F28" s="62" t="s">
        <v>46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94</v>
      </c>
      <c r="F29" s="62" t="s">
        <v>47</v>
      </c>
      <c r="G29" s="49">
        <v>0</v>
      </c>
      <c r="H29" s="139">
        <f>IF(B$27=0,0,G29/B$27)</f>
        <v>0</v>
      </c>
      <c r="I29" s="100">
        <v>6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3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71235-DE34-4D00-8361-953D1DA6191F}">
  <sheetPr codeName="Sheet15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182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2</v>
      </c>
      <c r="C2" s="146"/>
      <c r="E2" s="64" t="s">
        <v>76</v>
      </c>
      <c r="F2" s="61" t="s">
        <v>29</v>
      </c>
      <c r="G2" s="48">
        <v>2</v>
      </c>
      <c r="H2" s="138">
        <f>IF(B$27=0,0,G2/B$27)</f>
        <v>1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7000</v>
      </c>
      <c r="P2" s="124">
        <v>2</v>
      </c>
      <c r="Q2" s="108">
        <v>14000</v>
      </c>
    </row>
    <row r="3" spans="1:17" x14ac:dyDescent="0.4">
      <c r="A3" s="57" t="s">
        <v>8</v>
      </c>
      <c r="B3" s="147">
        <v>16</v>
      </c>
      <c r="C3" s="148"/>
      <c r="E3" s="65" t="s">
        <v>94</v>
      </c>
      <c r="F3" s="62" t="s">
        <v>47</v>
      </c>
      <c r="G3" s="49">
        <v>1</v>
      </c>
      <c r="H3" s="139">
        <f>IF(B$27=0,0,G3/B$27)</f>
        <v>0.5</v>
      </c>
      <c r="I3" s="100">
        <v>1</v>
      </c>
      <c r="K3" s="40">
        <v>1</v>
      </c>
      <c r="L3" s="105">
        <v>11.1</v>
      </c>
      <c r="N3" s="121" t="s">
        <v>139</v>
      </c>
      <c r="O3" s="128">
        <f t="shared" si="0"/>
        <v>-1950</v>
      </c>
      <c r="P3" s="125">
        <v>2</v>
      </c>
      <c r="Q3" s="109">
        <v>-3900</v>
      </c>
    </row>
    <row r="4" spans="1:17" x14ac:dyDescent="0.4">
      <c r="A4" s="57" t="s">
        <v>6</v>
      </c>
      <c r="B4" s="149">
        <v>-7.7000000000000011</v>
      </c>
      <c r="C4" s="150"/>
      <c r="E4" s="65" t="s">
        <v>67</v>
      </c>
      <c r="F4" s="62" t="s">
        <v>21</v>
      </c>
      <c r="G4" s="49">
        <v>0</v>
      </c>
      <c r="H4" s="139">
        <f>IF(B$27=0,0,G4/B$27)</f>
        <v>0</v>
      </c>
      <c r="I4" s="100">
        <v>6</v>
      </c>
      <c r="K4" s="40">
        <v>2</v>
      </c>
      <c r="L4" s="105">
        <v>-7.7000000000000011</v>
      </c>
      <c r="N4" s="121" t="s">
        <v>140</v>
      </c>
      <c r="O4" s="128">
        <f t="shared" si="0"/>
        <v>-3750</v>
      </c>
      <c r="P4" s="125">
        <v>2</v>
      </c>
      <c r="Q4" s="109">
        <v>-7500</v>
      </c>
    </row>
    <row r="5" spans="1:17" x14ac:dyDescent="0.4">
      <c r="A5" s="57" t="s">
        <v>7</v>
      </c>
      <c r="B5" s="151">
        <f>IF(B$2=0,0,B$4/B$2)</f>
        <v>-3.8500000000000005</v>
      </c>
      <c r="C5" s="152"/>
      <c r="E5" s="65" t="s">
        <v>68</v>
      </c>
      <c r="F5" s="62" t="s">
        <v>22</v>
      </c>
      <c r="G5" s="49">
        <v>0</v>
      </c>
      <c r="H5" s="139">
        <f>IF(B$27=0,0,G5/B$27)</f>
        <v>0</v>
      </c>
      <c r="I5" s="100">
        <v>4</v>
      </c>
      <c r="N5" s="121" t="s">
        <v>141</v>
      </c>
      <c r="O5" s="128">
        <f t="shared" si="0"/>
        <v>0</v>
      </c>
      <c r="P5" s="125">
        <v>2</v>
      </c>
      <c r="Q5" s="109">
        <v>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69</v>
      </c>
      <c r="F6" s="62" t="s">
        <v>23</v>
      </c>
      <c r="G6" s="49">
        <v>0</v>
      </c>
      <c r="H6" s="139">
        <f>IF(B$27=0,0,G6/B$27)</f>
        <v>0</v>
      </c>
      <c r="I6" s="100">
        <v>6</v>
      </c>
      <c r="N6" s="121" t="s">
        <v>142</v>
      </c>
      <c r="O6" s="128">
        <f t="shared" si="0"/>
        <v>-6650</v>
      </c>
      <c r="P6" s="125">
        <v>2</v>
      </c>
      <c r="Q6" s="109">
        <v>-13300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70</v>
      </c>
      <c r="F7" s="62" t="s">
        <v>24</v>
      </c>
      <c r="G7" s="49">
        <v>0</v>
      </c>
      <c r="H7" s="139">
        <f>IF(B$27=0,0,G7/B$27)</f>
        <v>0</v>
      </c>
      <c r="I7" s="100">
        <v>5</v>
      </c>
      <c r="N7" s="122" t="s">
        <v>143</v>
      </c>
      <c r="O7" s="129">
        <f t="shared" si="0"/>
        <v>0</v>
      </c>
      <c r="P7" s="126">
        <v>1</v>
      </c>
      <c r="Q7" s="110">
        <v>0</v>
      </c>
    </row>
    <row r="8" spans="1:17" x14ac:dyDescent="0.4">
      <c r="A8" s="57" t="s">
        <v>3</v>
      </c>
      <c r="B8" s="49">
        <v>2</v>
      </c>
      <c r="C8" s="41">
        <f>IF(B$2=0,0,B8/B$2)</f>
        <v>1</v>
      </c>
      <c r="E8" s="65" t="s">
        <v>71</v>
      </c>
      <c r="F8" s="62" t="s">
        <v>25</v>
      </c>
      <c r="G8" s="49">
        <v>0</v>
      </c>
      <c r="H8" s="139">
        <f>IF(B$27=0,0,G8/B$27)</f>
        <v>0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72</v>
      </c>
      <c r="F9" s="62" t="s">
        <v>12</v>
      </c>
      <c r="G9" s="49">
        <v>0</v>
      </c>
      <c r="H9" s="139">
        <f>IF(B$27=0,0,G9/B$27)</f>
        <v>0</v>
      </c>
      <c r="I9" s="100">
        <v>5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73</v>
      </c>
      <c r="F10" s="62" t="s">
        <v>26</v>
      </c>
      <c r="G10" s="49">
        <v>0</v>
      </c>
      <c r="H10" s="139">
        <f>IF(B$27=0,0,G10/B$27)</f>
        <v>0</v>
      </c>
      <c r="I10" s="100">
        <v>6</v>
      </c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74</v>
      </c>
      <c r="F11" s="62" t="s">
        <v>27</v>
      </c>
      <c r="G11" s="49">
        <v>0</v>
      </c>
      <c r="H11" s="139">
        <f>IF(B$27=0,0,G11/B$27)</f>
        <v>0</v>
      </c>
      <c r="I11" s="100">
        <v>4</v>
      </c>
      <c r="N11" s="121" t="s">
        <v>175</v>
      </c>
      <c r="O11" s="131">
        <f>IF(P11=0,0,Q11/P11)</f>
        <v>11.1</v>
      </c>
      <c r="P11" s="125">
        <v>1</v>
      </c>
      <c r="Q11" s="113">
        <v>11.1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75</v>
      </c>
      <c r="F12" s="62" t="s">
        <v>28</v>
      </c>
      <c r="G12" s="49">
        <v>0</v>
      </c>
      <c r="H12" s="139">
        <f>IF(B$27=0,0,G12/B$27)</f>
        <v>0</v>
      </c>
      <c r="I12" s="100">
        <v>3</v>
      </c>
      <c r="N12" s="122" t="s">
        <v>176</v>
      </c>
      <c r="O12" s="132">
        <f>IF(P12=0,0,Q12/P12)</f>
        <v>-18.8</v>
      </c>
      <c r="P12" s="126">
        <v>1</v>
      </c>
      <c r="Q12" s="114">
        <v>-18.8</v>
      </c>
    </row>
    <row r="13" spans="1:17" x14ac:dyDescent="0.4">
      <c r="A13" s="60" t="s">
        <v>128</v>
      </c>
      <c r="B13" s="52">
        <v>2</v>
      </c>
      <c r="C13" s="46">
        <f>IF(B$26=0,0,B13/B$26)</f>
        <v>0.125</v>
      </c>
      <c r="E13" s="65" t="s">
        <v>77</v>
      </c>
      <c r="F13" s="62" t="s">
        <v>30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0.375</v>
      </c>
      <c r="E14" s="65" t="s">
        <v>78</v>
      </c>
      <c r="F14" s="62" t="s">
        <v>31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79</v>
      </c>
      <c r="F15" s="62" t="s">
        <v>32</v>
      </c>
      <c r="G15" s="49">
        <v>0</v>
      </c>
      <c r="H15" s="139">
        <f>IF(B$27=0,0,G15/B$27)</f>
        <v>0</v>
      </c>
      <c r="I15" s="100">
        <v>1</v>
      </c>
      <c r="N15" s="120" t="s">
        <v>181</v>
      </c>
      <c r="O15" s="130">
        <f>IF(P15=0,0,Q15/P15)</f>
        <v>42.8</v>
      </c>
      <c r="P15" s="124">
        <v>2</v>
      </c>
      <c r="Q15" s="112">
        <v>85.6</v>
      </c>
    </row>
    <row r="16" spans="1:17" x14ac:dyDescent="0.4">
      <c r="A16" s="56" t="s">
        <v>131</v>
      </c>
      <c r="B16" s="48">
        <v>1</v>
      </c>
      <c r="C16" s="39">
        <f>IF(B$14=0,0,B16/B$14)</f>
        <v>0.16666666666666666</v>
      </c>
      <c r="E16" s="65" t="s">
        <v>80</v>
      </c>
      <c r="F16" s="62" t="s">
        <v>33</v>
      </c>
      <c r="G16" s="49">
        <v>0</v>
      </c>
      <c r="H16" s="139">
        <f>IF(B$27=0,0,G16/B$27)</f>
        <v>0</v>
      </c>
      <c r="I16" s="100">
        <v>1</v>
      </c>
      <c r="N16" s="121" t="s">
        <v>133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2</v>
      </c>
      <c r="C17" s="39">
        <f>IF(B$3=0,0,B17/B$3)</f>
        <v>0.125</v>
      </c>
      <c r="E17" s="65" t="s">
        <v>81</v>
      </c>
      <c r="F17" s="62" t="s">
        <v>34</v>
      </c>
      <c r="G17" s="49">
        <v>0</v>
      </c>
      <c r="H17" s="139">
        <f>IF(B$27=0,0,G17/B$27)</f>
        <v>0</v>
      </c>
      <c r="I17" s="100">
        <v>1</v>
      </c>
      <c r="N17" s="121" t="s">
        <v>134</v>
      </c>
      <c r="O17" s="131">
        <f>IF(P17=0,0,Q17/P17)</f>
        <v>-79.7</v>
      </c>
      <c r="P17" s="125">
        <v>1</v>
      </c>
      <c r="Q17" s="113">
        <v>-79.7</v>
      </c>
    </row>
    <row r="18" spans="1:17" x14ac:dyDescent="0.4">
      <c r="A18" s="57" t="s">
        <v>12</v>
      </c>
      <c r="B18" s="49">
        <v>1</v>
      </c>
      <c r="C18" s="41">
        <f>IF(B$17=0,0,B18/B$17)</f>
        <v>0.5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1</v>
      </c>
    </row>
    <row r="19" spans="1:17" x14ac:dyDescent="0.4">
      <c r="A19" s="57" t="s">
        <v>11</v>
      </c>
      <c r="B19" s="49">
        <v>1</v>
      </c>
      <c r="C19" s="41">
        <f>IF(B$17=0,0,B19/B$17)</f>
        <v>0.5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2</v>
      </c>
      <c r="C20" s="41">
        <f>IF(B$3=0,0,B20/B$3)</f>
        <v>0.125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5050</v>
      </c>
      <c r="C21" s="43">
        <v>10100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-6750</v>
      </c>
      <c r="C22" s="47">
        <v>-13500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5">
        <v>1</v>
      </c>
      <c r="C23" s="156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3">
        <v>46100</v>
      </c>
      <c r="C24" s="154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16</v>
      </c>
      <c r="C26" s="146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9">
        <v>2</v>
      </c>
      <c r="C27" s="160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4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3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235FF-4CF8-4160-A6C1-69A314EBC0EB}">
  <sheetPr codeName="Sheet16"/>
  <dimension ref="A1:Q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182</v>
      </c>
      <c r="B1" s="72" t="s">
        <v>182</v>
      </c>
      <c r="C1" s="72" t="s">
        <v>182</v>
      </c>
      <c r="D1" s="73" t="s">
        <v>182</v>
      </c>
      <c r="E1" s="72" t="s">
        <v>182</v>
      </c>
      <c r="F1" s="72" t="s">
        <v>182</v>
      </c>
      <c r="G1" s="72" t="s">
        <v>182</v>
      </c>
      <c r="H1" s="72" t="s">
        <v>182</v>
      </c>
      <c r="I1" s="72" t="s">
        <v>182</v>
      </c>
      <c r="J1" s="72" t="s">
        <v>182</v>
      </c>
      <c r="K1" s="72" t="s">
        <v>182</v>
      </c>
      <c r="L1" s="72" t="s">
        <v>182</v>
      </c>
      <c r="M1" s="72" t="s">
        <v>182</v>
      </c>
      <c r="N1" s="72" t="s">
        <v>182</v>
      </c>
      <c r="O1" s="72" t="s">
        <v>182</v>
      </c>
      <c r="P1" s="72" t="s">
        <v>182</v>
      </c>
      <c r="Q1" s="72" t="s">
        <v>182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11.1</v>
      </c>
      <c r="C4" s="68">
        <v>11.1</v>
      </c>
      <c r="D4" s="73">
        <v>2</v>
      </c>
      <c r="E4" s="69">
        <v>0</v>
      </c>
      <c r="F4" s="69">
        <v>0.14285714285714285</v>
      </c>
      <c r="G4" s="69">
        <v>0.14285714285714285</v>
      </c>
      <c r="H4" s="70">
        <v>8000</v>
      </c>
      <c r="I4" s="70">
        <v>-3900</v>
      </c>
      <c r="J4" s="69">
        <v>0</v>
      </c>
      <c r="K4" s="69">
        <v>0</v>
      </c>
      <c r="L4" s="69">
        <v>0</v>
      </c>
      <c r="M4" s="69">
        <v>0</v>
      </c>
      <c r="N4" s="69">
        <v>0.42857142857142855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-7.7000000000000011</v>
      </c>
      <c r="C5" s="68">
        <v>-3.8500000000000005</v>
      </c>
      <c r="D5" s="73">
        <v>2</v>
      </c>
      <c r="E5" s="69">
        <v>0</v>
      </c>
      <c r="F5" s="69">
        <v>0.125</v>
      </c>
      <c r="G5" s="69">
        <v>0.125</v>
      </c>
      <c r="H5" s="70">
        <v>5050</v>
      </c>
      <c r="I5" s="70">
        <v>-6750</v>
      </c>
      <c r="J5" s="69">
        <v>0</v>
      </c>
      <c r="K5" s="69">
        <v>0</v>
      </c>
      <c r="L5" s="69">
        <v>0</v>
      </c>
      <c r="M5" s="69">
        <v>0.125</v>
      </c>
      <c r="N5" s="69">
        <v>0.375</v>
      </c>
      <c r="O5" s="69">
        <v>0</v>
      </c>
      <c r="P5" s="69">
        <v>0.16666666666666666</v>
      </c>
      <c r="Q5" s="69">
        <v>0.5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DBFC-85E9-4E4A-A090-1FB7FBED5EE7}">
  <sheetPr codeName="Sheet14"/>
  <dimension ref="A1:Q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181</v>
      </c>
      <c r="B1" s="72" t="s">
        <v>181</v>
      </c>
      <c r="C1" s="72" t="s">
        <v>181</v>
      </c>
      <c r="D1" s="73" t="s">
        <v>181</v>
      </c>
      <c r="E1" s="72" t="s">
        <v>181</v>
      </c>
      <c r="F1" s="72" t="s">
        <v>181</v>
      </c>
      <c r="G1" s="72" t="s">
        <v>181</v>
      </c>
      <c r="H1" s="72" t="s">
        <v>181</v>
      </c>
      <c r="I1" s="72" t="s">
        <v>181</v>
      </c>
      <c r="J1" s="72" t="s">
        <v>181</v>
      </c>
      <c r="K1" s="72" t="s">
        <v>181</v>
      </c>
      <c r="L1" s="72" t="s">
        <v>181</v>
      </c>
      <c r="M1" s="72" t="s">
        <v>181</v>
      </c>
      <c r="N1" s="72" t="s">
        <v>181</v>
      </c>
      <c r="O1" s="72" t="s">
        <v>181</v>
      </c>
      <c r="P1" s="72" t="s">
        <v>181</v>
      </c>
      <c r="Q1" s="72" t="s">
        <v>181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-51.2</v>
      </c>
      <c r="C4" s="68">
        <v>-51.2</v>
      </c>
      <c r="D4" s="73">
        <v>3</v>
      </c>
      <c r="E4" s="69">
        <v>0</v>
      </c>
      <c r="F4" s="69">
        <v>0.14285714285714285</v>
      </c>
      <c r="G4" s="69">
        <v>0.5714285714285714</v>
      </c>
      <c r="H4" s="70">
        <v>2000</v>
      </c>
      <c r="I4" s="70">
        <v>-5800</v>
      </c>
      <c r="J4" s="69">
        <v>0</v>
      </c>
      <c r="K4" s="69">
        <v>0</v>
      </c>
      <c r="L4" s="69">
        <v>0</v>
      </c>
      <c r="M4" s="69">
        <v>0.2857142857142857</v>
      </c>
      <c r="N4" s="69">
        <v>0.14285714285714285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-93.300000000000011</v>
      </c>
      <c r="C5" s="68">
        <v>-46.650000000000006</v>
      </c>
      <c r="D5" s="73">
        <v>3</v>
      </c>
      <c r="E5" s="69">
        <v>0</v>
      </c>
      <c r="F5" s="69">
        <v>0.125</v>
      </c>
      <c r="G5" s="69">
        <v>0.4375</v>
      </c>
      <c r="H5" s="70">
        <v>2950</v>
      </c>
      <c r="I5" s="70">
        <v>-5014.2857142857147</v>
      </c>
      <c r="J5" s="69">
        <v>0</v>
      </c>
      <c r="K5" s="69">
        <v>0</v>
      </c>
      <c r="L5" s="69">
        <v>0</v>
      </c>
      <c r="M5" s="69">
        <v>0.25</v>
      </c>
      <c r="N5" s="69">
        <v>6.25E-2</v>
      </c>
      <c r="O5" s="69">
        <v>0.25</v>
      </c>
      <c r="P5" s="69">
        <v>0</v>
      </c>
      <c r="Q5" s="69">
        <v>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89068-37BB-4FE1-BA7B-494F76AF7D92}">
  <sheetPr codeName="Sheet12"/>
  <dimension ref="A1:Q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-40.4</v>
      </c>
      <c r="C4" s="68">
        <v>-40.4</v>
      </c>
      <c r="D4" s="73">
        <v>3</v>
      </c>
      <c r="E4" s="69">
        <v>0</v>
      </c>
      <c r="F4" s="69">
        <v>0.16666666666666666</v>
      </c>
      <c r="G4" s="69">
        <v>0.33333333333333331</v>
      </c>
      <c r="H4" s="70">
        <v>2800</v>
      </c>
      <c r="I4" s="70">
        <v>-7850</v>
      </c>
      <c r="J4" s="69">
        <v>0</v>
      </c>
      <c r="K4" s="69">
        <v>0</v>
      </c>
      <c r="L4" s="69">
        <v>0</v>
      </c>
      <c r="M4" s="69">
        <v>0.16666666666666666</v>
      </c>
      <c r="N4" s="69">
        <v>0.16666666666666666</v>
      </c>
      <c r="O4" s="69">
        <v>1</v>
      </c>
      <c r="P4" s="69">
        <v>0</v>
      </c>
      <c r="Q4" s="69">
        <v>1</v>
      </c>
    </row>
    <row r="5" spans="1:17" x14ac:dyDescent="0.4">
      <c r="A5" s="71">
        <v>2</v>
      </c>
      <c r="B5" s="68">
        <v>-3.3999999999999986</v>
      </c>
      <c r="C5" s="68">
        <v>-1.6999999999999993</v>
      </c>
      <c r="D5" s="73">
        <v>2</v>
      </c>
      <c r="E5" s="69">
        <v>0.5</v>
      </c>
      <c r="F5" s="69">
        <v>0.375</v>
      </c>
      <c r="G5" s="69">
        <v>0.25</v>
      </c>
      <c r="H5" s="70">
        <v>7983.333333333333</v>
      </c>
      <c r="I5" s="70">
        <v>-9825</v>
      </c>
      <c r="J5" s="69">
        <v>0</v>
      </c>
      <c r="K5" s="69">
        <v>0</v>
      </c>
      <c r="L5" s="69">
        <v>0.5</v>
      </c>
      <c r="M5" s="69">
        <v>0.25</v>
      </c>
      <c r="N5" s="69">
        <v>0.25</v>
      </c>
      <c r="O5" s="69">
        <v>1</v>
      </c>
      <c r="P5" s="69">
        <v>0.25</v>
      </c>
      <c r="Q5" s="69">
        <v>0.33333333333333331</v>
      </c>
    </row>
    <row r="6" spans="1:17" x14ac:dyDescent="0.4">
      <c r="A6" s="71">
        <v>3</v>
      </c>
      <c r="B6" s="68">
        <v>-23.099999999999998</v>
      </c>
      <c r="C6" s="68">
        <v>-7.6999999999999993</v>
      </c>
      <c r="D6" s="73">
        <v>2</v>
      </c>
      <c r="E6" s="69">
        <v>0.33333333333333331</v>
      </c>
      <c r="F6" s="69">
        <v>0.30769230769230771</v>
      </c>
      <c r="G6" s="69">
        <v>0.26923076923076922</v>
      </c>
      <c r="H6" s="70">
        <v>6837.5</v>
      </c>
      <c r="I6" s="70">
        <v>-8471.4285714285706</v>
      </c>
      <c r="J6" s="69">
        <v>0</v>
      </c>
      <c r="K6" s="69">
        <v>0</v>
      </c>
      <c r="L6" s="69">
        <v>0.33333333333333331</v>
      </c>
      <c r="M6" s="69">
        <v>0.23076923076923078</v>
      </c>
      <c r="N6" s="69">
        <v>0.30769230769230771</v>
      </c>
      <c r="O6" s="69">
        <v>0.66666666666666663</v>
      </c>
      <c r="P6" s="69">
        <v>0.375</v>
      </c>
      <c r="Q6" s="69">
        <v>0.25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D3CA5-6788-4C9F-91A5-FE4E39477E8F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45.5</v>
      </c>
      <c r="C4" s="68">
        <v>45.5</v>
      </c>
      <c r="D4" s="73">
        <v>1</v>
      </c>
      <c r="E4" s="69">
        <v>1</v>
      </c>
      <c r="F4" s="69">
        <v>0.5</v>
      </c>
      <c r="G4" s="69">
        <v>0.16666666666666666</v>
      </c>
      <c r="H4" s="70">
        <v>13233.333333333334</v>
      </c>
      <c r="I4" s="70">
        <v>-8000</v>
      </c>
      <c r="J4" s="69">
        <v>0</v>
      </c>
      <c r="K4" s="69">
        <v>0</v>
      </c>
      <c r="L4" s="69">
        <v>1</v>
      </c>
      <c r="M4" s="69">
        <v>0.5</v>
      </c>
      <c r="N4" s="69">
        <v>0.16666666666666666</v>
      </c>
      <c r="O4" s="69">
        <v>1</v>
      </c>
      <c r="P4" s="69">
        <v>0</v>
      </c>
      <c r="Q4" s="69">
        <v>0</v>
      </c>
    </row>
    <row r="5" spans="1:17" x14ac:dyDescent="0.4">
      <c r="A5" s="71">
        <v>2</v>
      </c>
      <c r="B5" s="68">
        <v>6.2999999999999972</v>
      </c>
      <c r="C5" s="68">
        <v>3.1499999999999986</v>
      </c>
      <c r="D5" s="73">
        <v>2</v>
      </c>
      <c r="E5" s="69">
        <v>0.5</v>
      </c>
      <c r="F5" s="69">
        <v>0.3125</v>
      </c>
      <c r="G5" s="69">
        <v>0.25</v>
      </c>
      <c r="H5" s="70">
        <v>11860</v>
      </c>
      <c r="I5" s="70">
        <v>-6950</v>
      </c>
      <c r="J5" s="69">
        <v>0</v>
      </c>
      <c r="K5" s="69">
        <v>0</v>
      </c>
      <c r="L5" s="69">
        <v>0.5</v>
      </c>
      <c r="M5" s="69">
        <v>0.375</v>
      </c>
      <c r="N5" s="69">
        <v>0.125</v>
      </c>
      <c r="O5" s="69">
        <v>0.66666666666666663</v>
      </c>
      <c r="P5" s="69">
        <v>0.5</v>
      </c>
      <c r="Q5" s="69">
        <v>0.2</v>
      </c>
    </row>
    <row r="6" spans="1:17" x14ac:dyDescent="0.4">
      <c r="A6" s="71">
        <v>3</v>
      </c>
      <c r="B6" s="68">
        <v>-47.300000000000004</v>
      </c>
      <c r="C6" s="68">
        <v>-15.766666666666667</v>
      </c>
      <c r="D6" s="73">
        <v>2.3333333333333335</v>
      </c>
      <c r="E6" s="69">
        <v>0.33333333333333331</v>
      </c>
      <c r="F6" s="69">
        <v>0.23076923076923078</v>
      </c>
      <c r="G6" s="69">
        <v>0.26923076923076922</v>
      </c>
      <c r="H6" s="70">
        <v>11483.333333333334</v>
      </c>
      <c r="I6" s="70">
        <v>-7785.7142857142853</v>
      </c>
      <c r="J6" s="69">
        <v>0</v>
      </c>
      <c r="K6" s="69">
        <v>0</v>
      </c>
      <c r="L6" s="69">
        <v>0.33333333333333331</v>
      </c>
      <c r="M6" s="69">
        <v>0.26923076923076922</v>
      </c>
      <c r="N6" s="69">
        <v>0.23076923076923078</v>
      </c>
      <c r="O6" s="69">
        <v>0.7142857142857143</v>
      </c>
      <c r="P6" s="69">
        <v>0.16666666666666666</v>
      </c>
      <c r="Q6" s="69">
        <v>0.16666666666666666</v>
      </c>
    </row>
    <row r="7" spans="1:17" x14ac:dyDescent="0.4">
      <c r="A7" s="71">
        <v>4</v>
      </c>
      <c r="B7" s="68">
        <v>13.599999999999994</v>
      </c>
      <c r="C7" s="68">
        <v>3.3999999999999986</v>
      </c>
      <c r="D7" s="73">
        <v>2</v>
      </c>
      <c r="E7" s="69">
        <v>0.5</v>
      </c>
      <c r="F7" s="69">
        <v>0.34285714285714286</v>
      </c>
      <c r="G7" s="69">
        <v>0.22857142857142856</v>
      </c>
      <c r="H7" s="70">
        <v>9500</v>
      </c>
      <c r="I7" s="70">
        <v>-7300</v>
      </c>
      <c r="J7" s="69">
        <v>0</v>
      </c>
      <c r="K7" s="69">
        <v>0</v>
      </c>
      <c r="L7" s="69">
        <v>0.25</v>
      </c>
      <c r="M7" s="69">
        <v>0.2857142857142857</v>
      </c>
      <c r="N7" s="69">
        <v>0.25714285714285712</v>
      </c>
      <c r="O7" s="69">
        <v>0.8</v>
      </c>
      <c r="P7" s="69">
        <v>0.33333333333333331</v>
      </c>
      <c r="Q7" s="69">
        <v>0.25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FD5A-151B-47CF-B527-991A48A968BB}">
  <sheetPr codeName="Sheet8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-5.0999999999999996</v>
      </c>
      <c r="C4" s="68">
        <v>-5.0999999999999996</v>
      </c>
      <c r="D4" s="73">
        <v>2</v>
      </c>
      <c r="E4" s="69">
        <v>0</v>
      </c>
      <c r="F4" s="69">
        <v>0.33333333333333331</v>
      </c>
      <c r="G4" s="69">
        <v>0.16666666666666666</v>
      </c>
      <c r="H4" s="70">
        <v>10000</v>
      </c>
      <c r="I4" s="70">
        <v>-24000</v>
      </c>
      <c r="J4" s="69">
        <v>0</v>
      </c>
      <c r="K4" s="69">
        <v>0</v>
      </c>
      <c r="L4" s="69">
        <v>0</v>
      </c>
      <c r="M4" s="69">
        <v>0.33333333333333331</v>
      </c>
      <c r="N4" s="69">
        <v>0.33333333333333331</v>
      </c>
      <c r="O4" s="69">
        <v>1</v>
      </c>
      <c r="P4" s="69">
        <v>0</v>
      </c>
      <c r="Q4" s="69">
        <v>0.5</v>
      </c>
    </row>
    <row r="5" spans="1:17" x14ac:dyDescent="0.4">
      <c r="A5" s="71">
        <v>2</v>
      </c>
      <c r="B5" s="68">
        <v>-2.8999999999999995</v>
      </c>
      <c r="C5" s="68">
        <v>-1.4499999999999997</v>
      </c>
      <c r="D5" s="73">
        <v>2</v>
      </c>
      <c r="E5" s="69">
        <v>0</v>
      </c>
      <c r="F5" s="69">
        <v>0.3125</v>
      </c>
      <c r="G5" s="69">
        <v>0.1875</v>
      </c>
      <c r="H5" s="70">
        <v>10780</v>
      </c>
      <c r="I5" s="70">
        <v>-13733.333333333334</v>
      </c>
      <c r="J5" s="69">
        <v>0</v>
      </c>
      <c r="K5" s="69">
        <v>0</v>
      </c>
      <c r="L5" s="69">
        <v>0</v>
      </c>
      <c r="M5" s="69">
        <v>0.375</v>
      </c>
      <c r="N5" s="69">
        <v>0.375</v>
      </c>
      <c r="O5" s="69">
        <v>0.5</v>
      </c>
      <c r="P5" s="69">
        <v>0.33333333333333331</v>
      </c>
      <c r="Q5" s="69">
        <v>0.4</v>
      </c>
    </row>
    <row r="6" spans="1:17" x14ac:dyDescent="0.4">
      <c r="A6" s="71">
        <v>3</v>
      </c>
      <c r="B6" s="68">
        <v>70.399999999999991</v>
      </c>
      <c r="C6" s="68">
        <v>23.466666666666665</v>
      </c>
      <c r="D6" s="73">
        <v>1.6666666666666667</v>
      </c>
      <c r="E6" s="69">
        <v>0.33333333333333331</v>
      </c>
      <c r="F6" s="69">
        <v>0.38461538461538464</v>
      </c>
      <c r="G6" s="69">
        <v>0.15384615384615385</v>
      </c>
      <c r="H6" s="70">
        <v>9910</v>
      </c>
      <c r="I6" s="70">
        <v>-11025</v>
      </c>
      <c r="J6" s="69">
        <v>0</v>
      </c>
      <c r="K6" s="69">
        <v>0</v>
      </c>
      <c r="L6" s="69">
        <v>0</v>
      </c>
      <c r="M6" s="69">
        <v>0.46153846153846156</v>
      </c>
      <c r="N6" s="69">
        <v>0.26923076923076922</v>
      </c>
      <c r="O6" s="69">
        <v>0.41666666666666669</v>
      </c>
      <c r="P6" s="69">
        <v>0.42857142857142855</v>
      </c>
      <c r="Q6" s="69">
        <v>0.3</v>
      </c>
    </row>
    <row r="7" spans="1:17" x14ac:dyDescent="0.4">
      <c r="A7" s="71">
        <v>4</v>
      </c>
      <c r="B7" s="68">
        <v>110.5</v>
      </c>
      <c r="C7" s="68">
        <v>27.625</v>
      </c>
      <c r="D7" s="73">
        <v>1.5</v>
      </c>
      <c r="E7" s="69">
        <v>0.5</v>
      </c>
      <c r="F7" s="69">
        <v>0.42424242424242425</v>
      </c>
      <c r="G7" s="69">
        <v>0.15151515151515152</v>
      </c>
      <c r="H7" s="70">
        <v>8442.8571428571431</v>
      </c>
      <c r="I7" s="70">
        <v>-9220</v>
      </c>
      <c r="J7" s="69">
        <v>0</v>
      </c>
      <c r="K7" s="69">
        <v>0</v>
      </c>
      <c r="L7" s="69">
        <v>0</v>
      </c>
      <c r="M7" s="69">
        <v>0.45454545454545453</v>
      </c>
      <c r="N7" s="69">
        <v>0.24242424242424243</v>
      </c>
      <c r="O7" s="69">
        <v>0.46666666666666667</v>
      </c>
      <c r="P7" s="69">
        <v>0.5</v>
      </c>
      <c r="Q7" s="69">
        <v>0.21428571428571427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F1836-E3B7-4EC0-8E8B-E685CAC1843C}">
  <sheetPr codeName="Sheet6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151</v>
      </c>
      <c r="B1" s="72" t="s">
        <v>151</v>
      </c>
      <c r="C1" s="72" t="s">
        <v>151</v>
      </c>
      <c r="D1" s="73" t="s">
        <v>151</v>
      </c>
      <c r="E1" s="72" t="s">
        <v>151</v>
      </c>
      <c r="F1" s="72" t="s">
        <v>151</v>
      </c>
      <c r="G1" s="72" t="s">
        <v>151</v>
      </c>
      <c r="H1" s="72" t="s">
        <v>151</v>
      </c>
      <c r="I1" s="72" t="s">
        <v>151</v>
      </c>
      <c r="J1" s="72" t="s">
        <v>151</v>
      </c>
      <c r="K1" s="72" t="s">
        <v>151</v>
      </c>
      <c r="L1" s="72" t="s">
        <v>151</v>
      </c>
      <c r="M1" s="72" t="s">
        <v>151</v>
      </c>
      <c r="N1" s="72" t="s">
        <v>151</v>
      </c>
      <c r="O1" s="72" t="s">
        <v>151</v>
      </c>
      <c r="P1" s="72" t="s">
        <v>151</v>
      </c>
      <c r="Q1" s="72" t="s">
        <v>151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0.22222222222222221</v>
      </c>
      <c r="H4" s="70">
        <v>10416.666666666666</v>
      </c>
      <c r="I4" s="70">
        <v>-11925</v>
      </c>
      <c r="J4" s="69">
        <v>0</v>
      </c>
      <c r="K4" s="69">
        <v>0</v>
      </c>
      <c r="L4" s="69">
        <v>0.33333333333333331</v>
      </c>
      <c r="M4" s="69">
        <v>0.33333333333333331</v>
      </c>
      <c r="N4" s="69">
        <v>0.22222222222222221</v>
      </c>
      <c r="O4" s="69">
        <v>1</v>
      </c>
      <c r="P4" s="69">
        <v>0</v>
      </c>
      <c r="Q4" s="69">
        <v>0.33333333333333331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0.33333333333333331</v>
      </c>
      <c r="G5" s="69">
        <v>0.22916666666666666</v>
      </c>
      <c r="H5" s="70">
        <v>10068.75</v>
      </c>
      <c r="I5" s="70">
        <v>-9845.454545454546</v>
      </c>
      <c r="J5" s="69">
        <v>0</v>
      </c>
      <c r="K5" s="69">
        <v>0</v>
      </c>
      <c r="L5" s="69">
        <v>0.33333333333333331</v>
      </c>
      <c r="M5" s="69">
        <v>0.33333333333333331</v>
      </c>
      <c r="N5" s="69">
        <v>0.25</v>
      </c>
      <c r="O5" s="69">
        <v>0.6875</v>
      </c>
      <c r="P5" s="69">
        <v>0.33333333333333331</v>
      </c>
      <c r="Q5" s="69">
        <v>0.3125</v>
      </c>
    </row>
    <row r="6" spans="1:17" x14ac:dyDescent="0.4">
      <c r="A6" s="71">
        <v>3</v>
      </c>
      <c r="B6" s="68">
        <v>-3.5527136788005009E-15</v>
      </c>
      <c r="C6" s="68">
        <v>-3.9474596431116675E-16</v>
      </c>
      <c r="D6" s="73">
        <v>2</v>
      </c>
      <c r="E6" s="69">
        <v>0.33333333333333331</v>
      </c>
      <c r="F6" s="69">
        <v>0.30769230769230771</v>
      </c>
      <c r="G6" s="69">
        <v>0.23076923076923078</v>
      </c>
      <c r="H6" s="70">
        <v>9279.1666666666661</v>
      </c>
      <c r="I6" s="70">
        <v>-8772.2222222222226</v>
      </c>
      <c r="J6" s="69">
        <v>0</v>
      </c>
      <c r="K6" s="69">
        <v>0</v>
      </c>
      <c r="L6" s="69">
        <v>0.22222222222222221</v>
      </c>
      <c r="M6" s="69">
        <v>0.32051282051282054</v>
      </c>
      <c r="N6" s="69">
        <v>0.26923076923076922</v>
      </c>
      <c r="O6" s="69">
        <v>0.56000000000000005</v>
      </c>
      <c r="P6" s="69">
        <v>0.33333333333333331</v>
      </c>
      <c r="Q6" s="69">
        <v>0.25</v>
      </c>
    </row>
    <row r="7" spans="1:17" x14ac:dyDescent="0.4">
      <c r="A7" s="71">
        <v>4</v>
      </c>
      <c r="B7" s="68">
        <v>-8.8817841970012523E-15</v>
      </c>
      <c r="C7" s="68">
        <v>-7.4014868308343773E-16</v>
      </c>
      <c r="D7" s="73">
        <v>2</v>
      </c>
      <c r="E7" s="69">
        <v>0.33333333333333331</v>
      </c>
      <c r="F7" s="69">
        <v>0.30303030303030304</v>
      </c>
      <c r="G7" s="69">
        <v>0.24242424242424243</v>
      </c>
      <c r="H7" s="70">
        <v>8393.3333333333339</v>
      </c>
      <c r="I7" s="70">
        <v>-7791.666666666667</v>
      </c>
      <c r="J7" s="69">
        <v>0</v>
      </c>
      <c r="K7" s="69">
        <v>0</v>
      </c>
      <c r="L7" s="69">
        <v>0.16666666666666666</v>
      </c>
      <c r="M7" s="69">
        <v>0.30303030303030304</v>
      </c>
      <c r="N7" s="69">
        <v>0.26262626262626265</v>
      </c>
      <c r="O7" s="69">
        <v>0.53333333333333333</v>
      </c>
      <c r="P7" s="69">
        <v>0.30769230769230771</v>
      </c>
      <c r="Q7" s="69">
        <v>0.2</v>
      </c>
    </row>
    <row r="8" spans="1:17" x14ac:dyDescent="0.4">
      <c r="A8" s="71">
        <v>5</v>
      </c>
      <c r="B8" s="68">
        <v>-1.0658141036401503E-14</v>
      </c>
      <c r="C8" s="68">
        <v>-7.1054273576010023E-16</v>
      </c>
      <c r="D8" s="73">
        <v>2</v>
      </c>
      <c r="E8" s="69">
        <v>0.33333333333333331</v>
      </c>
      <c r="F8" s="69">
        <v>0.30158730158730157</v>
      </c>
      <c r="G8" s="69">
        <v>0.23015873015873015</v>
      </c>
      <c r="H8" s="70">
        <v>7971.0526315789475</v>
      </c>
      <c r="I8" s="70">
        <v>-7324.1379310344828</v>
      </c>
      <c r="J8" s="69">
        <v>0</v>
      </c>
      <c r="K8" s="69">
        <v>0</v>
      </c>
      <c r="L8" s="69">
        <v>0.13333333333333333</v>
      </c>
      <c r="M8" s="69">
        <v>0.29365079365079366</v>
      </c>
      <c r="N8" s="69">
        <v>0.25396825396825395</v>
      </c>
      <c r="O8" s="69">
        <v>0.54054054054054057</v>
      </c>
      <c r="P8" s="69">
        <v>0.34375</v>
      </c>
      <c r="Q8" s="69">
        <v>0.23684210526315788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グラフ</vt:lpstr>
      </vt:variant>
      <vt:variant>
        <vt:i4>16</vt:i4>
      </vt:variant>
    </vt:vector>
  </HeadingPairs>
  <TitlesOfParts>
    <vt:vector size="3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2019-04-02T03:40:26Z</dcterms:modified>
</cp:coreProperties>
</file>