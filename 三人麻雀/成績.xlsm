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5DAA023-459C-4DCE-9FD2-1FF91F46B94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56" r:id="rId6"/>
    <sheet name="だいち" sheetId="4158" r:id="rId7"/>
    <sheet name="かこたろう" sheetId="4160" r:id="rId8"/>
    <sheet name="ともき" sheetId="4162" r:id="rId9"/>
    <sheet name="りくと" sheetId="4164" r:id="rId10"/>
    <sheet name="いっしー" sheetId="4166" r:id="rId11"/>
    <sheet name="がくと" sheetId="4168" r:id="rId12"/>
    <sheet name="たかの" sheetId="4170" r:id="rId13"/>
    <sheet name="ただ" sheetId="4172" r:id="rId14"/>
    <sheet name="やがさき" sheetId="4174" r:id="rId15"/>
    <sheet name="れんたろう" sheetId="4176" r:id="rId16"/>
    <sheet name="あさひ" sheetId="4178" r:id="rId17"/>
    <sheet name="まっつん" sheetId="4180" r:id="rId18"/>
    <sheet name="ぱぱ" sheetId="4182" r:id="rId19"/>
    <sheet name="ぱぱ2" sheetId="4183" state="hidden" r:id="rId20"/>
    <sheet name="まっつん2" sheetId="4181" state="hidden" r:id="rId21"/>
    <sheet name="あさひ2" sheetId="4179" state="hidden" r:id="rId22"/>
    <sheet name="れんたろう2" sheetId="4177" state="hidden" r:id="rId23"/>
    <sheet name="やがさき2" sheetId="4175" state="hidden" r:id="rId24"/>
    <sheet name="ただ2" sheetId="4173" state="hidden" r:id="rId25"/>
    <sheet name="たかの2" sheetId="4171" state="hidden" r:id="rId26"/>
    <sheet name="がくと2" sheetId="4169" state="hidden" r:id="rId27"/>
    <sheet name="いっしー2" sheetId="4167" state="hidden" r:id="rId28"/>
    <sheet name="りくと2" sheetId="4165" state="hidden" r:id="rId29"/>
    <sheet name="ともき2" sheetId="4163" state="hidden" r:id="rId30"/>
    <sheet name="かこたろう2" sheetId="4161" state="hidden" r:id="rId31"/>
    <sheet name="だいち2" sheetId="4159" state="hidden" r:id="rId32"/>
    <sheet name="全体2" sheetId="4157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64" l="1"/>
  <c r="O19" i="4182"/>
  <c r="O18" i="4174" l="1"/>
  <c r="O16" i="4182"/>
  <c r="O17" i="4182"/>
  <c r="O25" i="4158"/>
  <c r="O22" i="4166"/>
  <c r="O17" i="4166"/>
  <c r="O15" i="4182"/>
  <c r="O18" i="4182"/>
  <c r="H51" i="4182"/>
  <c r="H50" i="4182"/>
  <c r="H49" i="4182"/>
  <c r="H48" i="4182"/>
  <c r="H47" i="4182"/>
  <c r="H46" i="4182"/>
  <c r="H45" i="4182"/>
  <c r="H44" i="4182"/>
  <c r="H43" i="4182"/>
  <c r="H42" i="4182"/>
  <c r="H41" i="4182"/>
  <c r="H40" i="4182"/>
  <c r="H39" i="4182"/>
  <c r="H38" i="4182"/>
  <c r="H37" i="4182"/>
  <c r="H36" i="4182"/>
  <c r="H35" i="4182"/>
  <c r="H34" i="4182"/>
  <c r="H33" i="4182"/>
  <c r="H32" i="4182"/>
  <c r="H31" i="4182"/>
  <c r="H30" i="4182"/>
  <c r="H6" i="4182"/>
  <c r="H29" i="4182"/>
  <c r="H28" i="4182"/>
  <c r="H12" i="4182"/>
  <c r="H27" i="4182"/>
  <c r="C25" i="4182"/>
  <c r="H26" i="4182"/>
  <c r="H11" i="4182"/>
  <c r="H25" i="4182"/>
  <c r="B22" i="4182"/>
  <c r="H24" i="4182"/>
  <c r="H23" i="4182"/>
  <c r="C20" i="4182"/>
  <c r="H22" i="4182"/>
  <c r="H10" i="4182"/>
  <c r="H21" i="4182"/>
  <c r="B17" i="4182"/>
  <c r="B21" i="4182" s="1"/>
  <c r="H20" i="4182"/>
  <c r="C16" i="4182"/>
  <c r="H19" i="4182"/>
  <c r="C15" i="4182"/>
  <c r="H18" i="4182"/>
  <c r="C14" i="4182"/>
  <c r="H17" i="4182"/>
  <c r="C13" i="4182"/>
  <c r="O12" i="4182"/>
  <c r="H16" i="4182"/>
  <c r="C12" i="4182"/>
  <c r="O11" i="4182"/>
  <c r="H4" i="4182"/>
  <c r="C11" i="4182"/>
  <c r="O10" i="4182"/>
  <c r="H15" i="4182"/>
  <c r="C10" i="4182"/>
  <c r="H8" i="4182"/>
  <c r="C9" i="4182"/>
  <c r="H14" i="4182"/>
  <c r="C8" i="4182"/>
  <c r="O7" i="4182"/>
  <c r="H9" i="4182"/>
  <c r="C7" i="4182"/>
  <c r="O6" i="4182"/>
  <c r="H2" i="4182"/>
  <c r="B6" i="4182"/>
  <c r="O5" i="4182"/>
  <c r="H7" i="4182"/>
  <c r="B5" i="4182"/>
  <c r="O4" i="4182"/>
  <c r="H3" i="4182"/>
  <c r="O3" i="4182"/>
  <c r="H13" i="4182"/>
  <c r="O2" i="4182"/>
  <c r="H5" i="4182"/>
  <c r="O21" i="4180"/>
  <c r="O19" i="4180"/>
  <c r="O21" i="4156"/>
  <c r="C18" i="4182" l="1"/>
  <c r="C17" i="4182"/>
  <c r="C19" i="4182"/>
  <c r="O15" i="4166" l="1"/>
  <c r="O21" i="4174"/>
  <c r="O20" i="4174"/>
  <c r="O16" i="4176"/>
  <c r="O19" i="4164" l="1"/>
  <c r="O17" i="4174"/>
  <c r="O19" i="4172"/>
  <c r="O16" i="4174"/>
  <c r="O21" i="4164" l="1"/>
  <c r="O16" i="4180"/>
  <c r="O22" i="4180" l="1"/>
  <c r="O17" i="4158"/>
  <c r="O21" i="4172" l="1"/>
  <c r="O17" i="4178"/>
  <c r="O15" i="4168"/>
  <c r="O16" i="4168"/>
  <c r="O17" i="4176"/>
  <c r="O24" i="4176"/>
  <c r="O15" i="4180"/>
  <c r="O17" i="4180"/>
  <c r="O21" i="4166"/>
  <c r="O18" i="4170"/>
  <c r="O20" i="4180" l="1"/>
  <c r="O18" i="4180"/>
  <c r="H51" i="4180"/>
  <c r="H50" i="4180"/>
  <c r="H49" i="4180"/>
  <c r="H48" i="4180"/>
  <c r="H47" i="4180"/>
  <c r="H46" i="4180"/>
  <c r="H45" i="4180"/>
  <c r="H44" i="4180"/>
  <c r="H43" i="4180"/>
  <c r="H42" i="4180"/>
  <c r="H41" i="4180"/>
  <c r="H40" i="4180"/>
  <c r="H39" i="4180"/>
  <c r="H38" i="4180"/>
  <c r="H37" i="4180"/>
  <c r="H36" i="4180"/>
  <c r="H35" i="4180"/>
  <c r="H34" i="4180"/>
  <c r="H33" i="4180"/>
  <c r="H21" i="4180"/>
  <c r="H20" i="4180"/>
  <c r="H32" i="4180"/>
  <c r="H8" i="4180"/>
  <c r="H31" i="4180"/>
  <c r="H30" i="4180"/>
  <c r="H12" i="4180"/>
  <c r="H19" i="4180"/>
  <c r="C25" i="4180"/>
  <c r="H29" i="4180"/>
  <c r="H7" i="4180"/>
  <c r="H28" i="4180"/>
  <c r="B22" i="4180"/>
  <c r="H17" i="4180"/>
  <c r="H27" i="4180"/>
  <c r="C20" i="4180"/>
  <c r="H26" i="4180"/>
  <c r="H16" i="4180"/>
  <c r="H13" i="4180"/>
  <c r="B17" i="4180"/>
  <c r="B21" i="4180" s="1"/>
  <c r="H18" i="4180"/>
  <c r="C16" i="4180"/>
  <c r="H25" i="4180"/>
  <c r="C15" i="4180"/>
  <c r="H24" i="4180"/>
  <c r="C14" i="4180"/>
  <c r="H23" i="4180"/>
  <c r="C13" i="4180"/>
  <c r="O12" i="4180"/>
  <c r="H22" i="4180"/>
  <c r="C12" i="4180"/>
  <c r="O11" i="4180"/>
  <c r="H3" i="4180"/>
  <c r="C11" i="4180"/>
  <c r="O10" i="4180"/>
  <c r="H15" i="4180"/>
  <c r="C10" i="4180"/>
  <c r="H10" i="4180"/>
  <c r="C9" i="4180"/>
  <c r="H14" i="4180"/>
  <c r="C8" i="4180"/>
  <c r="O7" i="4180"/>
  <c r="H6" i="4180"/>
  <c r="C7" i="4180"/>
  <c r="O6" i="4180"/>
  <c r="H2" i="4180"/>
  <c r="B6" i="4180"/>
  <c r="O5" i="4180"/>
  <c r="H9" i="4180"/>
  <c r="B5" i="4180"/>
  <c r="O4" i="4180"/>
  <c r="H4" i="4180"/>
  <c r="O3" i="4180"/>
  <c r="H11" i="4180"/>
  <c r="O2" i="4180"/>
  <c r="H5" i="4180"/>
  <c r="O15" i="4170"/>
  <c r="O16" i="4172"/>
  <c r="O17" i="4156"/>
  <c r="O24" i="4166"/>
  <c r="O18" i="4168"/>
  <c r="O18" i="4178"/>
  <c r="O15" i="4178"/>
  <c r="C17" i="4180" l="1"/>
  <c r="C18" i="4180"/>
  <c r="C19" i="4180"/>
  <c r="O20" i="4176" l="1"/>
  <c r="O17" i="4164"/>
  <c r="O16" i="4162"/>
  <c r="O18" i="4162"/>
  <c r="O15" i="4176"/>
  <c r="O24" i="4164"/>
  <c r="O27" i="4156"/>
  <c r="O19" i="4178"/>
  <c r="O16" i="4178"/>
  <c r="H51" i="4178"/>
  <c r="H50" i="4178"/>
  <c r="H49" i="4178"/>
  <c r="H48" i="4178"/>
  <c r="H47" i="4178"/>
  <c r="H46" i="4178"/>
  <c r="H45" i="4178"/>
  <c r="H44" i="4178"/>
  <c r="H43" i="4178"/>
  <c r="H42" i="4178"/>
  <c r="H41" i="4178"/>
  <c r="H40" i="4178"/>
  <c r="H39" i="4178"/>
  <c r="H38" i="4178"/>
  <c r="H37" i="4178"/>
  <c r="H36" i="4178"/>
  <c r="H35" i="4178"/>
  <c r="H34" i="4178"/>
  <c r="H33" i="4178"/>
  <c r="H32" i="4178"/>
  <c r="H14" i="4178"/>
  <c r="H31" i="4178"/>
  <c r="H12" i="4178"/>
  <c r="H30" i="4178"/>
  <c r="H29" i="4178"/>
  <c r="H11" i="4178"/>
  <c r="H28" i="4178"/>
  <c r="C25" i="4178"/>
  <c r="H27" i="4178"/>
  <c r="H26" i="4178"/>
  <c r="H25" i="4178"/>
  <c r="B22" i="4178"/>
  <c r="H24" i="4178"/>
  <c r="H23" i="4178"/>
  <c r="C20" i="4178"/>
  <c r="H22" i="4178"/>
  <c r="H21" i="4178"/>
  <c r="H20" i="4178"/>
  <c r="B17" i="4178"/>
  <c r="B21" i="4178" s="1"/>
  <c r="H19" i="4178"/>
  <c r="C16" i="4178"/>
  <c r="H18" i="4178"/>
  <c r="C15" i="4178"/>
  <c r="H17" i="4178"/>
  <c r="C14" i="4178"/>
  <c r="H16" i="4178"/>
  <c r="C13" i="4178"/>
  <c r="O12" i="4178"/>
  <c r="H15" i="4178"/>
  <c r="C12" i="4178"/>
  <c r="O11" i="4178"/>
  <c r="H5" i="4178"/>
  <c r="C11" i="4178"/>
  <c r="O10" i="4178"/>
  <c r="H13" i="4178"/>
  <c r="C10" i="4178"/>
  <c r="H8" i="4178"/>
  <c r="C9" i="4178"/>
  <c r="H10" i="4178"/>
  <c r="C8" i="4178"/>
  <c r="O7" i="4178"/>
  <c r="H7" i="4178"/>
  <c r="C7" i="4178"/>
  <c r="O6" i="4178"/>
  <c r="H4" i="4178"/>
  <c r="B6" i="4178"/>
  <c r="O5" i="4178"/>
  <c r="H6" i="4178"/>
  <c r="B5" i="4178"/>
  <c r="O4" i="4178"/>
  <c r="H3" i="4178"/>
  <c r="O3" i="4178"/>
  <c r="H9" i="4178"/>
  <c r="O2" i="4178"/>
  <c r="H2" i="4178"/>
  <c r="C17" i="4178" l="1"/>
  <c r="C18" i="4178"/>
  <c r="C19" i="4178"/>
  <c r="O16" i="4170" l="1"/>
  <c r="O21" i="4176"/>
  <c r="O16" i="4164"/>
  <c r="O21" i="4170"/>
  <c r="O22" i="4172" l="1"/>
  <c r="O20" i="4166"/>
  <c r="O17" i="4172" l="1"/>
  <c r="O23" i="4176"/>
  <c r="O25" i="4166" l="1"/>
  <c r="O18" i="4176"/>
  <c r="O18" i="4164" l="1"/>
  <c r="O22" i="4176"/>
  <c r="O19" i="4176"/>
  <c r="H51" i="4176"/>
  <c r="H50" i="4176"/>
  <c r="H49" i="4176"/>
  <c r="H48" i="4176"/>
  <c r="H47" i="4176"/>
  <c r="H46" i="4176"/>
  <c r="H45" i="4176"/>
  <c r="H44" i="4176"/>
  <c r="H43" i="4176"/>
  <c r="H42" i="4176"/>
  <c r="H41" i="4176"/>
  <c r="H40" i="4176"/>
  <c r="H39" i="4176"/>
  <c r="H38" i="4176"/>
  <c r="H37" i="4176"/>
  <c r="H36" i="4176"/>
  <c r="H35" i="4176"/>
  <c r="H34" i="4176"/>
  <c r="H21" i="4176"/>
  <c r="H26" i="4176"/>
  <c r="H18" i="4176"/>
  <c r="H33" i="4176"/>
  <c r="H9" i="4176"/>
  <c r="H32" i="4176"/>
  <c r="H31" i="4176"/>
  <c r="H12" i="4176"/>
  <c r="H25" i="4176"/>
  <c r="C25" i="4176"/>
  <c r="H24" i="4176"/>
  <c r="H14" i="4176"/>
  <c r="H30" i="4176"/>
  <c r="B22" i="4176"/>
  <c r="H16" i="4176"/>
  <c r="H29" i="4176"/>
  <c r="C20" i="4176"/>
  <c r="H28" i="4176"/>
  <c r="H20" i="4176"/>
  <c r="H13" i="4176"/>
  <c r="B17" i="4176"/>
  <c r="B21" i="4176" s="1"/>
  <c r="H23" i="4176"/>
  <c r="C16" i="4176"/>
  <c r="H27" i="4176"/>
  <c r="C15" i="4176"/>
  <c r="H19" i="4176"/>
  <c r="C14" i="4176"/>
  <c r="H22" i="4176"/>
  <c r="C13" i="4176"/>
  <c r="O12" i="4176"/>
  <c r="H17" i="4176"/>
  <c r="C12" i="4176"/>
  <c r="O11" i="4176"/>
  <c r="H5" i="4176"/>
  <c r="C11" i="4176"/>
  <c r="O10" i="4176"/>
  <c r="H15" i="4176"/>
  <c r="C10" i="4176"/>
  <c r="H10" i="4176"/>
  <c r="C9" i="4176"/>
  <c r="H8" i="4176"/>
  <c r="C8" i="4176"/>
  <c r="O7" i="4176"/>
  <c r="H7" i="4176"/>
  <c r="C7" i="4176"/>
  <c r="O6" i="4176"/>
  <c r="H2" i="4176"/>
  <c r="B6" i="4176"/>
  <c r="O5" i="4176"/>
  <c r="H6" i="4176"/>
  <c r="B5" i="4176"/>
  <c r="O4" i="4176"/>
  <c r="H3" i="4176"/>
  <c r="O3" i="4176"/>
  <c r="H11" i="4176"/>
  <c r="O2" i="4176"/>
  <c r="H4" i="4176"/>
  <c r="O19" i="4158"/>
  <c r="O19" i="4156"/>
  <c r="C17" i="4176" l="1"/>
  <c r="C18" i="4176"/>
  <c r="C19" i="4176"/>
  <c r="O23" i="4164" l="1"/>
  <c r="O15" i="4172"/>
  <c r="O15" i="4174" l="1"/>
  <c r="O19" i="4174"/>
  <c r="H51" i="4174"/>
  <c r="H50" i="4174"/>
  <c r="H49" i="4174"/>
  <c r="H48" i="4174"/>
  <c r="H47" i="4174"/>
  <c r="H46" i="4174"/>
  <c r="H45" i="4174"/>
  <c r="H44" i="4174"/>
  <c r="H43" i="4174"/>
  <c r="H42" i="4174"/>
  <c r="H41" i="4174"/>
  <c r="H40" i="4174"/>
  <c r="H39" i="4174"/>
  <c r="H38" i="4174"/>
  <c r="H37" i="4174"/>
  <c r="H36" i="4174"/>
  <c r="H35" i="4174"/>
  <c r="H34" i="4174"/>
  <c r="H33" i="4174"/>
  <c r="H19" i="4174"/>
  <c r="H18" i="4174"/>
  <c r="H32" i="4174"/>
  <c r="H9" i="4174"/>
  <c r="H31" i="4174"/>
  <c r="H30" i="4174"/>
  <c r="H17" i="4174"/>
  <c r="H29" i="4174"/>
  <c r="C25" i="4174"/>
  <c r="H28" i="4174"/>
  <c r="H16" i="4174"/>
  <c r="H27" i="4174"/>
  <c r="B22" i="4174"/>
  <c r="H26" i="4174"/>
  <c r="H25" i="4174"/>
  <c r="C20" i="4174"/>
  <c r="H24" i="4174"/>
  <c r="H15" i="4174"/>
  <c r="H13" i="4174"/>
  <c r="B17" i="4174"/>
  <c r="B21" i="4174" s="1"/>
  <c r="H23" i="4174"/>
  <c r="C16" i="4174"/>
  <c r="H22" i="4174"/>
  <c r="C15" i="4174"/>
  <c r="H21" i="4174"/>
  <c r="C14" i="4174"/>
  <c r="H20" i="4174"/>
  <c r="C13" i="4174"/>
  <c r="O12" i="4174"/>
  <c r="H14" i="4174"/>
  <c r="C12" i="4174"/>
  <c r="O11" i="4174"/>
  <c r="H6" i="4174"/>
  <c r="C11" i="4174"/>
  <c r="O10" i="4174"/>
  <c r="H12" i="4174"/>
  <c r="C10" i="4174"/>
  <c r="H11" i="4174"/>
  <c r="C9" i="4174"/>
  <c r="H10" i="4174"/>
  <c r="C8" i="4174"/>
  <c r="O7" i="4174"/>
  <c r="H7" i="4174"/>
  <c r="C7" i="4174"/>
  <c r="O6" i="4174"/>
  <c r="H2" i="4174"/>
  <c r="B6" i="4174"/>
  <c r="O5" i="4174"/>
  <c r="H4" i="4174"/>
  <c r="B5" i="4174"/>
  <c r="O4" i="4174"/>
  <c r="H5" i="4174"/>
  <c r="O3" i="4174"/>
  <c r="H8" i="4174"/>
  <c r="O2" i="4174"/>
  <c r="H3" i="4174"/>
  <c r="O20" i="4170"/>
  <c r="O20" i="4158"/>
  <c r="O23" i="4156"/>
  <c r="C17" i="4174" l="1"/>
  <c r="C18" i="4174"/>
  <c r="C19" i="4174"/>
  <c r="O16" i="4166" l="1"/>
  <c r="O15" i="4160"/>
  <c r="O18" i="4172" l="1"/>
  <c r="O20" i="4172"/>
  <c r="H51" i="4172"/>
  <c r="H50" i="4172"/>
  <c r="H49" i="4172"/>
  <c r="H48" i="4172"/>
  <c r="H47" i="4172"/>
  <c r="H46" i="4172"/>
  <c r="H45" i="4172"/>
  <c r="H44" i="4172"/>
  <c r="H43" i="4172"/>
  <c r="H42" i="4172"/>
  <c r="H41" i="4172"/>
  <c r="H40" i="4172"/>
  <c r="H39" i="4172"/>
  <c r="H38" i="4172"/>
  <c r="H37" i="4172"/>
  <c r="H36" i="4172"/>
  <c r="H35" i="4172"/>
  <c r="H34" i="4172"/>
  <c r="H21" i="4172"/>
  <c r="H33" i="4172"/>
  <c r="H18" i="4172"/>
  <c r="H32" i="4172"/>
  <c r="H9" i="4172"/>
  <c r="H31" i="4172"/>
  <c r="H30" i="4172"/>
  <c r="H14" i="4172"/>
  <c r="H29" i="4172"/>
  <c r="C25" i="4172"/>
  <c r="H24" i="4172"/>
  <c r="H16" i="4172"/>
  <c r="H28" i="4172"/>
  <c r="B22" i="4172"/>
  <c r="H15" i="4172"/>
  <c r="H27" i="4172"/>
  <c r="C20" i="4172"/>
  <c r="H26" i="4172"/>
  <c r="H20" i="4172"/>
  <c r="H12" i="4172"/>
  <c r="B17" i="4172"/>
  <c r="B21" i="4172" s="1"/>
  <c r="H19" i="4172"/>
  <c r="C16" i="4172"/>
  <c r="H25" i="4172"/>
  <c r="C15" i="4172"/>
  <c r="H23" i="4172"/>
  <c r="C14" i="4172"/>
  <c r="H22" i="4172"/>
  <c r="C13" i="4172"/>
  <c r="O12" i="4172"/>
  <c r="H17" i="4172"/>
  <c r="C12" i="4172"/>
  <c r="O11" i="4172"/>
  <c r="H4" i="4172"/>
  <c r="C11" i="4172"/>
  <c r="O10" i="4172"/>
  <c r="H13" i="4172"/>
  <c r="C10" i="4172"/>
  <c r="H11" i="4172"/>
  <c r="C9" i="4172"/>
  <c r="H8" i="4172"/>
  <c r="C8" i="4172"/>
  <c r="O7" i="4172"/>
  <c r="H7" i="4172"/>
  <c r="C7" i="4172"/>
  <c r="O6" i="4172"/>
  <c r="H2" i="4172"/>
  <c r="B6" i="4172"/>
  <c r="O5" i="4172"/>
  <c r="H6" i="4172"/>
  <c r="B5" i="4172"/>
  <c r="O4" i="4172"/>
  <c r="H3" i="4172"/>
  <c r="O3" i="4172"/>
  <c r="H10" i="4172"/>
  <c r="O2" i="4172"/>
  <c r="H5" i="4172"/>
  <c r="O19" i="4170"/>
  <c r="O17" i="4170"/>
  <c r="H51" i="4170"/>
  <c r="H50" i="4170"/>
  <c r="H49" i="4170"/>
  <c r="H48" i="4170"/>
  <c r="H47" i="4170"/>
  <c r="H46" i="4170"/>
  <c r="H45" i="4170"/>
  <c r="H44" i="4170"/>
  <c r="H43" i="4170"/>
  <c r="H42" i="4170"/>
  <c r="H41" i="4170"/>
  <c r="H40" i="4170"/>
  <c r="H39" i="4170"/>
  <c r="H38" i="4170"/>
  <c r="H37" i="4170"/>
  <c r="H36" i="4170"/>
  <c r="H35" i="4170"/>
  <c r="H34" i="4170"/>
  <c r="H33" i="4170"/>
  <c r="H32" i="4170"/>
  <c r="H31" i="4170"/>
  <c r="H30" i="4170"/>
  <c r="H10" i="4170"/>
  <c r="H29" i="4170"/>
  <c r="H28" i="4170"/>
  <c r="H15" i="4170"/>
  <c r="H27" i="4170"/>
  <c r="C25" i="4170"/>
  <c r="H26" i="4170"/>
  <c r="H16" i="4170"/>
  <c r="H25" i="4170"/>
  <c r="B22" i="4170"/>
  <c r="H18" i="4170"/>
  <c r="H24" i="4170"/>
  <c r="C20" i="4170"/>
  <c r="H23" i="4170"/>
  <c r="H14" i="4170"/>
  <c r="H13" i="4170"/>
  <c r="B17" i="4170"/>
  <c r="B21" i="4170" s="1"/>
  <c r="H22" i="4170"/>
  <c r="C16" i="4170"/>
  <c r="H21" i="4170"/>
  <c r="C15" i="4170"/>
  <c r="H17" i="4170"/>
  <c r="C14" i="4170"/>
  <c r="H20" i="4170"/>
  <c r="C13" i="4170"/>
  <c r="O12" i="4170"/>
  <c r="H19" i="4170"/>
  <c r="C12" i="4170"/>
  <c r="O11" i="4170"/>
  <c r="H4" i="4170"/>
  <c r="C11" i="4170"/>
  <c r="O10" i="4170"/>
  <c r="H12" i="4170"/>
  <c r="C10" i="4170"/>
  <c r="H11" i="4170"/>
  <c r="C9" i="4170"/>
  <c r="H8" i="4170"/>
  <c r="C8" i="4170"/>
  <c r="O7" i="4170"/>
  <c r="H6" i="4170"/>
  <c r="C7" i="4170"/>
  <c r="O6" i="4170"/>
  <c r="H2" i="4170"/>
  <c r="B6" i="4170"/>
  <c r="O5" i="4170"/>
  <c r="H9" i="4170"/>
  <c r="B5" i="4170"/>
  <c r="O4" i="4170"/>
  <c r="H3" i="4170"/>
  <c r="O3" i="4170"/>
  <c r="H7" i="4170"/>
  <c r="O2" i="4170"/>
  <c r="H5" i="4170"/>
  <c r="O23" i="4158"/>
  <c r="O18" i="4158"/>
  <c r="O24" i="4156"/>
  <c r="O18" i="4156"/>
  <c r="C17" i="4172" l="1"/>
  <c r="C18" i="4172"/>
  <c r="C19" i="4172"/>
  <c r="C18" i="4170"/>
  <c r="C19" i="4170"/>
  <c r="C17" i="4170"/>
  <c r="O18" i="4166" l="1"/>
  <c r="O19" i="4168"/>
  <c r="O17" i="4168"/>
  <c r="H51" i="4168"/>
  <c r="H50" i="4168"/>
  <c r="H49" i="4168"/>
  <c r="H48" i="4168"/>
  <c r="H47" i="4168"/>
  <c r="H46" i="4168"/>
  <c r="H45" i="4168"/>
  <c r="H44" i="4168"/>
  <c r="H43" i="4168"/>
  <c r="H42" i="4168"/>
  <c r="H41" i="4168"/>
  <c r="H40" i="4168"/>
  <c r="H39" i="4168"/>
  <c r="H38" i="4168"/>
  <c r="H37" i="4168"/>
  <c r="H36" i="4168"/>
  <c r="H35" i="4168"/>
  <c r="H34" i="4168"/>
  <c r="H33" i="4168"/>
  <c r="H32" i="4168"/>
  <c r="H31" i="4168"/>
  <c r="H30" i="4168"/>
  <c r="H29" i="4168"/>
  <c r="H28" i="4168"/>
  <c r="H27" i="4168"/>
  <c r="H11" i="4168"/>
  <c r="H26" i="4168"/>
  <c r="C25" i="4168"/>
  <c r="H25" i="4168"/>
  <c r="H24" i="4168"/>
  <c r="H23" i="4168"/>
  <c r="B22" i="4168"/>
  <c r="H22" i="4168"/>
  <c r="H21" i="4168"/>
  <c r="C20" i="4168"/>
  <c r="H20" i="4168"/>
  <c r="H8" i="4168"/>
  <c r="H19" i="4168"/>
  <c r="B17" i="4168"/>
  <c r="B21" i="4168" s="1"/>
  <c r="H18" i="4168"/>
  <c r="C16" i="4168"/>
  <c r="H17" i="4168"/>
  <c r="C15" i="4168"/>
  <c r="H16" i="4168"/>
  <c r="C14" i="4168"/>
  <c r="H15" i="4168"/>
  <c r="C13" i="4168"/>
  <c r="O12" i="4168"/>
  <c r="H14" i="4168"/>
  <c r="C12" i="4168"/>
  <c r="O11" i="4168"/>
  <c r="H5" i="4168"/>
  <c r="C11" i="4168"/>
  <c r="O10" i="4168"/>
  <c r="H13" i="4168"/>
  <c r="C10" i="4168"/>
  <c r="H12" i="4168"/>
  <c r="C9" i="4168"/>
  <c r="H10" i="4168"/>
  <c r="C8" i="4168"/>
  <c r="O7" i="4168"/>
  <c r="H6" i="4168"/>
  <c r="C7" i="4168"/>
  <c r="O6" i="4168"/>
  <c r="H3" i="4168"/>
  <c r="B6" i="4168"/>
  <c r="O5" i="4168"/>
  <c r="H7" i="4168"/>
  <c r="B5" i="4168"/>
  <c r="O4" i="4168"/>
  <c r="H9" i="4168"/>
  <c r="O3" i="4168"/>
  <c r="H4" i="4168"/>
  <c r="O2" i="4168"/>
  <c r="H2" i="4168"/>
  <c r="O15" i="4158"/>
  <c r="O16" i="4156"/>
  <c r="C17" i="4168" l="1"/>
  <c r="C18" i="4168"/>
  <c r="C19" i="4168"/>
  <c r="O19" i="4166" l="1"/>
  <c r="O23" i="4166"/>
  <c r="H51" i="4166"/>
  <c r="H50" i="4166"/>
  <c r="H49" i="4166"/>
  <c r="H48" i="4166"/>
  <c r="H47" i="4166"/>
  <c r="H46" i="4166"/>
  <c r="H45" i="4166"/>
  <c r="H44" i="4166"/>
  <c r="H43" i="4166"/>
  <c r="H42" i="4166"/>
  <c r="H41" i="4166"/>
  <c r="H40" i="4166"/>
  <c r="H39" i="4166"/>
  <c r="H38" i="4166"/>
  <c r="H37" i="4166"/>
  <c r="H36" i="4166"/>
  <c r="H35" i="4166"/>
  <c r="H34" i="4166"/>
  <c r="H18" i="4166"/>
  <c r="H33" i="4166"/>
  <c r="H17" i="4166"/>
  <c r="H32" i="4166"/>
  <c r="H10" i="4166"/>
  <c r="H31" i="4166"/>
  <c r="H30" i="4166"/>
  <c r="H14" i="4166"/>
  <c r="H29" i="4166"/>
  <c r="C25" i="4166"/>
  <c r="H28" i="4166"/>
  <c r="H8" i="4166"/>
  <c r="H27" i="4166"/>
  <c r="B22" i="4166"/>
  <c r="H13" i="4166"/>
  <c r="H26" i="4166"/>
  <c r="C20" i="4166"/>
  <c r="H25" i="4166"/>
  <c r="H24" i="4166"/>
  <c r="H16" i="4166"/>
  <c r="B17" i="4166"/>
  <c r="B21" i="4166" s="1"/>
  <c r="H23" i="4166"/>
  <c r="C16" i="4166"/>
  <c r="H22" i="4166"/>
  <c r="C15" i="4166"/>
  <c r="H21" i="4166"/>
  <c r="C14" i="4166"/>
  <c r="H20" i="4166"/>
  <c r="C13" i="4166"/>
  <c r="O12" i="4166"/>
  <c r="H19" i="4166"/>
  <c r="C12" i="4166"/>
  <c r="O11" i="4166"/>
  <c r="H4" i="4166"/>
  <c r="C11" i="4166"/>
  <c r="O10" i="4166"/>
  <c r="H15" i="4166"/>
  <c r="C10" i="4166"/>
  <c r="H12" i="4166"/>
  <c r="C9" i="4166"/>
  <c r="H9" i="4166"/>
  <c r="C8" i="4166"/>
  <c r="O7" i="4166"/>
  <c r="H6" i="4166"/>
  <c r="C7" i="4166"/>
  <c r="O6" i="4166"/>
  <c r="H2" i="4166"/>
  <c r="B6" i="4166"/>
  <c r="O5" i="4166"/>
  <c r="H7" i="4166"/>
  <c r="B5" i="4166"/>
  <c r="O4" i="4166"/>
  <c r="H3" i="4166"/>
  <c r="O3" i="4166"/>
  <c r="H11" i="4166"/>
  <c r="O2" i="4166"/>
  <c r="H5" i="4166"/>
  <c r="O20" i="4164"/>
  <c r="O22" i="4164"/>
  <c r="H51" i="4164"/>
  <c r="H50" i="4164"/>
  <c r="H49" i="4164"/>
  <c r="H48" i="4164"/>
  <c r="H47" i="4164"/>
  <c r="H46" i="4164"/>
  <c r="H45" i="4164"/>
  <c r="H44" i="4164"/>
  <c r="H43" i="4164"/>
  <c r="H42" i="4164"/>
  <c r="H41" i="4164"/>
  <c r="H40" i="4164"/>
  <c r="H39" i="4164"/>
  <c r="H38" i="4164"/>
  <c r="H37" i="4164"/>
  <c r="H36" i="4164"/>
  <c r="H35" i="4164"/>
  <c r="H34" i="4164"/>
  <c r="H33" i="4164"/>
  <c r="H21" i="4164"/>
  <c r="H15" i="4164"/>
  <c r="H32" i="4164"/>
  <c r="H8" i="4164"/>
  <c r="H26" i="4164"/>
  <c r="H25" i="4164"/>
  <c r="H12" i="4164"/>
  <c r="H20" i="4164"/>
  <c r="C25" i="4164"/>
  <c r="H19" i="4164"/>
  <c r="H13" i="4164"/>
  <c r="H31" i="4164"/>
  <c r="B22" i="4164"/>
  <c r="H14" i="4164"/>
  <c r="H24" i="4164"/>
  <c r="C20" i="4164"/>
  <c r="H30" i="4164"/>
  <c r="H18" i="4164"/>
  <c r="H17" i="4164"/>
  <c r="B17" i="4164"/>
  <c r="C18" i="4164" s="1"/>
  <c r="H29" i="4164"/>
  <c r="C16" i="4164"/>
  <c r="H28" i="4164"/>
  <c r="C15" i="4164"/>
  <c r="H27" i="4164"/>
  <c r="C14" i="4164"/>
  <c r="H23" i="4164"/>
  <c r="C13" i="4164"/>
  <c r="O12" i="4164"/>
  <c r="H22" i="4164"/>
  <c r="C12" i="4164"/>
  <c r="O11" i="4164"/>
  <c r="H5" i="4164"/>
  <c r="C11" i="4164"/>
  <c r="O10" i="4164"/>
  <c r="H16" i="4164"/>
  <c r="C10" i="4164"/>
  <c r="H11" i="4164"/>
  <c r="C9" i="4164"/>
  <c r="H9" i="4164"/>
  <c r="C8" i="4164"/>
  <c r="O7" i="4164"/>
  <c r="H6" i="4164"/>
  <c r="C7" i="4164"/>
  <c r="O6" i="4164"/>
  <c r="H2" i="4164"/>
  <c r="B6" i="4164"/>
  <c r="O5" i="4164"/>
  <c r="H7" i="4164"/>
  <c r="B5" i="4164"/>
  <c r="O4" i="4164"/>
  <c r="H3" i="4164"/>
  <c r="O3" i="4164"/>
  <c r="H10" i="4164"/>
  <c r="O2" i="4164"/>
  <c r="H4" i="4164"/>
  <c r="O24" i="4158"/>
  <c r="O21" i="4158"/>
  <c r="O25" i="4156"/>
  <c r="O22" i="4156"/>
  <c r="C17" i="4166" l="1"/>
  <c r="C18" i="4166"/>
  <c r="C19" i="4166"/>
  <c r="C19" i="4164"/>
  <c r="B21" i="4164"/>
  <c r="C17" i="4164"/>
  <c r="O15" i="4162" l="1"/>
  <c r="O17" i="4162"/>
  <c r="H51" i="4162"/>
  <c r="H50" i="4162"/>
  <c r="H49" i="4162"/>
  <c r="H48" i="4162"/>
  <c r="H47" i="4162"/>
  <c r="H46" i="4162"/>
  <c r="H45" i="4162"/>
  <c r="H44" i="4162"/>
  <c r="H43" i="4162"/>
  <c r="H42" i="4162"/>
  <c r="H41" i="4162"/>
  <c r="H40" i="4162"/>
  <c r="H39" i="4162"/>
  <c r="H38" i="4162"/>
  <c r="H37" i="4162"/>
  <c r="H36" i="4162"/>
  <c r="H35" i="4162"/>
  <c r="H34" i="4162"/>
  <c r="H33" i="4162"/>
  <c r="H32" i="4162"/>
  <c r="H31" i="4162"/>
  <c r="H30" i="4162"/>
  <c r="H7" i="4162"/>
  <c r="H29" i="4162"/>
  <c r="H28" i="4162"/>
  <c r="H12" i="4162"/>
  <c r="H27" i="4162"/>
  <c r="C25" i="4162"/>
  <c r="H26" i="4162"/>
  <c r="H11" i="4162"/>
  <c r="H25" i="4162"/>
  <c r="B22" i="4162"/>
  <c r="H24" i="4162"/>
  <c r="H23" i="4162"/>
  <c r="C20" i="4162"/>
  <c r="H22" i="4162"/>
  <c r="H21" i="4162"/>
  <c r="H20" i="4162"/>
  <c r="B17" i="4162"/>
  <c r="C18" i="4162" s="1"/>
  <c r="H19" i="4162"/>
  <c r="C16" i="4162"/>
  <c r="H18" i="4162"/>
  <c r="C15" i="4162"/>
  <c r="H17" i="4162"/>
  <c r="C14" i="4162"/>
  <c r="H16" i="4162"/>
  <c r="C13" i="4162"/>
  <c r="O12" i="4162"/>
  <c r="H15" i="4162"/>
  <c r="C12" i="4162"/>
  <c r="O11" i="4162"/>
  <c r="H3" i="4162"/>
  <c r="C11" i="4162"/>
  <c r="O10" i="4162"/>
  <c r="H10" i="4162"/>
  <c r="C10" i="4162"/>
  <c r="H14" i="4162"/>
  <c r="C9" i="4162"/>
  <c r="H9" i="4162"/>
  <c r="C8" i="4162"/>
  <c r="O7" i="4162"/>
  <c r="H8" i="4162"/>
  <c r="C7" i="4162"/>
  <c r="O6" i="4162"/>
  <c r="H6" i="4162"/>
  <c r="B6" i="4162"/>
  <c r="O5" i="4162"/>
  <c r="H5" i="4162"/>
  <c r="B5" i="4162"/>
  <c r="O4" i="4162"/>
  <c r="H2" i="4162"/>
  <c r="O3" i="4162"/>
  <c r="H13" i="4162"/>
  <c r="O2" i="4162"/>
  <c r="H4" i="4162"/>
  <c r="O17" i="4160"/>
  <c r="O16" i="4160"/>
  <c r="H51" i="4160"/>
  <c r="H50" i="4160"/>
  <c r="H49" i="4160"/>
  <c r="H48" i="4160"/>
  <c r="H47" i="4160"/>
  <c r="H46" i="4160"/>
  <c r="H45" i="4160"/>
  <c r="H44" i="4160"/>
  <c r="H43" i="4160"/>
  <c r="H42" i="4160"/>
  <c r="H41" i="4160"/>
  <c r="H40" i="4160"/>
  <c r="H39" i="4160"/>
  <c r="H38" i="4160"/>
  <c r="H37" i="4160"/>
  <c r="H36" i="4160"/>
  <c r="H35" i="4160"/>
  <c r="H34" i="4160"/>
  <c r="H33" i="4160"/>
  <c r="H32" i="4160"/>
  <c r="H31" i="4160"/>
  <c r="H30" i="4160"/>
  <c r="H29" i="4160"/>
  <c r="H28" i="4160"/>
  <c r="H27" i="4160"/>
  <c r="H26" i="4160"/>
  <c r="H25" i="4160"/>
  <c r="C25" i="4160"/>
  <c r="H24" i="4160"/>
  <c r="H23" i="4160"/>
  <c r="H22" i="4160"/>
  <c r="B22" i="4160"/>
  <c r="H21" i="4160"/>
  <c r="H20" i="4160"/>
  <c r="C20" i="4160"/>
  <c r="H19" i="4160"/>
  <c r="H18" i="4160"/>
  <c r="H17" i="4160"/>
  <c r="C17" i="4160"/>
  <c r="B17" i="4160"/>
  <c r="C18" i="4160" s="1"/>
  <c r="H16" i="4160"/>
  <c r="C16" i="4160"/>
  <c r="H15" i="4160"/>
  <c r="C15" i="4160"/>
  <c r="H14" i="4160"/>
  <c r="C14" i="4160"/>
  <c r="H13" i="4160"/>
  <c r="C13" i="4160"/>
  <c r="O12" i="4160"/>
  <c r="H12" i="4160"/>
  <c r="C12" i="4160"/>
  <c r="O11" i="4160"/>
  <c r="H11" i="4160"/>
  <c r="C11" i="4160"/>
  <c r="O10" i="4160"/>
  <c r="H10" i="4160"/>
  <c r="C10" i="4160"/>
  <c r="H9" i="4160"/>
  <c r="C9" i="4160"/>
  <c r="H8" i="4160"/>
  <c r="C8" i="4160"/>
  <c r="O7" i="4160"/>
  <c r="H7" i="4160"/>
  <c r="C7" i="4160"/>
  <c r="O6" i="4160"/>
  <c r="H6" i="4160"/>
  <c r="B6" i="4160"/>
  <c r="O5" i="4160"/>
  <c r="H5" i="4160"/>
  <c r="B5" i="4160"/>
  <c r="O4" i="4160"/>
  <c r="H4" i="4160"/>
  <c r="O3" i="4160"/>
  <c r="H3" i="4160"/>
  <c r="O2" i="4160"/>
  <c r="H2" i="4160"/>
  <c r="O26" i="4156"/>
  <c r="O22" i="4158"/>
  <c r="O16" i="4158"/>
  <c r="H51" i="4158"/>
  <c r="H50" i="4158"/>
  <c r="H49" i="4158"/>
  <c r="H48" i="4158"/>
  <c r="H47" i="4158"/>
  <c r="H29" i="4158"/>
  <c r="H46" i="4158"/>
  <c r="H45" i="4158"/>
  <c r="H44" i="4158"/>
  <c r="H43" i="4158"/>
  <c r="H42" i="4158"/>
  <c r="H41" i="4158"/>
  <c r="H40" i="4158"/>
  <c r="H39" i="4158"/>
  <c r="H38" i="4158"/>
  <c r="H37" i="4158"/>
  <c r="H28" i="4158"/>
  <c r="H36" i="4158"/>
  <c r="H27" i="4158"/>
  <c r="H22" i="4158"/>
  <c r="H17" i="4158"/>
  <c r="H26" i="4158"/>
  <c r="H8" i="4158"/>
  <c r="H35" i="4158"/>
  <c r="H24" i="4158"/>
  <c r="H13" i="4158"/>
  <c r="H25" i="4158"/>
  <c r="C25" i="4158"/>
  <c r="H34" i="4158"/>
  <c r="H14" i="4158"/>
  <c r="H33" i="4158"/>
  <c r="B22" i="4158"/>
  <c r="H15" i="4158"/>
  <c r="H32" i="4158"/>
  <c r="C20" i="4158"/>
  <c r="H31" i="4158"/>
  <c r="H18" i="4158"/>
  <c r="H16" i="4158"/>
  <c r="B17" i="4158"/>
  <c r="B21" i="4158" s="1"/>
  <c r="H20" i="4158"/>
  <c r="C16" i="4158"/>
  <c r="H30" i="4158"/>
  <c r="C15" i="4158"/>
  <c r="H19" i="4158"/>
  <c r="C14" i="4158"/>
  <c r="H23" i="4158"/>
  <c r="C13" i="4158"/>
  <c r="O12" i="4158"/>
  <c r="H21" i="4158"/>
  <c r="C12" i="4158"/>
  <c r="O11" i="4158"/>
  <c r="H5" i="4158"/>
  <c r="C11" i="4158"/>
  <c r="O10" i="4158"/>
  <c r="H12" i="4158"/>
  <c r="C10" i="4158"/>
  <c r="H11" i="4158"/>
  <c r="C9" i="4158"/>
  <c r="H9" i="4158"/>
  <c r="C8" i="4158"/>
  <c r="O7" i="4158"/>
  <c r="H6" i="4158"/>
  <c r="C7" i="4158"/>
  <c r="O6" i="4158"/>
  <c r="H2" i="4158"/>
  <c r="B6" i="4158"/>
  <c r="O5" i="4158"/>
  <c r="H7" i="4158"/>
  <c r="B5" i="4158"/>
  <c r="O4" i="4158"/>
  <c r="H3" i="4158"/>
  <c r="O3" i="4158"/>
  <c r="H10" i="4158"/>
  <c r="O2" i="4158"/>
  <c r="H4" i="4158"/>
  <c r="O20" i="4156"/>
  <c r="O15" i="4156"/>
  <c r="H51" i="4156"/>
  <c r="H50" i="4156"/>
  <c r="H49" i="4156"/>
  <c r="H48" i="4156"/>
  <c r="H47" i="4156"/>
  <c r="H32" i="4156"/>
  <c r="H46" i="4156"/>
  <c r="H45" i="4156"/>
  <c r="H44" i="4156"/>
  <c r="H43" i="4156"/>
  <c r="H42" i="4156"/>
  <c r="H41" i="4156"/>
  <c r="H40" i="4156"/>
  <c r="H39" i="4156"/>
  <c r="H38" i="4156"/>
  <c r="H37" i="4156"/>
  <c r="H31" i="4156"/>
  <c r="H36" i="4156"/>
  <c r="H23" i="4156"/>
  <c r="H22" i="4156"/>
  <c r="H17" i="4156"/>
  <c r="H30" i="4156"/>
  <c r="H8" i="4156"/>
  <c r="H29" i="4156"/>
  <c r="H27" i="4156"/>
  <c r="H12" i="4156"/>
  <c r="H25" i="4156"/>
  <c r="C25" i="4156"/>
  <c r="H26" i="4156"/>
  <c r="H14" i="4156"/>
  <c r="H35" i="4156"/>
  <c r="B22" i="4156"/>
  <c r="H16" i="4156"/>
  <c r="H28" i="4156"/>
  <c r="C20" i="4156"/>
  <c r="H34" i="4156"/>
  <c r="H18" i="4156"/>
  <c r="H15" i="4156"/>
  <c r="B17" i="4156"/>
  <c r="C18" i="4156" s="1"/>
  <c r="H21" i="4156"/>
  <c r="C16" i="4156"/>
  <c r="H33" i="4156"/>
  <c r="C15" i="4156"/>
  <c r="H20" i="4156"/>
  <c r="C14" i="4156"/>
  <c r="H24" i="4156"/>
  <c r="C13" i="4156"/>
  <c r="O12" i="4156"/>
  <c r="H19" i="4156"/>
  <c r="C12" i="4156"/>
  <c r="O11" i="4156"/>
  <c r="H4" i="4156"/>
  <c r="C11" i="4156"/>
  <c r="O10" i="4156"/>
  <c r="H13" i="4156"/>
  <c r="C10" i="4156"/>
  <c r="H11" i="4156"/>
  <c r="C9" i="4156"/>
  <c r="H9" i="4156"/>
  <c r="C8" i="4156"/>
  <c r="O7" i="4156"/>
  <c r="H6" i="4156"/>
  <c r="C7" i="4156"/>
  <c r="O6" i="4156"/>
  <c r="H2" i="4156"/>
  <c r="B6" i="4156"/>
  <c r="O5" i="4156"/>
  <c r="H7" i="4156"/>
  <c r="B5" i="4156"/>
  <c r="O4" i="4156"/>
  <c r="H3" i="4156"/>
  <c r="O3" i="4156"/>
  <c r="H10" i="4156"/>
  <c r="O2" i="4156"/>
  <c r="H5" i="4156"/>
  <c r="C19" i="4162" l="1"/>
  <c r="B21" i="4162"/>
  <c r="C17" i="4162"/>
  <c r="C19" i="4160"/>
  <c r="B21" i="4160"/>
  <c r="C17" i="4158"/>
  <c r="C18" i="4158"/>
  <c r="C19" i="4158"/>
  <c r="B21" i="4156"/>
  <c r="C19" i="4156"/>
  <c r="C17" i="4156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<sst xmlns="http://schemas.openxmlformats.org/spreadsheetml/2006/main" count="3579" uniqueCount="258">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</sst>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全体!$K$2:$K$797</c:f>
              <c:numCache>
                <c:formatCode>General</c:formatCode>
                <c:ptCount val="7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</c:numCache>
            </c:numRef>
          </c:xVal>
          <c:yVal>
            <c:numRef>
              <c:f>全体!$L$2:$L$797</c:f>
              <c:numCache>
                <c:formatCode>\+0.0;\-0.0;\±0</c:formatCode>
                <c:ptCount val="79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E7-4DC8-B624-B9541ACC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-16.602809706257982</c:v>
                </c:pt>
                <c:pt idx="1">
                  <c:v>-2.6560424966799467</c:v>
                </c:pt>
                <c:pt idx="2">
                  <c:v>5.6980056980056979</c:v>
                </c:pt>
                <c:pt idx="3">
                  <c:v>3.1595576619273302</c:v>
                </c:pt>
                <c:pt idx="4">
                  <c:v>10.869565217391305</c:v>
                </c:pt>
                <c:pt idx="5">
                  <c:v>-4.5977011494252871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1-4D40-A181-5B59B3084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だいち!$L$2:$L$227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F-4ECA-BE8B-430D052A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1355.6561085972851</c:v>
                </c:pt>
                <c:pt idx="1">
                  <c:v>306.57276995305165</c:v>
                </c:pt>
                <c:pt idx="2">
                  <c:v>1775.2525252525252</c:v>
                </c:pt>
                <c:pt idx="3">
                  <c:v>1385.4748603351954</c:v>
                </c:pt>
                <c:pt idx="4">
                  <c:v>1435.8974358974358</c:v>
                </c:pt>
                <c:pt idx="5">
                  <c:v>1712.1951219512196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3-4848-97FD-712472D22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A-443B-AFE2-8C8B75DF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2-443C-81F2-09E2DE6B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2-4615-91B1-63A3A8060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55A-A638-2975813F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りくと!$L$2:$L$133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E-4DF1-8188-64BF2C95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-600.77519379844966</c:v>
                </c:pt>
                <c:pt idx="1">
                  <c:v>-1015.2</c:v>
                </c:pt>
                <c:pt idx="2">
                  <c:v>1363.6363636363637</c:v>
                </c:pt>
                <c:pt idx="3">
                  <c:v>-1027.7777777777778</c:v>
                </c:pt>
                <c:pt idx="4">
                  <c:v>-1981.5217391304348</c:v>
                </c:pt>
                <c:pt idx="5">
                  <c:v>-2033.3333333333333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5-465C-AC9C-6E39E2B3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いっしー!$L$2:$L$63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5-473F-B177-6116F11D2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-408.19672131147541</c:v>
                </c:pt>
                <c:pt idx="1">
                  <c:v>2170.6896551724139</c:v>
                </c:pt>
                <c:pt idx="2">
                  <c:v>-1817.8571428571429</c:v>
                </c:pt>
                <c:pt idx="3">
                  <c:v>-312.7659574468085</c:v>
                </c:pt>
                <c:pt idx="4">
                  <c:v>7068.292682926829</c:v>
                </c:pt>
                <c:pt idx="5">
                  <c:v>-541.37931034482756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5-4A4E-9CE1-53735C0BB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0-494E-BBEC-DF46FD772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3-4DD9-9FE8-898A8EAD3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8-452F-8EDC-5EFB004EA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-1573.1343283582089</c:v>
                </c:pt>
                <c:pt idx="1">
                  <c:v>-3320.6349206349205</c:v>
                </c:pt>
                <c:pt idx="2">
                  <c:v>-1152.7272727272727</c:v>
                </c:pt>
                <c:pt idx="3">
                  <c:v>1198.1132075471698</c:v>
                </c:pt>
                <c:pt idx="4">
                  <c:v>-2623.2558139534885</c:v>
                </c:pt>
                <c:pt idx="5">
                  <c:v>-1193.939393939394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6-43DD-BBE8-F049562BB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ただ!$L$2:$L$113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8-4510-8E4B-169E60347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1764.2201834862385</c:v>
                </c:pt>
                <c:pt idx="1">
                  <c:v>505.82524271844659</c:v>
                </c:pt>
                <c:pt idx="2">
                  <c:v>-113.68421052631579</c:v>
                </c:pt>
                <c:pt idx="3">
                  <c:v>-1394.3820224719102</c:v>
                </c:pt>
                <c:pt idx="4">
                  <c:v>1049.3506493506493</c:v>
                </c:pt>
                <c:pt idx="5">
                  <c:v>-215.38461538461539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F-4481-846B-9B218FAD8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やがさき!$L$2:$L$34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A-4855-980B-AFA79926D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543.75</c:v>
                </c:pt>
                <c:pt idx="1">
                  <c:v>2250</c:v>
                </c:pt>
                <c:pt idx="2">
                  <c:v>-900</c:v>
                </c:pt>
                <c:pt idx="3">
                  <c:v>608</c:v>
                </c:pt>
                <c:pt idx="4">
                  <c:v>-1685.7142857142858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3-46B4-B4F8-1B6B1E7FB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れんたろう!$L$2:$L$114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C-4684-BCC6-93B41110A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-1896.2962962962963</c:v>
                </c:pt>
                <c:pt idx="1">
                  <c:v>691.5094339622641</c:v>
                </c:pt>
                <c:pt idx="2">
                  <c:v>-587</c:v>
                </c:pt>
                <c:pt idx="3">
                  <c:v>-448.91304347826087</c:v>
                </c:pt>
                <c:pt idx="4">
                  <c:v>-2429.4117647058824</c:v>
                </c:pt>
                <c:pt idx="5">
                  <c:v>1180.5970149253731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5-4160-912E-91E3D3AC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D-4772-ABC1-4DAEE29A6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9-4F95-BDF8-F4FF246BB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5-48EA-AFB1-8DF9E190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40-4A95-8760-132EB6D41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5-483F-904C-3298330A1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2583.3333333333335</c:v>
                </c:pt>
                <c:pt idx="1">
                  <c:v>-2750</c:v>
                </c:pt>
                <c:pt idx="2">
                  <c:v>-4516.666666666667</c:v>
                </c:pt>
                <c:pt idx="3">
                  <c:v>1740</c:v>
                </c:pt>
                <c:pt idx="4">
                  <c:v>-2275</c:v>
                </c:pt>
                <c:pt idx="5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7-4DF4-BF08-AB996E76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ぱぱ2!$C$3:$C$9</c:f>
              <c:numCache>
                <c:formatCode>\+0.0;\-0.0;\±0</c:formatCode>
                <c:ptCount val="7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ぱぱ2!$F$3:$F$9</c:f>
              <c:numCache>
                <c:formatCode>0.0%</c:formatCode>
                <c:ptCount val="7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ぱぱ2!$G$3:$G$9</c:f>
              <c:numCache>
                <c:formatCode>0.0%</c:formatCode>
                <c:ptCount val="7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ぱぱ2!$H$3:$H$9</c:f>
              <c:numCache>
                <c:formatCode>0</c:formatCode>
                <c:ptCount val="7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ぱぱ2!$I$3:$I$9</c:f>
              <c:numCache>
                <c:formatCode>0</c:formatCode>
                <c:ptCount val="7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ぱぱ2!$J$3:$J$9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ぱぱ2!$M$3:$M$9</c:f>
              <c:numCache>
                <c:formatCode>0.0%</c:formatCode>
                <c:ptCount val="7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ぱぱ2!$N$3:$N$9</c:f>
              <c:numCache>
                <c:formatCode>0.0%</c:formatCode>
                <c:ptCount val="7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ぱぱ2!$O$3:$O$9</c:f>
              <c:numCache>
                <c:formatCode>0.0%</c:formatCode>
                <c:ptCount val="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ぱぱ2!$P$3:$P$9</c:f>
              <c:numCache>
                <c:formatCode>0.0%</c:formatCode>
                <c:ptCount val="7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ぱぱ2!$Q$3:$Q$9</c:f>
              <c:numCache>
                <c:formatCode>0.0%</c:formatCode>
                <c:ptCount val="7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ぱぱ2!$L$3:$L$9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2"/>
      <c r="C1" s="143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4">
        <v>0</v>
      </c>
      <c r="C2" s="145"/>
      <c r="E2" s="64" t="s">
        <v>67</v>
      </c>
      <c r="F2" s="28" t="s">
        <v>21</v>
      </c>
      <c r="G2" s="14">
        <v>0</v>
      </c>
      <c r="H2" s="137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6">
        <v>0</v>
      </c>
      <c r="C3" s="147"/>
      <c r="E3" s="65" t="s">
        <v>68</v>
      </c>
      <c r="F3" s="29" t="s">
        <v>22</v>
      </c>
      <c r="G3" s="15">
        <v>0</v>
      </c>
      <c r="H3" s="138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8">
        <v>0</v>
      </c>
      <c r="C4" s="149"/>
      <c r="E4" s="65" t="s">
        <v>69</v>
      </c>
      <c r="F4" s="29" t="s">
        <v>23</v>
      </c>
      <c r="G4" s="15">
        <v>0</v>
      </c>
      <c r="H4" s="138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0">
        <f>IF(B$2=0,0,B$4/B$2)</f>
        <v>0</v>
      </c>
      <c r="C5" s="151"/>
      <c r="E5" s="65" t="s">
        <v>70</v>
      </c>
      <c r="F5" s="29" t="s">
        <v>24</v>
      </c>
      <c r="G5" s="15">
        <v>0</v>
      </c>
      <c r="H5" s="138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6">
        <f>IF(B$2=0,0,(B$7*1+B$8*2+B$9*3)/B$2)</f>
        <v>0</v>
      </c>
      <c r="C6" s="157"/>
      <c r="E6" s="65" t="s">
        <v>71</v>
      </c>
      <c r="F6" s="29" t="s">
        <v>25</v>
      </c>
      <c r="G6" s="15">
        <v>0</v>
      </c>
      <c r="H6" s="138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8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8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8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8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8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8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8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8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8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8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8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8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8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8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8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8">
        <f t="shared" si="0"/>
        <v>0</v>
      </c>
      <c r="I22" s="100"/>
    </row>
    <row r="23" spans="1:9" x14ac:dyDescent="0.4">
      <c r="A23" s="96" t="s">
        <v>158</v>
      </c>
      <c r="B23" s="154">
        <v>0</v>
      </c>
      <c r="C23" s="155"/>
      <c r="E23" s="65" t="s">
        <v>88</v>
      </c>
      <c r="F23" s="29" t="s">
        <v>41</v>
      </c>
      <c r="G23" s="15">
        <v>0</v>
      </c>
      <c r="H23" s="138">
        <f t="shared" si="0"/>
        <v>0</v>
      </c>
      <c r="I23" s="100"/>
    </row>
    <row r="24" spans="1:9" x14ac:dyDescent="0.4">
      <c r="A24" s="60" t="s">
        <v>199</v>
      </c>
      <c r="B24" s="152">
        <v>0</v>
      </c>
      <c r="C24" s="153"/>
      <c r="E24" s="65" t="s">
        <v>89</v>
      </c>
      <c r="F24" s="29" t="s">
        <v>42</v>
      </c>
      <c r="G24" s="15">
        <v>0</v>
      </c>
      <c r="H24" s="138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8">
        <f t="shared" si="0"/>
        <v>0</v>
      </c>
      <c r="I25" s="100"/>
    </row>
    <row r="26" spans="1:9" x14ac:dyDescent="0.4">
      <c r="A26" s="22" t="s">
        <v>126</v>
      </c>
      <c r="B26" s="144">
        <v>0</v>
      </c>
      <c r="C26" s="145"/>
      <c r="E26" s="65" t="s">
        <v>91</v>
      </c>
      <c r="F26" s="29" t="s">
        <v>44</v>
      </c>
      <c r="G26" s="15">
        <v>0</v>
      </c>
      <c r="H26" s="138">
        <f t="shared" si="0"/>
        <v>0</v>
      </c>
      <c r="I26" s="100"/>
    </row>
    <row r="27" spans="1:9" x14ac:dyDescent="0.4">
      <c r="A27" s="25" t="s">
        <v>127</v>
      </c>
      <c r="B27" s="158">
        <v>0</v>
      </c>
      <c r="C27" s="159"/>
      <c r="E27" s="65" t="s">
        <v>92</v>
      </c>
      <c r="F27" s="29" t="s">
        <v>45</v>
      </c>
      <c r="G27" s="15">
        <v>0</v>
      </c>
      <c r="H27" s="138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8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8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8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8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8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8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8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8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8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8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8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8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8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8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8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8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8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8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8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8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8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8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8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39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1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246</v>
      </c>
      <c r="K1" s="165"/>
      <c r="L1" s="164" t="s">
        <v>195</v>
      </c>
      <c r="M1" s="165"/>
      <c r="N1" s="164" t="s">
        <v>196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156</v>
      </c>
      <c r="W1" s="165"/>
      <c r="X1" s="164" t="s">
        <v>241</v>
      </c>
      <c r="Y1" s="165"/>
      <c r="Z1" s="164" t="s">
        <v>129</v>
      </c>
      <c r="AA1" s="165"/>
      <c r="AB1" s="164" t="s">
        <v>124</v>
      </c>
      <c r="AC1" s="165"/>
      <c r="AD1" s="164" t="s">
        <v>132</v>
      </c>
      <c r="AE1" s="165"/>
      <c r="AF1" s="164" t="s">
        <v>197</v>
      </c>
      <c r="AG1" s="165"/>
      <c r="AH1" s="164" t="s">
        <v>160</v>
      </c>
      <c r="AI1" s="165"/>
      <c r="AJ1" s="164" t="s">
        <v>198</v>
      </c>
      <c r="AK1" s="165"/>
      <c r="AL1" s="164" t="s">
        <v>200</v>
      </c>
      <c r="AM1" s="165"/>
      <c r="AN1" s="164" t="s">
        <v>247</v>
      </c>
      <c r="AO1" s="165"/>
    </row>
    <row r="2" spans="1:41" x14ac:dyDescent="0.4">
      <c r="A2" s="74" t="s">
        <v>245</v>
      </c>
      <c r="B2" s="162"/>
      <c r="C2" s="163"/>
      <c r="D2" s="162"/>
      <c r="E2" s="163"/>
      <c r="F2" s="160">
        <v>0.9864383373661858</v>
      </c>
      <c r="G2" s="161"/>
      <c r="H2" s="160">
        <v>0.93550780521174093</v>
      </c>
      <c r="I2" s="161"/>
      <c r="J2" s="160">
        <v>0.97127090820462947</v>
      </c>
      <c r="K2" s="161"/>
      <c r="L2" s="160">
        <v>0.92651811347118163</v>
      </c>
      <c r="M2" s="161"/>
      <c r="N2" s="160">
        <v>0.84303630707619137</v>
      </c>
      <c r="O2" s="161"/>
      <c r="P2" s="160">
        <v>0.21655295965745677</v>
      </c>
      <c r="Q2" s="161"/>
      <c r="R2" s="160">
        <v>2.0040477288316892E-2</v>
      </c>
      <c r="S2" s="161"/>
      <c r="T2" s="160">
        <v>0.93497851178384639</v>
      </c>
      <c r="U2" s="161"/>
      <c r="V2" s="160">
        <v>0.97324065709276053</v>
      </c>
      <c r="W2" s="161"/>
      <c r="X2" s="160">
        <v>0.62632892681767338</v>
      </c>
      <c r="Y2" s="161"/>
      <c r="Z2" s="160">
        <v>0.584459732739946</v>
      </c>
      <c r="AA2" s="161"/>
      <c r="AB2" s="160">
        <v>-0.45187868845479062</v>
      </c>
      <c r="AC2" s="161"/>
      <c r="AD2" s="160">
        <v>0.77106734493229112</v>
      </c>
      <c r="AE2" s="161"/>
      <c r="AF2" s="160">
        <v>0.47112614000324987</v>
      </c>
      <c r="AG2" s="161"/>
      <c r="AH2" s="160">
        <v>0.32268121377232223</v>
      </c>
      <c r="AI2" s="161"/>
      <c r="AJ2" s="160">
        <v>0.6565103733432518</v>
      </c>
      <c r="AK2" s="161"/>
      <c r="AL2" s="160">
        <v>0.73010593599469797</v>
      </c>
      <c r="AM2" s="161"/>
      <c r="AN2" s="160">
        <v>-0.14987550680067538</v>
      </c>
      <c r="AO2" s="161"/>
    </row>
    <row r="3" spans="1:41" x14ac:dyDescent="0.4">
      <c r="A3" s="76">
        <v>1</v>
      </c>
      <c r="B3" s="77" t="s">
        <v>133</v>
      </c>
      <c r="C3" s="78">
        <v>1434.9999999999998</v>
      </c>
      <c r="D3" s="79" t="s">
        <v>194</v>
      </c>
      <c r="E3" s="102">
        <v>7.833333333333333</v>
      </c>
      <c r="F3" s="79" t="s">
        <v>133</v>
      </c>
      <c r="G3" s="80">
        <v>1.7822222222222222</v>
      </c>
      <c r="H3" s="79" t="s">
        <v>194</v>
      </c>
      <c r="I3" s="81">
        <v>0.5</v>
      </c>
      <c r="J3" s="79" t="s">
        <v>133</v>
      </c>
      <c r="K3" s="81">
        <v>0.21333333333333335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256.20000000000005</v>
      </c>
      <c r="D4" s="89" t="s">
        <v>133</v>
      </c>
      <c r="E4" s="103">
        <v>6.3777777777777764</v>
      </c>
      <c r="F4" s="89" t="s">
        <v>194</v>
      </c>
      <c r="G4" s="90">
        <v>1.8333333333333333</v>
      </c>
      <c r="H4" s="89" t="s">
        <v>133</v>
      </c>
      <c r="I4" s="91">
        <v>0.43111111111111111</v>
      </c>
      <c r="J4" s="89" t="s">
        <v>167</v>
      </c>
      <c r="K4" s="91">
        <v>0.25</v>
      </c>
      <c r="L4" s="89" t="s">
        <v>133</v>
      </c>
      <c r="M4" s="92">
        <v>0.35238656452563349</v>
      </c>
      <c r="N4" s="89" t="s">
        <v>250</v>
      </c>
      <c r="O4" s="92">
        <v>0.1276595744680851</v>
      </c>
      <c r="P4" s="89" t="s">
        <v>134</v>
      </c>
      <c r="Q4" s="93">
        <v>11045.112781954887</v>
      </c>
      <c r="R4" s="89" t="s">
        <v>157</v>
      </c>
      <c r="S4" s="93">
        <v>-8586.95652173913</v>
      </c>
      <c r="T4" s="89" t="s">
        <v>133</v>
      </c>
      <c r="U4" s="91">
        <v>0.10666666666666667</v>
      </c>
      <c r="V4" s="89" t="s">
        <v>133</v>
      </c>
      <c r="W4" s="91">
        <v>0.19555555555555557</v>
      </c>
      <c r="X4" s="89" t="s">
        <v>250</v>
      </c>
      <c r="Y4" s="91">
        <v>0.16666666666666666</v>
      </c>
      <c r="Z4" s="89" t="s">
        <v>194</v>
      </c>
      <c r="AA4" s="92">
        <v>0.42</v>
      </c>
      <c r="AB4" s="89" t="s">
        <v>135</v>
      </c>
      <c r="AC4" s="92">
        <v>0.31527093596059114</v>
      </c>
      <c r="AD4" s="89" t="s">
        <v>133</v>
      </c>
      <c r="AE4" s="92">
        <v>0.63324538258575203</v>
      </c>
      <c r="AF4" s="89" t="s">
        <v>194</v>
      </c>
      <c r="AG4" s="92">
        <v>0.5</v>
      </c>
      <c r="AH4" s="89" t="s">
        <v>138</v>
      </c>
      <c r="AI4" s="92">
        <v>0.45833333333333331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216.99999999999983</v>
      </c>
      <c r="D5" s="89" t="s">
        <v>135</v>
      </c>
      <c r="E5" s="103">
        <v>4.2000000000000011</v>
      </c>
      <c r="F5" s="89" t="s">
        <v>135</v>
      </c>
      <c r="G5" s="90">
        <v>1.9180327868852458</v>
      </c>
      <c r="H5" s="89" t="s">
        <v>137</v>
      </c>
      <c r="I5" s="91">
        <v>0.36936936936936937</v>
      </c>
      <c r="J5" s="89" t="s">
        <v>135</v>
      </c>
      <c r="K5" s="91">
        <v>0.26229508196721313</v>
      </c>
      <c r="L5" s="89" t="s">
        <v>135</v>
      </c>
      <c r="M5" s="92">
        <v>0.34693877551020408</v>
      </c>
      <c r="N5" s="89" t="s">
        <v>133</v>
      </c>
      <c r="O5" s="92">
        <v>0.14378314672952269</v>
      </c>
      <c r="P5" s="89" t="s">
        <v>138</v>
      </c>
      <c r="Q5" s="93">
        <v>11041.666666666666</v>
      </c>
      <c r="R5" s="89" t="s">
        <v>138</v>
      </c>
      <c r="S5" s="93">
        <v>-8928.8888888888887</v>
      </c>
      <c r="T5" s="89" t="s">
        <v>135</v>
      </c>
      <c r="U5" s="91">
        <v>0.11475409836065574</v>
      </c>
      <c r="V5" s="89" t="s">
        <v>135</v>
      </c>
      <c r="W5" s="91">
        <v>0.18032786885245902</v>
      </c>
      <c r="X5" s="89" t="s">
        <v>133</v>
      </c>
      <c r="Y5" s="91">
        <v>0.10222222222222223</v>
      </c>
      <c r="Z5" s="89" t="s">
        <v>138</v>
      </c>
      <c r="AA5" s="92">
        <v>0.31111111111111112</v>
      </c>
      <c r="AB5" s="89" t="s">
        <v>136</v>
      </c>
      <c r="AC5" s="92">
        <v>0.26726726726726729</v>
      </c>
      <c r="AD5" s="89" t="s">
        <v>194</v>
      </c>
      <c r="AE5" s="92">
        <v>0.61904761904761907</v>
      </c>
      <c r="AF5" s="89" t="s">
        <v>133</v>
      </c>
      <c r="AG5" s="92">
        <v>0.48249027237354086</v>
      </c>
      <c r="AH5" s="89" t="s">
        <v>136</v>
      </c>
      <c r="AI5" s="92">
        <v>0.45185185185185184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1.9549549549549534</v>
      </c>
      <c r="F6" s="89" t="s">
        <v>137</v>
      </c>
      <c r="G6" s="90">
        <v>1.9369369369369369</v>
      </c>
      <c r="H6" s="89" t="s">
        <v>135</v>
      </c>
      <c r="I6" s="91">
        <v>0.34426229508196721</v>
      </c>
      <c r="J6" s="89" t="s">
        <v>137</v>
      </c>
      <c r="K6" s="91">
        <v>0.30630630630630629</v>
      </c>
      <c r="L6" s="89" t="s">
        <v>161</v>
      </c>
      <c r="M6" s="92">
        <v>0.30146937427769521</v>
      </c>
      <c r="N6" s="89" t="s">
        <v>135</v>
      </c>
      <c r="O6" s="92">
        <v>0.15646258503401361</v>
      </c>
      <c r="P6" s="89" t="s">
        <v>139</v>
      </c>
      <c r="Q6" s="93">
        <v>10652.777777777777</v>
      </c>
      <c r="R6" s="89" t="s">
        <v>135</v>
      </c>
      <c r="S6" s="93">
        <v>-8992.753623188406</v>
      </c>
      <c r="T6" s="89" t="s">
        <v>137</v>
      </c>
      <c r="U6" s="91">
        <v>0.11711711711711711</v>
      </c>
      <c r="V6" s="89" t="s">
        <v>137</v>
      </c>
      <c r="W6" s="91">
        <v>0.17117117117117117</v>
      </c>
      <c r="X6" s="89" t="s">
        <v>137</v>
      </c>
      <c r="Y6" s="91">
        <v>9.90990990990991E-2</v>
      </c>
      <c r="Z6" s="89" t="s">
        <v>137</v>
      </c>
      <c r="AA6" s="92">
        <v>0.3061797752808989</v>
      </c>
      <c r="AB6" s="89" t="s">
        <v>250</v>
      </c>
      <c r="AC6" s="92">
        <v>0.23404255319148937</v>
      </c>
      <c r="AD6" s="89" t="s">
        <v>139</v>
      </c>
      <c r="AE6" s="92">
        <v>0.59920634920634919</v>
      </c>
      <c r="AF6" s="89" t="s">
        <v>250</v>
      </c>
      <c r="AG6" s="92">
        <v>0.45454545454545453</v>
      </c>
      <c r="AH6" s="89" t="s">
        <v>137</v>
      </c>
      <c r="AI6" s="92">
        <v>0.44841269841269843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138</v>
      </c>
      <c r="C7" s="88">
        <v>8.2000000000000242</v>
      </c>
      <c r="D7" s="89" t="s">
        <v>138</v>
      </c>
      <c r="E7" s="103">
        <v>0.25625000000000075</v>
      </c>
      <c r="F7" s="89" t="s">
        <v>161</v>
      </c>
      <c r="G7" s="90">
        <v>2</v>
      </c>
      <c r="H7" s="89" t="s">
        <v>138</v>
      </c>
      <c r="I7" s="91">
        <v>0.34375</v>
      </c>
      <c r="J7" s="89" t="s">
        <v>161</v>
      </c>
      <c r="K7" s="91">
        <v>0.33333333333333331</v>
      </c>
      <c r="L7" s="89" t="s">
        <v>137</v>
      </c>
      <c r="M7" s="92">
        <v>0.30071599045346065</v>
      </c>
      <c r="N7" s="89" t="s">
        <v>137</v>
      </c>
      <c r="O7" s="92">
        <v>0.16348448687350836</v>
      </c>
      <c r="P7" s="89" t="s">
        <v>137</v>
      </c>
      <c r="Q7" s="93">
        <v>10511.507936507936</v>
      </c>
      <c r="R7" s="89" t="s">
        <v>137</v>
      </c>
      <c r="S7" s="93">
        <v>-9275.9124087591244</v>
      </c>
      <c r="T7" s="89" t="s">
        <v>161</v>
      </c>
      <c r="U7" s="91">
        <v>0.15974842767295597</v>
      </c>
      <c r="V7" s="89" t="s">
        <v>194</v>
      </c>
      <c r="W7" s="91">
        <v>0.16666666666666666</v>
      </c>
      <c r="X7" s="89" t="s">
        <v>139</v>
      </c>
      <c r="Y7" s="91">
        <v>9.8214285714285712E-2</v>
      </c>
      <c r="Z7" s="89" t="s">
        <v>133</v>
      </c>
      <c r="AA7" s="92">
        <v>0.30539887187751813</v>
      </c>
      <c r="AB7" s="89" t="s">
        <v>161</v>
      </c>
      <c r="AC7" s="92">
        <v>0.21978021978021978</v>
      </c>
      <c r="AD7" s="89" t="s">
        <v>135</v>
      </c>
      <c r="AE7" s="92">
        <v>0.58333333333333337</v>
      </c>
      <c r="AF7" s="89" t="s">
        <v>135</v>
      </c>
      <c r="AG7" s="92">
        <v>0.40625</v>
      </c>
      <c r="AH7" s="89" t="s">
        <v>139</v>
      </c>
      <c r="AI7" s="92">
        <v>0.44841269841269843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-4.9999999999999361</v>
      </c>
      <c r="D8" s="89" t="s">
        <v>161</v>
      </c>
      <c r="E8" s="103">
        <v>-6.2893081761005486E-3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0.29065743944636679</v>
      </c>
      <c r="N8" s="89" t="s">
        <v>167</v>
      </c>
      <c r="O8" s="92">
        <v>0.16666666666666666</v>
      </c>
      <c r="P8" s="89" t="s">
        <v>161</v>
      </c>
      <c r="Q8" s="93">
        <v>10226.670317634173</v>
      </c>
      <c r="R8" s="89" t="s">
        <v>133</v>
      </c>
      <c r="S8" s="93">
        <v>-9389.3442622950824</v>
      </c>
      <c r="T8" s="89" t="s">
        <v>194</v>
      </c>
      <c r="U8" s="91">
        <v>0.16666666666666666</v>
      </c>
      <c r="V8" s="89" t="s">
        <v>250</v>
      </c>
      <c r="W8" s="91">
        <v>0.16666666666666666</v>
      </c>
      <c r="X8" s="89" t="s">
        <v>138</v>
      </c>
      <c r="Y8" s="91">
        <v>9.375E-2</v>
      </c>
      <c r="Z8" s="89" t="s">
        <v>139</v>
      </c>
      <c r="AA8" s="92">
        <v>0.30361445783132529</v>
      </c>
      <c r="AB8" s="89" t="s">
        <v>137</v>
      </c>
      <c r="AC8" s="92">
        <v>0.21629213483146068</v>
      </c>
      <c r="AD8" s="89" t="s">
        <v>161</v>
      </c>
      <c r="AE8" s="92">
        <v>0.5803571428571429</v>
      </c>
      <c r="AF8" s="89" t="s">
        <v>161</v>
      </c>
      <c r="AG8" s="92">
        <v>0.396078431372549</v>
      </c>
      <c r="AH8" s="89" t="s">
        <v>135</v>
      </c>
      <c r="AI8" s="92">
        <v>0.44444444444444442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134</v>
      </c>
      <c r="E9" s="103">
        <v>-3.3671755725190837</v>
      </c>
      <c r="F9" s="89" t="s">
        <v>250</v>
      </c>
      <c r="G9" s="90">
        <v>2</v>
      </c>
      <c r="H9" s="89" t="s">
        <v>250</v>
      </c>
      <c r="I9" s="91">
        <v>0.33333333333333331</v>
      </c>
      <c r="J9" s="89" t="s">
        <v>250</v>
      </c>
      <c r="K9" s="91">
        <v>0.33333333333333331</v>
      </c>
      <c r="L9" s="89" t="s">
        <v>138</v>
      </c>
      <c r="M9" s="92">
        <v>0.27480916030534353</v>
      </c>
      <c r="N9" s="89" t="s">
        <v>138</v>
      </c>
      <c r="O9" s="92">
        <v>0.1717557251908397</v>
      </c>
      <c r="P9" s="89" t="s">
        <v>133</v>
      </c>
      <c r="Q9" s="93">
        <v>9950.1672240802673</v>
      </c>
      <c r="R9" s="89" t="s">
        <v>161</v>
      </c>
      <c r="S9" s="93">
        <v>-9452.6416906820359</v>
      </c>
      <c r="T9" s="89" t="s">
        <v>138</v>
      </c>
      <c r="U9" s="91">
        <v>0.1875</v>
      </c>
      <c r="V9" s="89" t="s">
        <v>161</v>
      </c>
      <c r="W9" s="91">
        <v>0.15974842767295597</v>
      </c>
      <c r="X9" s="89" t="s">
        <v>161</v>
      </c>
      <c r="Y9" s="91">
        <v>8.4276729559748423E-2</v>
      </c>
      <c r="Z9" s="89" t="s">
        <v>134</v>
      </c>
      <c r="AA9" s="92">
        <v>0.29590488771466317</v>
      </c>
      <c r="AB9" s="89" t="s">
        <v>133</v>
      </c>
      <c r="AC9" s="92">
        <v>0.20709105560032232</v>
      </c>
      <c r="AD9" s="89" t="s">
        <v>134</v>
      </c>
      <c r="AE9" s="92">
        <v>0.5758928571428571</v>
      </c>
      <c r="AF9" s="89" t="s">
        <v>134</v>
      </c>
      <c r="AG9" s="92">
        <v>0.38805970149253732</v>
      </c>
      <c r="AH9" s="89" t="s">
        <v>134</v>
      </c>
      <c r="AI9" s="92">
        <v>0.43609022556390975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250</v>
      </c>
      <c r="C10" s="88">
        <v>-20.5</v>
      </c>
      <c r="D10" s="89" t="s">
        <v>250</v>
      </c>
      <c r="E10" s="103">
        <v>-3.4166666666666665</v>
      </c>
      <c r="F10" s="89" t="s">
        <v>138</v>
      </c>
      <c r="G10" s="90">
        <v>2.03125</v>
      </c>
      <c r="H10" s="89" t="s">
        <v>134</v>
      </c>
      <c r="I10" s="91">
        <v>0.29770992366412213</v>
      </c>
      <c r="J10" s="89" t="s">
        <v>138</v>
      </c>
      <c r="K10" s="91">
        <v>0.375</v>
      </c>
      <c r="L10" s="89" t="s">
        <v>171</v>
      </c>
      <c r="M10" s="92">
        <v>0.27027027027027029</v>
      </c>
      <c r="N10" s="89" t="s">
        <v>161</v>
      </c>
      <c r="O10" s="92">
        <v>0.17186726102030708</v>
      </c>
      <c r="P10" s="89" t="s">
        <v>135</v>
      </c>
      <c r="Q10" s="93">
        <v>9726.1437908496737</v>
      </c>
      <c r="R10" s="89" t="s">
        <v>134</v>
      </c>
      <c r="S10" s="93">
        <v>-9575.7731958762888</v>
      </c>
      <c r="T10" s="89" t="s">
        <v>134</v>
      </c>
      <c r="U10" s="91">
        <v>0.19083969465648856</v>
      </c>
      <c r="V10" s="89" t="s">
        <v>138</v>
      </c>
      <c r="W10" s="91">
        <v>0.15625</v>
      </c>
      <c r="X10" s="89" t="s">
        <v>134</v>
      </c>
      <c r="Y10" s="91">
        <v>7.6335877862595422E-2</v>
      </c>
      <c r="Z10" s="89" t="s">
        <v>161</v>
      </c>
      <c r="AA10" s="92">
        <v>0.2895927601809955</v>
      </c>
      <c r="AB10" s="89" t="s">
        <v>138</v>
      </c>
      <c r="AC10" s="92">
        <v>0.20555555555555555</v>
      </c>
      <c r="AD10" s="89" t="s">
        <v>137</v>
      </c>
      <c r="AE10" s="92">
        <v>0.55504587155963303</v>
      </c>
      <c r="AF10" s="89" t="s">
        <v>137</v>
      </c>
      <c r="AG10" s="92">
        <v>0.38311688311688313</v>
      </c>
      <c r="AH10" s="89" t="s">
        <v>161</v>
      </c>
      <c r="AI10" s="92">
        <v>0.41785323110624317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171</v>
      </c>
      <c r="C11" s="88">
        <v>-86.4</v>
      </c>
      <c r="D11" s="89" t="s">
        <v>167</v>
      </c>
      <c r="E11" s="103">
        <v>-3.875</v>
      </c>
      <c r="F11" s="89" t="s">
        <v>134</v>
      </c>
      <c r="G11" s="90">
        <v>2.0916030534351147</v>
      </c>
      <c r="H11" s="89" t="s">
        <v>139</v>
      </c>
      <c r="I11" s="91">
        <v>0.25</v>
      </c>
      <c r="J11" s="89" t="s">
        <v>134</v>
      </c>
      <c r="K11" s="91">
        <v>0.38931297709923662</v>
      </c>
      <c r="L11" s="89" t="s">
        <v>136</v>
      </c>
      <c r="M11" s="92">
        <v>0.26315789473684209</v>
      </c>
      <c r="N11" s="89" t="s">
        <v>136</v>
      </c>
      <c r="O11" s="92">
        <v>0.18323586744639375</v>
      </c>
      <c r="P11" s="89" t="s">
        <v>157</v>
      </c>
      <c r="Q11" s="93">
        <v>9544</v>
      </c>
      <c r="R11" s="89" t="s">
        <v>139</v>
      </c>
      <c r="S11" s="93">
        <v>-9608.3333333333339</v>
      </c>
      <c r="T11" s="89" t="s">
        <v>136</v>
      </c>
      <c r="U11" s="91">
        <v>0.19402985074626866</v>
      </c>
      <c r="V11" s="89" t="s">
        <v>139</v>
      </c>
      <c r="W11" s="91">
        <v>0.14285714285714285</v>
      </c>
      <c r="X11" s="89" t="s">
        <v>136</v>
      </c>
      <c r="Y11" s="91">
        <v>5.9701492537313432E-2</v>
      </c>
      <c r="Z11" s="89" t="s">
        <v>136</v>
      </c>
      <c r="AA11" s="92">
        <v>0.26126126126126126</v>
      </c>
      <c r="AB11" s="89" t="s">
        <v>139</v>
      </c>
      <c r="AC11" s="92">
        <v>0.19879518072289157</v>
      </c>
      <c r="AD11" s="89" t="s">
        <v>138</v>
      </c>
      <c r="AE11" s="92">
        <v>0.5178571428571429</v>
      </c>
      <c r="AF11" s="89" t="s">
        <v>139</v>
      </c>
      <c r="AG11" s="92">
        <v>0.38181818181818183</v>
      </c>
      <c r="AH11" s="89" t="s">
        <v>133</v>
      </c>
      <c r="AI11" s="92">
        <v>0.37959866220735788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166</v>
      </c>
      <c r="C12" s="88">
        <v>-132.1</v>
      </c>
      <c r="D12" s="89" t="s">
        <v>139</v>
      </c>
      <c r="E12" s="103">
        <v>-4.2071428571428564</v>
      </c>
      <c r="F12" s="89" t="s">
        <v>139</v>
      </c>
      <c r="G12" s="90">
        <v>2.1785714285714284</v>
      </c>
      <c r="H12" s="89" t="s">
        <v>167</v>
      </c>
      <c r="I12" s="91">
        <v>0.25</v>
      </c>
      <c r="J12" s="89" t="s">
        <v>171</v>
      </c>
      <c r="K12" s="91">
        <v>0.4</v>
      </c>
      <c r="L12" s="89" t="s">
        <v>134</v>
      </c>
      <c r="M12" s="92">
        <v>0.26129666011787817</v>
      </c>
      <c r="N12" s="89" t="s">
        <v>134</v>
      </c>
      <c r="O12" s="92">
        <v>0.19056974459724951</v>
      </c>
      <c r="P12" s="89" t="s">
        <v>136</v>
      </c>
      <c r="Q12" s="93">
        <v>9329.6296296296296</v>
      </c>
      <c r="R12" s="89" t="s">
        <v>136</v>
      </c>
      <c r="S12" s="93">
        <v>-10007.446808510638</v>
      </c>
      <c r="T12" s="89" t="s">
        <v>139</v>
      </c>
      <c r="U12" s="91">
        <v>0.20535714285714285</v>
      </c>
      <c r="V12" s="89" t="s">
        <v>136</v>
      </c>
      <c r="W12" s="91">
        <v>0.13432835820895522</v>
      </c>
      <c r="X12" s="89" t="s">
        <v>135</v>
      </c>
      <c r="Y12" s="91">
        <v>4.9180327868852458E-2</v>
      </c>
      <c r="Z12" s="89" t="s">
        <v>171</v>
      </c>
      <c r="AA12" s="92">
        <v>0.25806451612903225</v>
      </c>
      <c r="AB12" s="89" t="s">
        <v>134</v>
      </c>
      <c r="AC12" s="92">
        <v>0.17701453104359313</v>
      </c>
      <c r="AD12" s="89" t="s">
        <v>136</v>
      </c>
      <c r="AE12" s="92">
        <v>0.48275862068965519</v>
      </c>
      <c r="AF12" s="89" t="s">
        <v>136</v>
      </c>
      <c r="AG12" s="92">
        <v>0.3707865168539326</v>
      </c>
      <c r="AH12" s="89" t="s">
        <v>167</v>
      </c>
      <c r="AI12" s="92">
        <v>0.33333333333333331</v>
      </c>
      <c r="AJ12" s="89" t="s">
        <v>194</v>
      </c>
      <c r="AK12" s="94">
        <v>5</v>
      </c>
      <c r="AL12" s="89" t="s">
        <v>157</v>
      </c>
      <c r="AM12" s="98">
        <v>67700</v>
      </c>
      <c r="AN12" s="89" t="s">
        <v>166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136</v>
      </c>
      <c r="E13" s="103">
        <v>-6.9656716417910447</v>
      </c>
      <c r="F13" s="89" t="s">
        <v>171</v>
      </c>
      <c r="G13" s="90">
        <v>2.2000000000000002</v>
      </c>
      <c r="H13" s="89" t="s">
        <v>157</v>
      </c>
      <c r="I13" s="91">
        <v>0.22580645161290322</v>
      </c>
      <c r="J13" s="89" t="s">
        <v>136</v>
      </c>
      <c r="K13" s="91">
        <v>0.41791044776119401</v>
      </c>
      <c r="L13" s="89" t="s">
        <v>250</v>
      </c>
      <c r="M13" s="92">
        <v>0.25531914893617019</v>
      </c>
      <c r="N13" s="89" t="s">
        <v>157</v>
      </c>
      <c r="O13" s="92">
        <v>0.19327731092436976</v>
      </c>
      <c r="P13" s="89" t="s">
        <v>194</v>
      </c>
      <c r="Q13" s="93">
        <v>9163.1578947368416</v>
      </c>
      <c r="R13" s="89" t="s">
        <v>194</v>
      </c>
      <c r="S13" s="93">
        <v>-10025</v>
      </c>
      <c r="T13" s="89" t="s">
        <v>157</v>
      </c>
      <c r="U13" s="91">
        <v>0.29032258064516131</v>
      </c>
      <c r="V13" s="89" t="s">
        <v>134</v>
      </c>
      <c r="W13" s="91">
        <v>0.12977099236641221</v>
      </c>
      <c r="X13" s="89" t="s">
        <v>157</v>
      </c>
      <c r="Y13" s="91">
        <v>0</v>
      </c>
      <c r="Z13" s="89" t="s">
        <v>135</v>
      </c>
      <c r="AA13" s="92">
        <v>0.23645320197044334</v>
      </c>
      <c r="AB13" s="89" t="s">
        <v>171</v>
      </c>
      <c r="AC13" s="92">
        <v>0.16129032258064516</v>
      </c>
      <c r="AD13" s="89" t="s">
        <v>250</v>
      </c>
      <c r="AE13" s="92">
        <v>0.44444444444444442</v>
      </c>
      <c r="AF13" s="89" t="s">
        <v>157</v>
      </c>
      <c r="AG13" s="92">
        <v>0.29166666666666669</v>
      </c>
      <c r="AH13" s="89" t="s">
        <v>250</v>
      </c>
      <c r="AI13" s="92">
        <v>0.33333333333333331</v>
      </c>
      <c r="AJ13" s="89" t="s">
        <v>250</v>
      </c>
      <c r="AK13" s="94">
        <v>5</v>
      </c>
      <c r="AL13" s="89" t="s">
        <v>250</v>
      </c>
      <c r="AM13" s="98">
        <v>59500</v>
      </c>
      <c r="AN13" s="89" t="s">
        <v>167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-441.09999999999997</v>
      </c>
      <c r="D14" s="89" t="s">
        <v>157</v>
      </c>
      <c r="E14" s="103">
        <v>-10.803225806451612</v>
      </c>
      <c r="F14" s="89" t="s">
        <v>136</v>
      </c>
      <c r="G14" s="90">
        <v>2.2089552238805972</v>
      </c>
      <c r="H14" s="89" t="s">
        <v>136</v>
      </c>
      <c r="I14" s="91">
        <v>0.20895522388059701</v>
      </c>
      <c r="J14" s="89" t="s">
        <v>139</v>
      </c>
      <c r="K14" s="91">
        <v>0.42857142857142855</v>
      </c>
      <c r="L14" s="89" t="s">
        <v>167</v>
      </c>
      <c r="M14" s="92">
        <v>0.25</v>
      </c>
      <c r="N14" s="89" t="s">
        <v>139</v>
      </c>
      <c r="O14" s="92">
        <v>0.20761245674740483</v>
      </c>
      <c r="P14" s="89" t="s">
        <v>250</v>
      </c>
      <c r="Q14" s="93">
        <v>8800</v>
      </c>
      <c r="R14" s="89" t="s">
        <v>250</v>
      </c>
      <c r="S14" s="93">
        <v>-10466.666666666666</v>
      </c>
      <c r="T14" s="89" t="s">
        <v>250</v>
      </c>
      <c r="U14" s="91">
        <v>0.33333333333333331</v>
      </c>
      <c r="V14" s="89" t="s">
        <v>157</v>
      </c>
      <c r="W14" s="91">
        <v>9.6774193548387094E-2</v>
      </c>
      <c r="X14" s="89" t="s">
        <v>166</v>
      </c>
      <c r="Y14" s="91">
        <v>0</v>
      </c>
      <c r="Z14" s="89" t="s">
        <v>250</v>
      </c>
      <c r="AA14" s="92">
        <v>0.19148936170212766</v>
      </c>
      <c r="AB14" s="89" t="s">
        <v>194</v>
      </c>
      <c r="AC14" s="92">
        <v>0.12</v>
      </c>
      <c r="AD14" s="89" t="s">
        <v>157</v>
      </c>
      <c r="AE14" s="92">
        <v>0.44117647058823528</v>
      </c>
      <c r="AF14" s="89" t="s">
        <v>138</v>
      </c>
      <c r="AG14" s="92">
        <v>0.21621621621621623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171</v>
      </c>
      <c r="AO14" s="95">
        <v>0</v>
      </c>
    </row>
    <row r="15" spans="1:41" x14ac:dyDescent="0.4">
      <c r="A15" s="86">
        <v>13</v>
      </c>
      <c r="B15" s="87" t="s">
        <v>136</v>
      </c>
      <c r="C15" s="88">
        <v>-466.7</v>
      </c>
      <c r="D15" s="89" t="s">
        <v>171</v>
      </c>
      <c r="E15" s="103">
        <v>-17.28</v>
      </c>
      <c r="F15" s="89" t="s">
        <v>157</v>
      </c>
      <c r="G15" s="90">
        <v>2.3225806451612905</v>
      </c>
      <c r="H15" s="89" t="s">
        <v>171</v>
      </c>
      <c r="I15" s="91">
        <v>0.2</v>
      </c>
      <c r="J15" s="89" t="s">
        <v>157</v>
      </c>
      <c r="K15" s="91">
        <v>0.54838709677419351</v>
      </c>
      <c r="L15" s="89" t="s">
        <v>157</v>
      </c>
      <c r="M15" s="92">
        <v>0.21008403361344538</v>
      </c>
      <c r="N15" s="89" t="s">
        <v>171</v>
      </c>
      <c r="O15" s="92">
        <v>0.21621621621621623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194</v>
      </c>
      <c r="AO15" s="95">
        <v>0</v>
      </c>
    </row>
    <row r="16" spans="1:41" x14ac:dyDescent="0.4">
      <c r="A16" s="86">
        <v>14</v>
      </c>
      <c r="B16" s="87" t="s">
        <v>139</v>
      </c>
      <c r="C16" s="88">
        <v>-471.19999999999993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250</v>
      </c>
      <c r="AO16" s="95">
        <v>0</v>
      </c>
    </row>
  </sheetData>
  <sortState ref="AN3:AO50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B0F33-1B95-447A-9344-DF061135EEC4}">
  <sheetPr codeName="Sheet4"/>
  <dimension ref="A1:Q79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161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795</v>
      </c>
      <c r="C2" s="145"/>
      <c r="E2" s="64" t="s">
        <v>71</v>
      </c>
      <c r="F2" s="61" t="s">
        <v>25</v>
      </c>
      <c r="G2" s="48">
        <v>1219</v>
      </c>
      <c r="H2" s="137">
        <f>IF(B$27=0,0,G2/B$27)</f>
        <v>0.87571839080459768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-16.602809706257982</v>
      </c>
      <c r="P2" s="124">
        <v>783</v>
      </c>
      <c r="Q2" s="108">
        <v>-13000</v>
      </c>
    </row>
    <row r="3" spans="1:17" x14ac:dyDescent="0.4">
      <c r="A3" s="57" t="s">
        <v>8</v>
      </c>
      <c r="B3" s="146">
        <v>6057</v>
      </c>
      <c r="C3" s="147"/>
      <c r="E3" s="65" t="s">
        <v>69</v>
      </c>
      <c r="F3" s="62" t="s">
        <v>23</v>
      </c>
      <c r="G3" s="49">
        <v>1015</v>
      </c>
      <c r="H3" s="138">
        <f>IF(B$27=0,0,G3/B$27)</f>
        <v>0.72916666666666663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-2.6560424966799467</v>
      </c>
      <c r="P3" s="125">
        <v>753</v>
      </c>
      <c r="Q3" s="109">
        <v>-2000</v>
      </c>
    </row>
    <row r="4" spans="1:17" x14ac:dyDescent="0.4">
      <c r="A4" s="57" t="s">
        <v>6</v>
      </c>
      <c r="B4" s="148">
        <v>-4.9999999999999361</v>
      </c>
      <c r="C4" s="149"/>
      <c r="E4" s="65" t="s">
        <v>76</v>
      </c>
      <c r="F4" s="62" t="s">
        <v>29</v>
      </c>
      <c r="G4" s="49">
        <v>781</v>
      </c>
      <c r="H4" s="138">
        <f>IF(B$27=0,0,G4/B$27)</f>
        <v>0.56106321839080464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0"/>
        <v>5.6980056980056979</v>
      </c>
      <c r="P4" s="125">
        <v>702</v>
      </c>
      <c r="Q4" s="109">
        <v>4000</v>
      </c>
    </row>
    <row r="5" spans="1:17" x14ac:dyDescent="0.4">
      <c r="A5" s="57" t="s">
        <v>7</v>
      </c>
      <c r="B5" s="150">
        <f>IF(B$2=0,0,B$4/B$2)</f>
        <v>-6.2893081761005486E-3</v>
      </c>
      <c r="C5" s="151"/>
      <c r="E5" s="65" t="s">
        <v>67</v>
      </c>
      <c r="F5" s="62" t="s">
        <v>21</v>
      </c>
      <c r="G5" s="49">
        <v>769</v>
      </c>
      <c r="H5" s="138">
        <f>IF(B$27=0,0,G5/B$27)</f>
        <v>0.55244252873563215</v>
      </c>
      <c r="I5" s="100">
        <v>7</v>
      </c>
      <c r="K5" s="40">
        <v>3</v>
      </c>
      <c r="L5" s="105">
        <v>0</v>
      </c>
      <c r="N5" s="121" t="s">
        <v>150</v>
      </c>
      <c r="O5" s="128">
        <f t="shared" si="0"/>
        <v>3.1595576619273302</v>
      </c>
      <c r="P5" s="125">
        <v>633</v>
      </c>
      <c r="Q5" s="109">
        <v>2000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72</v>
      </c>
      <c r="F6" s="62" t="s">
        <v>12</v>
      </c>
      <c r="G6" s="49">
        <v>427</v>
      </c>
      <c r="H6" s="138">
        <f>IF(B$27=0,0,G6/B$27)</f>
        <v>0.3067528735632184</v>
      </c>
      <c r="I6" s="100">
        <v>6</v>
      </c>
      <c r="K6" s="40">
        <v>4</v>
      </c>
      <c r="L6" s="105">
        <v>-1</v>
      </c>
      <c r="N6" s="121" t="s">
        <v>151</v>
      </c>
      <c r="O6" s="128">
        <f t="shared" si="0"/>
        <v>10.869565217391305</v>
      </c>
      <c r="P6" s="125">
        <v>552</v>
      </c>
      <c r="Q6" s="109">
        <v>6000</v>
      </c>
    </row>
    <row r="7" spans="1:17" x14ac:dyDescent="0.4">
      <c r="A7" s="57" t="s">
        <v>2</v>
      </c>
      <c r="B7" s="49">
        <v>265</v>
      </c>
      <c r="C7" s="41">
        <f>IF(B$2=0,0,B7/B$2)</f>
        <v>0.33333333333333331</v>
      </c>
      <c r="E7" s="65" t="s">
        <v>70</v>
      </c>
      <c r="F7" s="62" t="s">
        <v>24</v>
      </c>
      <c r="G7" s="49">
        <v>423</v>
      </c>
      <c r="H7" s="138">
        <f>IF(B$27=0,0,G7/B$27)</f>
        <v>0.30387931034482757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-4.5977011494252871</v>
      </c>
      <c r="P7" s="126">
        <v>435</v>
      </c>
      <c r="Q7" s="110">
        <v>-2000</v>
      </c>
    </row>
    <row r="8" spans="1:17" x14ac:dyDescent="0.4">
      <c r="A8" s="57" t="s">
        <v>3</v>
      </c>
      <c r="B8" s="49">
        <v>265</v>
      </c>
      <c r="C8" s="41">
        <f>IF(B$2=0,0,B8/B$2)</f>
        <v>0.33333333333333331</v>
      </c>
      <c r="E8" s="65" t="s">
        <v>94</v>
      </c>
      <c r="F8" s="62" t="s">
        <v>47</v>
      </c>
      <c r="G8" s="49">
        <v>215</v>
      </c>
      <c r="H8" s="138">
        <f>IF(B$27=0,0,G8/B$27)</f>
        <v>0.15445402298850575</v>
      </c>
      <c r="I8" s="100">
        <v>7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265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208</v>
      </c>
      <c r="H9" s="138">
        <f>IF(B$27=0,0,G9/B$27)</f>
        <v>0.14942528735632185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127</v>
      </c>
      <c r="C10" s="42">
        <f>IF(B$2=0,0,B10/B$2)</f>
        <v>0.15974842767295597</v>
      </c>
      <c r="E10" s="65" t="s">
        <v>68</v>
      </c>
      <c r="F10" s="62" t="s">
        <v>22</v>
      </c>
      <c r="G10" s="49">
        <v>162</v>
      </c>
      <c r="H10" s="138">
        <f>IF(B$27=0,0,G10/B$27)</f>
        <v>0.11637931034482758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-2.1652671755725184</v>
      </c>
      <c r="P10" s="124">
        <v>262</v>
      </c>
      <c r="Q10" s="112">
        <v>-567.29999999999984</v>
      </c>
    </row>
    <row r="11" spans="1:17" x14ac:dyDescent="0.4">
      <c r="A11" s="58" t="s">
        <v>155</v>
      </c>
      <c r="B11" s="50">
        <v>127</v>
      </c>
      <c r="C11" s="42">
        <f>IF(B$2=0,0,B11/B$2)</f>
        <v>0.15974842767295597</v>
      </c>
      <c r="E11" s="65" t="s">
        <v>74</v>
      </c>
      <c r="F11" s="62" t="s">
        <v>27</v>
      </c>
      <c r="G11" s="49">
        <v>140</v>
      </c>
      <c r="H11" s="138">
        <f>IF(B$27=0,0,G11/B$27)</f>
        <v>0.10057471264367816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0.59732824427480957</v>
      </c>
      <c r="P11" s="125">
        <v>262</v>
      </c>
      <c r="Q11" s="113">
        <v>156.50000000000011</v>
      </c>
    </row>
    <row r="12" spans="1:17" x14ac:dyDescent="0.4">
      <c r="A12" s="59" t="s">
        <v>239</v>
      </c>
      <c r="B12" s="51">
        <v>67</v>
      </c>
      <c r="C12" s="44">
        <f>IF(B$2=0,0,B12/B$2)</f>
        <v>8.4276729559748423E-2</v>
      </c>
      <c r="E12" s="65" t="s">
        <v>91</v>
      </c>
      <c r="F12" s="62" t="s">
        <v>44</v>
      </c>
      <c r="G12" s="49">
        <v>94</v>
      </c>
      <c r="H12" s="138">
        <f>IF(B$27=0,0,G12/B$27)</f>
        <v>6.7528735632183909E-2</v>
      </c>
      <c r="I12" s="100">
        <v>8</v>
      </c>
      <c r="K12" s="40">
        <v>10</v>
      </c>
      <c r="L12" s="105">
        <v>85.2</v>
      </c>
      <c r="N12" s="122" t="s">
        <v>255</v>
      </c>
      <c r="O12" s="132">
        <f>IF(P12=0,0,Q12/P12)</f>
        <v>1.5488549618320615</v>
      </c>
      <c r="P12" s="126">
        <v>262</v>
      </c>
      <c r="Q12" s="114">
        <v>405.80000000000013</v>
      </c>
    </row>
    <row r="13" spans="1:17" x14ac:dyDescent="0.4">
      <c r="A13" s="60" t="s">
        <v>128</v>
      </c>
      <c r="B13" s="52">
        <v>1344</v>
      </c>
      <c r="C13" s="46">
        <f>IF(B$26=0,0,B13/B$26)</f>
        <v>0.2895927601809955</v>
      </c>
      <c r="E13" s="65" t="s">
        <v>75</v>
      </c>
      <c r="F13" s="62" t="s">
        <v>28</v>
      </c>
      <c r="G13" s="49">
        <v>68</v>
      </c>
      <c r="H13" s="138">
        <f>IF(B$27=0,0,G13/B$27)</f>
        <v>4.8850574712643681E-2</v>
      </c>
      <c r="I13" s="100">
        <v>5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1020</v>
      </c>
      <c r="C14" s="41">
        <f>IF(B$26=0,0,B14/B$26)</f>
        <v>0.21978021978021978</v>
      </c>
      <c r="E14" s="65" t="s">
        <v>88</v>
      </c>
      <c r="F14" s="62" t="s">
        <v>41</v>
      </c>
      <c r="G14" s="49">
        <v>65</v>
      </c>
      <c r="H14" s="138">
        <f>IF(B$27=0,0,G14/B$27)</f>
        <v>4.6695402298850573E-2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780</v>
      </c>
      <c r="C15" s="39">
        <f>IF(B$13=0,0,B15/B$13)</f>
        <v>0.5803571428571429</v>
      </c>
      <c r="E15" s="65" t="s">
        <v>82</v>
      </c>
      <c r="F15" s="62" t="s">
        <v>35</v>
      </c>
      <c r="G15" s="49">
        <v>46</v>
      </c>
      <c r="H15" s="138">
        <f>IF(B$27=0,0,G15/B$27)</f>
        <v>3.3045977011494254E-2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404</v>
      </c>
      <c r="C16" s="39">
        <f>IF(B$14=0,0,B16/B$14)</f>
        <v>0.396078431372549</v>
      </c>
      <c r="E16" s="65" t="s">
        <v>86</v>
      </c>
      <c r="F16" s="62" t="s">
        <v>39</v>
      </c>
      <c r="G16" s="49">
        <v>41</v>
      </c>
      <c r="H16" s="138">
        <f>IF(B$27=0,0,G16/B$27)</f>
        <v>2.9454022988505746E-2</v>
      </c>
      <c r="I16" s="100">
        <v>5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1826</v>
      </c>
      <c r="C17" s="39">
        <f>IF(B$3=0,0,B17/B$3)</f>
        <v>0.30146937427769521</v>
      </c>
      <c r="E17" s="65" t="s">
        <v>96</v>
      </c>
      <c r="F17" s="62" t="s">
        <v>49</v>
      </c>
      <c r="G17" s="49">
        <v>26</v>
      </c>
      <c r="H17" s="138">
        <f>IF(B$27=0,0,G17/B$27)</f>
        <v>1.8678160919540231E-2</v>
      </c>
      <c r="I17" s="100">
        <v>5</v>
      </c>
      <c r="K17" s="40">
        <v>15</v>
      </c>
      <c r="L17" s="105">
        <v>0</v>
      </c>
      <c r="N17" s="121" t="s">
        <v>157</v>
      </c>
      <c r="O17" s="131">
        <f>IF(P17=0,0,Q17/P17)</f>
        <v>16.204838709677421</v>
      </c>
      <c r="P17" s="125">
        <v>62</v>
      </c>
      <c r="Q17" s="113">
        <v>1004.7</v>
      </c>
    </row>
    <row r="18" spans="1:17" x14ac:dyDescent="0.4">
      <c r="A18" s="57" t="s">
        <v>12</v>
      </c>
      <c r="B18" s="49">
        <v>763</v>
      </c>
      <c r="C18" s="41">
        <f>IF(B$17=0,0,B18/B$17)</f>
        <v>0.41785323110624317</v>
      </c>
      <c r="E18" s="65" t="s">
        <v>83</v>
      </c>
      <c r="F18" s="62" t="s">
        <v>36</v>
      </c>
      <c r="G18" s="49">
        <v>22</v>
      </c>
      <c r="H18" s="138">
        <f>IF(B$27=0,0,G18/B$27)</f>
        <v>1.5804597701149427E-2</v>
      </c>
      <c r="I18" s="100">
        <v>6</v>
      </c>
      <c r="K18" s="40">
        <v>16</v>
      </c>
      <c r="L18" s="105">
        <v>-48</v>
      </c>
      <c r="N18" s="121" t="s">
        <v>136</v>
      </c>
      <c r="O18" s="131">
        <f>IF(P18=0,0,Q18/P18)</f>
        <v>10.448507462686569</v>
      </c>
      <c r="P18" s="125">
        <v>134</v>
      </c>
      <c r="Q18" s="113">
        <v>1400.1000000000004</v>
      </c>
    </row>
    <row r="19" spans="1:17" x14ac:dyDescent="0.4">
      <c r="A19" s="57" t="s">
        <v>11</v>
      </c>
      <c r="B19" s="49">
        <v>1063</v>
      </c>
      <c r="C19" s="41">
        <f>IF(B$17=0,0,B19/B$17)</f>
        <v>0.58214676889375683</v>
      </c>
      <c r="E19" s="65" t="s">
        <v>77</v>
      </c>
      <c r="F19" s="62" t="s">
        <v>30</v>
      </c>
      <c r="G19" s="49">
        <v>13</v>
      </c>
      <c r="H19" s="138">
        <f>IF(B$27=0,0,G19/B$27)</f>
        <v>9.3390804597701157E-3</v>
      </c>
      <c r="I19" s="100">
        <v>4</v>
      </c>
      <c r="K19" s="40">
        <v>17</v>
      </c>
      <c r="L19" s="105">
        <v>-8</v>
      </c>
      <c r="N19" s="121" t="s">
        <v>139</v>
      </c>
      <c r="O19" s="131">
        <f>IF(P19=0,0,Q19/P19)</f>
        <v>6.3062499999999968</v>
      </c>
      <c r="P19" s="125">
        <v>224</v>
      </c>
      <c r="Q19" s="113">
        <v>1412.5999999999992</v>
      </c>
    </row>
    <row r="20" spans="1:17" x14ac:dyDescent="0.4">
      <c r="A20" s="57" t="s">
        <v>13</v>
      </c>
      <c r="B20" s="49">
        <v>1041</v>
      </c>
      <c r="C20" s="41">
        <f>IF(B$3=0,0,B20/B$3)</f>
        <v>0.17186726102030708</v>
      </c>
      <c r="E20" s="65" t="s">
        <v>79</v>
      </c>
      <c r="F20" s="62" t="s">
        <v>32</v>
      </c>
      <c r="G20" s="49">
        <v>9</v>
      </c>
      <c r="H20" s="138">
        <f>IF(B$27=0,0,G20/B$27)</f>
        <v>6.4655172413793103E-3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10226.670317634173</v>
      </c>
      <c r="C21" s="43">
        <v>18673900</v>
      </c>
      <c r="E21" s="65" t="s">
        <v>81</v>
      </c>
      <c r="F21" s="62" t="s">
        <v>34</v>
      </c>
      <c r="G21" s="49">
        <v>8</v>
      </c>
      <c r="H21" s="138">
        <f>IF(B$27=0,0,G21/B$27)</f>
        <v>5.7471264367816091E-3</v>
      </c>
      <c r="I21" s="100">
        <v>4</v>
      </c>
      <c r="K21" s="40">
        <v>19</v>
      </c>
      <c r="L21" s="105">
        <v>-6.1</v>
      </c>
      <c r="N21" s="121" t="s">
        <v>250</v>
      </c>
      <c r="O21" s="131">
        <f>IF(P21=0,0,Q21/P21)</f>
        <v>5.1249999999999991</v>
      </c>
      <c r="P21" s="125">
        <v>12</v>
      </c>
      <c r="Q21" s="113">
        <v>61.499999999999986</v>
      </c>
    </row>
    <row r="22" spans="1:17" x14ac:dyDescent="0.4">
      <c r="A22" s="59" t="s">
        <v>14</v>
      </c>
      <c r="B22" s="54">
        <f>IF(B$20=0,0,C22/B$20)</f>
        <v>-9452.6416906820359</v>
      </c>
      <c r="C22" s="47">
        <v>-9840200</v>
      </c>
      <c r="E22" s="65" t="s">
        <v>97</v>
      </c>
      <c r="F22" s="62" t="s">
        <v>50</v>
      </c>
      <c r="G22" s="49">
        <v>8</v>
      </c>
      <c r="H22" s="138">
        <f>IF(B$27=0,0,G22/B$27)</f>
        <v>5.7471264367816091E-3</v>
      </c>
      <c r="I22" s="100">
        <v>5</v>
      </c>
      <c r="K22" s="40">
        <v>20</v>
      </c>
      <c r="L22" s="105">
        <v>4.9000000000000004</v>
      </c>
      <c r="N22" s="121" t="s">
        <v>134</v>
      </c>
      <c r="O22" s="131">
        <f>IF(P22=0,0,Q22/P22)</f>
        <v>5.0354961832061038</v>
      </c>
      <c r="P22" s="125">
        <v>262</v>
      </c>
      <c r="Q22" s="113">
        <v>1319.2999999999993</v>
      </c>
    </row>
    <row r="23" spans="1:17" x14ac:dyDescent="0.4">
      <c r="A23" s="96" t="s">
        <v>158</v>
      </c>
      <c r="B23" s="154">
        <v>10</v>
      </c>
      <c r="C23" s="155"/>
      <c r="E23" s="65" t="s">
        <v>98</v>
      </c>
      <c r="F23" s="62" t="s">
        <v>51</v>
      </c>
      <c r="G23" s="49">
        <v>6</v>
      </c>
      <c r="H23" s="138">
        <f>IF(B$27=0,0,G23/B$27)</f>
        <v>4.3103448275862068E-3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-0.38437499999999858</v>
      </c>
      <c r="P23" s="125">
        <v>64</v>
      </c>
      <c r="Q23" s="113">
        <v>-24.599999999999909</v>
      </c>
    </row>
    <row r="24" spans="1:17" x14ac:dyDescent="0.4">
      <c r="A24" s="60" t="s">
        <v>199</v>
      </c>
      <c r="B24" s="152">
        <v>124700</v>
      </c>
      <c r="C24" s="153"/>
      <c r="E24" s="65" t="s">
        <v>78</v>
      </c>
      <c r="F24" s="62" t="s">
        <v>31</v>
      </c>
      <c r="G24" s="49">
        <v>5</v>
      </c>
      <c r="H24" s="138">
        <f>IF(B$27=0,0,G24/B$27)</f>
        <v>3.5919540229885057E-3</v>
      </c>
      <c r="I24" s="100">
        <v>5</v>
      </c>
      <c r="K24" s="40">
        <v>22</v>
      </c>
      <c r="L24" s="105">
        <v>-36</v>
      </c>
      <c r="N24" s="121" t="s">
        <v>137</v>
      </c>
      <c r="O24" s="131">
        <f>IF(P24=0,0,Q24/P24)</f>
        <v>-2.9414414414414405</v>
      </c>
      <c r="P24" s="125">
        <v>222</v>
      </c>
      <c r="Q24" s="113">
        <v>-652.99999999999977</v>
      </c>
    </row>
    <row r="25" spans="1:17" x14ac:dyDescent="0.4">
      <c r="A25" s="59" t="s">
        <v>159</v>
      </c>
      <c r="B25" s="67">
        <v>20</v>
      </c>
      <c r="C25" s="44">
        <f>IF(B$3=0,0,B25/B$3)</f>
        <v>3.3019646689780419E-3</v>
      </c>
      <c r="E25" s="65" t="s">
        <v>90</v>
      </c>
      <c r="F25" s="62" t="s">
        <v>43</v>
      </c>
      <c r="G25" s="49">
        <v>5</v>
      </c>
      <c r="H25" s="138">
        <f>IF(B$27=0,0,G25/B$27)</f>
        <v>3.5919540229885057E-3</v>
      </c>
      <c r="I25" s="100">
        <v>4</v>
      </c>
      <c r="K25" s="40">
        <v>23</v>
      </c>
      <c r="L25" s="105">
        <v>-3</v>
      </c>
      <c r="N25" s="121" t="s">
        <v>135</v>
      </c>
      <c r="O25" s="131">
        <f>IF(P25=0,0,Q25/P25)</f>
        <v>-6.3245901639344204</v>
      </c>
      <c r="P25" s="125">
        <v>122</v>
      </c>
      <c r="Q25" s="113">
        <v>-771.59999999999934</v>
      </c>
    </row>
    <row r="26" spans="1:17" x14ac:dyDescent="0.4">
      <c r="A26" s="56" t="s">
        <v>126</v>
      </c>
      <c r="B26" s="144">
        <v>4641</v>
      </c>
      <c r="C26" s="145"/>
      <c r="E26" s="65" t="s">
        <v>89</v>
      </c>
      <c r="F26" s="62" t="s">
        <v>42</v>
      </c>
      <c r="G26" s="49">
        <v>4</v>
      </c>
      <c r="H26" s="138">
        <f>IF(B$27=0,0,G26/B$27)</f>
        <v>2.8735632183908046E-3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-9.5755555555555478</v>
      </c>
      <c r="P26" s="125">
        <v>450</v>
      </c>
      <c r="Q26" s="113">
        <v>-4308.9999999999964</v>
      </c>
    </row>
    <row r="27" spans="1:17" x14ac:dyDescent="0.4">
      <c r="A27" s="59" t="s">
        <v>127</v>
      </c>
      <c r="B27" s="158">
        <v>1392</v>
      </c>
      <c r="C27" s="159"/>
      <c r="E27" s="65" t="s">
        <v>92</v>
      </c>
      <c r="F27" s="62" t="s">
        <v>45</v>
      </c>
      <c r="G27" s="49">
        <v>3</v>
      </c>
      <c r="H27" s="138">
        <f>IF(B$27=0,0,G27/B$27)</f>
        <v>2.1551724137931034E-3</v>
      </c>
      <c r="I27" s="100">
        <v>3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85</v>
      </c>
      <c r="F28" s="62" t="s">
        <v>38</v>
      </c>
      <c r="G28" s="49">
        <v>1</v>
      </c>
      <c r="H28" s="138">
        <f>IF(B$27=0,0,G28/B$27)</f>
        <v>7.1839080459770114E-4</v>
      </c>
      <c r="I28" s="100">
        <v>2</v>
      </c>
      <c r="K28" s="40">
        <v>26</v>
      </c>
      <c r="L28" s="105">
        <v>11.5</v>
      </c>
    </row>
    <row r="29" spans="1:17" x14ac:dyDescent="0.4">
      <c r="E29" s="65" t="s">
        <v>93</v>
      </c>
      <c r="F29" s="62" t="s">
        <v>46</v>
      </c>
      <c r="G29" s="49">
        <v>1</v>
      </c>
      <c r="H29" s="138">
        <f>IF(B$27=0,0,G29/B$27)</f>
        <v>7.1839080459770114E-4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95</v>
      </c>
      <c r="F30" s="62" t="s">
        <v>48</v>
      </c>
      <c r="G30" s="49">
        <v>1</v>
      </c>
      <c r="H30" s="138">
        <f>IF(B$27=0,0,G30/B$27)</f>
        <v>7.1839080459770114E-4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38">
        <f>IF(B$27=0,0,G31/B$27)</f>
        <v>7.1839080459770114E-4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38">
        <f>IF(B$27=0,0,G32/B$27)</f>
        <v>7.1839080459770114E-4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38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E855E-782C-41BD-9D1D-605E7E53E39D}">
  <sheetPr codeName="Sheet7"/>
  <dimension ref="A1:Q22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133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225</v>
      </c>
      <c r="C2" s="145"/>
      <c r="E2" s="64" t="s">
        <v>71</v>
      </c>
      <c r="F2" s="61" t="s">
        <v>25</v>
      </c>
      <c r="G2" s="48">
        <v>383</v>
      </c>
      <c r="H2" s="137">
        <f>IF(B$27=0,0,G2/B$27)</f>
        <v>0.86651583710407243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1355.6561085972851</v>
      </c>
      <c r="P2" s="124">
        <v>221</v>
      </c>
      <c r="Q2" s="108">
        <v>299600</v>
      </c>
    </row>
    <row r="3" spans="1:17" x14ac:dyDescent="0.4">
      <c r="A3" s="57" t="s">
        <v>8</v>
      </c>
      <c r="B3" s="146">
        <v>1697</v>
      </c>
      <c r="C3" s="147"/>
      <c r="E3" s="65" t="s">
        <v>69</v>
      </c>
      <c r="F3" s="62" t="s">
        <v>23</v>
      </c>
      <c r="G3" s="49">
        <v>313</v>
      </c>
      <c r="H3" s="138">
        <f>IF(B$27=0,0,G3/B$27)</f>
        <v>0.70814479638009054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306.57276995305165</v>
      </c>
      <c r="P3" s="125">
        <v>213</v>
      </c>
      <c r="Q3" s="109">
        <v>65300</v>
      </c>
    </row>
    <row r="4" spans="1:17" x14ac:dyDescent="0.4">
      <c r="A4" s="57" t="s">
        <v>6</v>
      </c>
      <c r="B4" s="148">
        <v>1434.9999999999998</v>
      </c>
      <c r="C4" s="149"/>
      <c r="E4" s="65" t="s">
        <v>67</v>
      </c>
      <c r="F4" s="62" t="s">
        <v>21</v>
      </c>
      <c r="G4" s="49">
        <v>238</v>
      </c>
      <c r="H4" s="138">
        <f>IF(B$27=0,0,G4/B$27)</f>
        <v>0.53846153846153844</v>
      </c>
      <c r="I4" s="100">
        <v>8</v>
      </c>
      <c r="K4" s="40">
        <v>2</v>
      </c>
      <c r="L4" s="105">
        <v>14</v>
      </c>
      <c r="N4" s="121" t="s">
        <v>149</v>
      </c>
      <c r="O4" s="128">
        <f t="shared" si="0"/>
        <v>1775.2525252525252</v>
      </c>
      <c r="P4" s="125">
        <v>198</v>
      </c>
      <c r="Q4" s="109">
        <v>351500</v>
      </c>
    </row>
    <row r="5" spans="1:17" x14ac:dyDescent="0.4">
      <c r="A5" s="57" t="s">
        <v>7</v>
      </c>
      <c r="B5" s="150">
        <f>IF(B$2=0,0,B$4/B$2)</f>
        <v>6.3777777777777764</v>
      </c>
      <c r="C5" s="151"/>
      <c r="E5" s="65" t="s">
        <v>76</v>
      </c>
      <c r="F5" s="62" t="s">
        <v>29</v>
      </c>
      <c r="G5" s="49">
        <v>234</v>
      </c>
      <c r="H5" s="138">
        <f>IF(B$27=0,0,G5/B$27)</f>
        <v>0.52941176470588236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1385.4748603351954</v>
      </c>
      <c r="P5" s="125">
        <v>179</v>
      </c>
      <c r="Q5" s="109">
        <v>248000</v>
      </c>
    </row>
    <row r="6" spans="1:17" x14ac:dyDescent="0.4">
      <c r="A6" s="57" t="s">
        <v>1</v>
      </c>
      <c r="B6" s="156">
        <f>IF(B$2=0,0,(B$7*1+B$8*2+B$9*3)/B$2)</f>
        <v>1.7822222222222222</v>
      </c>
      <c r="C6" s="157"/>
      <c r="E6" s="65" t="s">
        <v>72</v>
      </c>
      <c r="F6" s="62" t="s">
        <v>12</v>
      </c>
      <c r="G6" s="49">
        <v>127</v>
      </c>
      <c r="H6" s="138">
        <f>IF(B$27=0,0,G6/B$27)</f>
        <v>0.28733031674208143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1435.8974358974358</v>
      </c>
      <c r="P6" s="125">
        <v>156</v>
      </c>
      <c r="Q6" s="109">
        <v>224000</v>
      </c>
    </row>
    <row r="7" spans="1:17" x14ac:dyDescent="0.4">
      <c r="A7" s="57" t="s">
        <v>2</v>
      </c>
      <c r="B7" s="49">
        <v>97</v>
      </c>
      <c r="C7" s="41">
        <f>IF(B$2=0,0,B7/B$2)</f>
        <v>0.43111111111111111</v>
      </c>
      <c r="E7" s="65" t="s">
        <v>70</v>
      </c>
      <c r="F7" s="62" t="s">
        <v>24</v>
      </c>
      <c r="G7" s="49">
        <v>124</v>
      </c>
      <c r="H7" s="138">
        <f>IF(B$27=0,0,G7/B$27)</f>
        <v>0.28054298642533937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1712.1951219512196</v>
      </c>
      <c r="P7" s="126">
        <v>123</v>
      </c>
      <c r="Q7" s="110">
        <v>210600</v>
      </c>
    </row>
    <row r="8" spans="1:17" x14ac:dyDescent="0.4">
      <c r="A8" s="57" t="s">
        <v>3</v>
      </c>
      <c r="B8" s="49">
        <v>80</v>
      </c>
      <c r="C8" s="41">
        <f>IF(B$2=0,0,B8/B$2)</f>
        <v>0.35555555555555557</v>
      </c>
      <c r="E8" s="65" t="s">
        <v>94</v>
      </c>
      <c r="F8" s="62" t="s">
        <v>47</v>
      </c>
      <c r="G8" s="49">
        <v>81</v>
      </c>
      <c r="H8" s="138">
        <f>IF(B$27=0,0,G8/B$27)</f>
        <v>0.18325791855203619</v>
      </c>
      <c r="I8" s="100">
        <v>3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48</v>
      </c>
      <c r="C9" s="42">
        <f t="shared" ref="C9" si="1">IF(B$2=0,0,B9/B$2)</f>
        <v>0.21333333333333335</v>
      </c>
      <c r="E9" s="65" t="s">
        <v>73</v>
      </c>
      <c r="F9" s="62" t="s">
        <v>26</v>
      </c>
      <c r="G9" s="49">
        <v>69</v>
      </c>
      <c r="H9" s="138">
        <f>IF(B$27=0,0,G9/B$27)</f>
        <v>0.15610859728506787</v>
      </c>
      <c r="I9" s="100">
        <v>5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0.10666666666666667</v>
      </c>
      <c r="E10" s="65" t="s">
        <v>68</v>
      </c>
      <c r="F10" s="62" t="s">
        <v>22</v>
      </c>
      <c r="G10" s="49">
        <v>49</v>
      </c>
      <c r="H10" s="138">
        <f>IF(B$27=0,0,G10/B$27)</f>
        <v>0.11085972850678733</v>
      </c>
      <c r="I10" s="100">
        <v>8</v>
      </c>
      <c r="K10" s="40">
        <v>8</v>
      </c>
      <c r="L10" s="105">
        <v>55.700000000000017</v>
      </c>
      <c r="N10" s="120" t="s">
        <v>253</v>
      </c>
      <c r="O10" s="130">
        <f>IF(P10=0,0,Q10/P10)</f>
        <v>8.4460000000000033</v>
      </c>
      <c r="P10" s="124">
        <v>50</v>
      </c>
      <c r="Q10" s="112">
        <v>422.30000000000013</v>
      </c>
    </row>
    <row r="11" spans="1:17" x14ac:dyDescent="0.4">
      <c r="A11" s="58" t="s">
        <v>155</v>
      </c>
      <c r="B11" s="50">
        <v>44</v>
      </c>
      <c r="C11" s="42">
        <f>IF(B$2=0,0,B11/B$2)</f>
        <v>0.19555555555555557</v>
      </c>
      <c r="E11" s="65" t="s">
        <v>74</v>
      </c>
      <c r="F11" s="62" t="s">
        <v>27</v>
      </c>
      <c r="G11" s="49">
        <v>37</v>
      </c>
      <c r="H11" s="138">
        <f>IF(B$27=0,0,G11/B$27)</f>
        <v>8.3710407239818999E-2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5.5666666666666673</v>
      </c>
      <c r="P11" s="125">
        <v>69</v>
      </c>
      <c r="Q11" s="113">
        <v>384.1</v>
      </c>
    </row>
    <row r="12" spans="1:17" x14ac:dyDescent="0.4">
      <c r="A12" s="59" t="s">
        <v>239</v>
      </c>
      <c r="B12" s="51">
        <v>23</v>
      </c>
      <c r="C12" s="44">
        <f>IF(B$2=0,0,B12/B$2)</f>
        <v>0.10222222222222223</v>
      </c>
      <c r="E12" s="65" t="s">
        <v>75</v>
      </c>
      <c r="F12" s="62" t="s">
        <v>28</v>
      </c>
      <c r="G12" s="49">
        <v>31</v>
      </c>
      <c r="H12" s="138">
        <f>IF(B$27=0,0,G12/B$27)</f>
        <v>7.0135746606334842E-2</v>
      </c>
      <c r="I12" s="100">
        <v>2</v>
      </c>
      <c r="K12" s="40">
        <v>10</v>
      </c>
      <c r="L12" s="105">
        <v>-16.799999999999983</v>
      </c>
      <c r="N12" s="122" t="s">
        <v>255</v>
      </c>
      <c r="O12" s="132">
        <f>IF(P12=0,0,Q12/P12)</f>
        <v>5.8349514563106792</v>
      </c>
      <c r="P12" s="126">
        <v>103</v>
      </c>
      <c r="Q12" s="114">
        <v>601</v>
      </c>
    </row>
    <row r="13" spans="1:17" x14ac:dyDescent="0.4">
      <c r="A13" s="60" t="s">
        <v>128</v>
      </c>
      <c r="B13" s="52">
        <v>379</v>
      </c>
      <c r="C13" s="46">
        <f>IF(B$26=0,0,B13/B$26)</f>
        <v>0.30539887187751813</v>
      </c>
      <c r="E13" s="65" t="s">
        <v>91</v>
      </c>
      <c r="F13" s="62" t="s">
        <v>44</v>
      </c>
      <c r="G13" s="49">
        <v>28</v>
      </c>
      <c r="H13" s="138">
        <f>IF(B$27=0,0,G13/B$27)</f>
        <v>6.3348416289592757E-2</v>
      </c>
      <c r="I13" s="100">
        <v>9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257</v>
      </c>
      <c r="C14" s="41">
        <f>IF(B$26=0,0,B14/B$26)</f>
        <v>0.20709105560032232</v>
      </c>
      <c r="E14" s="65" t="s">
        <v>88</v>
      </c>
      <c r="F14" s="62" t="s">
        <v>41</v>
      </c>
      <c r="G14" s="49">
        <v>13</v>
      </c>
      <c r="H14" s="138">
        <f>IF(B$27=0,0,G14/B$27)</f>
        <v>2.9411764705882353E-2</v>
      </c>
      <c r="I14" s="100">
        <v>9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240</v>
      </c>
      <c r="C15" s="39">
        <f>IF(B$13=0,0,B15/B$13)</f>
        <v>0.63324538258575203</v>
      </c>
      <c r="E15" s="65" t="s">
        <v>86</v>
      </c>
      <c r="F15" s="62" t="s">
        <v>39</v>
      </c>
      <c r="G15" s="49">
        <v>10</v>
      </c>
      <c r="H15" s="138">
        <f>IF(B$27=0,0,G15/B$27)</f>
        <v>2.2624434389140271E-2</v>
      </c>
      <c r="I15" s="100">
        <v>7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124</v>
      </c>
      <c r="C16" s="39">
        <f>IF(B$14=0,0,B16/B$14)</f>
        <v>0.48249027237354086</v>
      </c>
      <c r="E16" s="65" t="s">
        <v>82</v>
      </c>
      <c r="F16" s="62" t="s">
        <v>35</v>
      </c>
      <c r="G16" s="49">
        <v>7</v>
      </c>
      <c r="H16" s="138">
        <f>IF(B$27=0,0,G16/B$27)</f>
        <v>1.5837104072398189E-2</v>
      </c>
      <c r="I16" s="100">
        <v>8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598</v>
      </c>
      <c r="C17" s="39">
        <f>IF(B$3=0,0,B17/B$3)</f>
        <v>0.35238656452563349</v>
      </c>
      <c r="E17" s="65" t="s">
        <v>96</v>
      </c>
      <c r="F17" s="62" t="s">
        <v>49</v>
      </c>
      <c r="G17" s="49">
        <v>7</v>
      </c>
      <c r="H17" s="138">
        <f>IF(B$27=0,0,G17/B$27)</f>
        <v>1.5837104072398189E-2</v>
      </c>
      <c r="I17" s="100">
        <v>8</v>
      </c>
      <c r="K17" s="40">
        <v>15</v>
      </c>
      <c r="L17" s="105">
        <v>-9.6999999999999886</v>
      </c>
      <c r="N17" s="121" t="s">
        <v>157</v>
      </c>
      <c r="O17" s="131">
        <f>IF(P17=0,0,Q17/P17)</f>
        <v>27.285714285714285</v>
      </c>
      <c r="P17" s="125">
        <v>21</v>
      </c>
      <c r="Q17" s="113">
        <v>573</v>
      </c>
    </row>
    <row r="18" spans="1:17" x14ac:dyDescent="0.4">
      <c r="A18" s="57" t="s">
        <v>12</v>
      </c>
      <c r="B18" s="49">
        <v>227</v>
      </c>
      <c r="C18" s="41">
        <f>IF(B$17=0,0,B18/B$17)</f>
        <v>0.37959866220735788</v>
      </c>
      <c r="E18" s="65" t="s">
        <v>83</v>
      </c>
      <c r="F18" s="62" t="s">
        <v>36</v>
      </c>
      <c r="G18" s="49">
        <v>5</v>
      </c>
      <c r="H18" s="138">
        <f>IF(B$27=0,0,G18/B$27)</f>
        <v>1.1312217194570135E-2</v>
      </c>
      <c r="I18" s="100">
        <v>9</v>
      </c>
      <c r="K18" s="40">
        <v>16</v>
      </c>
      <c r="L18" s="105">
        <v>-8.099999999999989</v>
      </c>
      <c r="N18" s="121" t="s">
        <v>136</v>
      </c>
      <c r="O18" s="131">
        <f>IF(P18=0,0,Q18/P18)</f>
        <v>14.775471698113213</v>
      </c>
      <c r="P18" s="125">
        <v>53</v>
      </c>
      <c r="Q18" s="113">
        <v>783.10000000000025</v>
      </c>
    </row>
    <row r="19" spans="1:17" x14ac:dyDescent="0.4">
      <c r="A19" s="57" t="s">
        <v>11</v>
      </c>
      <c r="B19" s="49">
        <v>371</v>
      </c>
      <c r="C19" s="41">
        <f>IF(B$17=0,0,B19/B$17)</f>
        <v>0.62040133779264217</v>
      </c>
      <c r="E19" s="65" t="s">
        <v>79</v>
      </c>
      <c r="F19" s="62" t="s">
        <v>32</v>
      </c>
      <c r="G19" s="49">
        <v>4</v>
      </c>
      <c r="H19" s="138">
        <f>IF(B$27=0,0,G19/B$27)</f>
        <v>9.0497737556561094E-3</v>
      </c>
      <c r="I19" s="100">
        <v>3</v>
      </c>
      <c r="K19" s="40">
        <v>17</v>
      </c>
      <c r="L19" s="105">
        <v>-29.499999999999986</v>
      </c>
      <c r="N19" s="121" t="s">
        <v>139</v>
      </c>
      <c r="O19" s="131">
        <f>IF(P19=0,0,Q19/P19)</f>
        <v>10.960227272727273</v>
      </c>
      <c r="P19" s="125">
        <v>88</v>
      </c>
      <c r="Q19" s="113">
        <v>964.5</v>
      </c>
    </row>
    <row r="20" spans="1:17" x14ac:dyDescent="0.4">
      <c r="A20" s="57" t="s">
        <v>13</v>
      </c>
      <c r="B20" s="49">
        <v>244</v>
      </c>
      <c r="C20" s="41">
        <f>IF(B$3=0,0,B20/B$3)</f>
        <v>0.14378314672952269</v>
      </c>
      <c r="E20" s="65" t="s">
        <v>81</v>
      </c>
      <c r="F20" s="62" t="s">
        <v>34</v>
      </c>
      <c r="G20" s="49">
        <v>4</v>
      </c>
      <c r="H20" s="138">
        <f>IF(B$27=0,0,G20/B$27)</f>
        <v>9.0497737556561094E-3</v>
      </c>
      <c r="I20" s="100">
        <v>3</v>
      </c>
      <c r="K20" s="40">
        <v>18</v>
      </c>
      <c r="L20" s="105">
        <v>-14.599999999999985</v>
      </c>
      <c r="N20" s="121" t="s">
        <v>138</v>
      </c>
      <c r="O20" s="131">
        <f>IF(P20=0,0,Q20/P20)</f>
        <v>9.1555555555555568</v>
      </c>
      <c r="P20" s="125">
        <v>27</v>
      </c>
      <c r="Q20" s="113">
        <v>247.20000000000005</v>
      </c>
    </row>
    <row r="21" spans="1:17" x14ac:dyDescent="0.4">
      <c r="A21" s="57" t="s">
        <v>5</v>
      </c>
      <c r="B21" s="53">
        <f>IF(B$17=0,0,C21/B$17)</f>
        <v>9950.1672240802673</v>
      </c>
      <c r="C21" s="43">
        <v>5950200</v>
      </c>
      <c r="E21" s="65" t="s">
        <v>77</v>
      </c>
      <c r="F21" s="62" t="s">
        <v>30</v>
      </c>
      <c r="G21" s="49">
        <v>3</v>
      </c>
      <c r="H21" s="138">
        <f>IF(B$27=0,0,G21/B$27)</f>
        <v>6.7873303167420816E-3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8.562385321100912</v>
      </c>
      <c r="P21" s="125">
        <v>109</v>
      </c>
      <c r="Q21" s="113">
        <v>933.2999999999995</v>
      </c>
    </row>
    <row r="22" spans="1:17" x14ac:dyDescent="0.4">
      <c r="A22" s="59" t="s">
        <v>14</v>
      </c>
      <c r="B22" s="54">
        <f>IF(B$20=0,0,C22/B$20)</f>
        <v>-9389.3442622950824</v>
      </c>
      <c r="C22" s="47">
        <v>-2291000</v>
      </c>
      <c r="E22" s="65" t="s">
        <v>97</v>
      </c>
      <c r="F22" s="62" t="s">
        <v>50</v>
      </c>
      <c r="G22" s="49">
        <v>3</v>
      </c>
      <c r="H22" s="138">
        <f>IF(B$27=0,0,G22/B$27)</f>
        <v>6.7873303167420816E-3</v>
      </c>
      <c r="I22" s="100">
        <v>4</v>
      </c>
      <c r="K22" s="40">
        <v>20</v>
      </c>
      <c r="L22" s="105">
        <v>68.800000000000011</v>
      </c>
      <c r="N22" s="121" t="s">
        <v>167</v>
      </c>
      <c r="O22" s="131">
        <f>IF(P22=0,0,Q22/P22)</f>
        <v>8</v>
      </c>
      <c r="P22" s="125">
        <v>1</v>
      </c>
      <c r="Q22" s="113">
        <v>8</v>
      </c>
    </row>
    <row r="23" spans="1:17" x14ac:dyDescent="0.4">
      <c r="A23" s="96" t="s">
        <v>158</v>
      </c>
      <c r="B23" s="154">
        <v>10</v>
      </c>
      <c r="C23" s="155"/>
      <c r="E23" s="65" t="s">
        <v>78</v>
      </c>
      <c r="F23" s="62" t="s">
        <v>31</v>
      </c>
      <c r="G23" s="49">
        <v>2</v>
      </c>
      <c r="H23" s="138">
        <f>IF(B$27=0,0,G23/B$27)</f>
        <v>4.5248868778280547E-3</v>
      </c>
      <c r="I23" s="100">
        <v>3</v>
      </c>
      <c r="K23" s="40">
        <v>21</v>
      </c>
      <c r="L23" s="105">
        <v>125.30000000000001</v>
      </c>
      <c r="N23" s="121" t="s">
        <v>137</v>
      </c>
      <c r="O23" s="131">
        <f>IF(P23=0,0,Q23/P23)</f>
        <v>3.9043478260869553</v>
      </c>
      <c r="P23" s="125">
        <v>92</v>
      </c>
      <c r="Q23" s="113">
        <v>359.19999999999987</v>
      </c>
    </row>
    <row r="24" spans="1:17" x14ac:dyDescent="0.4">
      <c r="A24" s="60" t="s">
        <v>199</v>
      </c>
      <c r="B24" s="152">
        <v>120200</v>
      </c>
      <c r="C24" s="153"/>
      <c r="E24" s="65" t="s">
        <v>92</v>
      </c>
      <c r="F24" s="62" t="s">
        <v>45</v>
      </c>
      <c r="G24" s="49">
        <v>2</v>
      </c>
      <c r="H24" s="138">
        <f>IF(B$27=0,0,G24/B$27)</f>
        <v>4.5248868778280547E-3</v>
      </c>
      <c r="I24" s="100">
        <v>2</v>
      </c>
      <c r="K24" s="40">
        <v>22</v>
      </c>
      <c r="L24" s="105">
        <v>99.800000000000011</v>
      </c>
      <c r="N24" s="121" t="s">
        <v>135</v>
      </c>
      <c r="O24" s="131">
        <f>IF(P24=0,0,Q24/P24)</f>
        <v>0.85769230769230687</v>
      </c>
      <c r="P24" s="125">
        <v>52</v>
      </c>
      <c r="Q24" s="113">
        <v>44.599999999999959</v>
      </c>
    </row>
    <row r="25" spans="1:17" x14ac:dyDescent="0.4">
      <c r="A25" s="59" t="s">
        <v>159</v>
      </c>
      <c r="B25" s="67">
        <v>2</v>
      </c>
      <c r="C25" s="44">
        <f>IF(B$3=0,0,B25/B$3)</f>
        <v>1.1785503830288745E-3</v>
      </c>
      <c r="E25" s="65" t="s">
        <v>90</v>
      </c>
      <c r="F25" s="62" t="s">
        <v>43</v>
      </c>
      <c r="G25" s="49">
        <v>1</v>
      </c>
      <c r="H25" s="138">
        <f>IF(B$27=0,0,G25/B$27)</f>
        <v>2.2624434389140274E-3</v>
      </c>
      <c r="I25" s="100">
        <v>5</v>
      </c>
      <c r="K25" s="40">
        <v>23</v>
      </c>
      <c r="L25" s="105">
        <v>124.50000000000001</v>
      </c>
      <c r="N25" s="121" t="s">
        <v>250</v>
      </c>
      <c r="O25" s="131">
        <f>IF(P25=0,0,Q25/P25)</f>
        <v>-8.4000000000000021</v>
      </c>
      <c r="P25" s="125">
        <v>2</v>
      </c>
      <c r="Q25" s="113">
        <v>-16.800000000000004</v>
      </c>
    </row>
    <row r="26" spans="1:17" x14ac:dyDescent="0.4">
      <c r="A26" s="56" t="s">
        <v>126</v>
      </c>
      <c r="B26" s="144">
        <v>1241</v>
      </c>
      <c r="C26" s="145"/>
      <c r="E26" s="65" t="s">
        <v>95</v>
      </c>
      <c r="F26" s="62" t="s">
        <v>48</v>
      </c>
      <c r="G26" s="49">
        <v>1</v>
      </c>
      <c r="H26" s="138">
        <f>IF(B$27=0,0,G26/B$27)</f>
        <v>2.2624434389140274E-3</v>
      </c>
      <c r="I26" s="100">
        <v>1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8">
        <v>442</v>
      </c>
      <c r="C27" s="159"/>
      <c r="E27" s="65" t="s">
        <v>98</v>
      </c>
      <c r="F27" s="62" t="s">
        <v>51</v>
      </c>
      <c r="G27" s="49">
        <v>1</v>
      </c>
      <c r="H27" s="138">
        <f>IF(B$27=0,0,G27/B$27)</f>
        <v>2.2624434389140274E-3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38">
        <f>IF(B$27=0,0,G28/B$27)</f>
        <v>2.2624434389140274E-3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38">
        <f>IF(B$27=0,0,G29/B$27)</f>
        <v>2.2624434389140274E-3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38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38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38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E21E-9B88-4A1A-90DF-0EA9F293567F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166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4</v>
      </c>
      <c r="C2" s="145"/>
      <c r="E2" s="64" t="s">
        <v>67</v>
      </c>
      <c r="F2" s="61" t="s">
        <v>21</v>
      </c>
      <c r="G2" s="48">
        <v>0</v>
      </c>
      <c r="H2" s="137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6">
        <v>25</v>
      </c>
      <c r="C3" s="147"/>
      <c r="E3" s="65" t="s">
        <v>68</v>
      </c>
      <c r="F3" s="62" t="s">
        <v>22</v>
      </c>
      <c r="G3" s="49">
        <v>0</v>
      </c>
      <c r="H3" s="138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8">
        <v>-132.1</v>
      </c>
      <c r="C4" s="149"/>
      <c r="E4" s="65" t="s">
        <v>69</v>
      </c>
      <c r="F4" s="62" t="s">
        <v>23</v>
      </c>
      <c r="G4" s="49">
        <v>0</v>
      </c>
      <c r="H4" s="138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0">
        <f>IF(B$2=0,0,B$4/B$2)</f>
        <v>-33.024999999999999</v>
      </c>
      <c r="C5" s="151"/>
      <c r="E5" s="65" t="s">
        <v>70</v>
      </c>
      <c r="F5" s="62" t="s">
        <v>24</v>
      </c>
      <c r="G5" s="49">
        <v>0</v>
      </c>
      <c r="H5" s="138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6">
        <f>IF(B$2=0,0,(B$7*1+B$8*2+B$9*3)/B$2)</f>
        <v>3</v>
      </c>
      <c r="C6" s="157"/>
      <c r="E6" s="65" t="s">
        <v>71</v>
      </c>
      <c r="F6" s="62" t="s">
        <v>25</v>
      </c>
      <c r="G6" s="49">
        <v>0</v>
      </c>
      <c r="H6" s="138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38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38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38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38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8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8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38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38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8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8">
        <f>IF(B$27=0,0,G16/B$27)</f>
        <v>0</v>
      </c>
      <c r="I16" s="100">
        <v>6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38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8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8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38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38">
        <f>IF(B$27=0,0,G21/B$27)</f>
        <v>0</v>
      </c>
      <c r="I21" s="100">
        <v>9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0</v>
      </c>
      <c r="C23" s="155"/>
      <c r="E23" s="65" t="s">
        <v>88</v>
      </c>
      <c r="F23" s="62" t="s">
        <v>41</v>
      </c>
      <c r="G23" s="49">
        <v>0</v>
      </c>
      <c r="H23" s="138">
        <f>IF(B$27=0,0,G23/B$27)</f>
        <v>0</v>
      </c>
      <c r="I23" s="100">
        <v>12</v>
      </c>
    </row>
    <row r="24" spans="1:17" x14ac:dyDescent="0.4">
      <c r="A24" s="60" t="s">
        <v>199</v>
      </c>
      <c r="B24" s="152">
        <v>13000</v>
      </c>
      <c r="C24" s="153"/>
      <c r="E24" s="65" t="s">
        <v>89</v>
      </c>
      <c r="F24" s="62" t="s">
        <v>42</v>
      </c>
      <c r="G24" s="49">
        <v>0</v>
      </c>
      <c r="H24" s="138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8">
        <f>IF(B$27=0,0,G25/B$27)</f>
        <v>0</v>
      </c>
      <c r="I25" s="100">
        <v>6</v>
      </c>
    </row>
    <row r="26" spans="1:17" x14ac:dyDescent="0.4">
      <c r="A26" s="56" t="s">
        <v>126</v>
      </c>
      <c r="B26" s="144">
        <v>0</v>
      </c>
      <c r="C26" s="145"/>
      <c r="E26" s="65" t="s">
        <v>91</v>
      </c>
      <c r="F26" s="62" t="s">
        <v>44</v>
      </c>
      <c r="G26" s="49">
        <v>0</v>
      </c>
      <c r="H26" s="138">
        <f>IF(B$27=0,0,G26/B$27)</f>
        <v>0</v>
      </c>
      <c r="I26" s="100">
        <v>14</v>
      </c>
    </row>
    <row r="27" spans="1:17" x14ac:dyDescent="0.4">
      <c r="A27" s="59" t="s">
        <v>127</v>
      </c>
      <c r="B27" s="158">
        <v>0</v>
      </c>
      <c r="C27" s="159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8D48E-51BA-4762-AF2A-315E44646569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167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4</v>
      </c>
      <c r="C2" s="145"/>
      <c r="E2" s="64" t="s">
        <v>69</v>
      </c>
      <c r="F2" s="61" t="s">
        <v>23</v>
      </c>
      <c r="G2" s="48">
        <v>5</v>
      </c>
      <c r="H2" s="137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6">
        <v>24</v>
      </c>
      <c r="C3" s="147"/>
      <c r="E3" s="65" t="s">
        <v>76</v>
      </c>
      <c r="F3" s="62" t="s">
        <v>29</v>
      </c>
      <c r="G3" s="49">
        <v>3</v>
      </c>
      <c r="H3" s="138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8">
        <v>-15.5</v>
      </c>
      <c r="C4" s="149"/>
      <c r="E4" s="65" t="s">
        <v>67</v>
      </c>
      <c r="F4" s="62" t="s">
        <v>21</v>
      </c>
      <c r="G4" s="49">
        <v>2</v>
      </c>
      <c r="H4" s="138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0">
        <f>IF(B$2=0,0,B$4/B$2)</f>
        <v>-3.875</v>
      </c>
      <c r="C5" s="151"/>
      <c r="E5" s="65" t="s">
        <v>70</v>
      </c>
      <c r="F5" s="62" t="s">
        <v>24</v>
      </c>
      <c r="G5" s="49">
        <v>2</v>
      </c>
      <c r="H5" s="138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71</v>
      </c>
      <c r="F6" s="62" t="s">
        <v>25</v>
      </c>
      <c r="G6" s="49">
        <v>2</v>
      </c>
      <c r="H6" s="138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38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38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38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38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8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8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38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6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3</v>
      </c>
      <c r="C23" s="15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2">
        <v>46000</v>
      </c>
      <c r="C24" s="15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19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8">
        <v>4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C66B-0345-4E5C-A739-F30DF8F43708}">
  <sheetPr codeName="Sheet13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134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131</v>
      </c>
      <c r="C2" s="145"/>
      <c r="E2" s="64" t="s">
        <v>71</v>
      </c>
      <c r="F2" s="61" t="s">
        <v>25</v>
      </c>
      <c r="G2" s="48">
        <v>157</v>
      </c>
      <c r="H2" s="137">
        <f>IF(B$27=0,0,G2/B$27)</f>
        <v>0.76585365853658538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-600.77519379844966</v>
      </c>
      <c r="P2" s="124">
        <v>129</v>
      </c>
      <c r="Q2" s="108">
        <v>-77500</v>
      </c>
    </row>
    <row r="3" spans="1:17" x14ac:dyDescent="0.4">
      <c r="A3" s="57" t="s">
        <v>8</v>
      </c>
      <c r="B3" s="146">
        <v>1018</v>
      </c>
      <c r="C3" s="147"/>
      <c r="E3" s="65" t="s">
        <v>69</v>
      </c>
      <c r="F3" s="62" t="s">
        <v>23</v>
      </c>
      <c r="G3" s="49">
        <v>145</v>
      </c>
      <c r="H3" s="138">
        <f>IF(B$27=0,0,G3/B$27)</f>
        <v>0.70731707317073167</v>
      </c>
      <c r="I3" s="100">
        <v>8</v>
      </c>
      <c r="K3" s="40">
        <v>1</v>
      </c>
      <c r="L3" s="105">
        <v>40.9</v>
      </c>
      <c r="N3" s="121" t="s">
        <v>148</v>
      </c>
      <c r="O3" s="128">
        <f t="shared" si="0"/>
        <v>-1015.2</v>
      </c>
      <c r="P3" s="125">
        <v>125</v>
      </c>
      <c r="Q3" s="109">
        <v>-126900</v>
      </c>
    </row>
    <row r="4" spans="1:17" x14ac:dyDescent="0.4">
      <c r="A4" s="57" t="s">
        <v>6</v>
      </c>
      <c r="B4" s="148">
        <v>-441.09999999999997</v>
      </c>
      <c r="C4" s="149"/>
      <c r="E4" s="65" t="s">
        <v>67</v>
      </c>
      <c r="F4" s="62" t="s">
        <v>21</v>
      </c>
      <c r="G4" s="49">
        <v>128</v>
      </c>
      <c r="H4" s="138">
        <f>IF(B$27=0,0,G4/B$27)</f>
        <v>0.62439024390243902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1363.6363636363637</v>
      </c>
      <c r="P4" s="125">
        <v>121</v>
      </c>
      <c r="Q4" s="109">
        <v>165000</v>
      </c>
    </row>
    <row r="5" spans="1:17" x14ac:dyDescent="0.4">
      <c r="A5" s="57" t="s">
        <v>7</v>
      </c>
      <c r="B5" s="150">
        <f>IF(B$2=0,0,B$4/B$2)</f>
        <v>-3.3671755725190837</v>
      </c>
      <c r="C5" s="151"/>
      <c r="E5" s="65" t="s">
        <v>76</v>
      </c>
      <c r="F5" s="62" t="s">
        <v>29</v>
      </c>
      <c r="G5" s="49">
        <v>103</v>
      </c>
      <c r="H5" s="138">
        <f>IF(B$27=0,0,G5/B$27)</f>
        <v>0.5024390243902439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-1027.7777777777778</v>
      </c>
      <c r="P5" s="125">
        <v>108</v>
      </c>
      <c r="Q5" s="109">
        <v>-111000</v>
      </c>
    </row>
    <row r="6" spans="1:17" x14ac:dyDescent="0.4">
      <c r="A6" s="57" t="s">
        <v>1</v>
      </c>
      <c r="B6" s="156">
        <f>IF(B$2=0,0,(B$7*1+B$8*2+B$9*3)/B$2)</f>
        <v>2.0916030534351147</v>
      </c>
      <c r="C6" s="157"/>
      <c r="E6" s="65" t="s">
        <v>72</v>
      </c>
      <c r="F6" s="62" t="s">
        <v>12</v>
      </c>
      <c r="G6" s="49">
        <v>73</v>
      </c>
      <c r="H6" s="138">
        <f>IF(B$27=0,0,G6/B$27)</f>
        <v>0.35609756097560974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-1981.5217391304348</v>
      </c>
      <c r="P6" s="125">
        <v>92</v>
      </c>
      <c r="Q6" s="109">
        <v>-182300</v>
      </c>
    </row>
    <row r="7" spans="1:17" x14ac:dyDescent="0.4">
      <c r="A7" s="57" t="s">
        <v>2</v>
      </c>
      <c r="B7" s="49">
        <v>39</v>
      </c>
      <c r="C7" s="41">
        <f>IF(B$2=0,0,B7/B$2)</f>
        <v>0.29770992366412213</v>
      </c>
      <c r="E7" s="65" t="s">
        <v>70</v>
      </c>
      <c r="F7" s="62" t="s">
        <v>24</v>
      </c>
      <c r="G7" s="49">
        <v>65</v>
      </c>
      <c r="H7" s="138">
        <f>IF(B$27=0,0,G7/B$27)</f>
        <v>0.31707317073170732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-2033.3333333333333</v>
      </c>
      <c r="P7" s="126">
        <v>72</v>
      </c>
      <c r="Q7" s="110">
        <v>-146400</v>
      </c>
    </row>
    <row r="8" spans="1:17" x14ac:dyDescent="0.4">
      <c r="A8" s="57" t="s">
        <v>3</v>
      </c>
      <c r="B8" s="49">
        <v>41</v>
      </c>
      <c r="C8" s="41">
        <f>IF(B$2=0,0,B8/B$2)</f>
        <v>0.31297709923664124</v>
      </c>
      <c r="E8" s="65" t="s">
        <v>94</v>
      </c>
      <c r="F8" s="62" t="s">
        <v>47</v>
      </c>
      <c r="G8" s="49">
        <v>35</v>
      </c>
      <c r="H8" s="138">
        <f>IF(B$27=0,0,G8/B$27)</f>
        <v>0.17073170731707318</v>
      </c>
      <c r="I8" s="100">
        <v>5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0.38931297709923662</v>
      </c>
      <c r="E9" s="65" t="s">
        <v>73</v>
      </c>
      <c r="F9" s="62" t="s">
        <v>26</v>
      </c>
      <c r="G9" s="49">
        <v>32</v>
      </c>
      <c r="H9" s="138">
        <f>IF(B$27=0,0,G9/B$27)</f>
        <v>0.15609756097560976</v>
      </c>
      <c r="I9" s="100">
        <v>6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0.19083969465648856</v>
      </c>
      <c r="E10" s="65" t="s">
        <v>68</v>
      </c>
      <c r="F10" s="62" t="s">
        <v>22</v>
      </c>
      <c r="G10" s="49">
        <v>30</v>
      </c>
      <c r="H10" s="138">
        <f>IF(B$27=0,0,G10/B$27)</f>
        <v>0.14634146341463414</v>
      </c>
      <c r="I10" s="100">
        <v>4</v>
      </c>
      <c r="K10" s="40">
        <v>8</v>
      </c>
      <c r="L10" s="105">
        <v>60.199999999999996</v>
      </c>
      <c r="N10" s="120" t="s">
        <v>253</v>
      </c>
      <c r="O10" s="130">
        <f>IF(P10=0,0,Q10/P10)</f>
        <v>-7.3357142857142845</v>
      </c>
      <c r="P10" s="124">
        <v>42</v>
      </c>
      <c r="Q10" s="112">
        <v>-308.09999999999997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0.12977099236641221</v>
      </c>
      <c r="E11" s="65" t="s">
        <v>74</v>
      </c>
      <c r="F11" s="62" t="s">
        <v>27</v>
      </c>
      <c r="G11" s="49">
        <v>29</v>
      </c>
      <c r="H11" s="138">
        <f>IF(B$27=0,0,G11/B$27)</f>
        <v>0.14146341463414633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-4.5624999999999991</v>
      </c>
      <c r="P11" s="125">
        <v>48</v>
      </c>
      <c r="Q11" s="113">
        <v>-218.99999999999997</v>
      </c>
    </row>
    <row r="12" spans="1:17" x14ac:dyDescent="0.4">
      <c r="A12" s="59" t="s">
        <v>239</v>
      </c>
      <c r="B12" s="51">
        <v>10</v>
      </c>
      <c r="C12" s="44">
        <f>IF(B$2=0,0,B12/B$2)</f>
        <v>7.6335877862595422E-2</v>
      </c>
      <c r="E12" s="65" t="s">
        <v>91</v>
      </c>
      <c r="F12" s="62" t="s">
        <v>44</v>
      </c>
      <c r="G12" s="49">
        <v>19</v>
      </c>
      <c r="H12" s="138">
        <f>IF(B$27=0,0,G12/B$27)</f>
        <v>9.2682926829268292E-2</v>
      </c>
      <c r="I12" s="100">
        <v>4</v>
      </c>
      <c r="K12" s="40">
        <v>10</v>
      </c>
      <c r="L12" s="105">
        <v>-20.100000000000001</v>
      </c>
      <c r="N12" s="122" t="s">
        <v>255</v>
      </c>
      <c r="O12" s="132">
        <f>IF(P12=0,0,Q12/P12)</f>
        <v>0.9</v>
      </c>
      <c r="P12" s="126">
        <v>40</v>
      </c>
      <c r="Q12" s="114">
        <v>36</v>
      </c>
    </row>
    <row r="13" spans="1:17" x14ac:dyDescent="0.4">
      <c r="A13" s="60" t="s">
        <v>128</v>
      </c>
      <c r="B13" s="52">
        <v>224</v>
      </c>
      <c r="C13" s="46">
        <f>IF(B$26=0,0,B13/B$26)</f>
        <v>0.29590488771466317</v>
      </c>
      <c r="E13" s="65" t="s">
        <v>88</v>
      </c>
      <c r="F13" s="62" t="s">
        <v>41</v>
      </c>
      <c r="G13" s="49">
        <v>16</v>
      </c>
      <c r="H13" s="138">
        <f>IF(B$27=0,0,G13/B$27)</f>
        <v>7.8048780487804878E-2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134</v>
      </c>
      <c r="C14" s="41">
        <f>IF(B$26=0,0,B14/B$26)</f>
        <v>0.17701453104359313</v>
      </c>
      <c r="E14" s="65" t="s">
        <v>86</v>
      </c>
      <c r="F14" s="62" t="s">
        <v>39</v>
      </c>
      <c r="G14" s="49">
        <v>10</v>
      </c>
      <c r="H14" s="138">
        <f>IF(B$27=0,0,G14/B$27)</f>
        <v>4.878048780487805E-2</v>
      </c>
      <c r="I14" s="100">
        <v>2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129</v>
      </c>
      <c r="C15" s="39">
        <f>IF(B$13=0,0,B15/B$13)</f>
        <v>0.5758928571428571</v>
      </c>
      <c r="E15" s="65" t="s">
        <v>96</v>
      </c>
      <c r="F15" s="62" t="s">
        <v>49</v>
      </c>
      <c r="G15" s="49">
        <v>7</v>
      </c>
      <c r="H15" s="138">
        <f>IF(B$27=0,0,G15/B$27)</f>
        <v>3.4146341463414637E-2</v>
      </c>
      <c r="I15" s="100">
        <v>2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52</v>
      </c>
      <c r="C16" s="39">
        <f>IF(B$14=0,0,B16/B$14)</f>
        <v>0.38805970149253732</v>
      </c>
      <c r="E16" s="65" t="s">
        <v>75</v>
      </c>
      <c r="F16" s="62" t="s">
        <v>28</v>
      </c>
      <c r="G16" s="49">
        <v>6</v>
      </c>
      <c r="H16" s="138">
        <f>IF(B$27=0,0,G16/B$27)</f>
        <v>2.9268292682926831E-2</v>
      </c>
      <c r="I16" s="100">
        <v>9</v>
      </c>
      <c r="K16" s="40">
        <v>14</v>
      </c>
      <c r="L16" s="105">
        <v>33</v>
      </c>
      <c r="N16" s="121" t="s">
        <v>136</v>
      </c>
      <c r="O16" s="131">
        <f>IF(P16=0,0,Q16/P16)</f>
        <v>26.972222222222218</v>
      </c>
      <c r="P16" s="125">
        <v>18</v>
      </c>
      <c r="Q16" s="113">
        <v>485.49999999999994</v>
      </c>
    </row>
    <row r="17" spans="1:17" x14ac:dyDescent="0.4">
      <c r="A17" s="56" t="s">
        <v>10</v>
      </c>
      <c r="B17" s="48">
        <f>B19+B18</f>
        <v>266</v>
      </c>
      <c r="C17" s="39">
        <f>IF(B$3=0,0,B17/B$3)</f>
        <v>0.26129666011787817</v>
      </c>
      <c r="E17" s="65" t="s">
        <v>82</v>
      </c>
      <c r="F17" s="62" t="s">
        <v>35</v>
      </c>
      <c r="G17" s="49">
        <v>5</v>
      </c>
      <c r="H17" s="138">
        <f>IF(B$27=0,0,G17/B$27)</f>
        <v>2.4390243902439025E-2</v>
      </c>
      <c r="I17" s="100">
        <v>7</v>
      </c>
      <c r="K17" s="40">
        <v>15</v>
      </c>
      <c r="L17" s="105">
        <v>38.5</v>
      </c>
      <c r="N17" s="121" t="s">
        <v>167</v>
      </c>
      <c r="O17" s="131">
        <f>IF(P17=0,0,Q17/P17)</f>
        <v>26.466666666666669</v>
      </c>
      <c r="P17" s="125">
        <v>3</v>
      </c>
      <c r="Q17" s="113">
        <v>79.400000000000006</v>
      </c>
    </row>
    <row r="18" spans="1:17" x14ac:dyDescent="0.4">
      <c r="A18" s="57" t="s">
        <v>12</v>
      </c>
      <c r="B18" s="49">
        <v>116</v>
      </c>
      <c r="C18" s="41">
        <f>IF(B$17=0,0,B18/B$17)</f>
        <v>0.43609022556390975</v>
      </c>
      <c r="E18" s="65" t="s">
        <v>83</v>
      </c>
      <c r="F18" s="62" t="s">
        <v>36</v>
      </c>
      <c r="G18" s="49">
        <v>3</v>
      </c>
      <c r="H18" s="138">
        <f>IF(B$27=0,0,G18/B$27)</f>
        <v>1.4634146341463415E-2</v>
      </c>
      <c r="I18" s="100">
        <v>7</v>
      </c>
      <c r="K18" s="40">
        <v>16</v>
      </c>
      <c r="L18" s="105">
        <v>14.600000000000001</v>
      </c>
      <c r="N18" s="121" t="s">
        <v>139</v>
      </c>
      <c r="O18" s="131">
        <f>IF(P18=0,0,Q18/P18)</f>
        <v>3.4244444444444424</v>
      </c>
      <c r="P18" s="125">
        <v>45</v>
      </c>
      <c r="Q18" s="113">
        <v>154.09999999999991</v>
      </c>
    </row>
    <row r="19" spans="1:17" x14ac:dyDescent="0.4">
      <c r="A19" s="57" t="s">
        <v>11</v>
      </c>
      <c r="B19" s="49">
        <v>150</v>
      </c>
      <c r="C19" s="41">
        <f>IF(B$17=0,0,B19/B$17)</f>
        <v>0.56390977443609025</v>
      </c>
      <c r="E19" s="65" t="s">
        <v>89</v>
      </c>
      <c r="F19" s="62" t="s">
        <v>42</v>
      </c>
      <c r="G19" s="49">
        <v>2</v>
      </c>
      <c r="H19" s="138">
        <f>IF(B$27=0,0,G19/B$27)</f>
        <v>9.7560975609756097E-3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194</v>
      </c>
      <c r="C20" s="41">
        <f>IF(B$3=0,0,B20/B$3)</f>
        <v>0.19056974459724951</v>
      </c>
      <c r="E20" s="65" t="s">
        <v>90</v>
      </c>
      <c r="F20" s="62" t="s">
        <v>43</v>
      </c>
      <c r="G20" s="49">
        <v>2</v>
      </c>
      <c r="H20" s="138">
        <f>IF(B$27=0,0,G20/B$27)</f>
        <v>9.7560975609756097E-3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-8.562385321100912</v>
      </c>
      <c r="P20" s="125">
        <v>109</v>
      </c>
      <c r="Q20" s="113">
        <v>-933.2999999999995</v>
      </c>
    </row>
    <row r="21" spans="1:17" x14ac:dyDescent="0.4">
      <c r="A21" s="57" t="s">
        <v>5</v>
      </c>
      <c r="B21" s="53">
        <f>IF(B$17=0,0,C21/B$17)</f>
        <v>11045.112781954887</v>
      </c>
      <c r="C21" s="43">
        <v>2938000</v>
      </c>
      <c r="E21" s="65" t="s">
        <v>97</v>
      </c>
      <c r="F21" s="62" t="s">
        <v>50</v>
      </c>
      <c r="G21" s="49">
        <v>2</v>
      </c>
      <c r="H21" s="138">
        <f>IF(B$27=0,0,G21/B$27)</f>
        <v>9.7560975609756097E-3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-9575.7731958762888</v>
      </c>
      <c r="C22" s="47">
        <v>-1857700</v>
      </c>
      <c r="E22" s="65" t="s">
        <v>77</v>
      </c>
      <c r="F22" s="62" t="s">
        <v>30</v>
      </c>
      <c r="G22" s="49">
        <v>1</v>
      </c>
      <c r="H22" s="138">
        <f>IF(B$27=0,0,G22/B$27)</f>
        <v>4.8780487804878049E-3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-15.51666666666666</v>
      </c>
      <c r="P22" s="125">
        <v>36</v>
      </c>
      <c r="Q22" s="113">
        <v>-558.5999999999998</v>
      </c>
    </row>
    <row r="23" spans="1:17" x14ac:dyDescent="0.4">
      <c r="A23" s="96" t="s">
        <v>158</v>
      </c>
      <c r="B23" s="154">
        <v>10</v>
      </c>
      <c r="C23" s="155"/>
      <c r="E23" s="65" t="s">
        <v>78</v>
      </c>
      <c r="F23" s="62" t="s">
        <v>31</v>
      </c>
      <c r="G23" s="49">
        <v>1</v>
      </c>
      <c r="H23" s="138">
        <f>IF(B$27=0,0,G23/B$27)</f>
        <v>4.8780487804878049E-3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-15.664705882352939</v>
      </c>
      <c r="P23" s="125">
        <v>34</v>
      </c>
      <c r="Q23" s="113">
        <v>-532.59999999999991</v>
      </c>
    </row>
    <row r="24" spans="1:17" x14ac:dyDescent="0.4">
      <c r="A24" s="60" t="s">
        <v>199</v>
      </c>
      <c r="B24" s="152">
        <v>97700</v>
      </c>
      <c r="C24" s="153"/>
      <c r="E24" s="65" t="s">
        <v>85</v>
      </c>
      <c r="F24" s="62" t="s">
        <v>38</v>
      </c>
      <c r="G24" s="49">
        <v>1</v>
      </c>
      <c r="H24" s="138">
        <f>IF(B$27=0,0,G24/B$27)</f>
        <v>4.8780487804878049E-3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3.929273084479371E-3</v>
      </c>
      <c r="E25" s="65" t="s">
        <v>92</v>
      </c>
      <c r="F25" s="62" t="s">
        <v>45</v>
      </c>
      <c r="G25" s="49">
        <v>1</v>
      </c>
      <c r="H25" s="138">
        <f>IF(B$27=0,0,G25/B$27)</f>
        <v>4.8780487804878049E-3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4">
        <v>757</v>
      </c>
      <c r="C26" s="145"/>
      <c r="E26" s="65" t="s">
        <v>93</v>
      </c>
      <c r="F26" s="62" t="s">
        <v>46</v>
      </c>
      <c r="G26" s="49">
        <v>1</v>
      </c>
      <c r="H26" s="138">
        <f>IF(B$27=0,0,G26/B$27)</f>
        <v>4.8780487804878049E-3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8">
        <v>205</v>
      </c>
      <c r="C27" s="159"/>
      <c r="E27" s="65" t="s">
        <v>79</v>
      </c>
      <c r="F27" s="62" t="s">
        <v>32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38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5830-C844-4225-8E28-CBA41B9D4F56}">
  <sheetPr codeName="Sheet15"/>
  <dimension ref="A1:Q6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135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61</v>
      </c>
      <c r="C2" s="145"/>
      <c r="E2" s="64" t="s">
        <v>71</v>
      </c>
      <c r="F2" s="61" t="s">
        <v>25</v>
      </c>
      <c r="G2" s="48">
        <v>60</v>
      </c>
      <c r="H2" s="137">
        <f>IF(B$27=0,0,G2/B$27)</f>
        <v>0.90909090909090906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-408.19672131147541</v>
      </c>
      <c r="P2" s="124">
        <v>61</v>
      </c>
      <c r="Q2" s="108">
        <v>-24900</v>
      </c>
    </row>
    <row r="3" spans="1:17" x14ac:dyDescent="0.4">
      <c r="A3" s="57" t="s">
        <v>8</v>
      </c>
      <c r="B3" s="146">
        <v>441</v>
      </c>
      <c r="C3" s="147"/>
      <c r="E3" s="65" t="s">
        <v>69</v>
      </c>
      <c r="F3" s="62" t="s">
        <v>23</v>
      </c>
      <c r="G3" s="49">
        <v>57</v>
      </c>
      <c r="H3" s="138">
        <f>IF(B$27=0,0,G3/B$27)</f>
        <v>0.86363636363636365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2170.6896551724139</v>
      </c>
      <c r="P3" s="125">
        <v>58</v>
      </c>
      <c r="Q3" s="109">
        <v>125900</v>
      </c>
    </row>
    <row r="4" spans="1:17" x14ac:dyDescent="0.4">
      <c r="A4" s="57" t="s">
        <v>6</v>
      </c>
      <c r="B4" s="148">
        <v>256.20000000000005</v>
      </c>
      <c r="C4" s="149"/>
      <c r="E4" s="65" t="s">
        <v>76</v>
      </c>
      <c r="F4" s="62" t="s">
        <v>29</v>
      </c>
      <c r="G4" s="49">
        <v>43</v>
      </c>
      <c r="H4" s="138">
        <f>IF(B$27=0,0,G4/B$27)</f>
        <v>0.65151515151515149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-1817.8571428571429</v>
      </c>
      <c r="P4" s="125">
        <v>56</v>
      </c>
      <c r="Q4" s="109">
        <v>-101800</v>
      </c>
    </row>
    <row r="5" spans="1:17" x14ac:dyDescent="0.4">
      <c r="A5" s="57" t="s">
        <v>7</v>
      </c>
      <c r="B5" s="150">
        <f>IF(B$2=0,0,B$4/B$2)</f>
        <v>4.2000000000000011</v>
      </c>
      <c r="C5" s="151"/>
      <c r="E5" s="65" t="s">
        <v>67</v>
      </c>
      <c r="F5" s="62" t="s">
        <v>21</v>
      </c>
      <c r="G5" s="49">
        <v>28</v>
      </c>
      <c r="H5" s="138">
        <f>IF(B$27=0,0,G5/B$27)</f>
        <v>0.42424242424242425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-312.7659574468085</v>
      </c>
      <c r="P5" s="125">
        <v>47</v>
      </c>
      <c r="Q5" s="109">
        <v>-14700</v>
      </c>
    </row>
    <row r="6" spans="1:17" x14ac:dyDescent="0.4">
      <c r="A6" s="57" t="s">
        <v>1</v>
      </c>
      <c r="B6" s="156">
        <f>IF(B$2=0,0,(B$7*1+B$8*2+B$9*3)/B$2)</f>
        <v>1.9180327868852458</v>
      </c>
      <c r="C6" s="157"/>
      <c r="E6" s="65" t="s">
        <v>72</v>
      </c>
      <c r="F6" s="62" t="s">
        <v>12</v>
      </c>
      <c r="G6" s="49">
        <v>19</v>
      </c>
      <c r="H6" s="138">
        <f>IF(B$27=0,0,G6/B$27)</f>
        <v>0.2878787878787879</v>
      </c>
      <c r="I6" s="100">
        <v>7</v>
      </c>
      <c r="K6" s="40">
        <v>4</v>
      </c>
      <c r="L6" s="105">
        <v>-53.7</v>
      </c>
      <c r="N6" s="121" t="s">
        <v>151</v>
      </c>
      <c r="O6" s="128">
        <f t="shared" si="0"/>
        <v>7068.292682926829</v>
      </c>
      <c r="P6" s="125">
        <v>41</v>
      </c>
      <c r="Q6" s="109">
        <v>289800</v>
      </c>
    </row>
    <row r="7" spans="1:17" x14ac:dyDescent="0.4">
      <c r="A7" s="57" t="s">
        <v>2</v>
      </c>
      <c r="B7" s="49">
        <v>21</v>
      </c>
      <c r="C7" s="41">
        <f>IF(B$2=0,0,B7/B$2)</f>
        <v>0.34426229508196721</v>
      </c>
      <c r="E7" s="65" t="s">
        <v>70</v>
      </c>
      <c r="F7" s="62" t="s">
        <v>24</v>
      </c>
      <c r="G7" s="49">
        <v>17</v>
      </c>
      <c r="H7" s="138">
        <f>IF(B$27=0,0,G7/B$27)</f>
        <v>0.25757575757575757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-541.37931034482756</v>
      </c>
      <c r="P7" s="126">
        <v>29</v>
      </c>
      <c r="Q7" s="110">
        <v>-15700</v>
      </c>
    </row>
    <row r="8" spans="1:17" x14ac:dyDescent="0.4">
      <c r="A8" s="57" t="s">
        <v>3</v>
      </c>
      <c r="B8" s="49">
        <v>24</v>
      </c>
      <c r="C8" s="41">
        <f>IF(B$2=0,0,B8/B$2)</f>
        <v>0.39344262295081966</v>
      </c>
      <c r="E8" s="65" t="s">
        <v>88</v>
      </c>
      <c r="F8" s="62" t="s">
        <v>41</v>
      </c>
      <c r="G8" s="49">
        <v>7</v>
      </c>
      <c r="H8" s="138">
        <f>IF(B$27=0,0,G8/B$27)</f>
        <v>0.10606060606060606</v>
      </c>
      <c r="I8" s="100">
        <v>3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16</v>
      </c>
      <c r="C9" s="42">
        <f t="shared" ref="C9" si="1">IF(B$2=0,0,B9/B$2)</f>
        <v>0.26229508196721313</v>
      </c>
      <c r="E9" s="65" t="s">
        <v>73</v>
      </c>
      <c r="F9" s="62" t="s">
        <v>26</v>
      </c>
      <c r="G9" s="49">
        <v>6</v>
      </c>
      <c r="H9" s="138">
        <f>IF(B$27=0,0,G9/B$27)</f>
        <v>9.0909090909090912E-2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0.11475409836065574</v>
      </c>
      <c r="E10" s="65" t="s">
        <v>94</v>
      </c>
      <c r="F10" s="62" t="s">
        <v>47</v>
      </c>
      <c r="G10" s="49">
        <v>6</v>
      </c>
      <c r="H10" s="138">
        <f>IF(B$27=0,0,G10/B$27)</f>
        <v>9.0909090909090912E-2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3.1666666666666665</v>
      </c>
      <c r="P10" s="124">
        <v>18</v>
      </c>
      <c r="Q10" s="112">
        <v>57</v>
      </c>
    </row>
    <row r="11" spans="1:17" x14ac:dyDescent="0.4">
      <c r="A11" s="58" t="s">
        <v>155</v>
      </c>
      <c r="B11" s="50">
        <v>11</v>
      </c>
      <c r="C11" s="42">
        <f>IF(B$2=0,0,B11/B$2)</f>
        <v>0.18032786885245902</v>
      </c>
      <c r="E11" s="65" t="s">
        <v>68</v>
      </c>
      <c r="F11" s="62" t="s">
        <v>22</v>
      </c>
      <c r="G11" s="49">
        <v>5</v>
      </c>
      <c r="H11" s="138">
        <f>IF(B$27=0,0,G11/B$27)</f>
        <v>7.575757575757576E-2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5.854838709677419</v>
      </c>
      <c r="P11" s="125">
        <v>31</v>
      </c>
      <c r="Q11" s="113">
        <v>181.5</v>
      </c>
    </row>
    <row r="12" spans="1:17" x14ac:dyDescent="0.4">
      <c r="A12" s="59" t="s">
        <v>239</v>
      </c>
      <c r="B12" s="51">
        <v>3</v>
      </c>
      <c r="C12" s="44">
        <f>IF(B$2=0,0,B12/B$2)</f>
        <v>4.9180327868852458E-2</v>
      </c>
      <c r="E12" s="65" t="s">
        <v>74</v>
      </c>
      <c r="F12" s="62" t="s">
        <v>27</v>
      </c>
      <c r="G12" s="49">
        <v>4</v>
      </c>
      <c r="H12" s="138">
        <f>IF(B$27=0,0,G12/B$27)</f>
        <v>6.0606060606060608E-2</v>
      </c>
      <c r="I12" s="100">
        <v>10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48</v>
      </c>
      <c r="C13" s="46">
        <f>IF(B$26=0,0,B13/B$26)</f>
        <v>0.23645320197044334</v>
      </c>
      <c r="E13" s="65" t="s">
        <v>86</v>
      </c>
      <c r="F13" s="62" t="s">
        <v>39</v>
      </c>
      <c r="G13" s="49">
        <v>4</v>
      </c>
      <c r="H13" s="138">
        <f>IF(B$27=0,0,G13/B$27)</f>
        <v>6.0606060606060608E-2</v>
      </c>
      <c r="I13" s="100">
        <v>1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64</v>
      </c>
      <c r="C14" s="41">
        <f>IF(B$26=0,0,B14/B$26)</f>
        <v>0.31527093596059114</v>
      </c>
      <c r="E14" s="65" t="s">
        <v>91</v>
      </c>
      <c r="F14" s="62" t="s">
        <v>44</v>
      </c>
      <c r="G14" s="49">
        <v>3</v>
      </c>
      <c r="H14" s="138">
        <f>IF(B$27=0,0,G14/B$27)</f>
        <v>4.5454545454545456E-2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0.58333333333333337</v>
      </c>
      <c r="E15" s="65" t="s">
        <v>75</v>
      </c>
      <c r="F15" s="62" t="s">
        <v>28</v>
      </c>
      <c r="G15" s="49">
        <v>1</v>
      </c>
      <c r="H15" s="138">
        <f>IF(B$27=0,0,G15/B$27)</f>
        <v>1.5151515151515152E-2</v>
      </c>
      <c r="I15" s="100">
        <v>11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26</v>
      </c>
      <c r="C16" s="39">
        <f>IF(B$14=0,0,B16/B$14)</f>
        <v>0.40625</v>
      </c>
      <c r="E16" s="65" t="s">
        <v>82</v>
      </c>
      <c r="F16" s="62" t="s">
        <v>35</v>
      </c>
      <c r="G16" s="49">
        <v>1</v>
      </c>
      <c r="H16" s="138">
        <f>IF(B$27=0,0,G16/B$27)</f>
        <v>1.5151515151515152E-2</v>
      </c>
      <c r="I16" s="100">
        <v>9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153</v>
      </c>
      <c r="C17" s="39">
        <f>IF(B$3=0,0,B17/B$3)</f>
        <v>0.34693877551020408</v>
      </c>
      <c r="E17" s="65" t="s">
        <v>96</v>
      </c>
      <c r="F17" s="62" t="s">
        <v>49</v>
      </c>
      <c r="G17" s="49">
        <v>1</v>
      </c>
      <c r="H17" s="138">
        <f>IF(B$27=0,0,G17/B$27)</f>
        <v>1.5151515151515152E-2</v>
      </c>
      <c r="I17" s="100">
        <v>9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0.44444444444444442</v>
      </c>
      <c r="E18" s="65" t="s">
        <v>98</v>
      </c>
      <c r="F18" s="62" t="s">
        <v>51</v>
      </c>
      <c r="G18" s="49">
        <v>1</v>
      </c>
      <c r="H18" s="138">
        <f>IF(B$27=0,0,G18/B$27)</f>
        <v>1.5151515151515152E-2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85</v>
      </c>
      <c r="C19" s="41">
        <f>IF(B$17=0,0,B19/B$17)</f>
        <v>0.55555555555555558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15.51666666666666</v>
      </c>
      <c r="P19" s="125">
        <v>36</v>
      </c>
      <c r="Q19" s="113">
        <v>558.5999999999998</v>
      </c>
    </row>
    <row r="20" spans="1:17" x14ac:dyDescent="0.4">
      <c r="A20" s="57" t="s">
        <v>13</v>
      </c>
      <c r="B20" s="49">
        <v>69</v>
      </c>
      <c r="C20" s="41">
        <f>IF(B$3=0,0,B20/B$3)</f>
        <v>0.15646258503401361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9726.1437908496737</v>
      </c>
      <c r="C21" s="43">
        <v>1488100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-8992.753623188406</v>
      </c>
      <c r="C22" s="47">
        <v>-620500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69.8</v>
      </c>
      <c r="N23" s="121" t="s">
        <v>133</v>
      </c>
      <c r="O23" s="131">
        <f>IF(P23=0,0,Q23/P23)</f>
        <v>-0.85769230769230742</v>
      </c>
      <c r="P23" s="125">
        <v>52</v>
      </c>
      <c r="Q23" s="113">
        <v>-44.599999999999987</v>
      </c>
    </row>
    <row r="24" spans="1:17" x14ac:dyDescent="0.4">
      <c r="A24" s="60" t="s">
        <v>199</v>
      </c>
      <c r="B24" s="152">
        <v>118000</v>
      </c>
      <c r="C24" s="153"/>
      <c r="E24" s="65" t="s">
        <v>83</v>
      </c>
      <c r="F24" s="62" t="s">
        <v>36</v>
      </c>
      <c r="G24" s="49">
        <v>0</v>
      </c>
      <c r="H24" s="138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2.2675736961451248E-3</v>
      </c>
      <c r="E25" s="65" t="s">
        <v>84</v>
      </c>
      <c r="F25" s="62" t="s">
        <v>37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4">
        <v>203</v>
      </c>
      <c r="C26" s="145"/>
      <c r="E26" s="65" t="s">
        <v>85</v>
      </c>
      <c r="F26" s="62" t="s">
        <v>38</v>
      </c>
      <c r="G26" s="49">
        <v>0</v>
      </c>
      <c r="H26" s="138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8">
        <v>66</v>
      </c>
      <c r="C27" s="159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9956B-318B-4D6A-B96A-47BE777A18D8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171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5</v>
      </c>
      <c r="C2" s="145"/>
      <c r="E2" s="64" t="s">
        <v>67</v>
      </c>
      <c r="F2" s="61" t="s">
        <v>21</v>
      </c>
      <c r="G2" s="48">
        <v>6</v>
      </c>
      <c r="H2" s="137">
        <f>IF(B$27=0,0,G2/B$27)</f>
        <v>0.66666666666666663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6">
        <v>37</v>
      </c>
      <c r="C3" s="147"/>
      <c r="E3" s="65" t="s">
        <v>71</v>
      </c>
      <c r="F3" s="62" t="s">
        <v>25</v>
      </c>
      <c r="G3" s="49">
        <v>6</v>
      </c>
      <c r="H3" s="138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8">
        <v>-86.4</v>
      </c>
      <c r="C4" s="149"/>
      <c r="E4" s="65" t="s">
        <v>68</v>
      </c>
      <c r="F4" s="62" t="s">
        <v>22</v>
      </c>
      <c r="G4" s="49">
        <v>4</v>
      </c>
      <c r="H4" s="138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0">
        <f>IF(B$2=0,0,B$4/B$2)</f>
        <v>-17.28</v>
      </c>
      <c r="C5" s="151"/>
      <c r="E5" s="65" t="s">
        <v>76</v>
      </c>
      <c r="F5" s="62" t="s">
        <v>29</v>
      </c>
      <c r="G5" s="49">
        <v>4</v>
      </c>
      <c r="H5" s="138">
        <f>IF(B$27=0,0,G5/B$27)</f>
        <v>0.44444444444444442</v>
      </c>
      <c r="I5" s="100">
        <v>12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6">
        <f>IF(B$2=0,0,(B$7*1+B$8*2+B$9*3)/B$2)</f>
        <v>2.2000000000000002</v>
      </c>
      <c r="C6" s="157"/>
      <c r="E6" s="65" t="s">
        <v>72</v>
      </c>
      <c r="F6" s="62" t="s">
        <v>12</v>
      </c>
      <c r="G6" s="49">
        <v>3</v>
      </c>
      <c r="H6" s="138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38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38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38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38">
        <f>IF(B$27=0,0,G10/B$27)</f>
        <v>0.1111111111111111</v>
      </c>
      <c r="I10" s="100">
        <v>10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38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38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38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38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38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38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38">
        <f>IF(B$27=0,0,G18/B$27)</f>
        <v>0</v>
      </c>
      <c r="I18" s="100">
        <v>6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38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38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38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38">
        <f>IF(B$27=0,0,G22/B$27)</f>
        <v>0</v>
      </c>
      <c r="I22" s="100">
        <v>9</v>
      </c>
    </row>
    <row r="23" spans="1:17" x14ac:dyDescent="0.4">
      <c r="A23" s="96" t="s">
        <v>158</v>
      </c>
      <c r="B23" s="154">
        <v>3</v>
      </c>
      <c r="C23" s="155"/>
      <c r="E23" s="65" t="s">
        <v>87</v>
      </c>
      <c r="F23" s="62" t="s">
        <v>40</v>
      </c>
      <c r="G23" s="49">
        <v>0</v>
      </c>
      <c r="H23" s="138">
        <f>IF(B$27=0,0,G23/B$27)</f>
        <v>0</v>
      </c>
      <c r="I23" s="100">
        <v>1</v>
      </c>
    </row>
    <row r="24" spans="1:17" x14ac:dyDescent="0.4">
      <c r="A24" s="60" t="s">
        <v>199</v>
      </c>
      <c r="B24" s="152">
        <v>57800</v>
      </c>
      <c r="C24" s="153"/>
      <c r="E24" s="65" t="s">
        <v>88</v>
      </c>
      <c r="F24" s="62" t="s">
        <v>41</v>
      </c>
      <c r="G24" s="49">
        <v>0</v>
      </c>
      <c r="H24" s="138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8">
        <f>IF(B$27=0,0,G25/B$27)</f>
        <v>0</v>
      </c>
      <c r="I25" s="100">
        <v>5</v>
      </c>
    </row>
    <row r="26" spans="1:17" x14ac:dyDescent="0.4">
      <c r="A26" s="56" t="s">
        <v>126</v>
      </c>
      <c r="B26" s="144">
        <v>31</v>
      </c>
      <c r="C26" s="145"/>
      <c r="E26" s="65" t="s">
        <v>90</v>
      </c>
      <c r="F26" s="62" t="s">
        <v>43</v>
      </c>
      <c r="G26" s="49">
        <v>0</v>
      </c>
      <c r="H26" s="138">
        <f>IF(B$27=0,0,G26/B$27)</f>
        <v>0</v>
      </c>
      <c r="I26" s="100">
        <v>6</v>
      </c>
    </row>
    <row r="27" spans="1:17" x14ac:dyDescent="0.4">
      <c r="A27" s="59" t="s">
        <v>127</v>
      </c>
      <c r="B27" s="158">
        <v>9</v>
      </c>
      <c r="C27" s="159"/>
      <c r="E27" s="65" t="s">
        <v>92</v>
      </c>
      <c r="F27" s="62" t="s">
        <v>45</v>
      </c>
      <c r="G27" s="49">
        <v>0</v>
      </c>
      <c r="H27" s="138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38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38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0A56-B950-4520-8F4C-C8F01B2E7B40}">
  <sheetPr codeName="Sheet19"/>
  <dimension ref="A1:Q6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136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67</v>
      </c>
      <c r="C2" s="145"/>
      <c r="E2" s="64" t="s">
        <v>71</v>
      </c>
      <c r="F2" s="61" t="s">
        <v>25</v>
      </c>
      <c r="G2" s="48">
        <v>80</v>
      </c>
      <c r="H2" s="137">
        <f>IF(B$27=0,0,G2/B$27)</f>
        <v>0.95238095238095233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-1573.1343283582089</v>
      </c>
      <c r="P2" s="124">
        <v>67</v>
      </c>
      <c r="Q2" s="108">
        <v>-105400</v>
      </c>
    </row>
    <row r="3" spans="1:17" x14ac:dyDescent="0.4">
      <c r="A3" s="57" t="s">
        <v>8</v>
      </c>
      <c r="B3" s="146">
        <v>513</v>
      </c>
      <c r="C3" s="147"/>
      <c r="E3" s="65" t="s">
        <v>69</v>
      </c>
      <c r="F3" s="62" t="s">
        <v>23</v>
      </c>
      <c r="G3" s="49">
        <v>59</v>
      </c>
      <c r="H3" s="138">
        <f>IF(B$27=0,0,G3/B$27)</f>
        <v>0.70238095238095233</v>
      </c>
      <c r="I3" s="100">
        <v>9</v>
      </c>
      <c r="K3" s="40">
        <v>1</v>
      </c>
      <c r="L3" s="105">
        <v>68.2</v>
      </c>
      <c r="N3" s="121" t="s">
        <v>148</v>
      </c>
      <c r="O3" s="128">
        <f t="shared" si="0"/>
        <v>-3320.6349206349205</v>
      </c>
      <c r="P3" s="125">
        <v>63</v>
      </c>
      <c r="Q3" s="109">
        <v>-209200</v>
      </c>
    </row>
    <row r="4" spans="1:17" x14ac:dyDescent="0.4">
      <c r="A4" s="57" t="s">
        <v>6</v>
      </c>
      <c r="B4" s="148">
        <v>-466.7</v>
      </c>
      <c r="C4" s="149"/>
      <c r="E4" s="65" t="s">
        <v>76</v>
      </c>
      <c r="F4" s="62" t="s">
        <v>29</v>
      </c>
      <c r="G4" s="49">
        <v>52</v>
      </c>
      <c r="H4" s="138">
        <f>IF(B$27=0,0,G4/B$27)</f>
        <v>0.61904761904761907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0"/>
        <v>-1152.7272727272727</v>
      </c>
      <c r="P4" s="125">
        <v>55</v>
      </c>
      <c r="Q4" s="109">
        <v>-63400</v>
      </c>
    </row>
    <row r="5" spans="1:17" x14ac:dyDescent="0.4">
      <c r="A5" s="57" t="s">
        <v>7</v>
      </c>
      <c r="B5" s="150">
        <f>IF(B$2=0,0,B$4/B$2)</f>
        <v>-6.9656716417910447</v>
      </c>
      <c r="C5" s="151"/>
      <c r="E5" s="65" t="s">
        <v>67</v>
      </c>
      <c r="F5" s="62" t="s">
        <v>21</v>
      </c>
      <c r="G5" s="49">
        <v>41</v>
      </c>
      <c r="H5" s="138">
        <f>IF(B$27=0,0,G5/B$27)</f>
        <v>0.48809523809523808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1198.1132075471698</v>
      </c>
      <c r="P5" s="125">
        <v>53</v>
      </c>
      <c r="Q5" s="109">
        <v>63500</v>
      </c>
    </row>
    <row r="6" spans="1:17" x14ac:dyDescent="0.4">
      <c r="A6" s="57" t="s">
        <v>1</v>
      </c>
      <c r="B6" s="156">
        <f>IF(B$2=0,0,(B$7*1+B$8*2+B$9*3)/B$2)</f>
        <v>2.2089552238805972</v>
      </c>
      <c r="C6" s="157"/>
      <c r="E6" s="65" t="s">
        <v>72</v>
      </c>
      <c r="F6" s="62" t="s">
        <v>12</v>
      </c>
      <c r="G6" s="49">
        <v>24</v>
      </c>
      <c r="H6" s="138">
        <f>IF(B$27=0,0,G6/B$27)</f>
        <v>0.2857142857142857</v>
      </c>
      <c r="I6" s="100">
        <v>9</v>
      </c>
      <c r="K6" s="40">
        <v>4</v>
      </c>
      <c r="L6" s="105">
        <v>57.699999999999996</v>
      </c>
      <c r="N6" s="121" t="s">
        <v>151</v>
      </c>
      <c r="O6" s="128">
        <f t="shared" si="0"/>
        <v>-2623.2558139534885</v>
      </c>
      <c r="P6" s="125">
        <v>43</v>
      </c>
      <c r="Q6" s="109">
        <v>-112800</v>
      </c>
    </row>
    <row r="7" spans="1:17" x14ac:dyDescent="0.4">
      <c r="A7" s="57" t="s">
        <v>2</v>
      </c>
      <c r="B7" s="49">
        <v>14</v>
      </c>
      <c r="C7" s="41">
        <f>IF(B$2=0,0,B7/B$2)</f>
        <v>0.20895522388059701</v>
      </c>
      <c r="E7" s="65" t="s">
        <v>68</v>
      </c>
      <c r="F7" s="62" t="s">
        <v>22</v>
      </c>
      <c r="G7" s="49">
        <v>12</v>
      </c>
      <c r="H7" s="138">
        <f>IF(B$27=0,0,G7/B$27)</f>
        <v>0.14285714285714285</v>
      </c>
      <c r="I7" s="100">
        <v>5</v>
      </c>
      <c r="K7" s="40">
        <v>5</v>
      </c>
      <c r="L7" s="105">
        <v>123.69999999999999</v>
      </c>
      <c r="N7" s="122" t="s">
        <v>152</v>
      </c>
      <c r="O7" s="129">
        <f t="shared" si="0"/>
        <v>-1193.939393939394</v>
      </c>
      <c r="P7" s="126">
        <v>33</v>
      </c>
      <c r="Q7" s="110">
        <v>-39400</v>
      </c>
    </row>
    <row r="8" spans="1:17" x14ac:dyDescent="0.4">
      <c r="A8" s="57" t="s">
        <v>3</v>
      </c>
      <c r="B8" s="49">
        <v>25</v>
      </c>
      <c r="C8" s="41">
        <f>IF(B$2=0,0,B8/B$2)</f>
        <v>0.37313432835820898</v>
      </c>
      <c r="E8" s="65" t="s">
        <v>73</v>
      </c>
      <c r="F8" s="62" t="s">
        <v>26</v>
      </c>
      <c r="G8" s="49">
        <v>10</v>
      </c>
      <c r="H8" s="138">
        <f>IF(B$27=0,0,G8/B$27)</f>
        <v>0.11904761904761904</v>
      </c>
      <c r="I8" s="100">
        <v>8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28</v>
      </c>
      <c r="C9" s="42">
        <f t="shared" ref="C9" si="1">IF(B$2=0,0,B9/B$2)</f>
        <v>0.41791044776119401</v>
      </c>
      <c r="E9" s="65" t="s">
        <v>70</v>
      </c>
      <c r="F9" s="62" t="s">
        <v>24</v>
      </c>
      <c r="G9" s="49">
        <v>8</v>
      </c>
      <c r="H9" s="138">
        <f>IF(B$27=0,0,G9/B$27)</f>
        <v>9.5238095238095233E-2</v>
      </c>
      <c r="I9" s="100">
        <v>13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0.19402985074626866</v>
      </c>
      <c r="E10" s="65" t="s">
        <v>94</v>
      </c>
      <c r="F10" s="62" t="s">
        <v>47</v>
      </c>
      <c r="G10" s="49">
        <v>6</v>
      </c>
      <c r="H10" s="138">
        <f>IF(B$27=0,0,G10/B$27)</f>
        <v>7.1428571428571425E-2</v>
      </c>
      <c r="I10" s="100">
        <v>12</v>
      </c>
      <c r="K10" s="40">
        <v>8</v>
      </c>
      <c r="L10" s="105">
        <v>96.5</v>
      </c>
      <c r="N10" s="120" t="s">
        <v>253</v>
      </c>
      <c r="O10" s="130">
        <f>IF(P10=0,0,Q10/P10)</f>
        <v>-9.6142857142857157</v>
      </c>
      <c r="P10" s="124">
        <v>28</v>
      </c>
      <c r="Q10" s="112">
        <v>-269.20000000000005</v>
      </c>
    </row>
    <row r="11" spans="1:17" x14ac:dyDescent="0.4">
      <c r="A11" s="58" t="s">
        <v>155</v>
      </c>
      <c r="B11" s="50">
        <v>9</v>
      </c>
      <c r="C11" s="42">
        <f>IF(B$2=0,0,B11/B$2)</f>
        <v>0.13432835820895522</v>
      </c>
      <c r="E11" s="65" t="s">
        <v>74</v>
      </c>
      <c r="F11" s="62" t="s">
        <v>27</v>
      </c>
      <c r="G11" s="49">
        <v>5</v>
      </c>
      <c r="H11" s="138">
        <f>IF(B$27=0,0,G11/B$27)</f>
        <v>5.9523809523809521E-2</v>
      </c>
      <c r="I11" s="100">
        <v>11</v>
      </c>
      <c r="K11" s="40">
        <v>9</v>
      </c>
      <c r="L11" s="105">
        <v>82.8</v>
      </c>
      <c r="N11" s="121" t="s">
        <v>254</v>
      </c>
      <c r="O11" s="131">
        <f>IF(P11=0,0,Q11/P11)</f>
        <v>-6.3299999999999983</v>
      </c>
      <c r="P11" s="125">
        <v>20</v>
      </c>
      <c r="Q11" s="113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5.9701492537313432E-2</v>
      </c>
      <c r="E12" s="65" t="s">
        <v>75</v>
      </c>
      <c r="F12" s="62" t="s">
        <v>28</v>
      </c>
      <c r="G12" s="49">
        <v>4</v>
      </c>
      <c r="H12" s="138">
        <f>IF(B$27=0,0,G12/B$27)</f>
        <v>4.7619047619047616E-2</v>
      </c>
      <c r="I12" s="100">
        <v>6</v>
      </c>
      <c r="K12" s="40">
        <v>10</v>
      </c>
      <c r="L12" s="105">
        <v>110.5</v>
      </c>
      <c r="N12" s="122" t="s">
        <v>255</v>
      </c>
      <c r="O12" s="132">
        <f>IF(P12=0,0,Q12/P12)</f>
        <v>-3.7315789473684213</v>
      </c>
      <c r="P12" s="126">
        <v>19</v>
      </c>
      <c r="Q12" s="114">
        <v>-70.900000000000006</v>
      </c>
    </row>
    <row r="13" spans="1:17" x14ac:dyDescent="0.4">
      <c r="A13" s="60" t="s">
        <v>128</v>
      </c>
      <c r="B13" s="52">
        <v>87</v>
      </c>
      <c r="C13" s="46">
        <f>IF(B$26=0,0,B13/B$26)</f>
        <v>0.26126126126126126</v>
      </c>
      <c r="E13" s="65" t="s">
        <v>82</v>
      </c>
      <c r="F13" s="62" t="s">
        <v>35</v>
      </c>
      <c r="G13" s="49">
        <v>4</v>
      </c>
      <c r="H13" s="138">
        <f>IF(B$27=0,0,G13/B$27)</f>
        <v>4.7619047619047616E-2</v>
      </c>
      <c r="I13" s="100">
        <v>3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89</v>
      </c>
      <c r="C14" s="41">
        <f>IF(B$26=0,0,B14/B$26)</f>
        <v>0.26726726726726729</v>
      </c>
      <c r="E14" s="65" t="s">
        <v>83</v>
      </c>
      <c r="F14" s="62" t="s">
        <v>36</v>
      </c>
      <c r="G14" s="49">
        <v>3</v>
      </c>
      <c r="H14" s="138">
        <f>IF(B$27=0,0,G14/B$27)</f>
        <v>3.5714285714285712E-2</v>
      </c>
      <c r="I14" s="100">
        <v>4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42</v>
      </c>
      <c r="C15" s="39">
        <f>IF(B$13=0,0,B15/B$13)</f>
        <v>0.48275862068965519</v>
      </c>
      <c r="E15" s="65" t="s">
        <v>91</v>
      </c>
      <c r="F15" s="62" t="s">
        <v>44</v>
      </c>
      <c r="G15" s="49">
        <v>3</v>
      </c>
      <c r="H15" s="138">
        <f>IF(B$27=0,0,G15/B$27)</f>
        <v>3.5714285714285712E-2</v>
      </c>
      <c r="I15" s="100">
        <v>12</v>
      </c>
      <c r="K15" s="40">
        <v>13</v>
      </c>
      <c r="L15" s="105">
        <v>13.299999999999994</v>
      </c>
      <c r="N15" s="120" t="s">
        <v>157</v>
      </c>
      <c r="O15" s="130">
        <f>IF(P15=0,0,Q15/P15)</f>
        <v>16.125</v>
      </c>
      <c r="P15" s="124">
        <v>4</v>
      </c>
      <c r="Q15" s="112">
        <v>64.5</v>
      </c>
    </row>
    <row r="16" spans="1:17" x14ac:dyDescent="0.4">
      <c r="A16" s="56" t="s">
        <v>131</v>
      </c>
      <c r="B16" s="48">
        <v>33</v>
      </c>
      <c r="C16" s="39">
        <f>IF(B$14=0,0,B16/B$14)</f>
        <v>0.3707865168539326</v>
      </c>
      <c r="E16" s="65" t="s">
        <v>88</v>
      </c>
      <c r="F16" s="62" t="s">
        <v>41</v>
      </c>
      <c r="G16" s="49">
        <v>2</v>
      </c>
      <c r="H16" s="138">
        <f>IF(B$27=0,0,G16/B$27)</f>
        <v>2.3809523809523808E-2</v>
      </c>
      <c r="I16" s="100">
        <v>10</v>
      </c>
      <c r="K16" s="40">
        <v>14</v>
      </c>
      <c r="L16" s="105">
        <v>4.7999999999999936</v>
      </c>
      <c r="N16" s="121" t="s">
        <v>139</v>
      </c>
      <c r="O16" s="131">
        <f>IF(P16=0,0,Q16/P16)</f>
        <v>9.2181818181818205</v>
      </c>
      <c r="P16" s="125">
        <v>11</v>
      </c>
      <c r="Q16" s="113">
        <v>101.40000000000003</v>
      </c>
    </row>
    <row r="17" spans="1:17" x14ac:dyDescent="0.4">
      <c r="A17" s="56" t="s">
        <v>10</v>
      </c>
      <c r="B17" s="48">
        <f>B19+B18</f>
        <v>135</v>
      </c>
      <c r="C17" s="39">
        <f>IF(B$3=0,0,B17/B$3)</f>
        <v>0.26315789473684209</v>
      </c>
      <c r="E17" s="65" t="s">
        <v>79</v>
      </c>
      <c r="F17" s="62" t="s">
        <v>32</v>
      </c>
      <c r="G17" s="49">
        <v>1</v>
      </c>
      <c r="H17" s="138">
        <f>IF(B$27=0,0,G17/B$27)</f>
        <v>1.1904761904761904E-2</v>
      </c>
      <c r="I17" s="100">
        <v>2</v>
      </c>
      <c r="K17" s="40">
        <v>15</v>
      </c>
      <c r="L17" s="105">
        <v>-33.700000000000003</v>
      </c>
      <c r="N17" s="121" t="s">
        <v>137</v>
      </c>
      <c r="O17" s="131">
        <f>IF(P17=0,0,Q17/P17)</f>
        <v>3.3548387096774182</v>
      </c>
      <c r="P17" s="125">
        <v>31</v>
      </c>
      <c r="Q17" s="113">
        <v>103.99999999999996</v>
      </c>
    </row>
    <row r="18" spans="1:17" x14ac:dyDescent="0.4">
      <c r="A18" s="57" t="s">
        <v>12</v>
      </c>
      <c r="B18" s="49">
        <v>61</v>
      </c>
      <c r="C18" s="41">
        <f>IF(B$17=0,0,B18/B$17)</f>
        <v>0.45185185185185184</v>
      </c>
      <c r="E18" s="65" t="s">
        <v>86</v>
      </c>
      <c r="F18" s="62" t="s">
        <v>39</v>
      </c>
      <c r="G18" s="49">
        <v>1</v>
      </c>
      <c r="H18" s="138">
        <f>IF(B$27=0,0,G18/B$27)</f>
        <v>1.1904761904761904E-2</v>
      </c>
      <c r="I18" s="100">
        <v>8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74</v>
      </c>
      <c r="C19" s="41">
        <f>IF(B$17=0,0,B19/B$17)</f>
        <v>0.54814814814814816</v>
      </c>
      <c r="E19" s="65" t="s">
        <v>77</v>
      </c>
      <c r="F19" s="62" t="s">
        <v>30</v>
      </c>
      <c r="G19" s="49">
        <v>0</v>
      </c>
      <c r="H19" s="138">
        <f>IF(B$27=0,0,G19/B$27)</f>
        <v>0</v>
      </c>
      <c r="I19" s="100">
        <v>7</v>
      </c>
      <c r="K19" s="40">
        <v>17</v>
      </c>
      <c r="L19" s="105">
        <v>-45.000000000000007</v>
      </c>
      <c r="N19" s="121" t="s">
        <v>133</v>
      </c>
      <c r="O19" s="131">
        <f>IF(P19=0,0,Q19/P19)</f>
        <v>-14.775471698113213</v>
      </c>
      <c r="P19" s="125">
        <v>53</v>
      </c>
      <c r="Q19" s="113">
        <v>-783.10000000000025</v>
      </c>
    </row>
    <row r="20" spans="1:17" x14ac:dyDescent="0.4">
      <c r="A20" s="57" t="s">
        <v>13</v>
      </c>
      <c r="B20" s="49">
        <v>94</v>
      </c>
      <c r="C20" s="41">
        <f>IF(B$3=0,0,B20/B$3)</f>
        <v>0.18323586744639375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-30.300000000000008</v>
      </c>
      <c r="N20" s="121" t="s">
        <v>138</v>
      </c>
      <c r="O20" s="131">
        <f>IF(P20=0,0,Q20/P20)</f>
        <v>-24.993333333333332</v>
      </c>
      <c r="P20" s="125">
        <v>15</v>
      </c>
      <c r="Q20" s="113">
        <v>-374.9</v>
      </c>
    </row>
    <row r="21" spans="1:17" x14ac:dyDescent="0.4">
      <c r="A21" s="57" t="s">
        <v>5</v>
      </c>
      <c r="B21" s="53">
        <f>IF(B$17=0,0,C21/B$17)</f>
        <v>9329.6296296296296</v>
      </c>
      <c r="C21" s="43">
        <v>1259500</v>
      </c>
      <c r="E21" s="65" t="s">
        <v>80</v>
      </c>
      <c r="F21" s="62" t="s">
        <v>33</v>
      </c>
      <c r="G21" s="49">
        <v>0</v>
      </c>
      <c r="H21" s="138">
        <f>IF(B$27=0,0,G21/B$27)</f>
        <v>0</v>
      </c>
      <c r="I21" s="100">
        <v>1</v>
      </c>
      <c r="K21" s="40">
        <v>19</v>
      </c>
      <c r="L21" s="105">
        <v>17.699999999999992</v>
      </c>
      <c r="N21" s="121" t="s">
        <v>134</v>
      </c>
      <c r="O21" s="131">
        <f>IF(P21=0,0,Q21/P21)</f>
        <v>-26.972222222222218</v>
      </c>
      <c r="P21" s="125">
        <v>18</v>
      </c>
      <c r="Q21" s="113">
        <v>-485.49999999999994</v>
      </c>
    </row>
    <row r="22" spans="1:17" x14ac:dyDescent="0.4">
      <c r="A22" s="59" t="s">
        <v>14</v>
      </c>
      <c r="B22" s="54">
        <f>IF(B$20=0,0,C22/B$20)</f>
        <v>-10007.446808510638</v>
      </c>
      <c r="C22" s="47">
        <v>-940700</v>
      </c>
      <c r="E22" s="65" t="s">
        <v>81</v>
      </c>
      <c r="F22" s="62" t="s">
        <v>34</v>
      </c>
      <c r="G22" s="49">
        <v>0</v>
      </c>
      <c r="H22" s="138">
        <f>IF(B$27=0,0,G22/B$27)</f>
        <v>0</v>
      </c>
      <c r="I22" s="100">
        <v>6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4">
        <v>6</v>
      </c>
      <c r="C23" s="155"/>
      <c r="E23" s="65" t="s">
        <v>84</v>
      </c>
      <c r="F23" s="62" t="s">
        <v>37</v>
      </c>
      <c r="G23" s="49">
        <v>0</v>
      </c>
      <c r="H23" s="138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2">
        <v>103200</v>
      </c>
      <c r="C24" s="153"/>
      <c r="E24" s="65" t="s">
        <v>85</v>
      </c>
      <c r="F24" s="62" t="s">
        <v>38</v>
      </c>
      <c r="G24" s="49">
        <v>0</v>
      </c>
      <c r="H24" s="138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3.8986354775828458E-3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4">
        <v>333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8">
        <v>84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3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4BC47-3766-4D03-A3C9-35608600F7E7}">
  <sheetPr codeName="Sheet21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111</v>
      </c>
      <c r="C2" s="145"/>
      <c r="E2" s="64" t="s">
        <v>71</v>
      </c>
      <c r="F2" s="61" t="s">
        <v>25</v>
      </c>
      <c r="G2" s="48">
        <v>192</v>
      </c>
      <c r="H2" s="137">
        <f>IF(B$27=0,0,G2/B$27)</f>
        <v>0.89302325581395348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1764.2201834862385</v>
      </c>
      <c r="P2" s="124">
        <v>109</v>
      </c>
      <c r="Q2" s="108">
        <v>192300</v>
      </c>
    </row>
    <row r="3" spans="1:17" x14ac:dyDescent="0.4">
      <c r="A3" s="57" t="s">
        <v>8</v>
      </c>
      <c r="B3" s="146">
        <v>838</v>
      </c>
      <c r="C3" s="147"/>
      <c r="E3" s="65" t="s">
        <v>69</v>
      </c>
      <c r="F3" s="62" t="s">
        <v>23</v>
      </c>
      <c r="G3" s="49">
        <v>164</v>
      </c>
      <c r="H3" s="138">
        <f>IF(B$27=0,0,G3/B$27)</f>
        <v>0.76279069767441865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505.82524271844659</v>
      </c>
      <c r="P3" s="125">
        <v>103</v>
      </c>
      <c r="Q3" s="109">
        <v>52100</v>
      </c>
    </row>
    <row r="4" spans="1:17" x14ac:dyDescent="0.4">
      <c r="A4" s="57" t="s">
        <v>6</v>
      </c>
      <c r="B4" s="148">
        <v>216.99999999999983</v>
      </c>
      <c r="C4" s="149"/>
      <c r="E4" s="65" t="s">
        <v>76</v>
      </c>
      <c r="F4" s="62" t="s">
        <v>29</v>
      </c>
      <c r="G4" s="49">
        <v>121</v>
      </c>
      <c r="H4" s="138">
        <f>IF(B$27=0,0,G4/B$27)</f>
        <v>0.56279069767441858</v>
      </c>
      <c r="I4" s="100">
        <v>7</v>
      </c>
      <c r="K4" s="40">
        <v>2</v>
      </c>
      <c r="L4" s="105">
        <v>-45.300000000000004</v>
      </c>
      <c r="N4" s="121" t="s">
        <v>149</v>
      </c>
      <c r="O4" s="128">
        <f t="shared" si="0"/>
        <v>-113.68421052631579</v>
      </c>
      <c r="P4" s="125">
        <v>95</v>
      </c>
      <c r="Q4" s="109">
        <v>-10800</v>
      </c>
    </row>
    <row r="5" spans="1:17" x14ac:dyDescent="0.4">
      <c r="A5" s="57" t="s">
        <v>7</v>
      </c>
      <c r="B5" s="150">
        <f>IF(B$2=0,0,B$4/B$2)</f>
        <v>1.9549549549549534</v>
      </c>
      <c r="C5" s="151"/>
      <c r="E5" s="65" t="s">
        <v>67</v>
      </c>
      <c r="F5" s="62" t="s">
        <v>21</v>
      </c>
      <c r="G5" s="49">
        <v>119</v>
      </c>
      <c r="H5" s="138">
        <f>IF(B$27=0,0,G5/B$27)</f>
        <v>0.55348837209302326</v>
      </c>
      <c r="I5" s="100">
        <v>6</v>
      </c>
      <c r="K5" s="40">
        <v>3</v>
      </c>
      <c r="L5" s="105">
        <v>-81.7</v>
      </c>
      <c r="N5" s="121" t="s">
        <v>150</v>
      </c>
      <c r="O5" s="128">
        <f t="shared" si="0"/>
        <v>-1394.3820224719102</v>
      </c>
      <c r="P5" s="125">
        <v>89</v>
      </c>
      <c r="Q5" s="109">
        <v>-124100</v>
      </c>
    </row>
    <row r="6" spans="1:17" x14ac:dyDescent="0.4">
      <c r="A6" s="57" t="s">
        <v>1</v>
      </c>
      <c r="B6" s="156">
        <f>IF(B$2=0,0,(B$7*1+B$8*2+B$9*3)/B$2)</f>
        <v>1.9369369369369369</v>
      </c>
      <c r="C6" s="157"/>
      <c r="E6" s="65" t="s">
        <v>70</v>
      </c>
      <c r="F6" s="62" t="s">
        <v>24</v>
      </c>
      <c r="G6" s="49">
        <v>80</v>
      </c>
      <c r="H6" s="138">
        <f>IF(B$27=0,0,G6/B$27)</f>
        <v>0.37209302325581395</v>
      </c>
      <c r="I6" s="100">
        <v>3</v>
      </c>
      <c r="K6" s="40">
        <v>4</v>
      </c>
      <c r="L6" s="105">
        <v>-114.30000000000001</v>
      </c>
      <c r="N6" s="121" t="s">
        <v>151</v>
      </c>
      <c r="O6" s="128">
        <f t="shared" si="0"/>
        <v>1049.3506493506493</v>
      </c>
      <c r="P6" s="125">
        <v>77</v>
      </c>
      <c r="Q6" s="109">
        <v>80800</v>
      </c>
    </row>
    <row r="7" spans="1:17" x14ac:dyDescent="0.4">
      <c r="A7" s="57" t="s">
        <v>2</v>
      </c>
      <c r="B7" s="49">
        <v>41</v>
      </c>
      <c r="C7" s="41">
        <f>IF(B$2=0,0,B7/B$2)</f>
        <v>0.36936936936936937</v>
      </c>
      <c r="E7" s="65" t="s">
        <v>72</v>
      </c>
      <c r="F7" s="62" t="s">
        <v>12</v>
      </c>
      <c r="G7" s="49">
        <v>70</v>
      </c>
      <c r="H7" s="138">
        <f>IF(B$27=0,0,G7/B$27)</f>
        <v>0.32558139534883723</v>
      </c>
      <c r="I7" s="100">
        <v>5</v>
      </c>
      <c r="K7" s="40">
        <v>5</v>
      </c>
      <c r="L7" s="105">
        <v>-136.30000000000001</v>
      </c>
      <c r="N7" s="122" t="s">
        <v>152</v>
      </c>
      <c r="O7" s="129">
        <f t="shared" si="0"/>
        <v>-215.38461538461539</v>
      </c>
      <c r="P7" s="126">
        <v>65</v>
      </c>
      <c r="Q7" s="110">
        <v>-14000</v>
      </c>
    </row>
    <row r="8" spans="1:17" x14ac:dyDescent="0.4">
      <c r="A8" s="57" t="s">
        <v>3</v>
      </c>
      <c r="B8" s="49">
        <v>36</v>
      </c>
      <c r="C8" s="41">
        <f>IF(B$2=0,0,B8/B$2)</f>
        <v>0.32432432432432434</v>
      </c>
      <c r="E8" s="65" t="s">
        <v>73</v>
      </c>
      <c r="F8" s="62" t="s">
        <v>26</v>
      </c>
      <c r="G8" s="49">
        <v>40</v>
      </c>
      <c r="H8" s="138">
        <f>IF(B$27=0,0,G8/B$27)</f>
        <v>0.18604651162790697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34</v>
      </c>
      <c r="C9" s="42">
        <f t="shared" ref="C9" si="1">IF(B$2=0,0,B9/B$2)</f>
        <v>0.30630630630630629</v>
      </c>
      <c r="E9" s="65" t="s">
        <v>94</v>
      </c>
      <c r="F9" s="62" t="s">
        <v>47</v>
      </c>
      <c r="G9" s="49">
        <v>33</v>
      </c>
      <c r="H9" s="138">
        <f>IF(B$27=0,0,G9/B$27)</f>
        <v>0.15348837209302327</v>
      </c>
      <c r="I9" s="100">
        <v>8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0.11711711711711711</v>
      </c>
      <c r="E10" s="65" t="s">
        <v>68</v>
      </c>
      <c r="F10" s="62" t="s">
        <v>22</v>
      </c>
      <c r="G10" s="49">
        <v>25</v>
      </c>
      <c r="H10" s="138">
        <f>IF(B$27=0,0,G10/B$27)</f>
        <v>0.11627906976744186</v>
      </c>
      <c r="I10" s="100">
        <v>7</v>
      </c>
      <c r="K10" s="40">
        <v>8</v>
      </c>
      <c r="L10" s="105">
        <v>-52.300000000000018</v>
      </c>
      <c r="N10" s="120" t="s">
        <v>253</v>
      </c>
      <c r="O10" s="130">
        <f>IF(P10=0,0,Q10/P10)</f>
        <v>4.6319999999999979</v>
      </c>
      <c r="P10" s="124">
        <v>50</v>
      </c>
      <c r="Q10" s="112">
        <v>231.59999999999991</v>
      </c>
    </row>
    <row r="11" spans="1:17" x14ac:dyDescent="0.4">
      <c r="A11" s="58" t="s">
        <v>155</v>
      </c>
      <c r="B11" s="50">
        <v>19</v>
      </c>
      <c r="C11" s="42">
        <f>IF(B$2=0,0,B11/B$2)</f>
        <v>0.17117117117117117</v>
      </c>
      <c r="E11" s="65" t="s">
        <v>74</v>
      </c>
      <c r="F11" s="62" t="s">
        <v>27</v>
      </c>
      <c r="G11" s="49">
        <v>19</v>
      </c>
      <c r="H11" s="138">
        <f>IF(B$27=0,0,G11/B$27)</f>
        <v>8.8372093023255813E-2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-5.6709677419354838</v>
      </c>
      <c r="P11" s="125">
        <v>31</v>
      </c>
      <c r="Q11" s="113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9.90990990990991E-2</v>
      </c>
      <c r="E12" s="65" t="s">
        <v>82</v>
      </c>
      <c r="F12" s="62" t="s">
        <v>35</v>
      </c>
      <c r="G12" s="49">
        <v>14</v>
      </c>
      <c r="H12" s="138">
        <f>IF(B$27=0,0,G12/B$27)</f>
        <v>6.5116279069767441E-2</v>
      </c>
      <c r="I12" s="100">
        <v>1</v>
      </c>
      <c r="K12" s="40">
        <v>10</v>
      </c>
      <c r="L12" s="105">
        <v>-72.800000000000026</v>
      </c>
      <c r="N12" s="122" t="s">
        <v>255</v>
      </c>
      <c r="O12" s="132">
        <f>IF(P12=0,0,Q12/P12)</f>
        <v>4.5178571428571432</v>
      </c>
      <c r="P12" s="126">
        <v>28</v>
      </c>
      <c r="Q12" s="114">
        <v>126.5</v>
      </c>
    </row>
    <row r="13" spans="1:17" x14ac:dyDescent="0.4">
      <c r="A13" s="60" t="s">
        <v>128</v>
      </c>
      <c r="B13" s="52">
        <v>218</v>
      </c>
      <c r="C13" s="46">
        <f>IF(B$26=0,0,B13/B$26)</f>
        <v>0.3061797752808989</v>
      </c>
      <c r="E13" s="65" t="s">
        <v>75</v>
      </c>
      <c r="F13" s="62" t="s">
        <v>28</v>
      </c>
      <c r="G13" s="49">
        <v>13</v>
      </c>
      <c r="H13" s="138">
        <f>IF(B$27=0,0,G13/B$27)</f>
        <v>6.0465116279069767E-2</v>
      </c>
      <c r="I13" s="100">
        <v>3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154</v>
      </c>
      <c r="C14" s="41">
        <f>IF(B$26=0,0,B14/B$26)</f>
        <v>0.21629213483146068</v>
      </c>
      <c r="E14" s="65" t="s">
        <v>91</v>
      </c>
      <c r="F14" s="62" t="s">
        <v>44</v>
      </c>
      <c r="G14" s="49">
        <v>9</v>
      </c>
      <c r="H14" s="138">
        <f>IF(B$27=0,0,G14/B$27)</f>
        <v>4.1860465116279069E-2</v>
      </c>
      <c r="I14" s="100">
        <v>11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121</v>
      </c>
      <c r="C15" s="39">
        <f>IF(B$13=0,0,B15/B$13)</f>
        <v>0.55504587155963303</v>
      </c>
      <c r="E15" s="65" t="s">
        <v>86</v>
      </c>
      <c r="F15" s="62" t="s">
        <v>39</v>
      </c>
      <c r="G15" s="49">
        <v>8</v>
      </c>
      <c r="H15" s="138">
        <f>IF(B$27=0,0,G15/B$27)</f>
        <v>3.7209302325581395E-2</v>
      </c>
      <c r="I15" s="100">
        <v>4</v>
      </c>
      <c r="K15" s="40">
        <v>13</v>
      </c>
      <c r="L15" s="105">
        <v>-43.200000000000024</v>
      </c>
      <c r="N15" s="120" t="s">
        <v>134</v>
      </c>
      <c r="O15" s="130">
        <f>IF(P15=0,0,Q15/P15)</f>
        <v>15.664705882352939</v>
      </c>
      <c r="P15" s="124">
        <v>34</v>
      </c>
      <c r="Q15" s="112">
        <v>532.59999999999991</v>
      </c>
    </row>
    <row r="16" spans="1:17" x14ac:dyDescent="0.4">
      <c r="A16" s="56" t="s">
        <v>131</v>
      </c>
      <c r="B16" s="48">
        <v>59</v>
      </c>
      <c r="C16" s="39">
        <f>IF(B$14=0,0,B16/B$14)</f>
        <v>0.38311688311688313</v>
      </c>
      <c r="E16" s="65" t="s">
        <v>88</v>
      </c>
      <c r="F16" s="62" t="s">
        <v>41</v>
      </c>
      <c r="G16" s="49">
        <v>7</v>
      </c>
      <c r="H16" s="138">
        <f>IF(B$27=0,0,G16/B$27)</f>
        <v>3.255813953488372E-2</v>
      </c>
      <c r="I16" s="100">
        <v>8</v>
      </c>
      <c r="K16" s="40">
        <v>14</v>
      </c>
      <c r="L16" s="105">
        <v>-50.400000000000027</v>
      </c>
      <c r="N16" s="121" t="s">
        <v>157</v>
      </c>
      <c r="O16" s="131">
        <f>IF(P16=0,0,Q16/P16)</f>
        <v>15.14</v>
      </c>
      <c r="P16" s="125">
        <v>10</v>
      </c>
      <c r="Q16" s="113">
        <v>151.4</v>
      </c>
    </row>
    <row r="17" spans="1:17" x14ac:dyDescent="0.4">
      <c r="A17" s="56" t="s">
        <v>10</v>
      </c>
      <c r="B17" s="48">
        <f>B19+B18</f>
        <v>252</v>
      </c>
      <c r="C17" s="39">
        <f>IF(B$3=0,0,B17/B$3)</f>
        <v>0.30071599045346065</v>
      </c>
      <c r="E17" s="65" t="s">
        <v>77</v>
      </c>
      <c r="F17" s="62" t="s">
        <v>30</v>
      </c>
      <c r="G17" s="49">
        <v>4</v>
      </c>
      <c r="H17" s="138">
        <f>IF(B$27=0,0,G17/B$27)</f>
        <v>1.8604651162790697E-2</v>
      </c>
      <c r="I17" s="100">
        <v>2</v>
      </c>
      <c r="K17" s="40">
        <v>15</v>
      </c>
      <c r="L17" s="105">
        <v>23.89999999999997</v>
      </c>
      <c r="N17" s="121" t="s">
        <v>139</v>
      </c>
      <c r="O17" s="131">
        <f>IF(P17=0,0,Q17/P17)</f>
        <v>14.182499999999996</v>
      </c>
      <c r="P17" s="125">
        <v>40</v>
      </c>
      <c r="Q17" s="113">
        <v>567.29999999999984</v>
      </c>
    </row>
    <row r="18" spans="1:17" x14ac:dyDescent="0.4">
      <c r="A18" s="57" t="s">
        <v>12</v>
      </c>
      <c r="B18" s="49">
        <v>113</v>
      </c>
      <c r="C18" s="41">
        <f>IF(B$17=0,0,B18/B$17)</f>
        <v>0.44841269841269843</v>
      </c>
      <c r="E18" s="65" t="s">
        <v>96</v>
      </c>
      <c r="F18" s="62" t="s">
        <v>49</v>
      </c>
      <c r="G18" s="49">
        <v>4</v>
      </c>
      <c r="H18" s="138">
        <f>IF(B$27=0,0,G18/B$27)</f>
        <v>1.8604651162790697E-2</v>
      </c>
      <c r="I18" s="100">
        <v>6</v>
      </c>
      <c r="K18" s="40">
        <v>16</v>
      </c>
      <c r="L18" s="105">
        <v>58.89999999999997</v>
      </c>
      <c r="N18" s="121" t="s">
        <v>136</v>
      </c>
      <c r="O18" s="131">
        <f>IF(P18=0,0,Q18/P18)</f>
        <v>-3.3548387096774213</v>
      </c>
      <c r="P18" s="125">
        <v>31</v>
      </c>
      <c r="Q18" s="113">
        <v>-104.00000000000006</v>
      </c>
    </row>
    <row r="19" spans="1:17" x14ac:dyDescent="0.4">
      <c r="A19" s="57" t="s">
        <v>11</v>
      </c>
      <c r="B19" s="49">
        <v>139</v>
      </c>
      <c r="C19" s="41">
        <f>IF(B$17=0,0,B19/B$17)</f>
        <v>0.55158730158730163</v>
      </c>
      <c r="E19" s="65" t="s">
        <v>81</v>
      </c>
      <c r="F19" s="62" t="s">
        <v>34</v>
      </c>
      <c r="G19" s="49">
        <v>2</v>
      </c>
      <c r="H19" s="138">
        <f>IF(B$27=0,0,G19/B$27)</f>
        <v>9.3023255813953487E-3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-3.38</v>
      </c>
      <c r="P19" s="125">
        <v>5</v>
      </c>
      <c r="Q19" s="113">
        <v>-16.899999999999999</v>
      </c>
    </row>
    <row r="20" spans="1:17" x14ac:dyDescent="0.4">
      <c r="A20" s="57" t="s">
        <v>13</v>
      </c>
      <c r="B20" s="49">
        <v>137</v>
      </c>
      <c r="C20" s="41">
        <f>IF(B$3=0,0,B20/B$3)</f>
        <v>0.16348448687350836</v>
      </c>
      <c r="E20" s="65" t="s">
        <v>83</v>
      </c>
      <c r="F20" s="62" t="s">
        <v>36</v>
      </c>
      <c r="G20" s="49">
        <v>2</v>
      </c>
      <c r="H20" s="138">
        <f>IF(B$27=0,0,G20/B$27)</f>
        <v>9.3023255813953487E-3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-3.9043478260869557</v>
      </c>
      <c r="P20" s="125">
        <v>92</v>
      </c>
      <c r="Q20" s="113">
        <v>-359.19999999999993</v>
      </c>
    </row>
    <row r="21" spans="1:17" x14ac:dyDescent="0.4">
      <c r="A21" s="57" t="s">
        <v>5</v>
      </c>
      <c r="B21" s="53">
        <f>IF(B$17=0,0,C21/B$17)</f>
        <v>10511.507936507936</v>
      </c>
      <c r="C21" s="43">
        <v>2648900</v>
      </c>
      <c r="E21" s="65" t="s">
        <v>98</v>
      </c>
      <c r="F21" s="62" t="s">
        <v>51</v>
      </c>
      <c r="G21" s="49">
        <v>2</v>
      </c>
      <c r="H21" s="138">
        <f>IF(B$27=0,0,G21/B$27)</f>
        <v>9.3023255813953487E-3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-9275.9124087591244</v>
      </c>
      <c r="C22" s="47">
        <v>-1270800</v>
      </c>
      <c r="E22" s="65" t="s">
        <v>78</v>
      </c>
      <c r="F22" s="62" t="s">
        <v>31</v>
      </c>
      <c r="G22" s="49">
        <v>1</v>
      </c>
      <c r="H22" s="138">
        <f>IF(B$27=0,0,G22/B$27)</f>
        <v>4.6511627906976744E-3</v>
      </c>
      <c r="I22" s="100">
        <v>2</v>
      </c>
      <c r="K22" s="40">
        <v>20</v>
      </c>
      <c r="L22" s="105">
        <v>126.89999999999996</v>
      </c>
      <c r="N22" s="121" t="s">
        <v>135</v>
      </c>
      <c r="O22" s="131">
        <f>IF(P22=0,0,Q22/P22)</f>
        <v>-14.371428571428575</v>
      </c>
      <c r="P22" s="125">
        <v>7</v>
      </c>
      <c r="Q22" s="113">
        <v>-100.60000000000002</v>
      </c>
    </row>
    <row r="23" spans="1:17" x14ac:dyDescent="0.4">
      <c r="A23" s="96" t="s">
        <v>158</v>
      </c>
      <c r="B23" s="154">
        <v>9</v>
      </c>
      <c r="C23" s="155"/>
      <c r="E23" s="65" t="s">
        <v>79</v>
      </c>
      <c r="F23" s="62" t="s">
        <v>32</v>
      </c>
      <c r="G23" s="49">
        <v>1</v>
      </c>
      <c r="H23" s="138">
        <f>IF(B$27=0,0,G23/B$27)</f>
        <v>4.6511627906976744E-3</v>
      </c>
      <c r="I23" s="100">
        <v>5</v>
      </c>
      <c r="K23" s="40">
        <v>21</v>
      </c>
      <c r="L23" s="105">
        <v>129.69999999999996</v>
      </c>
    </row>
    <row r="24" spans="1:17" x14ac:dyDescent="0.4">
      <c r="A24" s="60" t="s">
        <v>199</v>
      </c>
      <c r="B24" s="152">
        <v>109300</v>
      </c>
      <c r="C24" s="153"/>
      <c r="E24" s="65" t="s">
        <v>89</v>
      </c>
      <c r="F24" s="62" t="s">
        <v>42</v>
      </c>
      <c r="G24" s="49">
        <v>1</v>
      </c>
      <c r="H24" s="138">
        <f>IF(B$27=0,0,G24/B$27)</f>
        <v>4.6511627906976744E-3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3.5799522673031028E-3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4">
        <v>712</v>
      </c>
      <c r="C26" s="145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8">
        <v>215</v>
      </c>
      <c r="C27" s="159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38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91D7-9C18-4418-9DFA-5B22FF25AFF4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138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32</v>
      </c>
      <c r="C2" s="145"/>
      <c r="E2" s="64" t="s">
        <v>71</v>
      </c>
      <c r="F2" s="61" t="s">
        <v>25</v>
      </c>
      <c r="G2" s="48">
        <v>43</v>
      </c>
      <c r="H2" s="137">
        <f>IF(B$27=0,0,G2/B$27)</f>
        <v>0.97727272727272729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543.75</v>
      </c>
      <c r="P2" s="124">
        <v>32</v>
      </c>
      <c r="Q2" s="108">
        <v>17400</v>
      </c>
    </row>
    <row r="3" spans="1:17" x14ac:dyDescent="0.4">
      <c r="A3" s="57" t="s">
        <v>8</v>
      </c>
      <c r="B3" s="146">
        <v>262</v>
      </c>
      <c r="C3" s="147"/>
      <c r="E3" s="65" t="s">
        <v>67</v>
      </c>
      <c r="F3" s="62" t="s">
        <v>21</v>
      </c>
      <c r="G3" s="49">
        <v>30</v>
      </c>
      <c r="H3" s="138">
        <f>IF(B$27=0,0,G3/B$27)</f>
        <v>0.68181818181818177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2250</v>
      </c>
      <c r="P3" s="125">
        <v>30</v>
      </c>
      <c r="Q3" s="109">
        <v>67500</v>
      </c>
    </row>
    <row r="4" spans="1:17" x14ac:dyDescent="0.4">
      <c r="A4" s="57" t="s">
        <v>6</v>
      </c>
      <c r="B4" s="148">
        <v>8.2000000000000242</v>
      </c>
      <c r="C4" s="149"/>
      <c r="E4" s="65" t="s">
        <v>70</v>
      </c>
      <c r="F4" s="62" t="s">
        <v>24</v>
      </c>
      <c r="G4" s="49">
        <v>24</v>
      </c>
      <c r="H4" s="138">
        <f>IF(B$27=0,0,G4/B$27)</f>
        <v>0.54545454545454541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-900</v>
      </c>
      <c r="P4" s="125">
        <v>27</v>
      </c>
      <c r="Q4" s="109">
        <v>-24300</v>
      </c>
    </row>
    <row r="5" spans="1:17" x14ac:dyDescent="0.4">
      <c r="A5" s="57" t="s">
        <v>7</v>
      </c>
      <c r="B5" s="150">
        <f>IF(B$2=0,0,B$4/B$2)</f>
        <v>0.25625000000000075</v>
      </c>
      <c r="C5" s="151"/>
      <c r="E5" s="65" t="s">
        <v>69</v>
      </c>
      <c r="F5" s="62" t="s">
        <v>23</v>
      </c>
      <c r="G5" s="49">
        <v>23</v>
      </c>
      <c r="H5" s="138">
        <f>IF(B$27=0,0,G5/B$27)</f>
        <v>0.52272727272727271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608</v>
      </c>
      <c r="P5" s="125">
        <v>25</v>
      </c>
      <c r="Q5" s="109">
        <v>15200</v>
      </c>
    </row>
    <row r="6" spans="1:17" x14ac:dyDescent="0.4">
      <c r="A6" s="57" t="s">
        <v>1</v>
      </c>
      <c r="B6" s="156">
        <f>IF(B$2=0,0,(B$7*1+B$8*2+B$9*3)/B$2)</f>
        <v>2.03125</v>
      </c>
      <c r="C6" s="157"/>
      <c r="E6" s="65" t="s">
        <v>76</v>
      </c>
      <c r="F6" s="62" t="s">
        <v>29</v>
      </c>
      <c r="G6" s="49">
        <v>19</v>
      </c>
      <c r="H6" s="138">
        <f>IF(B$27=0,0,G6/B$27)</f>
        <v>0.43181818181818182</v>
      </c>
      <c r="I6" s="100">
        <v>13</v>
      </c>
      <c r="K6" s="40">
        <v>4</v>
      </c>
      <c r="L6" s="105">
        <v>-44.3</v>
      </c>
      <c r="N6" s="121" t="s">
        <v>151</v>
      </c>
      <c r="O6" s="128">
        <f t="shared" si="0"/>
        <v>-1685.7142857142858</v>
      </c>
      <c r="P6" s="125">
        <v>21</v>
      </c>
      <c r="Q6" s="109">
        <v>-35400</v>
      </c>
    </row>
    <row r="7" spans="1:17" x14ac:dyDescent="0.4">
      <c r="A7" s="57" t="s">
        <v>2</v>
      </c>
      <c r="B7" s="49">
        <v>11</v>
      </c>
      <c r="C7" s="41">
        <f>IF(B$2=0,0,B7/B$2)</f>
        <v>0.34375</v>
      </c>
      <c r="E7" s="65" t="s">
        <v>72</v>
      </c>
      <c r="F7" s="62" t="s">
        <v>12</v>
      </c>
      <c r="G7" s="49">
        <v>17</v>
      </c>
      <c r="H7" s="138">
        <f>IF(B$27=0,0,G7/B$27)</f>
        <v>0.38636363636363635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-1788.8888888888889</v>
      </c>
      <c r="P7" s="126">
        <v>18</v>
      </c>
      <c r="Q7" s="110">
        <v>-32200</v>
      </c>
    </row>
    <row r="8" spans="1:17" x14ac:dyDescent="0.4">
      <c r="A8" s="57" t="s">
        <v>3</v>
      </c>
      <c r="B8" s="49">
        <v>9</v>
      </c>
      <c r="C8" s="41">
        <f>IF(B$2=0,0,B8/B$2)</f>
        <v>0.28125</v>
      </c>
      <c r="E8" s="65" t="s">
        <v>68</v>
      </c>
      <c r="F8" s="62" t="s">
        <v>22</v>
      </c>
      <c r="G8" s="49">
        <v>7</v>
      </c>
      <c r="H8" s="138">
        <f>IF(B$27=0,0,G8/B$27)</f>
        <v>0.15909090909090909</v>
      </c>
      <c r="I8" s="100">
        <v>2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12</v>
      </c>
      <c r="C9" s="42">
        <f t="shared" ref="C9" si="1">IF(B$2=0,0,B9/B$2)</f>
        <v>0.375</v>
      </c>
      <c r="E9" s="65" t="s">
        <v>94</v>
      </c>
      <c r="F9" s="62" t="s">
        <v>47</v>
      </c>
      <c r="G9" s="49">
        <v>6</v>
      </c>
      <c r="H9" s="138">
        <f>IF(B$27=0,0,G9/B$27)</f>
        <v>0.13636363636363635</v>
      </c>
      <c r="I9" s="100">
        <v>9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0.1875</v>
      </c>
      <c r="E10" s="65" t="s">
        <v>73</v>
      </c>
      <c r="F10" s="62" t="s">
        <v>26</v>
      </c>
      <c r="G10" s="49">
        <v>5</v>
      </c>
      <c r="H10" s="138">
        <f>IF(B$27=0,0,G10/B$27)</f>
        <v>0.11363636363636363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0.15625</v>
      </c>
      <c r="E11" s="65" t="s">
        <v>74</v>
      </c>
      <c r="F11" s="62" t="s">
        <v>27</v>
      </c>
      <c r="G11" s="49">
        <v>4</v>
      </c>
      <c r="H11" s="138">
        <f>IF(B$27=0,0,G11/B$27)</f>
        <v>9.0909090909090912E-2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9.259999999999998</v>
      </c>
      <c r="P11" s="125">
        <v>10</v>
      </c>
      <c r="Q11" s="113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9.375E-2</v>
      </c>
      <c r="E12" s="65" t="s">
        <v>75</v>
      </c>
      <c r="F12" s="62" t="s">
        <v>28</v>
      </c>
      <c r="G12" s="49">
        <v>2</v>
      </c>
      <c r="H12" s="138">
        <f>IF(B$27=0,0,G12/B$27)</f>
        <v>4.5454545454545456E-2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56</v>
      </c>
      <c r="C13" s="46">
        <f>IF(B$26=0,0,B13/B$26)</f>
        <v>0.31111111111111112</v>
      </c>
      <c r="E13" s="65" t="s">
        <v>82</v>
      </c>
      <c r="F13" s="62" t="s">
        <v>35</v>
      </c>
      <c r="G13" s="49">
        <v>2</v>
      </c>
      <c r="H13" s="138">
        <f>IF(B$27=0,0,G13/B$27)</f>
        <v>4.5454545454545456E-2</v>
      </c>
      <c r="I13" s="100">
        <v>4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37</v>
      </c>
      <c r="C14" s="41">
        <f>IF(B$26=0,0,B14/B$26)</f>
        <v>0.20555555555555555</v>
      </c>
      <c r="E14" s="65" t="s">
        <v>77</v>
      </c>
      <c r="F14" s="62" t="s">
        <v>30</v>
      </c>
      <c r="G14" s="49">
        <v>1</v>
      </c>
      <c r="H14" s="138">
        <f>IF(B$27=0,0,G14/B$27)</f>
        <v>2.2727272727272728E-2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0.5178571428571429</v>
      </c>
      <c r="E15" s="65" t="s">
        <v>83</v>
      </c>
      <c r="F15" s="62" t="s">
        <v>36</v>
      </c>
      <c r="G15" s="49">
        <v>1</v>
      </c>
      <c r="H15" s="138">
        <f>IF(B$27=0,0,G15/B$27)</f>
        <v>2.2727272727272728E-2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8</v>
      </c>
      <c r="C16" s="39">
        <f>IF(B$14=0,0,B16/B$14)</f>
        <v>0.21621621621621623</v>
      </c>
      <c r="E16" s="65" t="s">
        <v>88</v>
      </c>
      <c r="F16" s="62" t="s">
        <v>41</v>
      </c>
      <c r="G16" s="49">
        <v>1</v>
      </c>
      <c r="H16" s="138">
        <f>IF(B$27=0,0,G16/B$27)</f>
        <v>2.2727272727272728E-2</v>
      </c>
      <c r="I16" s="100">
        <v>11</v>
      </c>
      <c r="K16" s="40">
        <v>14</v>
      </c>
      <c r="L16" s="105">
        <v>147.10000000000002</v>
      </c>
      <c r="N16" s="121" t="s">
        <v>137</v>
      </c>
      <c r="O16" s="131">
        <f>IF(P16=0,0,Q16/P16)</f>
        <v>3.38</v>
      </c>
      <c r="P16" s="125">
        <v>5</v>
      </c>
      <c r="Q16" s="113">
        <v>16.899999999999999</v>
      </c>
    </row>
    <row r="17" spans="1:17" x14ac:dyDescent="0.4">
      <c r="A17" s="56" t="s">
        <v>10</v>
      </c>
      <c r="B17" s="48">
        <f>B19+B18</f>
        <v>72</v>
      </c>
      <c r="C17" s="39">
        <f>IF(B$3=0,0,B17/B$3)</f>
        <v>0.27480916030534353</v>
      </c>
      <c r="E17" s="65" t="s">
        <v>91</v>
      </c>
      <c r="F17" s="62" t="s">
        <v>44</v>
      </c>
      <c r="G17" s="49">
        <v>1</v>
      </c>
      <c r="H17" s="138">
        <f>IF(B$27=0,0,G17/B$27)</f>
        <v>2.2727272727272728E-2</v>
      </c>
      <c r="I17" s="100">
        <v>13</v>
      </c>
      <c r="K17" s="40">
        <v>15</v>
      </c>
      <c r="L17" s="105">
        <v>148.80000000000001</v>
      </c>
      <c r="N17" s="121" t="s">
        <v>134</v>
      </c>
      <c r="O17" s="131">
        <f>IF(P17=0,0,Q17/P17)</f>
        <v>0.14444444444444493</v>
      </c>
      <c r="P17" s="125">
        <v>9</v>
      </c>
      <c r="Q17" s="113">
        <v>1.3000000000000043</v>
      </c>
    </row>
    <row r="18" spans="1:17" x14ac:dyDescent="0.4">
      <c r="A18" s="57" t="s">
        <v>12</v>
      </c>
      <c r="B18" s="49">
        <v>33</v>
      </c>
      <c r="C18" s="41">
        <f>IF(B$17=0,0,B18/B$17)</f>
        <v>0.45833333333333331</v>
      </c>
      <c r="E18" s="65" t="s">
        <v>96</v>
      </c>
      <c r="F18" s="62" t="s">
        <v>49</v>
      </c>
      <c r="G18" s="49">
        <v>1</v>
      </c>
      <c r="H18" s="138">
        <f>IF(B$27=0,0,G18/B$27)</f>
        <v>2.2727272727272728E-2</v>
      </c>
      <c r="I18" s="100">
        <v>3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39</v>
      </c>
      <c r="C19" s="41">
        <f>IF(B$17=0,0,B19/B$17)</f>
        <v>0.54166666666666663</v>
      </c>
      <c r="E19" s="65" t="s">
        <v>97</v>
      </c>
      <c r="F19" s="62" t="s">
        <v>50</v>
      </c>
      <c r="G19" s="49">
        <v>1</v>
      </c>
      <c r="H19" s="138">
        <f>IF(B$27=0,0,G19/B$27)</f>
        <v>2.2727272727272728E-2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45</v>
      </c>
      <c r="C20" s="41">
        <f>IF(B$3=0,0,B20/B$3)</f>
        <v>0.1717557251908397</v>
      </c>
      <c r="E20" s="65" t="s">
        <v>78</v>
      </c>
      <c r="F20" s="62" t="s">
        <v>31</v>
      </c>
      <c r="G20" s="49">
        <v>0</v>
      </c>
      <c r="H20" s="138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-23.366666666666671</v>
      </c>
      <c r="P20" s="125">
        <v>3</v>
      </c>
      <c r="Q20" s="113">
        <v>-70.100000000000009</v>
      </c>
    </row>
    <row r="21" spans="1:17" x14ac:dyDescent="0.4">
      <c r="A21" s="57" t="s">
        <v>5</v>
      </c>
      <c r="B21" s="53">
        <f>IF(B$17=0,0,C21/B$17)</f>
        <v>11041.666666666666</v>
      </c>
      <c r="C21" s="43">
        <v>795000</v>
      </c>
      <c r="E21" s="65" t="s">
        <v>79</v>
      </c>
      <c r="F21" s="62" t="s">
        <v>32</v>
      </c>
      <c r="G21" s="49">
        <v>0</v>
      </c>
      <c r="H21" s="138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-8928.8888888888887</v>
      </c>
      <c r="C22" s="47">
        <v>-401800</v>
      </c>
      <c r="E22" s="65" t="s">
        <v>80</v>
      </c>
      <c r="F22" s="62" t="s">
        <v>33</v>
      </c>
      <c r="G22" s="49">
        <v>0</v>
      </c>
      <c r="H22" s="138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2">
        <v>109300</v>
      </c>
      <c r="C24" s="153"/>
      <c r="E24" s="65" t="s">
        <v>84</v>
      </c>
      <c r="F24" s="62" t="s">
        <v>37</v>
      </c>
      <c r="G24" s="49">
        <v>0</v>
      </c>
      <c r="H24" s="138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38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4">
        <v>180</v>
      </c>
      <c r="C26" s="145"/>
      <c r="E26" s="65" t="s">
        <v>86</v>
      </c>
      <c r="F26" s="62" t="s">
        <v>39</v>
      </c>
      <c r="G26" s="49">
        <v>0</v>
      </c>
      <c r="H26" s="138">
        <f>IF(B$27=0,0,G26/B$27)</f>
        <v>0</v>
      </c>
      <c r="I26" s="100">
        <v>9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8">
        <v>44</v>
      </c>
      <c r="C27" s="159"/>
      <c r="E27" s="65" t="s">
        <v>87</v>
      </c>
      <c r="F27" s="62" t="s">
        <v>40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38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38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88D5C-8921-45E0-87B7-374D4073E537}">
  <sheetPr codeName="Sheet25"/>
  <dimension ref="A1:Q11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139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112</v>
      </c>
      <c r="C2" s="145"/>
      <c r="E2" s="64" t="s">
        <v>71</v>
      </c>
      <c r="F2" s="61" t="s">
        <v>25</v>
      </c>
      <c r="G2" s="48">
        <v>222</v>
      </c>
      <c r="H2" s="137">
        <f>IF(B$27=0,0,G2/B$27)</f>
        <v>0.9173553719008265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-1896.2962962962963</v>
      </c>
      <c r="P2" s="124">
        <v>108</v>
      </c>
      <c r="Q2" s="108">
        <v>-204800</v>
      </c>
    </row>
    <row r="3" spans="1:17" x14ac:dyDescent="0.4">
      <c r="A3" s="57" t="s">
        <v>8</v>
      </c>
      <c r="B3" s="146">
        <v>867</v>
      </c>
      <c r="C3" s="147"/>
      <c r="E3" s="65" t="s">
        <v>69</v>
      </c>
      <c r="F3" s="62" t="s">
        <v>23</v>
      </c>
      <c r="G3" s="49">
        <v>193</v>
      </c>
      <c r="H3" s="138">
        <f>IF(B$27=0,0,G3/B$27)</f>
        <v>0.7975206611570248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691.5094339622641</v>
      </c>
      <c r="P3" s="125">
        <v>106</v>
      </c>
      <c r="Q3" s="109">
        <v>73300</v>
      </c>
    </row>
    <row r="4" spans="1:17" x14ac:dyDescent="0.4">
      <c r="A4" s="57" t="s">
        <v>6</v>
      </c>
      <c r="B4" s="148">
        <v>-471.19999999999993</v>
      </c>
      <c r="C4" s="149"/>
      <c r="E4" s="65" t="s">
        <v>67</v>
      </c>
      <c r="F4" s="62" t="s">
        <v>21</v>
      </c>
      <c r="G4" s="49">
        <v>147</v>
      </c>
      <c r="H4" s="138">
        <f>IF(B$27=0,0,G4/B$27)</f>
        <v>0.6074380165289256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-587</v>
      </c>
      <c r="P4" s="125">
        <v>100</v>
      </c>
      <c r="Q4" s="109">
        <v>-58700</v>
      </c>
    </row>
    <row r="5" spans="1:17" x14ac:dyDescent="0.4">
      <c r="A5" s="57" t="s">
        <v>7</v>
      </c>
      <c r="B5" s="150">
        <f>IF(B$2=0,0,B$4/B$2)</f>
        <v>-4.2071428571428564</v>
      </c>
      <c r="C5" s="151"/>
      <c r="E5" s="65" t="s">
        <v>76</v>
      </c>
      <c r="F5" s="62" t="s">
        <v>29</v>
      </c>
      <c r="G5" s="49">
        <v>146</v>
      </c>
      <c r="H5" s="138">
        <f>IF(B$27=0,0,G5/B$27)</f>
        <v>0.60330578512396693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0"/>
        <v>-448.91304347826087</v>
      </c>
      <c r="P5" s="125">
        <v>92</v>
      </c>
      <c r="Q5" s="109">
        <v>-41300</v>
      </c>
    </row>
    <row r="6" spans="1:17" x14ac:dyDescent="0.4">
      <c r="A6" s="57" t="s">
        <v>1</v>
      </c>
      <c r="B6" s="156">
        <f>IF(B$2=0,0,(B$7*1+B$8*2+B$9*3)/B$2)</f>
        <v>2.1785714285714284</v>
      </c>
      <c r="C6" s="157"/>
      <c r="E6" s="65" t="s">
        <v>70</v>
      </c>
      <c r="F6" s="62" t="s">
        <v>24</v>
      </c>
      <c r="G6" s="49">
        <v>86</v>
      </c>
      <c r="H6" s="138">
        <f>IF(B$27=0,0,G6/B$27)</f>
        <v>0.35537190082644626</v>
      </c>
      <c r="I6" s="100">
        <v>5</v>
      </c>
      <c r="K6" s="40">
        <v>4</v>
      </c>
      <c r="L6" s="105">
        <v>-35.099999999999994</v>
      </c>
      <c r="N6" s="121" t="s">
        <v>151</v>
      </c>
      <c r="O6" s="128">
        <f t="shared" si="0"/>
        <v>-2429.4117647058824</v>
      </c>
      <c r="P6" s="125">
        <v>85</v>
      </c>
      <c r="Q6" s="109">
        <v>-206500</v>
      </c>
    </row>
    <row r="7" spans="1:17" x14ac:dyDescent="0.4">
      <c r="A7" s="57" t="s">
        <v>2</v>
      </c>
      <c r="B7" s="49">
        <v>28</v>
      </c>
      <c r="C7" s="41">
        <f>IF(B$2=0,0,B7/B$2)</f>
        <v>0.25</v>
      </c>
      <c r="E7" s="65" t="s">
        <v>72</v>
      </c>
      <c r="F7" s="62" t="s">
        <v>12</v>
      </c>
      <c r="G7" s="49">
        <v>79</v>
      </c>
      <c r="H7" s="138">
        <f>IF(B$27=0,0,G7/B$27)</f>
        <v>0.32644628099173556</v>
      </c>
      <c r="I7" s="100">
        <v>4</v>
      </c>
      <c r="K7" s="40">
        <v>5</v>
      </c>
      <c r="L7" s="105">
        <v>-80.099999999999994</v>
      </c>
      <c r="N7" s="122" t="s">
        <v>152</v>
      </c>
      <c r="O7" s="129">
        <f t="shared" si="0"/>
        <v>1180.5970149253731</v>
      </c>
      <c r="P7" s="126">
        <v>67</v>
      </c>
      <c r="Q7" s="110">
        <v>79100</v>
      </c>
    </row>
    <row r="8" spans="1:17" x14ac:dyDescent="0.4">
      <c r="A8" s="57" t="s">
        <v>3</v>
      </c>
      <c r="B8" s="49">
        <v>36</v>
      </c>
      <c r="C8" s="41">
        <f>IF(B$2=0,0,B8/B$2)</f>
        <v>0.32142857142857145</v>
      </c>
      <c r="E8" s="65" t="s">
        <v>73</v>
      </c>
      <c r="F8" s="62" t="s">
        <v>26</v>
      </c>
      <c r="G8" s="49">
        <v>39</v>
      </c>
      <c r="H8" s="138">
        <f>IF(B$27=0,0,G8/B$27)</f>
        <v>0.16115702479338842</v>
      </c>
      <c r="I8" s="100">
        <v>3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48</v>
      </c>
      <c r="C9" s="42">
        <f t="shared" ref="C9" si="1">IF(B$2=0,0,B9/B$2)</f>
        <v>0.42857142857142855</v>
      </c>
      <c r="E9" s="65" t="s">
        <v>94</v>
      </c>
      <c r="F9" s="62" t="s">
        <v>47</v>
      </c>
      <c r="G9" s="49">
        <v>31</v>
      </c>
      <c r="H9" s="138">
        <f>IF(B$27=0,0,G9/B$27)</f>
        <v>0.128099173553719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0.20535714285714285</v>
      </c>
      <c r="E10" s="65" t="s">
        <v>74</v>
      </c>
      <c r="F10" s="62" t="s">
        <v>27</v>
      </c>
      <c r="G10" s="49">
        <v>30</v>
      </c>
      <c r="H10" s="138">
        <f>IF(B$27=0,0,G10/B$27)</f>
        <v>0.12396694214876033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-12.167500000000002</v>
      </c>
      <c r="P10" s="124">
        <v>40</v>
      </c>
      <c r="Q10" s="112">
        <v>-486.7000000000001</v>
      </c>
    </row>
    <row r="11" spans="1:17" x14ac:dyDescent="0.4">
      <c r="A11" s="58" t="s">
        <v>155</v>
      </c>
      <c r="B11" s="50">
        <v>16</v>
      </c>
      <c r="C11" s="42">
        <f>IF(B$2=0,0,B11/B$2)</f>
        <v>0.14285714285714285</v>
      </c>
      <c r="E11" s="65" t="s">
        <v>68</v>
      </c>
      <c r="F11" s="62" t="s">
        <v>22</v>
      </c>
      <c r="G11" s="49">
        <v>22</v>
      </c>
      <c r="H11" s="138">
        <f>IF(B$27=0,0,G11/B$27)</f>
        <v>9.0909090909090912E-2</v>
      </c>
      <c r="I11" s="100">
        <v>10</v>
      </c>
      <c r="K11" s="40">
        <v>9</v>
      </c>
      <c r="L11" s="105">
        <v>-173</v>
      </c>
      <c r="N11" s="121" t="s">
        <v>254</v>
      </c>
      <c r="O11" s="131">
        <f>IF(P11=0,0,Q11/P11)</f>
        <v>3.513157894736842</v>
      </c>
      <c r="P11" s="125">
        <v>38</v>
      </c>
      <c r="Q11" s="113">
        <v>133.5</v>
      </c>
    </row>
    <row r="12" spans="1:17" x14ac:dyDescent="0.4">
      <c r="A12" s="59" t="s">
        <v>239</v>
      </c>
      <c r="B12" s="51">
        <v>11</v>
      </c>
      <c r="C12" s="44">
        <f>IF(B$2=0,0,B12/B$2)</f>
        <v>9.8214285714285712E-2</v>
      </c>
      <c r="E12" s="65" t="s">
        <v>91</v>
      </c>
      <c r="F12" s="62" t="s">
        <v>44</v>
      </c>
      <c r="G12" s="49">
        <v>21</v>
      </c>
      <c r="H12" s="138">
        <f>IF(B$27=0,0,G12/B$27)</f>
        <v>8.6776859504132234E-2</v>
      </c>
      <c r="I12" s="100">
        <v>5</v>
      </c>
      <c r="K12" s="40">
        <v>10</v>
      </c>
      <c r="L12" s="105">
        <v>-206.1</v>
      </c>
      <c r="N12" s="122" t="s">
        <v>255</v>
      </c>
      <c r="O12" s="132">
        <f>IF(P12=0,0,Q12/P12)</f>
        <v>-0.1838709677419354</v>
      </c>
      <c r="P12" s="126">
        <v>31</v>
      </c>
      <c r="Q12" s="114">
        <v>-5.6999999999999975</v>
      </c>
    </row>
    <row r="13" spans="1:17" x14ac:dyDescent="0.4">
      <c r="A13" s="60" t="s">
        <v>128</v>
      </c>
      <c r="B13" s="52">
        <v>252</v>
      </c>
      <c r="C13" s="46">
        <f>IF(B$26=0,0,B13/B$26)</f>
        <v>0.30361445783132529</v>
      </c>
      <c r="E13" s="65" t="s">
        <v>82</v>
      </c>
      <c r="F13" s="62" t="s">
        <v>35</v>
      </c>
      <c r="G13" s="49">
        <v>10</v>
      </c>
      <c r="H13" s="138">
        <f>IF(B$27=0,0,G13/B$27)</f>
        <v>4.1322314049586778E-2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165</v>
      </c>
      <c r="C14" s="41">
        <f>IF(B$26=0,0,B14/B$26)</f>
        <v>0.19879518072289157</v>
      </c>
      <c r="E14" s="65" t="s">
        <v>88</v>
      </c>
      <c r="F14" s="62" t="s">
        <v>41</v>
      </c>
      <c r="G14" s="49">
        <v>8</v>
      </c>
      <c r="H14" s="138">
        <f>IF(B$27=0,0,G14/B$27)</f>
        <v>3.3057851239669422E-2</v>
      </c>
      <c r="I14" s="100">
        <v>7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151</v>
      </c>
      <c r="C15" s="39">
        <f>IF(B$13=0,0,B15/B$13)</f>
        <v>0.59920634920634919</v>
      </c>
      <c r="E15" s="65" t="s">
        <v>75</v>
      </c>
      <c r="F15" s="62" t="s">
        <v>28</v>
      </c>
      <c r="G15" s="49">
        <v>7</v>
      </c>
      <c r="H15" s="138">
        <f>IF(B$27=0,0,G15/B$27)</f>
        <v>2.8925619834710745E-2</v>
      </c>
      <c r="I15" s="100">
        <v>10</v>
      </c>
      <c r="K15" s="40">
        <v>13</v>
      </c>
      <c r="L15" s="105">
        <v>-235</v>
      </c>
      <c r="N15" s="120" t="s">
        <v>194</v>
      </c>
      <c r="O15" s="130">
        <f>IF(P15=0,0,Q15/P15)</f>
        <v>25.3</v>
      </c>
      <c r="P15" s="124">
        <v>2</v>
      </c>
      <c r="Q15" s="112">
        <v>50.6</v>
      </c>
    </row>
    <row r="16" spans="1:17" x14ac:dyDescent="0.4">
      <c r="A16" s="56" t="s">
        <v>131</v>
      </c>
      <c r="B16" s="48">
        <v>63</v>
      </c>
      <c r="C16" s="39">
        <f>IF(B$14=0,0,B16/B$14)</f>
        <v>0.38181818181818183</v>
      </c>
      <c r="E16" s="65" t="s">
        <v>86</v>
      </c>
      <c r="F16" s="62" t="s">
        <v>39</v>
      </c>
      <c r="G16" s="49">
        <v>6</v>
      </c>
      <c r="H16" s="138">
        <f>IF(B$27=0,0,G16/B$27)</f>
        <v>2.4793388429752067E-2</v>
      </c>
      <c r="I16" s="100">
        <v>6</v>
      </c>
      <c r="K16" s="40">
        <v>14</v>
      </c>
      <c r="L16" s="105">
        <v>-231</v>
      </c>
      <c r="N16" s="121" t="s">
        <v>138</v>
      </c>
      <c r="O16" s="131">
        <f>IF(P16=0,0,Q16/P16)</f>
        <v>23.366666666666664</v>
      </c>
      <c r="P16" s="125">
        <v>3</v>
      </c>
      <c r="Q16" s="113">
        <v>70.099999999999994</v>
      </c>
    </row>
    <row r="17" spans="1:17" x14ac:dyDescent="0.4">
      <c r="A17" s="56" t="s">
        <v>10</v>
      </c>
      <c r="B17" s="48">
        <f>B19+B18</f>
        <v>252</v>
      </c>
      <c r="C17" s="39">
        <f>IF(B$3=0,0,B17/B$3)</f>
        <v>0.29065743944636679</v>
      </c>
      <c r="E17" s="65" t="s">
        <v>77</v>
      </c>
      <c r="F17" s="62" t="s">
        <v>30</v>
      </c>
      <c r="G17" s="49">
        <v>4</v>
      </c>
      <c r="H17" s="138">
        <f>IF(B$27=0,0,G17/B$27)</f>
        <v>1.6528925619834711E-2</v>
      </c>
      <c r="I17" s="100">
        <v>3</v>
      </c>
      <c r="K17" s="40">
        <v>15</v>
      </c>
      <c r="L17" s="105">
        <v>-212.5</v>
      </c>
      <c r="N17" s="121" t="s">
        <v>157</v>
      </c>
      <c r="O17" s="131">
        <f>IF(P17=0,0,Q17/P17)</f>
        <v>10.761111111111113</v>
      </c>
      <c r="P17" s="125">
        <v>18</v>
      </c>
      <c r="Q17" s="113">
        <v>193.70000000000002</v>
      </c>
    </row>
    <row r="18" spans="1:17" x14ac:dyDescent="0.4">
      <c r="A18" s="57" t="s">
        <v>12</v>
      </c>
      <c r="B18" s="49">
        <v>113</v>
      </c>
      <c r="C18" s="41">
        <f>IF(B$17=0,0,B18/B$17)</f>
        <v>0.44841269841269843</v>
      </c>
      <c r="E18" s="65" t="s">
        <v>96</v>
      </c>
      <c r="F18" s="62" t="s">
        <v>49</v>
      </c>
      <c r="G18" s="49">
        <v>4</v>
      </c>
      <c r="H18" s="138">
        <f>IF(B$27=0,0,G18/B$27)</f>
        <v>1.6528925619834711E-2</v>
      </c>
      <c r="I18" s="100">
        <v>7</v>
      </c>
      <c r="K18" s="40">
        <v>16</v>
      </c>
      <c r="L18" s="105">
        <v>-233.2</v>
      </c>
      <c r="N18" s="121" t="s">
        <v>135</v>
      </c>
      <c r="O18" s="131">
        <f>IF(P18=0,0,Q18/P18)</f>
        <v>8.8833333333333329</v>
      </c>
      <c r="P18" s="125">
        <v>12</v>
      </c>
      <c r="Q18" s="113">
        <v>106.6</v>
      </c>
    </row>
    <row r="19" spans="1:17" x14ac:dyDescent="0.4">
      <c r="A19" s="57" t="s">
        <v>11</v>
      </c>
      <c r="B19" s="49">
        <v>139</v>
      </c>
      <c r="C19" s="41">
        <f>IF(B$17=0,0,B19/B$17)</f>
        <v>0.55158730158730163</v>
      </c>
      <c r="E19" s="65" t="s">
        <v>79</v>
      </c>
      <c r="F19" s="62" t="s">
        <v>32</v>
      </c>
      <c r="G19" s="49">
        <v>3</v>
      </c>
      <c r="H19" s="138">
        <f>IF(B$27=0,0,G19/B$27)</f>
        <v>1.2396694214876033E-2</v>
      </c>
      <c r="I19" s="100">
        <v>1</v>
      </c>
      <c r="K19" s="40">
        <v>17</v>
      </c>
      <c r="L19" s="105">
        <v>-268.7</v>
      </c>
      <c r="N19" s="121" t="s">
        <v>134</v>
      </c>
      <c r="O19" s="131">
        <f>IF(P19=0,0,Q19/P19)</f>
        <v>-3.4244444444444411</v>
      </c>
      <c r="P19" s="125">
        <v>45</v>
      </c>
      <c r="Q19" s="113">
        <v>-154.09999999999985</v>
      </c>
    </row>
    <row r="20" spans="1:17" x14ac:dyDescent="0.4">
      <c r="A20" s="57" t="s">
        <v>13</v>
      </c>
      <c r="B20" s="49">
        <v>180</v>
      </c>
      <c r="C20" s="41">
        <f>IF(B$3=0,0,B20/B$3)</f>
        <v>0.20761245674740483</v>
      </c>
      <c r="E20" s="65" t="s">
        <v>83</v>
      </c>
      <c r="F20" s="62" t="s">
        <v>36</v>
      </c>
      <c r="G20" s="49">
        <v>3</v>
      </c>
      <c r="H20" s="138">
        <f>IF(B$27=0,0,G20/B$27)</f>
        <v>1.2396694214876033E-2</v>
      </c>
      <c r="I20" s="100">
        <v>8</v>
      </c>
      <c r="K20" s="40">
        <v>18</v>
      </c>
      <c r="L20" s="105">
        <v>-295.8</v>
      </c>
      <c r="N20" s="121" t="s">
        <v>167</v>
      </c>
      <c r="O20" s="131">
        <f>IF(P20=0,0,Q20/P20)</f>
        <v>-3.9666666666666663</v>
      </c>
      <c r="P20" s="125">
        <v>3</v>
      </c>
      <c r="Q20" s="113">
        <v>-11.899999999999999</v>
      </c>
    </row>
    <row r="21" spans="1:17" x14ac:dyDescent="0.4">
      <c r="A21" s="57" t="s">
        <v>5</v>
      </c>
      <c r="B21" s="53">
        <f>IF(B$17=0,0,C21/B$17)</f>
        <v>10652.777777777777</v>
      </c>
      <c r="C21" s="43">
        <v>2684500</v>
      </c>
      <c r="E21" s="65" t="s">
        <v>98</v>
      </c>
      <c r="F21" s="62" t="s">
        <v>51</v>
      </c>
      <c r="G21" s="49">
        <v>2</v>
      </c>
      <c r="H21" s="138">
        <f>IF(B$27=0,0,G21/B$27)</f>
        <v>8.2644628099173556E-3</v>
      </c>
      <c r="I21" s="100">
        <v>3</v>
      </c>
      <c r="K21" s="40">
        <v>19</v>
      </c>
      <c r="L21" s="105">
        <v>-273.2</v>
      </c>
      <c r="N21" s="121" t="s">
        <v>136</v>
      </c>
      <c r="O21" s="131">
        <f>IF(P21=0,0,Q21/P21)</f>
        <v>-9.2181818181818187</v>
      </c>
      <c r="P21" s="125">
        <v>11</v>
      </c>
      <c r="Q21" s="113">
        <v>-101.4</v>
      </c>
    </row>
    <row r="22" spans="1:17" x14ac:dyDescent="0.4">
      <c r="A22" s="59" t="s">
        <v>14</v>
      </c>
      <c r="B22" s="54">
        <f>IF(B$20=0,0,C22/B$20)</f>
        <v>-9608.3333333333339</v>
      </c>
      <c r="C22" s="47">
        <v>-1729500</v>
      </c>
      <c r="E22" s="65" t="s">
        <v>78</v>
      </c>
      <c r="F22" s="62" t="s">
        <v>31</v>
      </c>
      <c r="G22" s="49">
        <v>1</v>
      </c>
      <c r="H22" s="138">
        <f>IF(B$27=0,0,G22/B$27)</f>
        <v>4.1322314049586778E-3</v>
      </c>
      <c r="I22" s="100">
        <v>4</v>
      </c>
      <c r="K22" s="40">
        <v>20</v>
      </c>
      <c r="L22" s="105">
        <v>-270</v>
      </c>
      <c r="N22" s="121" t="s">
        <v>133</v>
      </c>
      <c r="O22" s="131">
        <f>IF(P22=0,0,Q22/P22)</f>
        <v>-10.96022727272727</v>
      </c>
      <c r="P22" s="125">
        <v>88</v>
      </c>
      <c r="Q22" s="113">
        <v>-964.49999999999977</v>
      </c>
    </row>
    <row r="23" spans="1:17" x14ac:dyDescent="0.4">
      <c r="A23" s="96" t="s">
        <v>158</v>
      </c>
      <c r="B23" s="154">
        <v>7</v>
      </c>
      <c r="C23" s="155"/>
      <c r="E23" s="65" t="s">
        <v>81</v>
      </c>
      <c r="F23" s="62" t="s">
        <v>34</v>
      </c>
      <c r="G23" s="49">
        <v>1</v>
      </c>
      <c r="H23" s="138">
        <f>IF(B$27=0,0,G23/B$27)</f>
        <v>4.1322314049586778E-3</v>
      </c>
      <c r="I23" s="100">
        <v>5</v>
      </c>
      <c r="K23" s="40">
        <v>21</v>
      </c>
      <c r="L23" s="105">
        <v>-242</v>
      </c>
      <c r="N23" s="121" t="s">
        <v>137</v>
      </c>
      <c r="O23" s="131">
        <f>IF(P23=0,0,Q23/P23)</f>
        <v>-14.182499999999999</v>
      </c>
      <c r="P23" s="125">
        <v>40</v>
      </c>
      <c r="Q23" s="113">
        <v>-567.29999999999995</v>
      </c>
    </row>
    <row r="24" spans="1:17" x14ac:dyDescent="0.4">
      <c r="A24" s="60" t="s">
        <v>199</v>
      </c>
      <c r="B24" s="152">
        <v>124700</v>
      </c>
      <c r="C24" s="153"/>
      <c r="E24" s="65" t="s">
        <v>89</v>
      </c>
      <c r="F24" s="62" t="s">
        <v>42</v>
      </c>
      <c r="G24" s="49">
        <v>1</v>
      </c>
      <c r="H24" s="138">
        <f>IF(B$27=0,0,G24/B$27)</f>
        <v>4.1322314049586778E-3</v>
      </c>
      <c r="I24" s="100">
        <v>3</v>
      </c>
      <c r="K24" s="40">
        <v>22</v>
      </c>
      <c r="L24" s="105">
        <v>-202.9</v>
      </c>
      <c r="N24" s="121" t="s">
        <v>171</v>
      </c>
      <c r="O24" s="131">
        <f>IF(P24=0,0,Q24/P24)</f>
        <v>-17.200000000000003</v>
      </c>
      <c r="P24" s="125">
        <v>2</v>
      </c>
      <c r="Q24" s="113">
        <v>-34.400000000000006</v>
      </c>
    </row>
    <row r="25" spans="1:17" x14ac:dyDescent="0.4">
      <c r="A25" s="59" t="s">
        <v>159</v>
      </c>
      <c r="B25" s="67">
        <v>7</v>
      </c>
      <c r="C25" s="44">
        <f>IF(B$3=0,0,B25/B$3)</f>
        <v>8.0738177623990767E-3</v>
      </c>
      <c r="E25" s="65" t="s">
        <v>90</v>
      </c>
      <c r="F25" s="62" t="s">
        <v>43</v>
      </c>
      <c r="G25" s="49">
        <v>1</v>
      </c>
      <c r="H25" s="138">
        <f>IF(B$27=0,0,G25/B$27)</f>
        <v>4.1322314049586778E-3</v>
      </c>
      <c r="I25" s="100">
        <v>3</v>
      </c>
      <c r="K25" s="40">
        <v>23</v>
      </c>
      <c r="L25" s="105">
        <v>-200.9</v>
      </c>
    </row>
    <row r="26" spans="1:17" x14ac:dyDescent="0.4">
      <c r="A26" s="56" t="s">
        <v>126</v>
      </c>
      <c r="B26" s="144">
        <v>830</v>
      </c>
      <c r="C26" s="145"/>
      <c r="E26" s="65" t="s">
        <v>97</v>
      </c>
      <c r="F26" s="62" t="s">
        <v>50</v>
      </c>
      <c r="G26" s="49">
        <v>1</v>
      </c>
      <c r="H26" s="138">
        <f>IF(B$27=0,0,G26/B$27)</f>
        <v>4.1322314049586778E-3</v>
      </c>
      <c r="I26" s="100">
        <v>6</v>
      </c>
      <c r="K26" s="40">
        <v>24</v>
      </c>
      <c r="L26" s="105">
        <v>-168.2</v>
      </c>
    </row>
    <row r="27" spans="1:17" x14ac:dyDescent="0.4">
      <c r="A27" s="59" t="s">
        <v>127</v>
      </c>
      <c r="B27" s="158">
        <v>242</v>
      </c>
      <c r="C27" s="159"/>
      <c r="E27" s="65" t="s">
        <v>80</v>
      </c>
      <c r="F27" s="62" t="s">
        <v>33</v>
      </c>
      <c r="G27" s="49">
        <v>0</v>
      </c>
      <c r="H27" s="138">
        <f>IF(B$27=0,0,G27/B$27)</f>
        <v>0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84</v>
      </c>
      <c r="F28" s="62" t="s">
        <v>37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85</v>
      </c>
      <c r="F29" s="62" t="s">
        <v>38</v>
      </c>
      <c r="G29" s="49">
        <v>0</v>
      </c>
      <c r="H29" s="138">
        <f>IF(B$27=0,0,G29/B$27)</f>
        <v>0</v>
      </c>
      <c r="I29" s="100">
        <v>3</v>
      </c>
      <c r="K29" s="40">
        <v>27</v>
      </c>
      <c r="L29" s="105">
        <v>-296.29999999999995</v>
      </c>
    </row>
    <row r="30" spans="1:17" x14ac:dyDescent="0.4">
      <c r="E30" s="65" t="s">
        <v>87</v>
      </c>
      <c r="F30" s="62" t="s">
        <v>40</v>
      </c>
      <c r="G30" s="49">
        <v>0</v>
      </c>
      <c r="H30" s="138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92</v>
      </c>
      <c r="F31" s="62" t="s">
        <v>45</v>
      </c>
      <c r="G31" s="49">
        <v>0</v>
      </c>
      <c r="H31" s="138">
        <f>IF(B$27=0,0,G31/B$27)</f>
        <v>0</v>
      </c>
      <c r="I31" s="100">
        <v>4</v>
      </c>
      <c r="K31" s="40">
        <v>29</v>
      </c>
      <c r="L31" s="105">
        <v>-239.19999999999993</v>
      </c>
    </row>
    <row r="32" spans="1:17" x14ac:dyDescent="0.4">
      <c r="E32" s="65" t="s">
        <v>93</v>
      </c>
      <c r="F32" s="62" t="s">
        <v>46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-257.29999999999995</v>
      </c>
    </row>
    <row r="33" spans="5:12" x14ac:dyDescent="0.4">
      <c r="E33" s="65" t="s">
        <v>95</v>
      </c>
      <c r="F33" s="62" t="s">
        <v>48</v>
      </c>
      <c r="G33" s="49">
        <v>0</v>
      </c>
      <c r="H33" s="138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C23B9-8514-4584-8049-32EDC4CDF0B8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194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</v>
      </c>
      <c r="C2" s="145"/>
      <c r="E2" s="64" t="s">
        <v>67</v>
      </c>
      <c r="F2" s="61" t="s">
        <v>21</v>
      </c>
      <c r="G2" s="48">
        <v>12</v>
      </c>
      <c r="H2" s="137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6">
        <v>50</v>
      </c>
      <c r="C3" s="147"/>
      <c r="E3" s="65" t="s">
        <v>69</v>
      </c>
      <c r="F3" s="62" t="s">
        <v>23</v>
      </c>
      <c r="G3" s="49">
        <v>12</v>
      </c>
      <c r="H3" s="138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8">
        <v>47</v>
      </c>
      <c r="C4" s="149"/>
      <c r="E4" s="65" t="s">
        <v>71</v>
      </c>
      <c r="F4" s="62" t="s">
        <v>25</v>
      </c>
      <c r="G4" s="49">
        <v>12</v>
      </c>
      <c r="H4" s="138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0">
        <f>IF(B$2=0,0,B$4/B$2)</f>
        <v>7.833333333333333</v>
      </c>
      <c r="C5" s="151"/>
      <c r="E5" s="65" t="s">
        <v>76</v>
      </c>
      <c r="F5" s="62" t="s">
        <v>29</v>
      </c>
      <c r="G5" s="49">
        <v>10</v>
      </c>
      <c r="H5" s="138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6">
        <f>IF(B$2=0,0,(B$7*1+B$8*2+B$9*3)/B$2)</f>
        <v>1.8333333333333333</v>
      </c>
      <c r="C6" s="157"/>
      <c r="E6" s="65" t="s">
        <v>70</v>
      </c>
      <c r="F6" s="62" t="s">
        <v>24</v>
      </c>
      <c r="G6" s="49">
        <v>7</v>
      </c>
      <c r="H6" s="138">
        <f>IF(B$27=0,0,G6/B$27)</f>
        <v>0.36842105263157893</v>
      </c>
      <c r="I6" s="100">
        <v>4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38">
        <f>IF(B$27=0,0,G7/B$27)</f>
        <v>0.21052631578947367</v>
      </c>
      <c r="I7" s="100">
        <v>11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38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38">
        <f>IF(B$27=0,0,G9/B$27)</f>
        <v>0.15789473684210525</v>
      </c>
      <c r="I9" s="100">
        <v>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38">
        <f>IF(B$27=0,0,G10/B$27)</f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38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38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38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38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38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38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38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8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8">
        <f>IF(B$27=0,0,G19/B$27)</f>
        <v>0</v>
      </c>
      <c r="I19" s="100">
        <v>6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38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38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5</v>
      </c>
      <c r="C23" s="15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2">
        <v>78000</v>
      </c>
      <c r="C24" s="15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50</v>
      </c>
      <c r="C26" s="145"/>
      <c r="E26" s="65" t="s">
        <v>88</v>
      </c>
      <c r="F26" s="62" t="s">
        <v>41</v>
      </c>
      <c r="G26" s="49">
        <v>0</v>
      </c>
      <c r="H26" s="138">
        <f>IF(B$27=0,0,G26/B$27)</f>
        <v>0</v>
      </c>
      <c r="I26" s="100">
        <v>12</v>
      </c>
    </row>
    <row r="27" spans="1:17" x14ac:dyDescent="0.4">
      <c r="A27" s="59" t="s">
        <v>127</v>
      </c>
      <c r="B27" s="158">
        <v>19</v>
      </c>
      <c r="C27" s="159"/>
      <c r="E27" s="65" t="s">
        <v>89</v>
      </c>
      <c r="F27" s="62" t="s">
        <v>42</v>
      </c>
      <c r="G27" s="49">
        <v>0</v>
      </c>
      <c r="H27" s="138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38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8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38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2E76-28E7-4A5F-A152-150F0E3D544C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157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31</v>
      </c>
      <c r="C2" s="145"/>
      <c r="E2" s="64" t="s">
        <v>71</v>
      </c>
      <c r="F2" s="61" t="s">
        <v>25</v>
      </c>
      <c r="G2" s="48">
        <v>51</v>
      </c>
      <c r="H2" s="137">
        <f>IF(B$27=0,0,G2/B$27)</f>
        <v>1.02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-2948.3870967741937</v>
      </c>
      <c r="P2" s="124">
        <v>31</v>
      </c>
      <c r="Q2" s="108">
        <v>-91400</v>
      </c>
    </row>
    <row r="3" spans="1:17" x14ac:dyDescent="0.4">
      <c r="A3" s="57" t="s">
        <v>8</v>
      </c>
      <c r="B3" s="146">
        <v>238</v>
      </c>
      <c r="C3" s="147"/>
      <c r="E3" s="65" t="s">
        <v>76</v>
      </c>
      <c r="F3" s="62" t="s">
        <v>29</v>
      </c>
      <c r="G3" s="49">
        <v>38</v>
      </c>
      <c r="H3" s="138">
        <f>IF(B$27=0,0,G3/B$27)</f>
        <v>0.76</v>
      </c>
      <c r="I3" s="100">
        <v>1</v>
      </c>
      <c r="K3" s="40">
        <v>1</v>
      </c>
      <c r="L3" s="105">
        <v>15</v>
      </c>
      <c r="N3" s="121" t="s">
        <v>148</v>
      </c>
      <c r="O3" s="128">
        <f t="shared" si="0"/>
        <v>1164.516129032258</v>
      </c>
      <c r="P3" s="125">
        <v>31</v>
      </c>
      <c r="Q3" s="109">
        <v>36100</v>
      </c>
    </row>
    <row r="4" spans="1:17" x14ac:dyDescent="0.4">
      <c r="A4" s="57" t="s">
        <v>6</v>
      </c>
      <c r="B4" s="148">
        <v>-334.9</v>
      </c>
      <c r="C4" s="149"/>
      <c r="E4" s="65" t="s">
        <v>69</v>
      </c>
      <c r="F4" s="62" t="s">
        <v>23</v>
      </c>
      <c r="G4" s="49">
        <v>34</v>
      </c>
      <c r="H4" s="138">
        <f>IF(B$27=0,0,G4/B$27)</f>
        <v>0.68</v>
      </c>
      <c r="I4" s="100">
        <v>10</v>
      </c>
      <c r="K4" s="40">
        <v>2</v>
      </c>
      <c r="L4" s="105">
        <v>-24.299999999999997</v>
      </c>
      <c r="N4" s="121" t="s">
        <v>149</v>
      </c>
      <c r="O4" s="128">
        <f t="shared" si="0"/>
        <v>-4366.666666666667</v>
      </c>
      <c r="P4" s="125">
        <v>27</v>
      </c>
      <c r="Q4" s="109">
        <v>-117900</v>
      </c>
    </row>
    <row r="5" spans="1:17" x14ac:dyDescent="0.4">
      <c r="A5" s="57" t="s">
        <v>7</v>
      </c>
      <c r="B5" s="150">
        <f>IF(B$2=0,0,B$4/B$2)</f>
        <v>-10.803225806451612</v>
      </c>
      <c r="C5" s="151"/>
      <c r="E5" s="65" t="s">
        <v>67</v>
      </c>
      <c r="F5" s="62" t="s">
        <v>21</v>
      </c>
      <c r="G5" s="49">
        <v>14</v>
      </c>
      <c r="H5" s="138">
        <f>IF(B$27=0,0,G5/B$27)</f>
        <v>0.28000000000000003</v>
      </c>
      <c r="I5" s="100">
        <v>13</v>
      </c>
      <c r="K5" s="40">
        <v>3</v>
      </c>
      <c r="L5" s="105">
        <v>-15.599999999999998</v>
      </c>
      <c r="N5" s="121" t="s">
        <v>150</v>
      </c>
      <c r="O5" s="128">
        <f t="shared" si="0"/>
        <v>-2141.6666666666665</v>
      </c>
      <c r="P5" s="125">
        <v>24</v>
      </c>
      <c r="Q5" s="109">
        <v>-51400</v>
      </c>
    </row>
    <row r="6" spans="1:17" x14ac:dyDescent="0.4">
      <c r="A6" s="57" t="s">
        <v>1</v>
      </c>
      <c r="B6" s="156">
        <f>IF(B$2=0,0,(B$7*1+B$8*2+B$9*3)/B$2)</f>
        <v>2.3225806451612905</v>
      </c>
      <c r="C6" s="157"/>
      <c r="E6" s="65" t="s">
        <v>72</v>
      </c>
      <c r="F6" s="62" t="s">
        <v>12</v>
      </c>
      <c r="G6" s="49">
        <v>9</v>
      </c>
      <c r="H6" s="138">
        <f>IF(B$27=0,0,G6/B$27)</f>
        <v>0.18</v>
      </c>
      <c r="I6" s="100">
        <v>12</v>
      </c>
      <c r="K6" s="40">
        <v>4</v>
      </c>
      <c r="L6" s="105">
        <v>5.1000000000000014</v>
      </c>
      <c r="N6" s="121" t="s">
        <v>151</v>
      </c>
      <c r="O6" s="128">
        <f t="shared" si="0"/>
        <v>-3491.304347826087</v>
      </c>
      <c r="P6" s="125">
        <v>23</v>
      </c>
      <c r="Q6" s="109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38">
        <f>IF(B$27=0,0,G7/B$27)</f>
        <v>0.18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-1764.7058823529412</v>
      </c>
      <c r="P7" s="126">
        <v>17</v>
      </c>
      <c r="Q7" s="110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38">
        <f>IF(B$27=0,0,G8/B$27)</f>
        <v>0.18</v>
      </c>
      <c r="I8" s="100">
        <v>4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0.54838709677419351</v>
      </c>
      <c r="E9" s="65" t="s">
        <v>70</v>
      </c>
      <c r="F9" s="62" t="s">
        <v>24</v>
      </c>
      <c r="G9" s="49">
        <v>6</v>
      </c>
      <c r="H9" s="138">
        <f>IF(B$27=0,0,G9/B$27)</f>
        <v>0.12</v>
      </c>
      <c r="I9" s="100">
        <v>12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38">
        <f>IF(B$27=0,0,G10/B$27)</f>
        <v>0.12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-12.290000000000001</v>
      </c>
      <c r="P10" s="124">
        <v>10</v>
      </c>
      <c r="Q10" s="112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38">
        <f>IF(B$27=0,0,G11/B$27)</f>
        <v>0.1</v>
      </c>
      <c r="I11" s="100">
        <v>9</v>
      </c>
      <c r="K11" s="40">
        <v>9</v>
      </c>
      <c r="L11" s="105">
        <v>-9.3999999999999968</v>
      </c>
      <c r="N11" s="121" t="s">
        <v>254</v>
      </c>
      <c r="O11" s="131">
        <f>IF(P11=0,0,Q11/P11)</f>
        <v>-11.5625</v>
      </c>
      <c r="P11" s="125">
        <v>8</v>
      </c>
      <c r="Q11" s="113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38">
        <f>IF(B$27=0,0,G12/B$27)</f>
        <v>0.08</v>
      </c>
      <c r="I12" s="100">
        <v>7</v>
      </c>
      <c r="K12" s="40">
        <v>10</v>
      </c>
      <c r="L12" s="105">
        <v>-24.299999999999997</v>
      </c>
      <c r="N12" s="122" t="s">
        <v>255</v>
      </c>
      <c r="O12" s="132">
        <f>IF(P12=0,0,Q12/P12)</f>
        <v>-9.1923076923076916</v>
      </c>
      <c r="P12" s="126">
        <v>13</v>
      </c>
      <c r="Q12" s="114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38">
        <f>IF(B$27=0,0,G13/B$27)</f>
        <v>0.06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38">
        <f>IF(B$27=0,0,G14/B$27)</f>
        <v>0.04</v>
      </c>
      <c r="I14" s="100">
        <v>12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38">
        <f>IF(B$27=0,0,G15/B$27)</f>
        <v>0.04</v>
      </c>
      <c r="I15" s="100">
        <v>8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38">
        <f>IF(B$27=0,0,G16/B$27)</f>
        <v>0.04</v>
      </c>
      <c r="I16" s="100">
        <v>3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38">
        <f>IF(B$27=0,0,G17/B$27)</f>
        <v>0.04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>IF(P17=0,0,Q17/P17)</f>
        <v>-10.761111111111111</v>
      </c>
      <c r="P17" s="125">
        <v>18</v>
      </c>
      <c r="Q17" s="113">
        <v>-193.7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38">
        <f>IF(B$27=0,0,G18/B$27)</f>
        <v>0.02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-15.14</v>
      </c>
      <c r="P18" s="125">
        <v>10</v>
      </c>
      <c r="Q18" s="113">
        <v>-151.4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38">
        <f>IF(B$27=0,0,G19/B$27)</f>
        <v>0.02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38">
        <f>IF(B$27=0,0,G20/B$27)</f>
        <v>0.02</v>
      </c>
      <c r="I20" s="100">
        <v>4</v>
      </c>
      <c r="K20" s="40">
        <v>18</v>
      </c>
      <c r="L20" s="105">
        <v>-60.4</v>
      </c>
      <c r="N20" s="121" t="s">
        <v>136</v>
      </c>
      <c r="O20" s="131">
        <f>IF(P20=0,0,Q20/P20)</f>
        <v>-16.125</v>
      </c>
      <c r="P20" s="125">
        <v>4</v>
      </c>
      <c r="Q20" s="113">
        <v>-64.5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38">
        <f>IF(B$27=0,0,G21/B$27)</f>
        <v>0.02</v>
      </c>
      <c r="I21" s="100">
        <v>2</v>
      </c>
      <c r="K21" s="40">
        <v>19</v>
      </c>
      <c r="L21" s="105">
        <v>-60</v>
      </c>
      <c r="N21" s="121" t="s">
        <v>135</v>
      </c>
      <c r="O21" s="131">
        <f>IF(P21=0,0,Q21/P21)</f>
        <v>-24.85</v>
      </c>
      <c r="P21" s="125">
        <v>2</v>
      </c>
      <c r="Q21" s="113">
        <v>-49.7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38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-27.285714285714281</v>
      </c>
      <c r="P22" s="125">
        <v>21</v>
      </c>
      <c r="Q22" s="113">
        <v>-572.99999999999989</v>
      </c>
    </row>
    <row r="23" spans="1:17" x14ac:dyDescent="0.4">
      <c r="A23" s="96" t="s">
        <v>158</v>
      </c>
      <c r="B23" s="154">
        <v>5</v>
      </c>
      <c r="C23" s="155"/>
      <c r="E23" s="65" t="s">
        <v>78</v>
      </c>
      <c r="F23" s="62" t="s">
        <v>31</v>
      </c>
      <c r="G23" s="49">
        <v>0</v>
      </c>
      <c r="H23" s="138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2">
        <v>67700</v>
      </c>
      <c r="C24" s="153"/>
      <c r="E24" s="65" t="s">
        <v>79</v>
      </c>
      <c r="F24" s="62" t="s">
        <v>32</v>
      </c>
      <c r="G24" s="49">
        <v>0</v>
      </c>
      <c r="H24" s="138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38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4">
        <v>238</v>
      </c>
      <c r="C26" s="145"/>
      <c r="E26" s="65" t="s">
        <v>84</v>
      </c>
      <c r="F26" s="62" t="s">
        <v>37</v>
      </c>
      <c r="G26" s="49">
        <v>0</v>
      </c>
      <c r="H26" s="138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8">
        <v>50</v>
      </c>
      <c r="C27" s="159"/>
      <c r="E27" s="65" t="s">
        <v>85</v>
      </c>
      <c r="F27" s="62" t="s">
        <v>38</v>
      </c>
      <c r="G27" s="49">
        <v>0</v>
      </c>
      <c r="H27" s="138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38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38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38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38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38">
        <f>IF(B$27=0,0,G32/B$27)</f>
        <v>0</v>
      </c>
      <c r="I32" s="100">
        <v>3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F223-70F9-4EA4-B545-CF25C971F3AE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2" t="s">
        <v>250</v>
      </c>
      <c r="C1" s="143"/>
      <c r="E1" s="135" t="s">
        <v>256</v>
      </c>
      <c r="F1" s="141" t="s">
        <v>120</v>
      </c>
      <c r="G1" s="140" t="s">
        <v>121</v>
      </c>
      <c r="H1" s="136" t="s">
        <v>122</v>
      </c>
      <c r="I1" s="141" t="s">
        <v>227</v>
      </c>
      <c r="K1" s="36" t="s">
        <v>20</v>
      </c>
      <c r="L1" s="37" t="s">
        <v>125</v>
      </c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4">
        <v>6</v>
      </c>
      <c r="C2" s="145"/>
      <c r="E2" s="64" t="s">
        <v>71</v>
      </c>
      <c r="F2" s="61" t="s">
        <v>25</v>
      </c>
      <c r="G2" s="48">
        <v>11</v>
      </c>
      <c r="H2" s="137">
        <f>IF(B$27=0,0,G2/B$27)</f>
        <v>0.91666666666666663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2583.3333333333335</v>
      </c>
      <c r="P2" s="124">
        <v>6</v>
      </c>
      <c r="Q2" s="108">
        <v>15500</v>
      </c>
    </row>
    <row r="3" spans="1:17" x14ac:dyDescent="0.4">
      <c r="A3" s="57" t="s">
        <v>8</v>
      </c>
      <c r="B3" s="146">
        <v>47</v>
      </c>
      <c r="C3" s="147"/>
      <c r="E3" s="65" t="s">
        <v>69</v>
      </c>
      <c r="F3" s="62" t="s">
        <v>23</v>
      </c>
      <c r="G3" s="49">
        <v>9</v>
      </c>
      <c r="H3" s="138">
        <f>IF(B$27=0,0,G3/B$27)</f>
        <v>0.75</v>
      </c>
      <c r="I3" s="100">
        <v>5</v>
      </c>
      <c r="K3" s="40">
        <v>1</v>
      </c>
      <c r="L3" s="105">
        <v>4</v>
      </c>
      <c r="N3" s="121" t="s">
        <v>148</v>
      </c>
      <c r="O3" s="128">
        <f t="shared" si="0"/>
        <v>-2750</v>
      </c>
      <c r="P3" s="125">
        <v>6</v>
      </c>
      <c r="Q3" s="109">
        <v>-16500</v>
      </c>
    </row>
    <row r="4" spans="1:17" x14ac:dyDescent="0.4">
      <c r="A4" s="57" t="s">
        <v>6</v>
      </c>
      <c r="B4" s="148">
        <v>-20.5</v>
      </c>
      <c r="C4" s="149"/>
      <c r="E4" s="65" t="s">
        <v>76</v>
      </c>
      <c r="F4" s="62" t="s">
        <v>29</v>
      </c>
      <c r="G4" s="49">
        <v>8</v>
      </c>
      <c r="H4" s="138">
        <f>IF(B$27=0,0,G4/B$27)</f>
        <v>0.66666666666666663</v>
      </c>
      <c r="I4" s="100">
        <v>3</v>
      </c>
      <c r="K4" s="40">
        <v>2</v>
      </c>
      <c r="L4" s="105">
        <v>3.7</v>
      </c>
      <c r="N4" s="121" t="s">
        <v>149</v>
      </c>
      <c r="O4" s="128">
        <f t="shared" si="0"/>
        <v>-4516.666666666667</v>
      </c>
      <c r="P4" s="125">
        <v>6</v>
      </c>
      <c r="Q4" s="109">
        <v>-27100</v>
      </c>
    </row>
    <row r="5" spans="1:17" x14ac:dyDescent="0.4">
      <c r="A5" s="57" t="s">
        <v>7</v>
      </c>
      <c r="B5" s="150">
        <f>IF(B$2=0,0,B$4/B$2)</f>
        <v>-3.4166666666666665</v>
      </c>
      <c r="C5" s="151"/>
      <c r="E5" s="65" t="s">
        <v>67</v>
      </c>
      <c r="F5" s="62" t="s">
        <v>21</v>
      </c>
      <c r="G5" s="49">
        <v>4</v>
      </c>
      <c r="H5" s="138">
        <f>IF(B$27=0,0,G5/B$27)</f>
        <v>0.33333333333333331</v>
      </c>
      <c r="I5" s="100">
        <v>12</v>
      </c>
      <c r="K5" s="40">
        <v>3</v>
      </c>
      <c r="L5" s="105">
        <v>27.8</v>
      </c>
      <c r="N5" s="121" t="s">
        <v>150</v>
      </c>
      <c r="O5" s="128">
        <f t="shared" si="0"/>
        <v>1740</v>
      </c>
      <c r="P5" s="125">
        <v>5</v>
      </c>
      <c r="Q5" s="109">
        <v>8700</v>
      </c>
    </row>
    <row r="6" spans="1:17" x14ac:dyDescent="0.4">
      <c r="A6" s="57" t="s">
        <v>1</v>
      </c>
      <c r="B6" s="156">
        <f>IF(B$2=0,0,(B$7*1+B$8*2+B$9*3)/B$2)</f>
        <v>2</v>
      </c>
      <c r="C6" s="157"/>
      <c r="E6" s="65" t="s">
        <v>94</v>
      </c>
      <c r="F6" s="62" t="s">
        <v>47</v>
      </c>
      <c r="G6" s="49">
        <v>3</v>
      </c>
      <c r="H6" s="138">
        <f>IF(B$27=0,0,G6/B$27)</f>
        <v>0.25</v>
      </c>
      <c r="I6" s="100">
        <v>2</v>
      </c>
      <c r="K6" s="40">
        <v>4</v>
      </c>
      <c r="L6" s="105">
        <v>52.3</v>
      </c>
      <c r="N6" s="121" t="s">
        <v>151</v>
      </c>
      <c r="O6" s="128">
        <f t="shared" si="0"/>
        <v>-2275</v>
      </c>
      <c r="P6" s="125">
        <v>4</v>
      </c>
      <c r="Q6" s="109">
        <v>-9100</v>
      </c>
    </row>
    <row r="7" spans="1:17" x14ac:dyDescent="0.4">
      <c r="A7" s="57" t="s">
        <v>2</v>
      </c>
      <c r="B7" s="49">
        <v>2</v>
      </c>
      <c r="C7" s="41">
        <f>IF(B$2=0,0,B7/B$2)</f>
        <v>0.33333333333333331</v>
      </c>
      <c r="E7" s="65" t="s">
        <v>70</v>
      </c>
      <c r="F7" s="62" t="s">
        <v>24</v>
      </c>
      <c r="G7" s="49">
        <v>2</v>
      </c>
      <c r="H7" s="138">
        <f>IF(B$27=0,0,G7/B$27)</f>
        <v>0.16666666666666666</v>
      </c>
      <c r="I7" s="100">
        <v>11</v>
      </c>
      <c r="K7" s="40">
        <v>5</v>
      </c>
      <c r="L7" s="105">
        <v>15</v>
      </c>
      <c r="N7" s="122" t="s">
        <v>152</v>
      </c>
      <c r="O7" s="129">
        <f t="shared" si="0"/>
        <v>4000</v>
      </c>
      <c r="P7" s="126">
        <v>2</v>
      </c>
      <c r="Q7" s="110">
        <v>8000</v>
      </c>
    </row>
    <row r="8" spans="1:17" x14ac:dyDescent="0.4">
      <c r="A8" s="57" t="s">
        <v>3</v>
      </c>
      <c r="B8" s="49">
        <v>2</v>
      </c>
      <c r="C8" s="41">
        <f>IF(B$2=0,0,B8/B$2)</f>
        <v>0.33333333333333331</v>
      </c>
      <c r="E8" s="65" t="s">
        <v>74</v>
      </c>
      <c r="F8" s="62" t="s">
        <v>27</v>
      </c>
      <c r="G8" s="49">
        <v>2</v>
      </c>
      <c r="H8" s="138">
        <f>IF(B$27=0,0,G8/B$27)</f>
        <v>0.16666666666666666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72</v>
      </c>
      <c r="F9" s="62" t="s">
        <v>12</v>
      </c>
      <c r="G9" s="49">
        <v>1</v>
      </c>
      <c r="H9" s="138">
        <f>IF(B$27=0,0,G9/B$27)</f>
        <v>8.3333333333333329E-2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0.33333333333333331</v>
      </c>
      <c r="E10" s="65" t="s">
        <v>83</v>
      </c>
      <c r="F10" s="62" t="s">
        <v>36</v>
      </c>
      <c r="G10" s="49">
        <v>1</v>
      </c>
      <c r="H10" s="138">
        <f>IF(B$27=0,0,G10/B$27)</f>
        <v>8.3333333333333329E-2</v>
      </c>
      <c r="I10" s="100">
        <v>2</v>
      </c>
      <c r="N10" s="120" t="s">
        <v>253</v>
      </c>
      <c r="O10" s="130">
        <f>IF(P10=0,0,Q10/P10)</f>
        <v>-8.9199999999999982</v>
      </c>
      <c r="P10" s="124">
        <v>5</v>
      </c>
      <c r="Q10" s="112">
        <v>-44.599999999999994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88</v>
      </c>
      <c r="F11" s="62" t="s">
        <v>41</v>
      </c>
      <c r="G11" s="49">
        <v>1</v>
      </c>
      <c r="H11" s="138">
        <f>IF(B$27=0,0,G11/B$27)</f>
        <v>8.3333333333333329E-2</v>
      </c>
      <c r="I11" s="100">
        <v>4</v>
      </c>
      <c r="N11" s="121" t="s">
        <v>254</v>
      </c>
      <c r="O11" s="131">
        <f>IF(P11=0,0,Q11/P11)</f>
        <v>24.1</v>
      </c>
      <c r="P11" s="125">
        <v>1</v>
      </c>
      <c r="Q11" s="113">
        <v>24.1</v>
      </c>
    </row>
    <row r="12" spans="1:17" x14ac:dyDescent="0.4">
      <c r="A12" s="59" t="s">
        <v>239</v>
      </c>
      <c r="B12" s="51">
        <v>1</v>
      </c>
      <c r="C12" s="44">
        <f>IF(B$2=0,0,B12/B$2)</f>
        <v>0.16666666666666666</v>
      </c>
      <c r="E12" s="65" t="s">
        <v>91</v>
      </c>
      <c r="F12" s="62" t="s">
        <v>44</v>
      </c>
      <c r="G12" s="49">
        <v>1</v>
      </c>
      <c r="H12" s="138">
        <f>IF(B$27=0,0,G12/B$27)</f>
        <v>8.3333333333333329E-2</v>
      </c>
      <c r="I12" s="100">
        <v>6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9</v>
      </c>
      <c r="C13" s="46">
        <f>IF(B$26=0,0,B13/B$26)</f>
        <v>0.19148936170212766</v>
      </c>
      <c r="E13" s="65" t="s">
        <v>68</v>
      </c>
      <c r="F13" s="62" t="s">
        <v>22</v>
      </c>
      <c r="G13" s="49">
        <v>0</v>
      </c>
      <c r="H13" s="138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</v>
      </c>
      <c r="C14" s="41">
        <f>IF(B$26=0,0,B14/B$26)</f>
        <v>0.23404255319148937</v>
      </c>
      <c r="E14" s="65" t="s">
        <v>73</v>
      </c>
      <c r="F14" s="62" t="s">
        <v>26</v>
      </c>
      <c r="G14" s="49">
        <v>0</v>
      </c>
      <c r="H14" s="138">
        <f>IF(B$27=0,0,G14/B$27)</f>
        <v>0</v>
      </c>
      <c r="I14" s="100">
        <v>13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4</v>
      </c>
      <c r="C15" s="39">
        <f>IF(B$13=0,0,B15/B$13)</f>
        <v>0.44444444444444442</v>
      </c>
      <c r="E15" s="65" t="s">
        <v>75</v>
      </c>
      <c r="F15" s="62" t="s">
        <v>28</v>
      </c>
      <c r="G15" s="49">
        <v>0</v>
      </c>
      <c r="H15" s="138">
        <f>IF(B$27=0,0,G15/B$27)</f>
        <v>0</v>
      </c>
      <c r="I15" s="100">
        <v>12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5</v>
      </c>
      <c r="C16" s="39">
        <f>IF(B$14=0,0,B16/B$14)</f>
        <v>0.45454545454545453</v>
      </c>
      <c r="E16" s="65" t="s">
        <v>77</v>
      </c>
      <c r="F16" s="62" t="s">
        <v>30</v>
      </c>
      <c r="G16" s="49">
        <v>0</v>
      </c>
      <c r="H16" s="138">
        <f>IF(B$27=0,0,G16/B$27)</f>
        <v>0</v>
      </c>
      <c r="I16" s="100">
        <v>7</v>
      </c>
      <c r="N16" s="121" t="s">
        <v>133</v>
      </c>
      <c r="O16" s="131">
        <f>IF(P16=0,0,Q16/P16)</f>
        <v>8.4</v>
      </c>
      <c r="P16" s="125">
        <v>2</v>
      </c>
      <c r="Q16" s="113">
        <v>16.8</v>
      </c>
    </row>
    <row r="17" spans="1:17" x14ac:dyDescent="0.4">
      <c r="A17" s="56" t="s">
        <v>10</v>
      </c>
      <c r="B17" s="48">
        <f>B19+B18</f>
        <v>12</v>
      </c>
      <c r="C17" s="39">
        <f>IF(B$3=0,0,B17/B$3)</f>
        <v>0.25531914893617019</v>
      </c>
      <c r="E17" s="65" t="s">
        <v>78</v>
      </c>
      <c r="F17" s="62" t="s">
        <v>31</v>
      </c>
      <c r="G17" s="49">
        <v>0</v>
      </c>
      <c r="H17" s="138">
        <f>IF(B$27=0,0,G17/B$27)</f>
        <v>0</v>
      </c>
      <c r="I17" s="100">
        <v>6</v>
      </c>
      <c r="N17" s="121" t="s">
        <v>138</v>
      </c>
      <c r="O17" s="131">
        <f>IF(P17=0,0,Q17/P17)</f>
        <v>4.3000000000000007</v>
      </c>
      <c r="P17" s="125">
        <v>4</v>
      </c>
      <c r="Q17" s="113">
        <v>17.200000000000003</v>
      </c>
    </row>
    <row r="18" spans="1:17" x14ac:dyDescent="0.4">
      <c r="A18" s="57" t="s">
        <v>12</v>
      </c>
      <c r="B18" s="49">
        <v>4</v>
      </c>
      <c r="C18" s="41">
        <f>IF(B$17=0,0,B18/B$17)</f>
        <v>0.33333333333333331</v>
      </c>
      <c r="E18" s="65" t="s">
        <v>79</v>
      </c>
      <c r="F18" s="62" t="s">
        <v>32</v>
      </c>
      <c r="G18" s="49">
        <v>0</v>
      </c>
      <c r="H18" s="138">
        <f>IF(B$27=0,0,G18/B$27)</f>
        <v>0</v>
      </c>
      <c r="I18" s="100">
        <v>6</v>
      </c>
      <c r="N18" s="121" t="s">
        <v>135</v>
      </c>
      <c r="O18" s="131">
        <f>IF(P18=0,0,Q18/P18)</f>
        <v>-9.65</v>
      </c>
      <c r="P18" s="125">
        <v>2</v>
      </c>
      <c r="Q18" s="113">
        <v>-19.3</v>
      </c>
    </row>
    <row r="19" spans="1:17" x14ac:dyDescent="0.4">
      <c r="A19" s="57" t="s">
        <v>11</v>
      </c>
      <c r="B19" s="49">
        <v>8</v>
      </c>
      <c r="C19" s="41">
        <f>IF(B$17=0,0,B19/B$17)</f>
        <v>0.66666666666666663</v>
      </c>
      <c r="E19" s="65" t="s">
        <v>80</v>
      </c>
      <c r="F19" s="62" t="s">
        <v>33</v>
      </c>
      <c r="G19" s="49">
        <v>0</v>
      </c>
      <c r="H19" s="138">
        <f>IF(B$27=0,0,G19/B$27)</f>
        <v>0</v>
      </c>
      <c r="I19" s="100">
        <v>1</v>
      </c>
      <c r="N19" s="121" t="s">
        <v>134</v>
      </c>
      <c r="O19" s="131">
        <f>IF(P19=0,0,Q19/P19)</f>
        <v>-53.3</v>
      </c>
      <c r="P19" s="125">
        <v>2</v>
      </c>
      <c r="Q19" s="113">
        <v>-106.6</v>
      </c>
    </row>
    <row r="20" spans="1:17" x14ac:dyDescent="0.4">
      <c r="A20" s="57" t="s">
        <v>13</v>
      </c>
      <c r="B20" s="49">
        <v>6</v>
      </c>
      <c r="C20" s="41">
        <f>IF(B$3=0,0,B20/B$3)</f>
        <v>0.1276595744680851</v>
      </c>
      <c r="E20" s="65" t="s">
        <v>81</v>
      </c>
      <c r="F20" s="62" t="s">
        <v>34</v>
      </c>
      <c r="G20" s="49">
        <v>0</v>
      </c>
      <c r="H20" s="138">
        <f>IF(B$27=0,0,G20/B$27)</f>
        <v>0</v>
      </c>
      <c r="I20" s="100">
        <v>6</v>
      </c>
    </row>
    <row r="21" spans="1:17" x14ac:dyDescent="0.4">
      <c r="A21" s="57" t="s">
        <v>5</v>
      </c>
      <c r="B21" s="53">
        <f>IF(B$17=0,0,C21/B$17)</f>
        <v>8800</v>
      </c>
      <c r="C21" s="43">
        <v>105600</v>
      </c>
      <c r="E21" s="65" t="s">
        <v>82</v>
      </c>
      <c r="F21" s="62" t="s">
        <v>35</v>
      </c>
      <c r="G21" s="49">
        <v>0</v>
      </c>
      <c r="H21" s="138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-10466.666666666666</v>
      </c>
      <c r="C22" s="47">
        <v>-62800</v>
      </c>
      <c r="E22" s="65" t="s">
        <v>84</v>
      </c>
      <c r="F22" s="62" t="s">
        <v>37</v>
      </c>
      <c r="G22" s="49">
        <v>0</v>
      </c>
      <c r="H22" s="138">
        <f>IF(B$27=0,0,G22/B$27)</f>
        <v>0</v>
      </c>
      <c r="I22" s="100">
        <v>1</v>
      </c>
    </row>
    <row r="23" spans="1:17" x14ac:dyDescent="0.4">
      <c r="A23" s="96" t="s">
        <v>158</v>
      </c>
      <c r="B23" s="154">
        <v>5</v>
      </c>
      <c r="C23" s="155"/>
      <c r="E23" s="65" t="s">
        <v>85</v>
      </c>
      <c r="F23" s="62" t="s">
        <v>38</v>
      </c>
      <c r="G23" s="49">
        <v>0</v>
      </c>
      <c r="H23" s="138">
        <f>IF(B$27=0,0,G23/B$27)</f>
        <v>0</v>
      </c>
      <c r="I23" s="100">
        <v>3</v>
      </c>
    </row>
    <row r="24" spans="1:17" x14ac:dyDescent="0.4">
      <c r="A24" s="60" t="s">
        <v>199</v>
      </c>
      <c r="B24" s="152">
        <v>59500</v>
      </c>
      <c r="C24" s="153"/>
      <c r="E24" s="65" t="s">
        <v>86</v>
      </c>
      <c r="F24" s="62" t="s">
        <v>39</v>
      </c>
      <c r="G24" s="49">
        <v>0</v>
      </c>
      <c r="H24" s="138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8">
        <f>IF(B$27=0,0,G25/B$27)</f>
        <v>0</v>
      </c>
      <c r="I25" s="100">
        <v>1</v>
      </c>
    </row>
    <row r="26" spans="1:17" x14ac:dyDescent="0.4">
      <c r="A26" s="56" t="s">
        <v>126</v>
      </c>
      <c r="B26" s="144">
        <v>47</v>
      </c>
      <c r="C26" s="145"/>
      <c r="E26" s="65" t="s">
        <v>89</v>
      </c>
      <c r="F26" s="62" t="s">
        <v>42</v>
      </c>
      <c r="G26" s="49">
        <v>0</v>
      </c>
      <c r="H26" s="138">
        <f>IF(B$27=0,0,G26/B$27)</f>
        <v>0</v>
      </c>
      <c r="I26" s="100">
        <v>5</v>
      </c>
    </row>
    <row r="27" spans="1:17" x14ac:dyDescent="0.4">
      <c r="A27" s="59" t="s">
        <v>127</v>
      </c>
      <c r="B27" s="158">
        <v>12</v>
      </c>
      <c r="C27" s="159"/>
      <c r="E27" s="65" t="s">
        <v>90</v>
      </c>
      <c r="F27" s="62" t="s">
        <v>43</v>
      </c>
      <c r="G27" s="49">
        <v>0</v>
      </c>
      <c r="H27" s="138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8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38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38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38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38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38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38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8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38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8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8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8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8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8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8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8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8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8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8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38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8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8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8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39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F81A1-7344-41D4-B0AE-B400125C7F25}">
  <sheetPr codeName="Sheet33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A146-D476-4165-AB0E-68964781F572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9222D-EB45-46B3-B16B-4D5FD4219CD5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F34EA-5FE3-4AC9-8E82-4F4CA35D594D}">
  <sheetPr codeName="Sheet26"/>
  <dimension ref="A1:Q1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8624-35EC-49D1-AB85-4621FF6A3533}">
  <sheetPr codeName="Sheet24"/>
  <dimension ref="A1:Q3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CD46B-99B1-41EB-9216-6B8239775B8A}">
  <sheetPr codeName="Sheet22"/>
  <dimension ref="A1:Q1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E8A0B-8847-4DFE-B12B-50100695104A}">
  <sheetPr codeName="Sheet20"/>
  <dimension ref="A1:Q7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8E46C-CDD5-4866-BAF9-42CB5F4BE764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06CC-1200-4B96-A6F0-82F7DDA3591D}">
  <sheetPr codeName="Sheet16"/>
  <dimension ref="A1:Q6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5F3D-3D1D-4D9C-B105-4B08A98A3C07}">
  <sheetPr codeName="Sheet14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9E82-8CB3-415D-842F-0DB3D3587A68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413F-FCA1-4FF3-BD32-E3BA9470FBB1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4FA5-3B0C-4B45-8125-E73D451311C2}">
  <sheetPr codeName="Sheet8"/>
  <dimension ref="A1:Q22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1D845-874A-4625-9461-10B0B2970253}">
  <sheetPr codeName="Sheet6"/>
  <dimension ref="A1:Q2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2019-02-17T11:50:30Z</dcterms:modified>
</cp:coreProperties>
</file>