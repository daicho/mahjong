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8E0944E7-DFA9-45A6-A813-681173C3425F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3888" r:id="rId6"/>
    <sheet name="だいち" sheetId="3890" r:id="rId7"/>
    <sheet name="かこたろう" sheetId="3892" r:id="rId8"/>
    <sheet name="ともき" sheetId="3894" r:id="rId9"/>
    <sheet name="りくと" sheetId="3896" r:id="rId10"/>
    <sheet name="いっしー" sheetId="3898" r:id="rId11"/>
    <sheet name="がくと" sheetId="3900" r:id="rId12"/>
    <sheet name="たかの" sheetId="3902" r:id="rId13"/>
    <sheet name="ただ" sheetId="3904" r:id="rId14"/>
    <sheet name="やがさき" sheetId="3906" r:id="rId15"/>
    <sheet name="れんたろう" sheetId="3908" r:id="rId16"/>
    <sheet name="あさひ" sheetId="3910" r:id="rId17"/>
    <sheet name="まっつん" sheetId="3912" r:id="rId18"/>
    <sheet name="まっつん2" sheetId="3913" state="hidden" r:id="rId19"/>
    <sheet name="あさひ2" sheetId="3911" state="hidden" r:id="rId20"/>
    <sheet name="れんたろう2" sheetId="3909" state="hidden" r:id="rId21"/>
    <sheet name="やがさき2" sheetId="3907" state="hidden" r:id="rId22"/>
    <sheet name="ただ2" sheetId="3905" state="hidden" r:id="rId23"/>
    <sheet name="たかの2" sheetId="3903" state="hidden" r:id="rId24"/>
    <sheet name="がくと2" sheetId="3901" state="hidden" r:id="rId25"/>
    <sheet name="いっしー2" sheetId="3899" state="hidden" r:id="rId26"/>
    <sheet name="りくと2" sheetId="3897" state="hidden" r:id="rId27"/>
    <sheet name="ともき2" sheetId="3895" state="hidden" r:id="rId28"/>
    <sheet name="かこたろう2" sheetId="3893" state="hidden" r:id="rId29"/>
    <sheet name="だいち2" sheetId="3891" state="hidden" r:id="rId30"/>
    <sheet name="全体2" sheetId="3889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520" state="hidden" r:id="rId38"/>
    <sheet name="平均放銃点" sheetId="3521" state="hidden" r:id="rId39"/>
    <sheet name="ふっとび率" sheetId="3522" state="hidden" r:id="rId40"/>
    <sheet name="ふっとばし率" sheetId="3523" state="hidden" r:id="rId41"/>
    <sheet name="リーチ率" sheetId="3524" state="hidden" r:id="rId42"/>
    <sheet name="副露率" sheetId="3525" state="hidden" r:id="rId43"/>
    <sheet name="リーチ成功率" sheetId="3526" state="hidden" r:id="rId44"/>
    <sheet name="副露成功率" sheetId="3527" state="hidden" r:id="rId45"/>
    <sheet name="ツモ率" sheetId="3528" state="hidden" r:id="rId46"/>
    <sheet name="親アガリ率" sheetId="3529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8" i="3898" l="1"/>
  <c r="O15" i="3906"/>
  <c r="O14" i="3906"/>
  <c r="O11" i="3908"/>
  <c r="O15" i="3896" l="1"/>
  <c r="O12" i="3906"/>
  <c r="O13" i="3904"/>
  <c r="O13" i="3906"/>
  <c r="O13" i="3896" l="1"/>
  <c r="O11" i="3912"/>
  <c r="O14" i="3912" l="1"/>
  <c r="O14" i="3890"/>
  <c r="O17" i="3904" l="1"/>
  <c r="O13" i="3910"/>
  <c r="O11" i="3900"/>
  <c r="O10" i="3900"/>
  <c r="O12" i="3908"/>
  <c r="O18" i="3908"/>
  <c r="O10" i="3912"/>
  <c r="O12" i="3912"/>
  <c r="O11" i="3898"/>
  <c r="O13" i="3902"/>
  <c r="O13" i="3912" l="1"/>
  <c r="O15" i="3912"/>
  <c r="H51" i="3912"/>
  <c r="H50" i="3912"/>
  <c r="H49" i="3912"/>
  <c r="H48" i="3912"/>
  <c r="H47" i="3912"/>
  <c r="H46" i="3912"/>
  <c r="H45" i="3912"/>
  <c r="H44" i="3912"/>
  <c r="H43" i="3912"/>
  <c r="H42" i="3912"/>
  <c r="H41" i="3912"/>
  <c r="H40" i="3912"/>
  <c r="H39" i="3912"/>
  <c r="H38" i="3912"/>
  <c r="H37" i="3912"/>
  <c r="H36" i="3912"/>
  <c r="H35" i="3912"/>
  <c r="H34" i="3912"/>
  <c r="H33" i="3912"/>
  <c r="H32" i="3912"/>
  <c r="H20" i="3912"/>
  <c r="H31" i="3912"/>
  <c r="H8" i="3912"/>
  <c r="H30" i="3912"/>
  <c r="C28" i="3912"/>
  <c r="H29" i="3912"/>
  <c r="H12" i="3912"/>
  <c r="H19" i="3912"/>
  <c r="H28" i="3912"/>
  <c r="H6" i="3912"/>
  <c r="C23" i="3912"/>
  <c r="H27" i="3912"/>
  <c r="C22" i="3912"/>
  <c r="H16" i="3912"/>
  <c r="B21" i="3912"/>
  <c r="H26" i="3912"/>
  <c r="H25" i="3912"/>
  <c r="C19" i="3912"/>
  <c r="H15" i="3912"/>
  <c r="H18" i="3912"/>
  <c r="H17" i="3912"/>
  <c r="B16" i="3912"/>
  <c r="C17" i="3912" s="1"/>
  <c r="H24" i="3912"/>
  <c r="C15" i="3912"/>
  <c r="H23" i="3912"/>
  <c r="C14" i="3912"/>
  <c r="H22" i="3912"/>
  <c r="C13" i="3912"/>
  <c r="H21" i="3912"/>
  <c r="C12" i="3912"/>
  <c r="H4" i="3912"/>
  <c r="C11" i="3912"/>
  <c r="H14" i="3912"/>
  <c r="C10" i="3912"/>
  <c r="H9" i="3912"/>
  <c r="C9" i="3912"/>
  <c r="H13" i="3912"/>
  <c r="C8" i="3912"/>
  <c r="O7" i="3912"/>
  <c r="H7" i="3912"/>
  <c r="C7" i="3912"/>
  <c r="O6" i="3912"/>
  <c r="H2" i="3912"/>
  <c r="B6" i="3912"/>
  <c r="O5" i="3912"/>
  <c r="H11" i="3912"/>
  <c r="B5" i="3912"/>
  <c r="O4" i="3912"/>
  <c r="H3" i="3912"/>
  <c r="O3" i="3912"/>
  <c r="H10" i="3912"/>
  <c r="O2" i="3912"/>
  <c r="H5" i="3912"/>
  <c r="O10" i="3902"/>
  <c r="O14" i="3904"/>
  <c r="O12" i="3888"/>
  <c r="O12" i="3898"/>
  <c r="O12" i="3900"/>
  <c r="O12" i="3910"/>
  <c r="O11" i="3910"/>
  <c r="C16" i="3912" l="1"/>
  <c r="B20" i="3912"/>
  <c r="C18" i="3912"/>
  <c r="O19" i="3908" l="1"/>
  <c r="O10" i="3896"/>
  <c r="O13" i="3894"/>
  <c r="O12" i="3894"/>
  <c r="O10" i="3908"/>
  <c r="O18" i="3896"/>
  <c r="O21" i="3888"/>
  <c r="O14" i="3910"/>
  <c r="O10" i="3910"/>
  <c r="H51" i="3910"/>
  <c r="H50" i="3910"/>
  <c r="H49" i="3910"/>
  <c r="H48" i="3910"/>
  <c r="H47" i="3910"/>
  <c r="H46" i="3910"/>
  <c r="H45" i="3910"/>
  <c r="H44" i="3910"/>
  <c r="H43" i="3910"/>
  <c r="H42" i="3910"/>
  <c r="H41" i="3910"/>
  <c r="H40" i="3910"/>
  <c r="H39" i="3910"/>
  <c r="H38" i="3910"/>
  <c r="H37" i="3910"/>
  <c r="H36" i="3910"/>
  <c r="H35" i="3910"/>
  <c r="H34" i="3910"/>
  <c r="H33" i="3910"/>
  <c r="H32" i="3910"/>
  <c r="H14" i="3910"/>
  <c r="H31" i="3910"/>
  <c r="H12" i="3910"/>
  <c r="H30" i="3910"/>
  <c r="C28" i="3910"/>
  <c r="H29" i="3910"/>
  <c r="H11" i="3910"/>
  <c r="H28" i="3910"/>
  <c r="H27" i="3910"/>
  <c r="H26" i="3910"/>
  <c r="C23" i="3910"/>
  <c r="H25" i="3910"/>
  <c r="C22" i="3910"/>
  <c r="H24" i="3910"/>
  <c r="B21" i="3910"/>
  <c r="H23" i="3910"/>
  <c r="H22" i="3910"/>
  <c r="C19" i="3910"/>
  <c r="H21" i="3910"/>
  <c r="H20" i="3910"/>
  <c r="H19" i="3910"/>
  <c r="B16" i="3910"/>
  <c r="B20" i="3910" s="1"/>
  <c r="H18" i="3910"/>
  <c r="C15" i="3910"/>
  <c r="H17" i="3910"/>
  <c r="C14" i="3910"/>
  <c r="H16" i="3910"/>
  <c r="C13" i="3910"/>
  <c r="H15" i="3910"/>
  <c r="C12" i="3910"/>
  <c r="H5" i="3910"/>
  <c r="C11" i="3910"/>
  <c r="H13" i="3910"/>
  <c r="C10" i="3910"/>
  <c r="H8" i="3910"/>
  <c r="C9" i="3910"/>
  <c r="H10" i="3910"/>
  <c r="C8" i="3910"/>
  <c r="O7" i="3910"/>
  <c r="H7" i="3910"/>
  <c r="C7" i="3910"/>
  <c r="O6" i="3910"/>
  <c r="H4" i="3910"/>
  <c r="B6" i="3910"/>
  <c r="O5" i="3910"/>
  <c r="H6" i="3910"/>
  <c r="B5" i="3910"/>
  <c r="O4" i="3910"/>
  <c r="H3" i="3910"/>
  <c r="O3" i="3910"/>
  <c r="H9" i="3910"/>
  <c r="O2" i="3910"/>
  <c r="H2" i="3910"/>
  <c r="C17" i="3910" l="1"/>
  <c r="C16" i="3910"/>
  <c r="C18" i="3910"/>
  <c r="O12" i="3902" l="1"/>
  <c r="O17" i="3908"/>
  <c r="O11" i="3896"/>
  <c r="O16" i="3902"/>
  <c r="O15" i="3904" l="1"/>
  <c r="O10" i="3898"/>
  <c r="O12" i="3904" l="1"/>
  <c r="O16" i="3908"/>
  <c r="O17" i="3898" l="1"/>
  <c r="O13" i="3908"/>
  <c r="O12" i="3896" l="1"/>
  <c r="O14" i="3908"/>
  <c r="O15" i="3908"/>
  <c r="H51" i="3908"/>
  <c r="H50" i="3908"/>
  <c r="H49" i="3908"/>
  <c r="H48" i="3908"/>
  <c r="H47" i="3908"/>
  <c r="H46" i="3908"/>
  <c r="H45" i="3908"/>
  <c r="H44" i="3908"/>
  <c r="H43" i="3908"/>
  <c r="H42" i="3908"/>
  <c r="H41" i="3908"/>
  <c r="H40" i="3908"/>
  <c r="H39" i="3908"/>
  <c r="H38" i="3908"/>
  <c r="H37" i="3908"/>
  <c r="H36" i="3908"/>
  <c r="H35" i="3908"/>
  <c r="H34" i="3908"/>
  <c r="H24" i="3908"/>
  <c r="H23" i="3908"/>
  <c r="H19" i="3908"/>
  <c r="H33" i="3908"/>
  <c r="H8" i="3908"/>
  <c r="H32" i="3908"/>
  <c r="C28" i="3908"/>
  <c r="H31" i="3908"/>
  <c r="H12" i="3908"/>
  <c r="H30" i="3908"/>
  <c r="H22" i="3908"/>
  <c r="H14" i="3908"/>
  <c r="C23" i="3908"/>
  <c r="H29" i="3908"/>
  <c r="C22" i="3908"/>
  <c r="H17" i="3908"/>
  <c r="B21" i="3908"/>
  <c r="H28" i="3908"/>
  <c r="H27" i="3908"/>
  <c r="C19" i="3908"/>
  <c r="H21" i="3908"/>
  <c r="H13" i="3908"/>
  <c r="H20" i="3908"/>
  <c r="B16" i="3908"/>
  <c r="C17" i="3908" s="1"/>
  <c r="H26" i="3908"/>
  <c r="C15" i="3908"/>
  <c r="H18" i="3908"/>
  <c r="C14" i="3908"/>
  <c r="H25" i="3908"/>
  <c r="C13" i="3908"/>
  <c r="H16" i="3908"/>
  <c r="C12" i="3908"/>
  <c r="H4" i="3908"/>
  <c r="C11" i="3908"/>
  <c r="H15" i="3908"/>
  <c r="C10" i="3908"/>
  <c r="H10" i="3908"/>
  <c r="C9" i="3908"/>
  <c r="H9" i="3908"/>
  <c r="C8" i="3908"/>
  <c r="O7" i="3908"/>
  <c r="H7" i="3908"/>
  <c r="C7" i="3908"/>
  <c r="O6" i="3908"/>
  <c r="H2" i="3908"/>
  <c r="B6" i="3908"/>
  <c r="O5" i="3908"/>
  <c r="H6" i="3908"/>
  <c r="B5" i="3908"/>
  <c r="O4" i="3908"/>
  <c r="H3" i="3908"/>
  <c r="O3" i="3908"/>
  <c r="H11" i="3908"/>
  <c r="O2" i="3908"/>
  <c r="H5" i="3908"/>
  <c r="O13" i="3890"/>
  <c r="O15" i="3888"/>
  <c r="C16" i="3908" l="1"/>
  <c r="C18" i="3908"/>
  <c r="B20" i="3908"/>
  <c r="O17" i="3896" l="1"/>
  <c r="O10" i="3904"/>
  <c r="O10" i="3906" l="1"/>
  <c r="O11" i="3906"/>
  <c r="H51" i="3906"/>
  <c r="H50" i="3906"/>
  <c r="H49" i="3906"/>
  <c r="H48" i="3906"/>
  <c r="H47" i="3906"/>
  <c r="H46" i="3906"/>
  <c r="H45" i="3906"/>
  <c r="H44" i="3906"/>
  <c r="H43" i="3906"/>
  <c r="H42" i="3906"/>
  <c r="H41" i="3906"/>
  <c r="H40" i="3906"/>
  <c r="H39" i="3906"/>
  <c r="H38" i="3906"/>
  <c r="H37" i="3906"/>
  <c r="H36" i="3906"/>
  <c r="H35" i="3906"/>
  <c r="H34" i="3906"/>
  <c r="H33" i="3906"/>
  <c r="H15" i="3906"/>
  <c r="H32" i="3906"/>
  <c r="H31" i="3906"/>
  <c r="H14" i="3906"/>
  <c r="H30" i="3906"/>
  <c r="C28" i="3906"/>
  <c r="H29" i="3906"/>
  <c r="H13" i="3906"/>
  <c r="H28" i="3906"/>
  <c r="H27" i="3906"/>
  <c r="H26" i="3906"/>
  <c r="C23" i="3906"/>
  <c r="H25" i="3906"/>
  <c r="C22" i="3906"/>
  <c r="H24" i="3906"/>
  <c r="B21" i="3906"/>
  <c r="H23" i="3906"/>
  <c r="H22" i="3906"/>
  <c r="C19" i="3906"/>
  <c r="H21" i="3906"/>
  <c r="H12" i="3906"/>
  <c r="H20" i="3906"/>
  <c r="B16" i="3906"/>
  <c r="C17" i="3906" s="1"/>
  <c r="H19" i="3906"/>
  <c r="C15" i="3906"/>
  <c r="H18" i="3906"/>
  <c r="C14" i="3906"/>
  <c r="H17" i="3906"/>
  <c r="C13" i="3906"/>
  <c r="H16" i="3906"/>
  <c r="C12" i="3906"/>
  <c r="H7" i="3906"/>
  <c r="C11" i="3906"/>
  <c r="H11" i="3906"/>
  <c r="C10" i="3906"/>
  <c r="H10" i="3906"/>
  <c r="C9" i="3906"/>
  <c r="H9" i="3906"/>
  <c r="C8" i="3906"/>
  <c r="O7" i="3906"/>
  <c r="H6" i="3906"/>
  <c r="C7" i="3906"/>
  <c r="O6" i="3906"/>
  <c r="H2" i="3906"/>
  <c r="B6" i="3906"/>
  <c r="O5" i="3906"/>
  <c r="H4" i="3906"/>
  <c r="B5" i="3906"/>
  <c r="O4" i="3906"/>
  <c r="H5" i="3906"/>
  <c r="O3" i="3906"/>
  <c r="H8" i="3906"/>
  <c r="O2" i="3906"/>
  <c r="H3" i="3906"/>
  <c r="O15" i="3902"/>
  <c r="O15" i="3890"/>
  <c r="O17" i="3888"/>
  <c r="C16" i="3906" l="1"/>
  <c r="C18" i="3906"/>
  <c r="B20" i="3906"/>
  <c r="O16" i="3898" l="1"/>
  <c r="O12" i="3892"/>
  <c r="O16" i="3904" l="1"/>
  <c r="O11" i="3904"/>
  <c r="H51" i="3904"/>
  <c r="H50" i="3904"/>
  <c r="H49" i="3904"/>
  <c r="H48" i="3904"/>
  <c r="H47" i="3904"/>
  <c r="H46" i="3904"/>
  <c r="H45" i="3904"/>
  <c r="H44" i="3904"/>
  <c r="H43" i="3904"/>
  <c r="H42" i="3904"/>
  <c r="H41" i="3904"/>
  <c r="H40" i="3904"/>
  <c r="H39" i="3904"/>
  <c r="H38" i="3904"/>
  <c r="H37" i="3904"/>
  <c r="H36" i="3904"/>
  <c r="H35" i="3904"/>
  <c r="H34" i="3904"/>
  <c r="H33" i="3904"/>
  <c r="H32" i="3904"/>
  <c r="H19" i="3904"/>
  <c r="H31" i="3904"/>
  <c r="H9" i="3904"/>
  <c r="H30" i="3904"/>
  <c r="C28" i="3904"/>
  <c r="H29" i="3904"/>
  <c r="H14" i="3904"/>
  <c r="H28" i="3904"/>
  <c r="H23" i="3904"/>
  <c r="H16" i="3904"/>
  <c r="C23" i="3904"/>
  <c r="H27" i="3904"/>
  <c r="C22" i="3904"/>
  <c r="H15" i="3904"/>
  <c r="B21" i="3904"/>
  <c r="H26" i="3904"/>
  <c r="H25" i="3904"/>
  <c r="C19" i="3904"/>
  <c r="H18" i="3904"/>
  <c r="H12" i="3904"/>
  <c r="H17" i="3904"/>
  <c r="B16" i="3904"/>
  <c r="B20" i="3904" s="1"/>
  <c r="H24" i="3904"/>
  <c r="C15" i="3904"/>
  <c r="H22" i="3904"/>
  <c r="C14" i="3904"/>
  <c r="H21" i="3904"/>
  <c r="C13" i="3904"/>
  <c r="H20" i="3904"/>
  <c r="C12" i="3904"/>
  <c r="H5" i="3904"/>
  <c r="C11" i="3904"/>
  <c r="H13" i="3904"/>
  <c r="C10" i="3904"/>
  <c r="H11" i="3904"/>
  <c r="C9" i="3904"/>
  <c r="H8" i="3904"/>
  <c r="C8" i="3904"/>
  <c r="O7" i="3904"/>
  <c r="H7" i="3904"/>
  <c r="C7" i="3904"/>
  <c r="O6" i="3904"/>
  <c r="H2" i="3904"/>
  <c r="B6" i="3904"/>
  <c r="O5" i="3904"/>
  <c r="H6" i="3904"/>
  <c r="B5" i="3904"/>
  <c r="O4" i="3904"/>
  <c r="H3" i="3904"/>
  <c r="O3" i="3904"/>
  <c r="H10" i="3904"/>
  <c r="O2" i="3904"/>
  <c r="H4" i="3904"/>
  <c r="O14" i="3902"/>
  <c r="O11" i="3902"/>
  <c r="H51" i="3902"/>
  <c r="H50" i="3902"/>
  <c r="H49" i="3902"/>
  <c r="H48" i="3902"/>
  <c r="H47" i="3902"/>
  <c r="H46" i="3902"/>
  <c r="H45" i="3902"/>
  <c r="H44" i="3902"/>
  <c r="H43" i="3902"/>
  <c r="H42" i="3902"/>
  <c r="H41" i="3902"/>
  <c r="H40" i="3902"/>
  <c r="H39" i="3902"/>
  <c r="H38" i="3902"/>
  <c r="H37" i="3902"/>
  <c r="H36" i="3902"/>
  <c r="H35" i="3902"/>
  <c r="H34" i="3902"/>
  <c r="H33" i="3902"/>
  <c r="H32" i="3902"/>
  <c r="H31" i="3902"/>
  <c r="H30" i="3902"/>
  <c r="H10" i="3902"/>
  <c r="H29" i="3902"/>
  <c r="C28" i="3902"/>
  <c r="H28" i="3902"/>
  <c r="H13" i="3902"/>
  <c r="H27" i="3902"/>
  <c r="H26" i="3902"/>
  <c r="H18" i="3902"/>
  <c r="C23" i="3902"/>
  <c r="H25" i="3902"/>
  <c r="C22" i="3902"/>
  <c r="H17" i="3902"/>
  <c r="B21" i="3902"/>
  <c r="H24" i="3902"/>
  <c r="H23" i="3902"/>
  <c r="C19" i="3902"/>
  <c r="H15" i="3902"/>
  <c r="H14" i="3902"/>
  <c r="H22" i="3902"/>
  <c r="B16" i="3902"/>
  <c r="C17" i="3902" s="1"/>
  <c r="H21" i="3902"/>
  <c r="C15" i="3902"/>
  <c r="H16" i="3902"/>
  <c r="C14" i="3902"/>
  <c r="H20" i="3902"/>
  <c r="C13" i="3902"/>
  <c r="H19" i="3902"/>
  <c r="C12" i="3902"/>
  <c r="H3" i="3902"/>
  <c r="C11" i="3902"/>
  <c r="H12" i="3902"/>
  <c r="C10" i="3902"/>
  <c r="H11" i="3902"/>
  <c r="C9" i="3902"/>
  <c r="H9" i="3902"/>
  <c r="C8" i="3902"/>
  <c r="O7" i="3902"/>
  <c r="H6" i="3902"/>
  <c r="C7" i="3902"/>
  <c r="O6" i="3902"/>
  <c r="H2" i="3902"/>
  <c r="B6" i="3902"/>
  <c r="O5" i="3902"/>
  <c r="H8" i="3902"/>
  <c r="B5" i="3902"/>
  <c r="O4" i="3902"/>
  <c r="H4" i="3902"/>
  <c r="O3" i="3902"/>
  <c r="H7" i="3902"/>
  <c r="O2" i="3902"/>
  <c r="H5" i="3902"/>
  <c r="O19" i="3890"/>
  <c r="O16" i="3890"/>
  <c r="O18" i="3888"/>
  <c r="O14" i="3888"/>
  <c r="C16" i="3904" l="1"/>
  <c r="C17" i="3904"/>
  <c r="C18" i="3904"/>
  <c r="C16" i="3902"/>
  <c r="B20" i="3902"/>
  <c r="C18" i="3902"/>
  <c r="O15" i="3898" l="1"/>
  <c r="O14" i="3900"/>
  <c r="O13" i="3900"/>
  <c r="H51" i="3900"/>
  <c r="H50" i="3900"/>
  <c r="H49" i="3900"/>
  <c r="H48" i="3900"/>
  <c r="H47" i="3900"/>
  <c r="H46" i="3900"/>
  <c r="H45" i="3900"/>
  <c r="H44" i="3900"/>
  <c r="H43" i="3900"/>
  <c r="H42" i="3900"/>
  <c r="H41" i="3900"/>
  <c r="H40" i="3900"/>
  <c r="H39" i="3900"/>
  <c r="H38" i="3900"/>
  <c r="H37" i="3900"/>
  <c r="H36" i="3900"/>
  <c r="H35" i="3900"/>
  <c r="H34" i="3900"/>
  <c r="H33" i="3900"/>
  <c r="H32" i="3900"/>
  <c r="H31" i="3900"/>
  <c r="H30" i="3900"/>
  <c r="H29" i="3900"/>
  <c r="H28" i="3900"/>
  <c r="C28" i="3900"/>
  <c r="H27" i="3900"/>
  <c r="H11" i="3900"/>
  <c r="H26" i="3900"/>
  <c r="H25" i="3900"/>
  <c r="H24" i="3900"/>
  <c r="C23" i="3900"/>
  <c r="H23" i="3900"/>
  <c r="C22" i="3900"/>
  <c r="H22" i="3900"/>
  <c r="B21" i="3900"/>
  <c r="H21" i="3900"/>
  <c r="H20" i="3900"/>
  <c r="C19" i="3900"/>
  <c r="H8" i="3900"/>
  <c r="H19" i="3900"/>
  <c r="H18" i="3900"/>
  <c r="B16" i="3900"/>
  <c r="C17" i="3900" s="1"/>
  <c r="H17" i="3900"/>
  <c r="C15" i="3900"/>
  <c r="H16" i="3900"/>
  <c r="C14" i="3900"/>
  <c r="H15" i="3900"/>
  <c r="C13" i="3900"/>
  <c r="H14" i="3900"/>
  <c r="C12" i="3900"/>
  <c r="H5" i="3900"/>
  <c r="C11" i="3900"/>
  <c r="H13" i="3900"/>
  <c r="C10" i="3900"/>
  <c r="H12" i="3900"/>
  <c r="C9" i="3900"/>
  <c r="H10" i="3900"/>
  <c r="C8" i="3900"/>
  <c r="O7" i="3900"/>
  <c r="H6" i="3900"/>
  <c r="C7" i="3900"/>
  <c r="O6" i="3900"/>
  <c r="H3" i="3900"/>
  <c r="B6" i="3900"/>
  <c r="O5" i="3900"/>
  <c r="H7" i="3900"/>
  <c r="B5" i="3900"/>
  <c r="O4" i="3900"/>
  <c r="H9" i="3900"/>
  <c r="O3" i="3900"/>
  <c r="H4" i="3900"/>
  <c r="O2" i="3900"/>
  <c r="H2" i="3900"/>
  <c r="O10" i="3890"/>
  <c r="O11" i="3888"/>
  <c r="C16" i="3900" l="1"/>
  <c r="C18" i="3900"/>
  <c r="B20" i="3900"/>
  <c r="O13" i="3898" l="1"/>
  <c r="O14" i="3898"/>
  <c r="H51" i="3898"/>
  <c r="H50" i="3898"/>
  <c r="H49" i="3898"/>
  <c r="H48" i="3898"/>
  <c r="H47" i="3898"/>
  <c r="H46" i="3898"/>
  <c r="H45" i="3898"/>
  <c r="H44" i="3898"/>
  <c r="H43" i="3898"/>
  <c r="H42" i="3898"/>
  <c r="H41" i="3898"/>
  <c r="H40" i="3898"/>
  <c r="H39" i="3898"/>
  <c r="H38" i="3898"/>
  <c r="H37" i="3898"/>
  <c r="H36" i="3898"/>
  <c r="H35" i="3898"/>
  <c r="H34" i="3898"/>
  <c r="H17" i="3898"/>
  <c r="H33" i="3898"/>
  <c r="H32" i="3898"/>
  <c r="H31" i="3898"/>
  <c r="H13" i="3898"/>
  <c r="H30" i="3898"/>
  <c r="C28" i="3898"/>
  <c r="H29" i="3898"/>
  <c r="H14" i="3898"/>
  <c r="H28" i="3898"/>
  <c r="H27" i="3898"/>
  <c r="H9" i="3898"/>
  <c r="C23" i="3898"/>
  <c r="H26" i="3898"/>
  <c r="C22" i="3898"/>
  <c r="H12" i="3898"/>
  <c r="B21" i="3898"/>
  <c r="H25" i="3898"/>
  <c r="H24" i="3898"/>
  <c r="C19" i="3898"/>
  <c r="H23" i="3898"/>
  <c r="H16" i="3898"/>
  <c r="H22" i="3898"/>
  <c r="B16" i="3898"/>
  <c r="C17" i="3898" s="1"/>
  <c r="H21" i="3898"/>
  <c r="C15" i="3898"/>
  <c r="H20" i="3898"/>
  <c r="C14" i="3898"/>
  <c r="H19" i="3898"/>
  <c r="C13" i="3898"/>
  <c r="H18" i="3898"/>
  <c r="C12" i="3898"/>
  <c r="H4" i="3898"/>
  <c r="C11" i="3898"/>
  <c r="H15" i="3898"/>
  <c r="C10" i="3898"/>
  <c r="H11" i="3898"/>
  <c r="C9" i="3898"/>
  <c r="H8" i="3898"/>
  <c r="C8" i="3898"/>
  <c r="O7" i="3898"/>
  <c r="H6" i="3898"/>
  <c r="C7" i="3898"/>
  <c r="O6" i="3898"/>
  <c r="H3" i="3898"/>
  <c r="B6" i="3898"/>
  <c r="O5" i="3898"/>
  <c r="H7" i="3898"/>
  <c r="B5" i="3898"/>
  <c r="O4" i="3898"/>
  <c r="H2" i="3898"/>
  <c r="O3" i="3898"/>
  <c r="H10" i="3898"/>
  <c r="O2" i="3898"/>
  <c r="H5" i="3898"/>
  <c r="O14" i="3896"/>
  <c r="O16" i="3896"/>
  <c r="H51" i="3896"/>
  <c r="H50" i="3896"/>
  <c r="H49" i="3896"/>
  <c r="H48" i="3896"/>
  <c r="H47" i="3896"/>
  <c r="H46" i="3896"/>
  <c r="H45" i="3896"/>
  <c r="H44" i="3896"/>
  <c r="H43" i="3896"/>
  <c r="H42" i="3896"/>
  <c r="H41" i="3896"/>
  <c r="H40" i="3896"/>
  <c r="H39" i="3896"/>
  <c r="H38" i="3896"/>
  <c r="H37" i="3896"/>
  <c r="H36" i="3896"/>
  <c r="H35" i="3896"/>
  <c r="H34" i="3896"/>
  <c r="H33" i="3896"/>
  <c r="H20" i="3896"/>
  <c r="H15" i="3896"/>
  <c r="H32" i="3896"/>
  <c r="H8" i="3896"/>
  <c r="H24" i="3896"/>
  <c r="C28" i="3896"/>
  <c r="H23" i="3896"/>
  <c r="H13" i="3896"/>
  <c r="H19" i="3896"/>
  <c r="H22" i="3896"/>
  <c r="H12" i="3896"/>
  <c r="C23" i="3896"/>
  <c r="H31" i="3896"/>
  <c r="C22" i="3896"/>
  <c r="H14" i="3896"/>
  <c r="B21" i="3896"/>
  <c r="H21" i="3896"/>
  <c r="H30" i="3896"/>
  <c r="C19" i="3896"/>
  <c r="H18" i="3896"/>
  <c r="H17" i="3896"/>
  <c r="H29" i="3896"/>
  <c r="B16" i="3896"/>
  <c r="C17" i="3896" s="1"/>
  <c r="H28" i="3896"/>
  <c r="C15" i="3896"/>
  <c r="H27" i="3896"/>
  <c r="C14" i="3896"/>
  <c r="H26" i="3896"/>
  <c r="C13" i="3896"/>
  <c r="H25" i="3896"/>
  <c r="C12" i="3896"/>
  <c r="H5" i="3896"/>
  <c r="C11" i="3896"/>
  <c r="H16" i="3896"/>
  <c r="C10" i="3896"/>
  <c r="H11" i="3896"/>
  <c r="C9" i="3896"/>
  <c r="H10" i="3896"/>
  <c r="C8" i="3896"/>
  <c r="O7" i="3896"/>
  <c r="H6" i="3896"/>
  <c r="C7" i="3896"/>
  <c r="O6" i="3896"/>
  <c r="H2" i="3896"/>
  <c r="B6" i="3896"/>
  <c r="O5" i="3896"/>
  <c r="H7" i="3896"/>
  <c r="B5" i="3896"/>
  <c r="O4" i="3896"/>
  <c r="H3" i="3896"/>
  <c r="O3" i="3896"/>
  <c r="H9" i="3896"/>
  <c r="O2" i="3896"/>
  <c r="H4" i="3896"/>
  <c r="O17" i="3890"/>
  <c r="O18" i="3890"/>
  <c r="O19" i="3888"/>
  <c r="O16" i="3888"/>
  <c r="C16" i="3898" l="1"/>
  <c r="C18" i="3898"/>
  <c r="B20" i="3898"/>
  <c r="C16" i="3896"/>
  <c r="C18" i="3896"/>
  <c r="B20" i="3896"/>
  <c r="O11" i="3894" l="1"/>
  <c r="O10" i="3894"/>
  <c r="H51" i="3894"/>
  <c r="H50" i="3894"/>
  <c r="H49" i="3894"/>
  <c r="H48" i="3894"/>
  <c r="H47" i="3894"/>
  <c r="H46" i="3894"/>
  <c r="H45" i="3894"/>
  <c r="H44" i="3894"/>
  <c r="H43" i="3894"/>
  <c r="H42" i="3894"/>
  <c r="H41" i="3894"/>
  <c r="H40" i="3894"/>
  <c r="H39" i="3894"/>
  <c r="H38" i="3894"/>
  <c r="H37" i="3894"/>
  <c r="H36" i="3894"/>
  <c r="H35" i="3894"/>
  <c r="H34" i="3894"/>
  <c r="H33" i="3894"/>
  <c r="H32" i="3894"/>
  <c r="H31" i="3894"/>
  <c r="H30" i="3894"/>
  <c r="H29" i="3894"/>
  <c r="H28" i="3894"/>
  <c r="C28" i="3894"/>
  <c r="H27" i="3894"/>
  <c r="H26" i="3894"/>
  <c r="H25" i="3894"/>
  <c r="H24" i="3894"/>
  <c r="H23" i="3894"/>
  <c r="C23" i="3894"/>
  <c r="H22" i="3894"/>
  <c r="C22" i="3894"/>
  <c r="H21" i="3894"/>
  <c r="B21" i="3894"/>
  <c r="H20" i="3894"/>
  <c r="H19" i="3894"/>
  <c r="C19" i="3894"/>
  <c r="H18" i="3894"/>
  <c r="H17" i="3894"/>
  <c r="H16" i="3894"/>
  <c r="B16" i="3894"/>
  <c r="C17" i="3894" s="1"/>
  <c r="H15" i="3894"/>
  <c r="C15" i="3894"/>
  <c r="H14" i="3894"/>
  <c r="C14" i="3894"/>
  <c r="H13" i="3894"/>
  <c r="C13" i="3894"/>
  <c r="H12" i="3894"/>
  <c r="C12" i="3894"/>
  <c r="H11" i="3894"/>
  <c r="C11" i="3894"/>
  <c r="H5" i="3894"/>
  <c r="C10" i="3894"/>
  <c r="H10" i="3894"/>
  <c r="C9" i="3894"/>
  <c r="H4" i="3894"/>
  <c r="C8" i="3894"/>
  <c r="O7" i="3894"/>
  <c r="H9" i="3894"/>
  <c r="C7" i="3894"/>
  <c r="O6" i="3894"/>
  <c r="H8" i="3894"/>
  <c r="B6" i="3894"/>
  <c r="O5" i="3894"/>
  <c r="H2" i="3894"/>
  <c r="B5" i="3894"/>
  <c r="O4" i="3894"/>
  <c r="H7" i="3894"/>
  <c r="O3" i="3894"/>
  <c r="H6" i="3894"/>
  <c r="O2" i="3894"/>
  <c r="H3" i="3894"/>
  <c r="O11" i="3892"/>
  <c r="O10" i="3892"/>
  <c r="H51" i="3892"/>
  <c r="H50" i="3892"/>
  <c r="H49" i="3892"/>
  <c r="H48" i="3892"/>
  <c r="H47" i="3892"/>
  <c r="H46" i="3892"/>
  <c r="H45" i="3892"/>
  <c r="H44" i="3892"/>
  <c r="H43" i="3892"/>
  <c r="H42" i="3892"/>
  <c r="H41" i="3892"/>
  <c r="H40" i="3892"/>
  <c r="H39" i="3892"/>
  <c r="H38" i="3892"/>
  <c r="H37" i="3892"/>
  <c r="H36" i="3892"/>
  <c r="H35" i="3892"/>
  <c r="H34" i="3892"/>
  <c r="H33" i="3892"/>
  <c r="H32" i="3892"/>
  <c r="H31" i="3892"/>
  <c r="H30" i="3892"/>
  <c r="H29" i="3892"/>
  <c r="H28" i="3892"/>
  <c r="C28" i="3892"/>
  <c r="H27" i="3892"/>
  <c r="H26" i="3892"/>
  <c r="H25" i="3892"/>
  <c r="H24" i="3892"/>
  <c r="H23" i="3892"/>
  <c r="C23" i="3892"/>
  <c r="H22" i="3892"/>
  <c r="C22" i="3892"/>
  <c r="H21" i="3892"/>
  <c r="B21" i="3892"/>
  <c r="H20" i="3892"/>
  <c r="H19" i="3892"/>
  <c r="C19" i="3892"/>
  <c r="H18" i="3892"/>
  <c r="H17" i="3892"/>
  <c r="H16" i="3892"/>
  <c r="B16" i="3892"/>
  <c r="C17" i="3892" s="1"/>
  <c r="H15" i="3892"/>
  <c r="C15" i="3892"/>
  <c r="H14" i="3892"/>
  <c r="C14" i="3892"/>
  <c r="H13" i="3892"/>
  <c r="C13" i="3892"/>
  <c r="H12" i="3892"/>
  <c r="C12" i="3892"/>
  <c r="H11" i="3892"/>
  <c r="C11" i="3892"/>
  <c r="H10" i="3892"/>
  <c r="C10" i="3892"/>
  <c r="H9" i="3892"/>
  <c r="C9" i="3892"/>
  <c r="H8" i="3892"/>
  <c r="C8" i="3892"/>
  <c r="O7" i="3892"/>
  <c r="H7" i="3892"/>
  <c r="C7" i="3892"/>
  <c r="O6" i="3892"/>
  <c r="H6" i="3892"/>
  <c r="B6" i="3892"/>
  <c r="O5" i="3892"/>
  <c r="H5" i="3892"/>
  <c r="B5" i="3892"/>
  <c r="O4" i="3892"/>
  <c r="H4" i="3892"/>
  <c r="O3" i="3892"/>
  <c r="H3" i="3892"/>
  <c r="O2" i="3892"/>
  <c r="H2" i="3892"/>
  <c r="O20" i="3888"/>
  <c r="O12" i="3890"/>
  <c r="O11" i="3890"/>
  <c r="H51" i="3890"/>
  <c r="H50" i="3890"/>
  <c r="H49" i="3890"/>
  <c r="H48" i="3890"/>
  <c r="H47" i="3890"/>
  <c r="H28" i="3890"/>
  <c r="H46" i="3890"/>
  <c r="H45" i="3890"/>
  <c r="H44" i="3890"/>
  <c r="H43" i="3890"/>
  <c r="H42" i="3890"/>
  <c r="H41" i="3890"/>
  <c r="H40" i="3890"/>
  <c r="H39" i="3890"/>
  <c r="H38" i="3890"/>
  <c r="H37" i="3890"/>
  <c r="H27" i="3890"/>
  <c r="H36" i="3890"/>
  <c r="H35" i="3890"/>
  <c r="H21" i="3890"/>
  <c r="H17" i="3890"/>
  <c r="H26" i="3890"/>
  <c r="H8" i="3890"/>
  <c r="H34" i="3890"/>
  <c r="C28" i="3890"/>
  <c r="H23" i="3890"/>
  <c r="H13" i="3890"/>
  <c r="H25" i="3890"/>
  <c r="H33" i="3890"/>
  <c r="H14" i="3890"/>
  <c r="C23" i="3890"/>
  <c r="H32" i="3890"/>
  <c r="C22" i="3890"/>
  <c r="H15" i="3890"/>
  <c r="B21" i="3890"/>
  <c r="H31" i="3890"/>
  <c r="H30" i="3890"/>
  <c r="C19" i="3890"/>
  <c r="H22" i="3890"/>
  <c r="H20" i="3890"/>
  <c r="H16" i="3890"/>
  <c r="B16" i="3890"/>
  <c r="C17" i="3890" s="1"/>
  <c r="H29" i="3890"/>
  <c r="C15" i="3890"/>
  <c r="H19" i="3890"/>
  <c r="C14" i="3890"/>
  <c r="H24" i="3890"/>
  <c r="C13" i="3890"/>
  <c r="H18" i="3890"/>
  <c r="C12" i="3890"/>
  <c r="H4" i="3890"/>
  <c r="C11" i="3890"/>
  <c r="H12" i="3890"/>
  <c r="C10" i="3890"/>
  <c r="H11" i="3890"/>
  <c r="C9" i="3890"/>
  <c r="H9" i="3890"/>
  <c r="C8" i="3890"/>
  <c r="O7" i="3890"/>
  <c r="H7" i="3890"/>
  <c r="C7" i="3890"/>
  <c r="O6" i="3890"/>
  <c r="H2" i="3890"/>
  <c r="B6" i="3890"/>
  <c r="O5" i="3890"/>
  <c r="H6" i="3890"/>
  <c r="B5" i="3890"/>
  <c r="O4" i="3890"/>
  <c r="H3" i="3890"/>
  <c r="O3" i="3890"/>
  <c r="H10" i="3890"/>
  <c r="O2" i="3890"/>
  <c r="H5" i="3890"/>
  <c r="O13" i="3888"/>
  <c r="O10" i="3888"/>
  <c r="H51" i="3888"/>
  <c r="H50" i="3888"/>
  <c r="H49" i="3888"/>
  <c r="H48" i="3888"/>
  <c r="H47" i="3888"/>
  <c r="H32" i="3888"/>
  <c r="H46" i="3888"/>
  <c r="H45" i="3888"/>
  <c r="H44" i="3888"/>
  <c r="H43" i="3888"/>
  <c r="H42" i="3888"/>
  <c r="H41" i="3888"/>
  <c r="H40" i="3888"/>
  <c r="H39" i="3888"/>
  <c r="H38" i="3888"/>
  <c r="H37" i="3888"/>
  <c r="H31" i="3888"/>
  <c r="H36" i="3888"/>
  <c r="H27" i="3888"/>
  <c r="H22" i="3888"/>
  <c r="H17" i="3888"/>
  <c r="H30" i="3888"/>
  <c r="H8" i="3888"/>
  <c r="H29" i="3888"/>
  <c r="C28" i="3888"/>
  <c r="H25" i="3888"/>
  <c r="H12" i="3888"/>
  <c r="H23" i="3888"/>
  <c r="H24" i="3888"/>
  <c r="H13" i="3888"/>
  <c r="C23" i="3888"/>
  <c r="H35" i="3888"/>
  <c r="C22" i="3888"/>
  <c r="H15" i="3888"/>
  <c r="B21" i="3888"/>
  <c r="H28" i="3888"/>
  <c r="H34" i="3888"/>
  <c r="C19" i="3888"/>
  <c r="H18" i="3888"/>
  <c r="H16" i="3888"/>
  <c r="H21" i="3888"/>
  <c r="B16" i="3888"/>
  <c r="C17" i="3888" s="1"/>
  <c r="H33" i="3888"/>
  <c r="C15" i="3888"/>
  <c r="H20" i="3888"/>
  <c r="C14" i="3888"/>
  <c r="H26" i="3888"/>
  <c r="C13" i="3888"/>
  <c r="H19" i="3888"/>
  <c r="C12" i="3888"/>
  <c r="H4" i="3888"/>
  <c r="C11" i="3888"/>
  <c r="H14" i="3888"/>
  <c r="C10" i="3888"/>
  <c r="H11" i="3888"/>
  <c r="C9" i="3888"/>
  <c r="H9" i="3888"/>
  <c r="C8" i="3888"/>
  <c r="O7" i="3888"/>
  <c r="H7" i="3888"/>
  <c r="C7" i="3888"/>
  <c r="O6" i="3888"/>
  <c r="H2" i="3888"/>
  <c r="B6" i="3888"/>
  <c r="O5" i="3888"/>
  <c r="H6" i="3888"/>
  <c r="B5" i="3888"/>
  <c r="O4" i="3888"/>
  <c r="H3" i="3888"/>
  <c r="O3" i="3888"/>
  <c r="H10" i="3888"/>
  <c r="O2" i="3888"/>
  <c r="H5" i="3888"/>
  <c r="C16" i="3892" l="1"/>
  <c r="C16" i="3894"/>
  <c r="C18" i="3894"/>
  <c r="B20" i="3894"/>
  <c r="C18" i="3892"/>
  <c r="B20" i="3892"/>
  <c r="C16" i="3890"/>
  <c r="C18" i="3890"/>
  <c r="B20" i="3890"/>
  <c r="C16" i="3888"/>
  <c r="C18" i="3888"/>
  <c r="B20" i="3888"/>
  <c r="O2" i="2228" l="1"/>
  <c r="O7" i="2228"/>
  <c r="O6" i="2228"/>
  <c r="O5" i="2228"/>
  <c r="O4" i="2228"/>
  <c r="O3" i="2228"/>
  <c r="C28" i="2228" l="1"/>
  <c r="C13" i="2228" l="1"/>
  <c r="C12" i="2228"/>
  <c r="C19" i="2228" l="1"/>
  <c r="C11" i="2228" l="1"/>
  <c r="C10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<sst xmlns="http://schemas.openxmlformats.org/spreadsheetml/2006/main" count="3197" uniqueCount="241">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</sst>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11" xfId="0" applyFont="1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6" fontId="0" fillId="0" borderId="6" xfId="0" applyNumberFormat="1" applyBorder="1" applyAlignment="1">
      <alignment horizontal="center" vertical="center" shrinkToFit="1"/>
    </xf>
    <xf numFmtId="186" fontId="0" fillId="0" borderId="3" xfId="0" applyNumberFormat="1" applyBorder="1" applyAlignment="1">
      <alignment horizontal="center" vertical="center" shrinkToFit="1"/>
    </xf>
    <xf numFmtId="186" fontId="0" fillId="0" borderId="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0" fontId="3" fillId="0" borderId="10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6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3" fillId="0" borderId="3" xfId="0" applyFon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全体!$K$2:$K$647</c:f>
              <c:numCache>
                <c:formatCode>General</c:formatCode>
                <c:ptCount val="6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</c:numCache>
            </c:numRef>
          </c:xVal>
          <c:yVal>
            <c:numRef>
              <c:f>全体!$L$2:$L$647</c:f>
              <c:numCache>
                <c:formatCode>\+0.0;\-0.0;\±0</c:formatCode>
                <c:ptCount val="646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-8.3999999999999826</c:v>
                </c:pt>
                <c:pt idx="89">
                  <c:v>19.300000000000018</c:v>
                </c:pt>
                <c:pt idx="90">
                  <c:v>1.7763568394002505E-14</c:v>
                </c:pt>
                <c:pt idx="91">
                  <c:v>53.300000000000011</c:v>
                </c:pt>
                <c:pt idx="92">
                  <c:v>14.400000000000013</c:v>
                </c:pt>
                <c:pt idx="93">
                  <c:v>1.2434497875801753E-14</c:v>
                </c:pt>
                <c:pt idx="94">
                  <c:v>-13.999999999999988</c:v>
                </c:pt>
                <c:pt idx="95">
                  <c:v>-51.999999999999986</c:v>
                </c:pt>
                <c:pt idx="96">
                  <c:v>1.4210854715202004E-14</c:v>
                </c:pt>
                <c:pt idx="97">
                  <c:v>60.700000000000017</c:v>
                </c:pt>
                <c:pt idx="98">
                  <c:v>40.40000000000002</c:v>
                </c:pt>
                <c:pt idx="99">
                  <c:v>2.1316282072803006E-14</c:v>
                </c:pt>
                <c:pt idx="100">
                  <c:v>50.000000000000021</c:v>
                </c:pt>
                <c:pt idx="101">
                  <c:v>41.500000000000021</c:v>
                </c:pt>
                <c:pt idx="102">
                  <c:v>2.1316282072803006E-14</c:v>
                </c:pt>
                <c:pt idx="103">
                  <c:v>-13.999999999999979</c:v>
                </c:pt>
                <c:pt idx="104">
                  <c:v>-52.499999999999979</c:v>
                </c:pt>
                <c:pt idx="105">
                  <c:v>2.1316282072803006E-14</c:v>
                </c:pt>
                <c:pt idx="106">
                  <c:v>-3.3999999999999786</c:v>
                </c:pt>
                <c:pt idx="107">
                  <c:v>-14.999999999999979</c:v>
                </c:pt>
                <c:pt idx="108">
                  <c:v>2.1316282072803006E-14</c:v>
                </c:pt>
                <c:pt idx="109">
                  <c:v>-17.09999999999998</c:v>
                </c:pt>
                <c:pt idx="110">
                  <c:v>-16.799999999999979</c:v>
                </c:pt>
                <c:pt idx="111">
                  <c:v>2.1316282072803006E-14</c:v>
                </c:pt>
                <c:pt idx="112">
                  <c:v>21.100000000000023</c:v>
                </c:pt>
                <c:pt idx="113">
                  <c:v>35.800000000000026</c:v>
                </c:pt>
                <c:pt idx="114">
                  <c:v>2.8421709430404007E-14</c:v>
                </c:pt>
                <c:pt idx="115">
                  <c:v>-50.599999999999973</c:v>
                </c:pt>
                <c:pt idx="116">
                  <c:v>-2.599999999999973</c:v>
                </c:pt>
                <c:pt idx="117">
                  <c:v>2.708944180085382E-14</c:v>
                </c:pt>
                <c:pt idx="118">
                  <c:v>-8.1999999999999726</c:v>
                </c:pt>
                <c:pt idx="119">
                  <c:v>-49.999999999999972</c:v>
                </c:pt>
                <c:pt idx="120">
                  <c:v>2.8421709430404007E-14</c:v>
                </c:pt>
                <c:pt idx="121">
                  <c:v>-6.9999999999999716</c:v>
                </c:pt>
                <c:pt idx="122">
                  <c:v>-12.499999999999972</c:v>
                </c:pt>
                <c:pt idx="123">
                  <c:v>2.8421709430404007E-14</c:v>
                </c:pt>
                <c:pt idx="124">
                  <c:v>-36.39999999999997</c:v>
                </c:pt>
                <c:pt idx="125">
                  <c:v>-11.499999999999972</c:v>
                </c:pt>
                <c:pt idx="126">
                  <c:v>2.8421709430404007E-14</c:v>
                </c:pt>
                <c:pt idx="127">
                  <c:v>-8.4999999999999716</c:v>
                </c:pt>
                <c:pt idx="128">
                  <c:v>-5.4999999999999716</c:v>
                </c:pt>
                <c:pt idx="129">
                  <c:v>2.8421709430404007E-14</c:v>
                </c:pt>
                <c:pt idx="130">
                  <c:v>8.4000000000000288</c:v>
                </c:pt>
                <c:pt idx="131">
                  <c:v>23.900000000000027</c:v>
                </c:pt>
                <c:pt idx="132">
                  <c:v>2.8421709430404007E-14</c:v>
                </c:pt>
                <c:pt idx="133">
                  <c:v>-10.399999999999972</c:v>
                </c:pt>
                <c:pt idx="134">
                  <c:v>0.70000000000002771</c:v>
                </c:pt>
                <c:pt idx="135">
                  <c:v>2.7755575615628914E-14</c:v>
                </c:pt>
                <c:pt idx="136">
                  <c:v>27.900000000000027</c:v>
                </c:pt>
                <c:pt idx="137">
                  <c:v>-7.9999999999999716</c:v>
                </c:pt>
                <c:pt idx="138">
                  <c:v>2.8421709430404007E-14</c:v>
                </c:pt>
                <c:pt idx="139">
                  <c:v>-20.499999999999972</c:v>
                </c:pt>
                <c:pt idx="140">
                  <c:v>-25.199999999999971</c:v>
                </c:pt>
                <c:pt idx="141">
                  <c:v>2.8421709430404007E-14</c:v>
                </c:pt>
                <c:pt idx="142">
                  <c:v>-31.099999999999973</c:v>
                </c:pt>
                <c:pt idx="143">
                  <c:v>-62.299999999999969</c:v>
                </c:pt>
                <c:pt idx="144">
                  <c:v>2.8421709430404007E-14</c:v>
                </c:pt>
                <c:pt idx="145">
                  <c:v>16.200000000000028</c:v>
                </c:pt>
                <c:pt idx="146">
                  <c:v>-8.599999999999973</c:v>
                </c:pt>
                <c:pt idx="147">
                  <c:v>2.6645352591003757E-14</c:v>
                </c:pt>
                <c:pt idx="148">
                  <c:v>-4.8999999999999737</c:v>
                </c:pt>
                <c:pt idx="149">
                  <c:v>-16.799999999999976</c:v>
                </c:pt>
                <c:pt idx="150">
                  <c:v>-1.9999999999999751</c:v>
                </c:pt>
                <c:pt idx="151">
                  <c:v>10.800000000000026</c:v>
                </c:pt>
                <c:pt idx="152">
                  <c:v>14.700000000000026</c:v>
                </c:pt>
                <c:pt idx="153">
                  <c:v>-1.9999999999999734</c:v>
                </c:pt>
                <c:pt idx="154">
                  <c:v>-1.2999999999999734</c:v>
                </c:pt>
                <c:pt idx="155">
                  <c:v>41.900000000000027</c:v>
                </c:pt>
                <c:pt idx="156">
                  <c:v>-1.9999999999999716</c:v>
                </c:pt>
                <c:pt idx="157">
                  <c:v>-8.6999999999999709</c:v>
                </c:pt>
                <c:pt idx="158">
                  <c:v>-11.499999999999972</c:v>
                </c:pt>
                <c:pt idx="159">
                  <c:v>-1.9999999999999716</c:v>
                </c:pt>
                <c:pt idx="160">
                  <c:v>-29.999999999999972</c:v>
                </c:pt>
                <c:pt idx="161">
                  <c:v>-84.999999999999972</c:v>
                </c:pt>
                <c:pt idx="162">
                  <c:v>-1.9999999999999716</c:v>
                </c:pt>
                <c:pt idx="163">
                  <c:v>14.700000000000028</c:v>
                </c:pt>
                <c:pt idx="164">
                  <c:v>-22.999999999999975</c:v>
                </c:pt>
                <c:pt idx="165">
                  <c:v>-1.9999999999999751</c:v>
                </c:pt>
                <c:pt idx="166">
                  <c:v>-8.9999999999999751</c:v>
                </c:pt>
                <c:pt idx="167">
                  <c:v>-14.899999999999975</c:v>
                </c:pt>
                <c:pt idx="168">
                  <c:v>-2.9999999999999751</c:v>
                </c:pt>
                <c:pt idx="169">
                  <c:v>28.600000000000026</c:v>
                </c:pt>
                <c:pt idx="170">
                  <c:v>34.800000000000026</c:v>
                </c:pt>
                <c:pt idx="171">
                  <c:v>-2.9999999999999716</c:v>
                </c:pt>
                <c:pt idx="172">
                  <c:v>12.800000000000029</c:v>
                </c:pt>
                <c:pt idx="173">
                  <c:v>-33.299999999999969</c:v>
                </c:pt>
                <c:pt idx="174">
                  <c:v>-2.999999999999968</c:v>
                </c:pt>
                <c:pt idx="175">
                  <c:v>54.000000000000028</c:v>
                </c:pt>
                <c:pt idx="176">
                  <c:v>3.5000000000000284</c:v>
                </c:pt>
                <c:pt idx="177">
                  <c:v>-2.9999999999999716</c:v>
                </c:pt>
                <c:pt idx="178">
                  <c:v>2.3000000000000282</c:v>
                </c:pt>
                <c:pt idx="179">
                  <c:v>8.6000000000000281</c:v>
                </c:pt>
                <c:pt idx="180">
                  <c:v>-2.9999999999999716</c:v>
                </c:pt>
                <c:pt idx="181">
                  <c:v>-39.199999999999974</c:v>
                </c:pt>
                <c:pt idx="182">
                  <c:v>-20.499999999999975</c:v>
                </c:pt>
                <c:pt idx="183">
                  <c:v>-2.9999999999999751</c:v>
                </c:pt>
                <c:pt idx="184">
                  <c:v>-49.09999999999998</c:v>
                </c:pt>
                <c:pt idx="185">
                  <c:v>-43.999999999999979</c:v>
                </c:pt>
                <c:pt idx="186">
                  <c:v>-2.9999999999999787</c:v>
                </c:pt>
                <c:pt idx="187">
                  <c:v>32.000000000000021</c:v>
                </c:pt>
                <c:pt idx="188">
                  <c:v>7.5000000000000213</c:v>
                </c:pt>
                <c:pt idx="189">
                  <c:v>-2.9999999999999787</c:v>
                </c:pt>
                <c:pt idx="190">
                  <c:v>18.100000000000023</c:v>
                </c:pt>
                <c:pt idx="191">
                  <c:v>4.2000000000000224</c:v>
                </c:pt>
                <c:pt idx="192">
                  <c:v>-2.9999999999999778</c:v>
                </c:pt>
                <c:pt idx="193">
                  <c:v>-68.999999999999972</c:v>
                </c:pt>
                <c:pt idx="194">
                  <c:v>-77.299999999999969</c:v>
                </c:pt>
                <c:pt idx="195">
                  <c:v>-2.9999999999999716</c:v>
                </c:pt>
                <c:pt idx="196">
                  <c:v>-7.9999999999999716</c:v>
                </c:pt>
                <c:pt idx="197">
                  <c:v>-52.999999999999972</c:v>
                </c:pt>
                <c:pt idx="198">
                  <c:v>-2.9999999999999716</c:v>
                </c:pt>
                <c:pt idx="199">
                  <c:v>-1.9999999999999716</c:v>
                </c:pt>
                <c:pt idx="200">
                  <c:v>-37.999999999999972</c:v>
                </c:pt>
                <c:pt idx="201">
                  <c:v>-2.9999999999999716</c:v>
                </c:pt>
                <c:pt idx="202">
                  <c:v>28.60000000000003</c:v>
                </c:pt>
                <c:pt idx="203">
                  <c:v>-2.6999999999999709</c:v>
                </c:pt>
                <c:pt idx="204">
                  <c:v>-2.9999999999999707</c:v>
                </c:pt>
                <c:pt idx="205">
                  <c:v>-21.999999999999972</c:v>
                </c:pt>
                <c:pt idx="206">
                  <c:v>42.000000000000028</c:v>
                </c:pt>
                <c:pt idx="207">
                  <c:v>-2.9999999999999716</c:v>
                </c:pt>
                <c:pt idx="208">
                  <c:v>-12.899999999999972</c:v>
                </c:pt>
                <c:pt idx="209">
                  <c:v>-9.7999999999999723</c:v>
                </c:pt>
                <c:pt idx="210">
                  <c:v>-2.9999999999999725</c:v>
                </c:pt>
                <c:pt idx="211">
                  <c:v>-2.0999999999999726</c:v>
                </c:pt>
                <c:pt idx="212">
                  <c:v>-0.8999999999999726</c:v>
                </c:pt>
                <c:pt idx="213">
                  <c:v>-2.9999999999999725</c:v>
                </c:pt>
                <c:pt idx="214">
                  <c:v>29.300000000000026</c:v>
                </c:pt>
                <c:pt idx="215">
                  <c:v>32.100000000000023</c:v>
                </c:pt>
                <c:pt idx="216">
                  <c:v>-2.9999999999999787</c:v>
                </c:pt>
                <c:pt idx="217">
                  <c:v>-48.999999999999979</c:v>
                </c:pt>
                <c:pt idx="218">
                  <c:v>-4.3999999999999773</c:v>
                </c:pt>
                <c:pt idx="219">
                  <c:v>-2.9999999999999774</c:v>
                </c:pt>
                <c:pt idx="220">
                  <c:v>25.40000000000002</c:v>
                </c:pt>
                <c:pt idx="221">
                  <c:v>24.000000000000021</c:v>
                </c:pt>
                <c:pt idx="222">
                  <c:v>-2.9999999999999787</c:v>
                </c:pt>
                <c:pt idx="223">
                  <c:v>-10.399999999999979</c:v>
                </c:pt>
                <c:pt idx="224">
                  <c:v>-50.09999999999998</c:v>
                </c:pt>
                <c:pt idx="225">
                  <c:v>-2.9999999999999787</c:v>
                </c:pt>
                <c:pt idx="226">
                  <c:v>15.300000000000022</c:v>
                </c:pt>
                <c:pt idx="227">
                  <c:v>-17.799999999999979</c:v>
                </c:pt>
                <c:pt idx="228">
                  <c:v>-2.9999999999999787</c:v>
                </c:pt>
                <c:pt idx="229">
                  <c:v>-16.899999999999977</c:v>
                </c:pt>
                <c:pt idx="230">
                  <c:v>-35.09999999999998</c:v>
                </c:pt>
                <c:pt idx="231">
                  <c:v>-2.9999999999999787</c:v>
                </c:pt>
                <c:pt idx="232">
                  <c:v>37.000000000000021</c:v>
                </c:pt>
                <c:pt idx="233">
                  <c:v>-3.3999999999999773</c:v>
                </c:pt>
                <c:pt idx="234">
                  <c:v>-2.9999999999999774</c:v>
                </c:pt>
                <c:pt idx="235">
                  <c:v>2.2000000000000228</c:v>
                </c:pt>
                <c:pt idx="236">
                  <c:v>-8.7999999999999776</c:v>
                </c:pt>
                <c:pt idx="237">
                  <c:v>-2.9999999999999778</c:v>
                </c:pt>
                <c:pt idx="238">
                  <c:v>-16.699999999999978</c:v>
                </c:pt>
                <c:pt idx="239">
                  <c:v>-32.499999999999979</c:v>
                </c:pt>
                <c:pt idx="240">
                  <c:v>-2.9999999999999787</c:v>
                </c:pt>
                <c:pt idx="241">
                  <c:v>-25.999999999999979</c:v>
                </c:pt>
                <c:pt idx="242">
                  <c:v>-47.899999999999977</c:v>
                </c:pt>
                <c:pt idx="243">
                  <c:v>-2.9999999999999787</c:v>
                </c:pt>
                <c:pt idx="244">
                  <c:v>2.100000000000021</c:v>
                </c:pt>
                <c:pt idx="245">
                  <c:v>13.400000000000022</c:v>
                </c:pt>
                <c:pt idx="246">
                  <c:v>-2.9999999999999769</c:v>
                </c:pt>
                <c:pt idx="247">
                  <c:v>28.90000000000002</c:v>
                </c:pt>
                <c:pt idx="248">
                  <c:v>35.000000000000021</c:v>
                </c:pt>
                <c:pt idx="249">
                  <c:v>-2.9999999999999787</c:v>
                </c:pt>
                <c:pt idx="250">
                  <c:v>37.000000000000021</c:v>
                </c:pt>
                <c:pt idx="251">
                  <c:v>-6.9999999999999787</c:v>
                </c:pt>
                <c:pt idx="252">
                  <c:v>-2.9999999999999787</c:v>
                </c:pt>
                <c:pt idx="253">
                  <c:v>19.500000000000021</c:v>
                </c:pt>
                <c:pt idx="254">
                  <c:v>-21.499999999999979</c:v>
                </c:pt>
                <c:pt idx="255">
                  <c:v>-2.9999999999999787</c:v>
                </c:pt>
                <c:pt idx="256">
                  <c:v>28.500000000000021</c:v>
                </c:pt>
                <c:pt idx="257">
                  <c:v>17.700000000000021</c:v>
                </c:pt>
                <c:pt idx="258">
                  <c:v>-2.9999999999999787</c:v>
                </c:pt>
                <c:pt idx="259">
                  <c:v>56.800000000000018</c:v>
                </c:pt>
                <c:pt idx="260">
                  <c:v>21.300000000000018</c:v>
                </c:pt>
                <c:pt idx="261">
                  <c:v>-2.9999999999999822</c:v>
                </c:pt>
                <c:pt idx="262">
                  <c:v>8.1000000000000174</c:v>
                </c:pt>
                <c:pt idx="263">
                  <c:v>-18.999999999999986</c:v>
                </c:pt>
                <c:pt idx="264">
                  <c:v>-2.9999999999999858</c:v>
                </c:pt>
                <c:pt idx="265">
                  <c:v>-1.3999999999999857</c:v>
                </c:pt>
                <c:pt idx="266">
                  <c:v>21.200000000000017</c:v>
                </c:pt>
                <c:pt idx="267">
                  <c:v>-2.9999999999999822</c:v>
                </c:pt>
                <c:pt idx="268">
                  <c:v>-24.399999999999981</c:v>
                </c:pt>
                <c:pt idx="269">
                  <c:v>-8.7999999999999812</c:v>
                </c:pt>
                <c:pt idx="270">
                  <c:v>-2.9999999999999813</c:v>
                </c:pt>
                <c:pt idx="271">
                  <c:v>0.50000000000001865</c:v>
                </c:pt>
                <c:pt idx="272">
                  <c:v>1.1000000000000187</c:v>
                </c:pt>
                <c:pt idx="273">
                  <c:v>-2.9999999999999809</c:v>
                </c:pt>
                <c:pt idx="274">
                  <c:v>-46.399999999999977</c:v>
                </c:pt>
                <c:pt idx="275">
                  <c:v>-6.1999999999999744</c:v>
                </c:pt>
                <c:pt idx="276">
                  <c:v>-2.9999999999999742</c:v>
                </c:pt>
                <c:pt idx="277">
                  <c:v>-48.499999999999972</c:v>
                </c:pt>
                <c:pt idx="278">
                  <c:v>-30.999999999999972</c:v>
                </c:pt>
                <c:pt idx="279">
                  <c:v>-2.9999999999999716</c:v>
                </c:pt>
                <c:pt idx="280">
                  <c:v>-3.5999999999999717</c:v>
                </c:pt>
                <c:pt idx="281">
                  <c:v>-42.099999999999973</c:v>
                </c:pt>
                <c:pt idx="282">
                  <c:v>-2.9999999999999716</c:v>
                </c:pt>
                <c:pt idx="283">
                  <c:v>23.400000000000027</c:v>
                </c:pt>
                <c:pt idx="284">
                  <c:v>-4.9999999999999716</c:v>
                </c:pt>
                <c:pt idx="285">
                  <c:v>-2.9999999999999716</c:v>
                </c:pt>
                <c:pt idx="286">
                  <c:v>6.7000000000000277</c:v>
                </c:pt>
                <c:pt idx="287">
                  <c:v>-35.699999999999974</c:v>
                </c:pt>
                <c:pt idx="288">
                  <c:v>-2.9999999999999716</c:v>
                </c:pt>
                <c:pt idx="289">
                  <c:v>18.10000000000003</c:v>
                </c:pt>
                <c:pt idx="290">
                  <c:v>-17.599999999999973</c:v>
                </c:pt>
                <c:pt idx="291">
                  <c:v>-2.9999999999999734</c:v>
                </c:pt>
                <c:pt idx="292">
                  <c:v>-51.699999999999974</c:v>
                </c:pt>
                <c:pt idx="293">
                  <c:v>-50.999999999999972</c:v>
                </c:pt>
                <c:pt idx="294">
                  <c:v>-2.9999999999999716</c:v>
                </c:pt>
                <c:pt idx="295">
                  <c:v>-18.999999999999972</c:v>
                </c:pt>
                <c:pt idx="296">
                  <c:v>-6.7999999999999723</c:v>
                </c:pt>
                <c:pt idx="297">
                  <c:v>-2.9999999999999725</c:v>
                </c:pt>
                <c:pt idx="298">
                  <c:v>40.10000000000003</c:v>
                </c:pt>
                <c:pt idx="299">
                  <c:v>2.8000000000000327</c:v>
                </c:pt>
                <c:pt idx="300">
                  <c:v>-2.9999999999999671</c:v>
                </c:pt>
                <c:pt idx="301">
                  <c:v>-8.999999999999968</c:v>
                </c:pt>
                <c:pt idx="302">
                  <c:v>-60.899999999999963</c:v>
                </c:pt>
                <c:pt idx="303">
                  <c:v>-2.9999999999999645</c:v>
                </c:pt>
                <c:pt idx="304">
                  <c:v>-40.499999999999964</c:v>
                </c:pt>
                <c:pt idx="305">
                  <c:v>-52.499999999999964</c:v>
                </c:pt>
                <c:pt idx="306">
                  <c:v>-2.9999999999999645</c:v>
                </c:pt>
                <c:pt idx="307">
                  <c:v>-42.499999999999964</c:v>
                </c:pt>
                <c:pt idx="308">
                  <c:v>6.5000000000000355</c:v>
                </c:pt>
                <c:pt idx="309">
                  <c:v>-2.9999999999999645</c:v>
                </c:pt>
                <c:pt idx="310">
                  <c:v>8.1000000000000352</c:v>
                </c:pt>
                <c:pt idx="311">
                  <c:v>-5.6999999999999655</c:v>
                </c:pt>
                <c:pt idx="312">
                  <c:v>-2.9999999999999654</c:v>
                </c:pt>
                <c:pt idx="313">
                  <c:v>-4.9999999999999654</c:v>
                </c:pt>
                <c:pt idx="314">
                  <c:v>36.000000000000036</c:v>
                </c:pt>
                <c:pt idx="315">
                  <c:v>-2.9999999999999645</c:v>
                </c:pt>
                <c:pt idx="316">
                  <c:v>40.500000000000036</c:v>
                </c:pt>
                <c:pt idx="317">
                  <c:v>37.100000000000037</c:v>
                </c:pt>
                <c:pt idx="318">
                  <c:v>-2.9999999999999645</c:v>
                </c:pt>
                <c:pt idx="319">
                  <c:v>-8.5999999999999641</c:v>
                </c:pt>
                <c:pt idx="320">
                  <c:v>63.000000000000028</c:v>
                </c:pt>
                <c:pt idx="321">
                  <c:v>-2.9999999999999716</c:v>
                </c:pt>
                <c:pt idx="322">
                  <c:v>-10.399999999999972</c:v>
                </c:pt>
                <c:pt idx="323">
                  <c:v>21.10000000000003</c:v>
                </c:pt>
                <c:pt idx="324">
                  <c:v>-2.9999999999999716</c:v>
                </c:pt>
                <c:pt idx="325">
                  <c:v>-40.999999999999972</c:v>
                </c:pt>
                <c:pt idx="326">
                  <c:v>-5.599999999999973</c:v>
                </c:pt>
                <c:pt idx="327">
                  <c:v>-2.9999999999999729</c:v>
                </c:pt>
                <c:pt idx="328">
                  <c:v>-21.799999999999972</c:v>
                </c:pt>
                <c:pt idx="329">
                  <c:v>-10.299999999999972</c:v>
                </c:pt>
                <c:pt idx="330">
                  <c:v>-2.9999999999999725</c:v>
                </c:pt>
                <c:pt idx="331">
                  <c:v>24.000000000000028</c:v>
                </c:pt>
                <c:pt idx="332">
                  <c:v>33.10000000000003</c:v>
                </c:pt>
                <c:pt idx="333">
                  <c:v>-2.9999999999999716</c:v>
                </c:pt>
                <c:pt idx="334">
                  <c:v>41.60000000000003</c:v>
                </c:pt>
                <c:pt idx="335">
                  <c:v>36.400000000000027</c:v>
                </c:pt>
                <c:pt idx="336">
                  <c:v>-2.9999999999999716</c:v>
                </c:pt>
                <c:pt idx="337">
                  <c:v>4.0000000000000284</c:v>
                </c:pt>
                <c:pt idx="338">
                  <c:v>37.000000000000028</c:v>
                </c:pt>
                <c:pt idx="339">
                  <c:v>-2.9999999999999716</c:v>
                </c:pt>
                <c:pt idx="340">
                  <c:v>-14.299999999999972</c:v>
                </c:pt>
                <c:pt idx="341">
                  <c:v>-9.099999999999973</c:v>
                </c:pt>
                <c:pt idx="342">
                  <c:v>-2.9999999999999734</c:v>
                </c:pt>
                <c:pt idx="343">
                  <c:v>-18.499999999999972</c:v>
                </c:pt>
                <c:pt idx="344">
                  <c:v>-53.999999999999972</c:v>
                </c:pt>
                <c:pt idx="345">
                  <c:v>-2.9999999999999716</c:v>
                </c:pt>
                <c:pt idx="346">
                  <c:v>-22.299999999999972</c:v>
                </c:pt>
                <c:pt idx="347">
                  <c:v>-6.099999999999973</c:v>
                </c:pt>
                <c:pt idx="348">
                  <c:v>-2.9999999999999729</c:v>
                </c:pt>
                <c:pt idx="349">
                  <c:v>21.000000000000028</c:v>
                </c:pt>
                <c:pt idx="350">
                  <c:v>15.100000000000028</c:v>
                </c:pt>
                <c:pt idx="351">
                  <c:v>-2.9999999999999734</c:v>
                </c:pt>
                <c:pt idx="352">
                  <c:v>25.300000000000026</c:v>
                </c:pt>
                <c:pt idx="353">
                  <c:v>5.1000000000000263</c:v>
                </c:pt>
                <c:pt idx="354">
                  <c:v>-2.9999999999999734</c:v>
                </c:pt>
                <c:pt idx="355">
                  <c:v>-34.499999999999972</c:v>
                </c:pt>
                <c:pt idx="356">
                  <c:v>15.500000000000028</c:v>
                </c:pt>
                <c:pt idx="357">
                  <c:v>-2.9999999999999716</c:v>
                </c:pt>
                <c:pt idx="358">
                  <c:v>16.500000000000028</c:v>
                </c:pt>
                <c:pt idx="359">
                  <c:v>4.4000000000000288</c:v>
                </c:pt>
                <c:pt idx="360">
                  <c:v>-2.9999999999999716</c:v>
                </c:pt>
                <c:pt idx="361">
                  <c:v>-8.3999999999999719</c:v>
                </c:pt>
                <c:pt idx="362">
                  <c:v>7.4000000000000288</c:v>
                </c:pt>
                <c:pt idx="363">
                  <c:v>-2.9999999999999716</c:v>
                </c:pt>
                <c:pt idx="364">
                  <c:v>53.000000000000028</c:v>
                </c:pt>
                <c:pt idx="365">
                  <c:v>35.000000000000028</c:v>
                </c:pt>
                <c:pt idx="366">
                  <c:v>-2.9999999999999716</c:v>
                </c:pt>
                <c:pt idx="367">
                  <c:v>40.000000000000028</c:v>
                </c:pt>
                <c:pt idx="368">
                  <c:v>-0.99999999999997158</c:v>
                </c:pt>
                <c:pt idx="369">
                  <c:v>-2.9999999999999716</c:v>
                </c:pt>
                <c:pt idx="370">
                  <c:v>-16.999999999999972</c:v>
                </c:pt>
                <c:pt idx="371">
                  <c:v>-24.199999999999971</c:v>
                </c:pt>
                <c:pt idx="372">
                  <c:v>-2.9999999999999716</c:v>
                </c:pt>
                <c:pt idx="373">
                  <c:v>-51.39999999999997</c:v>
                </c:pt>
                <c:pt idx="374">
                  <c:v>-17.999999999999972</c:v>
                </c:pt>
                <c:pt idx="375">
                  <c:v>-2.9999999999999716</c:v>
                </c:pt>
                <c:pt idx="376">
                  <c:v>41.900000000000027</c:v>
                </c:pt>
                <c:pt idx="377">
                  <c:v>36.300000000000026</c:v>
                </c:pt>
                <c:pt idx="378">
                  <c:v>-2.9999999999999716</c:v>
                </c:pt>
                <c:pt idx="379">
                  <c:v>14.10000000000003</c:v>
                </c:pt>
                <c:pt idx="380">
                  <c:v>-12.89999999999997</c:v>
                </c:pt>
                <c:pt idx="381">
                  <c:v>-2.9999999999999698</c:v>
                </c:pt>
                <c:pt idx="382">
                  <c:v>-40.999999999999972</c:v>
                </c:pt>
                <c:pt idx="383">
                  <c:v>-35.799999999999969</c:v>
                </c:pt>
                <c:pt idx="384">
                  <c:v>-2.9999999999999716</c:v>
                </c:pt>
                <c:pt idx="385">
                  <c:v>13.500000000000028</c:v>
                </c:pt>
                <c:pt idx="386">
                  <c:v>5.8000000000000282</c:v>
                </c:pt>
                <c:pt idx="387">
                  <c:v>-2.9999999999999725</c:v>
                </c:pt>
                <c:pt idx="388">
                  <c:v>5.7000000000000268</c:v>
                </c:pt>
                <c:pt idx="389">
                  <c:v>17.300000000000026</c:v>
                </c:pt>
                <c:pt idx="390">
                  <c:v>-2.9999999999999751</c:v>
                </c:pt>
                <c:pt idx="391">
                  <c:v>17.700000000000024</c:v>
                </c:pt>
                <c:pt idx="392">
                  <c:v>-25.799999999999976</c:v>
                </c:pt>
                <c:pt idx="393">
                  <c:v>-2.9999999999999751</c:v>
                </c:pt>
                <c:pt idx="394">
                  <c:v>12.300000000000026</c:v>
                </c:pt>
                <c:pt idx="395">
                  <c:v>5.5000000000000258</c:v>
                </c:pt>
                <c:pt idx="396">
                  <c:v>-2.9999999999999742</c:v>
                </c:pt>
                <c:pt idx="397">
                  <c:v>8.6000000000000263</c:v>
                </c:pt>
                <c:pt idx="398">
                  <c:v>28.200000000000028</c:v>
                </c:pt>
                <c:pt idx="399">
                  <c:v>-2.9999999999999716</c:v>
                </c:pt>
                <c:pt idx="400">
                  <c:v>4.2000000000000286</c:v>
                </c:pt>
                <c:pt idx="401">
                  <c:v>-15.799999999999972</c:v>
                </c:pt>
                <c:pt idx="402">
                  <c:v>-3.9999999999999716</c:v>
                </c:pt>
                <c:pt idx="403">
                  <c:v>20.500000000000028</c:v>
                </c:pt>
                <c:pt idx="404">
                  <c:v>15.600000000000028</c:v>
                </c:pt>
                <c:pt idx="405">
                  <c:v>-3.9999999999999734</c:v>
                </c:pt>
                <c:pt idx="406">
                  <c:v>12.900000000000025</c:v>
                </c:pt>
                <c:pt idx="407">
                  <c:v>14.100000000000025</c:v>
                </c:pt>
                <c:pt idx="408">
                  <c:v>-3.9999999999999769</c:v>
                </c:pt>
                <c:pt idx="409">
                  <c:v>-41.499999999999979</c:v>
                </c:pt>
                <c:pt idx="410">
                  <c:v>-15.999999999999979</c:v>
                </c:pt>
                <c:pt idx="411">
                  <c:v>-3.9999999999999787</c:v>
                </c:pt>
                <c:pt idx="412">
                  <c:v>34.500000000000021</c:v>
                </c:pt>
                <c:pt idx="413">
                  <c:v>-3.4999999999999787</c:v>
                </c:pt>
                <c:pt idx="414">
                  <c:v>-3.9999999999999787</c:v>
                </c:pt>
                <c:pt idx="415">
                  <c:v>-50.499999999999979</c:v>
                </c:pt>
                <c:pt idx="416">
                  <c:v>-45.999999999999979</c:v>
                </c:pt>
                <c:pt idx="417">
                  <c:v>-3.9999999999999787</c:v>
                </c:pt>
                <c:pt idx="418">
                  <c:v>9.2000000000000206</c:v>
                </c:pt>
                <c:pt idx="419">
                  <c:v>1.8000000000000203</c:v>
                </c:pt>
                <c:pt idx="420">
                  <c:v>-3.9999999999999796</c:v>
                </c:pt>
                <c:pt idx="421">
                  <c:v>-23.499999999999979</c:v>
                </c:pt>
                <c:pt idx="422">
                  <c:v>-5.699999999999978</c:v>
                </c:pt>
                <c:pt idx="423">
                  <c:v>-3.9999999999999778</c:v>
                </c:pt>
                <c:pt idx="424">
                  <c:v>37.40000000000002</c:v>
                </c:pt>
                <c:pt idx="425">
                  <c:v>11.000000000000021</c:v>
                </c:pt>
                <c:pt idx="426">
                  <c:v>-3.9999999999999787</c:v>
                </c:pt>
                <c:pt idx="427">
                  <c:v>23.100000000000023</c:v>
                </c:pt>
                <c:pt idx="428">
                  <c:v>-27.499999999999979</c:v>
                </c:pt>
                <c:pt idx="429">
                  <c:v>-3.9999999999999787</c:v>
                </c:pt>
                <c:pt idx="430">
                  <c:v>4.5000000000000213</c:v>
                </c:pt>
                <c:pt idx="431">
                  <c:v>30.200000000000021</c:v>
                </c:pt>
                <c:pt idx="432">
                  <c:v>-3.9999999999999822</c:v>
                </c:pt>
                <c:pt idx="433">
                  <c:v>0.80000000000001759</c:v>
                </c:pt>
                <c:pt idx="434">
                  <c:v>-15.999999999999982</c:v>
                </c:pt>
                <c:pt idx="435">
                  <c:v>-3.9999999999999822</c:v>
                </c:pt>
                <c:pt idx="436">
                  <c:v>39.300000000000011</c:v>
                </c:pt>
                <c:pt idx="437">
                  <c:v>31.500000000000011</c:v>
                </c:pt>
                <c:pt idx="438">
                  <c:v>-3.9999999999999893</c:v>
                </c:pt>
                <c:pt idx="439">
                  <c:v>22.000000000000011</c:v>
                </c:pt>
                <c:pt idx="440">
                  <c:v>16.70000000000001</c:v>
                </c:pt>
                <c:pt idx="441">
                  <c:v>-3.9999999999999893</c:v>
                </c:pt>
                <c:pt idx="442">
                  <c:v>7.0000000000000107</c:v>
                </c:pt>
                <c:pt idx="443">
                  <c:v>-25.799999999999986</c:v>
                </c:pt>
                <c:pt idx="444">
                  <c:v>-3.9999999999999858</c:v>
                </c:pt>
                <c:pt idx="445">
                  <c:v>37.000000000000014</c:v>
                </c:pt>
                <c:pt idx="446">
                  <c:v>-8.4999999999999858</c:v>
                </c:pt>
                <c:pt idx="447">
                  <c:v>-3.9999999999999858</c:v>
                </c:pt>
                <c:pt idx="448">
                  <c:v>21.000000000000014</c:v>
                </c:pt>
                <c:pt idx="449">
                  <c:v>-14.499999999999986</c:v>
                </c:pt>
                <c:pt idx="450">
                  <c:v>-3.9999999999999858</c:v>
                </c:pt>
                <c:pt idx="451">
                  <c:v>-23.799999999999986</c:v>
                </c:pt>
                <c:pt idx="452">
                  <c:v>-33.799999999999983</c:v>
                </c:pt>
                <c:pt idx="453">
                  <c:v>-3.9999999999999822</c:v>
                </c:pt>
                <c:pt idx="454">
                  <c:v>33.600000000000023</c:v>
                </c:pt>
                <c:pt idx="455">
                  <c:v>32.500000000000021</c:v>
                </c:pt>
                <c:pt idx="456">
                  <c:v>-3.9999999999999787</c:v>
                </c:pt>
                <c:pt idx="457">
                  <c:v>3.8000000000000211</c:v>
                </c:pt>
                <c:pt idx="458">
                  <c:v>-33.399999999999984</c:v>
                </c:pt>
                <c:pt idx="459">
                  <c:v>-3.9999999999999858</c:v>
                </c:pt>
                <c:pt idx="460">
                  <c:v>64.100000000000009</c:v>
                </c:pt>
                <c:pt idx="461">
                  <c:v>22.800000000000011</c:v>
                </c:pt>
                <c:pt idx="462">
                  <c:v>-3.9999999999999893</c:v>
                </c:pt>
                <c:pt idx="463">
                  <c:v>-5.9999999999999893</c:v>
                </c:pt>
                <c:pt idx="464">
                  <c:v>-22.399999999999988</c:v>
                </c:pt>
                <c:pt idx="465">
                  <c:v>-3.9999999999999893</c:v>
                </c:pt>
                <c:pt idx="466">
                  <c:v>1.2000000000000108</c:v>
                </c:pt>
                <c:pt idx="467">
                  <c:v>-30.499999999999989</c:v>
                </c:pt>
                <c:pt idx="468">
                  <c:v>-3.9999999999999893</c:v>
                </c:pt>
                <c:pt idx="469">
                  <c:v>12.20000000000001</c:v>
                </c:pt>
                <c:pt idx="470">
                  <c:v>7.3000000000000096</c:v>
                </c:pt>
                <c:pt idx="471">
                  <c:v>-3.9999999999999911</c:v>
                </c:pt>
                <c:pt idx="472">
                  <c:v>20.20000000000001</c:v>
                </c:pt>
                <c:pt idx="473">
                  <c:v>5.3000000000000096</c:v>
                </c:pt>
                <c:pt idx="474">
                  <c:v>-3.9999999999999911</c:v>
                </c:pt>
                <c:pt idx="475">
                  <c:v>16.600000000000009</c:v>
                </c:pt>
                <c:pt idx="476">
                  <c:v>-29.099999999999994</c:v>
                </c:pt>
                <c:pt idx="477">
                  <c:v>-3.9999999999999929</c:v>
                </c:pt>
                <c:pt idx="478">
                  <c:v>3.3000000000000069</c:v>
                </c:pt>
                <c:pt idx="479">
                  <c:v>29.500000000000007</c:v>
                </c:pt>
                <c:pt idx="480">
                  <c:v>-3.9999999999999929</c:v>
                </c:pt>
                <c:pt idx="481">
                  <c:v>0.80000000000000693</c:v>
                </c:pt>
                <c:pt idx="482">
                  <c:v>33.500000000000007</c:v>
                </c:pt>
                <c:pt idx="483">
                  <c:v>-3.9999999999999929</c:v>
                </c:pt>
                <c:pt idx="484">
                  <c:v>0.10000000000000675</c:v>
                </c:pt>
                <c:pt idx="485">
                  <c:v>5.4000000000000066</c:v>
                </c:pt>
                <c:pt idx="486">
                  <c:v>-3.9999999999999938</c:v>
                </c:pt>
                <c:pt idx="487">
                  <c:v>-15.999999999999993</c:v>
                </c:pt>
                <c:pt idx="488">
                  <c:v>-5.4999999999999929</c:v>
                </c:pt>
                <c:pt idx="489">
                  <c:v>-4.9999999999999929</c:v>
                </c:pt>
                <c:pt idx="490">
                  <c:v>7.5000000000000071</c:v>
                </c:pt>
                <c:pt idx="491">
                  <c:v>-4.5999999999999925</c:v>
                </c:pt>
                <c:pt idx="492">
                  <c:v>-4.9999999999999929</c:v>
                </c:pt>
                <c:pt idx="493">
                  <c:v>-17.899999999999991</c:v>
                </c:pt>
                <c:pt idx="494">
                  <c:v>-23.099999999999991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-27.79999999999999</c:v>
                </c:pt>
                <c:pt idx="498">
                  <c:v>-4.9999999999999893</c:v>
                </c:pt>
                <c:pt idx="499">
                  <c:v>10.60000000000001</c:v>
                </c:pt>
                <c:pt idx="500">
                  <c:v>-2.1999999999999904</c:v>
                </c:pt>
                <c:pt idx="501">
                  <c:v>-4.9999999999999902</c:v>
                </c:pt>
                <c:pt idx="502">
                  <c:v>-40.999999999999993</c:v>
                </c:pt>
                <c:pt idx="503">
                  <c:v>-4.9999999999999929</c:v>
                </c:pt>
                <c:pt idx="504">
                  <c:v>-4.9999999999999929</c:v>
                </c:pt>
                <c:pt idx="505">
                  <c:v>-34.599999999999994</c:v>
                </c:pt>
                <c:pt idx="506">
                  <c:v>-83.699999999999989</c:v>
                </c:pt>
                <c:pt idx="507">
                  <c:v>-4.9999999999999858</c:v>
                </c:pt>
                <c:pt idx="508">
                  <c:v>1.800000000000014</c:v>
                </c:pt>
                <c:pt idx="509">
                  <c:v>-0.79999999999998606</c:v>
                </c:pt>
                <c:pt idx="510">
                  <c:v>-4.9999999999999858</c:v>
                </c:pt>
                <c:pt idx="511">
                  <c:v>-18.999999999999986</c:v>
                </c:pt>
                <c:pt idx="512">
                  <c:v>-31.499999999999986</c:v>
                </c:pt>
                <c:pt idx="513">
                  <c:v>-4.9999999999999858</c:v>
                </c:pt>
                <c:pt idx="514">
                  <c:v>-14.999999999999986</c:v>
                </c:pt>
                <c:pt idx="515">
                  <c:v>45.500000000000014</c:v>
                </c:pt>
                <c:pt idx="516">
                  <c:v>-4.9999999999999858</c:v>
                </c:pt>
                <c:pt idx="517">
                  <c:v>39.600000000000016</c:v>
                </c:pt>
                <c:pt idx="518">
                  <c:v>10.100000000000016</c:v>
                </c:pt>
                <c:pt idx="519">
                  <c:v>-4.999999999999984</c:v>
                </c:pt>
                <c:pt idx="520">
                  <c:v>-9.6999999999999851</c:v>
                </c:pt>
                <c:pt idx="521">
                  <c:v>8.9000000000000163</c:v>
                </c:pt>
                <c:pt idx="522">
                  <c:v>-4.999999999999984</c:v>
                </c:pt>
                <c:pt idx="523">
                  <c:v>7.500000000000016</c:v>
                </c:pt>
                <c:pt idx="524">
                  <c:v>-6.6999999999999833</c:v>
                </c:pt>
                <c:pt idx="525">
                  <c:v>-4.9999999999999831</c:v>
                </c:pt>
                <c:pt idx="526">
                  <c:v>9.4000000000000163</c:v>
                </c:pt>
                <c:pt idx="527">
                  <c:v>21.700000000000017</c:v>
                </c:pt>
                <c:pt idx="528">
                  <c:v>-4.9999999999999822</c:v>
                </c:pt>
                <c:pt idx="529">
                  <c:v>-18.999999999999982</c:v>
                </c:pt>
                <c:pt idx="530">
                  <c:v>-79.299999999999983</c:v>
                </c:pt>
                <c:pt idx="531">
                  <c:v>-4.9999999999999858</c:v>
                </c:pt>
                <c:pt idx="532">
                  <c:v>2.1000000000000139</c:v>
                </c:pt>
                <c:pt idx="533">
                  <c:v>-5.8999999999999861</c:v>
                </c:pt>
                <c:pt idx="534">
                  <c:v>-4.9999999999999858</c:v>
                </c:pt>
                <c:pt idx="535">
                  <c:v>14.700000000000014</c:v>
                </c:pt>
                <c:pt idx="536">
                  <c:v>-1.1999999999999869</c:v>
                </c:pt>
                <c:pt idx="537">
                  <c:v>-4.9999999999999867</c:v>
                </c:pt>
                <c:pt idx="538">
                  <c:v>18.800000000000015</c:v>
                </c:pt>
                <c:pt idx="539">
                  <c:v>20.500000000000014</c:v>
                </c:pt>
                <c:pt idx="540">
                  <c:v>-4.9999999999999858</c:v>
                </c:pt>
                <c:pt idx="541">
                  <c:v>-1.4999999999999858</c:v>
                </c:pt>
                <c:pt idx="542">
                  <c:v>-10.999999999999986</c:v>
                </c:pt>
                <c:pt idx="543">
                  <c:v>-4.9999999999999858</c:v>
                </c:pt>
                <c:pt idx="544">
                  <c:v>-9.7999999999999865</c:v>
                </c:pt>
                <c:pt idx="545">
                  <c:v>16.000000000000014</c:v>
                </c:pt>
                <c:pt idx="546">
                  <c:v>-4.9999999999999858</c:v>
                </c:pt>
                <c:pt idx="547">
                  <c:v>27.500000000000014</c:v>
                </c:pt>
                <c:pt idx="548">
                  <c:v>6.9000000000000128</c:v>
                </c:pt>
                <c:pt idx="549">
                  <c:v>-4.9999999999999876</c:v>
                </c:pt>
                <c:pt idx="550">
                  <c:v>12.100000000000014</c:v>
                </c:pt>
                <c:pt idx="551">
                  <c:v>12.500000000000014</c:v>
                </c:pt>
                <c:pt idx="552">
                  <c:v>-4.9999999999999858</c:v>
                </c:pt>
                <c:pt idx="553">
                  <c:v>7.3000000000000149</c:v>
                </c:pt>
                <c:pt idx="554">
                  <c:v>18.100000000000016</c:v>
                </c:pt>
                <c:pt idx="555">
                  <c:v>-4.9999999999999858</c:v>
                </c:pt>
                <c:pt idx="556">
                  <c:v>19.300000000000015</c:v>
                </c:pt>
                <c:pt idx="557">
                  <c:v>6.4000000000000146</c:v>
                </c:pt>
                <c:pt idx="558">
                  <c:v>-4.9999999999999858</c:v>
                </c:pt>
                <c:pt idx="559">
                  <c:v>-17.199999999999985</c:v>
                </c:pt>
                <c:pt idx="560">
                  <c:v>-12.299999999999985</c:v>
                </c:pt>
                <c:pt idx="561">
                  <c:v>-4.9999999999999849</c:v>
                </c:pt>
                <c:pt idx="562">
                  <c:v>-6.9999999999999849</c:v>
                </c:pt>
                <c:pt idx="563">
                  <c:v>-0.39999999999998526</c:v>
                </c:pt>
                <c:pt idx="564">
                  <c:v>-4.9999999999999849</c:v>
                </c:pt>
                <c:pt idx="565">
                  <c:v>-45.599999999999987</c:v>
                </c:pt>
                <c:pt idx="566">
                  <c:v>-81.499999999999986</c:v>
                </c:pt>
                <c:pt idx="567">
                  <c:v>-4.9999999999999858</c:v>
                </c:pt>
                <c:pt idx="568">
                  <c:v>16.700000000000014</c:v>
                </c:pt>
                <c:pt idx="569">
                  <c:v>30.800000000000011</c:v>
                </c:pt>
                <c:pt idx="570">
                  <c:v>-4.9999999999999858</c:v>
                </c:pt>
                <c:pt idx="571">
                  <c:v>35.700000000000017</c:v>
                </c:pt>
                <c:pt idx="572">
                  <c:v>-2.7999999999999829</c:v>
                </c:pt>
                <c:pt idx="573">
                  <c:v>-4.9999999999999831</c:v>
                </c:pt>
                <c:pt idx="574">
                  <c:v>3.0000000000000169</c:v>
                </c:pt>
                <c:pt idx="575">
                  <c:v>11.900000000000016</c:v>
                </c:pt>
                <c:pt idx="576">
                  <c:v>-4.9999999999999822</c:v>
                </c:pt>
                <c:pt idx="577">
                  <c:v>2.7000000000000179</c:v>
                </c:pt>
                <c:pt idx="578">
                  <c:v>32.40000000000002</c:v>
                </c:pt>
                <c:pt idx="579">
                  <c:v>-4.9999999999999787</c:v>
                </c:pt>
                <c:pt idx="580">
                  <c:v>-73.999999999999972</c:v>
                </c:pt>
                <c:pt idx="581">
                  <c:v>-94.699999999999974</c:v>
                </c:pt>
                <c:pt idx="582">
                  <c:v>-4.9999999999999716</c:v>
                </c:pt>
                <c:pt idx="583">
                  <c:v>-7.9999999999999716</c:v>
                </c:pt>
                <c:pt idx="584">
                  <c:v>-36.199999999999974</c:v>
                </c:pt>
                <c:pt idx="585">
                  <c:v>-4.9999999999999751</c:v>
                </c:pt>
                <c:pt idx="586">
                  <c:v>-7.5999999999999748</c:v>
                </c:pt>
                <c:pt idx="587">
                  <c:v>-45.199999999999974</c:v>
                </c:pt>
                <c:pt idx="588">
                  <c:v>-4.9999999999999716</c:v>
                </c:pt>
                <c:pt idx="589">
                  <c:v>54.000000000000028</c:v>
                </c:pt>
                <c:pt idx="590">
                  <c:v>16.000000000000028</c:v>
                </c:pt>
                <c:pt idx="591">
                  <c:v>-4.9999999999999716</c:v>
                </c:pt>
                <c:pt idx="592">
                  <c:v>-4.9999999999999716</c:v>
                </c:pt>
                <c:pt idx="593">
                  <c:v>31.000000000000028</c:v>
                </c:pt>
                <c:pt idx="594">
                  <c:v>-4.9999999999999716</c:v>
                </c:pt>
                <c:pt idx="595">
                  <c:v>-25.499999999999972</c:v>
                </c:pt>
                <c:pt idx="596">
                  <c:v>4.400000000000027</c:v>
                </c:pt>
                <c:pt idx="597">
                  <c:v>-4.9999999999999734</c:v>
                </c:pt>
                <c:pt idx="598">
                  <c:v>9.5000000000000266</c:v>
                </c:pt>
                <c:pt idx="599">
                  <c:v>18.400000000000027</c:v>
                </c:pt>
                <c:pt idx="600">
                  <c:v>-4.9999999999999716</c:v>
                </c:pt>
                <c:pt idx="601">
                  <c:v>10.900000000000029</c:v>
                </c:pt>
                <c:pt idx="602">
                  <c:v>34.400000000000027</c:v>
                </c:pt>
                <c:pt idx="603">
                  <c:v>-4.9999999999999716</c:v>
                </c:pt>
                <c:pt idx="604">
                  <c:v>-8.3999999999999719</c:v>
                </c:pt>
                <c:pt idx="605">
                  <c:v>-22.89999999999997</c:v>
                </c:pt>
                <c:pt idx="606">
                  <c:v>-4.9999999999999716</c:v>
                </c:pt>
                <c:pt idx="607">
                  <c:v>-0.59999999999997122</c:v>
                </c:pt>
                <c:pt idx="608">
                  <c:v>-6.399999999999971</c:v>
                </c:pt>
                <c:pt idx="609">
                  <c:v>-4.9999999999999716</c:v>
                </c:pt>
                <c:pt idx="610">
                  <c:v>34.500000000000028</c:v>
                </c:pt>
                <c:pt idx="611">
                  <c:v>-2.1999999999999744</c:v>
                </c:pt>
                <c:pt idx="612">
                  <c:v>-4.9999999999999742</c:v>
                </c:pt>
                <c:pt idx="613">
                  <c:v>56.000000000000028</c:v>
                </c:pt>
                <c:pt idx="614">
                  <c:v>8.5000000000000284</c:v>
                </c:pt>
                <c:pt idx="615">
                  <c:v>-4.9999999999999716</c:v>
                </c:pt>
                <c:pt idx="616">
                  <c:v>6.7000000000000277</c:v>
                </c:pt>
                <c:pt idx="617">
                  <c:v>-16.799999999999972</c:v>
                </c:pt>
                <c:pt idx="618">
                  <c:v>-4.9999999999999716</c:v>
                </c:pt>
                <c:pt idx="619">
                  <c:v>11.10000000000003</c:v>
                </c:pt>
                <c:pt idx="620">
                  <c:v>10.10000000000003</c:v>
                </c:pt>
                <c:pt idx="621">
                  <c:v>-4.9999999999999698</c:v>
                </c:pt>
                <c:pt idx="622">
                  <c:v>52.500000000000028</c:v>
                </c:pt>
                <c:pt idx="623">
                  <c:v>6.7000000000000313</c:v>
                </c:pt>
                <c:pt idx="624">
                  <c:v>-4.999999999999968</c:v>
                </c:pt>
                <c:pt idx="625">
                  <c:v>-17.499999999999968</c:v>
                </c:pt>
                <c:pt idx="626">
                  <c:v>-61.399999999999963</c:v>
                </c:pt>
                <c:pt idx="627">
                  <c:v>-4.9999999999999645</c:v>
                </c:pt>
                <c:pt idx="628">
                  <c:v>-46.999999999999964</c:v>
                </c:pt>
                <c:pt idx="629">
                  <c:v>-49.999999999999964</c:v>
                </c:pt>
                <c:pt idx="630">
                  <c:v>-4.9999999999999645</c:v>
                </c:pt>
                <c:pt idx="631">
                  <c:v>5.7000000000000348</c:v>
                </c:pt>
                <c:pt idx="632">
                  <c:v>1.7000000000000348</c:v>
                </c:pt>
                <c:pt idx="633">
                  <c:v>-4.9999999999999654</c:v>
                </c:pt>
                <c:pt idx="634">
                  <c:v>26.100000000000037</c:v>
                </c:pt>
                <c:pt idx="635">
                  <c:v>-4.2999999999999616</c:v>
                </c:pt>
                <c:pt idx="636">
                  <c:v>-4.9999999999999618</c:v>
                </c:pt>
                <c:pt idx="637">
                  <c:v>5.2000000000000375</c:v>
                </c:pt>
                <c:pt idx="638">
                  <c:v>-15.099999999999962</c:v>
                </c:pt>
                <c:pt idx="639">
                  <c:v>-4.9999999999999627</c:v>
                </c:pt>
                <c:pt idx="640">
                  <c:v>3.300000000000038</c:v>
                </c:pt>
                <c:pt idx="641">
                  <c:v>30.80000000000004</c:v>
                </c:pt>
                <c:pt idx="642">
                  <c:v>-4.9999999999999574</c:v>
                </c:pt>
                <c:pt idx="643">
                  <c:v>-6.8999999999999577</c:v>
                </c:pt>
                <c:pt idx="644">
                  <c:v>-1.1999999999999575</c:v>
                </c:pt>
                <c:pt idx="645">
                  <c:v>-4.9999999999999574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8D-46A6-8A49-8DC8B6816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-14.218009478672986</c:v>
                </c:pt>
                <c:pt idx="1">
                  <c:v>-1.6501650165016502</c:v>
                </c:pt>
                <c:pt idx="2">
                  <c:v>12.411347517730496</c:v>
                </c:pt>
                <c:pt idx="3">
                  <c:v>0</c:v>
                </c:pt>
                <c:pt idx="4">
                  <c:v>2.3148148148148149</c:v>
                </c:pt>
                <c:pt idx="5">
                  <c:v>-8.7719298245614041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5F-491F-AAC6-5F12A18672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だいち!$K$2:$K$191</c:f>
              <c:numCache>
                <c:formatCode>General</c:formatCode>
                <c:ptCount val="1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</c:numCache>
            </c:numRef>
          </c:xVal>
          <c:yVal>
            <c:numRef>
              <c:f>だいち!$L$2:$L$191</c:f>
              <c:numCache>
                <c:formatCode>\+0.0;\-0.0;\±0</c:formatCode>
                <c:ptCount val="190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  <c:pt idx="133">
                  <c:v>689.80000000000018</c:v>
                </c:pt>
                <c:pt idx="134">
                  <c:v>697.60000000000014</c:v>
                </c:pt>
                <c:pt idx="135">
                  <c:v>765.70000000000016</c:v>
                </c:pt>
                <c:pt idx="136">
                  <c:v>770.9000000000002</c:v>
                </c:pt>
                <c:pt idx="137">
                  <c:v>787.10000000000025</c:v>
                </c:pt>
                <c:pt idx="138">
                  <c:v>811.3000000000003</c:v>
                </c:pt>
                <c:pt idx="139">
                  <c:v>831.90000000000032</c:v>
                </c:pt>
                <c:pt idx="140">
                  <c:v>839.20000000000027</c:v>
                </c:pt>
                <c:pt idx="141">
                  <c:v>844.00000000000023</c:v>
                </c:pt>
                <c:pt idx="142">
                  <c:v>848.10000000000025</c:v>
                </c:pt>
                <c:pt idx="143">
                  <c:v>836.10000000000025</c:v>
                </c:pt>
                <c:pt idx="144">
                  <c:v>848.60000000000025</c:v>
                </c:pt>
                <c:pt idx="145">
                  <c:v>835.70000000000027</c:v>
                </c:pt>
                <c:pt idx="146">
                  <c:v>851.3000000000003</c:v>
                </c:pt>
                <c:pt idx="147">
                  <c:v>866.90000000000032</c:v>
                </c:pt>
                <c:pt idx="148">
                  <c:v>830.90000000000032</c:v>
                </c:pt>
                <c:pt idx="149">
                  <c:v>801.3000000000003</c:v>
                </c:pt>
                <c:pt idx="150">
                  <c:v>808.10000000000025</c:v>
                </c:pt>
                <c:pt idx="151">
                  <c:v>794.10000000000025</c:v>
                </c:pt>
                <c:pt idx="152">
                  <c:v>784.10000000000025</c:v>
                </c:pt>
                <c:pt idx="153">
                  <c:v>828.70000000000027</c:v>
                </c:pt>
                <c:pt idx="154">
                  <c:v>824.00000000000023</c:v>
                </c:pt>
                <c:pt idx="155">
                  <c:v>838.4000000000002</c:v>
                </c:pt>
                <c:pt idx="156">
                  <c:v>824.4000000000002</c:v>
                </c:pt>
                <c:pt idx="157">
                  <c:v>831.50000000000023</c:v>
                </c:pt>
                <c:pt idx="158">
                  <c:v>851.20000000000027</c:v>
                </c:pt>
                <c:pt idx="159">
                  <c:v>875.00000000000023</c:v>
                </c:pt>
                <c:pt idx="160">
                  <c:v>870.20000000000027</c:v>
                </c:pt>
                <c:pt idx="161">
                  <c:v>902.70000000000027</c:v>
                </c:pt>
                <c:pt idx="162">
                  <c:v>919.8000000000003</c:v>
                </c:pt>
                <c:pt idx="163">
                  <c:v>932.10000000000025</c:v>
                </c:pt>
                <c:pt idx="164">
                  <c:v>956.4000000000002</c:v>
                </c:pt>
                <c:pt idx="165">
                  <c:v>944.20000000000016</c:v>
                </c:pt>
                <c:pt idx="166">
                  <c:v>942.20000000000016</c:v>
                </c:pt>
                <c:pt idx="167">
                  <c:v>901.60000000000014</c:v>
                </c:pt>
                <c:pt idx="168">
                  <c:v>923.30000000000018</c:v>
                </c:pt>
                <c:pt idx="169">
                  <c:v>964.00000000000023</c:v>
                </c:pt>
                <c:pt idx="170">
                  <c:v>972.00000000000023</c:v>
                </c:pt>
                <c:pt idx="171">
                  <c:v>979.70000000000027</c:v>
                </c:pt>
                <c:pt idx="172">
                  <c:v>910.70000000000027</c:v>
                </c:pt>
                <c:pt idx="173">
                  <c:v>907.70000000000027</c:v>
                </c:pt>
                <c:pt idx="174">
                  <c:v>905.10000000000025</c:v>
                </c:pt>
                <c:pt idx="175">
                  <c:v>964.10000000000025</c:v>
                </c:pt>
                <c:pt idx="176">
                  <c:v>964.10000000000025</c:v>
                </c:pt>
                <c:pt idx="177">
                  <c:v>943.60000000000025</c:v>
                </c:pt>
                <c:pt idx="178">
                  <c:v>940.20000000000027</c:v>
                </c:pt>
                <c:pt idx="179">
                  <c:v>979.70000000000027</c:v>
                </c:pt>
                <c:pt idx="180">
                  <c:v>1040.7000000000003</c:v>
                </c:pt>
                <c:pt idx="181">
                  <c:v>1052.4000000000003</c:v>
                </c:pt>
                <c:pt idx="182">
                  <c:v>1068.5000000000002</c:v>
                </c:pt>
                <c:pt idx="183">
                  <c:v>1126.0000000000002</c:v>
                </c:pt>
                <c:pt idx="184">
                  <c:v>1113.5000000000002</c:v>
                </c:pt>
                <c:pt idx="185">
                  <c:v>1124.2000000000003</c:v>
                </c:pt>
                <c:pt idx="186">
                  <c:v>1155.3000000000002</c:v>
                </c:pt>
                <c:pt idx="187">
                  <c:v>1165.5000000000002</c:v>
                </c:pt>
                <c:pt idx="188">
                  <c:v>1173.8000000000002</c:v>
                </c:pt>
                <c:pt idx="189">
                  <c:v>1171.9000000000001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F4-4912-9587-C73F1E389B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1066.4864864864865</c:v>
                </c:pt>
                <c:pt idx="1">
                  <c:v>588.70056497175142</c:v>
                </c:pt>
                <c:pt idx="2">
                  <c:v>1721.3414634146341</c:v>
                </c:pt>
                <c:pt idx="3">
                  <c:v>1329.9319727891157</c:v>
                </c:pt>
                <c:pt idx="4">
                  <c:v>1898.4126984126983</c:v>
                </c:pt>
                <c:pt idx="5">
                  <c:v>1197.9591836734694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45-4786-BDB0-659A96516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D8-4057-80D4-EB89C41F9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45-4120-AE61-4366D92CC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A5-44A7-AEF9-9209F1AE0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6C-4413-B4D7-C83F6AD6A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りくと!$L$2:$L$113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57-49A6-82DD-9DF7BE0AD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-330.27522935779814</c:v>
                </c:pt>
                <c:pt idx="1">
                  <c:v>-1934.2857142857142</c:v>
                </c:pt>
                <c:pt idx="2">
                  <c:v>2591.1764705882351</c:v>
                </c:pt>
                <c:pt idx="3">
                  <c:v>-1648.3516483516485</c:v>
                </c:pt>
                <c:pt idx="4">
                  <c:v>-3023.6842105263158</c:v>
                </c:pt>
                <c:pt idx="5">
                  <c:v>-2530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0E-4FD2-BC28-A48055B9C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いっしー!$L$2:$L$59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07-43AD-94E6-EBA26689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-577.19298245614038</c:v>
                </c:pt>
                <c:pt idx="1">
                  <c:v>2777.7777777777778</c:v>
                </c:pt>
                <c:pt idx="2">
                  <c:v>-1976.9230769230769</c:v>
                </c:pt>
                <c:pt idx="3">
                  <c:v>-190.69767441860466</c:v>
                </c:pt>
                <c:pt idx="4">
                  <c:v>7697.2972972972975</c:v>
                </c:pt>
                <c:pt idx="5">
                  <c:v>-1200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E6-4A33-9D6C-4B277BD8E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54-4C59-9E52-6195A2DF4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72-45DB-B3A7-3487DA71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たかの!$L$2:$L$56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138.19999999999999</c:v>
                </c:pt>
                <c:pt idx="12">
                  <c:v>99.299999999999983</c:v>
                </c:pt>
                <c:pt idx="13">
                  <c:v>61.299999999999983</c:v>
                </c:pt>
                <c:pt idx="14">
                  <c:v>40.999999999999986</c:v>
                </c:pt>
                <c:pt idx="15">
                  <c:v>32.499999999999986</c:v>
                </c:pt>
                <c:pt idx="16">
                  <c:v>-6.0000000000000142</c:v>
                </c:pt>
                <c:pt idx="17">
                  <c:v>-17.600000000000016</c:v>
                </c:pt>
                <c:pt idx="18">
                  <c:v>-17.300000000000015</c:v>
                </c:pt>
                <c:pt idx="19">
                  <c:v>-2.6000000000000156</c:v>
                </c:pt>
                <c:pt idx="20">
                  <c:v>45.399999999999984</c:v>
                </c:pt>
                <c:pt idx="21">
                  <c:v>3.5999999999999872</c:v>
                </c:pt>
                <c:pt idx="22">
                  <c:v>-1.9000000000000128</c:v>
                </c:pt>
                <c:pt idx="23">
                  <c:v>22.999999999999986</c:v>
                </c:pt>
                <c:pt idx="24">
                  <c:v>9.0999999999999854</c:v>
                </c:pt>
                <c:pt idx="25">
                  <c:v>0.79999999999998472</c:v>
                </c:pt>
                <c:pt idx="26">
                  <c:v>-10.200000000000015</c:v>
                </c:pt>
                <c:pt idx="27">
                  <c:v>-32.100000000000016</c:v>
                </c:pt>
                <c:pt idx="28">
                  <c:v>-26.000000000000014</c:v>
                </c:pt>
                <c:pt idx="29">
                  <c:v>-25.400000000000013</c:v>
                </c:pt>
                <c:pt idx="30">
                  <c:v>14.79999999999999</c:v>
                </c:pt>
                <c:pt idx="31">
                  <c:v>-20.900000000000013</c:v>
                </c:pt>
                <c:pt idx="32">
                  <c:v>-36.900000000000013</c:v>
                </c:pt>
                <c:pt idx="33">
                  <c:v>-42.70000000000001</c:v>
                </c:pt>
                <c:pt idx="34">
                  <c:v>-94.600000000000009</c:v>
                </c:pt>
                <c:pt idx="35">
                  <c:v>-106.60000000000001</c:v>
                </c:pt>
                <c:pt idx="36">
                  <c:v>-73.200000000000017</c:v>
                </c:pt>
                <c:pt idx="37">
                  <c:v>-78.800000000000011</c:v>
                </c:pt>
                <c:pt idx="38">
                  <c:v>-105.80000000000001</c:v>
                </c:pt>
                <c:pt idx="39">
                  <c:v>-100.60000000000001</c:v>
                </c:pt>
                <c:pt idx="40">
                  <c:v>-108.30000000000001</c:v>
                </c:pt>
                <c:pt idx="41">
                  <c:v>-123.30000000000001</c:v>
                </c:pt>
                <c:pt idx="42">
                  <c:v>-173.9</c:v>
                </c:pt>
                <c:pt idx="43">
                  <c:v>-169.1</c:v>
                </c:pt>
                <c:pt idx="44">
                  <c:v>-214.6</c:v>
                </c:pt>
                <c:pt idx="45">
                  <c:v>-215.7</c:v>
                </c:pt>
                <c:pt idx="46">
                  <c:v>-252.89999999999998</c:v>
                </c:pt>
                <c:pt idx="47">
                  <c:v>-294.2</c:v>
                </c:pt>
                <c:pt idx="48">
                  <c:v>-298.39999999999998</c:v>
                </c:pt>
                <c:pt idx="49">
                  <c:v>-358.7</c:v>
                </c:pt>
                <c:pt idx="50">
                  <c:v>-374.59999999999997</c:v>
                </c:pt>
                <c:pt idx="51">
                  <c:v>-368.59999999999997</c:v>
                </c:pt>
                <c:pt idx="52">
                  <c:v>-389.59999999999997</c:v>
                </c:pt>
                <c:pt idx="53">
                  <c:v>-393.59999999999997</c:v>
                </c:pt>
                <c:pt idx="54">
                  <c:v>-423.99999999999994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3E-495C-A160-575DBC228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-2531.4814814814813</c:v>
                </c:pt>
                <c:pt idx="1">
                  <c:v>-3470.5882352941176</c:v>
                </c:pt>
                <c:pt idx="2">
                  <c:v>-1304.5454545454545</c:v>
                </c:pt>
                <c:pt idx="3">
                  <c:v>1559.5238095238096</c:v>
                </c:pt>
                <c:pt idx="4">
                  <c:v>-2739.3939393939395</c:v>
                </c:pt>
                <c:pt idx="5">
                  <c:v>-1037.037037037037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0-4E2D-8778-1CF287427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ただ!$L$2:$L$84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-92.100000000000023</c:v>
                </c:pt>
                <c:pt idx="12">
                  <c:v>-89.100000000000023</c:v>
                </c:pt>
                <c:pt idx="13">
                  <c:v>-73.600000000000023</c:v>
                </c:pt>
                <c:pt idx="14">
                  <c:v>-62.500000000000021</c:v>
                </c:pt>
                <c:pt idx="15">
                  <c:v>-69.700000000000017</c:v>
                </c:pt>
                <c:pt idx="16">
                  <c:v>4.5999999999999801</c:v>
                </c:pt>
                <c:pt idx="17">
                  <c:v>39.59999999999998</c:v>
                </c:pt>
                <c:pt idx="18">
                  <c:v>39.299999999999983</c:v>
                </c:pt>
                <c:pt idx="19">
                  <c:v>103.29999999999998</c:v>
                </c:pt>
                <c:pt idx="20">
                  <c:v>106.39999999999998</c:v>
                </c:pt>
                <c:pt idx="21">
                  <c:v>107.59999999999998</c:v>
                </c:pt>
                <c:pt idx="22">
                  <c:v>110.39999999999998</c:v>
                </c:pt>
                <c:pt idx="23">
                  <c:v>154.99999999999997</c:v>
                </c:pt>
                <c:pt idx="24">
                  <c:v>153.59999999999997</c:v>
                </c:pt>
                <c:pt idx="25">
                  <c:v>113.89999999999996</c:v>
                </c:pt>
                <c:pt idx="26">
                  <c:v>98.099999999999966</c:v>
                </c:pt>
                <c:pt idx="27">
                  <c:v>109.39999999999996</c:v>
                </c:pt>
                <c:pt idx="28">
                  <c:v>65.399999999999963</c:v>
                </c:pt>
                <c:pt idx="29">
                  <c:v>24.399999999999963</c:v>
                </c:pt>
                <c:pt idx="30">
                  <c:v>13.599999999999962</c:v>
                </c:pt>
                <c:pt idx="31">
                  <c:v>29.19999999999996</c:v>
                </c:pt>
                <c:pt idx="32">
                  <c:v>-14.200000000000038</c:v>
                </c:pt>
                <c:pt idx="33">
                  <c:v>-13.500000000000039</c:v>
                </c:pt>
                <c:pt idx="34">
                  <c:v>-1.3000000000000398</c:v>
                </c:pt>
                <c:pt idx="35">
                  <c:v>-38.600000000000037</c:v>
                </c:pt>
                <c:pt idx="36">
                  <c:v>10.399999999999963</c:v>
                </c:pt>
                <c:pt idx="37">
                  <c:v>-3.4000000000000377</c:v>
                </c:pt>
                <c:pt idx="38">
                  <c:v>37.599999999999966</c:v>
                </c:pt>
                <c:pt idx="39">
                  <c:v>34.199999999999967</c:v>
                </c:pt>
                <c:pt idx="40">
                  <c:v>105.79999999999995</c:v>
                </c:pt>
                <c:pt idx="41">
                  <c:v>137.29999999999995</c:v>
                </c:pt>
                <c:pt idx="42">
                  <c:v>172.69999999999996</c:v>
                </c:pt>
                <c:pt idx="43">
                  <c:v>184.19999999999996</c:v>
                </c:pt>
                <c:pt idx="44">
                  <c:v>193.29999999999995</c:v>
                </c:pt>
                <c:pt idx="45">
                  <c:v>144.89999999999995</c:v>
                </c:pt>
                <c:pt idx="46">
                  <c:v>189.79999999999995</c:v>
                </c:pt>
                <c:pt idx="47">
                  <c:v>199.69999999999996</c:v>
                </c:pt>
                <c:pt idx="48">
                  <c:v>179.69999999999996</c:v>
                </c:pt>
                <c:pt idx="49">
                  <c:v>174.79999999999995</c:v>
                </c:pt>
                <c:pt idx="50">
                  <c:v>192.59999999999997</c:v>
                </c:pt>
                <c:pt idx="51">
                  <c:v>166.19999999999996</c:v>
                </c:pt>
                <c:pt idx="52">
                  <c:v>176.69999999999996</c:v>
                </c:pt>
                <c:pt idx="53">
                  <c:v>176.29999999999995</c:v>
                </c:pt>
                <c:pt idx="54">
                  <c:v>194.39999999999995</c:v>
                </c:pt>
                <c:pt idx="55">
                  <c:v>217.19999999999996</c:v>
                </c:pt>
                <c:pt idx="56">
                  <c:v>204.39999999999995</c:v>
                </c:pt>
                <c:pt idx="57">
                  <c:v>240.39999999999995</c:v>
                </c:pt>
                <c:pt idx="58">
                  <c:v>191.29999999999995</c:v>
                </c:pt>
                <c:pt idx="59">
                  <c:v>188.69999999999996</c:v>
                </c:pt>
                <c:pt idx="60">
                  <c:v>201.19999999999996</c:v>
                </c:pt>
                <c:pt idx="61">
                  <c:v>213.49999999999997</c:v>
                </c:pt>
                <c:pt idx="62">
                  <c:v>214.39999999999998</c:v>
                </c:pt>
                <c:pt idx="63">
                  <c:v>210.59999999999997</c:v>
                </c:pt>
                <c:pt idx="64">
                  <c:v>198.69999999999996</c:v>
                </c:pt>
                <c:pt idx="65">
                  <c:v>181.19999999999996</c:v>
                </c:pt>
                <c:pt idx="66">
                  <c:v>188.49999999999997</c:v>
                </c:pt>
                <c:pt idx="67">
                  <c:v>183.89999999999998</c:v>
                </c:pt>
                <c:pt idx="68">
                  <c:v>197.99999999999997</c:v>
                </c:pt>
                <c:pt idx="69">
                  <c:v>159.49999999999997</c:v>
                </c:pt>
                <c:pt idx="70">
                  <c:v>168.39999999999998</c:v>
                </c:pt>
                <c:pt idx="71">
                  <c:v>198.09999999999997</c:v>
                </c:pt>
                <c:pt idx="72">
                  <c:v>177.39999999999998</c:v>
                </c:pt>
                <c:pt idx="73">
                  <c:v>139.39999999999998</c:v>
                </c:pt>
                <c:pt idx="74">
                  <c:v>175.39999999999998</c:v>
                </c:pt>
                <c:pt idx="75">
                  <c:v>205.29999999999998</c:v>
                </c:pt>
                <c:pt idx="76">
                  <c:v>228.79999999999998</c:v>
                </c:pt>
                <c:pt idx="77">
                  <c:v>222.99999999999997</c:v>
                </c:pt>
                <c:pt idx="78">
                  <c:v>219.99999999999997</c:v>
                </c:pt>
                <c:pt idx="79">
                  <c:v>213.29999999999998</c:v>
                </c:pt>
                <c:pt idx="80">
                  <c:v>192.99999999999997</c:v>
                </c:pt>
                <c:pt idx="81">
                  <c:v>220.49999999999997</c:v>
                </c:pt>
                <c:pt idx="82">
                  <c:v>226.19999999999996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94-44B7-A0B8-3D9B0FB92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2878.75</c:v>
                </c:pt>
                <c:pt idx="1">
                  <c:v>374.66666666666669</c:v>
                </c:pt>
                <c:pt idx="2">
                  <c:v>-286.95652173913044</c:v>
                </c:pt>
                <c:pt idx="3">
                  <c:v>-990.625</c:v>
                </c:pt>
                <c:pt idx="4">
                  <c:v>-151.85185185185185</c:v>
                </c:pt>
                <c:pt idx="5">
                  <c:v>393.61702127659572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5C-4598-945F-38FE8E302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やがさき!$L$2:$L$25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A9-47BC-AD7F-88E8D8C9C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313.04347826086956</c:v>
                </c:pt>
                <c:pt idx="1">
                  <c:v>4776.1904761904761</c:v>
                </c:pt>
                <c:pt idx="2">
                  <c:v>-4255.5555555555557</c:v>
                </c:pt>
                <c:pt idx="3">
                  <c:v>2970.5882352941176</c:v>
                </c:pt>
                <c:pt idx="4">
                  <c:v>-950</c:v>
                </c:pt>
                <c:pt idx="5">
                  <c:v>-1191.6666666666667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0E-4DA8-B658-FAD1B88EE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れんたろう!$L$2:$L$88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FE-4FBF-80BD-BAC91EB98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-1304.8780487804879</c:v>
                </c:pt>
                <c:pt idx="1">
                  <c:v>96.296296296296291</c:v>
                </c:pt>
                <c:pt idx="2">
                  <c:v>-1503.8961038961038</c:v>
                </c:pt>
                <c:pt idx="3">
                  <c:v>-678.57142857142856</c:v>
                </c:pt>
                <c:pt idx="4">
                  <c:v>-1887.5</c:v>
                </c:pt>
                <c:pt idx="5">
                  <c:v>2281.6326530612246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C4-40CE-A351-1044ED01F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85-4B03-A5E4-372CC9867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7-4051-BBD4-77A407747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22-43CF-B3A0-A46B33DDE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-4016</c:v>
                </c:pt>
                <c:pt idx="1">
                  <c:v>1972</c:v>
                </c:pt>
                <c:pt idx="2">
                  <c:v>-2850</c:v>
                </c:pt>
                <c:pt idx="3">
                  <c:v>-2175</c:v>
                </c:pt>
                <c:pt idx="4">
                  <c:v>-3331.5789473684213</c:v>
                </c:pt>
                <c:pt idx="5">
                  <c:v>-1293.3333333333333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38-4019-AE56-6BEF09319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まっつん2!$B$3:$B$28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まっつん2!$C$3:$C$28</c:f>
              <c:numCache>
                <c:formatCode>\+0.0;\-0.0;\±0</c:formatCode>
                <c:ptCount val="26"/>
                <c:pt idx="1">
                  <c:v>15</c:v>
                </c:pt>
                <c:pt idx="2">
                  <c:v>-12.149999999999999</c:v>
                </c:pt>
                <c:pt idx="3">
                  <c:v>-5.1999999999999993</c:v>
                </c:pt>
                <c:pt idx="4">
                  <c:v>1.2750000000000004</c:v>
                </c:pt>
                <c:pt idx="5">
                  <c:v>1.9200000000000004</c:v>
                </c:pt>
                <c:pt idx="6">
                  <c:v>0.36666666666666686</c:v>
                </c:pt>
                <c:pt idx="7">
                  <c:v>3.8857142857142861</c:v>
                </c:pt>
                <c:pt idx="8">
                  <c:v>-0.56249999999999956</c:v>
                </c:pt>
                <c:pt idx="9">
                  <c:v>-1.0444444444444441</c:v>
                </c:pt>
                <c:pt idx="10">
                  <c:v>-2.4299999999999997</c:v>
                </c:pt>
                <c:pt idx="11">
                  <c:v>-6.3636363636363633</c:v>
                </c:pt>
                <c:pt idx="12">
                  <c:v>-3.65</c:v>
                </c:pt>
                <c:pt idx="13">
                  <c:v>-0.85384615384615337</c:v>
                </c:pt>
                <c:pt idx="14">
                  <c:v>-0.41428571428571387</c:v>
                </c:pt>
                <c:pt idx="15">
                  <c:v>-2.9466666666666663</c:v>
                </c:pt>
                <c:pt idx="16">
                  <c:v>-1.5999999999999996</c:v>
                </c:pt>
                <c:pt idx="17">
                  <c:v>-2.341176470588235</c:v>
                </c:pt>
                <c:pt idx="18">
                  <c:v>-3.3555555555555556</c:v>
                </c:pt>
                <c:pt idx="19">
                  <c:v>-3.1578947368421053</c:v>
                </c:pt>
                <c:pt idx="20">
                  <c:v>-4.41</c:v>
                </c:pt>
                <c:pt idx="21">
                  <c:v>-5.9904761904761914</c:v>
                </c:pt>
                <c:pt idx="22">
                  <c:v>-6.786363636363637</c:v>
                </c:pt>
                <c:pt idx="23">
                  <c:v>-6.5347826086956529</c:v>
                </c:pt>
                <c:pt idx="24">
                  <c:v>-8.1708333333333343</c:v>
                </c:pt>
                <c:pt idx="25">
                  <c:v>-9.6000000000000014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まっつん2!$D$3:$D$28</c:f>
              <c:numCache>
                <c:formatCode>0.00\ "位"</c:formatCode>
                <c:ptCount val="26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2.1176470588235294</c:v>
                </c:pt>
                <c:pt idx="18">
                  <c:v>2.1666666666666665</c:v>
                </c:pt>
                <c:pt idx="19">
                  <c:v>2.1578947368421053</c:v>
                </c:pt>
                <c:pt idx="20">
                  <c:v>2.2000000000000002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2.2916666666666665</c:v>
                </c:pt>
                <c:pt idx="25">
                  <c:v>2.3199999999999998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まっつん2!$E$3:$E$28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まっつん2!$F$3:$F$28</c:f>
              <c:numCache>
                <c:formatCode>0.0%</c:formatCode>
                <c:ptCount val="26"/>
                <c:pt idx="1">
                  <c:v>0.2857142857142857</c:v>
                </c:pt>
                <c:pt idx="2">
                  <c:v>0.14285714285714285</c:v>
                </c:pt>
                <c:pt idx="3">
                  <c:v>0.25</c:v>
                </c:pt>
                <c:pt idx="4">
                  <c:v>0.27586206896551724</c:v>
                </c:pt>
                <c:pt idx="5">
                  <c:v>0.27272727272727271</c:v>
                </c:pt>
                <c:pt idx="6">
                  <c:v>0.20930232558139536</c:v>
                </c:pt>
                <c:pt idx="7">
                  <c:v>0.22916666666666666</c:v>
                </c:pt>
                <c:pt idx="8">
                  <c:v>0.21052631578947367</c:v>
                </c:pt>
                <c:pt idx="9">
                  <c:v>0.22727272727272727</c:v>
                </c:pt>
                <c:pt idx="10">
                  <c:v>0.23076923076923078</c:v>
                </c:pt>
                <c:pt idx="11">
                  <c:v>0.21176470588235294</c:v>
                </c:pt>
                <c:pt idx="12">
                  <c:v>0.23404255319148937</c:v>
                </c:pt>
                <c:pt idx="13">
                  <c:v>0.25714285714285712</c:v>
                </c:pt>
                <c:pt idx="14">
                  <c:v>0.25438596491228072</c:v>
                </c:pt>
                <c:pt idx="15">
                  <c:v>0.24576271186440679</c:v>
                </c:pt>
                <c:pt idx="16">
                  <c:v>0.26400000000000001</c:v>
                </c:pt>
                <c:pt idx="17">
                  <c:v>0.26119402985074625</c:v>
                </c:pt>
                <c:pt idx="18">
                  <c:v>0.25874125874125875</c:v>
                </c:pt>
                <c:pt idx="19">
                  <c:v>0.26490066225165565</c:v>
                </c:pt>
                <c:pt idx="20">
                  <c:v>0.25308641975308643</c:v>
                </c:pt>
                <c:pt idx="21">
                  <c:v>0.24260355029585798</c:v>
                </c:pt>
                <c:pt idx="22">
                  <c:v>0.23728813559322035</c:v>
                </c:pt>
                <c:pt idx="23">
                  <c:v>0.23243243243243245</c:v>
                </c:pt>
                <c:pt idx="24">
                  <c:v>0.23036649214659685</c:v>
                </c:pt>
                <c:pt idx="25">
                  <c:v>0.22448979591836735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まっつん2!$G$3:$G$28</c:f>
              <c:numCache>
                <c:formatCode>0.0%</c:formatCode>
                <c:ptCount val="26"/>
                <c:pt idx="1">
                  <c:v>0</c:v>
                </c:pt>
                <c:pt idx="2">
                  <c:v>0.21428571428571427</c:v>
                </c:pt>
                <c:pt idx="3">
                  <c:v>0.20833333333333334</c:v>
                </c:pt>
                <c:pt idx="4">
                  <c:v>0.20689655172413793</c:v>
                </c:pt>
                <c:pt idx="5">
                  <c:v>0.18181818181818182</c:v>
                </c:pt>
                <c:pt idx="6">
                  <c:v>0.16279069767441862</c:v>
                </c:pt>
                <c:pt idx="7">
                  <c:v>0.14583333333333334</c:v>
                </c:pt>
                <c:pt idx="8">
                  <c:v>0.17543859649122806</c:v>
                </c:pt>
                <c:pt idx="9">
                  <c:v>0.16666666666666666</c:v>
                </c:pt>
                <c:pt idx="10">
                  <c:v>0.15384615384615385</c:v>
                </c:pt>
                <c:pt idx="11">
                  <c:v>0.17647058823529413</c:v>
                </c:pt>
                <c:pt idx="12">
                  <c:v>0.15957446808510639</c:v>
                </c:pt>
                <c:pt idx="13">
                  <c:v>0.16190476190476191</c:v>
                </c:pt>
                <c:pt idx="14">
                  <c:v>0.16666666666666666</c:v>
                </c:pt>
                <c:pt idx="15">
                  <c:v>0.17796610169491525</c:v>
                </c:pt>
                <c:pt idx="16">
                  <c:v>0.192</c:v>
                </c:pt>
                <c:pt idx="17">
                  <c:v>0.17910447761194029</c:v>
                </c:pt>
                <c:pt idx="18">
                  <c:v>0.16783216783216784</c:v>
                </c:pt>
                <c:pt idx="19">
                  <c:v>0.17218543046357615</c:v>
                </c:pt>
                <c:pt idx="20">
                  <c:v>0.1728395061728395</c:v>
                </c:pt>
                <c:pt idx="21">
                  <c:v>0.17751479289940827</c:v>
                </c:pt>
                <c:pt idx="22">
                  <c:v>0.1751412429378531</c:v>
                </c:pt>
                <c:pt idx="23">
                  <c:v>0.16756756756756758</c:v>
                </c:pt>
                <c:pt idx="24">
                  <c:v>0.16753926701570682</c:v>
                </c:pt>
                <c:pt idx="25">
                  <c:v>0.17346938775510204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まっつん2!$H$3:$H$28</c:f>
              <c:numCache>
                <c:formatCode>0</c:formatCode>
                <c:ptCount val="26"/>
                <c:pt idx="1">
                  <c:v>13000</c:v>
                </c:pt>
                <c:pt idx="2">
                  <c:v>13000</c:v>
                </c:pt>
                <c:pt idx="3">
                  <c:v>9650</c:v>
                </c:pt>
                <c:pt idx="4">
                  <c:v>10237.5</c:v>
                </c:pt>
                <c:pt idx="5">
                  <c:v>9988.8888888888887</c:v>
                </c:pt>
                <c:pt idx="6">
                  <c:v>9988.8888888888887</c:v>
                </c:pt>
                <c:pt idx="7">
                  <c:v>10354.545454545454</c:v>
                </c:pt>
                <c:pt idx="8">
                  <c:v>10158.333333333334</c:v>
                </c:pt>
                <c:pt idx="9">
                  <c:v>9073.3333333333339</c:v>
                </c:pt>
                <c:pt idx="10">
                  <c:v>8566.6666666666661</c:v>
                </c:pt>
                <c:pt idx="11">
                  <c:v>8566.6666666666661</c:v>
                </c:pt>
                <c:pt idx="12">
                  <c:v>8427.2727272727279</c:v>
                </c:pt>
                <c:pt idx="13">
                  <c:v>9088.8888888888887</c:v>
                </c:pt>
                <c:pt idx="14">
                  <c:v>9703.4482758620688</c:v>
                </c:pt>
                <c:pt idx="15">
                  <c:v>9703.4482758620688</c:v>
                </c:pt>
                <c:pt idx="16">
                  <c:v>10090.90909090909</c:v>
                </c:pt>
                <c:pt idx="17">
                  <c:v>10022.857142857143</c:v>
                </c:pt>
                <c:pt idx="18">
                  <c:v>9729.72972972973</c:v>
                </c:pt>
                <c:pt idx="19">
                  <c:v>9597.5</c:v>
                </c:pt>
                <c:pt idx="20">
                  <c:v>9509.7560975609758</c:v>
                </c:pt>
                <c:pt idx="21">
                  <c:v>9509.7560975609758</c:v>
                </c:pt>
                <c:pt idx="22">
                  <c:v>9473.8095238095229</c:v>
                </c:pt>
                <c:pt idx="23">
                  <c:v>9532.5581395348836</c:v>
                </c:pt>
                <c:pt idx="24">
                  <c:v>9343.181818181818</c:v>
                </c:pt>
                <c:pt idx="25">
                  <c:v>9343.181818181818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まっつん2!$I$3:$I$28</c:f>
              <c:numCache>
                <c:formatCode>0</c:formatCode>
                <c:ptCount val="26"/>
                <c:pt idx="1">
                  <c:v>0</c:v>
                </c:pt>
                <c:pt idx="2">
                  <c:v>-8000</c:v>
                </c:pt>
                <c:pt idx="3">
                  <c:v>-7940</c:v>
                </c:pt>
                <c:pt idx="4">
                  <c:v>-7416.666666666667</c:v>
                </c:pt>
                <c:pt idx="5">
                  <c:v>-7416.666666666667</c:v>
                </c:pt>
                <c:pt idx="6">
                  <c:v>-6914.2857142857147</c:v>
                </c:pt>
                <c:pt idx="7">
                  <c:v>-6914.2857142857147</c:v>
                </c:pt>
                <c:pt idx="8">
                  <c:v>-6560</c:v>
                </c:pt>
                <c:pt idx="9">
                  <c:v>-6200</c:v>
                </c:pt>
                <c:pt idx="10">
                  <c:v>-6350</c:v>
                </c:pt>
                <c:pt idx="11">
                  <c:v>-7726.666666666667</c:v>
                </c:pt>
                <c:pt idx="12">
                  <c:v>-7726.666666666667</c:v>
                </c:pt>
                <c:pt idx="13">
                  <c:v>-7364.7058823529414</c:v>
                </c:pt>
                <c:pt idx="14">
                  <c:v>-7494.7368421052633</c:v>
                </c:pt>
                <c:pt idx="15">
                  <c:v>-8109.5238095238092</c:v>
                </c:pt>
                <c:pt idx="16">
                  <c:v>-8429.1666666666661</c:v>
                </c:pt>
                <c:pt idx="17">
                  <c:v>-8429.1666666666661</c:v>
                </c:pt>
                <c:pt idx="18">
                  <c:v>-8429.1666666666661</c:v>
                </c:pt>
                <c:pt idx="19">
                  <c:v>-8165.3846153846152</c:v>
                </c:pt>
                <c:pt idx="20">
                  <c:v>-7839.2857142857147</c:v>
                </c:pt>
                <c:pt idx="21">
                  <c:v>-7703.333333333333</c:v>
                </c:pt>
                <c:pt idx="22">
                  <c:v>-7712.9032258064517</c:v>
                </c:pt>
                <c:pt idx="23">
                  <c:v>-7712.9032258064517</c:v>
                </c:pt>
                <c:pt idx="24">
                  <c:v>-8221.875</c:v>
                </c:pt>
                <c:pt idx="25">
                  <c:v>-8441.176470588236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まっつん2!$J$3:$J$28</c:f>
              <c:numCache>
                <c:formatCode>0.0%</c:formatCode>
                <c:ptCount val="2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まっつん2!$K$3:$K$28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まっつん2!$L$3:$L$28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4.1666666666666664E-2</c:v>
                </c:pt>
                <c:pt idx="4">
                  <c:v>6.8965517241379309E-2</c:v>
                </c:pt>
                <c:pt idx="5">
                  <c:v>6.0606060606060608E-2</c:v>
                </c:pt>
                <c:pt idx="6">
                  <c:v>6.9767441860465115E-2</c:v>
                </c:pt>
                <c:pt idx="7">
                  <c:v>6.25E-2</c:v>
                </c:pt>
                <c:pt idx="8">
                  <c:v>7.0175438596491224E-2</c:v>
                </c:pt>
                <c:pt idx="9">
                  <c:v>7.575757575757576E-2</c:v>
                </c:pt>
                <c:pt idx="10">
                  <c:v>0.10256410256410256</c:v>
                </c:pt>
                <c:pt idx="11">
                  <c:v>9.4117647058823528E-2</c:v>
                </c:pt>
                <c:pt idx="12">
                  <c:v>0.11702127659574468</c:v>
                </c:pt>
                <c:pt idx="13">
                  <c:v>0.16190476190476191</c:v>
                </c:pt>
                <c:pt idx="14">
                  <c:v>0.17543859649122806</c:v>
                </c:pt>
                <c:pt idx="15">
                  <c:v>0.1864406779661017</c:v>
                </c:pt>
                <c:pt idx="16">
                  <c:v>0.2</c:v>
                </c:pt>
                <c:pt idx="17">
                  <c:v>0.19402985074626866</c:v>
                </c:pt>
                <c:pt idx="18">
                  <c:v>0.18181818181818182</c:v>
                </c:pt>
                <c:pt idx="19">
                  <c:v>0.17880794701986755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0.15819209039548024</c:v>
                </c:pt>
                <c:pt idx="23">
                  <c:v>0.15135135135135136</c:v>
                </c:pt>
                <c:pt idx="24">
                  <c:v>0.15183246073298429</c:v>
                </c:pt>
                <c:pt idx="25">
                  <c:v>0.15306122448979592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まっつん2!$M$3:$M$28</c:f>
              <c:numCache>
                <c:formatCode>0.0%</c:formatCode>
                <c:ptCount val="26"/>
                <c:pt idx="1">
                  <c:v>0.8571428571428571</c:v>
                </c:pt>
                <c:pt idx="2">
                  <c:v>0.5</c:v>
                </c:pt>
                <c:pt idx="3">
                  <c:v>0.54166666666666663</c:v>
                </c:pt>
                <c:pt idx="4">
                  <c:v>0.51724137931034486</c:v>
                </c:pt>
                <c:pt idx="5">
                  <c:v>0.48484848484848486</c:v>
                </c:pt>
                <c:pt idx="6">
                  <c:v>0.48837209302325579</c:v>
                </c:pt>
                <c:pt idx="7">
                  <c:v>0.47916666666666669</c:v>
                </c:pt>
                <c:pt idx="8">
                  <c:v>0.43859649122807015</c:v>
                </c:pt>
                <c:pt idx="9">
                  <c:v>0.46969696969696972</c:v>
                </c:pt>
                <c:pt idx="10">
                  <c:v>0.47435897435897434</c:v>
                </c:pt>
                <c:pt idx="11">
                  <c:v>0.47058823529411764</c:v>
                </c:pt>
                <c:pt idx="12">
                  <c:v>0.43617021276595747</c:v>
                </c:pt>
                <c:pt idx="13">
                  <c:v>0.40952380952380951</c:v>
                </c:pt>
                <c:pt idx="14">
                  <c:v>0.41228070175438597</c:v>
                </c:pt>
                <c:pt idx="15">
                  <c:v>0.39830508474576271</c:v>
                </c:pt>
                <c:pt idx="16">
                  <c:v>0.39200000000000002</c:v>
                </c:pt>
                <c:pt idx="17">
                  <c:v>0.38059701492537312</c:v>
                </c:pt>
                <c:pt idx="18">
                  <c:v>0.3776223776223776</c:v>
                </c:pt>
                <c:pt idx="19">
                  <c:v>0.38410596026490068</c:v>
                </c:pt>
                <c:pt idx="20">
                  <c:v>0.3888888888888889</c:v>
                </c:pt>
                <c:pt idx="21">
                  <c:v>0.38461538461538464</c:v>
                </c:pt>
                <c:pt idx="22">
                  <c:v>0.38983050847457629</c:v>
                </c:pt>
                <c:pt idx="23">
                  <c:v>0.38918918918918921</c:v>
                </c:pt>
                <c:pt idx="24">
                  <c:v>0.39267015706806285</c:v>
                </c:pt>
                <c:pt idx="25">
                  <c:v>0.38775510204081631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まっつん2!$N$3:$N$28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0.25</c:v>
                </c:pt>
                <c:pt idx="9">
                  <c:v>0.4</c:v>
                </c:pt>
                <c:pt idx="10">
                  <c:v>0.5</c:v>
                </c:pt>
                <c:pt idx="11">
                  <c:v>0.5</c:v>
                </c:pt>
                <c:pt idx="12">
                  <c:v>0.54545454545454541</c:v>
                </c:pt>
                <c:pt idx="13">
                  <c:v>0.58823529411764708</c:v>
                </c:pt>
                <c:pt idx="14">
                  <c:v>0.6</c:v>
                </c:pt>
                <c:pt idx="15">
                  <c:v>0.54545454545454541</c:v>
                </c:pt>
                <c:pt idx="16">
                  <c:v>0.56000000000000005</c:v>
                </c:pt>
                <c:pt idx="17">
                  <c:v>0.53846153846153844</c:v>
                </c:pt>
                <c:pt idx="18">
                  <c:v>0.53846153846153844</c:v>
                </c:pt>
                <c:pt idx="19">
                  <c:v>0.51851851851851849</c:v>
                </c:pt>
                <c:pt idx="20">
                  <c:v>0.51851851851851849</c:v>
                </c:pt>
                <c:pt idx="21">
                  <c:v>0.51851851851851849</c:v>
                </c:pt>
                <c:pt idx="22">
                  <c:v>0.5</c:v>
                </c:pt>
                <c:pt idx="23">
                  <c:v>0.5</c:v>
                </c:pt>
                <c:pt idx="24">
                  <c:v>0.48275862068965519</c:v>
                </c:pt>
                <c:pt idx="25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まっつん2!$O$3:$O$28</c:f>
              <c:numCache>
                <c:formatCode>0.0%</c:formatCode>
                <c:ptCount val="26"/>
                <c:pt idx="1">
                  <c:v>0.33333333333333331</c:v>
                </c:pt>
                <c:pt idx="2">
                  <c:v>0.2857142857142857</c:v>
                </c:pt>
                <c:pt idx="3">
                  <c:v>0.46153846153846156</c:v>
                </c:pt>
                <c:pt idx="4">
                  <c:v>0.46666666666666667</c:v>
                </c:pt>
                <c:pt idx="5">
                  <c:v>0.5</c:v>
                </c:pt>
                <c:pt idx="6">
                  <c:v>0.38095238095238093</c:v>
                </c:pt>
                <c:pt idx="7">
                  <c:v>0.43478260869565216</c:v>
                </c:pt>
                <c:pt idx="8">
                  <c:v>0.4</c:v>
                </c:pt>
                <c:pt idx="9">
                  <c:v>0.38709677419354838</c:v>
                </c:pt>
                <c:pt idx="10">
                  <c:v>0.32432432432432434</c:v>
                </c:pt>
                <c:pt idx="11">
                  <c:v>0.3</c:v>
                </c:pt>
                <c:pt idx="12">
                  <c:v>0.31707317073170732</c:v>
                </c:pt>
                <c:pt idx="13">
                  <c:v>0.32558139534883723</c:v>
                </c:pt>
                <c:pt idx="14">
                  <c:v>0.2978723404255319</c:v>
                </c:pt>
                <c:pt idx="15">
                  <c:v>0.2978723404255319</c:v>
                </c:pt>
                <c:pt idx="16">
                  <c:v>0.30612244897959184</c:v>
                </c:pt>
                <c:pt idx="17">
                  <c:v>0.33333333333333331</c:v>
                </c:pt>
                <c:pt idx="18">
                  <c:v>0.33333333333333331</c:v>
                </c:pt>
                <c:pt idx="19">
                  <c:v>0.36206896551724138</c:v>
                </c:pt>
                <c:pt idx="20">
                  <c:v>0.33333333333333331</c:v>
                </c:pt>
                <c:pt idx="21">
                  <c:v>0.32307692307692309</c:v>
                </c:pt>
                <c:pt idx="22">
                  <c:v>0.3188405797101449</c:v>
                </c:pt>
                <c:pt idx="23">
                  <c:v>0.31944444444444442</c:v>
                </c:pt>
                <c:pt idx="24">
                  <c:v>0.32</c:v>
                </c:pt>
                <c:pt idx="25">
                  <c:v>0.31578947368421051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まっつん2!$P$3:$P$28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9.0909090909090912E-2</c:v>
                </c:pt>
                <c:pt idx="8">
                  <c:v>8.3333333333333329E-2</c:v>
                </c:pt>
                <c:pt idx="9">
                  <c:v>6.6666666666666666E-2</c:v>
                </c:pt>
                <c:pt idx="10">
                  <c:v>0.16666666666666666</c:v>
                </c:pt>
                <c:pt idx="11">
                  <c:v>0.16666666666666666</c:v>
                </c:pt>
                <c:pt idx="12">
                  <c:v>0.18181818181818182</c:v>
                </c:pt>
                <c:pt idx="13">
                  <c:v>0.22222222222222221</c:v>
                </c:pt>
                <c:pt idx="14">
                  <c:v>0.2413793103448276</c:v>
                </c:pt>
                <c:pt idx="15">
                  <c:v>0.2413793103448276</c:v>
                </c:pt>
                <c:pt idx="16">
                  <c:v>0.24242424242424243</c:v>
                </c:pt>
                <c:pt idx="17">
                  <c:v>0.25714285714285712</c:v>
                </c:pt>
                <c:pt idx="18">
                  <c:v>0.29729729729729731</c:v>
                </c:pt>
                <c:pt idx="19">
                  <c:v>0.27500000000000002</c:v>
                </c:pt>
                <c:pt idx="20">
                  <c:v>0.29268292682926828</c:v>
                </c:pt>
                <c:pt idx="21">
                  <c:v>0.29268292682926828</c:v>
                </c:pt>
                <c:pt idx="22">
                  <c:v>0.2857142857142857</c:v>
                </c:pt>
                <c:pt idx="23">
                  <c:v>0.27906976744186046</c:v>
                </c:pt>
                <c:pt idx="24">
                  <c:v>0.29545454545454547</c:v>
                </c:pt>
                <c:pt idx="25">
                  <c:v>0.29545454545454547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親アガリ率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まっつん2!$Q$3:$Q$28</c:f>
              <c:numCache>
                <c:formatCode>0.0%</c:formatCode>
                <c:ptCount val="26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0.16666666666666666</c:v>
                </c:pt>
                <c:pt idx="5">
                  <c:v>0.14285714285714285</c:v>
                </c:pt>
                <c:pt idx="6">
                  <c:v>0.1</c:v>
                </c:pt>
                <c:pt idx="7">
                  <c:v>0.18181818181818182</c:v>
                </c:pt>
                <c:pt idx="8">
                  <c:v>0.15384615384615385</c:v>
                </c:pt>
                <c:pt idx="9">
                  <c:v>0.1875</c:v>
                </c:pt>
                <c:pt idx="10">
                  <c:v>0.15</c:v>
                </c:pt>
                <c:pt idx="11">
                  <c:v>0.13636363636363635</c:v>
                </c:pt>
                <c:pt idx="12">
                  <c:v>0.15384615384615385</c:v>
                </c:pt>
                <c:pt idx="13">
                  <c:v>0.22580645161290322</c:v>
                </c:pt>
                <c:pt idx="14">
                  <c:v>0.25714285714285712</c:v>
                </c:pt>
                <c:pt idx="15">
                  <c:v>0.25714285714285712</c:v>
                </c:pt>
                <c:pt idx="16">
                  <c:v>0.27027027027027029</c:v>
                </c:pt>
                <c:pt idx="17">
                  <c:v>0.27500000000000002</c:v>
                </c:pt>
                <c:pt idx="18">
                  <c:v>0.26190476190476192</c:v>
                </c:pt>
                <c:pt idx="19">
                  <c:v>0.26666666666666666</c:v>
                </c:pt>
                <c:pt idx="20">
                  <c:v>0.27083333333333331</c:v>
                </c:pt>
                <c:pt idx="21">
                  <c:v>0.26</c:v>
                </c:pt>
                <c:pt idx="22">
                  <c:v>0.24528301886792453</c:v>
                </c:pt>
                <c:pt idx="23">
                  <c:v>0.23636363636363636</c:v>
                </c:pt>
                <c:pt idx="24">
                  <c:v>0.23214285714285715</c:v>
                </c:pt>
                <c:pt idx="25">
                  <c:v>0.22807017543859648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F514817-0396-4DBE-B9BA-2646D089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A051D85-1B85-4842-A9C2-0BB22C8EBB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6EC7452-2FD6-4E95-97FC-6100C55BD5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6A91222-1295-4F66-B9EB-237B0F91CF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41BF39-A2EE-4201-A2AC-31EC4C6032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B3D361-E44F-40C8-AD9A-5D561E5B0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FA30129-CEF6-419A-838D-2B2778BE57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5E9EF48-DA50-4B11-8B2B-86F953DB9F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643E1D0-CDF6-4B07-AFEF-72E557BB2B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86D9EF-F230-4417-AE04-ED4040CD2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89F2A53-EBCE-4C69-836A-F169283CA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33F7584-523B-472F-8855-0F6C9A783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3A64201-0954-416D-9366-FADD567656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353F89D-59EE-4436-85F9-9700066F26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5CD42B1-AAA8-425F-8958-462F5B44D2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901BC75-E117-40D9-AF62-7F71B7E1B6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8D24860-39B5-4ED0-BADD-F819E984B2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2085C94-E5C0-40E1-96D9-32824E627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10FE41C-E28C-4B7C-B064-8A1A8352E8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9E89E1E-61A6-411A-A039-3CDA3D0FB4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86CD51E-0845-4CE4-8AA7-871459C3D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F8655B-DD74-49BA-8AE7-2CB97E21B9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440CE49-B1B4-4A7F-8153-5450D7A0B9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7521777-DA60-491C-A183-2F4000EEC6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D6602C9-98A7-45D4-B988-1F28CDCBD0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7986B95-4825-4B3A-ABC1-A81E9ABC73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1" bestFit="1" customWidth="1"/>
    <col min="6" max="6" width="11" style="12" bestFit="1" customWidth="1"/>
    <col min="7" max="8" width="9" style="1" customWidth="1"/>
    <col min="9" max="9" width="9" style="41" customWidth="1"/>
    <col min="10" max="10" width="3.5" style="1" customWidth="1"/>
    <col min="11" max="11" width="3.5" style="6" customWidth="1"/>
    <col min="12" max="12" width="9" style="124" customWidth="1"/>
    <col min="13" max="13" width="3.5" style="1" customWidth="1"/>
    <col min="14" max="14" width="9" style="46" customWidth="1"/>
    <col min="15" max="15" width="9" style="127" customWidth="1"/>
    <col min="16" max="16" width="3.5" style="156" customWidth="1"/>
    <col min="17" max="17" width="3.5" style="157" customWidth="1"/>
    <col min="18" max="16384" width="9" style="1"/>
  </cols>
  <sheetData>
    <row r="1" spans="1:17" x14ac:dyDescent="0.4">
      <c r="A1" s="23" t="s">
        <v>0</v>
      </c>
      <c r="B1" s="133"/>
      <c r="C1" s="134"/>
      <c r="E1" s="33" t="s">
        <v>160</v>
      </c>
      <c r="F1" s="14" t="s">
        <v>120</v>
      </c>
      <c r="G1" s="29" t="s">
        <v>121</v>
      </c>
      <c r="H1" s="2" t="s">
        <v>122</v>
      </c>
      <c r="I1" s="116" t="s">
        <v>231</v>
      </c>
      <c r="K1" s="3" t="s">
        <v>20</v>
      </c>
      <c r="L1" s="43" t="s">
        <v>125</v>
      </c>
      <c r="N1" s="42" t="s">
        <v>156</v>
      </c>
      <c r="O1" s="120" t="s">
        <v>157</v>
      </c>
      <c r="P1" s="59" t="s">
        <v>239</v>
      </c>
      <c r="Q1" s="55" t="s">
        <v>121</v>
      </c>
    </row>
    <row r="2" spans="1:17" x14ac:dyDescent="0.4">
      <c r="A2" s="24" t="s">
        <v>9</v>
      </c>
      <c r="B2" s="135">
        <v>0</v>
      </c>
      <c r="C2" s="136"/>
      <c r="E2" s="34" t="s">
        <v>67</v>
      </c>
      <c r="F2" s="30" t="s">
        <v>21</v>
      </c>
      <c r="G2" s="16">
        <v>0</v>
      </c>
      <c r="H2" s="5">
        <f t="shared" ref="H2:H33" si="0">IF(B$25=0,0,G2/B$25)</f>
        <v>0</v>
      </c>
      <c r="I2" s="117"/>
      <c r="K2" s="4">
        <v>0</v>
      </c>
      <c r="L2" s="123">
        <v>0</v>
      </c>
      <c r="N2" s="44" t="s">
        <v>150</v>
      </c>
      <c r="O2" s="130">
        <f t="shared" ref="O2:O7" si="1">IF(Q2=0,0,P2/Q2)</f>
        <v>0</v>
      </c>
      <c r="P2" s="60">
        <v>0</v>
      </c>
      <c r="Q2" s="58">
        <v>0</v>
      </c>
    </row>
    <row r="3" spans="1:17" x14ac:dyDescent="0.4">
      <c r="A3" s="25" t="s">
        <v>8</v>
      </c>
      <c r="B3" s="137">
        <v>0</v>
      </c>
      <c r="C3" s="138"/>
      <c r="E3" s="35" t="s">
        <v>68</v>
      </c>
      <c r="F3" s="31" t="s">
        <v>22</v>
      </c>
      <c r="G3" s="17">
        <v>0</v>
      </c>
      <c r="H3" s="7">
        <f t="shared" si="0"/>
        <v>0</v>
      </c>
      <c r="I3" s="118"/>
      <c r="N3" s="46" t="s">
        <v>151</v>
      </c>
      <c r="O3" s="131">
        <f t="shared" si="1"/>
        <v>0</v>
      </c>
      <c r="P3" s="61">
        <v>0</v>
      </c>
      <c r="Q3" s="56">
        <v>0</v>
      </c>
    </row>
    <row r="4" spans="1:17" x14ac:dyDescent="0.4">
      <c r="A4" s="25" t="s">
        <v>6</v>
      </c>
      <c r="B4" s="139">
        <v>0</v>
      </c>
      <c r="C4" s="140"/>
      <c r="E4" s="35" t="s">
        <v>69</v>
      </c>
      <c r="F4" s="31" t="s">
        <v>23</v>
      </c>
      <c r="G4" s="17">
        <v>0</v>
      </c>
      <c r="H4" s="7">
        <f t="shared" si="0"/>
        <v>0</v>
      </c>
      <c r="I4" s="118"/>
      <c r="N4" s="46" t="s">
        <v>152</v>
      </c>
      <c r="O4" s="131">
        <f t="shared" si="1"/>
        <v>0</v>
      </c>
      <c r="P4" s="61">
        <v>0</v>
      </c>
      <c r="Q4" s="56">
        <v>0</v>
      </c>
    </row>
    <row r="5" spans="1:17" x14ac:dyDescent="0.4">
      <c r="A5" s="25" t="s">
        <v>7</v>
      </c>
      <c r="B5" s="141">
        <f>IF(B$2=0,0,B$4/B$2)</f>
        <v>0</v>
      </c>
      <c r="C5" s="142"/>
      <c r="E5" s="35" t="s">
        <v>70</v>
      </c>
      <c r="F5" s="31" t="s">
        <v>24</v>
      </c>
      <c r="G5" s="17">
        <v>0</v>
      </c>
      <c r="H5" s="7">
        <f t="shared" si="0"/>
        <v>0</v>
      </c>
      <c r="I5" s="118"/>
      <c r="N5" s="46" t="s">
        <v>153</v>
      </c>
      <c r="O5" s="131">
        <f t="shared" si="1"/>
        <v>0</v>
      </c>
      <c r="P5" s="61">
        <v>0</v>
      </c>
      <c r="Q5" s="56">
        <v>0</v>
      </c>
    </row>
    <row r="6" spans="1:17" x14ac:dyDescent="0.4">
      <c r="A6" s="25" t="s">
        <v>1</v>
      </c>
      <c r="B6" s="147">
        <f>IF(B$2=0,0,(B$7*1+B$8*2+B$9*3)/B$2)</f>
        <v>0</v>
      </c>
      <c r="C6" s="148"/>
      <c r="E6" s="35" t="s">
        <v>71</v>
      </c>
      <c r="F6" s="31" t="s">
        <v>25</v>
      </c>
      <c r="G6" s="17">
        <v>0</v>
      </c>
      <c r="H6" s="7">
        <f t="shared" si="0"/>
        <v>0</v>
      </c>
      <c r="I6" s="118"/>
      <c r="N6" s="46" t="s">
        <v>154</v>
      </c>
      <c r="O6" s="131">
        <f t="shared" si="1"/>
        <v>0</v>
      </c>
      <c r="P6" s="61">
        <v>0</v>
      </c>
      <c r="Q6" s="56">
        <v>0</v>
      </c>
    </row>
    <row r="7" spans="1:17" x14ac:dyDescent="0.4">
      <c r="A7" s="25" t="s">
        <v>2</v>
      </c>
      <c r="B7" s="17">
        <v>0</v>
      </c>
      <c r="C7" s="7">
        <f>IF(B$2=0,0,B7/B$2)</f>
        <v>0</v>
      </c>
      <c r="E7" s="35" t="s">
        <v>72</v>
      </c>
      <c r="F7" s="31" t="s">
        <v>12</v>
      </c>
      <c r="G7" s="17">
        <v>0</v>
      </c>
      <c r="H7" s="7">
        <f t="shared" si="0"/>
        <v>0</v>
      </c>
      <c r="I7" s="118"/>
      <c r="N7" s="50" t="s">
        <v>155</v>
      </c>
      <c r="O7" s="132">
        <f t="shared" si="1"/>
        <v>0</v>
      </c>
      <c r="P7" s="62">
        <v>0</v>
      </c>
      <c r="Q7" s="57">
        <v>0</v>
      </c>
    </row>
    <row r="8" spans="1:17" x14ac:dyDescent="0.4">
      <c r="A8" s="25" t="s">
        <v>3</v>
      </c>
      <c r="B8" s="17">
        <v>0</v>
      </c>
      <c r="C8" s="7">
        <f t="shared" ref="C8:C9" si="2">IF(B$2=0,0,B8/B$2)</f>
        <v>0</v>
      </c>
      <c r="E8" s="35" t="s">
        <v>73</v>
      </c>
      <c r="F8" s="31" t="s">
        <v>26</v>
      </c>
      <c r="G8" s="17">
        <v>0</v>
      </c>
      <c r="H8" s="7">
        <f t="shared" si="0"/>
        <v>0</v>
      </c>
      <c r="I8" s="118"/>
      <c r="N8" s="41"/>
      <c r="O8" s="41"/>
      <c r="P8" s="41"/>
      <c r="Q8" s="41"/>
    </row>
    <row r="9" spans="1:17" x14ac:dyDescent="0.4">
      <c r="A9" s="26" t="s">
        <v>4</v>
      </c>
      <c r="B9" s="18">
        <v>0</v>
      </c>
      <c r="C9" s="8">
        <f t="shared" si="2"/>
        <v>0</v>
      </c>
      <c r="E9" s="35" t="s">
        <v>74</v>
      </c>
      <c r="F9" s="31" t="s">
        <v>27</v>
      </c>
      <c r="G9" s="17">
        <v>0</v>
      </c>
      <c r="H9" s="7">
        <f t="shared" si="0"/>
        <v>0</v>
      </c>
      <c r="I9" s="118"/>
      <c r="N9" s="42" t="s">
        <v>235</v>
      </c>
      <c r="O9" s="120" t="s">
        <v>236</v>
      </c>
      <c r="P9" s="153" t="s">
        <v>238</v>
      </c>
      <c r="Q9" s="125" t="s">
        <v>237</v>
      </c>
    </row>
    <row r="10" spans="1:17" x14ac:dyDescent="0.4">
      <c r="A10" s="26" t="s">
        <v>19</v>
      </c>
      <c r="B10" s="18">
        <v>0</v>
      </c>
      <c r="C10" s="8">
        <f>IF(B$2=0,0,B10/B$2)</f>
        <v>0</v>
      </c>
      <c r="E10" s="35" t="s">
        <v>75</v>
      </c>
      <c r="F10" s="31" t="s">
        <v>28</v>
      </c>
      <c r="G10" s="17">
        <v>0</v>
      </c>
      <c r="H10" s="7">
        <f t="shared" si="0"/>
        <v>0</v>
      </c>
      <c r="I10" s="118"/>
      <c r="N10" s="44"/>
      <c r="O10" s="126"/>
      <c r="P10" s="154"/>
      <c r="Q10" s="155"/>
    </row>
    <row r="11" spans="1:17" x14ac:dyDescent="0.4">
      <c r="A11" s="27" t="s">
        <v>158</v>
      </c>
      <c r="B11" s="19">
        <v>0</v>
      </c>
      <c r="C11" s="10">
        <f>IF(B$2=0,0,B11/B$2)</f>
        <v>0</v>
      </c>
      <c r="E11" s="35" t="s">
        <v>76</v>
      </c>
      <c r="F11" s="31" t="s">
        <v>29</v>
      </c>
      <c r="G11" s="17">
        <v>0</v>
      </c>
      <c r="H11" s="7">
        <f t="shared" si="0"/>
        <v>0</v>
      </c>
      <c r="I11" s="118"/>
    </row>
    <row r="12" spans="1:17" x14ac:dyDescent="0.4">
      <c r="A12" s="28" t="s">
        <v>128</v>
      </c>
      <c r="B12" s="20">
        <v>0</v>
      </c>
      <c r="C12" s="13">
        <f>IF(B$24=0,0,B12/B$24)</f>
        <v>0</v>
      </c>
      <c r="E12" s="35" t="s">
        <v>77</v>
      </c>
      <c r="F12" s="31" t="s">
        <v>30</v>
      </c>
      <c r="G12" s="17">
        <v>0</v>
      </c>
      <c r="H12" s="7">
        <f t="shared" si="0"/>
        <v>0</v>
      </c>
      <c r="I12" s="118"/>
    </row>
    <row r="13" spans="1:17" x14ac:dyDescent="0.4">
      <c r="A13" s="25" t="s">
        <v>123</v>
      </c>
      <c r="B13" s="17">
        <v>0</v>
      </c>
      <c r="C13" s="7">
        <f>IF(B$24=0,0,B13/B$24)</f>
        <v>0</v>
      </c>
      <c r="E13" s="35" t="s">
        <v>78</v>
      </c>
      <c r="F13" s="31" t="s">
        <v>31</v>
      </c>
      <c r="G13" s="17">
        <v>0</v>
      </c>
      <c r="H13" s="7">
        <f t="shared" si="0"/>
        <v>0</v>
      </c>
      <c r="I13" s="118"/>
    </row>
    <row r="14" spans="1:17" x14ac:dyDescent="0.4">
      <c r="A14" s="24" t="s">
        <v>130</v>
      </c>
      <c r="B14" s="16">
        <v>0</v>
      </c>
      <c r="C14" s="5">
        <f>IF(B$12=0,0,B14/B$12)</f>
        <v>0</v>
      </c>
      <c r="E14" s="35" t="s">
        <v>79</v>
      </c>
      <c r="F14" s="31" t="s">
        <v>32</v>
      </c>
      <c r="G14" s="17">
        <v>0</v>
      </c>
      <c r="H14" s="7">
        <f t="shared" si="0"/>
        <v>0</v>
      </c>
      <c r="I14" s="118"/>
    </row>
    <row r="15" spans="1:17" x14ac:dyDescent="0.4">
      <c r="A15" s="24" t="s">
        <v>131</v>
      </c>
      <c r="B15" s="16">
        <v>0</v>
      </c>
      <c r="C15" s="5">
        <f>IF(B$13=0,0,B15/B$13)</f>
        <v>0</v>
      </c>
      <c r="E15" s="35" t="s">
        <v>80</v>
      </c>
      <c r="F15" s="31" t="s">
        <v>33</v>
      </c>
      <c r="G15" s="17">
        <v>0</v>
      </c>
      <c r="H15" s="7">
        <f t="shared" si="0"/>
        <v>0</v>
      </c>
      <c r="I15" s="118"/>
    </row>
    <row r="16" spans="1:17" x14ac:dyDescent="0.4">
      <c r="A16" s="24" t="s">
        <v>10</v>
      </c>
      <c r="B16" s="16">
        <f>B18+B17</f>
        <v>0</v>
      </c>
      <c r="C16" s="5">
        <f>IF(B$3=0,0,B16/B$3)</f>
        <v>0</v>
      </c>
      <c r="E16" s="35" t="s">
        <v>81</v>
      </c>
      <c r="F16" s="31" t="s">
        <v>34</v>
      </c>
      <c r="G16" s="17">
        <v>0</v>
      </c>
      <c r="H16" s="7">
        <f t="shared" si="0"/>
        <v>0</v>
      </c>
      <c r="I16" s="118"/>
    </row>
    <row r="17" spans="1:9" x14ac:dyDescent="0.4">
      <c r="A17" s="25" t="s">
        <v>12</v>
      </c>
      <c r="B17" s="17">
        <v>0</v>
      </c>
      <c r="C17" s="7">
        <f>IF(B$16=0,0,B17/B$16)</f>
        <v>0</v>
      </c>
      <c r="E17" s="35" t="s">
        <v>82</v>
      </c>
      <c r="F17" s="31" t="s">
        <v>35</v>
      </c>
      <c r="G17" s="17">
        <v>0</v>
      </c>
      <c r="H17" s="7">
        <f t="shared" si="0"/>
        <v>0</v>
      </c>
      <c r="I17" s="118"/>
    </row>
    <row r="18" spans="1:9" x14ac:dyDescent="0.4">
      <c r="A18" s="25" t="s">
        <v>11</v>
      </c>
      <c r="B18" s="17">
        <v>0</v>
      </c>
      <c r="C18" s="7">
        <f>IF(B$16=0,0,B18/B$16)</f>
        <v>0</v>
      </c>
      <c r="E18" s="35" t="s">
        <v>83</v>
      </c>
      <c r="F18" s="31" t="s">
        <v>36</v>
      </c>
      <c r="G18" s="17">
        <v>0</v>
      </c>
      <c r="H18" s="7">
        <f t="shared" si="0"/>
        <v>0</v>
      </c>
      <c r="I18" s="118"/>
    </row>
    <row r="19" spans="1:9" x14ac:dyDescent="0.4">
      <c r="A19" s="25" t="s">
        <v>13</v>
      </c>
      <c r="B19" s="17">
        <v>0</v>
      </c>
      <c r="C19" s="7">
        <f>IF(B$3=0,0,B19/B$3)</f>
        <v>0</v>
      </c>
      <c r="E19" s="35" t="s">
        <v>84</v>
      </c>
      <c r="F19" s="31" t="s">
        <v>37</v>
      </c>
      <c r="G19" s="17">
        <v>0</v>
      </c>
      <c r="H19" s="7">
        <f t="shared" si="0"/>
        <v>0</v>
      </c>
      <c r="I19" s="118"/>
    </row>
    <row r="20" spans="1:9" x14ac:dyDescent="0.4">
      <c r="A20" s="25" t="s">
        <v>5</v>
      </c>
      <c r="B20" s="21">
        <f>IF(B$16=0,0,C20/B$16)</f>
        <v>0</v>
      </c>
      <c r="C20" s="9">
        <v>0</v>
      </c>
      <c r="E20" s="35" t="s">
        <v>85</v>
      </c>
      <c r="F20" s="31" t="s">
        <v>38</v>
      </c>
      <c r="G20" s="17">
        <v>0</v>
      </c>
      <c r="H20" s="7">
        <f t="shared" si="0"/>
        <v>0</v>
      </c>
      <c r="I20" s="118"/>
    </row>
    <row r="21" spans="1:9" x14ac:dyDescent="0.4">
      <c r="A21" s="27" t="s">
        <v>14</v>
      </c>
      <c r="B21" s="22">
        <f>IF(B$19=0,0,C21/B$19)</f>
        <v>0</v>
      </c>
      <c r="C21" s="15">
        <v>0</v>
      </c>
      <c r="E21" s="35" t="s">
        <v>86</v>
      </c>
      <c r="F21" s="31" t="s">
        <v>39</v>
      </c>
      <c r="G21" s="17">
        <v>0</v>
      </c>
      <c r="H21" s="7">
        <f t="shared" si="0"/>
        <v>0</v>
      </c>
      <c r="I21" s="118"/>
    </row>
    <row r="22" spans="1:9" x14ac:dyDescent="0.4">
      <c r="A22" s="24" t="s">
        <v>147</v>
      </c>
      <c r="B22" s="16">
        <v>0</v>
      </c>
      <c r="C22" s="5">
        <f>IF(B$3=0,0,B22/B$3)</f>
        <v>0</v>
      </c>
      <c r="E22" s="35" t="s">
        <v>87</v>
      </c>
      <c r="F22" s="31" t="s">
        <v>40</v>
      </c>
      <c r="G22" s="17">
        <v>0</v>
      </c>
      <c r="H22" s="7">
        <f t="shared" si="0"/>
        <v>0</v>
      </c>
      <c r="I22" s="118"/>
    </row>
    <row r="23" spans="1:9" x14ac:dyDescent="0.4">
      <c r="A23" s="27" t="s">
        <v>148</v>
      </c>
      <c r="B23" s="19">
        <v>0</v>
      </c>
      <c r="C23" s="10">
        <f>IF(B$22=0,0,B23/B$22)</f>
        <v>0</v>
      </c>
      <c r="E23" s="35" t="s">
        <v>88</v>
      </c>
      <c r="F23" s="31" t="s">
        <v>41</v>
      </c>
      <c r="G23" s="17">
        <v>0</v>
      </c>
      <c r="H23" s="7">
        <f t="shared" si="0"/>
        <v>0</v>
      </c>
      <c r="I23" s="118"/>
    </row>
    <row r="24" spans="1:9" x14ac:dyDescent="0.4">
      <c r="A24" s="24" t="s">
        <v>126</v>
      </c>
      <c r="B24" s="135">
        <v>0</v>
      </c>
      <c r="C24" s="136"/>
      <c r="E24" s="35" t="s">
        <v>89</v>
      </c>
      <c r="F24" s="31" t="s">
        <v>42</v>
      </c>
      <c r="G24" s="17">
        <v>0</v>
      </c>
      <c r="H24" s="7">
        <f t="shared" si="0"/>
        <v>0</v>
      </c>
      <c r="I24" s="118"/>
    </row>
    <row r="25" spans="1:9" x14ac:dyDescent="0.4">
      <c r="A25" s="27" t="s">
        <v>127</v>
      </c>
      <c r="B25" s="149">
        <v>0</v>
      </c>
      <c r="C25" s="150"/>
      <c r="E25" s="35" t="s">
        <v>90</v>
      </c>
      <c r="F25" s="31" t="s">
        <v>43</v>
      </c>
      <c r="G25" s="17">
        <v>0</v>
      </c>
      <c r="H25" s="7">
        <f t="shared" si="0"/>
        <v>0</v>
      </c>
      <c r="I25" s="118"/>
    </row>
    <row r="26" spans="1:9" x14ac:dyDescent="0.4">
      <c r="A26" s="113" t="s">
        <v>162</v>
      </c>
      <c r="B26" s="145">
        <v>0</v>
      </c>
      <c r="C26" s="146"/>
      <c r="E26" s="35" t="s">
        <v>91</v>
      </c>
      <c r="F26" s="31" t="s">
        <v>44</v>
      </c>
      <c r="G26" s="17">
        <v>0</v>
      </c>
      <c r="H26" s="7">
        <f t="shared" si="0"/>
        <v>0</v>
      </c>
      <c r="I26" s="118"/>
    </row>
    <row r="27" spans="1:9" x14ac:dyDescent="0.4">
      <c r="A27" s="76" t="s">
        <v>203</v>
      </c>
      <c r="B27" s="143"/>
      <c r="C27" s="144"/>
      <c r="E27" s="35" t="s">
        <v>92</v>
      </c>
      <c r="F27" s="31" t="s">
        <v>45</v>
      </c>
      <c r="G27" s="17">
        <v>0</v>
      </c>
      <c r="H27" s="7">
        <f t="shared" si="0"/>
        <v>0</v>
      </c>
      <c r="I27" s="118"/>
    </row>
    <row r="28" spans="1:9" x14ac:dyDescent="0.4">
      <c r="A28" s="27" t="s">
        <v>163</v>
      </c>
      <c r="B28" s="40">
        <v>0</v>
      </c>
      <c r="C28" s="10">
        <f>IF(B$3=0,0,B28/B$3)</f>
        <v>0</v>
      </c>
      <c r="E28" s="35" t="s">
        <v>93</v>
      </c>
      <c r="F28" s="31" t="s">
        <v>46</v>
      </c>
      <c r="G28" s="17">
        <v>0</v>
      </c>
      <c r="H28" s="7">
        <f t="shared" si="0"/>
        <v>0</v>
      </c>
      <c r="I28" s="118"/>
    </row>
    <row r="29" spans="1:9" x14ac:dyDescent="0.4">
      <c r="E29" s="35" t="s">
        <v>94</v>
      </c>
      <c r="F29" s="31" t="s">
        <v>47</v>
      </c>
      <c r="G29" s="17">
        <v>0</v>
      </c>
      <c r="H29" s="7">
        <f t="shared" si="0"/>
        <v>0</v>
      </c>
      <c r="I29" s="118"/>
    </row>
    <row r="30" spans="1:9" x14ac:dyDescent="0.4">
      <c r="E30" s="35" t="s">
        <v>95</v>
      </c>
      <c r="F30" s="31" t="s">
        <v>48</v>
      </c>
      <c r="G30" s="17">
        <v>0</v>
      </c>
      <c r="H30" s="7">
        <f t="shared" si="0"/>
        <v>0</v>
      </c>
      <c r="I30" s="118"/>
    </row>
    <row r="31" spans="1:9" x14ac:dyDescent="0.4">
      <c r="E31" s="35" t="s">
        <v>96</v>
      </c>
      <c r="F31" s="31" t="s">
        <v>49</v>
      </c>
      <c r="G31" s="17">
        <v>0</v>
      </c>
      <c r="H31" s="7">
        <f t="shared" si="0"/>
        <v>0</v>
      </c>
      <c r="I31" s="118"/>
    </row>
    <row r="32" spans="1:9" x14ac:dyDescent="0.4">
      <c r="E32" s="35" t="s">
        <v>97</v>
      </c>
      <c r="F32" s="31" t="s">
        <v>50</v>
      </c>
      <c r="G32" s="17">
        <v>0</v>
      </c>
      <c r="H32" s="7">
        <f t="shared" si="0"/>
        <v>0</v>
      </c>
      <c r="I32" s="118"/>
    </row>
    <row r="33" spans="5:9" x14ac:dyDescent="0.4">
      <c r="E33" s="35" t="s">
        <v>98</v>
      </c>
      <c r="F33" s="31" t="s">
        <v>51</v>
      </c>
      <c r="G33" s="17">
        <v>0</v>
      </c>
      <c r="H33" s="7">
        <f t="shared" si="0"/>
        <v>0</v>
      </c>
      <c r="I33" s="118"/>
    </row>
    <row r="34" spans="5:9" x14ac:dyDescent="0.4">
      <c r="E34" s="35" t="s">
        <v>99</v>
      </c>
      <c r="F34" s="31" t="s">
        <v>52</v>
      </c>
      <c r="G34" s="17">
        <v>0</v>
      </c>
      <c r="H34" s="7">
        <f t="shared" ref="H34:H51" si="3">IF(B$25=0,0,G34/B$25)</f>
        <v>0</v>
      </c>
      <c r="I34" s="118"/>
    </row>
    <row r="35" spans="5:9" x14ac:dyDescent="0.4">
      <c r="E35" s="35" t="s">
        <v>100</v>
      </c>
      <c r="F35" s="31" t="s">
        <v>53</v>
      </c>
      <c r="G35" s="17">
        <v>0</v>
      </c>
      <c r="H35" s="7">
        <f t="shared" si="3"/>
        <v>0</v>
      </c>
      <c r="I35" s="118"/>
    </row>
    <row r="36" spans="5:9" x14ac:dyDescent="0.4">
      <c r="E36" s="35" t="s">
        <v>101</v>
      </c>
      <c r="F36" s="31" t="s">
        <v>54</v>
      </c>
      <c r="G36" s="17">
        <v>0</v>
      </c>
      <c r="H36" s="7">
        <f t="shared" si="3"/>
        <v>0</v>
      </c>
      <c r="I36" s="118"/>
    </row>
    <row r="37" spans="5:9" x14ac:dyDescent="0.4">
      <c r="E37" s="35" t="s">
        <v>102</v>
      </c>
      <c r="F37" s="31" t="s">
        <v>55</v>
      </c>
      <c r="G37" s="17">
        <v>0</v>
      </c>
      <c r="H37" s="7">
        <f t="shared" si="3"/>
        <v>0</v>
      </c>
      <c r="I37" s="118"/>
    </row>
    <row r="38" spans="5:9" x14ac:dyDescent="0.4">
      <c r="E38" s="35" t="s">
        <v>103</v>
      </c>
      <c r="F38" s="31" t="s">
        <v>56</v>
      </c>
      <c r="G38" s="17">
        <v>0</v>
      </c>
      <c r="H38" s="7">
        <f t="shared" si="3"/>
        <v>0</v>
      </c>
      <c r="I38" s="118"/>
    </row>
    <row r="39" spans="5:9" x14ac:dyDescent="0.4">
      <c r="E39" s="35" t="s">
        <v>104</v>
      </c>
      <c r="F39" s="31" t="s">
        <v>57</v>
      </c>
      <c r="G39" s="17">
        <v>0</v>
      </c>
      <c r="H39" s="7">
        <f t="shared" si="3"/>
        <v>0</v>
      </c>
      <c r="I39" s="118"/>
    </row>
    <row r="40" spans="5:9" x14ac:dyDescent="0.4">
      <c r="E40" s="35" t="s">
        <v>105</v>
      </c>
      <c r="F40" s="31" t="s">
        <v>58</v>
      </c>
      <c r="G40" s="17">
        <v>0</v>
      </c>
      <c r="H40" s="7">
        <f t="shared" si="3"/>
        <v>0</v>
      </c>
      <c r="I40" s="118"/>
    </row>
    <row r="41" spans="5:9" x14ac:dyDescent="0.4">
      <c r="E41" s="35" t="s">
        <v>106</v>
      </c>
      <c r="F41" s="31" t="s">
        <v>59</v>
      </c>
      <c r="G41" s="17">
        <v>0</v>
      </c>
      <c r="H41" s="7">
        <f t="shared" si="3"/>
        <v>0</v>
      </c>
      <c r="I41" s="118"/>
    </row>
    <row r="42" spans="5:9" x14ac:dyDescent="0.4">
      <c r="E42" s="35" t="s">
        <v>107</v>
      </c>
      <c r="F42" s="31" t="s">
        <v>60</v>
      </c>
      <c r="G42" s="17">
        <v>0</v>
      </c>
      <c r="H42" s="7">
        <f t="shared" si="3"/>
        <v>0</v>
      </c>
      <c r="I42" s="118"/>
    </row>
    <row r="43" spans="5:9" x14ac:dyDescent="0.4">
      <c r="E43" s="35" t="s">
        <v>108</v>
      </c>
      <c r="F43" s="31" t="s">
        <v>61</v>
      </c>
      <c r="G43" s="17">
        <v>0</v>
      </c>
      <c r="H43" s="7">
        <f t="shared" si="3"/>
        <v>0</v>
      </c>
      <c r="I43" s="118"/>
    </row>
    <row r="44" spans="5:9" x14ac:dyDescent="0.4">
      <c r="E44" s="35" t="s">
        <v>109</v>
      </c>
      <c r="F44" s="31" t="s">
        <v>62</v>
      </c>
      <c r="G44" s="17">
        <v>0</v>
      </c>
      <c r="H44" s="7">
        <f t="shared" si="3"/>
        <v>0</v>
      </c>
      <c r="I44" s="118"/>
    </row>
    <row r="45" spans="5:9" x14ac:dyDescent="0.4">
      <c r="E45" s="35" t="s">
        <v>110</v>
      </c>
      <c r="F45" s="31" t="s">
        <v>117</v>
      </c>
      <c r="G45" s="17">
        <v>0</v>
      </c>
      <c r="H45" s="7">
        <f t="shared" si="3"/>
        <v>0</v>
      </c>
      <c r="I45" s="118"/>
    </row>
    <row r="46" spans="5:9" x14ac:dyDescent="0.4">
      <c r="E46" s="35" t="s">
        <v>111</v>
      </c>
      <c r="F46" s="31" t="s">
        <v>118</v>
      </c>
      <c r="G46" s="17">
        <v>0</v>
      </c>
      <c r="H46" s="7">
        <f t="shared" si="3"/>
        <v>0</v>
      </c>
      <c r="I46" s="118"/>
    </row>
    <row r="47" spans="5:9" x14ac:dyDescent="0.4">
      <c r="E47" s="35" t="s">
        <v>112</v>
      </c>
      <c r="F47" s="31" t="s">
        <v>119</v>
      </c>
      <c r="G47" s="17">
        <v>0</v>
      </c>
      <c r="H47" s="7">
        <f t="shared" si="3"/>
        <v>0</v>
      </c>
      <c r="I47" s="118"/>
    </row>
    <row r="48" spans="5:9" x14ac:dyDescent="0.4">
      <c r="E48" s="35" t="s">
        <v>113</v>
      </c>
      <c r="F48" s="31" t="s">
        <v>63</v>
      </c>
      <c r="G48" s="17">
        <v>0</v>
      </c>
      <c r="H48" s="7">
        <f t="shared" si="3"/>
        <v>0</v>
      </c>
      <c r="I48" s="118"/>
    </row>
    <row r="49" spans="5:9" x14ac:dyDescent="0.4">
      <c r="E49" s="35" t="s">
        <v>114</v>
      </c>
      <c r="F49" s="31" t="s">
        <v>64</v>
      </c>
      <c r="G49" s="17">
        <v>0</v>
      </c>
      <c r="H49" s="7">
        <f t="shared" si="3"/>
        <v>0</v>
      </c>
      <c r="I49" s="118"/>
    </row>
    <row r="50" spans="5:9" x14ac:dyDescent="0.4">
      <c r="E50" s="35" t="s">
        <v>115</v>
      </c>
      <c r="F50" s="31" t="s">
        <v>65</v>
      </c>
      <c r="G50" s="17">
        <v>0</v>
      </c>
      <c r="H50" s="7">
        <f t="shared" si="3"/>
        <v>0</v>
      </c>
      <c r="I50" s="118"/>
    </row>
    <row r="51" spans="5:9" x14ac:dyDescent="0.4">
      <c r="E51" s="36" t="s">
        <v>116</v>
      </c>
      <c r="F51" s="32" t="s">
        <v>66</v>
      </c>
      <c r="G51" s="19">
        <v>0</v>
      </c>
      <c r="H51" s="10">
        <f t="shared" si="3"/>
        <v>0</v>
      </c>
      <c r="I51" s="119"/>
    </row>
  </sheetData>
  <mergeCells count="10">
    <mergeCell ref="B27:C27"/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52"/>
  <sheetViews>
    <sheetView workbookViewId="0"/>
  </sheetViews>
  <sheetFormatPr defaultColWidth="9" defaultRowHeight="18.75" x14ac:dyDescent="0.4"/>
  <cols>
    <col min="1" max="1" width="16.375" style="38" bestFit="1" customWidth="1"/>
    <col min="2" max="2" width="16.875" style="39" bestFit="1" customWidth="1"/>
    <col min="3" max="16384" width="9" style="38"/>
  </cols>
  <sheetData>
    <row r="1" spans="1:14" x14ac:dyDescent="0.4">
      <c r="A1" s="37">
        <v>32874</v>
      </c>
      <c r="B1" s="37">
        <v>2958465</v>
      </c>
    </row>
    <row r="2" spans="1:14" x14ac:dyDescent="0.4">
      <c r="A2" s="38" t="s">
        <v>169</v>
      </c>
      <c r="B2" s="39">
        <v>43454.62740740741</v>
      </c>
      <c r="C2" s="38" t="s">
        <v>140</v>
      </c>
    </row>
    <row r="3" spans="1:14" x14ac:dyDescent="0.4">
      <c r="A3" s="38" t="s">
        <v>172</v>
      </c>
      <c r="B3" s="39">
        <v>43454.62740740741</v>
      </c>
      <c r="C3" s="38" t="s">
        <v>140</v>
      </c>
    </row>
    <row r="4" spans="1:14" x14ac:dyDescent="0.4">
      <c r="A4" s="38" t="s">
        <v>173</v>
      </c>
      <c r="B4" s="39">
        <v>43454.62740740741</v>
      </c>
      <c r="C4" s="38" t="s">
        <v>140</v>
      </c>
    </row>
    <row r="5" spans="1:14" x14ac:dyDescent="0.4">
      <c r="A5" s="38" t="s">
        <v>174</v>
      </c>
      <c r="B5" s="39">
        <v>43454.62740740741</v>
      </c>
      <c r="C5" s="38" t="s">
        <v>140</v>
      </c>
      <c r="D5" s="38" t="s">
        <v>141</v>
      </c>
      <c r="E5" s="38" t="s">
        <v>142</v>
      </c>
      <c r="F5" s="38" t="s">
        <v>143</v>
      </c>
      <c r="G5" s="38" t="s">
        <v>144</v>
      </c>
    </row>
    <row r="6" spans="1:14" x14ac:dyDescent="0.4">
      <c r="A6" s="38" t="s">
        <v>176</v>
      </c>
      <c r="B6" s="39">
        <v>43454.62740740741</v>
      </c>
      <c r="C6" s="38" t="s">
        <v>140</v>
      </c>
    </row>
    <row r="7" spans="1:14" x14ac:dyDescent="0.4">
      <c r="A7" s="38" t="s">
        <v>177</v>
      </c>
      <c r="B7" s="39">
        <v>43454.62740740741</v>
      </c>
      <c r="C7" s="38" t="s">
        <v>140</v>
      </c>
      <c r="D7" s="38" t="s">
        <v>141</v>
      </c>
      <c r="E7" s="38" t="s">
        <v>142</v>
      </c>
    </row>
    <row r="8" spans="1:14" x14ac:dyDescent="0.4">
      <c r="A8" s="38" t="s">
        <v>178</v>
      </c>
      <c r="B8" s="39">
        <v>43492.671666666669</v>
      </c>
      <c r="C8" s="38" t="s">
        <v>140</v>
      </c>
      <c r="D8" s="38" t="s">
        <v>141</v>
      </c>
    </row>
    <row r="9" spans="1:14" x14ac:dyDescent="0.4">
      <c r="A9" s="38" t="s">
        <v>179</v>
      </c>
      <c r="B9" s="39">
        <v>43454.62740740741</v>
      </c>
      <c r="C9" s="38" t="s">
        <v>140</v>
      </c>
      <c r="D9" s="38" t="s">
        <v>141</v>
      </c>
      <c r="E9" s="38" t="s">
        <v>142</v>
      </c>
      <c r="F9" s="38" t="s">
        <v>143</v>
      </c>
    </row>
    <row r="10" spans="1:14" x14ac:dyDescent="0.4">
      <c r="A10" s="38" t="s">
        <v>180</v>
      </c>
      <c r="B10" s="39">
        <v>43454.62740740741</v>
      </c>
      <c r="C10" s="38" t="s">
        <v>140</v>
      </c>
      <c r="D10" s="38" t="s">
        <v>141</v>
      </c>
      <c r="E10" s="38" t="s">
        <v>142</v>
      </c>
    </row>
    <row r="11" spans="1:14" x14ac:dyDescent="0.4">
      <c r="A11" s="38" t="s">
        <v>181</v>
      </c>
      <c r="B11" s="39">
        <v>43454.62740740741</v>
      </c>
      <c r="C11" s="38" t="s">
        <v>140</v>
      </c>
      <c r="D11" s="38" t="s">
        <v>141</v>
      </c>
      <c r="E11" s="38" t="s">
        <v>142</v>
      </c>
      <c r="F11" s="38" t="s">
        <v>143</v>
      </c>
      <c r="G11" s="38" t="s">
        <v>144</v>
      </c>
      <c r="H11" s="38" t="s">
        <v>145</v>
      </c>
      <c r="I11" s="38" t="s">
        <v>146</v>
      </c>
    </row>
    <row r="12" spans="1:14" x14ac:dyDescent="0.4">
      <c r="A12" s="38" t="s">
        <v>182</v>
      </c>
      <c r="B12" s="39">
        <v>43454.62740740741</v>
      </c>
      <c r="C12" s="38" t="s">
        <v>140</v>
      </c>
      <c r="D12" s="38" t="s">
        <v>141</v>
      </c>
    </row>
    <row r="13" spans="1:14" x14ac:dyDescent="0.4">
      <c r="A13" s="38" t="s">
        <v>183</v>
      </c>
      <c r="B13" s="39">
        <v>43454.62740740741</v>
      </c>
      <c r="C13" s="38" t="s">
        <v>140</v>
      </c>
      <c r="D13" s="38" t="s">
        <v>141</v>
      </c>
      <c r="E13" s="38" t="s">
        <v>142</v>
      </c>
      <c r="F13" s="38" t="s">
        <v>143</v>
      </c>
      <c r="G13" s="38" t="s">
        <v>144</v>
      </c>
      <c r="H13" s="38" t="s">
        <v>145</v>
      </c>
      <c r="I13" s="38" t="s">
        <v>146</v>
      </c>
      <c r="J13" s="38" t="s">
        <v>184</v>
      </c>
      <c r="K13" s="38" t="s">
        <v>185</v>
      </c>
      <c r="L13" s="38" t="s">
        <v>186</v>
      </c>
      <c r="M13" s="38" t="s">
        <v>187</v>
      </c>
      <c r="N13" s="38" t="s">
        <v>188</v>
      </c>
    </row>
    <row r="14" spans="1:14" x14ac:dyDescent="0.4">
      <c r="A14" s="38" t="s">
        <v>189</v>
      </c>
      <c r="B14" s="39">
        <v>43454.62740740741</v>
      </c>
      <c r="C14" s="38" t="s">
        <v>140</v>
      </c>
      <c r="D14" s="38" t="s">
        <v>141</v>
      </c>
      <c r="E14" s="38" t="s">
        <v>142</v>
      </c>
    </row>
    <row r="15" spans="1:14" x14ac:dyDescent="0.4">
      <c r="A15" s="38" t="s">
        <v>190</v>
      </c>
      <c r="B15" s="39">
        <v>43454.62740740741</v>
      </c>
      <c r="C15" s="38" t="s">
        <v>140</v>
      </c>
      <c r="D15" s="38" t="s">
        <v>141</v>
      </c>
      <c r="E15" s="38" t="s">
        <v>142</v>
      </c>
    </row>
    <row r="16" spans="1:14" x14ac:dyDescent="0.4">
      <c r="A16" s="38" t="s">
        <v>191</v>
      </c>
      <c r="B16" s="39">
        <v>43454.62740740741</v>
      </c>
      <c r="C16" s="38" t="s">
        <v>140</v>
      </c>
      <c r="D16" s="38" t="s">
        <v>141</v>
      </c>
      <c r="E16" s="38" t="s">
        <v>142</v>
      </c>
    </row>
    <row r="17" spans="1:9" x14ac:dyDescent="0.4">
      <c r="A17" s="38" t="s">
        <v>192</v>
      </c>
      <c r="B17" s="39">
        <v>43471.701018518521</v>
      </c>
      <c r="C17" s="38" t="s">
        <v>140</v>
      </c>
      <c r="D17" s="38" t="s">
        <v>141</v>
      </c>
      <c r="E17" s="38" t="s">
        <v>142</v>
      </c>
      <c r="F17" s="38" t="s">
        <v>143</v>
      </c>
      <c r="G17" s="38" t="s">
        <v>144</v>
      </c>
      <c r="H17" s="38" t="s">
        <v>145</v>
      </c>
    </row>
    <row r="18" spans="1:9" x14ac:dyDescent="0.4">
      <c r="A18" s="38" t="s">
        <v>193</v>
      </c>
      <c r="B18" s="39">
        <v>43454.62740740741</v>
      </c>
      <c r="C18" s="38" t="s">
        <v>140</v>
      </c>
      <c r="D18" s="38" t="s">
        <v>141</v>
      </c>
      <c r="E18" s="38" t="s">
        <v>142</v>
      </c>
      <c r="F18" s="38" t="s">
        <v>143</v>
      </c>
      <c r="G18" s="38" t="s">
        <v>144</v>
      </c>
      <c r="H18" s="38" t="s">
        <v>145</v>
      </c>
    </row>
    <row r="19" spans="1:9" x14ac:dyDescent="0.4">
      <c r="A19" s="38" t="s">
        <v>194</v>
      </c>
      <c r="B19" s="39">
        <v>43454.62740740741</v>
      </c>
      <c r="C19" s="38" t="s">
        <v>140</v>
      </c>
      <c r="D19" s="38" t="s">
        <v>141</v>
      </c>
    </row>
    <row r="20" spans="1:9" x14ac:dyDescent="0.4">
      <c r="A20" s="38" t="s">
        <v>195</v>
      </c>
      <c r="B20" s="39">
        <v>43471.701018518521</v>
      </c>
      <c r="C20" s="38" t="s">
        <v>140</v>
      </c>
      <c r="D20" s="38" t="s">
        <v>141</v>
      </c>
      <c r="E20" s="38" t="s">
        <v>142</v>
      </c>
    </row>
    <row r="21" spans="1:9" x14ac:dyDescent="0.4">
      <c r="A21" s="38" t="s">
        <v>196</v>
      </c>
      <c r="B21" s="39">
        <v>43484.832372685189</v>
      </c>
      <c r="C21" s="38" t="s">
        <v>140</v>
      </c>
      <c r="D21" s="38" t="s">
        <v>141</v>
      </c>
      <c r="E21" s="38" t="s">
        <v>142</v>
      </c>
      <c r="F21" s="38" t="s">
        <v>143</v>
      </c>
    </row>
    <row r="22" spans="1:9" x14ac:dyDescent="0.4">
      <c r="A22" s="38" t="s">
        <v>197</v>
      </c>
      <c r="B22" s="39">
        <v>43454.62740740741</v>
      </c>
      <c r="C22" s="38" t="s">
        <v>140</v>
      </c>
      <c r="D22" s="38" t="s">
        <v>141</v>
      </c>
      <c r="E22" s="38" t="s">
        <v>142</v>
      </c>
      <c r="F22" s="38" t="s">
        <v>143</v>
      </c>
    </row>
    <row r="23" spans="1:9" x14ac:dyDescent="0.4">
      <c r="A23" s="38" t="s">
        <v>205</v>
      </c>
      <c r="B23" s="39">
        <v>43454.62740740741</v>
      </c>
      <c r="C23" s="38" t="s">
        <v>140</v>
      </c>
      <c r="D23" s="38" t="s">
        <v>141</v>
      </c>
      <c r="E23" s="38" t="s">
        <v>142</v>
      </c>
      <c r="F23" s="38" t="s">
        <v>143</v>
      </c>
      <c r="G23" s="38" t="s">
        <v>144</v>
      </c>
      <c r="H23" s="38" t="s">
        <v>145</v>
      </c>
      <c r="I23" s="38" t="s">
        <v>146</v>
      </c>
    </row>
    <row r="24" spans="1:9" x14ac:dyDescent="0.4">
      <c r="A24" s="38" t="s">
        <v>206</v>
      </c>
      <c r="B24" s="39">
        <v>43454.62740740741</v>
      </c>
      <c r="C24" s="38" t="s">
        <v>140</v>
      </c>
      <c r="D24" s="38" t="s">
        <v>141</v>
      </c>
      <c r="E24" s="38" t="s">
        <v>142</v>
      </c>
    </row>
    <row r="25" spans="1:9" x14ac:dyDescent="0.4">
      <c r="A25" s="38" t="s">
        <v>207</v>
      </c>
      <c r="B25" s="39">
        <v>43454.62740740741</v>
      </c>
      <c r="C25" s="38" t="s">
        <v>140</v>
      </c>
      <c r="D25" s="38" t="s">
        <v>141</v>
      </c>
      <c r="E25" s="38" t="s">
        <v>142</v>
      </c>
      <c r="F25" s="38" t="s">
        <v>143</v>
      </c>
      <c r="G25" s="38" t="s">
        <v>144</v>
      </c>
      <c r="H25" s="38" t="s">
        <v>145</v>
      </c>
    </row>
    <row r="26" spans="1:9" x14ac:dyDescent="0.4">
      <c r="A26" s="38" t="s">
        <v>208</v>
      </c>
      <c r="B26" s="39">
        <v>43454.62740740741</v>
      </c>
      <c r="C26" s="38" t="s">
        <v>140</v>
      </c>
      <c r="D26" s="38" t="s">
        <v>141</v>
      </c>
    </row>
    <row r="27" spans="1:9" x14ac:dyDescent="0.4">
      <c r="A27" s="38" t="s">
        <v>209</v>
      </c>
      <c r="B27" s="39">
        <v>43454.62740740741</v>
      </c>
      <c r="C27" s="38" t="s">
        <v>140</v>
      </c>
      <c r="D27" s="38" t="s">
        <v>141</v>
      </c>
    </row>
    <row r="28" spans="1:9" x14ac:dyDescent="0.4">
      <c r="A28" s="38" t="s">
        <v>210</v>
      </c>
      <c r="B28" s="39">
        <v>43454.62740740741</v>
      </c>
      <c r="C28" s="38" t="s">
        <v>140</v>
      </c>
      <c r="D28" s="38" t="s">
        <v>141</v>
      </c>
      <c r="E28" s="38" t="s">
        <v>142</v>
      </c>
      <c r="F28" s="38" t="s">
        <v>143</v>
      </c>
    </row>
    <row r="29" spans="1:9" x14ac:dyDescent="0.4">
      <c r="A29" s="38" t="s">
        <v>211</v>
      </c>
      <c r="B29" s="39">
        <v>43455.084918981483</v>
      </c>
      <c r="C29" s="38" t="s">
        <v>140</v>
      </c>
      <c r="D29" s="38" t="s">
        <v>141</v>
      </c>
      <c r="E29" s="38" t="s">
        <v>142</v>
      </c>
      <c r="F29" s="38" t="s">
        <v>143</v>
      </c>
      <c r="G29" s="38" t="s">
        <v>144</v>
      </c>
      <c r="H29" s="38" t="s">
        <v>145</v>
      </c>
    </row>
    <row r="30" spans="1:9" x14ac:dyDescent="0.4">
      <c r="A30" s="38" t="s">
        <v>212</v>
      </c>
      <c r="B30" s="39">
        <v>43456.147789351853</v>
      </c>
      <c r="C30" s="38" t="s">
        <v>140</v>
      </c>
      <c r="D30" s="38" t="s">
        <v>141</v>
      </c>
      <c r="E30" s="38" t="s">
        <v>142</v>
      </c>
      <c r="F30" s="38" t="s">
        <v>143</v>
      </c>
      <c r="G30" s="38" t="s">
        <v>144</v>
      </c>
    </row>
    <row r="31" spans="1:9" x14ac:dyDescent="0.4">
      <c r="A31" s="38" t="s">
        <v>213</v>
      </c>
      <c r="B31" s="39">
        <v>43471.8909375</v>
      </c>
      <c r="C31" s="38" t="s">
        <v>140</v>
      </c>
      <c r="D31" s="38" t="s">
        <v>141</v>
      </c>
      <c r="E31" s="38" t="s">
        <v>142</v>
      </c>
      <c r="F31" s="38" t="s">
        <v>143</v>
      </c>
    </row>
    <row r="32" spans="1:9" x14ac:dyDescent="0.4">
      <c r="A32" s="38" t="s">
        <v>214</v>
      </c>
      <c r="B32" s="39">
        <v>43475.056238425925</v>
      </c>
      <c r="C32" s="38" t="s">
        <v>140</v>
      </c>
    </row>
    <row r="33" spans="1:10" x14ac:dyDescent="0.4">
      <c r="A33" s="38" t="s">
        <v>215</v>
      </c>
      <c r="B33" s="39">
        <v>43478.456446759257</v>
      </c>
      <c r="C33" s="38" t="s">
        <v>140</v>
      </c>
      <c r="D33" s="38" t="s">
        <v>141</v>
      </c>
      <c r="E33" s="38" t="s">
        <v>142</v>
      </c>
    </row>
    <row r="34" spans="1:10" x14ac:dyDescent="0.4">
      <c r="A34" s="38" t="s">
        <v>216</v>
      </c>
      <c r="B34" s="39">
        <v>43479.152256944442</v>
      </c>
      <c r="C34" s="38" t="s">
        <v>140</v>
      </c>
      <c r="D34" s="38" t="s">
        <v>141</v>
      </c>
      <c r="E34" s="38" t="s">
        <v>142</v>
      </c>
      <c r="F34" s="38" t="s">
        <v>143</v>
      </c>
      <c r="G34" s="38" t="s">
        <v>144</v>
      </c>
      <c r="H34" s="38" t="s">
        <v>145</v>
      </c>
      <c r="I34" s="38" t="s">
        <v>146</v>
      </c>
      <c r="J34" s="38" t="s">
        <v>184</v>
      </c>
    </row>
    <row r="35" spans="1:10" x14ac:dyDescent="0.4">
      <c r="A35" s="38" t="s">
        <v>217</v>
      </c>
      <c r="B35" s="39">
        <v>43480.04891203704</v>
      </c>
      <c r="C35" s="38" t="s">
        <v>140</v>
      </c>
      <c r="D35" s="38" t="s">
        <v>141</v>
      </c>
      <c r="E35" s="38" t="s">
        <v>142</v>
      </c>
      <c r="F35" s="38" t="s">
        <v>143</v>
      </c>
      <c r="G35" s="38" t="s">
        <v>144</v>
      </c>
      <c r="H35" s="38" t="s">
        <v>145</v>
      </c>
      <c r="I35" s="38" t="s">
        <v>146</v>
      </c>
      <c r="J35" s="38" t="s">
        <v>184</v>
      </c>
    </row>
    <row r="36" spans="1:10" x14ac:dyDescent="0.4">
      <c r="A36" s="38" t="s">
        <v>218</v>
      </c>
      <c r="B36" s="39">
        <v>43481.046527777777</v>
      </c>
      <c r="C36" s="38" t="s">
        <v>140</v>
      </c>
      <c r="D36" s="38" t="s">
        <v>141</v>
      </c>
      <c r="E36" s="38" t="s">
        <v>142</v>
      </c>
    </row>
    <row r="37" spans="1:10" x14ac:dyDescent="0.4">
      <c r="A37" s="38" t="s">
        <v>219</v>
      </c>
      <c r="B37" s="39">
        <v>43482.020208333335</v>
      </c>
      <c r="C37" s="38" t="s">
        <v>140</v>
      </c>
      <c r="D37" s="38" t="s">
        <v>141</v>
      </c>
    </row>
    <row r="38" spans="1:10" x14ac:dyDescent="0.4">
      <c r="A38" s="38" t="s">
        <v>220</v>
      </c>
      <c r="B38" s="39">
        <v>43483.045300925929</v>
      </c>
      <c r="C38" s="38" t="s">
        <v>140</v>
      </c>
      <c r="D38" s="38" t="s">
        <v>141</v>
      </c>
      <c r="E38" s="38" t="s">
        <v>142</v>
      </c>
      <c r="F38" s="38" t="s">
        <v>143</v>
      </c>
      <c r="G38" s="38" t="s">
        <v>144</v>
      </c>
    </row>
    <row r="39" spans="1:10" x14ac:dyDescent="0.4">
      <c r="A39" s="38" t="s">
        <v>221</v>
      </c>
      <c r="B39" s="39">
        <v>43484.815625000003</v>
      </c>
      <c r="C39" s="38" t="s">
        <v>140</v>
      </c>
      <c r="D39" s="38" t="s">
        <v>141</v>
      </c>
      <c r="E39" s="38" t="s">
        <v>142</v>
      </c>
      <c r="F39" s="38" t="s">
        <v>143</v>
      </c>
      <c r="G39" s="38" t="s">
        <v>144</v>
      </c>
      <c r="H39" s="38" t="s">
        <v>145</v>
      </c>
    </row>
    <row r="40" spans="1:10" x14ac:dyDescent="0.4">
      <c r="A40" s="38" t="s">
        <v>222</v>
      </c>
      <c r="B40" s="39">
        <v>43485.111226851855</v>
      </c>
      <c r="C40" s="38" t="s">
        <v>140</v>
      </c>
      <c r="D40" s="38" t="s">
        <v>141</v>
      </c>
      <c r="E40" s="38" t="s">
        <v>142</v>
      </c>
      <c r="F40" s="38" t="s">
        <v>143</v>
      </c>
    </row>
    <row r="41" spans="1:10" x14ac:dyDescent="0.4">
      <c r="A41" s="38" t="s">
        <v>223</v>
      </c>
      <c r="B41" s="39">
        <v>43486.066643518519</v>
      </c>
      <c r="C41" s="38" t="s">
        <v>140</v>
      </c>
      <c r="D41" s="38" t="s">
        <v>141</v>
      </c>
      <c r="E41" s="38" t="s">
        <v>142</v>
      </c>
      <c r="F41" s="38" t="s">
        <v>143</v>
      </c>
    </row>
    <row r="42" spans="1:10" x14ac:dyDescent="0.4">
      <c r="A42" s="38" t="s">
        <v>224</v>
      </c>
      <c r="B42" s="39">
        <v>43487.036203703705</v>
      </c>
      <c r="C42" s="38" t="s">
        <v>140</v>
      </c>
      <c r="D42" s="38" t="s">
        <v>141</v>
      </c>
      <c r="E42" s="38" t="s">
        <v>142</v>
      </c>
      <c r="F42" s="38" t="s">
        <v>143</v>
      </c>
      <c r="G42" s="38" t="s">
        <v>144</v>
      </c>
      <c r="H42" s="38" t="s">
        <v>145</v>
      </c>
      <c r="I42" s="38" t="s">
        <v>146</v>
      </c>
    </row>
    <row r="43" spans="1:10" x14ac:dyDescent="0.4">
      <c r="A43" s="38" t="s">
        <v>225</v>
      </c>
      <c r="B43" s="39">
        <v>43488.059837962966</v>
      </c>
      <c r="C43" s="38" t="s">
        <v>140</v>
      </c>
      <c r="D43" s="38" t="s">
        <v>141</v>
      </c>
      <c r="E43" s="38" t="s">
        <v>142</v>
      </c>
      <c r="F43" s="38" t="s">
        <v>143</v>
      </c>
      <c r="G43" s="38" t="s">
        <v>144</v>
      </c>
      <c r="H43" s="38" t="s">
        <v>145</v>
      </c>
      <c r="I43" s="38" t="s">
        <v>146</v>
      </c>
    </row>
    <row r="44" spans="1:10" x14ac:dyDescent="0.4">
      <c r="A44" s="38" t="s">
        <v>226</v>
      </c>
      <c r="B44" s="39">
        <v>43489.041319444441</v>
      </c>
      <c r="C44" s="38" t="s">
        <v>140</v>
      </c>
      <c r="D44" s="38" t="s">
        <v>141</v>
      </c>
      <c r="E44" s="38" t="s">
        <v>142</v>
      </c>
    </row>
    <row r="45" spans="1:10" x14ac:dyDescent="0.4">
      <c r="A45" s="38" t="s">
        <v>227</v>
      </c>
      <c r="B45" s="39">
        <v>43491.152187500003</v>
      </c>
      <c r="C45" s="38" t="s">
        <v>140</v>
      </c>
      <c r="D45" s="38" t="s">
        <v>141</v>
      </c>
      <c r="E45" s="38" t="s">
        <v>142</v>
      </c>
      <c r="F45" s="38" t="s">
        <v>143</v>
      </c>
      <c r="G45" s="38" t="s">
        <v>144</v>
      </c>
      <c r="H45" s="38" t="s">
        <v>145</v>
      </c>
    </row>
    <row r="46" spans="1:10" x14ac:dyDescent="0.4">
      <c r="A46" s="38" t="s">
        <v>228</v>
      </c>
      <c r="B46" s="39">
        <v>43492.105717592596</v>
      </c>
      <c r="C46" s="38" t="s">
        <v>140</v>
      </c>
      <c r="D46" s="38" t="s">
        <v>141</v>
      </c>
      <c r="E46" s="38" t="s">
        <v>142</v>
      </c>
      <c r="F46" s="38" t="s">
        <v>143</v>
      </c>
    </row>
    <row r="47" spans="1:10" x14ac:dyDescent="0.4">
      <c r="A47" s="38" t="s">
        <v>229</v>
      </c>
      <c r="B47" s="39">
        <v>43492.910208333335</v>
      </c>
      <c r="C47" s="38" t="s">
        <v>140</v>
      </c>
      <c r="D47" s="38" t="s">
        <v>141</v>
      </c>
      <c r="E47" s="38" t="s">
        <v>142</v>
      </c>
    </row>
    <row r="48" spans="1:10" x14ac:dyDescent="0.4">
      <c r="A48" s="38" t="s">
        <v>230</v>
      </c>
      <c r="B48" s="39">
        <v>43493.678726851853</v>
      </c>
      <c r="C48" s="38" t="s">
        <v>140</v>
      </c>
      <c r="D48" s="38" t="s">
        <v>141</v>
      </c>
    </row>
    <row r="49" spans="1:12" x14ac:dyDescent="0.4">
      <c r="A49" s="38" t="s">
        <v>232</v>
      </c>
      <c r="B49" s="39">
        <v>43496.042604166665</v>
      </c>
      <c r="C49" s="38" t="s">
        <v>140</v>
      </c>
      <c r="D49" s="38" t="s">
        <v>141</v>
      </c>
      <c r="E49" s="38" t="s">
        <v>142</v>
      </c>
      <c r="F49" s="38" t="s">
        <v>143</v>
      </c>
      <c r="G49" s="38" t="s">
        <v>144</v>
      </c>
    </row>
    <row r="50" spans="1:12" x14ac:dyDescent="0.4">
      <c r="A50" s="38" t="s">
        <v>233</v>
      </c>
      <c r="B50" s="39">
        <v>43496.854571759257</v>
      </c>
      <c r="C50" s="38" t="s">
        <v>140</v>
      </c>
      <c r="D50" s="38" t="s">
        <v>141</v>
      </c>
      <c r="E50" s="38" t="s">
        <v>142</v>
      </c>
    </row>
    <row r="51" spans="1:12" x14ac:dyDescent="0.4">
      <c r="A51" s="38" t="s">
        <v>234</v>
      </c>
      <c r="B51" s="39">
        <v>43498.203101851854</v>
      </c>
      <c r="C51" s="38" t="s">
        <v>140</v>
      </c>
      <c r="D51" s="38" t="s">
        <v>141</v>
      </c>
      <c r="E51" s="38" t="s">
        <v>142</v>
      </c>
      <c r="F51" s="38" t="s">
        <v>143</v>
      </c>
      <c r="G51" s="38" t="s">
        <v>144</v>
      </c>
      <c r="H51" s="38" t="s">
        <v>145</v>
      </c>
    </row>
    <row r="52" spans="1:12" x14ac:dyDescent="0.4">
      <c r="A52" s="38" t="s">
        <v>240</v>
      </c>
      <c r="B52" s="39">
        <v>43499.151064814818</v>
      </c>
      <c r="C52" s="38" t="s">
        <v>140</v>
      </c>
      <c r="D52" s="38" t="s">
        <v>141</v>
      </c>
      <c r="E52" s="38" t="s">
        <v>142</v>
      </c>
      <c r="F52" s="38" t="s">
        <v>143</v>
      </c>
      <c r="G52" s="38" t="s">
        <v>144</v>
      </c>
      <c r="H52" s="38" t="s">
        <v>145</v>
      </c>
      <c r="I52" s="38" t="s">
        <v>146</v>
      </c>
      <c r="J52" s="38" t="s">
        <v>184</v>
      </c>
      <c r="K52" s="38" t="s">
        <v>185</v>
      </c>
      <c r="L52" s="38" t="s">
        <v>186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88"/>
    <col min="2" max="3" width="10.75" style="85"/>
    <col min="4" max="4" width="10.75" style="90"/>
    <col min="5" max="7" width="10.75" style="86"/>
    <col min="8" max="9" width="10.75" style="87"/>
    <col min="10" max="17" width="10.75" style="86"/>
    <col min="18" max="16384" width="10.75" style="89"/>
  </cols>
  <sheetData>
    <row r="1" spans="1:17" x14ac:dyDescent="0.4">
      <c r="A1" s="89"/>
      <c r="B1" s="89"/>
      <c r="C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</row>
    <row r="2" spans="1:17" x14ac:dyDescent="0.4">
      <c r="A2" s="89" t="s">
        <v>9</v>
      </c>
      <c r="B2" s="89" t="s">
        <v>6</v>
      </c>
      <c r="C2" s="89" t="s">
        <v>7</v>
      </c>
      <c r="D2" s="90" t="s">
        <v>16</v>
      </c>
      <c r="E2" s="89" t="s">
        <v>15</v>
      </c>
      <c r="F2" s="89" t="s">
        <v>167</v>
      </c>
      <c r="G2" s="89" t="s">
        <v>166</v>
      </c>
      <c r="H2" s="89" t="s">
        <v>5</v>
      </c>
      <c r="I2" s="89" t="s">
        <v>17</v>
      </c>
      <c r="J2" s="89" t="s">
        <v>18</v>
      </c>
      <c r="K2" s="89" t="s">
        <v>159</v>
      </c>
      <c r="L2" s="89" t="s">
        <v>129</v>
      </c>
      <c r="M2" s="89" t="s">
        <v>124</v>
      </c>
      <c r="N2" s="89" t="s">
        <v>132</v>
      </c>
      <c r="O2" s="89" t="s">
        <v>168</v>
      </c>
      <c r="P2" s="89" t="s">
        <v>164</v>
      </c>
      <c r="Q2" s="89" t="s">
        <v>149</v>
      </c>
    </row>
    <row r="3" spans="1:17" x14ac:dyDescent="0.4">
      <c r="A3" s="88">
        <v>0</v>
      </c>
      <c r="B3" s="85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165</v>
      </c>
    </row>
    <row r="2" spans="1:1" x14ac:dyDescent="0.4">
      <c r="A2" t="s">
        <v>133</v>
      </c>
    </row>
    <row r="3" spans="1:1" x14ac:dyDescent="0.4">
      <c r="A3" t="s">
        <v>170</v>
      </c>
    </row>
    <row r="4" spans="1:1" x14ac:dyDescent="0.4">
      <c r="A4" t="s">
        <v>171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175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198</v>
      </c>
    </row>
    <row r="13" spans="1:1" x14ac:dyDescent="0.4">
      <c r="A13" t="s">
        <v>161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M14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103" customWidth="1"/>
    <col min="2" max="2" width="10.75" style="104" customWidth="1"/>
    <col min="3" max="3" width="10.75" style="105" customWidth="1"/>
    <col min="4" max="4" width="10.75" style="106" customWidth="1"/>
    <col min="5" max="5" width="10.75" style="122" customWidth="1"/>
    <col min="6" max="6" width="10.75" style="106" customWidth="1"/>
    <col min="7" max="7" width="10.75" style="107" customWidth="1"/>
    <col min="8" max="8" width="10.75" style="106" customWidth="1"/>
    <col min="9" max="9" width="10.75" style="108" customWidth="1"/>
    <col min="10" max="10" width="10.75" style="106" customWidth="1"/>
    <col min="11" max="11" width="10.75" style="109" customWidth="1"/>
    <col min="12" max="12" width="10.75" style="106" customWidth="1"/>
    <col min="13" max="13" width="10.75" style="109" customWidth="1"/>
    <col min="14" max="14" width="10.75" style="106" customWidth="1"/>
    <col min="15" max="15" width="10.75" style="110" customWidth="1"/>
    <col min="16" max="16" width="10.75" style="106" customWidth="1"/>
    <col min="17" max="17" width="10.75" style="110" customWidth="1"/>
    <col min="18" max="18" width="10.75" style="106" customWidth="1"/>
    <col min="19" max="19" width="10.75" style="108" customWidth="1"/>
    <col min="20" max="20" width="10.75" style="106" customWidth="1"/>
    <col min="21" max="21" width="10.75" style="108" customWidth="1"/>
    <col min="22" max="22" width="10.75" style="106" customWidth="1"/>
    <col min="23" max="23" width="10.75" style="109" customWidth="1"/>
    <col min="24" max="24" width="10.75" style="106" customWidth="1"/>
    <col min="25" max="25" width="10.75" style="109" customWidth="1"/>
    <col min="26" max="26" width="10.75" style="106" customWidth="1"/>
    <col min="27" max="27" width="10.75" style="109" customWidth="1"/>
    <col min="28" max="28" width="10.75" style="106" customWidth="1"/>
    <col min="29" max="29" width="10.75" style="109" customWidth="1"/>
    <col min="30" max="30" width="10.75" style="106" customWidth="1"/>
    <col min="31" max="31" width="10.75" style="109" customWidth="1"/>
    <col min="32" max="32" width="10.75" style="106" customWidth="1"/>
    <col min="33" max="33" width="10.75" style="109" customWidth="1"/>
    <col min="34" max="34" width="10.75" style="106" customWidth="1"/>
    <col min="35" max="35" width="10.75" style="111" customWidth="1"/>
    <col min="36" max="36" width="10.75" style="106" customWidth="1"/>
    <col min="37" max="37" width="10.75" style="115" customWidth="1"/>
    <col min="38" max="38" width="10.75" style="106" customWidth="1"/>
    <col min="39" max="39" width="10.75" style="112" customWidth="1"/>
    <col min="40" max="16384" width="9" style="92"/>
  </cols>
  <sheetData>
    <row r="1" spans="1:39" x14ac:dyDescent="0.4">
      <c r="A1" s="91"/>
      <c r="B1" s="151" t="s">
        <v>6</v>
      </c>
      <c r="C1" s="152"/>
      <c r="D1" s="151" t="s">
        <v>7</v>
      </c>
      <c r="E1" s="152"/>
      <c r="F1" s="151" t="s">
        <v>16</v>
      </c>
      <c r="G1" s="152"/>
      <c r="H1" s="151" t="s">
        <v>15</v>
      </c>
      <c r="I1" s="152"/>
      <c r="J1" s="151" t="s">
        <v>199</v>
      </c>
      <c r="K1" s="152"/>
      <c r="L1" s="151" t="s">
        <v>200</v>
      </c>
      <c r="M1" s="152"/>
      <c r="N1" s="151" t="s">
        <v>5</v>
      </c>
      <c r="O1" s="152"/>
      <c r="P1" s="151" t="s">
        <v>17</v>
      </c>
      <c r="Q1" s="152"/>
      <c r="R1" s="151" t="s">
        <v>18</v>
      </c>
      <c r="S1" s="152"/>
      <c r="T1" s="151" t="s">
        <v>159</v>
      </c>
      <c r="U1" s="152"/>
      <c r="V1" s="151" t="s">
        <v>129</v>
      </c>
      <c r="W1" s="152"/>
      <c r="X1" s="151" t="s">
        <v>124</v>
      </c>
      <c r="Y1" s="152"/>
      <c r="Z1" s="151" t="s">
        <v>132</v>
      </c>
      <c r="AA1" s="152"/>
      <c r="AB1" s="151" t="s">
        <v>201</v>
      </c>
      <c r="AC1" s="152"/>
      <c r="AD1" s="151" t="s">
        <v>164</v>
      </c>
      <c r="AE1" s="152"/>
      <c r="AF1" s="151" t="s">
        <v>149</v>
      </c>
      <c r="AG1" s="152"/>
      <c r="AH1" s="151" t="s">
        <v>202</v>
      </c>
      <c r="AI1" s="152"/>
      <c r="AJ1" s="151" t="s">
        <v>204</v>
      </c>
      <c r="AK1" s="152"/>
      <c r="AL1" s="151" t="s">
        <v>163</v>
      </c>
      <c r="AM1" s="152"/>
    </row>
    <row r="2" spans="1:39" x14ac:dyDescent="0.4">
      <c r="A2" s="93">
        <v>1</v>
      </c>
      <c r="B2" s="94" t="s">
        <v>133</v>
      </c>
      <c r="C2" s="95">
        <v>1171.9000000000001</v>
      </c>
      <c r="D2" s="96" t="s">
        <v>198</v>
      </c>
      <c r="E2" s="121">
        <v>7.833333333333333</v>
      </c>
      <c r="F2" s="96" t="s">
        <v>133</v>
      </c>
      <c r="G2" s="97">
        <v>1.7936507936507937</v>
      </c>
      <c r="H2" s="96" t="s">
        <v>198</v>
      </c>
      <c r="I2" s="98">
        <v>0.5</v>
      </c>
      <c r="J2" s="96" t="s">
        <v>198</v>
      </c>
      <c r="K2" s="99">
        <v>0.38</v>
      </c>
      <c r="L2" s="96" t="s">
        <v>198</v>
      </c>
      <c r="M2" s="99">
        <v>0.08</v>
      </c>
      <c r="N2" s="96" t="s">
        <v>138</v>
      </c>
      <c r="O2" s="100">
        <v>11427.450980392157</v>
      </c>
      <c r="P2" s="96" t="s">
        <v>170</v>
      </c>
      <c r="Q2" s="100">
        <v>-8240</v>
      </c>
      <c r="R2" s="96" t="s">
        <v>171</v>
      </c>
      <c r="S2" s="98">
        <v>0</v>
      </c>
      <c r="T2" s="96" t="s">
        <v>133</v>
      </c>
      <c r="U2" s="98">
        <v>0.20105820105820105</v>
      </c>
      <c r="V2" s="96" t="s">
        <v>171</v>
      </c>
      <c r="W2" s="99">
        <v>0.45454545454545453</v>
      </c>
      <c r="X2" s="96" t="s">
        <v>161</v>
      </c>
      <c r="Y2" s="99">
        <v>0.38775510204081631</v>
      </c>
      <c r="Z2" s="96" t="s">
        <v>175</v>
      </c>
      <c r="AA2" s="99">
        <v>0.75</v>
      </c>
      <c r="AB2" s="96" t="s">
        <v>198</v>
      </c>
      <c r="AC2" s="99">
        <v>0.5</v>
      </c>
      <c r="AD2" s="96" t="s">
        <v>170</v>
      </c>
      <c r="AE2" s="99">
        <v>1</v>
      </c>
      <c r="AF2" s="96" t="s">
        <v>175</v>
      </c>
      <c r="AG2" s="99">
        <v>0.46153846153846156</v>
      </c>
      <c r="AH2" s="96" t="s">
        <v>165</v>
      </c>
      <c r="AI2" s="101">
        <v>10</v>
      </c>
      <c r="AJ2" s="96" t="s">
        <v>165</v>
      </c>
      <c r="AK2" s="114">
        <v>124700</v>
      </c>
      <c r="AL2" s="96" t="s">
        <v>165</v>
      </c>
      <c r="AM2" s="102">
        <v>19</v>
      </c>
    </row>
    <row r="3" spans="1:39" x14ac:dyDescent="0.4">
      <c r="A3" s="103">
        <v>2</v>
      </c>
      <c r="B3" s="104" t="s">
        <v>135</v>
      </c>
      <c r="C3" s="105">
        <v>257.3</v>
      </c>
      <c r="D3" s="106" t="s">
        <v>133</v>
      </c>
      <c r="E3" s="122">
        <v>6.200529100529101</v>
      </c>
      <c r="F3" s="106" t="s">
        <v>198</v>
      </c>
      <c r="G3" s="107">
        <v>1.8333333333333333</v>
      </c>
      <c r="H3" s="106" t="s">
        <v>133</v>
      </c>
      <c r="I3" s="108">
        <v>0.42328042328042326</v>
      </c>
      <c r="J3" s="106" t="s">
        <v>133</v>
      </c>
      <c r="K3" s="109">
        <v>0.35364989369241673</v>
      </c>
      <c r="L3" s="106" t="s">
        <v>171</v>
      </c>
      <c r="M3" s="109">
        <v>0.125</v>
      </c>
      <c r="N3" s="106" t="s">
        <v>134</v>
      </c>
      <c r="O3" s="110">
        <v>11140.90909090909</v>
      </c>
      <c r="P3" s="106" t="s">
        <v>161</v>
      </c>
      <c r="Q3" s="110">
        <v>-8441.176470588236</v>
      </c>
      <c r="R3" s="106" t="s">
        <v>133</v>
      </c>
      <c r="S3" s="108">
        <v>0.10582010582010581</v>
      </c>
      <c r="T3" s="106" t="s">
        <v>175</v>
      </c>
      <c r="U3" s="108">
        <v>0.2</v>
      </c>
      <c r="V3" s="106" t="s">
        <v>198</v>
      </c>
      <c r="W3" s="109">
        <v>0.42</v>
      </c>
      <c r="X3" s="106" t="s">
        <v>135</v>
      </c>
      <c r="Y3" s="109">
        <v>0.31976744186046513</v>
      </c>
      <c r="Z3" s="106" t="s">
        <v>133</v>
      </c>
      <c r="AA3" s="109">
        <v>0.65017667844522964</v>
      </c>
      <c r="AB3" s="106" t="s">
        <v>133</v>
      </c>
      <c r="AC3" s="109">
        <v>0.48241206030150752</v>
      </c>
      <c r="AD3" s="106" t="s">
        <v>135</v>
      </c>
      <c r="AE3" s="109">
        <v>0.46527777777777779</v>
      </c>
      <c r="AF3" s="106" t="s">
        <v>198</v>
      </c>
      <c r="AG3" s="109">
        <v>0.4375</v>
      </c>
      <c r="AH3" s="106" t="s">
        <v>133</v>
      </c>
      <c r="AI3" s="111">
        <v>10</v>
      </c>
      <c r="AJ3" s="106" t="s">
        <v>139</v>
      </c>
      <c r="AK3" s="115">
        <v>124700</v>
      </c>
      <c r="AL3" s="106" t="s">
        <v>139</v>
      </c>
      <c r="AM3" s="112">
        <v>7</v>
      </c>
    </row>
    <row r="4" spans="1:39" x14ac:dyDescent="0.4">
      <c r="A4" s="103">
        <v>3</v>
      </c>
      <c r="B4" s="104" t="s">
        <v>137</v>
      </c>
      <c r="C4" s="105">
        <v>226.19999999999996</v>
      </c>
      <c r="D4" s="106" t="s">
        <v>135</v>
      </c>
      <c r="E4" s="122">
        <v>4.5140350877192983</v>
      </c>
      <c r="F4" s="106" t="s">
        <v>135</v>
      </c>
      <c r="G4" s="107">
        <v>1.8771929824561404</v>
      </c>
      <c r="H4" s="106" t="s">
        <v>137</v>
      </c>
      <c r="I4" s="108">
        <v>0.40243902439024393</v>
      </c>
      <c r="J4" s="106" t="s">
        <v>135</v>
      </c>
      <c r="K4" s="109">
        <v>0.35121951219512193</v>
      </c>
      <c r="L4" s="106" t="s">
        <v>133</v>
      </c>
      <c r="M4" s="109">
        <v>0.14245216158752658</v>
      </c>
      <c r="N4" s="106" t="s">
        <v>139</v>
      </c>
      <c r="O4" s="110">
        <v>10793.298969072164</v>
      </c>
      <c r="P4" s="106" t="s">
        <v>135</v>
      </c>
      <c r="Q4" s="110">
        <v>-9007.8125</v>
      </c>
      <c r="R4" s="106" t="s">
        <v>135</v>
      </c>
      <c r="S4" s="108">
        <v>0.12280701754385964</v>
      </c>
      <c r="T4" s="106" t="s">
        <v>137</v>
      </c>
      <c r="U4" s="108">
        <v>0.1951219512195122</v>
      </c>
      <c r="V4" s="106" t="s">
        <v>138</v>
      </c>
      <c r="W4" s="109">
        <v>0.33663366336633666</v>
      </c>
      <c r="X4" s="106" t="s">
        <v>136</v>
      </c>
      <c r="Y4" s="109">
        <v>0.27004219409282698</v>
      </c>
      <c r="Z4" s="106" t="s">
        <v>137</v>
      </c>
      <c r="AA4" s="109">
        <v>0.62</v>
      </c>
      <c r="AB4" s="106" t="s">
        <v>165</v>
      </c>
      <c r="AC4" s="109">
        <v>0.39253539253539255</v>
      </c>
      <c r="AD4" s="106" t="s">
        <v>139</v>
      </c>
      <c r="AE4" s="109">
        <v>0.45876288659793812</v>
      </c>
      <c r="AF4" s="106" t="s">
        <v>133</v>
      </c>
      <c r="AG4" s="109">
        <v>0.41632653061224489</v>
      </c>
      <c r="AH4" s="106" t="s">
        <v>134</v>
      </c>
      <c r="AI4" s="111">
        <v>10</v>
      </c>
      <c r="AJ4" s="106" t="s">
        <v>133</v>
      </c>
      <c r="AK4" s="115">
        <v>120200</v>
      </c>
      <c r="AL4" s="106" t="s">
        <v>134</v>
      </c>
      <c r="AM4" s="112">
        <v>4</v>
      </c>
    </row>
    <row r="5" spans="1:39" x14ac:dyDescent="0.4">
      <c r="A5" s="103">
        <v>4</v>
      </c>
      <c r="B5" s="104" t="s">
        <v>138</v>
      </c>
      <c r="C5" s="105">
        <v>53.800000000000026</v>
      </c>
      <c r="D5" s="106" t="s">
        <v>137</v>
      </c>
      <c r="E5" s="122">
        <v>2.758536585365853</v>
      </c>
      <c r="F5" s="106" t="s">
        <v>137</v>
      </c>
      <c r="G5" s="107">
        <v>1.9024390243902438</v>
      </c>
      <c r="H5" s="106" t="s">
        <v>135</v>
      </c>
      <c r="I5" s="108">
        <v>0.35087719298245612</v>
      </c>
      <c r="J5" s="106" t="s">
        <v>137</v>
      </c>
      <c r="K5" s="109">
        <v>0.31691297208538588</v>
      </c>
      <c r="L5" s="106" t="s">
        <v>135</v>
      </c>
      <c r="M5" s="109">
        <v>0.15609756097560976</v>
      </c>
      <c r="N5" s="106" t="s">
        <v>137</v>
      </c>
      <c r="O5" s="110">
        <v>10520.725388601037</v>
      </c>
      <c r="P5" s="106" t="s">
        <v>138</v>
      </c>
      <c r="Q5" s="110">
        <v>-9023.3333333333339</v>
      </c>
      <c r="R5" s="106" t="s">
        <v>137</v>
      </c>
      <c r="S5" s="108">
        <v>0.13414634146341464</v>
      </c>
      <c r="T5" s="106" t="s">
        <v>135</v>
      </c>
      <c r="U5" s="108">
        <v>0.17543859649122806</v>
      </c>
      <c r="V5" s="106" t="s">
        <v>137</v>
      </c>
      <c r="W5" s="109">
        <v>0.31512605042016806</v>
      </c>
      <c r="X5" s="106" t="s">
        <v>137</v>
      </c>
      <c r="Y5" s="109">
        <v>0.23949579831932774</v>
      </c>
      <c r="Z5" s="106" t="s">
        <v>198</v>
      </c>
      <c r="AA5" s="109">
        <v>0.61904761904761907</v>
      </c>
      <c r="AB5" s="106" t="s">
        <v>134</v>
      </c>
      <c r="AC5" s="109">
        <v>0.3867924528301887</v>
      </c>
      <c r="AD5" s="106" t="s">
        <v>138</v>
      </c>
      <c r="AE5" s="109">
        <v>0.45098039215686275</v>
      </c>
      <c r="AF5" s="106" t="s">
        <v>138</v>
      </c>
      <c r="AG5" s="109">
        <v>0.40579710144927539</v>
      </c>
      <c r="AH5" s="106" t="s">
        <v>137</v>
      </c>
      <c r="AI5" s="111">
        <v>9</v>
      </c>
      <c r="AJ5" s="106" t="s">
        <v>135</v>
      </c>
      <c r="AK5" s="115">
        <v>118000</v>
      </c>
      <c r="AL5" s="106" t="s">
        <v>137</v>
      </c>
      <c r="AM5" s="112">
        <v>3</v>
      </c>
    </row>
    <row r="6" spans="1:39" x14ac:dyDescent="0.4">
      <c r="A6" s="103">
        <v>5</v>
      </c>
      <c r="B6" s="104" t="s">
        <v>198</v>
      </c>
      <c r="C6" s="105">
        <v>47</v>
      </c>
      <c r="D6" s="106" t="s">
        <v>138</v>
      </c>
      <c r="E6" s="122">
        <v>2.3391304347826098</v>
      </c>
      <c r="F6" s="106" t="s">
        <v>165</v>
      </c>
      <c r="G6" s="107">
        <v>2</v>
      </c>
      <c r="H6" s="106" t="s">
        <v>138</v>
      </c>
      <c r="I6" s="108">
        <v>0.34782608695652173</v>
      </c>
      <c r="J6" s="106" t="s">
        <v>165</v>
      </c>
      <c r="K6" s="109">
        <v>0.30483804838048378</v>
      </c>
      <c r="L6" s="106" t="s">
        <v>137</v>
      </c>
      <c r="M6" s="109">
        <v>0.1625615763546798</v>
      </c>
      <c r="N6" s="106" t="s">
        <v>165</v>
      </c>
      <c r="O6" s="110">
        <v>10252.656355077337</v>
      </c>
      <c r="P6" s="106" t="s">
        <v>137</v>
      </c>
      <c r="Q6" s="110">
        <v>-9255.5555555555547</v>
      </c>
      <c r="R6" s="106" t="s">
        <v>165</v>
      </c>
      <c r="S6" s="108">
        <v>0.16434108527131783</v>
      </c>
      <c r="T6" s="106" t="s">
        <v>138</v>
      </c>
      <c r="U6" s="108">
        <v>0.17391304347826086</v>
      </c>
      <c r="V6" s="106" t="s">
        <v>139</v>
      </c>
      <c r="W6" s="109">
        <v>0.3108974358974359</v>
      </c>
      <c r="X6" s="106" t="s">
        <v>138</v>
      </c>
      <c r="Y6" s="109">
        <v>0.22772277227722773</v>
      </c>
      <c r="Z6" s="106" t="s">
        <v>135</v>
      </c>
      <c r="AA6" s="109">
        <v>0.61538461538461542</v>
      </c>
      <c r="AB6" s="106" t="s">
        <v>135</v>
      </c>
      <c r="AC6" s="109">
        <v>0.38181818181818183</v>
      </c>
      <c r="AD6" s="106" t="s">
        <v>136</v>
      </c>
      <c r="AE6" s="109">
        <v>0.44954128440366975</v>
      </c>
      <c r="AF6" s="106" t="s">
        <v>135</v>
      </c>
      <c r="AG6" s="109">
        <v>0.37086092715231789</v>
      </c>
      <c r="AH6" s="106" t="s">
        <v>135</v>
      </c>
      <c r="AI6" s="111">
        <v>7</v>
      </c>
      <c r="AJ6" s="106" t="s">
        <v>137</v>
      </c>
      <c r="AK6" s="115">
        <v>109300</v>
      </c>
      <c r="AL6" s="106" t="s">
        <v>133</v>
      </c>
      <c r="AM6" s="112">
        <v>2</v>
      </c>
    </row>
    <row r="7" spans="1:39" x14ac:dyDescent="0.4">
      <c r="A7" s="103">
        <v>6</v>
      </c>
      <c r="B7" s="104" t="s">
        <v>165</v>
      </c>
      <c r="C7" s="105">
        <v>-4.9999999999999574</v>
      </c>
      <c r="D7" s="106" t="s">
        <v>165</v>
      </c>
      <c r="E7" s="122">
        <v>-7.751937984496058E-3</v>
      </c>
      <c r="F7" s="106" t="s">
        <v>138</v>
      </c>
      <c r="G7" s="107">
        <v>2</v>
      </c>
      <c r="H7" s="106" t="s">
        <v>165</v>
      </c>
      <c r="I7" s="108">
        <v>0.33333333333333331</v>
      </c>
      <c r="J7" s="106" t="s">
        <v>139</v>
      </c>
      <c r="K7" s="109">
        <v>0.29349470499243568</v>
      </c>
      <c r="L7" s="106" t="s">
        <v>138</v>
      </c>
      <c r="M7" s="109">
        <v>0.16393442622950818</v>
      </c>
      <c r="N7" s="106" t="s">
        <v>133</v>
      </c>
      <c r="O7" s="110">
        <v>9948.2965931863728</v>
      </c>
      <c r="P7" s="106" t="s">
        <v>136</v>
      </c>
      <c r="Q7" s="110">
        <v>-9384.5238095238092</v>
      </c>
      <c r="R7" s="106" t="s">
        <v>198</v>
      </c>
      <c r="S7" s="108">
        <v>0.16666666666666666</v>
      </c>
      <c r="T7" s="106" t="s">
        <v>198</v>
      </c>
      <c r="U7" s="108">
        <v>0.16666666666666666</v>
      </c>
      <c r="V7" s="106" t="s">
        <v>133</v>
      </c>
      <c r="W7" s="109">
        <v>0.29852320675105487</v>
      </c>
      <c r="X7" s="106" t="s">
        <v>165</v>
      </c>
      <c r="Y7" s="109">
        <v>0.22580645161290322</v>
      </c>
      <c r="Z7" s="106" t="s">
        <v>139</v>
      </c>
      <c r="AA7" s="109">
        <v>0.59793814432989689</v>
      </c>
      <c r="AB7" s="106" t="s">
        <v>139</v>
      </c>
      <c r="AC7" s="109">
        <v>0.37984496124031009</v>
      </c>
      <c r="AD7" s="106" t="s">
        <v>137</v>
      </c>
      <c r="AE7" s="109">
        <v>0.43523316062176165</v>
      </c>
      <c r="AF7" s="106" t="s">
        <v>165</v>
      </c>
      <c r="AG7" s="109">
        <v>0.36009882643607166</v>
      </c>
      <c r="AH7" s="106" t="s">
        <v>138</v>
      </c>
      <c r="AI7" s="111">
        <v>7</v>
      </c>
      <c r="AJ7" s="106" t="s">
        <v>138</v>
      </c>
      <c r="AK7" s="115">
        <v>109300</v>
      </c>
      <c r="AL7" s="106" t="s">
        <v>136</v>
      </c>
      <c r="AM7" s="112">
        <v>2</v>
      </c>
    </row>
    <row r="8" spans="1:39" x14ac:dyDescent="0.4">
      <c r="A8" s="103">
        <v>7</v>
      </c>
      <c r="B8" s="104" t="s">
        <v>171</v>
      </c>
      <c r="C8" s="105">
        <v>-26.5</v>
      </c>
      <c r="D8" s="106" t="s">
        <v>134</v>
      </c>
      <c r="E8" s="122">
        <v>-4.2198198198198194</v>
      </c>
      <c r="F8" s="106" t="s">
        <v>134</v>
      </c>
      <c r="G8" s="107">
        <v>2.1261261261261262</v>
      </c>
      <c r="H8" s="106" t="s">
        <v>134</v>
      </c>
      <c r="I8" s="108">
        <v>0.28828828828828829</v>
      </c>
      <c r="J8" s="106" t="s">
        <v>138</v>
      </c>
      <c r="K8" s="109">
        <v>0.27868852459016391</v>
      </c>
      <c r="L8" s="106" t="s">
        <v>161</v>
      </c>
      <c r="M8" s="109">
        <v>0.17346938775510204</v>
      </c>
      <c r="N8" s="106" t="s">
        <v>135</v>
      </c>
      <c r="O8" s="110">
        <v>9825.6944444444453</v>
      </c>
      <c r="P8" s="106" t="s">
        <v>165</v>
      </c>
      <c r="Q8" s="110">
        <v>-9488.5747938751465</v>
      </c>
      <c r="R8" s="106" t="s">
        <v>136</v>
      </c>
      <c r="S8" s="108">
        <v>0.20370370370370369</v>
      </c>
      <c r="T8" s="106" t="s">
        <v>165</v>
      </c>
      <c r="U8" s="108">
        <v>0.16434108527131783</v>
      </c>
      <c r="V8" s="106" t="s">
        <v>134</v>
      </c>
      <c r="W8" s="109">
        <v>0.29075630252100843</v>
      </c>
      <c r="X8" s="106" t="s">
        <v>133</v>
      </c>
      <c r="Y8" s="109">
        <v>0.20991561181434598</v>
      </c>
      <c r="Z8" s="106" t="s">
        <v>165</v>
      </c>
      <c r="AA8" s="109">
        <v>0.59154929577464788</v>
      </c>
      <c r="AB8" s="106" t="s">
        <v>137</v>
      </c>
      <c r="AC8" s="109">
        <v>0.37719298245614036</v>
      </c>
      <c r="AD8" s="106" t="s">
        <v>134</v>
      </c>
      <c r="AE8" s="109">
        <v>0.42272727272727273</v>
      </c>
      <c r="AF8" s="106" t="s">
        <v>136</v>
      </c>
      <c r="AG8" s="109">
        <v>0.35537190082644626</v>
      </c>
      <c r="AH8" s="106" t="s">
        <v>139</v>
      </c>
      <c r="AI8" s="111">
        <v>7</v>
      </c>
      <c r="AJ8" s="106" t="s">
        <v>136</v>
      </c>
      <c r="AK8" s="115">
        <v>103200</v>
      </c>
      <c r="AL8" s="106" t="s">
        <v>135</v>
      </c>
      <c r="AM8" s="112">
        <v>1</v>
      </c>
    </row>
    <row r="9" spans="1:39" x14ac:dyDescent="0.4">
      <c r="A9" s="103">
        <v>8</v>
      </c>
      <c r="B9" s="104" t="s">
        <v>175</v>
      </c>
      <c r="C9" s="105">
        <v>-86.4</v>
      </c>
      <c r="D9" s="106" t="s">
        <v>139</v>
      </c>
      <c r="E9" s="122">
        <v>-4.4627906976744178</v>
      </c>
      <c r="F9" s="106" t="s">
        <v>139</v>
      </c>
      <c r="G9" s="107">
        <v>2.1744186046511627</v>
      </c>
      <c r="H9" s="106" t="s">
        <v>139</v>
      </c>
      <c r="I9" s="108">
        <v>0.2558139534883721</v>
      </c>
      <c r="J9" s="106" t="s">
        <v>175</v>
      </c>
      <c r="K9" s="109">
        <v>0.27027027027027029</v>
      </c>
      <c r="L9" s="106" t="s">
        <v>165</v>
      </c>
      <c r="M9" s="109">
        <v>0.17404674046740468</v>
      </c>
      <c r="N9" s="106" t="s">
        <v>136</v>
      </c>
      <c r="O9" s="110">
        <v>9361.4678899082573</v>
      </c>
      <c r="P9" s="106" t="s">
        <v>133</v>
      </c>
      <c r="Q9" s="110">
        <v>-9512.4378109452737</v>
      </c>
      <c r="R9" s="106" t="s">
        <v>134</v>
      </c>
      <c r="S9" s="108">
        <v>0.2072072072072072</v>
      </c>
      <c r="T9" s="106" t="s">
        <v>139</v>
      </c>
      <c r="U9" s="108">
        <v>0.13953488372093023</v>
      </c>
      <c r="V9" s="106" t="s">
        <v>165</v>
      </c>
      <c r="W9" s="109">
        <v>0.28886951467596628</v>
      </c>
      <c r="X9" s="106" t="s">
        <v>139</v>
      </c>
      <c r="Y9" s="109">
        <v>0.20673076923076922</v>
      </c>
      <c r="Z9" s="106" t="s">
        <v>134</v>
      </c>
      <c r="AA9" s="109">
        <v>0.56647398843930641</v>
      </c>
      <c r="AB9" s="106" t="s">
        <v>136</v>
      </c>
      <c r="AC9" s="109">
        <v>0.375</v>
      </c>
      <c r="AD9" s="106" t="s">
        <v>165</v>
      </c>
      <c r="AE9" s="109">
        <v>0.41627437794216543</v>
      </c>
      <c r="AF9" s="106" t="s">
        <v>137</v>
      </c>
      <c r="AG9" s="109">
        <v>0.3364485981308411</v>
      </c>
      <c r="AH9" s="106" t="s">
        <v>136</v>
      </c>
      <c r="AI9" s="111">
        <v>5</v>
      </c>
      <c r="AJ9" s="106" t="s">
        <v>134</v>
      </c>
      <c r="AK9" s="115">
        <v>96500</v>
      </c>
      <c r="AL9" s="106" t="s">
        <v>170</v>
      </c>
      <c r="AM9" s="112">
        <v>0</v>
      </c>
    </row>
    <row r="10" spans="1:39" x14ac:dyDescent="0.4">
      <c r="A10" s="103">
        <v>9</v>
      </c>
      <c r="B10" s="104" t="s">
        <v>170</v>
      </c>
      <c r="C10" s="105">
        <v>-132.1</v>
      </c>
      <c r="D10" s="106" t="s">
        <v>136</v>
      </c>
      <c r="E10" s="122">
        <v>-7.8518518518518512</v>
      </c>
      <c r="F10" s="106" t="s">
        <v>175</v>
      </c>
      <c r="G10" s="107">
        <v>2.2000000000000002</v>
      </c>
      <c r="H10" s="106" t="s">
        <v>136</v>
      </c>
      <c r="I10" s="108">
        <v>0.20370370370370369</v>
      </c>
      <c r="J10" s="106" t="s">
        <v>136</v>
      </c>
      <c r="K10" s="109">
        <v>0.25707547169811323</v>
      </c>
      <c r="L10" s="106" t="s">
        <v>134</v>
      </c>
      <c r="M10" s="109">
        <v>0.19626168224299065</v>
      </c>
      <c r="N10" s="106" t="s">
        <v>161</v>
      </c>
      <c r="O10" s="110">
        <v>9343.181818181818</v>
      </c>
      <c r="P10" s="106" t="s">
        <v>139</v>
      </c>
      <c r="Q10" s="110">
        <v>-9739.310344827587</v>
      </c>
      <c r="R10" s="106" t="s">
        <v>139</v>
      </c>
      <c r="S10" s="108">
        <v>0.20930232558139536</v>
      </c>
      <c r="T10" s="106" t="s">
        <v>134</v>
      </c>
      <c r="U10" s="108">
        <v>0.13513513513513514</v>
      </c>
      <c r="V10" s="106" t="s">
        <v>175</v>
      </c>
      <c r="W10" s="109">
        <v>0.25806451612903225</v>
      </c>
      <c r="X10" s="106" t="s">
        <v>134</v>
      </c>
      <c r="Y10" s="109">
        <v>0.17815126050420169</v>
      </c>
      <c r="Z10" s="106" t="s">
        <v>138</v>
      </c>
      <c r="AA10" s="109">
        <v>0.47058823529411764</v>
      </c>
      <c r="AB10" s="106" t="s">
        <v>161</v>
      </c>
      <c r="AC10" s="109">
        <v>0.31578947368421051</v>
      </c>
      <c r="AD10" s="106" t="s">
        <v>133</v>
      </c>
      <c r="AE10" s="109">
        <v>0.38276553106212424</v>
      </c>
      <c r="AF10" s="106" t="s">
        <v>139</v>
      </c>
      <c r="AG10" s="109">
        <v>0.32863849765258218</v>
      </c>
      <c r="AH10" s="106" t="s">
        <v>198</v>
      </c>
      <c r="AI10" s="111">
        <v>5</v>
      </c>
      <c r="AJ10" s="106" t="s">
        <v>198</v>
      </c>
      <c r="AK10" s="115">
        <v>78000</v>
      </c>
      <c r="AL10" s="106" t="s">
        <v>171</v>
      </c>
      <c r="AM10" s="112">
        <v>0</v>
      </c>
    </row>
    <row r="11" spans="1:39" x14ac:dyDescent="0.4">
      <c r="A11" s="103">
        <v>10</v>
      </c>
      <c r="B11" s="104" t="s">
        <v>161</v>
      </c>
      <c r="C11" s="105">
        <v>-240.00000000000003</v>
      </c>
      <c r="D11" s="106" t="s">
        <v>171</v>
      </c>
      <c r="E11" s="122">
        <v>-8.8333333333333339</v>
      </c>
      <c r="F11" s="106" t="s">
        <v>136</v>
      </c>
      <c r="G11" s="107">
        <v>2.2222222222222223</v>
      </c>
      <c r="H11" s="106" t="s">
        <v>175</v>
      </c>
      <c r="I11" s="108">
        <v>0.2</v>
      </c>
      <c r="J11" s="106" t="s">
        <v>134</v>
      </c>
      <c r="K11" s="109">
        <v>0.2570093457943925</v>
      </c>
      <c r="L11" s="106" t="s">
        <v>136</v>
      </c>
      <c r="M11" s="109">
        <v>0.19811320754716982</v>
      </c>
      <c r="N11" s="106" t="s">
        <v>198</v>
      </c>
      <c r="O11" s="110">
        <v>9163.1578947368416</v>
      </c>
      <c r="P11" s="106" t="s">
        <v>134</v>
      </c>
      <c r="Q11" s="110">
        <v>-9800</v>
      </c>
      <c r="R11" s="106" t="s">
        <v>138</v>
      </c>
      <c r="S11" s="108">
        <v>0.21739130434782608</v>
      </c>
      <c r="T11" s="106" t="s">
        <v>136</v>
      </c>
      <c r="U11" s="108">
        <v>0.12962962962962962</v>
      </c>
      <c r="V11" s="106" t="s">
        <v>136</v>
      </c>
      <c r="W11" s="109">
        <v>0.24050632911392406</v>
      </c>
      <c r="X11" s="106" t="s">
        <v>175</v>
      </c>
      <c r="Y11" s="109">
        <v>0.16129032258064516</v>
      </c>
      <c r="Z11" s="106" t="s">
        <v>161</v>
      </c>
      <c r="AA11" s="109">
        <v>0.46666666666666667</v>
      </c>
      <c r="AB11" s="106" t="s">
        <v>175</v>
      </c>
      <c r="AC11" s="109">
        <v>0.2</v>
      </c>
      <c r="AD11" s="106" t="s">
        <v>198</v>
      </c>
      <c r="AE11" s="109">
        <v>0.31578947368421051</v>
      </c>
      <c r="AF11" s="106" t="s">
        <v>134</v>
      </c>
      <c r="AG11" s="109">
        <v>0.30882352941176472</v>
      </c>
      <c r="AH11" s="106" t="s">
        <v>161</v>
      </c>
      <c r="AI11" s="111">
        <v>5</v>
      </c>
      <c r="AJ11" s="106" t="s">
        <v>161</v>
      </c>
      <c r="AK11" s="115">
        <v>67700</v>
      </c>
      <c r="AL11" s="106" t="s">
        <v>175</v>
      </c>
      <c r="AM11" s="112">
        <v>0</v>
      </c>
    </row>
    <row r="12" spans="1:39" x14ac:dyDescent="0.4">
      <c r="A12" s="103">
        <v>11</v>
      </c>
      <c r="B12" s="104" t="s">
        <v>139</v>
      </c>
      <c r="C12" s="105">
        <v>-383.7999999999999</v>
      </c>
      <c r="D12" s="106" t="s">
        <v>161</v>
      </c>
      <c r="E12" s="122">
        <v>-9.6000000000000014</v>
      </c>
      <c r="F12" s="106" t="s">
        <v>161</v>
      </c>
      <c r="G12" s="107">
        <v>2.3199999999999998</v>
      </c>
      <c r="H12" s="106" t="s">
        <v>161</v>
      </c>
      <c r="I12" s="108">
        <v>0.2</v>
      </c>
      <c r="J12" s="106" t="s">
        <v>161</v>
      </c>
      <c r="K12" s="109">
        <v>0.22448979591836735</v>
      </c>
      <c r="L12" s="106" t="s">
        <v>175</v>
      </c>
      <c r="M12" s="109">
        <v>0.21621621621621623</v>
      </c>
      <c r="N12" s="106" t="s">
        <v>171</v>
      </c>
      <c r="O12" s="110">
        <v>8000</v>
      </c>
      <c r="P12" s="106" t="s">
        <v>198</v>
      </c>
      <c r="Q12" s="110">
        <v>-10025</v>
      </c>
      <c r="R12" s="106" t="s">
        <v>161</v>
      </c>
      <c r="S12" s="108">
        <v>0.24</v>
      </c>
      <c r="T12" s="106" t="s">
        <v>161</v>
      </c>
      <c r="U12" s="108">
        <v>0.08</v>
      </c>
      <c r="V12" s="106" t="s">
        <v>135</v>
      </c>
      <c r="W12" s="109">
        <v>0.22674418604651161</v>
      </c>
      <c r="X12" s="106" t="s">
        <v>198</v>
      </c>
      <c r="Y12" s="109">
        <v>0.12</v>
      </c>
      <c r="Z12" s="106" t="s">
        <v>136</v>
      </c>
      <c r="AA12" s="109">
        <v>0.40350877192982454</v>
      </c>
      <c r="AB12" s="106" t="s">
        <v>138</v>
      </c>
      <c r="AC12" s="109">
        <v>0.13043478260869565</v>
      </c>
      <c r="AD12" s="106" t="s">
        <v>175</v>
      </c>
      <c r="AE12" s="109">
        <v>0.3</v>
      </c>
      <c r="AF12" s="106" t="s">
        <v>161</v>
      </c>
      <c r="AG12" s="109">
        <v>0.22807017543859648</v>
      </c>
      <c r="AH12" s="106" t="s">
        <v>175</v>
      </c>
      <c r="AI12" s="111">
        <v>3</v>
      </c>
      <c r="AJ12" s="106" t="s">
        <v>175</v>
      </c>
      <c r="AK12" s="115">
        <v>57800</v>
      </c>
      <c r="AL12" s="106" t="s">
        <v>138</v>
      </c>
      <c r="AM12" s="112">
        <v>0</v>
      </c>
    </row>
    <row r="13" spans="1:39" x14ac:dyDescent="0.4">
      <c r="A13" s="103">
        <v>12</v>
      </c>
      <c r="B13" s="104" t="s">
        <v>136</v>
      </c>
      <c r="C13" s="105">
        <v>-423.99999999999994</v>
      </c>
      <c r="D13" s="106" t="s">
        <v>175</v>
      </c>
      <c r="E13" s="122">
        <v>-17.28</v>
      </c>
      <c r="F13" s="106" t="s">
        <v>171</v>
      </c>
      <c r="G13" s="107">
        <v>2.3333333333333335</v>
      </c>
      <c r="H13" s="106" t="s">
        <v>170</v>
      </c>
      <c r="I13" s="108">
        <v>0</v>
      </c>
      <c r="J13" s="106" t="s">
        <v>171</v>
      </c>
      <c r="K13" s="109">
        <v>0.1875</v>
      </c>
      <c r="L13" s="106" t="s">
        <v>139</v>
      </c>
      <c r="M13" s="109">
        <v>0.21936459909228442</v>
      </c>
      <c r="N13" s="106" t="s">
        <v>170</v>
      </c>
      <c r="O13" s="110">
        <v>7800</v>
      </c>
      <c r="P13" s="106" t="s">
        <v>171</v>
      </c>
      <c r="Q13" s="110">
        <v>-12000</v>
      </c>
      <c r="R13" s="106" t="s">
        <v>175</v>
      </c>
      <c r="S13" s="108">
        <v>0.4</v>
      </c>
      <c r="T13" s="106" t="s">
        <v>170</v>
      </c>
      <c r="U13" s="108">
        <v>0</v>
      </c>
      <c r="V13" s="106" t="s">
        <v>161</v>
      </c>
      <c r="W13" s="109">
        <v>0.15306122448979592</v>
      </c>
      <c r="X13" s="106" t="s">
        <v>170</v>
      </c>
      <c r="Y13" s="109">
        <v>0</v>
      </c>
      <c r="Z13" s="106" t="s">
        <v>171</v>
      </c>
      <c r="AA13" s="109">
        <v>0.2</v>
      </c>
      <c r="AB13" s="106" t="s">
        <v>170</v>
      </c>
      <c r="AC13" s="109">
        <v>0</v>
      </c>
      <c r="AD13" s="106" t="s">
        <v>161</v>
      </c>
      <c r="AE13" s="109">
        <v>0.29545454545454547</v>
      </c>
      <c r="AF13" s="106" t="s">
        <v>170</v>
      </c>
      <c r="AG13" s="109">
        <v>0</v>
      </c>
      <c r="AH13" s="106" t="s">
        <v>171</v>
      </c>
      <c r="AI13" s="111">
        <v>2</v>
      </c>
      <c r="AJ13" s="106" t="s">
        <v>171</v>
      </c>
      <c r="AK13" s="115">
        <v>42000</v>
      </c>
      <c r="AL13" s="106" t="s">
        <v>198</v>
      </c>
      <c r="AM13" s="112">
        <v>0</v>
      </c>
    </row>
    <row r="14" spans="1:39" x14ac:dyDescent="0.4">
      <c r="A14" s="103">
        <v>13</v>
      </c>
      <c r="B14" s="104" t="s">
        <v>134</v>
      </c>
      <c r="C14" s="105">
        <v>-468.39999999999992</v>
      </c>
      <c r="D14" s="106" t="s">
        <v>170</v>
      </c>
      <c r="E14" s="122">
        <v>-33.024999999999999</v>
      </c>
      <c r="F14" s="106" t="s">
        <v>170</v>
      </c>
      <c r="G14" s="107">
        <v>3</v>
      </c>
      <c r="H14" s="106" t="s">
        <v>171</v>
      </c>
      <c r="I14" s="108">
        <v>0</v>
      </c>
      <c r="J14" s="106" t="s">
        <v>170</v>
      </c>
      <c r="K14" s="109">
        <v>0.04</v>
      </c>
      <c r="L14" s="106" t="s">
        <v>170</v>
      </c>
      <c r="M14" s="109">
        <v>0.4</v>
      </c>
      <c r="N14" s="106" t="s">
        <v>175</v>
      </c>
      <c r="O14" s="110">
        <v>7100</v>
      </c>
      <c r="P14" s="106" t="s">
        <v>175</v>
      </c>
      <c r="Q14" s="110">
        <v>-12487.5</v>
      </c>
      <c r="R14" s="106" t="s">
        <v>170</v>
      </c>
      <c r="S14" s="108">
        <v>0.5</v>
      </c>
      <c r="T14" s="106" t="s">
        <v>171</v>
      </c>
      <c r="U14" s="108">
        <v>0</v>
      </c>
      <c r="V14" s="106" t="s">
        <v>170</v>
      </c>
      <c r="W14" s="109">
        <v>0</v>
      </c>
      <c r="X14" s="106" t="s">
        <v>171</v>
      </c>
      <c r="Y14" s="109">
        <v>0</v>
      </c>
      <c r="Z14" s="106" t="s">
        <v>170</v>
      </c>
      <c r="AA14" s="109">
        <v>0</v>
      </c>
      <c r="AB14" s="106" t="s">
        <v>171</v>
      </c>
      <c r="AC14" s="109">
        <v>0</v>
      </c>
      <c r="AD14" s="106" t="s">
        <v>171</v>
      </c>
      <c r="AE14" s="109">
        <v>0</v>
      </c>
      <c r="AF14" s="106" t="s">
        <v>171</v>
      </c>
      <c r="AG14" s="109">
        <v>0</v>
      </c>
      <c r="AH14" s="106" t="s">
        <v>170</v>
      </c>
      <c r="AI14" s="111">
        <v>0</v>
      </c>
      <c r="AJ14" s="106" t="s">
        <v>170</v>
      </c>
      <c r="AK14" s="115">
        <v>13000</v>
      </c>
      <c r="AL14" s="106" t="s">
        <v>161</v>
      </c>
      <c r="AM14" s="112">
        <v>0</v>
      </c>
    </row>
  </sheetData>
  <sortState ref="AL2:AM32">
    <sortCondition descending="1" ref="AM1"/>
  </sortState>
  <mergeCells count="19">
    <mergeCell ref="L1:M1"/>
    <mergeCell ref="AJ1:AK1"/>
    <mergeCell ref="B1:C1"/>
    <mergeCell ref="D1:E1"/>
    <mergeCell ref="F1:G1"/>
    <mergeCell ref="H1:I1"/>
    <mergeCell ref="J1:K1"/>
    <mergeCell ref="AL1:A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2CEA0-1D52-4678-B822-3D3E999C1CD4}">
  <sheetPr codeName="Sheet4"/>
  <dimension ref="A1:Q647"/>
  <sheetViews>
    <sheetView showGridLines="0" topLeftCell="I1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4" customWidth="1"/>
    <col min="13" max="13" width="3.5" style="41" customWidth="1"/>
    <col min="14" max="14" width="9" style="46" customWidth="1"/>
    <col min="15" max="15" width="9" style="127" customWidth="1"/>
    <col min="16" max="16" width="3.5" style="156" customWidth="1"/>
    <col min="17" max="17" width="3.5" style="157" customWidth="1"/>
    <col min="18" max="16384" width="9" style="41"/>
  </cols>
  <sheetData>
    <row r="1" spans="1:17" x14ac:dyDescent="0.4">
      <c r="A1" s="71" t="s">
        <v>0</v>
      </c>
      <c r="B1" s="133" t="s">
        <v>165</v>
      </c>
      <c r="C1" s="134"/>
      <c r="E1" s="80" t="s">
        <v>160</v>
      </c>
      <c r="F1" s="129" t="s">
        <v>120</v>
      </c>
      <c r="G1" s="128" t="s">
        <v>121</v>
      </c>
      <c r="H1" s="129" t="s">
        <v>122</v>
      </c>
      <c r="I1" s="129" t="s">
        <v>231</v>
      </c>
      <c r="K1" s="42" t="s">
        <v>20</v>
      </c>
      <c r="L1" s="43" t="s">
        <v>125</v>
      </c>
      <c r="N1" s="42" t="s">
        <v>156</v>
      </c>
      <c r="O1" s="129" t="s">
        <v>157</v>
      </c>
      <c r="P1" s="59" t="s">
        <v>238</v>
      </c>
      <c r="Q1" s="55" t="s">
        <v>121</v>
      </c>
    </row>
    <row r="2" spans="1:17" x14ac:dyDescent="0.4">
      <c r="A2" s="72" t="s">
        <v>9</v>
      </c>
      <c r="B2" s="135">
        <v>645</v>
      </c>
      <c r="C2" s="136"/>
      <c r="E2" s="81" t="s">
        <v>71</v>
      </c>
      <c r="F2" s="77" t="s">
        <v>25</v>
      </c>
      <c r="G2" s="64">
        <v>916</v>
      </c>
      <c r="H2" s="45">
        <f>IF(B$25=0,0,G2/B$25)</f>
        <v>0.875717017208413</v>
      </c>
      <c r="I2" s="117">
        <v>7</v>
      </c>
      <c r="K2" s="44">
        <v>0</v>
      </c>
      <c r="L2" s="123">
        <v>0</v>
      </c>
      <c r="N2" s="44" t="s">
        <v>150</v>
      </c>
      <c r="O2" s="130">
        <f t="shared" ref="O2:O7" si="0">IF(Q2=0,0,P2/Q2)</f>
        <v>-14.218009478672986</v>
      </c>
      <c r="P2" s="60">
        <v>-9000</v>
      </c>
      <c r="Q2" s="58">
        <v>633</v>
      </c>
    </row>
    <row r="3" spans="1:17" x14ac:dyDescent="0.4">
      <c r="A3" s="73" t="s">
        <v>8</v>
      </c>
      <c r="B3" s="137">
        <v>4878</v>
      </c>
      <c r="C3" s="138"/>
      <c r="E3" s="82" t="s">
        <v>69</v>
      </c>
      <c r="F3" s="78" t="s">
        <v>23</v>
      </c>
      <c r="G3" s="65">
        <v>758</v>
      </c>
      <c r="H3" s="47">
        <f>IF(B$25=0,0,G3/B$25)</f>
        <v>0.72466539196940727</v>
      </c>
      <c r="I3" s="118">
        <v>5</v>
      </c>
      <c r="K3" s="46">
        <v>1</v>
      </c>
      <c r="L3" s="124">
        <v>15</v>
      </c>
      <c r="N3" s="46" t="s">
        <v>151</v>
      </c>
      <c r="O3" s="131">
        <f t="shared" si="0"/>
        <v>-1.6501650165016502</v>
      </c>
      <c r="P3" s="61">
        <v>-1000</v>
      </c>
      <c r="Q3" s="56">
        <v>606</v>
      </c>
    </row>
    <row r="4" spans="1:17" x14ac:dyDescent="0.4">
      <c r="A4" s="73" t="s">
        <v>6</v>
      </c>
      <c r="B4" s="139">
        <v>-4.9999999999999574</v>
      </c>
      <c r="C4" s="140"/>
      <c r="E4" s="82" t="s">
        <v>76</v>
      </c>
      <c r="F4" s="78" t="s">
        <v>29</v>
      </c>
      <c r="G4" s="65">
        <v>607</v>
      </c>
      <c r="H4" s="47">
        <f>IF(B$25=0,0,G4/B$25)</f>
        <v>0.58030592734225617</v>
      </c>
      <c r="I4" s="118">
        <v>5</v>
      </c>
      <c r="K4" s="46">
        <v>2</v>
      </c>
      <c r="L4" s="124">
        <v>-7</v>
      </c>
      <c r="N4" s="46" t="s">
        <v>152</v>
      </c>
      <c r="O4" s="131">
        <f t="shared" si="0"/>
        <v>12.411347517730496</v>
      </c>
      <c r="P4" s="61">
        <v>7000</v>
      </c>
      <c r="Q4" s="56">
        <v>564</v>
      </c>
    </row>
    <row r="5" spans="1:17" x14ac:dyDescent="0.4">
      <c r="A5" s="73" t="s">
        <v>7</v>
      </c>
      <c r="B5" s="141">
        <f>IF(B$2=0,0,B$4/B$2)</f>
        <v>-7.751937984496058E-3</v>
      </c>
      <c r="C5" s="142"/>
      <c r="E5" s="82" t="s">
        <v>67</v>
      </c>
      <c r="F5" s="78" t="s">
        <v>21</v>
      </c>
      <c r="G5" s="65">
        <v>580</v>
      </c>
      <c r="H5" s="47">
        <f>IF(B$25=0,0,G5/B$25)</f>
        <v>0.55449330783938811</v>
      </c>
      <c r="I5" s="118">
        <v>8</v>
      </c>
      <c r="K5" s="46">
        <v>3</v>
      </c>
      <c r="L5" s="124">
        <v>0</v>
      </c>
      <c r="N5" s="46" t="s">
        <v>153</v>
      </c>
      <c r="O5" s="131">
        <f t="shared" si="0"/>
        <v>0</v>
      </c>
      <c r="P5" s="61">
        <v>0</v>
      </c>
      <c r="Q5" s="56">
        <v>504</v>
      </c>
    </row>
    <row r="6" spans="1:17" x14ac:dyDescent="0.4">
      <c r="A6" s="73" t="s">
        <v>1</v>
      </c>
      <c r="B6" s="147">
        <f>IF(B$2=0,0,(B$7*1+B$8*2+B$9*3)/B$2)</f>
        <v>2</v>
      </c>
      <c r="C6" s="148"/>
      <c r="E6" s="82" t="s">
        <v>70</v>
      </c>
      <c r="F6" s="78" t="s">
        <v>24</v>
      </c>
      <c r="G6" s="65">
        <v>336</v>
      </c>
      <c r="H6" s="47">
        <f>IF(B$25=0,0,G6/B$25)</f>
        <v>0.32122370936902483</v>
      </c>
      <c r="I6" s="118">
        <v>6</v>
      </c>
      <c r="K6" s="46">
        <v>4</v>
      </c>
      <c r="L6" s="124">
        <v>-1</v>
      </c>
      <c r="N6" s="46" t="s">
        <v>154</v>
      </c>
      <c r="O6" s="131">
        <f t="shared" si="0"/>
        <v>2.3148148148148149</v>
      </c>
      <c r="P6" s="61">
        <v>1000</v>
      </c>
      <c r="Q6" s="56">
        <v>432</v>
      </c>
    </row>
    <row r="7" spans="1:17" x14ac:dyDescent="0.4">
      <c r="A7" s="73" t="s">
        <v>2</v>
      </c>
      <c r="B7" s="65">
        <v>215</v>
      </c>
      <c r="C7" s="47">
        <f>IF(B$2=0,0,B7/B$2)</f>
        <v>0.33333333333333331</v>
      </c>
      <c r="E7" s="82" t="s">
        <v>72</v>
      </c>
      <c r="F7" s="78" t="s">
        <v>12</v>
      </c>
      <c r="G7" s="65">
        <v>321</v>
      </c>
      <c r="H7" s="47">
        <f>IF(B$25=0,0,G7/B$25)</f>
        <v>0.30688336520076481</v>
      </c>
      <c r="I7" s="118">
        <v>7</v>
      </c>
      <c r="K7" s="46">
        <v>5</v>
      </c>
      <c r="L7" s="124">
        <v>39.9</v>
      </c>
      <c r="N7" s="50" t="s">
        <v>155</v>
      </c>
      <c r="O7" s="132">
        <f t="shared" si="0"/>
        <v>-8.7719298245614041</v>
      </c>
      <c r="P7" s="62">
        <v>-3000</v>
      </c>
      <c r="Q7" s="57">
        <v>342</v>
      </c>
    </row>
    <row r="8" spans="1:17" x14ac:dyDescent="0.4">
      <c r="A8" s="73" t="s">
        <v>3</v>
      </c>
      <c r="B8" s="65">
        <v>215</v>
      </c>
      <c r="C8" s="47">
        <f t="shared" ref="C8:C9" si="1">IF(B$2=0,0,B8/B$2)</f>
        <v>0.33333333333333331</v>
      </c>
      <c r="E8" s="82" t="s">
        <v>94</v>
      </c>
      <c r="F8" s="78" t="s">
        <v>47</v>
      </c>
      <c r="G8" s="65">
        <v>158</v>
      </c>
      <c r="H8" s="47">
        <f>IF(B$25=0,0,G8/B$25)</f>
        <v>0.15105162523900573</v>
      </c>
      <c r="I8" s="118">
        <v>6</v>
      </c>
      <c r="K8" s="46">
        <v>6</v>
      </c>
      <c r="L8" s="124">
        <v>0</v>
      </c>
      <c r="N8" s="41"/>
      <c r="O8" s="41"/>
      <c r="P8" s="41"/>
      <c r="Q8" s="41"/>
    </row>
    <row r="9" spans="1:17" x14ac:dyDescent="0.4">
      <c r="A9" s="74" t="s">
        <v>4</v>
      </c>
      <c r="B9" s="66">
        <v>215</v>
      </c>
      <c r="C9" s="48">
        <f t="shared" si="1"/>
        <v>0.33333333333333331</v>
      </c>
      <c r="E9" s="82" t="s">
        <v>73</v>
      </c>
      <c r="F9" s="78" t="s">
        <v>26</v>
      </c>
      <c r="G9" s="65">
        <v>149</v>
      </c>
      <c r="H9" s="47">
        <f>IF(B$25=0,0,G9/B$25)</f>
        <v>0.14244741873804972</v>
      </c>
      <c r="I9" s="118">
        <v>6</v>
      </c>
      <c r="K9" s="46">
        <v>7</v>
      </c>
      <c r="L9" s="124">
        <v>15.1</v>
      </c>
      <c r="N9" s="42" t="s">
        <v>235</v>
      </c>
      <c r="O9" s="129" t="s">
        <v>125</v>
      </c>
      <c r="P9" s="153" t="s">
        <v>238</v>
      </c>
      <c r="Q9" s="125" t="s">
        <v>121</v>
      </c>
    </row>
    <row r="10" spans="1:17" x14ac:dyDescent="0.4">
      <c r="A10" s="74" t="s">
        <v>19</v>
      </c>
      <c r="B10" s="66">
        <v>106</v>
      </c>
      <c r="C10" s="48">
        <f>IF(B$2=0,0,B10/B$2)</f>
        <v>0.16434108527131783</v>
      </c>
      <c r="E10" s="82" t="s">
        <v>68</v>
      </c>
      <c r="F10" s="78" t="s">
        <v>22</v>
      </c>
      <c r="G10" s="65">
        <v>123</v>
      </c>
      <c r="H10" s="47">
        <f>IF(B$25=0,0,G10/B$25)</f>
        <v>0.11759082217973231</v>
      </c>
      <c r="I10" s="118">
        <v>7</v>
      </c>
      <c r="K10" s="46">
        <v>8</v>
      </c>
      <c r="L10" s="124">
        <v>-26.699999999999996</v>
      </c>
      <c r="N10" s="44" t="s">
        <v>170</v>
      </c>
      <c r="O10" s="126">
        <f>IF(Q10=0,0,P10/Q10)</f>
        <v>16.512500000000003</v>
      </c>
      <c r="P10" s="154">
        <v>132.10000000000002</v>
      </c>
      <c r="Q10" s="155">
        <v>8</v>
      </c>
    </row>
    <row r="11" spans="1:17" x14ac:dyDescent="0.4">
      <c r="A11" s="75" t="s">
        <v>158</v>
      </c>
      <c r="B11" s="67">
        <v>106</v>
      </c>
      <c r="C11" s="51">
        <f>IF(B$2=0,0,B11/B$2)</f>
        <v>0.16434108527131783</v>
      </c>
      <c r="E11" s="82" t="s">
        <v>74</v>
      </c>
      <c r="F11" s="78" t="s">
        <v>27</v>
      </c>
      <c r="G11" s="65">
        <v>104</v>
      </c>
      <c r="H11" s="47">
        <f>IF(B$25=0,0,G11/B$25)</f>
        <v>9.9426386233269604E-2</v>
      </c>
      <c r="I11" s="118">
        <v>5</v>
      </c>
      <c r="K11" s="46">
        <v>9</v>
      </c>
      <c r="L11" s="124">
        <v>3.5527136788005009E-15</v>
      </c>
      <c r="N11" s="46" t="s">
        <v>175</v>
      </c>
      <c r="O11" s="127">
        <f>IF(Q11=0,0,P11/Q11)</f>
        <v>8.64</v>
      </c>
      <c r="P11" s="156">
        <v>86.4</v>
      </c>
      <c r="Q11" s="157">
        <v>10</v>
      </c>
    </row>
    <row r="12" spans="1:17" x14ac:dyDescent="0.4">
      <c r="A12" s="76" t="s">
        <v>128</v>
      </c>
      <c r="B12" s="68">
        <v>994</v>
      </c>
      <c r="C12" s="54">
        <f>IF(B$24=0,0,B12/B$24)</f>
        <v>0.28886951467596628</v>
      </c>
      <c r="E12" s="82" t="s">
        <v>91</v>
      </c>
      <c r="F12" s="78" t="s">
        <v>44</v>
      </c>
      <c r="G12" s="65">
        <v>70</v>
      </c>
      <c r="H12" s="47">
        <f>IF(B$25=0,0,G12/B$25)</f>
        <v>6.6921606118546847E-2</v>
      </c>
      <c r="I12" s="118">
        <v>5</v>
      </c>
      <c r="K12" s="46">
        <v>10</v>
      </c>
      <c r="L12" s="124">
        <v>85.2</v>
      </c>
      <c r="N12" s="46" t="s">
        <v>161</v>
      </c>
      <c r="O12" s="127">
        <f>IF(Q12=0,0,P12/Q12)</f>
        <v>4.8000000000000007</v>
      </c>
      <c r="P12" s="156">
        <v>240.00000000000003</v>
      </c>
      <c r="Q12" s="157">
        <v>50</v>
      </c>
    </row>
    <row r="13" spans="1:17" x14ac:dyDescent="0.4">
      <c r="A13" s="73" t="s">
        <v>123</v>
      </c>
      <c r="B13" s="65">
        <v>777</v>
      </c>
      <c r="C13" s="47">
        <f>IF(B$24=0,0,B13/B$24)</f>
        <v>0.22580645161290322</v>
      </c>
      <c r="E13" s="82" t="s">
        <v>88</v>
      </c>
      <c r="F13" s="78" t="s">
        <v>41</v>
      </c>
      <c r="G13" s="65">
        <v>51</v>
      </c>
      <c r="H13" s="47">
        <f>IF(B$25=0,0,G13/B$25)</f>
        <v>4.8757170172084127E-2</v>
      </c>
      <c r="I13" s="118">
        <v>4</v>
      </c>
      <c r="K13" s="46">
        <v>11</v>
      </c>
      <c r="L13" s="124">
        <v>44.5</v>
      </c>
      <c r="N13" s="46" t="s">
        <v>171</v>
      </c>
      <c r="O13" s="127">
        <f>IF(Q13=0,0,P13/Q13)</f>
        <v>4.416666666666667</v>
      </c>
      <c r="P13" s="156">
        <v>26.5</v>
      </c>
      <c r="Q13" s="157">
        <v>6</v>
      </c>
    </row>
    <row r="14" spans="1:17" x14ac:dyDescent="0.4">
      <c r="A14" s="72" t="s">
        <v>130</v>
      </c>
      <c r="B14" s="64">
        <v>588</v>
      </c>
      <c r="C14" s="45">
        <f>IF(B$12=0,0,B14/B$12)</f>
        <v>0.59154929577464788</v>
      </c>
      <c r="E14" s="82" t="s">
        <v>75</v>
      </c>
      <c r="F14" s="78" t="s">
        <v>28</v>
      </c>
      <c r="G14" s="65">
        <v>49</v>
      </c>
      <c r="H14" s="47">
        <f>IF(B$25=0,0,G14/B$25)</f>
        <v>4.6845124282982792E-2</v>
      </c>
      <c r="I14" s="118">
        <v>6</v>
      </c>
      <c r="K14" s="46">
        <v>12</v>
      </c>
      <c r="L14" s="124">
        <v>0</v>
      </c>
      <c r="N14" s="46" t="s">
        <v>136</v>
      </c>
      <c r="O14" s="127">
        <f>IF(Q14=0,0,P14/Q14)</f>
        <v>3.925925925925926</v>
      </c>
      <c r="P14" s="156">
        <v>424</v>
      </c>
      <c r="Q14" s="157">
        <v>108</v>
      </c>
    </row>
    <row r="15" spans="1:17" x14ac:dyDescent="0.4">
      <c r="A15" s="72" t="s">
        <v>131</v>
      </c>
      <c r="B15" s="64">
        <v>305</v>
      </c>
      <c r="C15" s="45">
        <f>IF(B$13=0,0,B15/B$13)</f>
        <v>0.39253539253539255</v>
      </c>
      <c r="E15" s="82" t="s">
        <v>86</v>
      </c>
      <c r="F15" s="78" t="s">
        <v>39</v>
      </c>
      <c r="G15" s="65">
        <v>31</v>
      </c>
      <c r="H15" s="47">
        <f>IF(B$25=0,0,G15/B$25)</f>
        <v>2.9636711281070746E-2</v>
      </c>
      <c r="I15" s="118">
        <v>5</v>
      </c>
      <c r="K15" s="46">
        <v>13</v>
      </c>
      <c r="L15" s="124">
        <v>31.5</v>
      </c>
      <c r="N15" s="46" t="s">
        <v>139</v>
      </c>
      <c r="O15" s="127">
        <f>IF(Q15=0,0,P15/Q15)</f>
        <v>2.2255813953488381</v>
      </c>
      <c r="P15" s="156">
        <v>382.80000000000018</v>
      </c>
      <c r="Q15" s="157">
        <v>172</v>
      </c>
    </row>
    <row r="16" spans="1:17" x14ac:dyDescent="0.4">
      <c r="A16" s="72" t="s">
        <v>10</v>
      </c>
      <c r="B16" s="64">
        <f>B18+B17</f>
        <v>1487</v>
      </c>
      <c r="C16" s="45">
        <f>IF(B$3=0,0,B16/B$3)</f>
        <v>0.30483804838048378</v>
      </c>
      <c r="E16" s="82" t="s">
        <v>82</v>
      </c>
      <c r="F16" s="78" t="s">
        <v>35</v>
      </c>
      <c r="G16" s="65">
        <v>30</v>
      </c>
      <c r="H16" s="47">
        <f>IF(B$25=0,0,G16/B$25)</f>
        <v>2.8680688336520075E-2</v>
      </c>
      <c r="I16" s="118">
        <v>5</v>
      </c>
      <c r="K16" s="46">
        <v>14</v>
      </c>
      <c r="L16" s="124">
        <v>-4</v>
      </c>
      <c r="N16" s="46" t="s">
        <v>134</v>
      </c>
      <c r="O16" s="127">
        <f>IF(Q16=0,0,P16/Q16)</f>
        <v>2.0918918918918932</v>
      </c>
      <c r="P16" s="156">
        <v>464.40000000000032</v>
      </c>
      <c r="Q16" s="157">
        <v>222</v>
      </c>
    </row>
    <row r="17" spans="1:17" x14ac:dyDescent="0.4">
      <c r="A17" s="73" t="s">
        <v>12</v>
      </c>
      <c r="B17" s="65">
        <v>619</v>
      </c>
      <c r="C17" s="47">
        <f>IF(B$16=0,0,B17/B$16)</f>
        <v>0.41627437794216543</v>
      </c>
      <c r="E17" s="82" t="s">
        <v>96</v>
      </c>
      <c r="F17" s="78" t="s">
        <v>49</v>
      </c>
      <c r="G17" s="65">
        <v>18</v>
      </c>
      <c r="H17" s="47">
        <f>IF(B$25=0,0,G17/B$25)</f>
        <v>1.7208413001912046E-2</v>
      </c>
      <c r="I17" s="118">
        <v>4</v>
      </c>
      <c r="K17" s="46">
        <v>15</v>
      </c>
      <c r="L17" s="124">
        <v>0</v>
      </c>
      <c r="N17" s="46" t="s">
        <v>138</v>
      </c>
      <c r="O17" s="127">
        <f>IF(Q17=0,0,P17/Q17)</f>
        <v>-1.1695652173913043</v>
      </c>
      <c r="P17" s="156">
        <v>-53.8</v>
      </c>
      <c r="Q17" s="157">
        <v>46</v>
      </c>
    </row>
    <row r="18" spans="1:17" x14ac:dyDescent="0.4">
      <c r="A18" s="73" t="s">
        <v>11</v>
      </c>
      <c r="B18" s="65">
        <v>868</v>
      </c>
      <c r="C18" s="47">
        <f>IF(B$16=0,0,B18/B$16)</f>
        <v>0.58372562205783451</v>
      </c>
      <c r="E18" s="82" t="s">
        <v>83</v>
      </c>
      <c r="F18" s="78" t="s">
        <v>36</v>
      </c>
      <c r="G18" s="65">
        <v>13</v>
      </c>
      <c r="H18" s="47">
        <f>IF(B$25=0,0,G18/B$25)</f>
        <v>1.24282982791587E-2</v>
      </c>
      <c r="I18" s="118">
        <v>6</v>
      </c>
      <c r="K18" s="46">
        <v>16</v>
      </c>
      <c r="L18" s="124">
        <v>-48</v>
      </c>
      <c r="N18" s="46" t="s">
        <v>137</v>
      </c>
      <c r="O18" s="127">
        <f>IF(Q18=0,0,P18/Q18)</f>
        <v>-1.3914634146341471</v>
      </c>
      <c r="P18" s="156">
        <v>-228.20000000000013</v>
      </c>
      <c r="Q18" s="157">
        <v>164</v>
      </c>
    </row>
    <row r="19" spans="1:17" x14ac:dyDescent="0.4">
      <c r="A19" s="73" t="s">
        <v>13</v>
      </c>
      <c r="B19" s="65">
        <v>849</v>
      </c>
      <c r="C19" s="47">
        <f>IF(B$3=0,0,B19/B$3)</f>
        <v>0.17404674046740468</v>
      </c>
      <c r="E19" s="82" t="s">
        <v>77</v>
      </c>
      <c r="F19" s="78" t="s">
        <v>30</v>
      </c>
      <c r="G19" s="65">
        <v>8</v>
      </c>
      <c r="H19" s="47">
        <f>IF(B$25=0,0,G19/B$25)</f>
        <v>7.6481835564053535E-3</v>
      </c>
      <c r="I19" s="118">
        <v>3</v>
      </c>
      <c r="K19" s="46">
        <v>17</v>
      </c>
      <c r="L19" s="124">
        <v>-8</v>
      </c>
      <c r="N19" s="46" t="s">
        <v>135</v>
      </c>
      <c r="O19" s="127">
        <f>IF(Q19=0,0,P19/Q19)</f>
        <v>-2.2833333333333345</v>
      </c>
      <c r="P19" s="156">
        <v>-260.30000000000013</v>
      </c>
      <c r="Q19" s="157">
        <v>114</v>
      </c>
    </row>
    <row r="20" spans="1:17" x14ac:dyDescent="0.4">
      <c r="A20" s="73" t="s">
        <v>5</v>
      </c>
      <c r="B20" s="69">
        <f>IF(B$16=0,0,C20/B$16)</f>
        <v>10252.656355077337</v>
      </c>
      <c r="C20" s="49">
        <v>15245700</v>
      </c>
      <c r="E20" s="82" t="s">
        <v>79</v>
      </c>
      <c r="F20" s="78" t="s">
        <v>32</v>
      </c>
      <c r="G20" s="65">
        <v>8</v>
      </c>
      <c r="H20" s="47">
        <f>IF(B$25=0,0,G20/B$25)</f>
        <v>7.6481835564053535E-3</v>
      </c>
      <c r="I20" s="118">
        <v>4</v>
      </c>
      <c r="K20" s="46">
        <v>18</v>
      </c>
      <c r="L20" s="124">
        <v>0</v>
      </c>
      <c r="N20" s="46" t="s">
        <v>133</v>
      </c>
      <c r="O20" s="127">
        <f>IF(Q20=0,0,P20/Q20)</f>
        <v>-3.1108465608465603</v>
      </c>
      <c r="P20" s="156">
        <v>-1175.8999999999999</v>
      </c>
      <c r="Q20" s="157">
        <v>378</v>
      </c>
    </row>
    <row r="21" spans="1:17" x14ac:dyDescent="0.4">
      <c r="A21" s="75" t="s">
        <v>14</v>
      </c>
      <c r="B21" s="70">
        <f>IF(B$19=0,0,C21/B$19)</f>
        <v>-9488.5747938751465</v>
      </c>
      <c r="C21" s="63">
        <v>-8055800</v>
      </c>
      <c r="E21" s="82" t="s">
        <v>81</v>
      </c>
      <c r="F21" s="78" t="s">
        <v>34</v>
      </c>
      <c r="G21" s="65">
        <v>8</v>
      </c>
      <c r="H21" s="47">
        <f>IF(B$25=0,0,G21/B$25)</f>
        <v>7.6481835564053535E-3</v>
      </c>
      <c r="I21" s="118">
        <v>4</v>
      </c>
      <c r="K21" s="46">
        <v>19</v>
      </c>
      <c r="L21" s="124">
        <v>-6.1</v>
      </c>
      <c r="N21" s="46" t="s">
        <v>198</v>
      </c>
      <c r="O21" s="127">
        <f>IF(Q21=0,0,P21/Q21)</f>
        <v>-4</v>
      </c>
      <c r="P21" s="156">
        <v>-48</v>
      </c>
      <c r="Q21" s="157">
        <v>12</v>
      </c>
    </row>
    <row r="22" spans="1:17" x14ac:dyDescent="0.4">
      <c r="A22" s="72" t="s">
        <v>147</v>
      </c>
      <c r="B22" s="64">
        <v>1619</v>
      </c>
      <c r="C22" s="45">
        <f>IF(B$3=0,0,B22/B$3)</f>
        <v>0.33189831898318983</v>
      </c>
      <c r="E22" s="82" t="s">
        <v>97</v>
      </c>
      <c r="F22" s="78" t="s">
        <v>50</v>
      </c>
      <c r="G22" s="65">
        <v>7</v>
      </c>
      <c r="H22" s="47">
        <f>IF(B$25=0,0,G22/B$25)</f>
        <v>6.6921606118546849E-3</v>
      </c>
      <c r="I22" s="118">
        <v>4</v>
      </c>
      <c r="K22" s="46">
        <v>20</v>
      </c>
      <c r="L22" s="124">
        <v>4.9000000000000004</v>
      </c>
    </row>
    <row r="23" spans="1:17" x14ac:dyDescent="0.4">
      <c r="A23" s="75" t="s">
        <v>148</v>
      </c>
      <c r="B23" s="67">
        <v>583</v>
      </c>
      <c r="C23" s="51">
        <f>IF(B$22=0,0,B23/B$22)</f>
        <v>0.36009882643607166</v>
      </c>
      <c r="E23" s="82" t="s">
        <v>90</v>
      </c>
      <c r="F23" s="78" t="s">
        <v>43</v>
      </c>
      <c r="G23" s="65">
        <v>4</v>
      </c>
      <c r="H23" s="47">
        <f>IF(B$25=0,0,G23/B$25)</f>
        <v>3.8240917782026767E-3</v>
      </c>
      <c r="I23" s="118">
        <v>3</v>
      </c>
      <c r="K23" s="46">
        <v>21</v>
      </c>
      <c r="L23" s="124">
        <v>0</v>
      </c>
    </row>
    <row r="24" spans="1:17" x14ac:dyDescent="0.4">
      <c r="A24" s="72" t="s">
        <v>126</v>
      </c>
      <c r="B24" s="135">
        <v>3441</v>
      </c>
      <c r="C24" s="136"/>
      <c r="E24" s="82" t="s">
        <v>89</v>
      </c>
      <c r="F24" s="78" t="s">
        <v>42</v>
      </c>
      <c r="G24" s="65">
        <v>3</v>
      </c>
      <c r="H24" s="47">
        <f>IF(B$25=0,0,G24/B$25)</f>
        <v>2.8680688336520078E-3</v>
      </c>
      <c r="I24" s="118">
        <v>4</v>
      </c>
      <c r="K24" s="46">
        <v>22</v>
      </c>
      <c r="L24" s="124">
        <v>-36</v>
      </c>
    </row>
    <row r="25" spans="1:17" x14ac:dyDescent="0.4">
      <c r="A25" s="75" t="s">
        <v>127</v>
      </c>
      <c r="B25" s="149">
        <v>1046</v>
      </c>
      <c r="C25" s="150"/>
      <c r="E25" s="82" t="s">
        <v>92</v>
      </c>
      <c r="F25" s="78" t="s">
        <v>45</v>
      </c>
      <c r="G25" s="65">
        <v>3</v>
      </c>
      <c r="H25" s="47">
        <f>IF(B$25=0,0,G25/B$25)</f>
        <v>2.8680688336520078E-3</v>
      </c>
      <c r="I25" s="118">
        <v>3</v>
      </c>
      <c r="K25" s="46">
        <v>23</v>
      </c>
      <c r="L25" s="124">
        <v>-3</v>
      </c>
    </row>
    <row r="26" spans="1:17" x14ac:dyDescent="0.4">
      <c r="A26" s="113" t="s">
        <v>162</v>
      </c>
      <c r="B26" s="145">
        <v>10</v>
      </c>
      <c r="C26" s="146"/>
      <c r="E26" s="82" t="s">
        <v>78</v>
      </c>
      <c r="F26" s="78" t="s">
        <v>31</v>
      </c>
      <c r="G26" s="65">
        <v>2</v>
      </c>
      <c r="H26" s="47">
        <f>IF(B$25=0,0,G26/B$25)</f>
        <v>1.9120458891013384E-3</v>
      </c>
      <c r="I26" s="118">
        <v>3</v>
      </c>
      <c r="K26" s="46">
        <v>24</v>
      </c>
      <c r="L26" s="124">
        <v>0</v>
      </c>
    </row>
    <row r="27" spans="1:17" x14ac:dyDescent="0.4">
      <c r="A27" s="76" t="s">
        <v>203</v>
      </c>
      <c r="B27" s="143">
        <v>124700</v>
      </c>
      <c r="C27" s="144"/>
      <c r="E27" s="82" t="s">
        <v>98</v>
      </c>
      <c r="F27" s="78" t="s">
        <v>51</v>
      </c>
      <c r="G27" s="65">
        <v>2</v>
      </c>
      <c r="H27" s="47">
        <f>IF(B$25=0,0,G27/B$25)</f>
        <v>1.9120458891013384E-3</v>
      </c>
      <c r="I27" s="118">
        <v>3</v>
      </c>
      <c r="K27" s="46">
        <v>25</v>
      </c>
      <c r="L27" s="124">
        <v>-41</v>
      </c>
    </row>
    <row r="28" spans="1:17" x14ac:dyDescent="0.4">
      <c r="A28" s="75" t="s">
        <v>163</v>
      </c>
      <c r="B28" s="84">
        <v>19</v>
      </c>
      <c r="C28" s="51">
        <f>IF(B$3=0,0,B28/B$3)</f>
        <v>3.895038950389504E-3</v>
      </c>
      <c r="E28" s="82" t="s">
        <v>85</v>
      </c>
      <c r="F28" s="78" t="s">
        <v>38</v>
      </c>
      <c r="G28" s="65">
        <v>1</v>
      </c>
      <c r="H28" s="47">
        <f>IF(B$25=0,0,G28/B$25)</f>
        <v>9.5602294455066918E-4</v>
      </c>
      <c r="I28" s="118">
        <v>2</v>
      </c>
      <c r="K28" s="46">
        <v>26</v>
      </c>
      <c r="L28" s="124">
        <v>11.5</v>
      </c>
    </row>
    <row r="29" spans="1:17" x14ac:dyDescent="0.4">
      <c r="E29" s="82" t="s">
        <v>93</v>
      </c>
      <c r="F29" s="78" t="s">
        <v>46</v>
      </c>
      <c r="G29" s="65">
        <v>1</v>
      </c>
      <c r="H29" s="47">
        <f>IF(B$25=0,0,G29/B$25)</f>
        <v>9.5602294455066918E-4</v>
      </c>
      <c r="I29" s="118">
        <v>2</v>
      </c>
      <c r="K29" s="46">
        <v>27</v>
      </c>
      <c r="L29" s="124">
        <v>0</v>
      </c>
    </row>
    <row r="30" spans="1:17" x14ac:dyDescent="0.4">
      <c r="E30" s="82" t="s">
        <v>95</v>
      </c>
      <c r="F30" s="78" t="s">
        <v>48</v>
      </c>
      <c r="G30" s="65">
        <v>1</v>
      </c>
      <c r="H30" s="47">
        <f>IF(B$25=0,0,G30/B$25)</f>
        <v>9.5602294455066918E-4</v>
      </c>
      <c r="I30" s="118">
        <v>2</v>
      </c>
      <c r="K30" s="46">
        <v>28</v>
      </c>
      <c r="L30" s="124">
        <v>-31.5</v>
      </c>
    </row>
    <row r="31" spans="1:17" x14ac:dyDescent="0.4">
      <c r="E31" s="82" t="s">
        <v>100</v>
      </c>
      <c r="F31" s="78" t="s">
        <v>53</v>
      </c>
      <c r="G31" s="65">
        <v>1</v>
      </c>
      <c r="H31" s="47">
        <f>IF(B$25=0,0,G31/B$25)</f>
        <v>9.5602294455066918E-4</v>
      </c>
      <c r="I31" s="118">
        <v>2</v>
      </c>
      <c r="K31" s="46">
        <v>29</v>
      </c>
      <c r="L31" s="124">
        <v>36.700000000000003</v>
      </c>
    </row>
    <row r="32" spans="1:17" x14ac:dyDescent="0.4">
      <c r="E32" s="82" t="s">
        <v>111</v>
      </c>
      <c r="F32" s="78" t="s">
        <v>118</v>
      </c>
      <c r="G32" s="65">
        <v>1</v>
      </c>
      <c r="H32" s="47">
        <f>IF(B$25=0,0,G32/B$25)</f>
        <v>9.5602294455066918E-4</v>
      </c>
      <c r="I32" s="118">
        <v>2</v>
      </c>
      <c r="K32" s="46">
        <v>30</v>
      </c>
      <c r="L32" s="124">
        <v>0</v>
      </c>
    </row>
    <row r="33" spans="5:12" x14ac:dyDescent="0.4">
      <c r="E33" s="82" t="s">
        <v>80</v>
      </c>
      <c r="F33" s="78" t="s">
        <v>33</v>
      </c>
      <c r="G33" s="65">
        <v>0</v>
      </c>
      <c r="H33" s="47">
        <f>IF(B$25=0,0,G33/B$25)</f>
        <v>0</v>
      </c>
      <c r="I33" s="118">
        <v>1</v>
      </c>
      <c r="K33" s="46">
        <v>31</v>
      </c>
      <c r="L33" s="124">
        <v>18.3</v>
      </c>
    </row>
    <row r="34" spans="5:12" x14ac:dyDescent="0.4">
      <c r="E34" s="82" t="s">
        <v>84</v>
      </c>
      <c r="F34" s="78" t="s">
        <v>37</v>
      </c>
      <c r="G34" s="65">
        <v>0</v>
      </c>
      <c r="H34" s="47">
        <f>IF(B$25=0,0,G34/B$25)</f>
        <v>0</v>
      </c>
      <c r="I34" s="118">
        <v>1</v>
      </c>
      <c r="K34" s="46">
        <v>32</v>
      </c>
      <c r="L34" s="124">
        <v>8.6000000000000014</v>
      </c>
    </row>
    <row r="35" spans="5:12" x14ac:dyDescent="0.4">
      <c r="E35" s="82" t="s">
        <v>87</v>
      </c>
      <c r="F35" s="78" t="s">
        <v>40</v>
      </c>
      <c r="G35" s="65">
        <v>0</v>
      </c>
      <c r="H35" s="47">
        <f>IF(B$25=0,0,G35/B$25)</f>
        <v>0</v>
      </c>
      <c r="I35" s="118">
        <v>1</v>
      </c>
      <c r="K35" s="46">
        <v>33</v>
      </c>
      <c r="L35" s="124">
        <v>1.7763568394002505E-15</v>
      </c>
    </row>
    <row r="36" spans="5:12" x14ac:dyDescent="0.4">
      <c r="E36" s="82" t="s">
        <v>99</v>
      </c>
      <c r="F36" s="78" t="s">
        <v>52</v>
      </c>
      <c r="G36" s="65">
        <v>0</v>
      </c>
      <c r="H36" s="47">
        <f>IF(B$25=0,0,G36/B$25)</f>
        <v>0</v>
      </c>
      <c r="I36" s="118">
        <v>1</v>
      </c>
      <c r="K36" s="46">
        <v>34</v>
      </c>
      <c r="L36" s="124">
        <v>12.800000000000002</v>
      </c>
    </row>
    <row r="37" spans="5:12" x14ac:dyDescent="0.4">
      <c r="E37" s="82" t="s">
        <v>101</v>
      </c>
      <c r="F37" s="78" t="s">
        <v>54</v>
      </c>
      <c r="G37" s="65">
        <v>0</v>
      </c>
      <c r="H37" s="47">
        <f>IF(B$25=0,0,G37/B$25)</f>
        <v>0</v>
      </c>
      <c r="I37" s="118">
        <v>1</v>
      </c>
      <c r="K37" s="46">
        <v>35</v>
      </c>
      <c r="L37" s="124">
        <v>36.400000000000006</v>
      </c>
    </row>
    <row r="38" spans="5:12" x14ac:dyDescent="0.4">
      <c r="E38" s="82" t="s">
        <v>102</v>
      </c>
      <c r="F38" s="78" t="s">
        <v>55</v>
      </c>
      <c r="G38" s="65">
        <v>0</v>
      </c>
      <c r="H38" s="47">
        <f>IF(B$25=0,0,G38/B$25)</f>
        <v>0</v>
      </c>
      <c r="I38" s="118">
        <v>1</v>
      </c>
      <c r="K38" s="46">
        <v>36</v>
      </c>
      <c r="L38" s="124">
        <v>7.1054273576010019E-15</v>
      </c>
    </row>
    <row r="39" spans="5:12" x14ac:dyDescent="0.4">
      <c r="E39" s="82" t="s">
        <v>103</v>
      </c>
      <c r="F39" s="78" t="s">
        <v>56</v>
      </c>
      <c r="G39" s="65">
        <v>0</v>
      </c>
      <c r="H39" s="47">
        <f>IF(B$25=0,0,G39/B$25)</f>
        <v>0</v>
      </c>
      <c r="I39" s="118">
        <v>1</v>
      </c>
      <c r="K39" s="46">
        <v>37</v>
      </c>
      <c r="L39" s="124">
        <v>57.000000000000007</v>
      </c>
    </row>
    <row r="40" spans="5:12" x14ac:dyDescent="0.4">
      <c r="E40" s="82" t="s">
        <v>104</v>
      </c>
      <c r="F40" s="78" t="s">
        <v>57</v>
      </c>
      <c r="G40" s="65">
        <v>0</v>
      </c>
      <c r="H40" s="47">
        <f>IF(B$25=0,0,G40/B$25)</f>
        <v>0</v>
      </c>
      <c r="I40" s="118">
        <v>1</v>
      </c>
      <c r="K40" s="46">
        <v>38</v>
      </c>
      <c r="L40" s="124">
        <v>32.600000000000009</v>
      </c>
    </row>
    <row r="41" spans="5:12" x14ac:dyDescent="0.4">
      <c r="E41" s="82" t="s">
        <v>105</v>
      </c>
      <c r="F41" s="78" t="s">
        <v>58</v>
      </c>
      <c r="G41" s="65">
        <v>0</v>
      </c>
      <c r="H41" s="47">
        <f>IF(B$25=0,0,G41/B$25)</f>
        <v>0</v>
      </c>
      <c r="I41" s="118">
        <v>1</v>
      </c>
      <c r="K41" s="46">
        <v>39</v>
      </c>
      <c r="L41" s="124">
        <v>7.1054273576010019E-15</v>
      </c>
    </row>
    <row r="42" spans="5:12" x14ac:dyDescent="0.4">
      <c r="E42" s="82" t="s">
        <v>106</v>
      </c>
      <c r="F42" s="78" t="s">
        <v>59</v>
      </c>
      <c r="G42" s="65">
        <v>0</v>
      </c>
      <c r="H42" s="47">
        <f>IF(B$25=0,0,G42/B$25)</f>
        <v>0</v>
      </c>
      <c r="I42" s="118">
        <v>1</v>
      </c>
      <c r="K42" s="46">
        <v>40</v>
      </c>
      <c r="L42" s="124">
        <v>-43.999999999999993</v>
      </c>
    </row>
    <row r="43" spans="5:12" x14ac:dyDescent="0.4">
      <c r="E43" s="82" t="s">
        <v>107</v>
      </c>
      <c r="F43" s="78" t="s">
        <v>60</v>
      </c>
      <c r="G43" s="65">
        <v>0</v>
      </c>
      <c r="H43" s="47">
        <f>IF(B$25=0,0,G43/B$25)</f>
        <v>0</v>
      </c>
      <c r="I43" s="118">
        <v>1</v>
      </c>
      <c r="K43" s="46">
        <v>41</v>
      </c>
      <c r="L43" s="124">
        <v>22.000000000000007</v>
      </c>
    </row>
    <row r="44" spans="5:12" x14ac:dyDescent="0.4">
      <c r="E44" s="82" t="s">
        <v>108</v>
      </c>
      <c r="F44" s="78" t="s">
        <v>61</v>
      </c>
      <c r="G44" s="65">
        <v>0</v>
      </c>
      <c r="H44" s="47">
        <f>IF(B$25=0,0,G44/B$25)</f>
        <v>0</v>
      </c>
      <c r="I44" s="118">
        <v>1</v>
      </c>
      <c r="K44" s="46">
        <v>42</v>
      </c>
      <c r="L44" s="124">
        <v>7.1054273576010019E-15</v>
      </c>
    </row>
    <row r="45" spans="5:12" x14ac:dyDescent="0.4">
      <c r="E45" s="82" t="s">
        <v>109</v>
      </c>
      <c r="F45" s="78" t="s">
        <v>62</v>
      </c>
      <c r="G45" s="65">
        <v>0</v>
      </c>
      <c r="H45" s="47">
        <f>IF(B$25=0,0,G45/B$25)</f>
        <v>0</v>
      </c>
      <c r="I45" s="118">
        <v>1</v>
      </c>
      <c r="K45" s="46">
        <v>43</v>
      </c>
      <c r="L45" s="124">
        <v>-36.999999999999993</v>
      </c>
    </row>
    <row r="46" spans="5:12" x14ac:dyDescent="0.4">
      <c r="E46" s="82" t="s">
        <v>110</v>
      </c>
      <c r="F46" s="78" t="s">
        <v>117</v>
      </c>
      <c r="G46" s="65">
        <v>0</v>
      </c>
      <c r="H46" s="47">
        <f>IF(B$25=0,0,G46/B$25)</f>
        <v>0</v>
      </c>
      <c r="I46" s="118">
        <v>1</v>
      </c>
      <c r="K46" s="46">
        <v>44</v>
      </c>
      <c r="L46" s="124">
        <v>-35.499999999999993</v>
      </c>
    </row>
    <row r="47" spans="5:12" x14ac:dyDescent="0.4">
      <c r="E47" s="82" t="s">
        <v>112</v>
      </c>
      <c r="F47" s="78" t="s">
        <v>119</v>
      </c>
      <c r="G47" s="65">
        <v>0</v>
      </c>
      <c r="H47" s="47">
        <f>IF(B$25=0,0,G47/B$25)</f>
        <v>0</v>
      </c>
      <c r="I47" s="118">
        <v>1</v>
      </c>
      <c r="K47" s="46">
        <v>45</v>
      </c>
      <c r="L47" s="124">
        <v>7.1054273576010019E-15</v>
      </c>
    </row>
    <row r="48" spans="5:12" x14ac:dyDescent="0.4">
      <c r="E48" s="82" t="s">
        <v>113</v>
      </c>
      <c r="F48" s="78" t="s">
        <v>63</v>
      </c>
      <c r="G48" s="65">
        <v>0</v>
      </c>
      <c r="H48" s="47">
        <f>IF(B$25=0,0,G48/B$25)</f>
        <v>0</v>
      </c>
      <c r="I48" s="118">
        <v>1</v>
      </c>
      <c r="K48" s="46">
        <v>46</v>
      </c>
      <c r="L48" s="124">
        <v>1.6000000000000072</v>
      </c>
    </row>
    <row r="49" spans="5:12" x14ac:dyDescent="0.4">
      <c r="E49" s="82" t="s">
        <v>114</v>
      </c>
      <c r="F49" s="78" t="s">
        <v>64</v>
      </c>
      <c r="G49" s="65">
        <v>0</v>
      </c>
      <c r="H49" s="47">
        <f>IF(B$25=0,0,G49/B$25)</f>
        <v>0</v>
      </c>
      <c r="I49" s="118">
        <v>1</v>
      </c>
      <c r="K49" s="46">
        <v>47</v>
      </c>
      <c r="L49" s="124">
        <v>5.4000000000000075</v>
      </c>
    </row>
    <row r="50" spans="5:12" x14ac:dyDescent="0.4">
      <c r="E50" s="82" t="s">
        <v>115</v>
      </c>
      <c r="F50" s="78" t="s">
        <v>65</v>
      </c>
      <c r="G50" s="65">
        <v>0</v>
      </c>
      <c r="H50" s="47">
        <f>IF(B$25=0,0,G50/B$25)</f>
        <v>0</v>
      </c>
      <c r="I50" s="118">
        <v>1</v>
      </c>
      <c r="K50" s="46">
        <v>48</v>
      </c>
      <c r="L50" s="124">
        <v>7.1054273576010019E-15</v>
      </c>
    </row>
    <row r="51" spans="5:12" x14ac:dyDescent="0.4">
      <c r="E51" s="83" t="s">
        <v>116</v>
      </c>
      <c r="F51" s="79" t="s">
        <v>66</v>
      </c>
      <c r="G51" s="67">
        <v>0</v>
      </c>
      <c r="H51" s="51">
        <f>IF(B$25=0,0,G51/B$25)</f>
        <v>0</v>
      </c>
      <c r="I51" s="119">
        <v>1</v>
      </c>
      <c r="K51" s="46">
        <v>49</v>
      </c>
      <c r="L51" s="124">
        <v>-21.399999999999991</v>
      </c>
    </row>
    <row r="52" spans="5:12" x14ac:dyDescent="0.4">
      <c r="K52" s="46">
        <v>50</v>
      </c>
      <c r="L52" s="124">
        <v>-53.899999999999991</v>
      </c>
    </row>
    <row r="53" spans="5:12" x14ac:dyDescent="0.4">
      <c r="K53" s="46">
        <v>51</v>
      </c>
      <c r="L53" s="124">
        <v>7.1054273576010019E-15</v>
      </c>
    </row>
    <row r="54" spans="5:12" x14ac:dyDescent="0.4">
      <c r="K54" s="46">
        <v>52</v>
      </c>
      <c r="L54" s="124">
        <v>14.900000000000007</v>
      </c>
    </row>
    <row r="55" spans="5:12" x14ac:dyDescent="0.4">
      <c r="K55" s="46">
        <v>53</v>
      </c>
      <c r="L55" s="124">
        <v>1.2000000000000082</v>
      </c>
    </row>
    <row r="56" spans="5:12" x14ac:dyDescent="0.4">
      <c r="K56" s="46">
        <v>54</v>
      </c>
      <c r="L56" s="124">
        <v>8.2156503822261584E-15</v>
      </c>
    </row>
    <row r="57" spans="5:12" x14ac:dyDescent="0.4">
      <c r="K57" s="46">
        <v>55</v>
      </c>
      <c r="L57" s="124">
        <v>57.20000000000001</v>
      </c>
    </row>
    <row r="58" spans="5:12" x14ac:dyDescent="0.4">
      <c r="K58" s="46">
        <v>56</v>
      </c>
      <c r="L58" s="124">
        <v>18.800000000000011</v>
      </c>
    </row>
    <row r="59" spans="5:12" x14ac:dyDescent="0.4">
      <c r="K59" s="46">
        <v>57</v>
      </c>
      <c r="L59" s="124">
        <v>1.0658141036401503E-14</v>
      </c>
    </row>
    <row r="60" spans="5:12" x14ac:dyDescent="0.4">
      <c r="K60" s="46">
        <v>58</v>
      </c>
      <c r="L60" s="124">
        <v>26.20000000000001</v>
      </c>
    </row>
    <row r="61" spans="5:12" x14ac:dyDescent="0.4">
      <c r="K61" s="46">
        <v>59</v>
      </c>
      <c r="L61" s="124">
        <v>1.0000000000000107</v>
      </c>
    </row>
    <row r="62" spans="5:12" x14ac:dyDescent="0.4">
      <c r="K62" s="46">
        <v>60</v>
      </c>
      <c r="L62" s="124">
        <v>1.0658141036401503E-14</v>
      </c>
    </row>
    <row r="63" spans="5:12" x14ac:dyDescent="0.4">
      <c r="K63" s="46">
        <v>61</v>
      </c>
      <c r="L63" s="124">
        <v>56.500000000000014</v>
      </c>
    </row>
    <row r="64" spans="5:12" x14ac:dyDescent="0.4">
      <c r="K64" s="46">
        <v>62</v>
      </c>
      <c r="L64" s="124">
        <v>10.000000000000014</v>
      </c>
    </row>
    <row r="65" spans="11:12" x14ac:dyDescent="0.4">
      <c r="K65" s="46">
        <v>63</v>
      </c>
      <c r="L65" s="124">
        <v>1.4210854715202004E-14</v>
      </c>
    </row>
    <row r="66" spans="11:12" x14ac:dyDescent="0.4">
      <c r="K66" s="46">
        <v>64</v>
      </c>
      <c r="L66" s="124">
        <v>-25.499999999999986</v>
      </c>
    </row>
    <row r="67" spans="11:12" x14ac:dyDescent="0.4">
      <c r="K67" s="46">
        <v>65</v>
      </c>
      <c r="L67" s="124">
        <v>-65.399999999999977</v>
      </c>
    </row>
    <row r="68" spans="11:12" x14ac:dyDescent="0.4">
      <c r="K68" s="46">
        <v>66</v>
      </c>
      <c r="L68" s="124">
        <v>2.8421709430404007E-14</v>
      </c>
    </row>
    <row r="69" spans="11:12" x14ac:dyDescent="0.4">
      <c r="K69" s="46">
        <v>67</v>
      </c>
      <c r="L69" s="124">
        <v>24.700000000000028</v>
      </c>
    </row>
    <row r="70" spans="11:12" x14ac:dyDescent="0.4">
      <c r="K70" s="46">
        <v>68</v>
      </c>
      <c r="L70" s="124">
        <v>-11.099999999999969</v>
      </c>
    </row>
    <row r="71" spans="11:12" x14ac:dyDescent="0.4">
      <c r="K71" s="46">
        <v>69</v>
      </c>
      <c r="L71" s="124">
        <v>3.0198066269804258E-14</v>
      </c>
    </row>
    <row r="72" spans="11:12" x14ac:dyDescent="0.4">
      <c r="K72" s="46">
        <v>70</v>
      </c>
      <c r="L72" s="124">
        <v>-6.4999999999999698</v>
      </c>
    </row>
    <row r="73" spans="11:12" x14ac:dyDescent="0.4">
      <c r="K73" s="46">
        <v>71</v>
      </c>
      <c r="L73" s="124">
        <v>-50.999999999999972</v>
      </c>
    </row>
    <row r="74" spans="11:12" x14ac:dyDescent="0.4">
      <c r="K74" s="46">
        <v>72</v>
      </c>
      <c r="L74" s="124">
        <v>2.8421709430404007E-14</v>
      </c>
    </row>
    <row r="75" spans="11:12" x14ac:dyDescent="0.4">
      <c r="K75" s="46">
        <v>73</v>
      </c>
      <c r="L75" s="124">
        <v>-33.699999999999974</v>
      </c>
    </row>
    <row r="76" spans="11:12" x14ac:dyDescent="0.4">
      <c r="K76" s="46">
        <v>74</v>
      </c>
      <c r="L76" s="124">
        <v>-17.199999999999974</v>
      </c>
    </row>
    <row r="77" spans="11:12" x14ac:dyDescent="0.4">
      <c r="K77" s="46">
        <v>75</v>
      </c>
      <c r="L77" s="124">
        <v>2.4868995751603507E-14</v>
      </c>
    </row>
    <row r="78" spans="11:12" x14ac:dyDescent="0.4">
      <c r="K78" s="46">
        <v>76</v>
      </c>
      <c r="L78" s="124">
        <v>23.900000000000023</v>
      </c>
    </row>
    <row r="79" spans="11:12" x14ac:dyDescent="0.4">
      <c r="K79" s="46">
        <v>77</v>
      </c>
      <c r="L79" s="124">
        <v>15.500000000000023</v>
      </c>
    </row>
    <row r="80" spans="11:12" x14ac:dyDescent="0.4">
      <c r="K80" s="46">
        <v>78</v>
      </c>
      <c r="L80" s="124">
        <v>2.3092638912203256E-14</v>
      </c>
    </row>
    <row r="81" spans="11:12" x14ac:dyDescent="0.4">
      <c r="K81" s="46">
        <v>79</v>
      </c>
      <c r="L81" s="124">
        <v>-36.999999999999979</v>
      </c>
    </row>
    <row r="82" spans="11:12" x14ac:dyDescent="0.4">
      <c r="K82" s="46">
        <v>80</v>
      </c>
      <c r="L82" s="124">
        <v>24.500000000000021</v>
      </c>
    </row>
    <row r="83" spans="11:12" x14ac:dyDescent="0.4">
      <c r="K83" s="46">
        <v>81</v>
      </c>
      <c r="L83" s="124">
        <v>2.1316282072803006E-14</v>
      </c>
    </row>
    <row r="84" spans="11:12" x14ac:dyDescent="0.4">
      <c r="K84" s="46">
        <v>82</v>
      </c>
      <c r="L84" s="124">
        <v>58.000000000000021</v>
      </c>
    </row>
    <row r="85" spans="11:12" x14ac:dyDescent="0.4">
      <c r="K85" s="46">
        <v>83</v>
      </c>
      <c r="L85" s="124">
        <v>41.500000000000021</v>
      </c>
    </row>
    <row r="86" spans="11:12" x14ac:dyDescent="0.4">
      <c r="K86" s="46">
        <v>84</v>
      </c>
      <c r="L86" s="124">
        <v>2.1316282072803006E-14</v>
      </c>
    </row>
    <row r="87" spans="11:12" x14ac:dyDescent="0.4">
      <c r="K87" s="46">
        <v>85</v>
      </c>
      <c r="L87" s="124">
        <v>-8.399999999999979</v>
      </c>
    </row>
    <row r="88" spans="11:12" x14ac:dyDescent="0.4">
      <c r="K88" s="46">
        <v>86</v>
      </c>
      <c r="L88" s="124">
        <v>19.300000000000018</v>
      </c>
    </row>
    <row r="89" spans="11:12" x14ac:dyDescent="0.4">
      <c r="K89" s="46">
        <v>87</v>
      </c>
      <c r="L89" s="124">
        <v>1.7763568394002505E-14</v>
      </c>
    </row>
    <row r="90" spans="11:12" x14ac:dyDescent="0.4">
      <c r="K90" s="46">
        <v>88</v>
      </c>
      <c r="L90" s="124">
        <v>-8.3999999999999826</v>
      </c>
    </row>
    <row r="91" spans="11:12" x14ac:dyDescent="0.4">
      <c r="K91" s="46">
        <v>89</v>
      </c>
      <c r="L91" s="124">
        <v>19.300000000000018</v>
      </c>
    </row>
    <row r="92" spans="11:12" x14ac:dyDescent="0.4">
      <c r="K92" s="46">
        <v>90</v>
      </c>
      <c r="L92" s="124">
        <v>1.7763568394002505E-14</v>
      </c>
    </row>
    <row r="93" spans="11:12" x14ac:dyDescent="0.4">
      <c r="K93" s="46">
        <v>91</v>
      </c>
      <c r="L93" s="124">
        <v>53.300000000000011</v>
      </c>
    </row>
    <row r="94" spans="11:12" x14ac:dyDescent="0.4">
      <c r="K94" s="46">
        <v>92</v>
      </c>
      <c r="L94" s="124">
        <v>14.400000000000013</v>
      </c>
    </row>
    <row r="95" spans="11:12" x14ac:dyDescent="0.4">
      <c r="K95" s="46">
        <v>93</v>
      </c>
      <c r="L95" s="124">
        <v>1.2434497875801753E-14</v>
      </c>
    </row>
    <row r="96" spans="11:12" x14ac:dyDescent="0.4">
      <c r="K96" s="46">
        <v>94</v>
      </c>
      <c r="L96" s="124">
        <v>-13.999999999999988</v>
      </c>
    </row>
    <row r="97" spans="11:12" x14ac:dyDescent="0.4">
      <c r="K97" s="46">
        <v>95</v>
      </c>
      <c r="L97" s="124">
        <v>-51.999999999999986</v>
      </c>
    </row>
    <row r="98" spans="11:12" x14ac:dyDescent="0.4">
      <c r="K98" s="46">
        <v>96</v>
      </c>
      <c r="L98" s="124">
        <v>1.4210854715202004E-14</v>
      </c>
    </row>
    <row r="99" spans="11:12" x14ac:dyDescent="0.4">
      <c r="K99" s="46">
        <v>97</v>
      </c>
      <c r="L99" s="124">
        <v>60.700000000000017</v>
      </c>
    </row>
    <row r="100" spans="11:12" x14ac:dyDescent="0.4">
      <c r="K100" s="46">
        <v>98</v>
      </c>
      <c r="L100" s="124">
        <v>40.40000000000002</v>
      </c>
    </row>
    <row r="101" spans="11:12" x14ac:dyDescent="0.4">
      <c r="K101" s="46">
        <v>99</v>
      </c>
      <c r="L101" s="124">
        <v>2.1316282072803006E-14</v>
      </c>
    </row>
    <row r="102" spans="11:12" x14ac:dyDescent="0.4">
      <c r="K102" s="46">
        <v>100</v>
      </c>
      <c r="L102" s="124">
        <v>50.000000000000021</v>
      </c>
    </row>
    <row r="103" spans="11:12" x14ac:dyDescent="0.4">
      <c r="K103" s="46">
        <v>101</v>
      </c>
      <c r="L103" s="124">
        <v>41.500000000000021</v>
      </c>
    </row>
    <row r="104" spans="11:12" x14ac:dyDescent="0.4">
      <c r="K104" s="46">
        <v>102</v>
      </c>
      <c r="L104" s="124">
        <v>2.1316282072803006E-14</v>
      </c>
    </row>
    <row r="105" spans="11:12" x14ac:dyDescent="0.4">
      <c r="K105" s="46">
        <v>103</v>
      </c>
      <c r="L105" s="124">
        <v>-13.999999999999979</v>
      </c>
    </row>
    <row r="106" spans="11:12" x14ac:dyDescent="0.4">
      <c r="K106" s="46">
        <v>104</v>
      </c>
      <c r="L106" s="124">
        <v>-52.499999999999979</v>
      </c>
    </row>
    <row r="107" spans="11:12" x14ac:dyDescent="0.4">
      <c r="K107" s="46">
        <v>105</v>
      </c>
      <c r="L107" s="124">
        <v>2.1316282072803006E-14</v>
      </c>
    </row>
    <row r="108" spans="11:12" x14ac:dyDescent="0.4">
      <c r="K108" s="46">
        <v>106</v>
      </c>
      <c r="L108" s="124">
        <v>-3.3999999999999786</v>
      </c>
    </row>
    <row r="109" spans="11:12" x14ac:dyDescent="0.4">
      <c r="K109" s="46">
        <v>107</v>
      </c>
      <c r="L109" s="124">
        <v>-14.999999999999979</v>
      </c>
    </row>
    <row r="110" spans="11:12" x14ac:dyDescent="0.4">
      <c r="K110" s="46">
        <v>108</v>
      </c>
      <c r="L110" s="124">
        <v>2.1316282072803006E-14</v>
      </c>
    </row>
    <row r="111" spans="11:12" x14ac:dyDescent="0.4">
      <c r="K111" s="46">
        <v>109</v>
      </c>
      <c r="L111" s="124">
        <v>-17.09999999999998</v>
      </c>
    </row>
    <row r="112" spans="11:12" x14ac:dyDescent="0.4">
      <c r="K112" s="46">
        <v>110</v>
      </c>
      <c r="L112" s="124">
        <v>-16.799999999999979</v>
      </c>
    </row>
    <row r="113" spans="11:12" x14ac:dyDescent="0.4">
      <c r="K113" s="46">
        <v>111</v>
      </c>
      <c r="L113" s="124">
        <v>2.1316282072803006E-14</v>
      </c>
    </row>
    <row r="114" spans="11:12" x14ac:dyDescent="0.4">
      <c r="K114" s="46">
        <v>112</v>
      </c>
      <c r="L114" s="124">
        <v>21.100000000000023</v>
      </c>
    </row>
    <row r="115" spans="11:12" x14ac:dyDescent="0.4">
      <c r="K115" s="46">
        <v>113</v>
      </c>
      <c r="L115" s="124">
        <v>35.800000000000026</v>
      </c>
    </row>
    <row r="116" spans="11:12" x14ac:dyDescent="0.4">
      <c r="K116" s="46">
        <v>114</v>
      </c>
      <c r="L116" s="124">
        <v>2.8421709430404007E-14</v>
      </c>
    </row>
    <row r="117" spans="11:12" x14ac:dyDescent="0.4">
      <c r="K117" s="46">
        <v>115</v>
      </c>
      <c r="L117" s="124">
        <v>-50.599999999999973</v>
      </c>
    </row>
    <row r="118" spans="11:12" x14ac:dyDescent="0.4">
      <c r="K118" s="46">
        <v>116</v>
      </c>
      <c r="L118" s="124">
        <v>-2.599999999999973</v>
      </c>
    </row>
    <row r="119" spans="11:12" x14ac:dyDescent="0.4">
      <c r="K119" s="46">
        <v>117</v>
      </c>
      <c r="L119" s="124">
        <v>2.708944180085382E-14</v>
      </c>
    </row>
    <row r="120" spans="11:12" x14ac:dyDescent="0.4">
      <c r="K120" s="46">
        <v>118</v>
      </c>
      <c r="L120" s="124">
        <v>-8.1999999999999726</v>
      </c>
    </row>
    <row r="121" spans="11:12" x14ac:dyDescent="0.4">
      <c r="K121" s="46">
        <v>119</v>
      </c>
      <c r="L121" s="124">
        <v>-49.999999999999972</v>
      </c>
    </row>
    <row r="122" spans="11:12" x14ac:dyDescent="0.4">
      <c r="K122" s="46">
        <v>120</v>
      </c>
      <c r="L122" s="124">
        <v>2.8421709430404007E-14</v>
      </c>
    </row>
    <row r="123" spans="11:12" x14ac:dyDescent="0.4">
      <c r="K123" s="46">
        <v>121</v>
      </c>
      <c r="L123" s="124">
        <v>-6.9999999999999716</v>
      </c>
    </row>
    <row r="124" spans="11:12" x14ac:dyDescent="0.4">
      <c r="K124" s="46">
        <v>122</v>
      </c>
      <c r="L124" s="124">
        <v>-12.499999999999972</v>
      </c>
    </row>
    <row r="125" spans="11:12" x14ac:dyDescent="0.4">
      <c r="K125" s="46">
        <v>123</v>
      </c>
      <c r="L125" s="124">
        <v>2.8421709430404007E-14</v>
      </c>
    </row>
    <row r="126" spans="11:12" x14ac:dyDescent="0.4">
      <c r="K126" s="46">
        <v>124</v>
      </c>
      <c r="L126" s="124">
        <v>-36.39999999999997</v>
      </c>
    </row>
    <row r="127" spans="11:12" x14ac:dyDescent="0.4">
      <c r="K127" s="46">
        <v>125</v>
      </c>
      <c r="L127" s="124">
        <v>-11.499999999999972</v>
      </c>
    </row>
    <row r="128" spans="11:12" x14ac:dyDescent="0.4">
      <c r="K128" s="46">
        <v>126</v>
      </c>
      <c r="L128" s="124">
        <v>2.8421709430404007E-14</v>
      </c>
    </row>
    <row r="129" spans="11:12" x14ac:dyDescent="0.4">
      <c r="K129" s="46">
        <v>127</v>
      </c>
      <c r="L129" s="124">
        <v>-8.4999999999999716</v>
      </c>
    </row>
    <row r="130" spans="11:12" x14ac:dyDescent="0.4">
      <c r="K130" s="46">
        <v>128</v>
      </c>
      <c r="L130" s="124">
        <v>-5.4999999999999716</v>
      </c>
    </row>
    <row r="131" spans="11:12" x14ac:dyDescent="0.4">
      <c r="K131" s="46">
        <v>129</v>
      </c>
      <c r="L131" s="124">
        <v>2.8421709430404007E-14</v>
      </c>
    </row>
    <row r="132" spans="11:12" x14ac:dyDescent="0.4">
      <c r="K132" s="46">
        <v>130</v>
      </c>
      <c r="L132" s="124">
        <v>8.4000000000000288</v>
      </c>
    </row>
    <row r="133" spans="11:12" x14ac:dyDescent="0.4">
      <c r="K133" s="46">
        <v>131</v>
      </c>
      <c r="L133" s="124">
        <v>23.900000000000027</v>
      </c>
    </row>
    <row r="134" spans="11:12" x14ac:dyDescent="0.4">
      <c r="K134" s="46">
        <v>132</v>
      </c>
      <c r="L134" s="124">
        <v>2.8421709430404007E-14</v>
      </c>
    </row>
    <row r="135" spans="11:12" x14ac:dyDescent="0.4">
      <c r="K135" s="46">
        <v>133</v>
      </c>
      <c r="L135" s="124">
        <v>-10.399999999999972</v>
      </c>
    </row>
    <row r="136" spans="11:12" x14ac:dyDescent="0.4">
      <c r="K136" s="46">
        <v>134</v>
      </c>
      <c r="L136" s="124">
        <v>0.70000000000002771</v>
      </c>
    </row>
    <row r="137" spans="11:12" x14ac:dyDescent="0.4">
      <c r="K137" s="46">
        <v>135</v>
      </c>
      <c r="L137" s="124">
        <v>2.7755575615628914E-14</v>
      </c>
    </row>
    <row r="138" spans="11:12" x14ac:dyDescent="0.4">
      <c r="K138" s="46">
        <v>136</v>
      </c>
      <c r="L138" s="124">
        <v>27.900000000000027</v>
      </c>
    </row>
    <row r="139" spans="11:12" x14ac:dyDescent="0.4">
      <c r="K139" s="46">
        <v>137</v>
      </c>
      <c r="L139" s="124">
        <v>-7.9999999999999716</v>
      </c>
    </row>
    <row r="140" spans="11:12" x14ac:dyDescent="0.4">
      <c r="K140" s="46">
        <v>138</v>
      </c>
      <c r="L140" s="124">
        <v>2.8421709430404007E-14</v>
      </c>
    </row>
    <row r="141" spans="11:12" x14ac:dyDescent="0.4">
      <c r="K141" s="46">
        <v>139</v>
      </c>
      <c r="L141" s="124">
        <v>-20.499999999999972</v>
      </c>
    </row>
    <row r="142" spans="11:12" x14ac:dyDescent="0.4">
      <c r="K142" s="46">
        <v>140</v>
      </c>
      <c r="L142" s="124">
        <v>-25.199999999999971</v>
      </c>
    </row>
    <row r="143" spans="11:12" x14ac:dyDescent="0.4">
      <c r="K143" s="46">
        <v>141</v>
      </c>
      <c r="L143" s="124">
        <v>2.8421709430404007E-14</v>
      </c>
    </row>
    <row r="144" spans="11:12" x14ac:dyDescent="0.4">
      <c r="K144" s="46">
        <v>142</v>
      </c>
      <c r="L144" s="124">
        <v>-31.099999999999973</v>
      </c>
    </row>
    <row r="145" spans="11:12" x14ac:dyDescent="0.4">
      <c r="K145" s="46">
        <v>143</v>
      </c>
      <c r="L145" s="124">
        <v>-62.299999999999969</v>
      </c>
    </row>
    <row r="146" spans="11:12" x14ac:dyDescent="0.4">
      <c r="K146" s="46">
        <v>144</v>
      </c>
      <c r="L146" s="124">
        <v>2.8421709430404007E-14</v>
      </c>
    </row>
    <row r="147" spans="11:12" x14ac:dyDescent="0.4">
      <c r="K147" s="46">
        <v>145</v>
      </c>
      <c r="L147" s="124">
        <v>16.200000000000028</v>
      </c>
    </row>
    <row r="148" spans="11:12" x14ac:dyDescent="0.4">
      <c r="K148" s="46">
        <v>146</v>
      </c>
      <c r="L148" s="124">
        <v>-8.599999999999973</v>
      </c>
    </row>
    <row r="149" spans="11:12" x14ac:dyDescent="0.4">
      <c r="K149" s="46">
        <v>147</v>
      </c>
      <c r="L149" s="124">
        <v>2.6645352591003757E-14</v>
      </c>
    </row>
    <row r="150" spans="11:12" x14ac:dyDescent="0.4">
      <c r="K150" s="46">
        <v>148</v>
      </c>
      <c r="L150" s="124">
        <v>-4.8999999999999737</v>
      </c>
    </row>
    <row r="151" spans="11:12" x14ac:dyDescent="0.4">
      <c r="K151" s="46">
        <v>149</v>
      </c>
      <c r="L151" s="124">
        <v>-16.799999999999976</v>
      </c>
    </row>
    <row r="152" spans="11:12" x14ac:dyDescent="0.4">
      <c r="K152" s="46">
        <v>150</v>
      </c>
      <c r="L152" s="124">
        <v>-1.9999999999999751</v>
      </c>
    </row>
    <row r="153" spans="11:12" x14ac:dyDescent="0.4">
      <c r="K153" s="46">
        <v>151</v>
      </c>
      <c r="L153" s="124">
        <v>10.800000000000026</v>
      </c>
    </row>
    <row r="154" spans="11:12" x14ac:dyDescent="0.4">
      <c r="K154" s="46">
        <v>152</v>
      </c>
      <c r="L154" s="124">
        <v>14.700000000000026</v>
      </c>
    </row>
    <row r="155" spans="11:12" x14ac:dyDescent="0.4">
      <c r="K155" s="46">
        <v>153</v>
      </c>
      <c r="L155" s="124">
        <v>-1.9999999999999734</v>
      </c>
    </row>
    <row r="156" spans="11:12" x14ac:dyDescent="0.4">
      <c r="K156" s="46">
        <v>154</v>
      </c>
      <c r="L156" s="124">
        <v>-1.2999999999999734</v>
      </c>
    </row>
    <row r="157" spans="11:12" x14ac:dyDescent="0.4">
      <c r="K157" s="46">
        <v>155</v>
      </c>
      <c r="L157" s="124">
        <v>41.900000000000027</v>
      </c>
    </row>
    <row r="158" spans="11:12" x14ac:dyDescent="0.4">
      <c r="K158" s="46">
        <v>156</v>
      </c>
      <c r="L158" s="124">
        <v>-1.9999999999999716</v>
      </c>
    </row>
    <row r="159" spans="11:12" x14ac:dyDescent="0.4">
      <c r="K159" s="46">
        <v>157</v>
      </c>
      <c r="L159" s="124">
        <v>-8.6999999999999709</v>
      </c>
    </row>
    <row r="160" spans="11:12" x14ac:dyDescent="0.4">
      <c r="K160" s="46">
        <v>158</v>
      </c>
      <c r="L160" s="124">
        <v>-11.499999999999972</v>
      </c>
    </row>
    <row r="161" spans="11:12" x14ac:dyDescent="0.4">
      <c r="K161" s="46">
        <v>159</v>
      </c>
      <c r="L161" s="124">
        <v>-1.9999999999999716</v>
      </c>
    </row>
    <row r="162" spans="11:12" x14ac:dyDescent="0.4">
      <c r="K162" s="46">
        <v>160</v>
      </c>
      <c r="L162" s="124">
        <v>-29.999999999999972</v>
      </c>
    </row>
    <row r="163" spans="11:12" x14ac:dyDescent="0.4">
      <c r="K163" s="46">
        <v>161</v>
      </c>
      <c r="L163" s="124">
        <v>-84.999999999999972</v>
      </c>
    </row>
    <row r="164" spans="11:12" x14ac:dyDescent="0.4">
      <c r="K164" s="46">
        <v>162</v>
      </c>
      <c r="L164" s="124">
        <v>-1.9999999999999716</v>
      </c>
    </row>
    <row r="165" spans="11:12" x14ac:dyDescent="0.4">
      <c r="K165" s="46">
        <v>163</v>
      </c>
      <c r="L165" s="124">
        <v>14.700000000000028</v>
      </c>
    </row>
    <row r="166" spans="11:12" x14ac:dyDescent="0.4">
      <c r="K166" s="46">
        <v>164</v>
      </c>
      <c r="L166" s="124">
        <v>-22.999999999999975</v>
      </c>
    </row>
    <row r="167" spans="11:12" x14ac:dyDescent="0.4">
      <c r="K167" s="46">
        <v>165</v>
      </c>
      <c r="L167" s="124">
        <v>-1.9999999999999751</v>
      </c>
    </row>
    <row r="168" spans="11:12" x14ac:dyDescent="0.4">
      <c r="K168" s="46">
        <v>166</v>
      </c>
      <c r="L168" s="124">
        <v>-8.9999999999999751</v>
      </c>
    </row>
    <row r="169" spans="11:12" x14ac:dyDescent="0.4">
      <c r="K169" s="46">
        <v>167</v>
      </c>
      <c r="L169" s="124">
        <v>-14.899999999999975</v>
      </c>
    </row>
    <row r="170" spans="11:12" x14ac:dyDescent="0.4">
      <c r="K170" s="46">
        <v>168</v>
      </c>
      <c r="L170" s="124">
        <v>-2.9999999999999751</v>
      </c>
    </row>
    <row r="171" spans="11:12" x14ac:dyDescent="0.4">
      <c r="K171" s="46">
        <v>169</v>
      </c>
      <c r="L171" s="124">
        <v>28.600000000000026</v>
      </c>
    </row>
    <row r="172" spans="11:12" x14ac:dyDescent="0.4">
      <c r="K172" s="46">
        <v>170</v>
      </c>
      <c r="L172" s="124">
        <v>34.800000000000026</v>
      </c>
    </row>
    <row r="173" spans="11:12" x14ac:dyDescent="0.4">
      <c r="K173" s="46">
        <v>171</v>
      </c>
      <c r="L173" s="124">
        <v>-2.9999999999999716</v>
      </c>
    </row>
    <row r="174" spans="11:12" x14ac:dyDescent="0.4">
      <c r="K174" s="46">
        <v>172</v>
      </c>
      <c r="L174" s="124">
        <v>12.800000000000029</v>
      </c>
    </row>
    <row r="175" spans="11:12" x14ac:dyDescent="0.4">
      <c r="K175" s="46">
        <v>173</v>
      </c>
      <c r="L175" s="124">
        <v>-33.299999999999969</v>
      </c>
    </row>
    <row r="176" spans="11:12" x14ac:dyDescent="0.4">
      <c r="K176" s="46">
        <v>174</v>
      </c>
      <c r="L176" s="124">
        <v>-2.999999999999968</v>
      </c>
    </row>
    <row r="177" spans="11:12" x14ac:dyDescent="0.4">
      <c r="K177" s="46">
        <v>175</v>
      </c>
      <c r="L177" s="124">
        <v>54.000000000000028</v>
      </c>
    </row>
    <row r="178" spans="11:12" x14ac:dyDescent="0.4">
      <c r="K178" s="46">
        <v>176</v>
      </c>
      <c r="L178" s="124">
        <v>3.5000000000000284</v>
      </c>
    </row>
    <row r="179" spans="11:12" x14ac:dyDescent="0.4">
      <c r="K179" s="46">
        <v>177</v>
      </c>
      <c r="L179" s="124">
        <v>-2.9999999999999716</v>
      </c>
    </row>
    <row r="180" spans="11:12" x14ac:dyDescent="0.4">
      <c r="K180" s="46">
        <v>178</v>
      </c>
      <c r="L180" s="124">
        <v>2.3000000000000282</v>
      </c>
    </row>
    <row r="181" spans="11:12" x14ac:dyDescent="0.4">
      <c r="K181" s="46">
        <v>179</v>
      </c>
      <c r="L181" s="124">
        <v>8.6000000000000281</v>
      </c>
    </row>
    <row r="182" spans="11:12" x14ac:dyDescent="0.4">
      <c r="K182" s="46">
        <v>180</v>
      </c>
      <c r="L182" s="124">
        <v>-2.9999999999999716</v>
      </c>
    </row>
    <row r="183" spans="11:12" x14ac:dyDescent="0.4">
      <c r="K183" s="46">
        <v>181</v>
      </c>
      <c r="L183" s="124">
        <v>-39.199999999999974</v>
      </c>
    </row>
    <row r="184" spans="11:12" x14ac:dyDescent="0.4">
      <c r="K184" s="46">
        <v>182</v>
      </c>
      <c r="L184" s="124">
        <v>-20.499999999999975</v>
      </c>
    </row>
    <row r="185" spans="11:12" x14ac:dyDescent="0.4">
      <c r="K185" s="46">
        <v>183</v>
      </c>
      <c r="L185" s="124">
        <v>-2.9999999999999751</v>
      </c>
    </row>
    <row r="186" spans="11:12" x14ac:dyDescent="0.4">
      <c r="K186" s="46">
        <v>184</v>
      </c>
      <c r="L186" s="124">
        <v>-49.09999999999998</v>
      </c>
    </row>
    <row r="187" spans="11:12" x14ac:dyDescent="0.4">
      <c r="K187" s="46">
        <v>185</v>
      </c>
      <c r="L187" s="124">
        <v>-43.999999999999979</v>
      </c>
    </row>
    <row r="188" spans="11:12" x14ac:dyDescent="0.4">
      <c r="K188" s="46">
        <v>186</v>
      </c>
      <c r="L188" s="124">
        <v>-2.9999999999999787</v>
      </c>
    </row>
    <row r="189" spans="11:12" x14ac:dyDescent="0.4">
      <c r="K189" s="46">
        <v>187</v>
      </c>
      <c r="L189" s="124">
        <v>32.000000000000021</v>
      </c>
    </row>
    <row r="190" spans="11:12" x14ac:dyDescent="0.4">
      <c r="K190" s="46">
        <v>188</v>
      </c>
      <c r="L190" s="124">
        <v>7.5000000000000213</v>
      </c>
    </row>
    <row r="191" spans="11:12" x14ac:dyDescent="0.4">
      <c r="K191" s="46">
        <v>189</v>
      </c>
      <c r="L191" s="124">
        <v>-2.9999999999999787</v>
      </c>
    </row>
    <row r="192" spans="11:12" x14ac:dyDescent="0.4">
      <c r="K192" s="46">
        <v>190</v>
      </c>
      <c r="L192" s="124">
        <v>18.100000000000023</v>
      </c>
    </row>
    <row r="193" spans="11:12" x14ac:dyDescent="0.4">
      <c r="K193" s="46">
        <v>191</v>
      </c>
      <c r="L193" s="124">
        <v>4.2000000000000224</v>
      </c>
    </row>
    <row r="194" spans="11:12" x14ac:dyDescent="0.4">
      <c r="K194" s="46">
        <v>192</v>
      </c>
      <c r="L194" s="124">
        <v>-2.9999999999999778</v>
      </c>
    </row>
    <row r="195" spans="11:12" x14ac:dyDescent="0.4">
      <c r="K195" s="46">
        <v>193</v>
      </c>
      <c r="L195" s="124">
        <v>-68.999999999999972</v>
      </c>
    </row>
    <row r="196" spans="11:12" x14ac:dyDescent="0.4">
      <c r="K196" s="46">
        <v>194</v>
      </c>
      <c r="L196" s="124">
        <v>-77.299999999999969</v>
      </c>
    </row>
    <row r="197" spans="11:12" x14ac:dyDescent="0.4">
      <c r="K197" s="46">
        <v>195</v>
      </c>
      <c r="L197" s="124">
        <v>-2.9999999999999716</v>
      </c>
    </row>
    <row r="198" spans="11:12" x14ac:dyDescent="0.4">
      <c r="K198" s="46">
        <v>196</v>
      </c>
      <c r="L198" s="124">
        <v>-7.9999999999999716</v>
      </c>
    </row>
    <row r="199" spans="11:12" x14ac:dyDescent="0.4">
      <c r="K199" s="46">
        <v>197</v>
      </c>
      <c r="L199" s="124">
        <v>-52.999999999999972</v>
      </c>
    </row>
    <row r="200" spans="11:12" x14ac:dyDescent="0.4">
      <c r="K200" s="46">
        <v>198</v>
      </c>
      <c r="L200" s="124">
        <v>-2.9999999999999716</v>
      </c>
    </row>
    <row r="201" spans="11:12" x14ac:dyDescent="0.4">
      <c r="K201" s="46">
        <v>199</v>
      </c>
      <c r="L201" s="124">
        <v>-1.9999999999999716</v>
      </c>
    </row>
    <row r="202" spans="11:12" x14ac:dyDescent="0.4">
      <c r="K202" s="46">
        <v>200</v>
      </c>
      <c r="L202" s="124">
        <v>-37.999999999999972</v>
      </c>
    </row>
    <row r="203" spans="11:12" x14ac:dyDescent="0.4">
      <c r="K203" s="46">
        <v>201</v>
      </c>
      <c r="L203" s="124">
        <v>-2.9999999999999716</v>
      </c>
    </row>
    <row r="204" spans="11:12" x14ac:dyDescent="0.4">
      <c r="K204" s="46">
        <v>202</v>
      </c>
      <c r="L204" s="124">
        <v>28.60000000000003</v>
      </c>
    </row>
    <row r="205" spans="11:12" x14ac:dyDescent="0.4">
      <c r="K205" s="46">
        <v>203</v>
      </c>
      <c r="L205" s="124">
        <v>-2.6999999999999709</v>
      </c>
    </row>
    <row r="206" spans="11:12" x14ac:dyDescent="0.4">
      <c r="K206" s="46">
        <v>204</v>
      </c>
      <c r="L206" s="124">
        <v>-2.9999999999999707</v>
      </c>
    </row>
    <row r="207" spans="11:12" x14ac:dyDescent="0.4">
      <c r="K207" s="46">
        <v>205</v>
      </c>
      <c r="L207" s="124">
        <v>-21.999999999999972</v>
      </c>
    </row>
    <row r="208" spans="11:12" x14ac:dyDescent="0.4">
      <c r="K208" s="46">
        <v>206</v>
      </c>
      <c r="L208" s="124">
        <v>42.000000000000028</v>
      </c>
    </row>
    <row r="209" spans="11:12" x14ac:dyDescent="0.4">
      <c r="K209" s="46">
        <v>207</v>
      </c>
      <c r="L209" s="124">
        <v>-2.9999999999999716</v>
      </c>
    </row>
    <row r="210" spans="11:12" x14ac:dyDescent="0.4">
      <c r="K210" s="46">
        <v>208</v>
      </c>
      <c r="L210" s="124">
        <v>-12.899999999999972</v>
      </c>
    </row>
    <row r="211" spans="11:12" x14ac:dyDescent="0.4">
      <c r="K211" s="46">
        <v>209</v>
      </c>
      <c r="L211" s="124">
        <v>-9.7999999999999723</v>
      </c>
    </row>
    <row r="212" spans="11:12" x14ac:dyDescent="0.4">
      <c r="K212" s="46">
        <v>210</v>
      </c>
      <c r="L212" s="124">
        <v>-2.9999999999999725</v>
      </c>
    </row>
    <row r="213" spans="11:12" x14ac:dyDescent="0.4">
      <c r="K213" s="46">
        <v>211</v>
      </c>
      <c r="L213" s="124">
        <v>-2.0999999999999726</v>
      </c>
    </row>
    <row r="214" spans="11:12" x14ac:dyDescent="0.4">
      <c r="K214" s="46">
        <v>212</v>
      </c>
      <c r="L214" s="124">
        <v>-0.8999999999999726</v>
      </c>
    </row>
    <row r="215" spans="11:12" x14ac:dyDescent="0.4">
      <c r="K215" s="46">
        <v>213</v>
      </c>
      <c r="L215" s="124">
        <v>-2.9999999999999725</v>
      </c>
    </row>
    <row r="216" spans="11:12" x14ac:dyDescent="0.4">
      <c r="K216" s="46">
        <v>214</v>
      </c>
      <c r="L216" s="124">
        <v>29.300000000000026</v>
      </c>
    </row>
    <row r="217" spans="11:12" x14ac:dyDescent="0.4">
      <c r="K217" s="46">
        <v>215</v>
      </c>
      <c r="L217" s="124">
        <v>32.100000000000023</v>
      </c>
    </row>
    <row r="218" spans="11:12" x14ac:dyDescent="0.4">
      <c r="K218" s="46">
        <v>216</v>
      </c>
      <c r="L218" s="124">
        <v>-2.9999999999999787</v>
      </c>
    </row>
    <row r="219" spans="11:12" x14ac:dyDescent="0.4">
      <c r="K219" s="46">
        <v>217</v>
      </c>
      <c r="L219" s="124">
        <v>-48.999999999999979</v>
      </c>
    </row>
    <row r="220" spans="11:12" x14ac:dyDescent="0.4">
      <c r="K220" s="46">
        <v>218</v>
      </c>
      <c r="L220" s="124">
        <v>-4.3999999999999773</v>
      </c>
    </row>
    <row r="221" spans="11:12" x14ac:dyDescent="0.4">
      <c r="K221" s="46">
        <v>219</v>
      </c>
      <c r="L221" s="124">
        <v>-2.9999999999999774</v>
      </c>
    </row>
    <row r="222" spans="11:12" x14ac:dyDescent="0.4">
      <c r="K222" s="46">
        <v>220</v>
      </c>
      <c r="L222" s="124">
        <v>25.40000000000002</v>
      </c>
    </row>
    <row r="223" spans="11:12" x14ac:dyDescent="0.4">
      <c r="K223" s="46">
        <v>221</v>
      </c>
      <c r="L223" s="124">
        <v>24.000000000000021</v>
      </c>
    </row>
    <row r="224" spans="11:12" x14ac:dyDescent="0.4">
      <c r="K224" s="46">
        <v>222</v>
      </c>
      <c r="L224" s="124">
        <v>-2.9999999999999787</v>
      </c>
    </row>
    <row r="225" spans="11:12" x14ac:dyDescent="0.4">
      <c r="K225" s="46">
        <v>223</v>
      </c>
      <c r="L225" s="124">
        <v>-10.399999999999979</v>
      </c>
    </row>
    <row r="226" spans="11:12" x14ac:dyDescent="0.4">
      <c r="K226" s="46">
        <v>224</v>
      </c>
      <c r="L226" s="124">
        <v>-50.09999999999998</v>
      </c>
    </row>
    <row r="227" spans="11:12" x14ac:dyDescent="0.4">
      <c r="K227" s="46">
        <v>225</v>
      </c>
      <c r="L227" s="124">
        <v>-2.9999999999999787</v>
      </c>
    </row>
    <row r="228" spans="11:12" x14ac:dyDescent="0.4">
      <c r="K228" s="46">
        <v>226</v>
      </c>
      <c r="L228" s="124">
        <v>15.300000000000022</v>
      </c>
    </row>
    <row r="229" spans="11:12" x14ac:dyDescent="0.4">
      <c r="K229" s="46">
        <v>227</v>
      </c>
      <c r="L229" s="124">
        <v>-17.799999999999979</v>
      </c>
    </row>
    <row r="230" spans="11:12" x14ac:dyDescent="0.4">
      <c r="K230" s="46">
        <v>228</v>
      </c>
      <c r="L230" s="124">
        <v>-2.9999999999999787</v>
      </c>
    </row>
    <row r="231" spans="11:12" x14ac:dyDescent="0.4">
      <c r="K231" s="46">
        <v>229</v>
      </c>
      <c r="L231" s="124">
        <v>-16.899999999999977</v>
      </c>
    </row>
    <row r="232" spans="11:12" x14ac:dyDescent="0.4">
      <c r="K232" s="46">
        <v>230</v>
      </c>
      <c r="L232" s="124">
        <v>-35.09999999999998</v>
      </c>
    </row>
    <row r="233" spans="11:12" x14ac:dyDescent="0.4">
      <c r="K233" s="46">
        <v>231</v>
      </c>
      <c r="L233" s="124">
        <v>-2.9999999999999787</v>
      </c>
    </row>
    <row r="234" spans="11:12" x14ac:dyDescent="0.4">
      <c r="K234" s="46">
        <v>232</v>
      </c>
      <c r="L234" s="124">
        <v>37.000000000000021</v>
      </c>
    </row>
    <row r="235" spans="11:12" x14ac:dyDescent="0.4">
      <c r="K235" s="46">
        <v>233</v>
      </c>
      <c r="L235" s="124">
        <v>-3.3999999999999773</v>
      </c>
    </row>
    <row r="236" spans="11:12" x14ac:dyDescent="0.4">
      <c r="K236" s="46">
        <v>234</v>
      </c>
      <c r="L236" s="124">
        <v>-2.9999999999999774</v>
      </c>
    </row>
    <row r="237" spans="11:12" x14ac:dyDescent="0.4">
      <c r="K237" s="46">
        <v>235</v>
      </c>
      <c r="L237" s="124">
        <v>2.2000000000000228</v>
      </c>
    </row>
    <row r="238" spans="11:12" x14ac:dyDescent="0.4">
      <c r="K238" s="46">
        <v>236</v>
      </c>
      <c r="L238" s="124">
        <v>-8.7999999999999776</v>
      </c>
    </row>
    <row r="239" spans="11:12" x14ac:dyDescent="0.4">
      <c r="K239" s="46">
        <v>237</v>
      </c>
      <c r="L239" s="124">
        <v>-2.9999999999999778</v>
      </c>
    </row>
    <row r="240" spans="11:12" x14ac:dyDescent="0.4">
      <c r="K240" s="46">
        <v>238</v>
      </c>
      <c r="L240" s="124">
        <v>-16.699999999999978</v>
      </c>
    </row>
    <row r="241" spans="11:12" x14ac:dyDescent="0.4">
      <c r="K241" s="46">
        <v>239</v>
      </c>
      <c r="L241" s="124">
        <v>-32.499999999999979</v>
      </c>
    </row>
    <row r="242" spans="11:12" x14ac:dyDescent="0.4">
      <c r="K242" s="46">
        <v>240</v>
      </c>
      <c r="L242" s="124">
        <v>-2.9999999999999787</v>
      </c>
    </row>
    <row r="243" spans="11:12" x14ac:dyDescent="0.4">
      <c r="K243" s="46">
        <v>241</v>
      </c>
      <c r="L243" s="124">
        <v>-25.999999999999979</v>
      </c>
    </row>
    <row r="244" spans="11:12" x14ac:dyDescent="0.4">
      <c r="K244" s="46">
        <v>242</v>
      </c>
      <c r="L244" s="124">
        <v>-47.899999999999977</v>
      </c>
    </row>
    <row r="245" spans="11:12" x14ac:dyDescent="0.4">
      <c r="K245" s="46">
        <v>243</v>
      </c>
      <c r="L245" s="124">
        <v>-2.9999999999999787</v>
      </c>
    </row>
    <row r="246" spans="11:12" x14ac:dyDescent="0.4">
      <c r="K246" s="46">
        <v>244</v>
      </c>
      <c r="L246" s="124">
        <v>2.100000000000021</v>
      </c>
    </row>
    <row r="247" spans="11:12" x14ac:dyDescent="0.4">
      <c r="K247" s="46">
        <v>245</v>
      </c>
      <c r="L247" s="124">
        <v>13.400000000000022</v>
      </c>
    </row>
    <row r="248" spans="11:12" x14ac:dyDescent="0.4">
      <c r="K248" s="46">
        <v>246</v>
      </c>
      <c r="L248" s="124">
        <v>-2.9999999999999769</v>
      </c>
    </row>
    <row r="249" spans="11:12" x14ac:dyDescent="0.4">
      <c r="K249" s="46">
        <v>247</v>
      </c>
      <c r="L249" s="124">
        <v>28.90000000000002</v>
      </c>
    </row>
    <row r="250" spans="11:12" x14ac:dyDescent="0.4">
      <c r="K250" s="46">
        <v>248</v>
      </c>
      <c r="L250" s="124">
        <v>35.000000000000021</v>
      </c>
    </row>
    <row r="251" spans="11:12" x14ac:dyDescent="0.4">
      <c r="K251" s="46">
        <v>249</v>
      </c>
      <c r="L251" s="124">
        <v>-2.9999999999999787</v>
      </c>
    </row>
    <row r="252" spans="11:12" x14ac:dyDescent="0.4">
      <c r="K252" s="46">
        <v>250</v>
      </c>
      <c r="L252" s="124">
        <v>37.000000000000021</v>
      </c>
    </row>
    <row r="253" spans="11:12" x14ac:dyDescent="0.4">
      <c r="K253" s="46">
        <v>251</v>
      </c>
      <c r="L253" s="124">
        <v>-6.9999999999999787</v>
      </c>
    </row>
    <row r="254" spans="11:12" x14ac:dyDescent="0.4">
      <c r="K254" s="46">
        <v>252</v>
      </c>
      <c r="L254" s="124">
        <v>-2.9999999999999787</v>
      </c>
    </row>
    <row r="255" spans="11:12" x14ac:dyDescent="0.4">
      <c r="K255" s="46">
        <v>253</v>
      </c>
      <c r="L255" s="124">
        <v>19.500000000000021</v>
      </c>
    </row>
    <row r="256" spans="11:12" x14ac:dyDescent="0.4">
      <c r="K256" s="46">
        <v>254</v>
      </c>
      <c r="L256" s="124">
        <v>-21.499999999999979</v>
      </c>
    </row>
    <row r="257" spans="11:12" x14ac:dyDescent="0.4">
      <c r="K257" s="46">
        <v>255</v>
      </c>
      <c r="L257" s="124">
        <v>-2.9999999999999787</v>
      </c>
    </row>
    <row r="258" spans="11:12" x14ac:dyDescent="0.4">
      <c r="K258" s="46">
        <v>256</v>
      </c>
      <c r="L258" s="124">
        <v>28.500000000000021</v>
      </c>
    </row>
    <row r="259" spans="11:12" x14ac:dyDescent="0.4">
      <c r="K259" s="46">
        <v>257</v>
      </c>
      <c r="L259" s="124">
        <v>17.700000000000021</v>
      </c>
    </row>
    <row r="260" spans="11:12" x14ac:dyDescent="0.4">
      <c r="K260" s="46">
        <v>258</v>
      </c>
      <c r="L260" s="124">
        <v>-2.9999999999999787</v>
      </c>
    </row>
    <row r="261" spans="11:12" x14ac:dyDescent="0.4">
      <c r="K261" s="46">
        <v>259</v>
      </c>
      <c r="L261" s="124">
        <v>56.800000000000018</v>
      </c>
    </row>
    <row r="262" spans="11:12" x14ac:dyDescent="0.4">
      <c r="K262" s="46">
        <v>260</v>
      </c>
      <c r="L262" s="124">
        <v>21.300000000000018</v>
      </c>
    </row>
    <row r="263" spans="11:12" x14ac:dyDescent="0.4">
      <c r="K263" s="46">
        <v>261</v>
      </c>
      <c r="L263" s="124">
        <v>-2.9999999999999822</v>
      </c>
    </row>
    <row r="264" spans="11:12" x14ac:dyDescent="0.4">
      <c r="K264" s="46">
        <v>262</v>
      </c>
      <c r="L264" s="124">
        <v>8.1000000000000174</v>
      </c>
    </row>
    <row r="265" spans="11:12" x14ac:dyDescent="0.4">
      <c r="K265" s="46">
        <v>263</v>
      </c>
      <c r="L265" s="124">
        <v>-18.999999999999986</v>
      </c>
    </row>
    <row r="266" spans="11:12" x14ac:dyDescent="0.4">
      <c r="K266" s="46">
        <v>264</v>
      </c>
      <c r="L266" s="124">
        <v>-2.9999999999999858</v>
      </c>
    </row>
    <row r="267" spans="11:12" x14ac:dyDescent="0.4">
      <c r="K267" s="46">
        <v>265</v>
      </c>
      <c r="L267" s="124">
        <v>-1.3999999999999857</v>
      </c>
    </row>
    <row r="268" spans="11:12" x14ac:dyDescent="0.4">
      <c r="K268" s="46">
        <v>266</v>
      </c>
      <c r="L268" s="124">
        <v>21.200000000000017</v>
      </c>
    </row>
    <row r="269" spans="11:12" x14ac:dyDescent="0.4">
      <c r="K269" s="46">
        <v>267</v>
      </c>
      <c r="L269" s="124">
        <v>-2.9999999999999822</v>
      </c>
    </row>
    <row r="270" spans="11:12" x14ac:dyDescent="0.4">
      <c r="K270" s="46">
        <v>268</v>
      </c>
      <c r="L270" s="124">
        <v>-24.399999999999981</v>
      </c>
    </row>
    <row r="271" spans="11:12" x14ac:dyDescent="0.4">
      <c r="K271" s="46">
        <v>269</v>
      </c>
      <c r="L271" s="124">
        <v>-8.7999999999999812</v>
      </c>
    </row>
    <row r="272" spans="11:12" x14ac:dyDescent="0.4">
      <c r="K272" s="46">
        <v>270</v>
      </c>
      <c r="L272" s="124">
        <v>-2.9999999999999813</v>
      </c>
    </row>
    <row r="273" spans="11:12" x14ac:dyDescent="0.4">
      <c r="K273" s="46">
        <v>271</v>
      </c>
      <c r="L273" s="124">
        <v>0.50000000000001865</v>
      </c>
    </row>
    <row r="274" spans="11:12" x14ac:dyDescent="0.4">
      <c r="K274" s="46">
        <v>272</v>
      </c>
      <c r="L274" s="124">
        <v>1.1000000000000187</v>
      </c>
    </row>
    <row r="275" spans="11:12" x14ac:dyDescent="0.4">
      <c r="K275" s="46">
        <v>273</v>
      </c>
      <c r="L275" s="124">
        <v>-2.9999999999999809</v>
      </c>
    </row>
    <row r="276" spans="11:12" x14ac:dyDescent="0.4">
      <c r="K276" s="46">
        <v>274</v>
      </c>
      <c r="L276" s="124">
        <v>-46.399999999999977</v>
      </c>
    </row>
    <row r="277" spans="11:12" x14ac:dyDescent="0.4">
      <c r="K277" s="46">
        <v>275</v>
      </c>
      <c r="L277" s="124">
        <v>-6.1999999999999744</v>
      </c>
    </row>
    <row r="278" spans="11:12" x14ac:dyDescent="0.4">
      <c r="K278" s="46">
        <v>276</v>
      </c>
      <c r="L278" s="124">
        <v>-2.9999999999999742</v>
      </c>
    </row>
    <row r="279" spans="11:12" x14ac:dyDescent="0.4">
      <c r="K279" s="46">
        <v>277</v>
      </c>
      <c r="L279" s="124">
        <v>-48.499999999999972</v>
      </c>
    </row>
    <row r="280" spans="11:12" x14ac:dyDescent="0.4">
      <c r="K280" s="46">
        <v>278</v>
      </c>
      <c r="L280" s="124">
        <v>-30.999999999999972</v>
      </c>
    </row>
    <row r="281" spans="11:12" x14ac:dyDescent="0.4">
      <c r="K281" s="46">
        <v>279</v>
      </c>
      <c r="L281" s="124">
        <v>-2.9999999999999716</v>
      </c>
    </row>
    <row r="282" spans="11:12" x14ac:dyDescent="0.4">
      <c r="K282" s="46">
        <v>280</v>
      </c>
      <c r="L282" s="124">
        <v>-3.5999999999999717</v>
      </c>
    </row>
    <row r="283" spans="11:12" x14ac:dyDescent="0.4">
      <c r="K283" s="46">
        <v>281</v>
      </c>
      <c r="L283" s="124">
        <v>-42.099999999999973</v>
      </c>
    </row>
    <row r="284" spans="11:12" x14ac:dyDescent="0.4">
      <c r="K284" s="46">
        <v>282</v>
      </c>
      <c r="L284" s="124">
        <v>-2.9999999999999716</v>
      </c>
    </row>
    <row r="285" spans="11:12" x14ac:dyDescent="0.4">
      <c r="K285" s="46">
        <v>283</v>
      </c>
      <c r="L285" s="124">
        <v>23.400000000000027</v>
      </c>
    </row>
    <row r="286" spans="11:12" x14ac:dyDescent="0.4">
      <c r="K286" s="46">
        <v>284</v>
      </c>
      <c r="L286" s="124">
        <v>-4.9999999999999716</v>
      </c>
    </row>
    <row r="287" spans="11:12" x14ac:dyDescent="0.4">
      <c r="K287" s="46">
        <v>285</v>
      </c>
      <c r="L287" s="124">
        <v>-2.9999999999999716</v>
      </c>
    </row>
    <row r="288" spans="11:12" x14ac:dyDescent="0.4">
      <c r="K288" s="46">
        <v>286</v>
      </c>
      <c r="L288" s="124">
        <v>6.7000000000000277</v>
      </c>
    </row>
    <row r="289" spans="11:12" x14ac:dyDescent="0.4">
      <c r="K289" s="46">
        <v>287</v>
      </c>
      <c r="L289" s="124">
        <v>-35.699999999999974</v>
      </c>
    </row>
    <row r="290" spans="11:12" x14ac:dyDescent="0.4">
      <c r="K290" s="46">
        <v>288</v>
      </c>
      <c r="L290" s="124">
        <v>-2.9999999999999716</v>
      </c>
    </row>
    <row r="291" spans="11:12" x14ac:dyDescent="0.4">
      <c r="K291" s="46">
        <v>289</v>
      </c>
      <c r="L291" s="124">
        <v>18.10000000000003</v>
      </c>
    </row>
    <row r="292" spans="11:12" x14ac:dyDescent="0.4">
      <c r="K292" s="46">
        <v>290</v>
      </c>
      <c r="L292" s="124">
        <v>-17.599999999999973</v>
      </c>
    </row>
    <row r="293" spans="11:12" x14ac:dyDescent="0.4">
      <c r="K293" s="46">
        <v>291</v>
      </c>
      <c r="L293" s="124">
        <v>-2.9999999999999734</v>
      </c>
    </row>
    <row r="294" spans="11:12" x14ac:dyDescent="0.4">
      <c r="K294" s="46">
        <v>292</v>
      </c>
      <c r="L294" s="124">
        <v>-51.699999999999974</v>
      </c>
    </row>
    <row r="295" spans="11:12" x14ac:dyDescent="0.4">
      <c r="K295" s="46">
        <v>293</v>
      </c>
      <c r="L295" s="124">
        <v>-50.999999999999972</v>
      </c>
    </row>
    <row r="296" spans="11:12" x14ac:dyDescent="0.4">
      <c r="K296" s="46">
        <v>294</v>
      </c>
      <c r="L296" s="124">
        <v>-2.9999999999999716</v>
      </c>
    </row>
    <row r="297" spans="11:12" x14ac:dyDescent="0.4">
      <c r="K297" s="46">
        <v>295</v>
      </c>
      <c r="L297" s="124">
        <v>-18.999999999999972</v>
      </c>
    </row>
    <row r="298" spans="11:12" x14ac:dyDescent="0.4">
      <c r="K298" s="46">
        <v>296</v>
      </c>
      <c r="L298" s="124">
        <v>-6.7999999999999723</v>
      </c>
    </row>
    <row r="299" spans="11:12" x14ac:dyDescent="0.4">
      <c r="K299" s="46">
        <v>297</v>
      </c>
      <c r="L299" s="124">
        <v>-2.9999999999999725</v>
      </c>
    </row>
    <row r="300" spans="11:12" x14ac:dyDescent="0.4">
      <c r="K300" s="46">
        <v>298</v>
      </c>
      <c r="L300" s="124">
        <v>40.10000000000003</v>
      </c>
    </row>
    <row r="301" spans="11:12" x14ac:dyDescent="0.4">
      <c r="K301" s="46">
        <v>299</v>
      </c>
      <c r="L301" s="124">
        <v>2.8000000000000327</v>
      </c>
    </row>
    <row r="302" spans="11:12" x14ac:dyDescent="0.4">
      <c r="K302" s="46">
        <v>300</v>
      </c>
      <c r="L302" s="124">
        <v>-2.9999999999999671</v>
      </c>
    </row>
    <row r="303" spans="11:12" x14ac:dyDescent="0.4">
      <c r="K303" s="46">
        <v>301</v>
      </c>
      <c r="L303" s="124">
        <v>-8.999999999999968</v>
      </c>
    </row>
    <row r="304" spans="11:12" x14ac:dyDescent="0.4">
      <c r="K304" s="46">
        <v>302</v>
      </c>
      <c r="L304" s="124">
        <v>-60.899999999999963</v>
      </c>
    </row>
    <row r="305" spans="11:12" x14ac:dyDescent="0.4">
      <c r="K305" s="46">
        <v>303</v>
      </c>
      <c r="L305" s="124">
        <v>-2.9999999999999645</v>
      </c>
    </row>
    <row r="306" spans="11:12" x14ac:dyDescent="0.4">
      <c r="K306" s="46">
        <v>304</v>
      </c>
      <c r="L306" s="124">
        <v>-40.499999999999964</v>
      </c>
    </row>
    <row r="307" spans="11:12" x14ac:dyDescent="0.4">
      <c r="K307" s="46">
        <v>305</v>
      </c>
      <c r="L307" s="124">
        <v>-52.499999999999964</v>
      </c>
    </row>
    <row r="308" spans="11:12" x14ac:dyDescent="0.4">
      <c r="K308" s="46">
        <v>306</v>
      </c>
      <c r="L308" s="124">
        <v>-2.9999999999999645</v>
      </c>
    </row>
    <row r="309" spans="11:12" x14ac:dyDescent="0.4">
      <c r="K309" s="46">
        <v>307</v>
      </c>
      <c r="L309" s="124">
        <v>-42.499999999999964</v>
      </c>
    </row>
    <row r="310" spans="11:12" x14ac:dyDescent="0.4">
      <c r="K310" s="46">
        <v>308</v>
      </c>
      <c r="L310" s="124">
        <v>6.5000000000000355</v>
      </c>
    </row>
    <row r="311" spans="11:12" x14ac:dyDescent="0.4">
      <c r="K311" s="46">
        <v>309</v>
      </c>
      <c r="L311" s="124">
        <v>-2.9999999999999645</v>
      </c>
    </row>
    <row r="312" spans="11:12" x14ac:dyDescent="0.4">
      <c r="K312" s="46">
        <v>310</v>
      </c>
      <c r="L312" s="124">
        <v>8.1000000000000352</v>
      </c>
    </row>
    <row r="313" spans="11:12" x14ac:dyDescent="0.4">
      <c r="K313" s="46">
        <v>311</v>
      </c>
      <c r="L313" s="124">
        <v>-5.6999999999999655</v>
      </c>
    </row>
    <row r="314" spans="11:12" x14ac:dyDescent="0.4">
      <c r="K314" s="46">
        <v>312</v>
      </c>
      <c r="L314" s="124">
        <v>-2.9999999999999654</v>
      </c>
    </row>
    <row r="315" spans="11:12" x14ac:dyDescent="0.4">
      <c r="K315" s="46">
        <v>313</v>
      </c>
      <c r="L315" s="124">
        <v>-4.9999999999999654</v>
      </c>
    </row>
    <row r="316" spans="11:12" x14ac:dyDescent="0.4">
      <c r="K316" s="46">
        <v>314</v>
      </c>
      <c r="L316" s="124">
        <v>36.000000000000036</v>
      </c>
    </row>
    <row r="317" spans="11:12" x14ac:dyDescent="0.4">
      <c r="K317" s="46">
        <v>315</v>
      </c>
      <c r="L317" s="124">
        <v>-2.9999999999999645</v>
      </c>
    </row>
    <row r="318" spans="11:12" x14ac:dyDescent="0.4">
      <c r="K318" s="46">
        <v>316</v>
      </c>
      <c r="L318" s="124">
        <v>40.500000000000036</v>
      </c>
    </row>
    <row r="319" spans="11:12" x14ac:dyDescent="0.4">
      <c r="K319" s="46">
        <v>317</v>
      </c>
      <c r="L319" s="124">
        <v>37.100000000000037</v>
      </c>
    </row>
    <row r="320" spans="11:12" x14ac:dyDescent="0.4">
      <c r="K320" s="46">
        <v>318</v>
      </c>
      <c r="L320" s="124">
        <v>-2.9999999999999645</v>
      </c>
    </row>
    <row r="321" spans="11:12" x14ac:dyDescent="0.4">
      <c r="K321" s="46">
        <v>319</v>
      </c>
      <c r="L321" s="124">
        <v>-8.5999999999999641</v>
      </c>
    </row>
    <row r="322" spans="11:12" x14ac:dyDescent="0.4">
      <c r="K322" s="46">
        <v>320</v>
      </c>
      <c r="L322" s="124">
        <v>63.000000000000028</v>
      </c>
    </row>
    <row r="323" spans="11:12" x14ac:dyDescent="0.4">
      <c r="K323" s="46">
        <v>321</v>
      </c>
      <c r="L323" s="124">
        <v>-2.9999999999999716</v>
      </c>
    </row>
    <row r="324" spans="11:12" x14ac:dyDescent="0.4">
      <c r="K324" s="46">
        <v>322</v>
      </c>
      <c r="L324" s="124">
        <v>-10.399999999999972</v>
      </c>
    </row>
    <row r="325" spans="11:12" x14ac:dyDescent="0.4">
      <c r="K325" s="46">
        <v>323</v>
      </c>
      <c r="L325" s="124">
        <v>21.10000000000003</v>
      </c>
    </row>
    <row r="326" spans="11:12" x14ac:dyDescent="0.4">
      <c r="K326" s="46">
        <v>324</v>
      </c>
      <c r="L326" s="124">
        <v>-2.9999999999999716</v>
      </c>
    </row>
    <row r="327" spans="11:12" x14ac:dyDescent="0.4">
      <c r="K327" s="46">
        <v>325</v>
      </c>
      <c r="L327" s="124">
        <v>-40.999999999999972</v>
      </c>
    </row>
    <row r="328" spans="11:12" x14ac:dyDescent="0.4">
      <c r="K328" s="46">
        <v>326</v>
      </c>
      <c r="L328" s="124">
        <v>-5.599999999999973</v>
      </c>
    </row>
    <row r="329" spans="11:12" x14ac:dyDescent="0.4">
      <c r="K329" s="46">
        <v>327</v>
      </c>
      <c r="L329" s="124">
        <v>-2.9999999999999729</v>
      </c>
    </row>
    <row r="330" spans="11:12" x14ac:dyDescent="0.4">
      <c r="K330" s="46">
        <v>328</v>
      </c>
      <c r="L330" s="124">
        <v>-21.799999999999972</v>
      </c>
    </row>
    <row r="331" spans="11:12" x14ac:dyDescent="0.4">
      <c r="K331" s="46">
        <v>329</v>
      </c>
      <c r="L331" s="124">
        <v>-10.299999999999972</v>
      </c>
    </row>
    <row r="332" spans="11:12" x14ac:dyDescent="0.4">
      <c r="K332" s="46">
        <v>330</v>
      </c>
      <c r="L332" s="124">
        <v>-2.9999999999999725</v>
      </c>
    </row>
    <row r="333" spans="11:12" x14ac:dyDescent="0.4">
      <c r="K333" s="46">
        <v>331</v>
      </c>
      <c r="L333" s="124">
        <v>24.000000000000028</v>
      </c>
    </row>
    <row r="334" spans="11:12" x14ac:dyDescent="0.4">
      <c r="K334" s="46">
        <v>332</v>
      </c>
      <c r="L334" s="124">
        <v>33.10000000000003</v>
      </c>
    </row>
    <row r="335" spans="11:12" x14ac:dyDescent="0.4">
      <c r="K335" s="46">
        <v>333</v>
      </c>
      <c r="L335" s="124">
        <v>-2.9999999999999716</v>
      </c>
    </row>
    <row r="336" spans="11:12" x14ac:dyDescent="0.4">
      <c r="K336" s="46">
        <v>334</v>
      </c>
      <c r="L336" s="124">
        <v>41.60000000000003</v>
      </c>
    </row>
    <row r="337" spans="11:12" x14ac:dyDescent="0.4">
      <c r="K337" s="46">
        <v>335</v>
      </c>
      <c r="L337" s="124">
        <v>36.400000000000027</v>
      </c>
    </row>
    <row r="338" spans="11:12" x14ac:dyDescent="0.4">
      <c r="K338" s="46">
        <v>336</v>
      </c>
      <c r="L338" s="124">
        <v>-2.9999999999999716</v>
      </c>
    </row>
    <row r="339" spans="11:12" x14ac:dyDescent="0.4">
      <c r="K339" s="46">
        <v>337</v>
      </c>
      <c r="L339" s="124">
        <v>4.0000000000000284</v>
      </c>
    </row>
    <row r="340" spans="11:12" x14ac:dyDescent="0.4">
      <c r="K340" s="46">
        <v>338</v>
      </c>
      <c r="L340" s="124">
        <v>37.000000000000028</v>
      </c>
    </row>
    <row r="341" spans="11:12" x14ac:dyDescent="0.4">
      <c r="K341" s="46">
        <v>339</v>
      </c>
      <c r="L341" s="124">
        <v>-2.9999999999999716</v>
      </c>
    </row>
    <row r="342" spans="11:12" x14ac:dyDescent="0.4">
      <c r="K342" s="46">
        <v>340</v>
      </c>
      <c r="L342" s="124">
        <v>-14.299999999999972</v>
      </c>
    </row>
    <row r="343" spans="11:12" x14ac:dyDescent="0.4">
      <c r="K343" s="46">
        <v>341</v>
      </c>
      <c r="L343" s="124">
        <v>-9.099999999999973</v>
      </c>
    </row>
    <row r="344" spans="11:12" x14ac:dyDescent="0.4">
      <c r="K344" s="46">
        <v>342</v>
      </c>
      <c r="L344" s="124">
        <v>-2.9999999999999734</v>
      </c>
    </row>
    <row r="345" spans="11:12" x14ac:dyDescent="0.4">
      <c r="K345" s="46">
        <v>343</v>
      </c>
      <c r="L345" s="124">
        <v>-18.499999999999972</v>
      </c>
    </row>
    <row r="346" spans="11:12" x14ac:dyDescent="0.4">
      <c r="K346" s="46">
        <v>344</v>
      </c>
      <c r="L346" s="124">
        <v>-53.999999999999972</v>
      </c>
    </row>
    <row r="347" spans="11:12" x14ac:dyDescent="0.4">
      <c r="K347" s="46">
        <v>345</v>
      </c>
      <c r="L347" s="124">
        <v>-2.9999999999999716</v>
      </c>
    </row>
    <row r="348" spans="11:12" x14ac:dyDescent="0.4">
      <c r="K348" s="46">
        <v>346</v>
      </c>
      <c r="L348" s="124">
        <v>-22.299999999999972</v>
      </c>
    </row>
    <row r="349" spans="11:12" x14ac:dyDescent="0.4">
      <c r="K349" s="46">
        <v>347</v>
      </c>
      <c r="L349" s="124">
        <v>-6.099999999999973</v>
      </c>
    </row>
    <row r="350" spans="11:12" x14ac:dyDescent="0.4">
      <c r="K350" s="46">
        <v>348</v>
      </c>
      <c r="L350" s="124">
        <v>-2.9999999999999729</v>
      </c>
    </row>
    <row r="351" spans="11:12" x14ac:dyDescent="0.4">
      <c r="K351" s="46">
        <v>349</v>
      </c>
      <c r="L351" s="124">
        <v>21.000000000000028</v>
      </c>
    </row>
    <row r="352" spans="11:12" x14ac:dyDescent="0.4">
      <c r="K352" s="46">
        <v>350</v>
      </c>
      <c r="L352" s="124">
        <v>15.100000000000028</v>
      </c>
    </row>
    <row r="353" spans="11:12" x14ac:dyDescent="0.4">
      <c r="K353" s="46">
        <v>351</v>
      </c>
      <c r="L353" s="124">
        <v>-2.9999999999999734</v>
      </c>
    </row>
    <row r="354" spans="11:12" x14ac:dyDescent="0.4">
      <c r="K354" s="46">
        <v>352</v>
      </c>
      <c r="L354" s="124">
        <v>25.300000000000026</v>
      </c>
    </row>
    <row r="355" spans="11:12" x14ac:dyDescent="0.4">
      <c r="K355" s="46">
        <v>353</v>
      </c>
      <c r="L355" s="124">
        <v>5.1000000000000263</v>
      </c>
    </row>
    <row r="356" spans="11:12" x14ac:dyDescent="0.4">
      <c r="K356" s="46">
        <v>354</v>
      </c>
      <c r="L356" s="124">
        <v>-2.9999999999999734</v>
      </c>
    </row>
    <row r="357" spans="11:12" x14ac:dyDescent="0.4">
      <c r="K357" s="46">
        <v>355</v>
      </c>
      <c r="L357" s="124">
        <v>-34.499999999999972</v>
      </c>
    </row>
    <row r="358" spans="11:12" x14ac:dyDescent="0.4">
      <c r="K358" s="46">
        <v>356</v>
      </c>
      <c r="L358" s="124">
        <v>15.500000000000028</v>
      </c>
    </row>
    <row r="359" spans="11:12" x14ac:dyDescent="0.4">
      <c r="K359" s="46">
        <v>357</v>
      </c>
      <c r="L359" s="124">
        <v>-2.9999999999999716</v>
      </c>
    </row>
    <row r="360" spans="11:12" x14ac:dyDescent="0.4">
      <c r="K360" s="46">
        <v>358</v>
      </c>
      <c r="L360" s="124">
        <v>16.500000000000028</v>
      </c>
    </row>
    <row r="361" spans="11:12" x14ac:dyDescent="0.4">
      <c r="K361" s="46">
        <v>359</v>
      </c>
      <c r="L361" s="124">
        <v>4.4000000000000288</v>
      </c>
    </row>
    <row r="362" spans="11:12" x14ac:dyDescent="0.4">
      <c r="K362" s="46">
        <v>360</v>
      </c>
      <c r="L362" s="124">
        <v>-2.9999999999999716</v>
      </c>
    </row>
    <row r="363" spans="11:12" x14ac:dyDescent="0.4">
      <c r="K363" s="46">
        <v>361</v>
      </c>
      <c r="L363" s="124">
        <v>-8.3999999999999719</v>
      </c>
    </row>
    <row r="364" spans="11:12" x14ac:dyDescent="0.4">
      <c r="K364" s="46">
        <v>362</v>
      </c>
      <c r="L364" s="124">
        <v>7.4000000000000288</v>
      </c>
    </row>
    <row r="365" spans="11:12" x14ac:dyDescent="0.4">
      <c r="K365" s="46">
        <v>363</v>
      </c>
      <c r="L365" s="124">
        <v>-2.9999999999999716</v>
      </c>
    </row>
    <row r="366" spans="11:12" x14ac:dyDescent="0.4">
      <c r="K366" s="46">
        <v>364</v>
      </c>
      <c r="L366" s="124">
        <v>53.000000000000028</v>
      </c>
    </row>
    <row r="367" spans="11:12" x14ac:dyDescent="0.4">
      <c r="K367" s="46">
        <v>365</v>
      </c>
      <c r="L367" s="124">
        <v>35.000000000000028</v>
      </c>
    </row>
    <row r="368" spans="11:12" x14ac:dyDescent="0.4">
      <c r="K368" s="46">
        <v>366</v>
      </c>
      <c r="L368" s="124">
        <v>-2.9999999999999716</v>
      </c>
    </row>
    <row r="369" spans="11:12" x14ac:dyDescent="0.4">
      <c r="K369" s="46">
        <v>367</v>
      </c>
      <c r="L369" s="124">
        <v>40.000000000000028</v>
      </c>
    </row>
    <row r="370" spans="11:12" x14ac:dyDescent="0.4">
      <c r="K370" s="46">
        <v>368</v>
      </c>
      <c r="L370" s="124">
        <v>-0.99999999999997158</v>
      </c>
    </row>
    <row r="371" spans="11:12" x14ac:dyDescent="0.4">
      <c r="K371" s="46">
        <v>369</v>
      </c>
      <c r="L371" s="124">
        <v>-2.9999999999999716</v>
      </c>
    </row>
    <row r="372" spans="11:12" x14ac:dyDescent="0.4">
      <c r="K372" s="46">
        <v>370</v>
      </c>
      <c r="L372" s="124">
        <v>-16.999999999999972</v>
      </c>
    </row>
    <row r="373" spans="11:12" x14ac:dyDescent="0.4">
      <c r="K373" s="46">
        <v>371</v>
      </c>
      <c r="L373" s="124">
        <v>-24.199999999999971</v>
      </c>
    </row>
    <row r="374" spans="11:12" x14ac:dyDescent="0.4">
      <c r="K374" s="46">
        <v>372</v>
      </c>
      <c r="L374" s="124">
        <v>-2.9999999999999716</v>
      </c>
    </row>
    <row r="375" spans="11:12" x14ac:dyDescent="0.4">
      <c r="K375" s="46">
        <v>373</v>
      </c>
      <c r="L375" s="124">
        <v>-51.39999999999997</v>
      </c>
    </row>
    <row r="376" spans="11:12" x14ac:dyDescent="0.4">
      <c r="K376" s="46">
        <v>374</v>
      </c>
      <c r="L376" s="124">
        <v>-17.999999999999972</v>
      </c>
    </row>
    <row r="377" spans="11:12" x14ac:dyDescent="0.4">
      <c r="K377" s="46">
        <v>375</v>
      </c>
      <c r="L377" s="124">
        <v>-2.9999999999999716</v>
      </c>
    </row>
    <row r="378" spans="11:12" x14ac:dyDescent="0.4">
      <c r="K378" s="46">
        <v>376</v>
      </c>
      <c r="L378" s="124">
        <v>41.900000000000027</v>
      </c>
    </row>
    <row r="379" spans="11:12" x14ac:dyDescent="0.4">
      <c r="K379" s="46">
        <v>377</v>
      </c>
      <c r="L379" s="124">
        <v>36.300000000000026</v>
      </c>
    </row>
    <row r="380" spans="11:12" x14ac:dyDescent="0.4">
      <c r="K380" s="46">
        <v>378</v>
      </c>
      <c r="L380" s="124">
        <v>-2.9999999999999716</v>
      </c>
    </row>
    <row r="381" spans="11:12" x14ac:dyDescent="0.4">
      <c r="K381" s="46">
        <v>379</v>
      </c>
      <c r="L381" s="124">
        <v>14.10000000000003</v>
      </c>
    </row>
    <row r="382" spans="11:12" x14ac:dyDescent="0.4">
      <c r="K382" s="46">
        <v>380</v>
      </c>
      <c r="L382" s="124">
        <v>-12.89999999999997</v>
      </c>
    </row>
    <row r="383" spans="11:12" x14ac:dyDescent="0.4">
      <c r="K383" s="46">
        <v>381</v>
      </c>
      <c r="L383" s="124">
        <v>-2.9999999999999698</v>
      </c>
    </row>
    <row r="384" spans="11:12" x14ac:dyDescent="0.4">
      <c r="K384" s="46">
        <v>382</v>
      </c>
      <c r="L384" s="124">
        <v>-40.999999999999972</v>
      </c>
    </row>
    <row r="385" spans="11:12" x14ac:dyDescent="0.4">
      <c r="K385" s="46">
        <v>383</v>
      </c>
      <c r="L385" s="124">
        <v>-35.799999999999969</v>
      </c>
    </row>
    <row r="386" spans="11:12" x14ac:dyDescent="0.4">
      <c r="K386" s="46">
        <v>384</v>
      </c>
      <c r="L386" s="124">
        <v>-2.9999999999999716</v>
      </c>
    </row>
    <row r="387" spans="11:12" x14ac:dyDescent="0.4">
      <c r="K387" s="46">
        <v>385</v>
      </c>
      <c r="L387" s="124">
        <v>13.500000000000028</v>
      </c>
    </row>
    <row r="388" spans="11:12" x14ac:dyDescent="0.4">
      <c r="K388" s="46">
        <v>386</v>
      </c>
      <c r="L388" s="124">
        <v>5.8000000000000282</v>
      </c>
    </row>
    <row r="389" spans="11:12" x14ac:dyDescent="0.4">
      <c r="K389" s="46">
        <v>387</v>
      </c>
      <c r="L389" s="124">
        <v>-2.9999999999999725</v>
      </c>
    </row>
    <row r="390" spans="11:12" x14ac:dyDescent="0.4">
      <c r="K390" s="46">
        <v>388</v>
      </c>
      <c r="L390" s="124">
        <v>5.7000000000000268</v>
      </c>
    </row>
    <row r="391" spans="11:12" x14ac:dyDescent="0.4">
      <c r="K391" s="46">
        <v>389</v>
      </c>
      <c r="L391" s="124">
        <v>17.300000000000026</v>
      </c>
    </row>
    <row r="392" spans="11:12" x14ac:dyDescent="0.4">
      <c r="K392" s="46">
        <v>390</v>
      </c>
      <c r="L392" s="124">
        <v>-2.9999999999999751</v>
      </c>
    </row>
    <row r="393" spans="11:12" x14ac:dyDescent="0.4">
      <c r="K393" s="46">
        <v>391</v>
      </c>
      <c r="L393" s="124">
        <v>17.700000000000024</v>
      </c>
    </row>
    <row r="394" spans="11:12" x14ac:dyDescent="0.4">
      <c r="K394" s="46">
        <v>392</v>
      </c>
      <c r="L394" s="124">
        <v>-25.799999999999976</v>
      </c>
    </row>
    <row r="395" spans="11:12" x14ac:dyDescent="0.4">
      <c r="K395" s="46">
        <v>393</v>
      </c>
      <c r="L395" s="124">
        <v>-2.9999999999999751</v>
      </c>
    </row>
    <row r="396" spans="11:12" x14ac:dyDescent="0.4">
      <c r="K396" s="46">
        <v>394</v>
      </c>
      <c r="L396" s="124">
        <v>12.300000000000026</v>
      </c>
    </row>
    <row r="397" spans="11:12" x14ac:dyDescent="0.4">
      <c r="K397" s="46">
        <v>395</v>
      </c>
      <c r="L397" s="124">
        <v>5.5000000000000258</v>
      </c>
    </row>
    <row r="398" spans="11:12" x14ac:dyDescent="0.4">
      <c r="K398" s="46">
        <v>396</v>
      </c>
      <c r="L398" s="124">
        <v>-2.9999999999999742</v>
      </c>
    </row>
    <row r="399" spans="11:12" x14ac:dyDescent="0.4">
      <c r="K399" s="46">
        <v>397</v>
      </c>
      <c r="L399" s="124">
        <v>8.6000000000000263</v>
      </c>
    </row>
    <row r="400" spans="11:12" x14ac:dyDescent="0.4">
      <c r="K400" s="46">
        <v>398</v>
      </c>
      <c r="L400" s="124">
        <v>28.200000000000028</v>
      </c>
    </row>
    <row r="401" spans="11:12" x14ac:dyDescent="0.4">
      <c r="K401" s="46">
        <v>399</v>
      </c>
      <c r="L401" s="124">
        <v>-2.9999999999999716</v>
      </c>
    </row>
    <row r="402" spans="11:12" x14ac:dyDescent="0.4">
      <c r="K402" s="46">
        <v>400</v>
      </c>
      <c r="L402" s="124">
        <v>4.2000000000000286</v>
      </c>
    </row>
    <row r="403" spans="11:12" x14ac:dyDescent="0.4">
      <c r="K403" s="46">
        <v>401</v>
      </c>
      <c r="L403" s="124">
        <v>-15.799999999999972</v>
      </c>
    </row>
    <row r="404" spans="11:12" x14ac:dyDescent="0.4">
      <c r="K404" s="46">
        <v>402</v>
      </c>
      <c r="L404" s="124">
        <v>-3.9999999999999716</v>
      </c>
    </row>
    <row r="405" spans="11:12" x14ac:dyDescent="0.4">
      <c r="K405" s="46">
        <v>403</v>
      </c>
      <c r="L405" s="124">
        <v>20.500000000000028</v>
      </c>
    </row>
    <row r="406" spans="11:12" x14ac:dyDescent="0.4">
      <c r="K406" s="46">
        <v>404</v>
      </c>
      <c r="L406" s="124">
        <v>15.600000000000028</v>
      </c>
    </row>
    <row r="407" spans="11:12" x14ac:dyDescent="0.4">
      <c r="K407" s="46">
        <v>405</v>
      </c>
      <c r="L407" s="124">
        <v>-3.9999999999999734</v>
      </c>
    </row>
    <row r="408" spans="11:12" x14ac:dyDescent="0.4">
      <c r="K408" s="46">
        <v>406</v>
      </c>
      <c r="L408" s="124">
        <v>12.900000000000025</v>
      </c>
    </row>
    <row r="409" spans="11:12" x14ac:dyDescent="0.4">
      <c r="K409" s="46">
        <v>407</v>
      </c>
      <c r="L409" s="124">
        <v>14.100000000000025</v>
      </c>
    </row>
    <row r="410" spans="11:12" x14ac:dyDescent="0.4">
      <c r="K410" s="46">
        <v>408</v>
      </c>
      <c r="L410" s="124">
        <v>-3.9999999999999769</v>
      </c>
    </row>
    <row r="411" spans="11:12" x14ac:dyDescent="0.4">
      <c r="K411" s="46">
        <v>409</v>
      </c>
      <c r="L411" s="124">
        <v>-41.499999999999979</v>
      </c>
    </row>
    <row r="412" spans="11:12" x14ac:dyDescent="0.4">
      <c r="K412" s="46">
        <v>410</v>
      </c>
      <c r="L412" s="124">
        <v>-15.999999999999979</v>
      </c>
    </row>
    <row r="413" spans="11:12" x14ac:dyDescent="0.4">
      <c r="K413" s="46">
        <v>411</v>
      </c>
      <c r="L413" s="124">
        <v>-3.9999999999999787</v>
      </c>
    </row>
    <row r="414" spans="11:12" x14ac:dyDescent="0.4">
      <c r="K414" s="46">
        <v>412</v>
      </c>
      <c r="L414" s="124">
        <v>34.500000000000021</v>
      </c>
    </row>
    <row r="415" spans="11:12" x14ac:dyDescent="0.4">
      <c r="K415" s="46">
        <v>413</v>
      </c>
      <c r="L415" s="124">
        <v>-3.4999999999999787</v>
      </c>
    </row>
    <row r="416" spans="11:12" x14ac:dyDescent="0.4">
      <c r="K416" s="46">
        <v>414</v>
      </c>
      <c r="L416" s="124">
        <v>-3.9999999999999787</v>
      </c>
    </row>
    <row r="417" spans="11:12" x14ac:dyDescent="0.4">
      <c r="K417" s="46">
        <v>415</v>
      </c>
      <c r="L417" s="124">
        <v>-50.499999999999979</v>
      </c>
    </row>
    <row r="418" spans="11:12" x14ac:dyDescent="0.4">
      <c r="K418" s="46">
        <v>416</v>
      </c>
      <c r="L418" s="124">
        <v>-45.999999999999979</v>
      </c>
    </row>
    <row r="419" spans="11:12" x14ac:dyDescent="0.4">
      <c r="K419" s="46">
        <v>417</v>
      </c>
      <c r="L419" s="124">
        <v>-3.9999999999999787</v>
      </c>
    </row>
    <row r="420" spans="11:12" x14ac:dyDescent="0.4">
      <c r="K420" s="46">
        <v>418</v>
      </c>
      <c r="L420" s="124">
        <v>9.2000000000000206</v>
      </c>
    </row>
    <row r="421" spans="11:12" x14ac:dyDescent="0.4">
      <c r="K421" s="46">
        <v>419</v>
      </c>
      <c r="L421" s="124">
        <v>1.8000000000000203</v>
      </c>
    </row>
    <row r="422" spans="11:12" x14ac:dyDescent="0.4">
      <c r="K422" s="46">
        <v>420</v>
      </c>
      <c r="L422" s="124">
        <v>-3.9999999999999796</v>
      </c>
    </row>
    <row r="423" spans="11:12" x14ac:dyDescent="0.4">
      <c r="K423" s="46">
        <v>421</v>
      </c>
      <c r="L423" s="124">
        <v>-23.499999999999979</v>
      </c>
    </row>
    <row r="424" spans="11:12" x14ac:dyDescent="0.4">
      <c r="K424" s="46">
        <v>422</v>
      </c>
      <c r="L424" s="124">
        <v>-5.699999999999978</v>
      </c>
    </row>
    <row r="425" spans="11:12" x14ac:dyDescent="0.4">
      <c r="K425" s="46">
        <v>423</v>
      </c>
      <c r="L425" s="124">
        <v>-3.9999999999999778</v>
      </c>
    </row>
    <row r="426" spans="11:12" x14ac:dyDescent="0.4">
      <c r="K426" s="46">
        <v>424</v>
      </c>
      <c r="L426" s="124">
        <v>37.40000000000002</v>
      </c>
    </row>
    <row r="427" spans="11:12" x14ac:dyDescent="0.4">
      <c r="K427" s="46">
        <v>425</v>
      </c>
      <c r="L427" s="124">
        <v>11.000000000000021</v>
      </c>
    </row>
    <row r="428" spans="11:12" x14ac:dyDescent="0.4">
      <c r="K428" s="46">
        <v>426</v>
      </c>
      <c r="L428" s="124">
        <v>-3.9999999999999787</v>
      </c>
    </row>
    <row r="429" spans="11:12" x14ac:dyDescent="0.4">
      <c r="K429" s="46">
        <v>427</v>
      </c>
      <c r="L429" s="124">
        <v>23.100000000000023</v>
      </c>
    </row>
    <row r="430" spans="11:12" x14ac:dyDescent="0.4">
      <c r="K430" s="46">
        <v>428</v>
      </c>
      <c r="L430" s="124">
        <v>-27.499999999999979</v>
      </c>
    </row>
    <row r="431" spans="11:12" x14ac:dyDescent="0.4">
      <c r="K431" s="46">
        <v>429</v>
      </c>
      <c r="L431" s="124">
        <v>-3.9999999999999787</v>
      </c>
    </row>
    <row r="432" spans="11:12" x14ac:dyDescent="0.4">
      <c r="K432" s="46">
        <v>430</v>
      </c>
      <c r="L432" s="124">
        <v>4.5000000000000213</v>
      </c>
    </row>
    <row r="433" spans="11:12" x14ac:dyDescent="0.4">
      <c r="K433" s="46">
        <v>431</v>
      </c>
      <c r="L433" s="124">
        <v>30.200000000000021</v>
      </c>
    </row>
    <row r="434" spans="11:12" x14ac:dyDescent="0.4">
      <c r="K434" s="46">
        <v>432</v>
      </c>
      <c r="L434" s="124">
        <v>-3.9999999999999822</v>
      </c>
    </row>
    <row r="435" spans="11:12" x14ac:dyDescent="0.4">
      <c r="K435" s="46">
        <v>433</v>
      </c>
      <c r="L435" s="124">
        <v>0.80000000000001759</v>
      </c>
    </row>
    <row r="436" spans="11:12" x14ac:dyDescent="0.4">
      <c r="K436" s="46">
        <v>434</v>
      </c>
      <c r="L436" s="124">
        <v>-15.999999999999982</v>
      </c>
    </row>
    <row r="437" spans="11:12" x14ac:dyDescent="0.4">
      <c r="K437" s="46">
        <v>435</v>
      </c>
      <c r="L437" s="124">
        <v>-3.9999999999999822</v>
      </c>
    </row>
    <row r="438" spans="11:12" x14ac:dyDescent="0.4">
      <c r="K438" s="46">
        <v>436</v>
      </c>
      <c r="L438" s="124">
        <v>39.300000000000011</v>
      </c>
    </row>
    <row r="439" spans="11:12" x14ac:dyDescent="0.4">
      <c r="K439" s="46">
        <v>437</v>
      </c>
      <c r="L439" s="124">
        <v>31.500000000000011</v>
      </c>
    </row>
    <row r="440" spans="11:12" x14ac:dyDescent="0.4">
      <c r="K440" s="46">
        <v>438</v>
      </c>
      <c r="L440" s="124">
        <v>-3.9999999999999893</v>
      </c>
    </row>
    <row r="441" spans="11:12" x14ac:dyDescent="0.4">
      <c r="K441" s="46">
        <v>439</v>
      </c>
      <c r="L441" s="124">
        <v>22.000000000000011</v>
      </c>
    </row>
    <row r="442" spans="11:12" x14ac:dyDescent="0.4">
      <c r="K442" s="46">
        <v>440</v>
      </c>
      <c r="L442" s="124">
        <v>16.70000000000001</v>
      </c>
    </row>
    <row r="443" spans="11:12" x14ac:dyDescent="0.4">
      <c r="K443" s="46">
        <v>441</v>
      </c>
      <c r="L443" s="124">
        <v>-3.9999999999999893</v>
      </c>
    </row>
    <row r="444" spans="11:12" x14ac:dyDescent="0.4">
      <c r="K444" s="46">
        <v>442</v>
      </c>
      <c r="L444" s="124">
        <v>7.0000000000000107</v>
      </c>
    </row>
    <row r="445" spans="11:12" x14ac:dyDescent="0.4">
      <c r="K445" s="46">
        <v>443</v>
      </c>
      <c r="L445" s="124">
        <v>-25.799999999999986</v>
      </c>
    </row>
    <row r="446" spans="11:12" x14ac:dyDescent="0.4">
      <c r="K446" s="46">
        <v>444</v>
      </c>
      <c r="L446" s="124">
        <v>-3.9999999999999858</v>
      </c>
    </row>
    <row r="447" spans="11:12" x14ac:dyDescent="0.4">
      <c r="K447" s="46">
        <v>445</v>
      </c>
      <c r="L447" s="124">
        <v>37.000000000000014</v>
      </c>
    </row>
    <row r="448" spans="11:12" x14ac:dyDescent="0.4">
      <c r="K448" s="46">
        <v>446</v>
      </c>
      <c r="L448" s="124">
        <v>-8.4999999999999858</v>
      </c>
    </row>
    <row r="449" spans="11:12" x14ac:dyDescent="0.4">
      <c r="K449" s="46">
        <v>447</v>
      </c>
      <c r="L449" s="124">
        <v>-3.9999999999999858</v>
      </c>
    </row>
    <row r="450" spans="11:12" x14ac:dyDescent="0.4">
      <c r="K450" s="46">
        <v>448</v>
      </c>
      <c r="L450" s="124">
        <v>21.000000000000014</v>
      </c>
    </row>
    <row r="451" spans="11:12" x14ac:dyDescent="0.4">
      <c r="K451" s="46">
        <v>449</v>
      </c>
      <c r="L451" s="124">
        <v>-14.499999999999986</v>
      </c>
    </row>
    <row r="452" spans="11:12" x14ac:dyDescent="0.4">
      <c r="K452" s="46">
        <v>450</v>
      </c>
      <c r="L452" s="124">
        <v>-3.9999999999999858</v>
      </c>
    </row>
    <row r="453" spans="11:12" x14ac:dyDescent="0.4">
      <c r="K453" s="46">
        <v>451</v>
      </c>
      <c r="L453" s="124">
        <v>-23.799999999999986</v>
      </c>
    </row>
    <row r="454" spans="11:12" x14ac:dyDescent="0.4">
      <c r="K454" s="46">
        <v>452</v>
      </c>
      <c r="L454" s="124">
        <v>-33.799999999999983</v>
      </c>
    </row>
    <row r="455" spans="11:12" x14ac:dyDescent="0.4">
      <c r="K455" s="46">
        <v>453</v>
      </c>
      <c r="L455" s="124">
        <v>-3.9999999999999822</v>
      </c>
    </row>
    <row r="456" spans="11:12" x14ac:dyDescent="0.4">
      <c r="K456" s="46">
        <v>454</v>
      </c>
      <c r="L456" s="124">
        <v>33.600000000000023</v>
      </c>
    </row>
    <row r="457" spans="11:12" x14ac:dyDescent="0.4">
      <c r="K457" s="46">
        <v>455</v>
      </c>
      <c r="L457" s="124">
        <v>32.500000000000021</v>
      </c>
    </row>
    <row r="458" spans="11:12" x14ac:dyDescent="0.4">
      <c r="K458" s="46">
        <v>456</v>
      </c>
      <c r="L458" s="124">
        <v>-3.9999999999999787</v>
      </c>
    </row>
    <row r="459" spans="11:12" x14ac:dyDescent="0.4">
      <c r="K459" s="46">
        <v>457</v>
      </c>
      <c r="L459" s="124">
        <v>3.8000000000000211</v>
      </c>
    </row>
    <row r="460" spans="11:12" x14ac:dyDescent="0.4">
      <c r="K460" s="46">
        <v>458</v>
      </c>
      <c r="L460" s="124">
        <v>-33.399999999999984</v>
      </c>
    </row>
    <row r="461" spans="11:12" x14ac:dyDescent="0.4">
      <c r="K461" s="46">
        <v>459</v>
      </c>
      <c r="L461" s="124">
        <v>-3.9999999999999858</v>
      </c>
    </row>
    <row r="462" spans="11:12" x14ac:dyDescent="0.4">
      <c r="K462" s="46">
        <v>460</v>
      </c>
      <c r="L462" s="124">
        <v>64.100000000000009</v>
      </c>
    </row>
    <row r="463" spans="11:12" x14ac:dyDescent="0.4">
      <c r="K463" s="46">
        <v>461</v>
      </c>
      <c r="L463" s="124">
        <v>22.800000000000011</v>
      </c>
    </row>
    <row r="464" spans="11:12" x14ac:dyDescent="0.4">
      <c r="K464" s="46">
        <v>462</v>
      </c>
      <c r="L464" s="124">
        <v>-3.9999999999999893</v>
      </c>
    </row>
    <row r="465" spans="11:12" x14ac:dyDescent="0.4">
      <c r="K465" s="46">
        <v>463</v>
      </c>
      <c r="L465" s="124">
        <v>-5.9999999999999893</v>
      </c>
    </row>
    <row r="466" spans="11:12" x14ac:dyDescent="0.4">
      <c r="K466" s="46">
        <v>464</v>
      </c>
      <c r="L466" s="124">
        <v>-22.399999999999988</v>
      </c>
    </row>
    <row r="467" spans="11:12" x14ac:dyDescent="0.4">
      <c r="K467" s="46">
        <v>465</v>
      </c>
      <c r="L467" s="124">
        <v>-3.9999999999999893</v>
      </c>
    </row>
    <row r="468" spans="11:12" x14ac:dyDescent="0.4">
      <c r="K468" s="46">
        <v>466</v>
      </c>
      <c r="L468" s="124">
        <v>1.2000000000000108</v>
      </c>
    </row>
    <row r="469" spans="11:12" x14ac:dyDescent="0.4">
      <c r="K469" s="46">
        <v>467</v>
      </c>
      <c r="L469" s="124">
        <v>-30.499999999999989</v>
      </c>
    </row>
    <row r="470" spans="11:12" x14ac:dyDescent="0.4">
      <c r="K470" s="46">
        <v>468</v>
      </c>
      <c r="L470" s="124">
        <v>-3.9999999999999893</v>
      </c>
    </row>
    <row r="471" spans="11:12" x14ac:dyDescent="0.4">
      <c r="K471" s="46">
        <v>469</v>
      </c>
      <c r="L471" s="124">
        <v>12.20000000000001</v>
      </c>
    </row>
    <row r="472" spans="11:12" x14ac:dyDescent="0.4">
      <c r="K472" s="46">
        <v>470</v>
      </c>
      <c r="L472" s="124">
        <v>7.3000000000000096</v>
      </c>
    </row>
    <row r="473" spans="11:12" x14ac:dyDescent="0.4">
      <c r="K473" s="46">
        <v>471</v>
      </c>
      <c r="L473" s="124">
        <v>-3.9999999999999911</v>
      </c>
    </row>
    <row r="474" spans="11:12" x14ac:dyDescent="0.4">
      <c r="K474" s="46">
        <v>472</v>
      </c>
      <c r="L474" s="124">
        <v>20.20000000000001</v>
      </c>
    </row>
    <row r="475" spans="11:12" x14ac:dyDescent="0.4">
      <c r="K475" s="46">
        <v>473</v>
      </c>
      <c r="L475" s="124">
        <v>5.3000000000000096</v>
      </c>
    </row>
    <row r="476" spans="11:12" x14ac:dyDescent="0.4">
      <c r="K476" s="46">
        <v>474</v>
      </c>
      <c r="L476" s="124">
        <v>-3.9999999999999911</v>
      </c>
    </row>
    <row r="477" spans="11:12" x14ac:dyDescent="0.4">
      <c r="K477" s="46">
        <v>475</v>
      </c>
      <c r="L477" s="124">
        <v>16.600000000000009</v>
      </c>
    </row>
    <row r="478" spans="11:12" x14ac:dyDescent="0.4">
      <c r="K478" s="46">
        <v>476</v>
      </c>
      <c r="L478" s="124">
        <v>-29.099999999999994</v>
      </c>
    </row>
    <row r="479" spans="11:12" x14ac:dyDescent="0.4">
      <c r="K479" s="46">
        <v>477</v>
      </c>
      <c r="L479" s="124">
        <v>-3.9999999999999929</v>
      </c>
    </row>
    <row r="480" spans="11:12" x14ac:dyDescent="0.4">
      <c r="K480" s="46">
        <v>478</v>
      </c>
      <c r="L480" s="124">
        <v>3.3000000000000069</v>
      </c>
    </row>
    <row r="481" spans="11:12" x14ac:dyDescent="0.4">
      <c r="K481" s="46">
        <v>479</v>
      </c>
      <c r="L481" s="124">
        <v>29.500000000000007</v>
      </c>
    </row>
    <row r="482" spans="11:12" x14ac:dyDescent="0.4">
      <c r="K482" s="46">
        <v>480</v>
      </c>
      <c r="L482" s="124">
        <v>-3.9999999999999929</v>
      </c>
    </row>
    <row r="483" spans="11:12" x14ac:dyDescent="0.4">
      <c r="K483" s="46">
        <v>481</v>
      </c>
      <c r="L483" s="124">
        <v>0.80000000000000693</v>
      </c>
    </row>
    <row r="484" spans="11:12" x14ac:dyDescent="0.4">
      <c r="K484" s="46">
        <v>482</v>
      </c>
      <c r="L484" s="124">
        <v>33.500000000000007</v>
      </c>
    </row>
    <row r="485" spans="11:12" x14ac:dyDescent="0.4">
      <c r="K485" s="46">
        <v>483</v>
      </c>
      <c r="L485" s="124">
        <v>-3.9999999999999929</v>
      </c>
    </row>
    <row r="486" spans="11:12" x14ac:dyDescent="0.4">
      <c r="K486" s="46">
        <v>484</v>
      </c>
      <c r="L486" s="124">
        <v>0.10000000000000675</v>
      </c>
    </row>
    <row r="487" spans="11:12" x14ac:dyDescent="0.4">
      <c r="K487" s="46">
        <v>485</v>
      </c>
      <c r="L487" s="124">
        <v>5.4000000000000066</v>
      </c>
    </row>
    <row r="488" spans="11:12" x14ac:dyDescent="0.4">
      <c r="K488" s="46">
        <v>486</v>
      </c>
      <c r="L488" s="124">
        <v>-3.9999999999999938</v>
      </c>
    </row>
    <row r="489" spans="11:12" x14ac:dyDescent="0.4">
      <c r="K489" s="46">
        <v>487</v>
      </c>
      <c r="L489" s="124">
        <v>-15.999999999999993</v>
      </c>
    </row>
    <row r="490" spans="11:12" x14ac:dyDescent="0.4">
      <c r="K490" s="46">
        <v>488</v>
      </c>
      <c r="L490" s="124">
        <v>-5.4999999999999929</v>
      </c>
    </row>
    <row r="491" spans="11:12" x14ac:dyDescent="0.4">
      <c r="K491" s="46">
        <v>489</v>
      </c>
      <c r="L491" s="124">
        <v>-4.9999999999999929</v>
      </c>
    </row>
    <row r="492" spans="11:12" x14ac:dyDescent="0.4">
      <c r="K492" s="46">
        <v>490</v>
      </c>
      <c r="L492" s="124">
        <v>7.5000000000000071</v>
      </c>
    </row>
    <row r="493" spans="11:12" x14ac:dyDescent="0.4">
      <c r="K493" s="46">
        <v>491</v>
      </c>
      <c r="L493" s="124">
        <v>-4.5999999999999925</v>
      </c>
    </row>
    <row r="494" spans="11:12" x14ac:dyDescent="0.4">
      <c r="K494" s="46">
        <v>492</v>
      </c>
      <c r="L494" s="124">
        <v>-4.9999999999999929</v>
      </c>
    </row>
    <row r="495" spans="11:12" x14ac:dyDescent="0.4">
      <c r="K495" s="46">
        <v>493</v>
      </c>
      <c r="L495" s="124">
        <v>-17.899999999999991</v>
      </c>
    </row>
    <row r="496" spans="11:12" x14ac:dyDescent="0.4">
      <c r="K496" s="46">
        <v>494</v>
      </c>
      <c r="L496" s="124">
        <v>-23.099999999999991</v>
      </c>
    </row>
    <row r="497" spans="11:12" x14ac:dyDescent="0.4">
      <c r="K497" s="46">
        <v>495</v>
      </c>
      <c r="L497" s="124">
        <v>-4.9999999999999893</v>
      </c>
    </row>
    <row r="498" spans="11:12" x14ac:dyDescent="0.4">
      <c r="K498" s="46">
        <v>496</v>
      </c>
      <c r="L498" s="124">
        <v>10.60000000000001</v>
      </c>
    </row>
    <row r="499" spans="11:12" x14ac:dyDescent="0.4">
      <c r="K499" s="46">
        <v>497</v>
      </c>
      <c r="L499" s="124">
        <v>-27.79999999999999</v>
      </c>
    </row>
    <row r="500" spans="11:12" x14ac:dyDescent="0.4">
      <c r="K500" s="46">
        <v>498</v>
      </c>
      <c r="L500" s="124">
        <v>-4.9999999999999893</v>
      </c>
    </row>
    <row r="501" spans="11:12" x14ac:dyDescent="0.4">
      <c r="K501" s="46">
        <v>499</v>
      </c>
      <c r="L501" s="124">
        <v>10.60000000000001</v>
      </c>
    </row>
    <row r="502" spans="11:12" x14ac:dyDescent="0.4">
      <c r="K502" s="46">
        <v>500</v>
      </c>
      <c r="L502" s="124">
        <v>-2.1999999999999904</v>
      </c>
    </row>
    <row r="503" spans="11:12" x14ac:dyDescent="0.4">
      <c r="K503" s="46">
        <v>501</v>
      </c>
      <c r="L503" s="124">
        <v>-4.9999999999999902</v>
      </c>
    </row>
    <row r="504" spans="11:12" x14ac:dyDescent="0.4">
      <c r="K504" s="46">
        <v>502</v>
      </c>
      <c r="L504" s="124">
        <v>-40.999999999999993</v>
      </c>
    </row>
    <row r="505" spans="11:12" x14ac:dyDescent="0.4">
      <c r="K505" s="46">
        <v>503</v>
      </c>
      <c r="L505" s="124">
        <v>-4.9999999999999929</v>
      </c>
    </row>
    <row r="506" spans="11:12" x14ac:dyDescent="0.4">
      <c r="K506" s="46">
        <v>504</v>
      </c>
      <c r="L506" s="124">
        <v>-4.9999999999999929</v>
      </c>
    </row>
    <row r="507" spans="11:12" x14ac:dyDescent="0.4">
      <c r="K507" s="46">
        <v>505</v>
      </c>
      <c r="L507" s="124">
        <v>-34.599999999999994</v>
      </c>
    </row>
    <row r="508" spans="11:12" x14ac:dyDescent="0.4">
      <c r="K508" s="46">
        <v>506</v>
      </c>
      <c r="L508" s="124">
        <v>-83.699999999999989</v>
      </c>
    </row>
    <row r="509" spans="11:12" x14ac:dyDescent="0.4">
      <c r="K509" s="46">
        <v>507</v>
      </c>
      <c r="L509" s="124">
        <v>-4.9999999999999858</v>
      </c>
    </row>
    <row r="510" spans="11:12" x14ac:dyDescent="0.4">
      <c r="K510" s="46">
        <v>508</v>
      </c>
      <c r="L510" s="124">
        <v>1.800000000000014</v>
      </c>
    </row>
    <row r="511" spans="11:12" x14ac:dyDescent="0.4">
      <c r="K511" s="46">
        <v>509</v>
      </c>
      <c r="L511" s="124">
        <v>-0.79999999999998606</v>
      </c>
    </row>
    <row r="512" spans="11:12" x14ac:dyDescent="0.4">
      <c r="K512" s="46">
        <v>510</v>
      </c>
      <c r="L512" s="124">
        <v>-4.9999999999999858</v>
      </c>
    </row>
    <row r="513" spans="11:12" x14ac:dyDescent="0.4">
      <c r="K513" s="46">
        <v>511</v>
      </c>
      <c r="L513" s="124">
        <v>-18.999999999999986</v>
      </c>
    </row>
    <row r="514" spans="11:12" x14ac:dyDescent="0.4">
      <c r="K514" s="46">
        <v>512</v>
      </c>
      <c r="L514" s="124">
        <v>-31.499999999999986</v>
      </c>
    </row>
    <row r="515" spans="11:12" x14ac:dyDescent="0.4">
      <c r="K515" s="46">
        <v>513</v>
      </c>
      <c r="L515" s="124">
        <v>-4.9999999999999858</v>
      </c>
    </row>
    <row r="516" spans="11:12" x14ac:dyDescent="0.4">
      <c r="K516" s="46">
        <v>514</v>
      </c>
      <c r="L516" s="124">
        <v>-14.999999999999986</v>
      </c>
    </row>
    <row r="517" spans="11:12" x14ac:dyDescent="0.4">
      <c r="K517" s="46">
        <v>515</v>
      </c>
      <c r="L517" s="124">
        <v>45.500000000000014</v>
      </c>
    </row>
    <row r="518" spans="11:12" x14ac:dyDescent="0.4">
      <c r="K518" s="46">
        <v>516</v>
      </c>
      <c r="L518" s="124">
        <v>-4.9999999999999858</v>
      </c>
    </row>
    <row r="519" spans="11:12" x14ac:dyDescent="0.4">
      <c r="K519" s="46">
        <v>517</v>
      </c>
      <c r="L519" s="124">
        <v>39.600000000000016</v>
      </c>
    </row>
    <row r="520" spans="11:12" x14ac:dyDescent="0.4">
      <c r="K520" s="46">
        <v>518</v>
      </c>
      <c r="L520" s="124">
        <v>10.100000000000016</v>
      </c>
    </row>
    <row r="521" spans="11:12" x14ac:dyDescent="0.4">
      <c r="K521" s="46">
        <v>519</v>
      </c>
      <c r="L521" s="124">
        <v>-4.999999999999984</v>
      </c>
    </row>
    <row r="522" spans="11:12" x14ac:dyDescent="0.4">
      <c r="K522" s="46">
        <v>520</v>
      </c>
      <c r="L522" s="124">
        <v>-9.6999999999999851</v>
      </c>
    </row>
    <row r="523" spans="11:12" x14ac:dyDescent="0.4">
      <c r="K523" s="46">
        <v>521</v>
      </c>
      <c r="L523" s="124">
        <v>8.9000000000000163</v>
      </c>
    </row>
    <row r="524" spans="11:12" x14ac:dyDescent="0.4">
      <c r="K524" s="46">
        <v>522</v>
      </c>
      <c r="L524" s="124">
        <v>-4.999999999999984</v>
      </c>
    </row>
    <row r="525" spans="11:12" x14ac:dyDescent="0.4">
      <c r="K525" s="46">
        <v>523</v>
      </c>
      <c r="L525" s="124">
        <v>7.500000000000016</v>
      </c>
    </row>
    <row r="526" spans="11:12" x14ac:dyDescent="0.4">
      <c r="K526" s="46">
        <v>524</v>
      </c>
      <c r="L526" s="124">
        <v>-6.6999999999999833</v>
      </c>
    </row>
    <row r="527" spans="11:12" x14ac:dyDescent="0.4">
      <c r="K527" s="46">
        <v>525</v>
      </c>
      <c r="L527" s="124">
        <v>-4.9999999999999831</v>
      </c>
    </row>
    <row r="528" spans="11:12" x14ac:dyDescent="0.4">
      <c r="K528" s="46">
        <v>526</v>
      </c>
      <c r="L528" s="124">
        <v>9.4000000000000163</v>
      </c>
    </row>
    <row r="529" spans="11:12" x14ac:dyDescent="0.4">
      <c r="K529" s="46">
        <v>527</v>
      </c>
      <c r="L529" s="124">
        <v>21.700000000000017</v>
      </c>
    </row>
    <row r="530" spans="11:12" x14ac:dyDescent="0.4">
      <c r="K530" s="46">
        <v>528</v>
      </c>
      <c r="L530" s="124">
        <v>-4.9999999999999822</v>
      </c>
    </row>
    <row r="531" spans="11:12" x14ac:dyDescent="0.4">
      <c r="K531" s="46">
        <v>529</v>
      </c>
      <c r="L531" s="124">
        <v>-18.999999999999982</v>
      </c>
    </row>
    <row r="532" spans="11:12" x14ac:dyDescent="0.4">
      <c r="K532" s="46">
        <v>530</v>
      </c>
      <c r="L532" s="124">
        <v>-79.299999999999983</v>
      </c>
    </row>
    <row r="533" spans="11:12" x14ac:dyDescent="0.4">
      <c r="K533" s="46">
        <v>531</v>
      </c>
      <c r="L533" s="124">
        <v>-4.9999999999999858</v>
      </c>
    </row>
    <row r="534" spans="11:12" x14ac:dyDescent="0.4">
      <c r="K534" s="46">
        <v>532</v>
      </c>
      <c r="L534" s="124">
        <v>2.1000000000000139</v>
      </c>
    </row>
    <row r="535" spans="11:12" x14ac:dyDescent="0.4">
      <c r="K535" s="46">
        <v>533</v>
      </c>
      <c r="L535" s="124">
        <v>-5.8999999999999861</v>
      </c>
    </row>
    <row r="536" spans="11:12" x14ac:dyDescent="0.4">
      <c r="K536" s="46">
        <v>534</v>
      </c>
      <c r="L536" s="124">
        <v>-4.9999999999999858</v>
      </c>
    </row>
    <row r="537" spans="11:12" x14ac:dyDescent="0.4">
      <c r="K537" s="46">
        <v>535</v>
      </c>
      <c r="L537" s="124">
        <v>14.700000000000014</v>
      </c>
    </row>
    <row r="538" spans="11:12" x14ac:dyDescent="0.4">
      <c r="K538" s="46">
        <v>536</v>
      </c>
      <c r="L538" s="124">
        <v>-1.1999999999999869</v>
      </c>
    </row>
    <row r="539" spans="11:12" x14ac:dyDescent="0.4">
      <c r="K539" s="46">
        <v>537</v>
      </c>
      <c r="L539" s="124">
        <v>-4.9999999999999867</v>
      </c>
    </row>
    <row r="540" spans="11:12" x14ac:dyDescent="0.4">
      <c r="K540" s="46">
        <v>538</v>
      </c>
      <c r="L540" s="124">
        <v>18.800000000000015</v>
      </c>
    </row>
    <row r="541" spans="11:12" x14ac:dyDescent="0.4">
      <c r="K541" s="46">
        <v>539</v>
      </c>
      <c r="L541" s="124">
        <v>20.500000000000014</v>
      </c>
    </row>
    <row r="542" spans="11:12" x14ac:dyDescent="0.4">
      <c r="K542" s="46">
        <v>540</v>
      </c>
      <c r="L542" s="124">
        <v>-4.9999999999999858</v>
      </c>
    </row>
    <row r="543" spans="11:12" x14ac:dyDescent="0.4">
      <c r="K543" s="46">
        <v>541</v>
      </c>
      <c r="L543" s="124">
        <v>-1.4999999999999858</v>
      </c>
    </row>
    <row r="544" spans="11:12" x14ac:dyDescent="0.4">
      <c r="K544" s="46">
        <v>542</v>
      </c>
      <c r="L544" s="124">
        <v>-10.999999999999986</v>
      </c>
    </row>
    <row r="545" spans="11:12" x14ac:dyDescent="0.4">
      <c r="K545" s="46">
        <v>543</v>
      </c>
      <c r="L545" s="124">
        <v>-4.9999999999999858</v>
      </c>
    </row>
    <row r="546" spans="11:12" x14ac:dyDescent="0.4">
      <c r="K546" s="46">
        <v>544</v>
      </c>
      <c r="L546" s="124">
        <v>-9.7999999999999865</v>
      </c>
    </row>
    <row r="547" spans="11:12" x14ac:dyDescent="0.4">
      <c r="K547" s="46">
        <v>545</v>
      </c>
      <c r="L547" s="124">
        <v>16.000000000000014</v>
      </c>
    </row>
    <row r="548" spans="11:12" x14ac:dyDescent="0.4">
      <c r="K548" s="46">
        <v>546</v>
      </c>
      <c r="L548" s="124">
        <v>-4.9999999999999858</v>
      </c>
    </row>
    <row r="549" spans="11:12" x14ac:dyDescent="0.4">
      <c r="K549" s="46">
        <v>547</v>
      </c>
      <c r="L549" s="124">
        <v>27.500000000000014</v>
      </c>
    </row>
    <row r="550" spans="11:12" x14ac:dyDescent="0.4">
      <c r="K550" s="46">
        <v>548</v>
      </c>
      <c r="L550" s="124">
        <v>6.9000000000000128</v>
      </c>
    </row>
    <row r="551" spans="11:12" x14ac:dyDescent="0.4">
      <c r="K551" s="46">
        <v>549</v>
      </c>
      <c r="L551" s="124">
        <v>-4.9999999999999876</v>
      </c>
    </row>
    <row r="552" spans="11:12" x14ac:dyDescent="0.4">
      <c r="K552" s="46">
        <v>550</v>
      </c>
      <c r="L552" s="124">
        <v>12.100000000000014</v>
      </c>
    </row>
    <row r="553" spans="11:12" x14ac:dyDescent="0.4">
      <c r="K553" s="46">
        <v>551</v>
      </c>
      <c r="L553" s="124">
        <v>12.500000000000014</v>
      </c>
    </row>
    <row r="554" spans="11:12" x14ac:dyDescent="0.4">
      <c r="K554" s="46">
        <v>552</v>
      </c>
      <c r="L554" s="124">
        <v>-4.9999999999999858</v>
      </c>
    </row>
    <row r="555" spans="11:12" x14ac:dyDescent="0.4">
      <c r="K555" s="46">
        <v>553</v>
      </c>
      <c r="L555" s="124">
        <v>7.3000000000000149</v>
      </c>
    </row>
    <row r="556" spans="11:12" x14ac:dyDescent="0.4">
      <c r="K556" s="46">
        <v>554</v>
      </c>
      <c r="L556" s="124">
        <v>18.100000000000016</v>
      </c>
    </row>
    <row r="557" spans="11:12" x14ac:dyDescent="0.4">
      <c r="K557" s="46">
        <v>555</v>
      </c>
      <c r="L557" s="124">
        <v>-4.9999999999999858</v>
      </c>
    </row>
    <row r="558" spans="11:12" x14ac:dyDescent="0.4">
      <c r="K558" s="46">
        <v>556</v>
      </c>
      <c r="L558" s="124">
        <v>19.300000000000015</v>
      </c>
    </row>
    <row r="559" spans="11:12" x14ac:dyDescent="0.4">
      <c r="K559" s="46">
        <v>557</v>
      </c>
      <c r="L559" s="124">
        <v>6.4000000000000146</v>
      </c>
    </row>
    <row r="560" spans="11:12" x14ac:dyDescent="0.4">
      <c r="K560" s="46">
        <v>558</v>
      </c>
      <c r="L560" s="124">
        <v>-4.9999999999999858</v>
      </c>
    </row>
    <row r="561" spans="11:12" x14ac:dyDescent="0.4">
      <c r="K561" s="46">
        <v>559</v>
      </c>
      <c r="L561" s="124">
        <v>-17.199999999999985</v>
      </c>
    </row>
    <row r="562" spans="11:12" x14ac:dyDescent="0.4">
      <c r="K562" s="46">
        <v>560</v>
      </c>
      <c r="L562" s="124">
        <v>-12.299999999999985</v>
      </c>
    </row>
    <row r="563" spans="11:12" x14ac:dyDescent="0.4">
      <c r="K563" s="46">
        <v>561</v>
      </c>
      <c r="L563" s="124">
        <v>-4.9999999999999849</v>
      </c>
    </row>
    <row r="564" spans="11:12" x14ac:dyDescent="0.4">
      <c r="K564" s="46">
        <v>562</v>
      </c>
      <c r="L564" s="124">
        <v>-6.9999999999999849</v>
      </c>
    </row>
    <row r="565" spans="11:12" x14ac:dyDescent="0.4">
      <c r="K565" s="46">
        <v>563</v>
      </c>
      <c r="L565" s="124">
        <v>-0.39999999999998526</v>
      </c>
    </row>
    <row r="566" spans="11:12" x14ac:dyDescent="0.4">
      <c r="K566" s="46">
        <v>564</v>
      </c>
      <c r="L566" s="124">
        <v>-4.9999999999999849</v>
      </c>
    </row>
    <row r="567" spans="11:12" x14ac:dyDescent="0.4">
      <c r="K567" s="46">
        <v>565</v>
      </c>
      <c r="L567" s="124">
        <v>-45.599999999999987</v>
      </c>
    </row>
    <row r="568" spans="11:12" x14ac:dyDescent="0.4">
      <c r="K568" s="46">
        <v>566</v>
      </c>
      <c r="L568" s="124">
        <v>-81.499999999999986</v>
      </c>
    </row>
    <row r="569" spans="11:12" x14ac:dyDescent="0.4">
      <c r="K569" s="46">
        <v>567</v>
      </c>
      <c r="L569" s="124">
        <v>-4.9999999999999858</v>
      </c>
    </row>
    <row r="570" spans="11:12" x14ac:dyDescent="0.4">
      <c r="K570" s="46">
        <v>568</v>
      </c>
      <c r="L570" s="124">
        <v>16.700000000000014</v>
      </c>
    </row>
    <row r="571" spans="11:12" x14ac:dyDescent="0.4">
      <c r="K571" s="46">
        <v>569</v>
      </c>
      <c r="L571" s="124">
        <v>30.800000000000011</v>
      </c>
    </row>
    <row r="572" spans="11:12" x14ac:dyDescent="0.4">
      <c r="K572" s="46">
        <v>570</v>
      </c>
      <c r="L572" s="124">
        <v>-4.9999999999999858</v>
      </c>
    </row>
    <row r="573" spans="11:12" x14ac:dyDescent="0.4">
      <c r="K573" s="46">
        <v>571</v>
      </c>
      <c r="L573" s="124">
        <v>35.700000000000017</v>
      </c>
    </row>
    <row r="574" spans="11:12" x14ac:dyDescent="0.4">
      <c r="K574" s="46">
        <v>572</v>
      </c>
      <c r="L574" s="124">
        <v>-2.7999999999999829</v>
      </c>
    </row>
    <row r="575" spans="11:12" x14ac:dyDescent="0.4">
      <c r="K575" s="46">
        <v>573</v>
      </c>
      <c r="L575" s="124">
        <v>-4.9999999999999831</v>
      </c>
    </row>
    <row r="576" spans="11:12" x14ac:dyDescent="0.4">
      <c r="K576" s="46">
        <v>574</v>
      </c>
      <c r="L576" s="124">
        <v>3.0000000000000169</v>
      </c>
    </row>
    <row r="577" spans="11:12" x14ac:dyDescent="0.4">
      <c r="K577" s="46">
        <v>575</v>
      </c>
      <c r="L577" s="124">
        <v>11.900000000000016</v>
      </c>
    </row>
    <row r="578" spans="11:12" x14ac:dyDescent="0.4">
      <c r="K578" s="46">
        <v>576</v>
      </c>
      <c r="L578" s="124">
        <v>-4.9999999999999822</v>
      </c>
    </row>
    <row r="579" spans="11:12" x14ac:dyDescent="0.4">
      <c r="K579" s="46">
        <v>577</v>
      </c>
      <c r="L579" s="124">
        <v>2.7000000000000179</v>
      </c>
    </row>
    <row r="580" spans="11:12" x14ac:dyDescent="0.4">
      <c r="K580" s="46">
        <v>578</v>
      </c>
      <c r="L580" s="124">
        <v>32.40000000000002</v>
      </c>
    </row>
    <row r="581" spans="11:12" x14ac:dyDescent="0.4">
      <c r="K581" s="46">
        <v>579</v>
      </c>
      <c r="L581" s="124">
        <v>-4.9999999999999787</v>
      </c>
    </row>
    <row r="582" spans="11:12" x14ac:dyDescent="0.4">
      <c r="K582" s="46">
        <v>580</v>
      </c>
      <c r="L582" s="124">
        <v>-73.999999999999972</v>
      </c>
    </row>
    <row r="583" spans="11:12" x14ac:dyDescent="0.4">
      <c r="K583" s="46">
        <v>581</v>
      </c>
      <c r="L583" s="124">
        <v>-94.699999999999974</v>
      </c>
    </row>
    <row r="584" spans="11:12" x14ac:dyDescent="0.4">
      <c r="K584" s="46">
        <v>582</v>
      </c>
      <c r="L584" s="124">
        <v>-4.9999999999999716</v>
      </c>
    </row>
    <row r="585" spans="11:12" x14ac:dyDescent="0.4">
      <c r="K585" s="46">
        <v>583</v>
      </c>
      <c r="L585" s="124">
        <v>-7.9999999999999716</v>
      </c>
    </row>
    <row r="586" spans="11:12" x14ac:dyDescent="0.4">
      <c r="K586" s="46">
        <v>584</v>
      </c>
      <c r="L586" s="124">
        <v>-36.199999999999974</v>
      </c>
    </row>
    <row r="587" spans="11:12" x14ac:dyDescent="0.4">
      <c r="K587" s="46">
        <v>585</v>
      </c>
      <c r="L587" s="124">
        <v>-4.9999999999999751</v>
      </c>
    </row>
    <row r="588" spans="11:12" x14ac:dyDescent="0.4">
      <c r="K588" s="46">
        <v>586</v>
      </c>
      <c r="L588" s="124">
        <v>-7.5999999999999748</v>
      </c>
    </row>
    <row r="589" spans="11:12" x14ac:dyDescent="0.4">
      <c r="K589" s="46">
        <v>587</v>
      </c>
      <c r="L589" s="124">
        <v>-45.199999999999974</v>
      </c>
    </row>
    <row r="590" spans="11:12" x14ac:dyDescent="0.4">
      <c r="K590" s="46">
        <v>588</v>
      </c>
      <c r="L590" s="124">
        <v>-4.9999999999999716</v>
      </c>
    </row>
    <row r="591" spans="11:12" x14ac:dyDescent="0.4">
      <c r="K591" s="46">
        <v>589</v>
      </c>
      <c r="L591" s="124">
        <v>54.000000000000028</v>
      </c>
    </row>
    <row r="592" spans="11:12" x14ac:dyDescent="0.4">
      <c r="K592" s="46">
        <v>590</v>
      </c>
      <c r="L592" s="124">
        <v>16.000000000000028</v>
      </c>
    </row>
    <row r="593" spans="11:12" x14ac:dyDescent="0.4">
      <c r="K593" s="46">
        <v>591</v>
      </c>
      <c r="L593" s="124">
        <v>-4.9999999999999716</v>
      </c>
    </row>
    <row r="594" spans="11:12" x14ac:dyDescent="0.4">
      <c r="K594" s="46">
        <v>592</v>
      </c>
      <c r="L594" s="124">
        <v>-4.9999999999999716</v>
      </c>
    </row>
    <row r="595" spans="11:12" x14ac:dyDescent="0.4">
      <c r="K595" s="46">
        <v>593</v>
      </c>
      <c r="L595" s="124">
        <v>31.000000000000028</v>
      </c>
    </row>
    <row r="596" spans="11:12" x14ac:dyDescent="0.4">
      <c r="K596" s="46">
        <v>594</v>
      </c>
      <c r="L596" s="124">
        <v>-4.9999999999999716</v>
      </c>
    </row>
    <row r="597" spans="11:12" x14ac:dyDescent="0.4">
      <c r="K597" s="46">
        <v>595</v>
      </c>
      <c r="L597" s="124">
        <v>-25.499999999999972</v>
      </c>
    </row>
    <row r="598" spans="11:12" x14ac:dyDescent="0.4">
      <c r="K598" s="46">
        <v>596</v>
      </c>
      <c r="L598" s="124">
        <v>4.400000000000027</v>
      </c>
    </row>
    <row r="599" spans="11:12" x14ac:dyDescent="0.4">
      <c r="K599" s="46">
        <v>597</v>
      </c>
      <c r="L599" s="124">
        <v>-4.9999999999999734</v>
      </c>
    </row>
    <row r="600" spans="11:12" x14ac:dyDescent="0.4">
      <c r="K600" s="46">
        <v>598</v>
      </c>
      <c r="L600" s="124">
        <v>9.5000000000000266</v>
      </c>
    </row>
    <row r="601" spans="11:12" x14ac:dyDescent="0.4">
      <c r="K601" s="46">
        <v>599</v>
      </c>
      <c r="L601" s="124">
        <v>18.400000000000027</v>
      </c>
    </row>
    <row r="602" spans="11:12" x14ac:dyDescent="0.4">
      <c r="K602" s="46">
        <v>600</v>
      </c>
      <c r="L602" s="124">
        <v>-4.9999999999999716</v>
      </c>
    </row>
    <row r="603" spans="11:12" x14ac:dyDescent="0.4">
      <c r="K603" s="46">
        <v>601</v>
      </c>
      <c r="L603" s="124">
        <v>10.900000000000029</v>
      </c>
    </row>
    <row r="604" spans="11:12" x14ac:dyDescent="0.4">
      <c r="K604" s="46">
        <v>602</v>
      </c>
      <c r="L604" s="124">
        <v>34.400000000000027</v>
      </c>
    </row>
    <row r="605" spans="11:12" x14ac:dyDescent="0.4">
      <c r="K605" s="46">
        <v>603</v>
      </c>
      <c r="L605" s="124">
        <v>-4.9999999999999716</v>
      </c>
    </row>
    <row r="606" spans="11:12" x14ac:dyDescent="0.4">
      <c r="K606" s="46">
        <v>604</v>
      </c>
      <c r="L606" s="124">
        <v>-8.3999999999999719</v>
      </c>
    </row>
    <row r="607" spans="11:12" x14ac:dyDescent="0.4">
      <c r="K607" s="46">
        <v>605</v>
      </c>
      <c r="L607" s="124">
        <v>-22.89999999999997</v>
      </c>
    </row>
    <row r="608" spans="11:12" x14ac:dyDescent="0.4">
      <c r="K608" s="46">
        <v>606</v>
      </c>
      <c r="L608" s="124">
        <v>-4.9999999999999716</v>
      </c>
    </row>
    <row r="609" spans="11:12" x14ac:dyDescent="0.4">
      <c r="K609" s="46">
        <v>607</v>
      </c>
      <c r="L609" s="124">
        <v>-0.59999999999997122</v>
      </c>
    </row>
    <row r="610" spans="11:12" x14ac:dyDescent="0.4">
      <c r="K610" s="46">
        <v>608</v>
      </c>
      <c r="L610" s="124">
        <v>-6.399999999999971</v>
      </c>
    </row>
    <row r="611" spans="11:12" x14ac:dyDescent="0.4">
      <c r="K611" s="46">
        <v>609</v>
      </c>
      <c r="L611" s="124">
        <v>-4.9999999999999716</v>
      </c>
    </row>
    <row r="612" spans="11:12" x14ac:dyDescent="0.4">
      <c r="K612" s="46">
        <v>610</v>
      </c>
      <c r="L612" s="124">
        <v>34.500000000000028</v>
      </c>
    </row>
    <row r="613" spans="11:12" x14ac:dyDescent="0.4">
      <c r="K613" s="46">
        <v>611</v>
      </c>
      <c r="L613" s="124">
        <v>-2.1999999999999744</v>
      </c>
    </row>
    <row r="614" spans="11:12" x14ac:dyDescent="0.4">
      <c r="K614" s="46">
        <v>612</v>
      </c>
      <c r="L614" s="124">
        <v>-4.9999999999999742</v>
      </c>
    </row>
    <row r="615" spans="11:12" x14ac:dyDescent="0.4">
      <c r="K615" s="46">
        <v>613</v>
      </c>
      <c r="L615" s="124">
        <v>56.000000000000028</v>
      </c>
    </row>
    <row r="616" spans="11:12" x14ac:dyDescent="0.4">
      <c r="K616" s="46">
        <v>614</v>
      </c>
      <c r="L616" s="124">
        <v>8.5000000000000284</v>
      </c>
    </row>
    <row r="617" spans="11:12" x14ac:dyDescent="0.4">
      <c r="K617" s="46">
        <v>615</v>
      </c>
      <c r="L617" s="124">
        <v>-4.9999999999999716</v>
      </c>
    </row>
    <row r="618" spans="11:12" x14ac:dyDescent="0.4">
      <c r="K618" s="46">
        <v>616</v>
      </c>
      <c r="L618" s="124">
        <v>6.7000000000000277</v>
      </c>
    </row>
    <row r="619" spans="11:12" x14ac:dyDescent="0.4">
      <c r="K619" s="46">
        <v>617</v>
      </c>
      <c r="L619" s="124">
        <v>-16.799999999999972</v>
      </c>
    </row>
    <row r="620" spans="11:12" x14ac:dyDescent="0.4">
      <c r="K620" s="46">
        <v>618</v>
      </c>
      <c r="L620" s="124">
        <v>-4.9999999999999716</v>
      </c>
    </row>
    <row r="621" spans="11:12" x14ac:dyDescent="0.4">
      <c r="K621" s="46">
        <v>619</v>
      </c>
      <c r="L621" s="124">
        <v>11.10000000000003</v>
      </c>
    </row>
    <row r="622" spans="11:12" x14ac:dyDescent="0.4">
      <c r="K622" s="46">
        <v>620</v>
      </c>
      <c r="L622" s="124">
        <v>10.10000000000003</v>
      </c>
    </row>
    <row r="623" spans="11:12" x14ac:dyDescent="0.4">
      <c r="K623" s="46">
        <v>621</v>
      </c>
      <c r="L623" s="124">
        <v>-4.9999999999999698</v>
      </c>
    </row>
    <row r="624" spans="11:12" x14ac:dyDescent="0.4">
      <c r="K624" s="46">
        <v>622</v>
      </c>
      <c r="L624" s="124">
        <v>52.500000000000028</v>
      </c>
    </row>
    <row r="625" spans="11:12" x14ac:dyDescent="0.4">
      <c r="K625" s="46">
        <v>623</v>
      </c>
      <c r="L625" s="124">
        <v>6.7000000000000313</v>
      </c>
    </row>
    <row r="626" spans="11:12" x14ac:dyDescent="0.4">
      <c r="K626" s="46">
        <v>624</v>
      </c>
      <c r="L626" s="124">
        <v>-4.999999999999968</v>
      </c>
    </row>
    <row r="627" spans="11:12" x14ac:dyDescent="0.4">
      <c r="K627" s="46">
        <v>625</v>
      </c>
      <c r="L627" s="124">
        <v>-17.499999999999968</v>
      </c>
    </row>
    <row r="628" spans="11:12" x14ac:dyDescent="0.4">
      <c r="K628" s="46">
        <v>626</v>
      </c>
      <c r="L628" s="124">
        <v>-61.399999999999963</v>
      </c>
    </row>
    <row r="629" spans="11:12" x14ac:dyDescent="0.4">
      <c r="K629" s="46">
        <v>627</v>
      </c>
      <c r="L629" s="124">
        <v>-4.9999999999999645</v>
      </c>
    </row>
    <row r="630" spans="11:12" x14ac:dyDescent="0.4">
      <c r="K630" s="46">
        <v>628</v>
      </c>
      <c r="L630" s="124">
        <v>-46.999999999999964</v>
      </c>
    </row>
    <row r="631" spans="11:12" x14ac:dyDescent="0.4">
      <c r="K631" s="46">
        <v>629</v>
      </c>
      <c r="L631" s="124">
        <v>-49.999999999999964</v>
      </c>
    </row>
    <row r="632" spans="11:12" x14ac:dyDescent="0.4">
      <c r="K632" s="46">
        <v>630</v>
      </c>
      <c r="L632" s="124">
        <v>-4.9999999999999645</v>
      </c>
    </row>
    <row r="633" spans="11:12" x14ac:dyDescent="0.4">
      <c r="K633" s="46">
        <v>631</v>
      </c>
      <c r="L633" s="124">
        <v>5.7000000000000348</v>
      </c>
    </row>
    <row r="634" spans="11:12" x14ac:dyDescent="0.4">
      <c r="K634" s="46">
        <v>632</v>
      </c>
      <c r="L634" s="124">
        <v>1.7000000000000348</v>
      </c>
    </row>
    <row r="635" spans="11:12" x14ac:dyDescent="0.4">
      <c r="K635" s="46">
        <v>633</v>
      </c>
      <c r="L635" s="124">
        <v>-4.9999999999999654</v>
      </c>
    </row>
    <row r="636" spans="11:12" x14ac:dyDescent="0.4">
      <c r="K636" s="46">
        <v>634</v>
      </c>
      <c r="L636" s="124">
        <v>26.100000000000037</v>
      </c>
    </row>
    <row r="637" spans="11:12" x14ac:dyDescent="0.4">
      <c r="K637" s="46">
        <v>635</v>
      </c>
      <c r="L637" s="124">
        <v>-4.2999999999999616</v>
      </c>
    </row>
    <row r="638" spans="11:12" x14ac:dyDescent="0.4">
      <c r="K638" s="46">
        <v>636</v>
      </c>
      <c r="L638" s="124">
        <v>-4.9999999999999618</v>
      </c>
    </row>
    <row r="639" spans="11:12" x14ac:dyDescent="0.4">
      <c r="K639" s="46">
        <v>637</v>
      </c>
      <c r="L639" s="124">
        <v>5.2000000000000375</v>
      </c>
    </row>
    <row r="640" spans="11:12" x14ac:dyDescent="0.4">
      <c r="K640" s="46">
        <v>638</v>
      </c>
      <c r="L640" s="124">
        <v>-15.099999999999962</v>
      </c>
    </row>
    <row r="641" spans="11:12" x14ac:dyDescent="0.4">
      <c r="K641" s="46">
        <v>639</v>
      </c>
      <c r="L641" s="124">
        <v>-4.9999999999999627</v>
      </c>
    </row>
    <row r="642" spans="11:12" x14ac:dyDescent="0.4">
      <c r="K642" s="46">
        <v>640</v>
      </c>
      <c r="L642" s="124">
        <v>3.300000000000038</v>
      </c>
    </row>
    <row r="643" spans="11:12" x14ac:dyDescent="0.4">
      <c r="K643" s="46">
        <v>641</v>
      </c>
      <c r="L643" s="124">
        <v>30.80000000000004</v>
      </c>
    </row>
    <row r="644" spans="11:12" x14ac:dyDescent="0.4">
      <c r="K644" s="46">
        <v>642</v>
      </c>
      <c r="L644" s="124">
        <v>-4.9999999999999574</v>
      </c>
    </row>
    <row r="645" spans="11:12" x14ac:dyDescent="0.4">
      <c r="K645" s="46">
        <v>643</v>
      </c>
      <c r="L645" s="124">
        <v>-6.8999999999999577</v>
      </c>
    </row>
    <row r="646" spans="11:12" x14ac:dyDescent="0.4">
      <c r="K646" s="46">
        <v>644</v>
      </c>
      <c r="L646" s="124">
        <v>-1.1999999999999575</v>
      </c>
    </row>
    <row r="647" spans="11:12" x14ac:dyDescent="0.4">
      <c r="K647" s="46">
        <v>645</v>
      </c>
      <c r="L647" s="124">
        <v>-4.9999999999999574</v>
      </c>
    </row>
  </sheetData>
  <sortState ref="N10:Q21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6EF56-F847-457A-AA00-6652F6C243B3}">
  <sheetPr codeName="Sheet7"/>
  <dimension ref="A1:Q19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4" customWidth="1"/>
    <col min="13" max="13" width="3.5" style="41" customWidth="1"/>
    <col min="14" max="14" width="9" style="46" customWidth="1"/>
    <col min="15" max="15" width="9" style="127" customWidth="1"/>
    <col min="16" max="16" width="3.5" style="156" customWidth="1"/>
    <col min="17" max="17" width="3.5" style="157" customWidth="1"/>
    <col min="18" max="16384" width="9" style="41"/>
  </cols>
  <sheetData>
    <row r="1" spans="1:17" x14ac:dyDescent="0.4">
      <c r="A1" s="71" t="s">
        <v>0</v>
      </c>
      <c r="B1" s="133" t="s">
        <v>133</v>
      </c>
      <c r="C1" s="134"/>
      <c r="E1" s="80" t="s">
        <v>160</v>
      </c>
      <c r="F1" s="129" t="s">
        <v>120</v>
      </c>
      <c r="G1" s="128" t="s">
        <v>121</v>
      </c>
      <c r="H1" s="129" t="s">
        <v>122</v>
      </c>
      <c r="I1" s="129" t="s">
        <v>231</v>
      </c>
      <c r="K1" s="42" t="s">
        <v>20</v>
      </c>
      <c r="L1" s="43" t="s">
        <v>125</v>
      </c>
      <c r="N1" s="42" t="s">
        <v>156</v>
      </c>
      <c r="O1" s="129" t="s">
        <v>157</v>
      </c>
      <c r="P1" s="59" t="s">
        <v>238</v>
      </c>
      <c r="Q1" s="55" t="s">
        <v>121</v>
      </c>
    </row>
    <row r="2" spans="1:17" x14ac:dyDescent="0.4">
      <c r="A2" s="72" t="s">
        <v>9</v>
      </c>
      <c r="B2" s="135">
        <v>189</v>
      </c>
      <c r="C2" s="136"/>
      <c r="E2" s="81" t="s">
        <v>71</v>
      </c>
      <c r="F2" s="77" t="s">
        <v>25</v>
      </c>
      <c r="G2" s="64">
        <v>298</v>
      </c>
      <c r="H2" s="45">
        <f>IF(B$25=0,0,G2/B$25)</f>
        <v>0.87647058823529411</v>
      </c>
      <c r="I2" s="117">
        <v>6</v>
      </c>
      <c r="K2" s="44">
        <v>0</v>
      </c>
      <c r="L2" s="123">
        <v>0</v>
      </c>
      <c r="N2" s="44" t="s">
        <v>150</v>
      </c>
      <c r="O2" s="130">
        <f t="shared" ref="O2:O7" si="0">IF(Q2=0,0,P2/Q2)</f>
        <v>1066.4864864864865</v>
      </c>
      <c r="P2" s="60">
        <v>197300</v>
      </c>
      <c r="Q2" s="58">
        <v>185</v>
      </c>
    </row>
    <row r="3" spans="1:17" x14ac:dyDescent="0.4">
      <c r="A3" s="73" t="s">
        <v>8</v>
      </c>
      <c r="B3" s="137">
        <v>1411</v>
      </c>
      <c r="C3" s="138"/>
      <c r="E3" s="82" t="s">
        <v>69</v>
      </c>
      <c r="F3" s="78" t="s">
        <v>23</v>
      </c>
      <c r="G3" s="65">
        <v>221</v>
      </c>
      <c r="H3" s="47">
        <f>IF(B$25=0,0,G3/B$25)</f>
        <v>0.65</v>
      </c>
      <c r="I3" s="118">
        <v>8</v>
      </c>
      <c r="K3" s="46">
        <v>1</v>
      </c>
      <c r="L3" s="124">
        <v>15</v>
      </c>
      <c r="N3" s="46" t="s">
        <v>151</v>
      </c>
      <c r="O3" s="131">
        <f t="shared" si="0"/>
        <v>588.70056497175142</v>
      </c>
      <c r="P3" s="61">
        <v>104200</v>
      </c>
      <c r="Q3" s="56">
        <v>177</v>
      </c>
    </row>
    <row r="4" spans="1:17" x14ac:dyDescent="0.4">
      <c r="A4" s="73" t="s">
        <v>6</v>
      </c>
      <c r="B4" s="139">
        <v>1171.9000000000001</v>
      </c>
      <c r="C4" s="140"/>
      <c r="E4" s="82" t="s">
        <v>76</v>
      </c>
      <c r="F4" s="78" t="s">
        <v>29</v>
      </c>
      <c r="G4" s="65">
        <v>183</v>
      </c>
      <c r="H4" s="47">
        <f>IF(B$25=0,0,G4/B$25)</f>
        <v>0.53823529411764703</v>
      </c>
      <c r="I4" s="118">
        <v>8</v>
      </c>
      <c r="K4" s="46">
        <v>2</v>
      </c>
      <c r="L4" s="124">
        <v>14</v>
      </c>
      <c r="N4" s="46" t="s">
        <v>152</v>
      </c>
      <c r="O4" s="131">
        <f t="shared" si="0"/>
        <v>1721.3414634146341</v>
      </c>
      <c r="P4" s="61">
        <v>282300</v>
      </c>
      <c r="Q4" s="56">
        <v>164</v>
      </c>
    </row>
    <row r="5" spans="1:17" x14ac:dyDescent="0.4">
      <c r="A5" s="73" t="s">
        <v>7</v>
      </c>
      <c r="B5" s="141">
        <f>IF(B$2=0,0,B$4/B$2)</f>
        <v>6.200529100529101</v>
      </c>
      <c r="C5" s="142"/>
      <c r="E5" s="82" t="s">
        <v>67</v>
      </c>
      <c r="F5" s="78" t="s">
        <v>21</v>
      </c>
      <c r="G5" s="65">
        <v>181</v>
      </c>
      <c r="H5" s="47">
        <f>IF(B$25=0,0,G5/B$25)</f>
        <v>0.53235294117647058</v>
      </c>
      <c r="I5" s="118">
        <v>9</v>
      </c>
      <c r="K5" s="46">
        <v>3</v>
      </c>
      <c r="L5" s="124">
        <v>29.1</v>
      </c>
      <c r="N5" s="46" t="s">
        <v>153</v>
      </c>
      <c r="O5" s="131">
        <f t="shared" si="0"/>
        <v>1329.9319727891157</v>
      </c>
      <c r="P5" s="61">
        <v>195500</v>
      </c>
      <c r="Q5" s="56">
        <v>147</v>
      </c>
    </row>
    <row r="6" spans="1:17" x14ac:dyDescent="0.4">
      <c r="A6" s="73" t="s">
        <v>1</v>
      </c>
      <c r="B6" s="147">
        <f>IF(B$2=0,0,(B$7*1+B$8*2+B$9*3)/B$2)</f>
        <v>1.7936507936507937</v>
      </c>
      <c r="C6" s="148"/>
      <c r="E6" s="82" t="s">
        <v>70</v>
      </c>
      <c r="F6" s="78" t="s">
        <v>24</v>
      </c>
      <c r="G6" s="65">
        <v>101</v>
      </c>
      <c r="H6" s="47">
        <f>IF(B$25=0,0,G6/B$25)</f>
        <v>0.29705882352941176</v>
      </c>
      <c r="I6" s="118">
        <v>9</v>
      </c>
      <c r="K6" s="46">
        <v>4</v>
      </c>
      <c r="L6" s="124">
        <v>114.30000000000001</v>
      </c>
      <c r="N6" s="46" t="s">
        <v>154</v>
      </c>
      <c r="O6" s="131">
        <f t="shared" si="0"/>
        <v>1898.4126984126983</v>
      </c>
      <c r="P6" s="61">
        <v>239200</v>
      </c>
      <c r="Q6" s="56">
        <v>126</v>
      </c>
    </row>
    <row r="7" spans="1:17" x14ac:dyDescent="0.4">
      <c r="A7" s="73" t="s">
        <v>2</v>
      </c>
      <c r="B7" s="65">
        <v>80</v>
      </c>
      <c r="C7" s="47">
        <f>IF(B$2=0,0,B7/B$2)</f>
        <v>0.42328042328042326</v>
      </c>
      <c r="E7" s="82" t="s">
        <v>72</v>
      </c>
      <c r="F7" s="78" t="s">
        <v>12</v>
      </c>
      <c r="G7" s="65">
        <v>98</v>
      </c>
      <c r="H7" s="47">
        <f>IF(B$25=0,0,G7/B$25)</f>
        <v>0.28823529411764703</v>
      </c>
      <c r="I7" s="118">
        <v>8</v>
      </c>
      <c r="K7" s="46">
        <v>5</v>
      </c>
      <c r="L7" s="124">
        <v>145.80000000000001</v>
      </c>
      <c r="N7" s="50" t="s">
        <v>155</v>
      </c>
      <c r="O7" s="132">
        <f t="shared" si="0"/>
        <v>1197.9591836734694</v>
      </c>
      <c r="P7" s="62">
        <v>117400</v>
      </c>
      <c r="Q7" s="57">
        <v>98</v>
      </c>
    </row>
    <row r="8" spans="1:17" x14ac:dyDescent="0.4">
      <c r="A8" s="73" t="s">
        <v>3</v>
      </c>
      <c r="B8" s="65">
        <v>68</v>
      </c>
      <c r="C8" s="47">
        <f t="shared" ref="C8:C9" si="1">IF(B$2=0,0,B8/B$2)</f>
        <v>0.35978835978835977</v>
      </c>
      <c r="E8" s="82" t="s">
        <v>94</v>
      </c>
      <c r="F8" s="78" t="s">
        <v>47</v>
      </c>
      <c r="G8" s="65">
        <v>61</v>
      </c>
      <c r="H8" s="47">
        <f>IF(B$25=0,0,G8/B$25)</f>
        <v>0.17941176470588235</v>
      </c>
      <c r="I8" s="118">
        <v>2</v>
      </c>
      <c r="K8" s="46">
        <v>6</v>
      </c>
      <c r="L8" s="124">
        <v>97.800000000000011</v>
      </c>
      <c r="N8" s="41"/>
      <c r="O8" s="41"/>
      <c r="P8" s="41"/>
      <c r="Q8" s="41"/>
    </row>
    <row r="9" spans="1:17" x14ac:dyDescent="0.4">
      <c r="A9" s="74" t="s">
        <v>4</v>
      </c>
      <c r="B9" s="66">
        <v>41</v>
      </c>
      <c r="C9" s="48">
        <f t="shared" si="1"/>
        <v>0.21693121693121692</v>
      </c>
      <c r="E9" s="82" t="s">
        <v>73</v>
      </c>
      <c r="F9" s="78" t="s">
        <v>26</v>
      </c>
      <c r="G9" s="65">
        <v>52</v>
      </c>
      <c r="H9" s="47">
        <f>IF(B$25=0,0,G9/B$25)</f>
        <v>0.15294117647058825</v>
      </c>
      <c r="I9" s="118">
        <v>5</v>
      </c>
      <c r="K9" s="46">
        <v>7</v>
      </c>
      <c r="L9" s="124">
        <v>91.700000000000017</v>
      </c>
      <c r="N9" s="42" t="s">
        <v>235</v>
      </c>
      <c r="O9" s="129" t="s">
        <v>125</v>
      </c>
      <c r="P9" s="153" t="s">
        <v>238</v>
      </c>
      <c r="Q9" s="125" t="s">
        <v>121</v>
      </c>
    </row>
    <row r="10" spans="1:17" x14ac:dyDescent="0.4">
      <c r="A10" s="74" t="s">
        <v>19</v>
      </c>
      <c r="B10" s="66">
        <v>20</v>
      </c>
      <c r="C10" s="48">
        <f>IF(B$2=0,0,B10/B$2)</f>
        <v>0.10582010582010581</v>
      </c>
      <c r="E10" s="82" t="s">
        <v>68</v>
      </c>
      <c r="F10" s="78" t="s">
        <v>22</v>
      </c>
      <c r="G10" s="65">
        <v>33</v>
      </c>
      <c r="H10" s="47">
        <f>IF(B$25=0,0,G10/B$25)</f>
        <v>9.7058823529411767E-2</v>
      </c>
      <c r="I10" s="118">
        <v>9</v>
      </c>
      <c r="K10" s="46">
        <v>8</v>
      </c>
      <c r="L10" s="124">
        <v>55.700000000000017</v>
      </c>
      <c r="N10" s="44" t="s">
        <v>175</v>
      </c>
      <c r="O10" s="126">
        <f>IF(Q10=0,0,P10/Q10)</f>
        <v>85.2</v>
      </c>
      <c r="P10" s="154">
        <v>85.2</v>
      </c>
      <c r="Q10" s="155">
        <v>1</v>
      </c>
    </row>
    <row r="11" spans="1:17" x14ac:dyDescent="0.4">
      <c r="A11" s="75" t="s">
        <v>158</v>
      </c>
      <c r="B11" s="67">
        <v>38</v>
      </c>
      <c r="C11" s="51">
        <f>IF(B$2=0,0,B11/B$2)</f>
        <v>0.20105820105820105</v>
      </c>
      <c r="E11" s="82" t="s">
        <v>74</v>
      </c>
      <c r="F11" s="78" t="s">
        <v>27</v>
      </c>
      <c r="G11" s="65">
        <v>28</v>
      </c>
      <c r="H11" s="47">
        <f>IF(B$25=0,0,G11/B$25)</f>
        <v>8.2352941176470587E-2</v>
      </c>
      <c r="I11" s="118">
        <v>6</v>
      </c>
      <c r="K11" s="46">
        <v>9</v>
      </c>
      <c r="L11" s="124">
        <v>14.700000000000017</v>
      </c>
      <c r="N11" s="46" t="s">
        <v>170</v>
      </c>
      <c r="O11" s="127">
        <f>IF(Q11=0,0,P11/Q11)</f>
        <v>38.725000000000001</v>
      </c>
      <c r="P11" s="156">
        <v>154.9</v>
      </c>
      <c r="Q11" s="157">
        <v>4</v>
      </c>
    </row>
    <row r="12" spans="1:17" x14ac:dyDescent="0.4">
      <c r="A12" s="76" t="s">
        <v>128</v>
      </c>
      <c r="B12" s="68">
        <v>283</v>
      </c>
      <c r="C12" s="54">
        <f>IF(B$24=0,0,B12/B$24)</f>
        <v>0.29852320675105487</v>
      </c>
      <c r="E12" s="82" t="s">
        <v>75</v>
      </c>
      <c r="F12" s="78" t="s">
        <v>28</v>
      </c>
      <c r="G12" s="65">
        <v>22</v>
      </c>
      <c r="H12" s="47">
        <f>IF(B$25=0,0,G12/B$25)</f>
        <v>6.4705882352941183E-2</v>
      </c>
      <c r="I12" s="118">
        <v>2</v>
      </c>
      <c r="K12" s="46">
        <v>10</v>
      </c>
      <c r="L12" s="124">
        <v>-16.799999999999983</v>
      </c>
      <c r="N12" s="46" t="s">
        <v>171</v>
      </c>
      <c r="O12" s="127">
        <f>IF(Q12=0,0,P12/Q12)</f>
        <v>15</v>
      </c>
      <c r="P12" s="156">
        <v>15</v>
      </c>
      <c r="Q12" s="157">
        <v>1</v>
      </c>
    </row>
    <row r="13" spans="1:17" x14ac:dyDescent="0.4">
      <c r="A13" s="73" t="s">
        <v>123</v>
      </c>
      <c r="B13" s="65">
        <v>199</v>
      </c>
      <c r="C13" s="47">
        <f>IF(B$24=0,0,B13/B$24)</f>
        <v>0.20991561181434598</v>
      </c>
      <c r="E13" s="82" t="s">
        <v>91</v>
      </c>
      <c r="F13" s="78" t="s">
        <v>44</v>
      </c>
      <c r="G13" s="65">
        <v>22</v>
      </c>
      <c r="H13" s="47">
        <f>IF(B$25=0,0,G13/B$25)</f>
        <v>6.4705882352941183E-2</v>
      </c>
      <c r="I13" s="118">
        <v>7</v>
      </c>
      <c r="K13" s="46">
        <v>11</v>
      </c>
      <c r="L13" s="124">
        <v>1.5000000000000178</v>
      </c>
      <c r="N13" s="46" t="s">
        <v>139</v>
      </c>
      <c r="O13" s="127">
        <f>IF(Q13=0,0,P13/Q13)</f>
        <v>10.050724637681162</v>
      </c>
      <c r="P13" s="156">
        <v>693.50000000000011</v>
      </c>
      <c r="Q13" s="157">
        <v>69</v>
      </c>
    </row>
    <row r="14" spans="1:17" x14ac:dyDescent="0.4">
      <c r="A14" s="72" t="s">
        <v>130</v>
      </c>
      <c r="B14" s="64">
        <v>184</v>
      </c>
      <c r="C14" s="45">
        <f>IF(B$12=0,0,B14/B$12)</f>
        <v>0.65017667844522964</v>
      </c>
      <c r="E14" s="82" t="s">
        <v>88</v>
      </c>
      <c r="F14" s="78" t="s">
        <v>41</v>
      </c>
      <c r="G14" s="65">
        <v>11</v>
      </c>
      <c r="H14" s="47">
        <f>IF(B$25=0,0,G14/B$25)</f>
        <v>3.2352941176470591E-2</v>
      </c>
      <c r="I14" s="118">
        <v>6</v>
      </c>
      <c r="K14" s="46">
        <v>12</v>
      </c>
      <c r="L14" s="124">
        <v>14.300000000000018</v>
      </c>
      <c r="N14" s="46" t="s">
        <v>161</v>
      </c>
      <c r="O14" s="127">
        <f>IF(Q14=0,0,P14/Q14)</f>
        <v>9.3052631578947373</v>
      </c>
      <c r="P14" s="156">
        <v>176.8</v>
      </c>
      <c r="Q14" s="157">
        <v>19</v>
      </c>
    </row>
    <row r="15" spans="1:17" x14ac:dyDescent="0.4">
      <c r="A15" s="72" t="s">
        <v>131</v>
      </c>
      <c r="B15" s="64">
        <v>96</v>
      </c>
      <c r="C15" s="45">
        <f>IF(B$13=0,0,B15/B$13)</f>
        <v>0.48241206030150752</v>
      </c>
      <c r="E15" s="82" t="s">
        <v>86</v>
      </c>
      <c r="F15" s="78" t="s">
        <v>39</v>
      </c>
      <c r="G15" s="65">
        <v>8</v>
      </c>
      <c r="H15" s="47">
        <f>IF(B$25=0,0,G15/B$25)</f>
        <v>2.3529411764705882E-2</v>
      </c>
      <c r="I15" s="118">
        <v>6</v>
      </c>
      <c r="K15" s="46">
        <v>13</v>
      </c>
      <c r="L15" s="124">
        <v>71.300000000000011</v>
      </c>
      <c r="N15" s="46" t="s">
        <v>138</v>
      </c>
      <c r="O15" s="127">
        <f>IF(Q15=0,0,P15/Q15)</f>
        <v>8.5809523809523807</v>
      </c>
      <c r="P15" s="156">
        <v>180.2</v>
      </c>
      <c r="Q15" s="157">
        <v>21</v>
      </c>
    </row>
    <row r="16" spans="1:17" x14ac:dyDescent="0.4">
      <c r="A16" s="72" t="s">
        <v>10</v>
      </c>
      <c r="B16" s="64">
        <f>B18+B17</f>
        <v>499</v>
      </c>
      <c r="C16" s="45">
        <f>IF(B$3=0,0,B16/B$3)</f>
        <v>0.35364989369241673</v>
      </c>
      <c r="E16" s="82" t="s">
        <v>81</v>
      </c>
      <c r="F16" s="78" t="s">
        <v>34</v>
      </c>
      <c r="G16" s="65">
        <v>4</v>
      </c>
      <c r="H16" s="47">
        <f>IF(B$25=0,0,G16/B$25)</f>
        <v>1.1764705882352941E-2</v>
      </c>
      <c r="I16" s="118">
        <v>3</v>
      </c>
      <c r="K16" s="46">
        <v>14</v>
      </c>
      <c r="L16" s="124">
        <v>27.300000000000011</v>
      </c>
      <c r="N16" s="46" t="s">
        <v>136</v>
      </c>
      <c r="O16" s="127">
        <f>IF(Q16=0,0,P16/Q16)</f>
        <v>5.8042553191489361</v>
      </c>
      <c r="P16" s="156">
        <v>272.8</v>
      </c>
      <c r="Q16" s="157">
        <v>47</v>
      </c>
    </row>
    <row r="17" spans="1:17" x14ac:dyDescent="0.4">
      <c r="A17" s="73" t="s">
        <v>12</v>
      </c>
      <c r="B17" s="65">
        <v>191</v>
      </c>
      <c r="C17" s="47">
        <f>IF(B$16=0,0,B17/B$16)</f>
        <v>0.38276553106212424</v>
      </c>
      <c r="E17" s="82" t="s">
        <v>96</v>
      </c>
      <c r="F17" s="78" t="s">
        <v>49</v>
      </c>
      <c r="G17" s="65">
        <v>4</v>
      </c>
      <c r="H17" s="47">
        <f>IF(B$25=0,0,G17/B$25)</f>
        <v>1.1764705882352941E-2</v>
      </c>
      <c r="I17" s="118">
        <v>7</v>
      </c>
      <c r="K17" s="46">
        <v>15</v>
      </c>
      <c r="L17" s="124">
        <v>-9.6999999999999886</v>
      </c>
      <c r="N17" s="46" t="s">
        <v>135</v>
      </c>
      <c r="O17" s="127">
        <f>IF(Q17=0,0,P17/Q17)</f>
        <v>5.17</v>
      </c>
      <c r="P17" s="156">
        <v>258.5</v>
      </c>
      <c r="Q17" s="157">
        <v>50</v>
      </c>
    </row>
    <row r="18" spans="1:17" x14ac:dyDescent="0.4">
      <c r="A18" s="73" t="s">
        <v>11</v>
      </c>
      <c r="B18" s="65">
        <v>308</v>
      </c>
      <c r="C18" s="47">
        <f>IF(B$16=0,0,B18/B$16)</f>
        <v>0.6172344689378757</v>
      </c>
      <c r="E18" s="82" t="s">
        <v>77</v>
      </c>
      <c r="F18" s="78" t="s">
        <v>30</v>
      </c>
      <c r="G18" s="65">
        <v>3</v>
      </c>
      <c r="H18" s="47">
        <f>IF(B$25=0,0,G18/B$25)</f>
        <v>8.8235294117647058E-3</v>
      </c>
      <c r="I18" s="118">
        <v>2</v>
      </c>
      <c r="K18" s="46">
        <v>16</v>
      </c>
      <c r="L18" s="124">
        <v>-8.099999999999989</v>
      </c>
      <c r="N18" s="46" t="s">
        <v>134</v>
      </c>
      <c r="O18" s="127">
        <f>IF(Q18=0,0,P18/Q18)</f>
        <v>3.3604166666666675</v>
      </c>
      <c r="P18" s="156">
        <v>322.60000000000008</v>
      </c>
      <c r="Q18" s="157">
        <v>96</v>
      </c>
    </row>
    <row r="19" spans="1:17" x14ac:dyDescent="0.4">
      <c r="A19" s="73" t="s">
        <v>13</v>
      </c>
      <c r="B19" s="65">
        <v>201</v>
      </c>
      <c r="C19" s="47">
        <f>IF(B$3=0,0,B19/B$3)</f>
        <v>0.14245216158752658</v>
      </c>
      <c r="E19" s="82" t="s">
        <v>79</v>
      </c>
      <c r="F19" s="78" t="s">
        <v>32</v>
      </c>
      <c r="G19" s="65">
        <v>3</v>
      </c>
      <c r="H19" s="47">
        <f>IF(B$25=0,0,G19/B$25)</f>
        <v>8.8235294117647058E-3</v>
      </c>
      <c r="I19" s="118">
        <v>3</v>
      </c>
      <c r="K19" s="46">
        <v>17</v>
      </c>
      <c r="L19" s="124">
        <v>-29.499999999999986</v>
      </c>
      <c r="N19" s="46" t="s">
        <v>137</v>
      </c>
      <c r="O19" s="127">
        <f>IF(Q19=0,0,P19/Q19)</f>
        <v>2.6328571428571426</v>
      </c>
      <c r="P19" s="156">
        <v>184.29999999999998</v>
      </c>
      <c r="Q19" s="157">
        <v>70</v>
      </c>
    </row>
    <row r="20" spans="1:17" x14ac:dyDescent="0.4">
      <c r="A20" s="73" t="s">
        <v>5</v>
      </c>
      <c r="B20" s="69">
        <f>IF(B$16=0,0,C20/B$16)</f>
        <v>9948.2965931863728</v>
      </c>
      <c r="C20" s="49">
        <v>4964200</v>
      </c>
      <c r="E20" s="82" t="s">
        <v>82</v>
      </c>
      <c r="F20" s="78" t="s">
        <v>35</v>
      </c>
      <c r="G20" s="65">
        <v>3</v>
      </c>
      <c r="H20" s="47">
        <f>IF(B$25=0,0,G20/B$25)</f>
        <v>8.8235294117647058E-3</v>
      </c>
      <c r="I20" s="118">
        <v>9</v>
      </c>
      <c r="K20" s="46">
        <v>18</v>
      </c>
      <c r="L20" s="124">
        <v>-14.599999999999985</v>
      </c>
    </row>
    <row r="21" spans="1:17" x14ac:dyDescent="0.4">
      <c r="A21" s="75" t="s">
        <v>14</v>
      </c>
      <c r="B21" s="70">
        <f>IF(B$19=0,0,C21/B$19)</f>
        <v>-9512.4378109452737</v>
      </c>
      <c r="C21" s="63">
        <v>-1912000</v>
      </c>
      <c r="E21" s="82" t="s">
        <v>97</v>
      </c>
      <c r="F21" s="78" t="s">
        <v>50</v>
      </c>
      <c r="G21" s="65">
        <v>3</v>
      </c>
      <c r="H21" s="47">
        <f>IF(B$25=0,0,G21/B$25)</f>
        <v>8.8235294117647058E-3</v>
      </c>
      <c r="I21" s="118">
        <v>3</v>
      </c>
      <c r="K21" s="46">
        <v>19</v>
      </c>
      <c r="L21" s="124">
        <v>42.600000000000016</v>
      </c>
    </row>
    <row r="22" spans="1:17" x14ac:dyDescent="0.4">
      <c r="A22" s="72" t="s">
        <v>147</v>
      </c>
      <c r="B22" s="64">
        <v>490</v>
      </c>
      <c r="C22" s="45">
        <f>IF(B$3=0,0,B22/B$3)</f>
        <v>0.34727143869596033</v>
      </c>
      <c r="E22" s="82" t="s">
        <v>83</v>
      </c>
      <c r="F22" s="78" t="s">
        <v>36</v>
      </c>
      <c r="G22" s="65">
        <v>2</v>
      </c>
      <c r="H22" s="47">
        <f>IF(B$25=0,0,G22/B$25)</f>
        <v>5.8823529411764705E-3</v>
      </c>
      <c r="I22" s="118">
        <v>7</v>
      </c>
      <c r="K22" s="46">
        <v>20</v>
      </c>
      <c r="L22" s="124">
        <v>68.800000000000011</v>
      </c>
    </row>
    <row r="23" spans="1:17" x14ac:dyDescent="0.4">
      <c r="A23" s="75" t="s">
        <v>148</v>
      </c>
      <c r="B23" s="67">
        <v>204</v>
      </c>
      <c r="C23" s="51">
        <f>IF(B$22=0,0,B23/B$22)</f>
        <v>0.41632653061224489</v>
      </c>
      <c r="E23" s="82" t="s">
        <v>92</v>
      </c>
      <c r="F23" s="78" t="s">
        <v>45</v>
      </c>
      <c r="G23" s="65">
        <v>2</v>
      </c>
      <c r="H23" s="47">
        <f>IF(B$25=0,0,G23/B$25)</f>
        <v>5.8823529411764705E-3</v>
      </c>
      <c r="I23" s="118">
        <v>2</v>
      </c>
      <c r="K23" s="46">
        <v>21</v>
      </c>
      <c r="L23" s="124">
        <v>125.30000000000001</v>
      </c>
    </row>
    <row r="24" spans="1:17" x14ac:dyDescent="0.4">
      <c r="A24" s="72" t="s">
        <v>126</v>
      </c>
      <c r="B24" s="135">
        <v>948</v>
      </c>
      <c r="C24" s="136"/>
      <c r="E24" s="82" t="s">
        <v>78</v>
      </c>
      <c r="F24" s="78" t="s">
        <v>31</v>
      </c>
      <c r="G24" s="65">
        <v>1</v>
      </c>
      <c r="H24" s="47">
        <f>IF(B$25=0,0,G24/B$25)</f>
        <v>2.9411764705882353E-3</v>
      </c>
      <c r="I24" s="118">
        <v>2</v>
      </c>
      <c r="K24" s="46">
        <v>22</v>
      </c>
      <c r="L24" s="124">
        <v>99.800000000000011</v>
      </c>
    </row>
    <row r="25" spans="1:17" x14ac:dyDescent="0.4">
      <c r="A25" s="75" t="s">
        <v>127</v>
      </c>
      <c r="B25" s="149">
        <v>340</v>
      </c>
      <c r="C25" s="150"/>
      <c r="E25" s="82" t="s">
        <v>90</v>
      </c>
      <c r="F25" s="78" t="s">
        <v>43</v>
      </c>
      <c r="G25" s="65">
        <v>1</v>
      </c>
      <c r="H25" s="47">
        <f>IF(B$25=0,0,G25/B$25)</f>
        <v>2.9411764705882353E-3</v>
      </c>
      <c r="I25" s="118">
        <v>4</v>
      </c>
      <c r="K25" s="46">
        <v>23</v>
      </c>
      <c r="L25" s="124">
        <v>124.50000000000001</v>
      </c>
    </row>
    <row r="26" spans="1:17" x14ac:dyDescent="0.4">
      <c r="A26" s="113" t="s">
        <v>162</v>
      </c>
      <c r="B26" s="145">
        <v>10</v>
      </c>
      <c r="C26" s="146"/>
      <c r="E26" s="82" t="s">
        <v>95</v>
      </c>
      <c r="F26" s="78" t="s">
        <v>48</v>
      </c>
      <c r="G26" s="65">
        <v>1</v>
      </c>
      <c r="H26" s="47">
        <f>IF(B$25=0,0,G26/B$25)</f>
        <v>2.9411764705882353E-3</v>
      </c>
      <c r="I26" s="118">
        <v>1</v>
      </c>
      <c r="K26" s="46">
        <v>24</v>
      </c>
      <c r="L26" s="124">
        <v>118.00000000000001</v>
      </c>
    </row>
    <row r="27" spans="1:17" x14ac:dyDescent="0.4">
      <c r="A27" s="76" t="s">
        <v>203</v>
      </c>
      <c r="B27" s="143">
        <v>120200</v>
      </c>
      <c r="C27" s="144"/>
      <c r="E27" s="82" t="s">
        <v>100</v>
      </c>
      <c r="F27" s="78" t="s">
        <v>53</v>
      </c>
      <c r="G27" s="65">
        <v>1</v>
      </c>
      <c r="H27" s="47">
        <f>IF(B$25=0,0,G27/B$25)</f>
        <v>2.9411764705882353E-3</v>
      </c>
      <c r="I27" s="118">
        <v>1</v>
      </c>
      <c r="K27" s="46">
        <v>25</v>
      </c>
      <c r="L27" s="124">
        <v>84.300000000000011</v>
      </c>
    </row>
    <row r="28" spans="1:17" x14ac:dyDescent="0.4">
      <c r="A28" s="75" t="s">
        <v>163</v>
      </c>
      <c r="B28" s="84">
        <v>2</v>
      </c>
      <c r="C28" s="51">
        <f>IF(B$3=0,0,B28/B$3)</f>
        <v>1.4174344436569809E-3</v>
      </c>
      <c r="E28" s="82" t="s">
        <v>111</v>
      </c>
      <c r="F28" s="78" t="s">
        <v>118</v>
      </c>
      <c r="G28" s="65">
        <v>1</v>
      </c>
      <c r="H28" s="47">
        <f>IF(B$25=0,0,G28/B$25)</f>
        <v>2.9411764705882353E-3</v>
      </c>
      <c r="I28" s="118">
        <v>1</v>
      </c>
      <c r="K28" s="46">
        <v>26</v>
      </c>
      <c r="L28" s="124">
        <v>108.20000000000002</v>
      </c>
    </row>
    <row r="29" spans="1:17" x14ac:dyDescent="0.4">
      <c r="E29" s="82" t="s">
        <v>80</v>
      </c>
      <c r="F29" s="78" t="s">
        <v>33</v>
      </c>
      <c r="G29" s="65">
        <v>0</v>
      </c>
      <c r="H29" s="47">
        <f>IF(B$25=0,0,G29/B$25)</f>
        <v>0</v>
      </c>
      <c r="I29" s="118">
        <v>1</v>
      </c>
      <c r="K29" s="46">
        <v>27</v>
      </c>
      <c r="L29" s="124">
        <v>71.200000000000017</v>
      </c>
    </row>
    <row r="30" spans="1:17" x14ac:dyDescent="0.4">
      <c r="E30" s="82" t="s">
        <v>84</v>
      </c>
      <c r="F30" s="78" t="s">
        <v>37</v>
      </c>
      <c r="G30" s="65">
        <v>0</v>
      </c>
      <c r="H30" s="47">
        <f>IF(B$25=0,0,G30/B$25)</f>
        <v>0</v>
      </c>
      <c r="I30" s="118">
        <v>1</v>
      </c>
      <c r="K30" s="46">
        <v>28</v>
      </c>
      <c r="L30" s="124">
        <v>129.20000000000002</v>
      </c>
    </row>
    <row r="31" spans="1:17" x14ac:dyDescent="0.4">
      <c r="E31" s="82" t="s">
        <v>85</v>
      </c>
      <c r="F31" s="78" t="s">
        <v>38</v>
      </c>
      <c r="G31" s="65">
        <v>0</v>
      </c>
      <c r="H31" s="47">
        <f>IF(B$25=0,0,G31/B$25)</f>
        <v>0</v>
      </c>
      <c r="I31" s="118">
        <v>3</v>
      </c>
      <c r="K31" s="46">
        <v>29</v>
      </c>
      <c r="L31" s="124">
        <v>120.80000000000001</v>
      </c>
    </row>
    <row r="32" spans="1:17" x14ac:dyDescent="0.4">
      <c r="E32" s="82" t="s">
        <v>87</v>
      </c>
      <c r="F32" s="78" t="s">
        <v>40</v>
      </c>
      <c r="G32" s="65">
        <v>0</v>
      </c>
      <c r="H32" s="47">
        <f>IF(B$25=0,0,G32/B$25)</f>
        <v>0</v>
      </c>
      <c r="I32" s="118">
        <v>1</v>
      </c>
      <c r="K32" s="46">
        <v>30</v>
      </c>
      <c r="L32" s="124">
        <v>112.4</v>
      </c>
    </row>
    <row r="33" spans="5:12" x14ac:dyDescent="0.4">
      <c r="E33" s="82" t="s">
        <v>89</v>
      </c>
      <c r="F33" s="78" t="s">
        <v>42</v>
      </c>
      <c r="G33" s="65">
        <v>0</v>
      </c>
      <c r="H33" s="47">
        <f>IF(B$25=0,0,G33/B$25)</f>
        <v>0</v>
      </c>
      <c r="I33" s="118">
        <v>5</v>
      </c>
      <c r="K33" s="46">
        <v>31</v>
      </c>
      <c r="L33" s="124">
        <v>165.7</v>
      </c>
    </row>
    <row r="34" spans="5:12" x14ac:dyDescent="0.4">
      <c r="E34" s="82" t="s">
        <v>93</v>
      </c>
      <c r="F34" s="78" t="s">
        <v>46</v>
      </c>
      <c r="G34" s="65">
        <v>0</v>
      </c>
      <c r="H34" s="47">
        <f>IF(B$25=0,0,G34/B$25)</f>
        <v>0</v>
      </c>
      <c r="I34" s="118">
        <v>3</v>
      </c>
      <c r="K34" s="46">
        <v>32</v>
      </c>
      <c r="L34" s="124">
        <v>151.69999999999999</v>
      </c>
    </row>
    <row r="35" spans="5:12" x14ac:dyDescent="0.4">
      <c r="E35" s="82" t="s">
        <v>98</v>
      </c>
      <c r="F35" s="78" t="s">
        <v>51</v>
      </c>
      <c r="G35" s="65">
        <v>0</v>
      </c>
      <c r="H35" s="47">
        <f>IF(B$25=0,0,G35/B$25)</f>
        <v>0</v>
      </c>
      <c r="I35" s="118">
        <v>4</v>
      </c>
      <c r="K35" s="46">
        <v>33</v>
      </c>
      <c r="L35" s="124">
        <v>212.39999999999998</v>
      </c>
    </row>
    <row r="36" spans="5:12" x14ac:dyDescent="0.4">
      <c r="E36" s="82" t="s">
        <v>99</v>
      </c>
      <c r="F36" s="78" t="s">
        <v>52</v>
      </c>
      <c r="G36" s="65">
        <v>0</v>
      </c>
      <c r="H36" s="47">
        <f>IF(B$25=0,0,G36/B$25)</f>
        <v>0</v>
      </c>
      <c r="I36" s="118">
        <v>1</v>
      </c>
      <c r="K36" s="46">
        <v>34</v>
      </c>
      <c r="L36" s="124">
        <v>262.39999999999998</v>
      </c>
    </row>
    <row r="37" spans="5:12" x14ac:dyDescent="0.4">
      <c r="E37" s="82" t="s">
        <v>101</v>
      </c>
      <c r="F37" s="78" t="s">
        <v>54</v>
      </c>
      <c r="G37" s="65">
        <v>0</v>
      </c>
      <c r="H37" s="47">
        <f>IF(B$25=0,0,G37/B$25)</f>
        <v>0</v>
      </c>
      <c r="I37" s="118">
        <v>1</v>
      </c>
      <c r="K37" s="46">
        <v>35</v>
      </c>
      <c r="L37" s="124">
        <v>248.39999999999998</v>
      </c>
    </row>
    <row r="38" spans="5:12" x14ac:dyDescent="0.4">
      <c r="E38" s="82" t="s">
        <v>102</v>
      </c>
      <c r="F38" s="78" t="s">
        <v>55</v>
      </c>
      <c r="G38" s="65">
        <v>0</v>
      </c>
      <c r="H38" s="47">
        <f>IF(B$25=0,0,G38/B$25)</f>
        <v>0</v>
      </c>
      <c r="I38" s="118">
        <v>1</v>
      </c>
      <c r="K38" s="46">
        <v>36</v>
      </c>
      <c r="L38" s="124">
        <v>244.99999999999997</v>
      </c>
    </row>
    <row r="39" spans="5:12" x14ac:dyDescent="0.4">
      <c r="E39" s="82" t="s">
        <v>103</v>
      </c>
      <c r="F39" s="78" t="s">
        <v>56</v>
      </c>
      <c r="G39" s="65">
        <v>0</v>
      </c>
      <c r="H39" s="47">
        <f>IF(B$25=0,0,G39/B$25)</f>
        <v>0</v>
      </c>
      <c r="I39" s="118">
        <v>1</v>
      </c>
      <c r="K39" s="46">
        <v>37</v>
      </c>
      <c r="L39" s="124">
        <v>227.89999999999998</v>
      </c>
    </row>
    <row r="40" spans="5:12" x14ac:dyDescent="0.4">
      <c r="E40" s="82" t="s">
        <v>104</v>
      </c>
      <c r="F40" s="78" t="s">
        <v>57</v>
      </c>
      <c r="G40" s="65">
        <v>0</v>
      </c>
      <c r="H40" s="47">
        <f>IF(B$25=0,0,G40/B$25)</f>
        <v>0</v>
      </c>
      <c r="I40" s="118">
        <v>1</v>
      </c>
      <c r="K40" s="46">
        <v>38</v>
      </c>
      <c r="L40" s="124">
        <v>248.99999999999997</v>
      </c>
    </row>
    <row r="41" spans="5:12" x14ac:dyDescent="0.4">
      <c r="E41" s="82" t="s">
        <v>105</v>
      </c>
      <c r="F41" s="78" t="s">
        <v>58</v>
      </c>
      <c r="G41" s="65">
        <v>0</v>
      </c>
      <c r="H41" s="47">
        <f>IF(B$25=0,0,G41/B$25)</f>
        <v>0</v>
      </c>
      <c r="I41" s="118">
        <v>1</v>
      </c>
      <c r="K41" s="46">
        <v>39</v>
      </c>
      <c r="L41" s="124">
        <v>198.39999999999998</v>
      </c>
    </row>
    <row r="42" spans="5:12" x14ac:dyDescent="0.4">
      <c r="E42" s="82" t="s">
        <v>106</v>
      </c>
      <c r="F42" s="78" t="s">
        <v>59</v>
      </c>
      <c r="G42" s="65">
        <v>0</v>
      </c>
      <c r="H42" s="47">
        <f>IF(B$25=0,0,G42/B$25)</f>
        <v>0</v>
      </c>
      <c r="I42" s="118">
        <v>1</v>
      </c>
      <c r="K42" s="46">
        <v>40</v>
      </c>
      <c r="L42" s="124">
        <v>190.2</v>
      </c>
    </row>
    <row r="43" spans="5:12" x14ac:dyDescent="0.4">
      <c r="E43" s="82" t="s">
        <v>107</v>
      </c>
      <c r="F43" s="78" t="s">
        <v>60</v>
      </c>
      <c r="G43" s="65">
        <v>0</v>
      </c>
      <c r="H43" s="47">
        <f>IF(B$25=0,0,G43/B$25)</f>
        <v>0</v>
      </c>
      <c r="I43" s="118">
        <v>1</v>
      </c>
      <c r="K43" s="46">
        <v>41</v>
      </c>
      <c r="L43" s="124">
        <v>183.2</v>
      </c>
    </row>
    <row r="44" spans="5:12" x14ac:dyDescent="0.4">
      <c r="E44" s="82" t="s">
        <v>108</v>
      </c>
      <c r="F44" s="78" t="s">
        <v>61</v>
      </c>
      <c r="G44" s="65">
        <v>0</v>
      </c>
      <c r="H44" s="47">
        <f>IF(B$25=0,0,G44/B$25)</f>
        <v>0</v>
      </c>
      <c r="I44" s="118">
        <v>1</v>
      </c>
      <c r="K44" s="46">
        <v>42</v>
      </c>
      <c r="L44" s="124">
        <v>146.79999999999998</v>
      </c>
    </row>
    <row r="45" spans="5:12" x14ac:dyDescent="0.4">
      <c r="E45" s="82" t="s">
        <v>109</v>
      </c>
      <c r="F45" s="78" t="s">
        <v>62</v>
      </c>
      <c r="G45" s="65">
        <v>0</v>
      </c>
      <c r="H45" s="47">
        <f>IF(B$25=0,0,G45/B$25)</f>
        <v>0</v>
      </c>
      <c r="I45" s="118">
        <v>1</v>
      </c>
      <c r="K45" s="46">
        <v>43</v>
      </c>
      <c r="L45" s="124">
        <v>138.29999999999998</v>
      </c>
    </row>
    <row r="46" spans="5:12" x14ac:dyDescent="0.4">
      <c r="E46" s="82" t="s">
        <v>110</v>
      </c>
      <c r="F46" s="78" t="s">
        <v>117</v>
      </c>
      <c r="G46" s="65">
        <v>0</v>
      </c>
      <c r="H46" s="47">
        <f>IF(B$25=0,0,G46/B$25)</f>
        <v>0</v>
      </c>
      <c r="I46" s="118">
        <v>1</v>
      </c>
      <c r="K46" s="46">
        <v>44</v>
      </c>
      <c r="L46" s="124">
        <v>146.69999999999999</v>
      </c>
    </row>
    <row r="47" spans="5:12" x14ac:dyDescent="0.4">
      <c r="E47" s="82" t="s">
        <v>112</v>
      </c>
      <c r="F47" s="78" t="s">
        <v>119</v>
      </c>
      <c r="G47" s="65">
        <v>0</v>
      </c>
      <c r="H47" s="47">
        <f>IF(B$25=0,0,G47/B$25)</f>
        <v>0</v>
      </c>
      <c r="I47" s="118">
        <v>1</v>
      </c>
      <c r="K47" s="46">
        <v>45</v>
      </c>
      <c r="L47" s="124">
        <v>136.29999999999998</v>
      </c>
    </row>
    <row r="48" spans="5:12" x14ac:dyDescent="0.4">
      <c r="E48" s="82" t="s">
        <v>113</v>
      </c>
      <c r="F48" s="78" t="s">
        <v>63</v>
      </c>
      <c r="G48" s="65">
        <v>0</v>
      </c>
      <c r="H48" s="47">
        <f>IF(B$25=0,0,G48/B$25)</f>
        <v>0</v>
      </c>
      <c r="I48" s="118">
        <v>1</v>
      </c>
      <c r="K48" s="46">
        <v>46</v>
      </c>
      <c r="L48" s="124">
        <v>164.2</v>
      </c>
    </row>
    <row r="49" spans="5:12" x14ac:dyDescent="0.4">
      <c r="E49" s="82" t="s">
        <v>114</v>
      </c>
      <c r="F49" s="78" t="s">
        <v>64</v>
      </c>
      <c r="G49" s="65">
        <v>0</v>
      </c>
      <c r="H49" s="47">
        <f>IF(B$25=0,0,G49/B$25)</f>
        <v>0</v>
      </c>
      <c r="I49" s="118">
        <v>1</v>
      </c>
      <c r="K49" s="46">
        <v>47</v>
      </c>
      <c r="L49" s="124">
        <v>143.69999999999999</v>
      </c>
    </row>
    <row r="50" spans="5:12" x14ac:dyDescent="0.4">
      <c r="E50" s="82" t="s">
        <v>115</v>
      </c>
      <c r="F50" s="78" t="s">
        <v>65</v>
      </c>
      <c r="G50" s="65">
        <v>0</v>
      </c>
      <c r="H50" s="47">
        <f>IF(B$25=0,0,G50/B$25)</f>
        <v>0</v>
      </c>
      <c r="I50" s="118">
        <v>1</v>
      </c>
      <c r="K50" s="46">
        <v>48</v>
      </c>
      <c r="L50" s="124">
        <v>112.6</v>
      </c>
    </row>
    <row r="51" spans="5:12" x14ac:dyDescent="0.4">
      <c r="E51" s="83" t="s">
        <v>116</v>
      </c>
      <c r="F51" s="79" t="s">
        <v>66</v>
      </c>
      <c r="G51" s="67">
        <v>0</v>
      </c>
      <c r="H51" s="51">
        <f>IF(B$25=0,0,G51/B$25)</f>
        <v>0</v>
      </c>
      <c r="I51" s="119">
        <v>1</v>
      </c>
      <c r="K51" s="46">
        <v>49</v>
      </c>
      <c r="L51" s="124">
        <v>128.79999999999998</v>
      </c>
    </row>
    <row r="52" spans="5:12" x14ac:dyDescent="0.4">
      <c r="K52" s="46">
        <v>50</v>
      </c>
      <c r="L52" s="124">
        <v>123.89999999999998</v>
      </c>
    </row>
    <row r="53" spans="5:12" x14ac:dyDescent="0.4">
      <c r="K53" s="46">
        <v>51</v>
      </c>
      <c r="L53" s="124">
        <v>136.69999999999999</v>
      </c>
    </row>
    <row r="54" spans="5:12" x14ac:dyDescent="0.4">
      <c r="K54" s="46">
        <v>52</v>
      </c>
      <c r="L54" s="124">
        <v>137.39999999999998</v>
      </c>
    </row>
    <row r="55" spans="5:12" x14ac:dyDescent="0.4">
      <c r="K55" s="46">
        <v>53</v>
      </c>
      <c r="L55" s="124">
        <v>130.69999999999999</v>
      </c>
    </row>
    <row r="56" spans="5:12" x14ac:dyDescent="0.4">
      <c r="K56" s="46">
        <v>54</v>
      </c>
      <c r="L56" s="124">
        <v>102.69999999999999</v>
      </c>
    </row>
    <row r="57" spans="5:12" x14ac:dyDescent="0.4">
      <c r="K57" s="46">
        <v>55</v>
      </c>
      <c r="L57" s="124">
        <v>119.39999999999999</v>
      </c>
    </row>
    <row r="58" spans="5:12" x14ac:dyDescent="0.4">
      <c r="K58" s="46">
        <v>56</v>
      </c>
      <c r="L58" s="124">
        <v>112.39999999999999</v>
      </c>
    </row>
    <row r="59" spans="5:12" x14ac:dyDescent="0.4">
      <c r="K59" s="46">
        <v>57</v>
      </c>
      <c r="L59" s="124">
        <v>144</v>
      </c>
    </row>
    <row r="60" spans="5:12" x14ac:dyDescent="0.4">
      <c r="K60" s="46">
        <v>58</v>
      </c>
      <c r="L60" s="124">
        <v>159.80000000000001</v>
      </c>
    </row>
    <row r="61" spans="5:12" x14ac:dyDescent="0.4">
      <c r="K61" s="46">
        <v>59</v>
      </c>
      <c r="L61" s="124">
        <v>216.8</v>
      </c>
    </row>
    <row r="62" spans="5:12" x14ac:dyDescent="0.4">
      <c r="K62" s="46">
        <v>60</v>
      </c>
      <c r="L62" s="124">
        <v>222.10000000000002</v>
      </c>
    </row>
    <row r="63" spans="5:12" x14ac:dyDescent="0.4">
      <c r="K63" s="46">
        <v>61</v>
      </c>
      <c r="L63" s="124">
        <v>176.00000000000003</v>
      </c>
    </row>
    <row r="64" spans="5:12" x14ac:dyDescent="0.4">
      <c r="K64" s="46">
        <v>62</v>
      </c>
      <c r="L64" s="124">
        <v>197.10000000000002</v>
      </c>
    </row>
    <row r="65" spans="11:12" x14ac:dyDescent="0.4">
      <c r="K65" s="46">
        <v>63</v>
      </c>
      <c r="L65" s="124">
        <v>131.10000000000002</v>
      </c>
    </row>
    <row r="66" spans="11:12" x14ac:dyDescent="0.4">
      <c r="K66" s="46">
        <v>64</v>
      </c>
      <c r="L66" s="124">
        <v>126.10000000000002</v>
      </c>
    </row>
    <row r="67" spans="11:12" x14ac:dyDescent="0.4">
      <c r="K67" s="46">
        <v>65</v>
      </c>
      <c r="L67" s="124">
        <v>127.10000000000002</v>
      </c>
    </row>
    <row r="68" spans="11:12" x14ac:dyDescent="0.4">
      <c r="K68" s="46">
        <v>66</v>
      </c>
      <c r="L68" s="124">
        <v>158.70000000000002</v>
      </c>
    </row>
    <row r="69" spans="11:12" x14ac:dyDescent="0.4">
      <c r="K69" s="46">
        <v>67</v>
      </c>
      <c r="L69" s="124">
        <v>139.70000000000002</v>
      </c>
    </row>
    <row r="70" spans="11:12" x14ac:dyDescent="0.4">
      <c r="K70" s="46">
        <v>68</v>
      </c>
      <c r="L70" s="124">
        <v>129.80000000000001</v>
      </c>
    </row>
    <row r="71" spans="11:12" x14ac:dyDescent="0.4">
      <c r="K71" s="46">
        <v>69</v>
      </c>
      <c r="L71" s="124">
        <v>130.70000000000002</v>
      </c>
    </row>
    <row r="72" spans="11:12" x14ac:dyDescent="0.4">
      <c r="K72" s="46">
        <v>70</v>
      </c>
      <c r="L72" s="124">
        <v>163</v>
      </c>
    </row>
    <row r="73" spans="11:12" x14ac:dyDescent="0.4">
      <c r="K73" s="46">
        <v>71</v>
      </c>
      <c r="L73" s="124">
        <v>191.4</v>
      </c>
    </row>
    <row r="74" spans="11:12" x14ac:dyDescent="0.4">
      <c r="K74" s="46">
        <v>72</v>
      </c>
      <c r="L74" s="124">
        <v>184</v>
      </c>
    </row>
    <row r="75" spans="11:12" x14ac:dyDescent="0.4">
      <c r="K75" s="46">
        <v>73</v>
      </c>
      <c r="L75" s="124">
        <v>202.3</v>
      </c>
    </row>
    <row r="76" spans="11:12" x14ac:dyDescent="0.4">
      <c r="K76" s="46">
        <v>74</v>
      </c>
      <c r="L76" s="124">
        <v>188.4</v>
      </c>
    </row>
    <row r="77" spans="11:12" x14ac:dyDescent="0.4">
      <c r="K77" s="46">
        <v>75</v>
      </c>
      <c r="L77" s="124">
        <v>228.4</v>
      </c>
    </row>
    <row r="78" spans="11:12" x14ac:dyDescent="0.4">
      <c r="K78" s="46">
        <v>76</v>
      </c>
      <c r="L78" s="124">
        <v>233.6</v>
      </c>
    </row>
    <row r="79" spans="11:12" x14ac:dyDescent="0.4">
      <c r="K79" s="46">
        <v>77</v>
      </c>
      <c r="L79" s="124">
        <v>219.9</v>
      </c>
    </row>
    <row r="80" spans="11:12" x14ac:dyDescent="0.4">
      <c r="K80" s="46">
        <v>78</v>
      </c>
      <c r="L80" s="124">
        <v>225</v>
      </c>
    </row>
    <row r="81" spans="11:12" x14ac:dyDescent="0.4">
      <c r="K81" s="46">
        <v>79</v>
      </c>
      <c r="L81" s="124">
        <v>256.89999999999998</v>
      </c>
    </row>
    <row r="82" spans="11:12" x14ac:dyDescent="0.4">
      <c r="K82" s="46">
        <v>80</v>
      </c>
      <c r="L82" s="124">
        <v>296.89999999999998</v>
      </c>
    </row>
    <row r="83" spans="11:12" x14ac:dyDescent="0.4">
      <c r="K83" s="46">
        <v>81</v>
      </c>
      <c r="L83" s="124">
        <v>319.39999999999998</v>
      </c>
    </row>
    <row r="84" spans="11:12" x14ac:dyDescent="0.4">
      <c r="K84" s="46">
        <v>82</v>
      </c>
      <c r="L84" s="124">
        <v>350.9</v>
      </c>
    </row>
    <row r="85" spans="11:12" x14ac:dyDescent="0.4">
      <c r="K85" s="46">
        <v>83</v>
      </c>
      <c r="L85" s="124">
        <v>410.7</v>
      </c>
    </row>
    <row r="86" spans="11:12" x14ac:dyDescent="0.4">
      <c r="K86" s="46">
        <v>84</v>
      </c>
      <c r="L86" s="124">
        <v>421.8</v>
      </c>
    </row>
    <row r="87" spans="11:12" x14ac:dyDescent="0.4">
      <c r="K87" s="46">
        <v>85</v>
      </c>
      <c r="L87" s="124">
        <v>423.40000000000003</v>
      </c>
    </row>
    <row r="88" spans="11:12" x14ac:dyDescent="0.4">
      <c r="K88" s="46">
        <v>86</v>
      </c>
      <c r="L88" s="124">
        <v>402.00000000000006</v>
      </c>
    </row>
    <row r="89" spans="11:12" x14ac:dyDescent="0.4">
      <c r="K89" s="46">
        <v>87</v>
      </c>
      <c r="L89" s="124">
        <v>405.50000000000006</v>
      </c>
    </row>
    <row r="90" spans="11:12" x14ac:dyDescent="0.4">
      <c r="K90" s="46">
        <v>88</v>
      </c>
      <c r="L90" s="124">
        <v>360.00000000000006</v>
      </c>
    </row>
    <row r="91" spans="11:12" x14ac:dyDescent="0.4">
      <c r="K91" s="46">
        <v>89</v>
      </c>
      <c r="L91" s="124">
        <v>359.40000000000003</v>
      </c>
    </row>
    <row r="92" spans="11:12" x14ac:dyDescent="0.4">
      <c r="K92" s="46">
        <v>90</v>
      </c>
      <c r="L92" s="124">
        <v>385.8</v>
      </c>
    </row>
    <row r="93" spans="11:12" x14ac:dyDescent="0.4">
      <c r="K93" s="46">
        <v>91</v>
      </c>
      <c r="L93" s="124">
        <v>395.5</v>
      </c>
    </row>
    <row r="94" spans="11:12" x14ac:dyDescent="0.4">
      <c r="K94" s="46">
        <v>92</v>
      </c>
      <c r="L94" s="124">
        <v>416.6</v>
      </c>
    </row>
    <row r="95" spans="11:12" x14ac:dyDescent="0.4">
      <c r="K95" s="46">
        <v>93</v>
      </c>
      <c r="L95" s="124">
        <v>459.70000000000005</v>
      </c>
    </row>
    <row r="96" spans="11:12" x14ac:dyDescent="0.4">
      <c r="K96" s="46">
        <v>94</v>
      </c>
      <c r="L96" s="124">
        <v>453.70000000000005</v>
      </c>
    </row>
    <row r="97" spans="11:12" x14ac:dyDescent="0.4">
      <c r="K97" s="46">
        <v>95</v>
      </c>
      <c r="L97" s="124">
        <v>416.20000000000005</v>
      </c>
    </row>
    <row r="98" spans="11:12" x14ac:dyDescent="0.4">
      <c r="K98" s="46">
        <v>96</v>
      </c>
      <c r="L98" s="124">
        <v>376.70000000000005</v>
      </c>
    </row>
    <row r="99" spans="11:12" x14ac:dyDescent="0.4">
      <c r="K99" s="46">
        <v>97</v>
      </c>
      <c r="L99" s="124">
        <v>387.80000000000007</v>
      </c>
    </row>
    <row r="100" spans="11:12" x14ac:dyDescent="0.4">
      <c r="K100" s="46">
        <v>98</v>
      </c>
      <c r="L100" s="124">
        <v>385.80000000000007</v>
      </c>
    </row>
    <row r="101" spans="11:12" x14ac:dyDescent="0.4">
      <c r="K101" s="46">
        <v>99</v>
      </c>
      <c r="L101" s="124">
        <v>429.30000000000007</v>
      </c>
    </row>
    <row r="102" spans="11:12" x14ac:dyDescent="0.4">
      <c r="K102" s="46">
        <v>100</v>
      </c>
      <c r="L102" s="124">
        <v>423.70000000000005</v>
      </c>
    </row>
    <row r="103" spans="11:12" x14ac:dyDescent="0.4">
      <c r="K103" s="46">
        <v>101</v>
      </c>
      <c r="L103" s="124">
        <v>416.30000000000007</v>
      </c>
    </row>
    <row r="104" spans="11:12" x14ac:dyDescent="0.4">
      <c r="K104" s="46">
        <v>102</v>
      </c>
      <c r="L104" s="124">
        <v>378.30000000000007</v>
      </c>
    </row>
    <row r="105" spans="11:12" x14ac:dyDescent="0.4">
      <c r="K105" s="46">
        <v>103</v>
      </c>
      <c r="L105" s="124">
        <v>359.50000000000006</v>
      </c>
    </row>
    <row r="106" spans="11:12" x14ac:dyDescent="0.4">
      <c r="K106" s="46">
        <v>104</v>
      </c>
      <c r="L106" s="124">
        <v>386.50000000000006</v>
      </c>
    </row>
    <row r="107" spans="11:12" x14ac:dyDescent="0.4">
      <c r="K107" s="46">
        <v>105</v>
      </c>
      <c r="L107" s="124">
        <v>431.10000000000008</v>
      </c>
    </row>
    <row r="108" spans="11:12" x14ac:dyDescent="0.4">
      <c r="K108" s="46">
        <v>106</v>
      </c>
      <c r="L108" s="124">
        <v>438.10000000000008</v>
      </c>
    </row>
    <row r="109" spans="11:12" x14ac:dyDescent="0.4">
      <c r="K109" s="46">
        <v>107</v>
      </c>
      <c r="L109" s="124">
        <v>426.80000000000007</v>
      </c>
    </row>
    <row r="110" spans="11:12" x14ac:dyDescent="0.4">
      <c r="K110" s="46">
        <v>108</v>
      </c>
      <c r="L110" s="124">
        <v>411.30000000000007</v>
      </c>
    </row>
    <row r="111" spans="11:12" x14ac:dyDescent="0.4">
      <c r="K111" s="46">
        <v>109</v>
      </c>
      <c r="L111" s="124">
        <v>392.00000000000006</v>
      </c>
    </row>
    <row r="112" spans="11:12" x14ac:dyDescent="0.4">
      <c r="K112" s="46">
        <v>110</v>
      </c>
      <c r="L112" s="124">
        <v>416.00000000000006</v>
      </c>
    </row>
    <row r="113" spans="11:12" x14ac:dyDescent="0.4">
      <c r="K113" s="46">
        <v>111</v>
      </c>
      <c r="L113" s="124">
        <v>435.50000000000006</v>
      </c>
    </row>
    <row r="114" spans="11:12" x14ac:dyDescent="0.4">
      <c r="K114" s="46">
        <v>112</v>
      </c>
      <c r="L114" s="124">
        <v>430.10000000000008</v>
      </c>
    </row>
    <row r="115" spans="11:12" x14ac:dyDescent="0.4">
      <c r="K115" s="46">
        <v>113</v>
      </c>
      <c r="L115" s="124">
        <v>486.10000000000008</v>
      </c>
    </row>
    <row r="116" spans="11:12" x14ac:dyDescent="0.4">
      <c r="K116" s="46">
        <v>114</v>
      </c>
      <c r="L116" s="124">
        <v>503.2000000000001</v>
      </c>
    </row>
    <row r="117" spans="11:12" x14ac:dyDescent="0.4">
      <c r="K117" s="46">
        <v>115</v>
      </c>
      <c r="L117" s="124">
        <v>465.2000000000001</v>
      </c>
    </row>
    <row r="118" spans="11:12" x14ac:dyDescent="0.4">
      <c r="K118" s="46">
        <v>116</v>
      </c>
      <c r="L118" s="124">
        <v>481.7000000000001</v>
      </c>
    </row>
    <row r="119" spans="11:12" x14ac:dyDescent="0.4">
      <c r="K119" s="46">
        <v>117</v>
      </c>
      <c r="L119" s="124">
        <v>497.00000000000011</v>
      </c>
    </row>
    <row r="120" spans="11:12" x14ac:dyDescent="0.4">
      <c r="K120" s="46">
        <v>118</v>
      </c>
      <c r="L120" s="124">
        <v>508.60000000000014</v>
      </c>
    </row>
    <row r="121" spans="11:12" x14ac:dyDescent="0.4">
      <c r="K121" s="46">
        <v>119</v>
      </c>
      <c r="L121" s="124">
        <v>525.50000000000011</v>
      </c>
    </row>
    <row r="122" spans="11:12" x14ac:dyDescent="0.4">
      <c r="K122" s="46">
        <v>120</v>
      </c>
      <c r="L122" s="124">
        <v>488.00000000000011</v>
      </c>
    </row>
    <row r="123" spans="11:12" x14ac:dyDescent="0.4">
      <c r="K123" s="46">
        <v>121</v>
      </c>
      <c r="L123" s="124">
        <v>526.50000000000011</v>
      </c>
    </row>
    <row r="124" spans="11:12" x14ac:dyDescent="0.4">
      <c r="K124" s="46">
        <v>122</v>
      </c>
      <c r="L124" s="124">
        <v>480.00000000000011</v>
      </c>
    </row>
    <row r="125" spans="11:12" x14ac:dyDescent="0.4">
      <c r="K125" s="46">
        <v>123</v>
      </c>
      <c r="L125" s="124">
        <v>493.2000000000001</v>
      </c>
    </row>
    <row r="126" spans="11:12" x14ac:dyDescent="0.4">
      <c r="K126" s="46">
        <v>124</v>
      </c>
      <c r="L126" s="124">
        <v>473.7000000000001</v>
      </c>
    </row>
    <row r="127" spans="11:12" x14ac:dyDescent="0.4">
      <c r="K127" s="46">
        <v>125</v>
      </c>
      <c r="L127" s="124">
        <v>515.10000000000014</v>
      </c>
    </row>
    <row r="128" spans="11:12" x14ac:dyDescent="0.4">
      <c r="K128" s="46">
        <v>126</v>
      </c>
      <c r="L128" s="124">
        <v>542.20000000000016</v>
      </c>
    </row>
    <row r="129" spans="11:12" x14ac:dyDescent="0.4">
      <c r="K129" s="46">
        <v>127</v>
      </c>
      <c r="L129" s="124">
        <v>550.70000000000016</v>
      </c>
    </row>
    <row r="130" spans="11:12" x14ac:dyDescent="0.4">
      <c r="K130" s="46">
        <v>128</v>
      </c>
      <c r="L130" s="124">
        <v>594.00000000000011</v>
      </c>
    </row>
    <row r="131" spans="11:12" x14ac:dyDescent="0.4">
      <c r="K131" s="46">
        <v>129</v>
      </c>
      <c r="L131" s="124">
        <v>620.00000000000011</v>
      </c>
    </row>
    <row r="132" spans="11:12" x14ac:dyDescent="0.4">
      <c r="K132" s="46">
        <v>130</v>
      </c>
      <c r="L132" s="124">
        <v>631.00000000000011</v>
      </c>
    </row>
    <row r="133" spans="11:12" x14ac:dyDescent="0.4">
      <c r="K133" s="46">
        <v>131</v>
      </c>
      <c r="L133" s="124">
        <v>672.00000000000011</v>
      </c>
    </row>
    <row r="134" spans="11:12" x14ac:dyDescent="0.4">
      <c r="K134" s="46">
        <v>132</v>
      </c>
      <c r="L134" s="124">
        <v>652.20000000000016</v>
      </c>
    </row>
    <row r="135" spans="11:12" x14ac:dyDescent="0.4">
      <c r="K135" s="46">
        <v>133</v>
      </c>
      <c r="L135" s="124">
        <v>689.80000000000018</v>
      </c>
    </row>
    <row r="136" spans="11:12" x14ac:dyDescent="0.4">
      <c r="K136" s="46">
        <v>134</v>
      </c>
      <c r="L136" s="124">
        <v>697.60000000000014</v>
      </c>
    </row>
    <row r="137" spans="11:12" x14ac:dyDescent="0.4">
      <c r="K137" s="46">
        <v>135</v>
      </c>
      <c r="L137" s="124">
        <v>765.70000000000016</v>
      </c>
    </row>
    <row r="138" spans="11:12" x14ac:dyDescent="0.4">
      <c r="K138" s="46">
        <v>136</v>
      </c>
      <c r="L138" s="124">
        <v>770.9000000000002</v>
      </c>
    </row>
    <row r="139" spans="11:12" x14ac:dyDescent="0.4">
      <c r="K139" s="46">
        <v>137</v>
      </c>
      <c r="L139" s="124">
        <v>787.10000000000025</v>
      </c>
    </row>
    <row r="140" spans="11:12" x14ac:dyDescent="0.4">
      <c r="K140" s="46">
        <v>138</v>
      </c>
      <c r="L140" s="124">
        <v>811.3000000000003</v>
      </c>
    </row>
    <row r="141" spans="11:12" x14ac:dyDescent="0.4">
      <c r="K141" s="46">
        <v>139</v>
      </c>
      <c r="L141" s="124">
        <v>831.90000000000032</v>
      </c>
    </row>
    <row r="142" spans="11:12" x14ac:dyDescent="0.4">
      <c r="K142" s="46">
        <v>140</v>
      </c>
      <c r="L142" s="124">
        <v>839.20000000000027</v>
      </c>
    </row>
    <row r="143" spans="11:12" x14ac:dyDescent="0.4">
      <c r="K143" s="46">
        <v>141</v>
      </c>
      <c r="L143" s="124">
        <v>844.00000000000023</v>
      </c>
    </row>
    <row r="144" spans="11:12" x14ac:dyDescent="0.4">
      <c r="K144" s="46">
        <v>142</v>
      </c>
      <c r="L144" s="124">
        <v>848.10000000000025</v>
      </c>
    </row>
    <row r="145" spans="11:12" x14ac:dyDescent="0.4">
      <c r="K145" s="46">
        <v>143</v>
      </c>
      <c r="L145" s="124">
        <v>836.10000000000025</v>
      </c>
    </row>
    <row r="146" spans="11:12" x14ac:dyDescent="0.4">
      <c r="K146" s="46">
        <v>144</v>
      </c>
      <c r="L146" s="124">
        <v>848.60000000000025</v>
      </c>
    </row>
    <row r="147" spans="11:12" x14ac:dyDescent="0.4">
      <c r="K147" s="46">
        <v>145</v>
      </c>
      <c r="L147" s="124">
        <v>835.70000000000027</v>
      </c>
    </row>
    <row r="148" spans="11:12" x14ac:dyDescent="0.4">
      <c r="K148" s="46">
        <v>146</v>
      </c>
      <c r="L148" s="124">
        <v>851.3000000000003</v>
      </c>
    </row>
    <row r="149" spans="11:12" x14ac:dyDescent="0.4">
      <c r="K149" s="46">
        <v>147</v>
      </c>
      <c r="L149" s="124">
        <v>866.90000000000032</v>
      </c>
    </row>
    <row r="150" spans="11:12" x14ac:dyDescent="0.4">
      <c r="K150" s="46">
        <v>148</v>
      </c>
      <c r="L150" s="124">
        <v>830.90000000000032</v>
      </c>
    </row>
    <row r="151" spans="11:12" x14ac:dyDescent="0.4">
      <c r="K151" s="46">
        <v>149</v>
      </c>
      <c r="L151" s="124">
        <v>801.3000000000003</v>
      </c>
    </row>
    <row r="152" spans="11:12" x14ac:dyDescent="0.4">
      <c r="K152" s="46">
        <v>150</v>
      </c>
      <c r="L152" s="124">
        <v>808.10000000000025</v>
      </c>
    </row>
    <row r="153" spans="11:12" x14ac:dyDescent="0.4">
      <c r="K153" s="46">
        <v>151</v>
      </c>
      <c r="L153" s="124">
        <v>794.10000000000025</v>
      </c>
    </row>
    <row r="154" spans="11:12" x14ac:dyDescent="0.4">
      <c r="K154" s="46">
        <v>152</v>
      </c>
      <c r="L154" s="124">
        <v>784.10000000000025</v>
      </c>
    </row>
    <row r="155" spans="11:12" x14ac:dyDescent="0.4">
      <c r="K155" s="46">
        <v>153</v>
      </c>
      <c r="L155" s="124">
        <v>828.70000000000027</v>
      </c>
    </row>
    <row r="156" spans="11:12" x14ac:dyDescent="0.4">
      <c r="K156" s="46">
        <v>154</v>
      </c>
      <c r="L156" s="124">
        <v>824.00000000000023</v>
      </c>
    </row>
    <row r="157" spans="11:12" x14ac:dyDescent="0.4">
      <c r="K157" s="46">
        <v>155</v>
      </c>
      <c r="L157" s="124">
        <v>838.4000000000002</v>
      </c>
    </row>
    <row r="158" spans="11:12" x14ac:dyDescent="0.4">
      <c r="K158" s="46">
        <v>156</v>
      </c>
      <c r="L158" s="124">
        <v>824.4000000000002</v>
      </c>
    </row>
    <row r="159" spans="11:12" x14ac:dyDescent="0.4">
      <c r="K159" s="46">
        <v>157</v>
      </c>
      <c r="L159" s="124">
        <v>831.50000000000023</v>
      </c>
    </row>
    <row r="160" spans="11:12" x14ac:dyDescent="0.4">
      <c r="K160" s="46">
        <v>158</v>
      </c>
      <c r="L160" s="124">
        <v>851.20000000000027</v>
      </c>
    </row>
    <row r="161" spans="11:12" x14ac:dyDescent="0.4">
      <c r="K161" s="46">
        <v>159</v>
      </c>
      <c r="L161" s="124">
        <v>875.00000000000023</v>
      </c>
    </row>
    <row r="162" spans="11:12" x14ac:dyDescent="0.4">
      <c r="K162" s="46">
        <v>160</v>
      </c>
      <c r="L162" s="124">
        <v>870.20000000000027</v>
      </c>
    </row>
    <row r="163" spans="11:12" x14ac:dyDescent="0.4">
      <c r="K163" s="46">
        <v>161</v>
      </c>
      <c r="L163" s="124">
        <v>902.70000000000027</v>
      </c>
    </row>
    <row r="164" spans="11:12" x14ac:dyDescent="0.4">
      <c r="K164" s="46">
        <v>162</v>
      </c>
      <c r="L164" s="124">
        <v>919.8000000000003</v>
      </c>
    </row>
    <row r="165" spans="11:12" x14ac:dyDescent="0.4">
      <c r="K165" s="46">
        <v>163</v>
      </c>
      <c r="L165" s="124">
        <v>932.10000000000025</v>
      </c>
    </row>
    <row r="166" spans="11:12" x14ac:dyDescent="0.4">
      <c r="K166" s="46">
        <v>164</v>
      </c>
      <c r="L166" s="124">
        <v>956.4000000000002</v>
      </c>
    </row>
    <row r="167" spans="11:12" x14ac:dyDescent="0.4">
      <c r="K167" s="46">
        <v>165</v>
      </c>
      <c r="L167" s="124">
        <v>944.20000000000016</v>
      </c>
    </row>
    <row r="168" spans="11:12" x14ac:dyDescent="0.4">
      <c r="K168" s="46">
        <v>166</v>
      </c>
      <c r="L168" s="124">
        <v>942.20000000000016</v>
      </c>
    </row>
    <row r="169" spans="11:12" x14ac:dyDescent="0.4">
      <c r="K169" s="46">
        <v>167</v>
      </c>
      <c r="L169" s="124">
        <v>901.60000000000014</v>
      </c>
    </row>
    <row r="170" spans="11:12" x14ac:dyDescent="0.4">
      <c r="K170" s="46">
        <v>168</v>
      </c>
      <c r="L170" s="124">
        <v>923.30000000000018</v>
      </c>
    </row>
    <row r="171" spans="11:12" x14ac:dyDescent="0.4">
      <c r="K171" s="46">
        <v>169</v>
      </c>
      <c r="L171" s="124">
        <v>964.00000000000023</v>
      </c>
    </row>
    <row r="172" spans="11:12" x14ac:dyDescent="0.4">
      <c r="K172" s="46">
        <v>170</v>
      </c>
      <c r="L172" s="124">
        <v>972.00000000000023</v>
      </c>
    </row>
    <row r="173" spans="11:12" x14ac:dyDescent="0.4">
      <c r="K173" s="46">
        <v>171</v>
      </c>
      <c r="L173" s="124">
        <v>979.70000000000027</v>
      </c>
    </row>
    <row r="174" spans="11:12" x14ac:dyDescent="0.4">
      <c r="K174" s="46">
        <v>172</v>
      </c>
      <c r="L174" s="124">
        <v>910.70000000000027</v>
      </c>
    </row>
    <row r="175" spans="11:12" x14ac:dyDescent="0.4">
      <c r="K175" s="46">
        <v>173</v>
      </c>
      <c r="L175" s="124">
        <v>907.70000000000027</v>
      </c>
    </row>
    <row r="176" spans="11:12" x14ac:dyDescent="0.4">
      <c r="K176" s="46">
        <v>174</v>
      </c>
      <c r="L176" s="124">
        <v>905.10000000000025</v>
      </c>
    </row>
    <row r="177" spans="11:12" x14ac:dyDescent="0.4">
      <c r="K177" s="46">
        <v>175</v>
      </c>
      <c r="L177" s="124">
        <v>964.10000000000025</v>
      </c>
    </row>
    <row r="178" spans="11:12" x14ac:dyDescent="0.4">
      <c r="K178" s="46">
        <v>176</v>
      </c>
      <c r="L178" s="124">
        <v>964.10000000000025</v>
      </c>
    </row>
    <row r="179" spans="11:12" x14ac:dyDescent="0.4">
      <c r="K179" s="46">
        <v>177</v>
      </c>
      <c r="L179" s="124">
        <v>943.60000000000025</v>
      </c>
    </row>
    <row r="180" spans="11:12" x14ac:dyDescent="0.4">
      <c r="K180" s="46">
        <v>178</v>
      </c>
      <c r="L180" s="124">
        <v>940.20000000000027</v>
      </c>
    </row>
    <row r="181" spans="11:12" x14ac:dyDescent="0.4">
      <c r="K181" s="46">
        <v>179</v>
      </c>
      <c r="L181" s="124">
        <v>979.70000000000027</v>
      </c>
    </row>
    <row r="182" spans="11:12" x14ac:dyDescent="0.4">
      <c r="K182" s="46">
        <v>180</v>
      </c>
      <c r="L182" s="124">
        <v>1040.7000000000003</v>
      </c>
    </row>
    <row r="183" spans="11:12" x14ac:dyDescent="0.4">
      <c r="K183" s="46">
        <v>181</v>
      </c>
      <c r="L183" s="124">
        <v>1052.4000000000003</v>
      </c>
    </row>
    <row r="184" spans="11:12" x14ac:dyDescent="0.4">
      <c r="K184" s="46">
        <v>182</v>
      </c>
      <c r="L184" s="124">
        <v>1068.5000000000002</v>
      </c>
    </row>
    <row r="185" spans="11:12" x14ac:dyDescent="0.4">
      <c r="K185" s="46">
        <v>183</v>
      </c>
      <c r="L185" s="124">
        <v>1126.0000000000002</v>
      </c>
    </row>
    <row r="186" spans="11:12" x14ac:dyDescent="0.4">
      <c r="K186" s="46">
        <v>184</v>
      </c>
      <c r="L186" s="124">
        <v>1113.5000000000002</v>
      </c>
    </row>
    <row r="187" spans="11:12" x14ac:dyDescent="0.4">
      <c r="K187" s="46">
        <v>185</v>
      </c>
      <c r="L187" s="124">
        <v>1124.2000000000003</v>
      </c>
    </row>
    <row r="188" spans="11:12" x14ac:dyDescent="0.4">
      <c r="K188" s="46">
        <v>186</v>
      </c>
      <c r="L188" s="124">
        <v>1155.3000000000002</v>
      </c>
    </row>
    <row r="189" spans="11:12" x14ac:dyDescent="0.4">
      <c r="K189" s="46">
        <v>187</v>
      </c>
      <c r="L189" s="124">
        <v>1165.5000000000002</v>
      </c>
    </row>
    <row r="190" spans="11:12" x14ac:dyDescent="0.4">
      <c r="K190" s="46">
        <v>188</v>
      </c>
      <c r="L190" s="124">
        <v>1173.8000000000002</v>
      </c>
    </row>
    <row r="191" spans="11:12" x14ac:dyDescent="0.4">
      <c r="K191" s="46">
        <v>189</v>
      </c>
      <c r="L191" s="124">
        <v>1171.9000000000001</v>
      </c>
    </row>
  </sheetData>
  <sortState ref="N10:Q19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5701-CFDF-4E07-B953-676BFCD91F12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4" customWidth="1"/>
    <col min="13" max="13" width="3.5" style="41" customWidth="1"/>
    <col min="14" max="14" width="9" style="46" customWidth="1"/>
    <col min="15" max="15" width="9" style="127" customWidth="1"/>
    <col min="16" max="16" width="3.5" style="156" customWidth="1"/>
    <col min="17" max="17" width="3.5" style="157" customWidth="1"/>
    <col min="18" max="16384" width="9" style="41"/>
  </cols>
  <sheetData>
    <row r="1" spans="1:17" x14ac:dyDescent="0.4">
      <c r="A1" s="71" t="s">
        <v>0</v>
      </c>
      <c r="B1" s="133" t="s">
        <v>170</v>
      </c>
      <c r="C1" s="134"/>
      <c r="E1" s="80" t="s">
        <v>160</v>
      </c>
      <c r="F1" s="129" t="s">
        <v>120</v>
      </c>
      <c r="G1" s="128" t="s">
        <v>121</v>
      </c>
      <c r="H1" s="129" t="s">
        <v>122</v>
      </c>
      <c r="I1" s="129" t="s">
        <v>231</v>
      </c>
      <c r="K1" s="42" t="s">
        <v>20</v>
      </c>
      <c r="L1" s="43" t="s">
        <v>125</v>
      </c>
      <c r="N1" s="42" t="s">
        <v>156</v>
      </c>
      <c r="O1" s="129" t="s">
        <v>157</v>
      </c>
      <c r="P1" s="59" t="s">
        <v>238</v>
      </c>
      <c r="Q1" s="55" t="s">
        <v>121</v>
      </c>
    </row>
    <row r="2" spans="1:17" x14ac:dyDescent="0.4">
      <c r="A2" s="72" t="s">
        <v>9</v>
      </c>
      <c r="B2" s="135">
        <v>4</v>
      </c>
      <c r="C2" s="136"/>
      <c r="E2" s="81" t="s">
        <v>67</v>
      </c>
      <c r="F2" s="77" t="s">
        <v>21</v>
      </c>
      <c r="G2" s="64">
        <v>0</v>
      </c>
      <c r="H2" s="45">
        <f>IF(B$25=0,0,G2/B$25)</f>
        <v>0</v>
      </c>
      <c r="I2" s="117">
        <v>13</v>
      </c>
      <c r="K2" s="44">
        <v>0</v>
      </c>
      <c r="L2" s="123">
        <v>0</v>
      </c>
      <c r="N2" s="44" t="s">
        <v>150</v>
      </c>
      <c r="O2" s="130">
        <f t="shared" ref="O2:O7" si="0">IF(Q2=0,0,P2/Q2)</f>
        <v>-9250</v>
      </c>
      <c r="P2" s="60">
        <v>-37000</v>
      </c>
      <c r="Q2" s="58">
        <v>4</v>
      </c>
    </row>
    <row r="3" spans="1:17" x14ac:dyDescent="0.4">
      <c r="A3" s="73" t="s">
        <v>8</v>
      </c>
      <c r="B3" s="137">
        <v>25</v>
      </c>
      <c r="C3" s="138"/>
      <c r="E3" s="82" t="s">
        <v>68</v>
      </c>
      <c r="F3" s="78" t="s">
        <v>22</v>
      </c>
      <c r="G3" s="65">
        <v>0</v>
      </c>
      <c r="H3" s="47">
        <f>IF(B$25=0,0,G3/B$25)</f>
        <v>0</v>
      </c>
      <c r="I3" s="118">
        <v>12</v>
      </c>
      <c r="K3" s="46">
        <v>1</v>
      </c>
      <c r="L3" s="124">
        <v>-22</v>
      </c>
      <c r="N3" s="46" t="s">
        <v>151</v>
      </c>
      <c r="O3" s="131">
        <f t="shared" si="0"/>
        <v>-7225</v>
      </c>
      <c r="P3" s="61">
        <v>-28900</v>
      </c>
      <c r="Q3" s="56">
        <v>4</v>
      </c>
    </row>
    <row r="4" spans="1:17" x14ac:dyDescent="0.4">
      <c r="A4" s="73" t="s">
        <v>6</v>
      </c>
      <c r="B4" s="139">
        <v>-132.1</v>
      </c>
      <c r="C4" s="140"/>
      <c r="E4" s="82" t="s">
        <v>69</v>
      </c>
      <c r="F4" s="78" t="s">
        <v>23</v>
      </c>
      <c r="G4" s="65">
        <v>0</v>
      </c>
      <c r="H4" s="47">
        <f>IF(B$25=0,0,G4/B$25)</f>
        <v>0</v>
      </c>
      <c r="I4" s="118">
        <v>12</v>
      </c>
      <c r="K4" s="46">
        <v>2</v>
      </c>
      <c r="L4" s="124">
        <v>-60.4</v>
      </c>
      <c r="N4" s="46" t="s">
        <v>152</v>
      </c>
      <c r="O4" s="131">
        <f t="shared" si="0"/>
        <v>-10875</v>
      </c>
      <c r="P4" s="61">
        <v>-43500</v>
      </c>
      <c r="Q4" s="56">
        <v>4</v>
      </c>
    </row>
    <row r="5" spans="1:17" x14ac:dyDescent="0.4">
      <c r="A5" s="73" t="s">
        <v>7</v>
      </c>
      <c r="B5" s="141">
        <f>IF(B$2=0,0,B$4/B$2)</f>
        <v>-33.024999999999999</v>
      </c>
      <c r="C5" s="142"/>
      <c r="E5" s="82" t="s">
        <v>70</v>
      </c>
      <c r="F5" s="78" t="s">
        <v>24</v>
      </c>
      <c r="G5" s="65">
        <v>0</v>
      </c>
      <c r="H5" s="47">
        <f>IF(B$25=0,0,G5/B$25)</f>
        <v>0</v>
      </c>
      <c r="I5" s="118">
        <v>13</v>
      </c>
      <c r="K5" s="46">
        <v>3</v>
      </c>
      <c r="L5" s="124">
        <v>-85.6</v>
      </c>
      <c r="N5" s="46" t="s">
        <v>153</v>
      </c>
      <c r="O5" s="131">
        <f t="shared" si="0"/>
        <v>-2850</v>
      </c>
      <c r="P5" s="61">
        <v>-5700</v>
      </c>
      <c r="Q5" s="56">
        <v>2</v>
      </c>
    </row>
    <row r="6" spans="1:17" x14ac:dyDescent="0.4">
      <c r="A6" s="73" t="s">
        <v>1</v>
      </c>
      <c r="B6" s="147">
        <f>IF(B$2=0,0,(B$7*1+B$8*2+B$9*3)/B$2)</f>
        <v>3</v>
      </c>
      <c r="C6" s="148"/>
      <c r="E6" s="82" t="s">
        <v>71</v>
      </c>
      <c r="F6" s="78" t="s">
        <v>25</v>
      </c>
      <c r="G6" s="65">
        <v>0</v>
      </c>
      <c r="H6" s="47">
        <f>IF(B$25=0,0,G6/B$25)</f>
        <v>0</v>
      </c>
      <c r="I6" s="118">
        <v>12</v>
      </c>
      <c r="K6" s="46">
        <v>4</v>
      </c>
      <c r="L6" s="124">
        <v>-132.1</v>
      </c>
      <c r="N6" s="46" t="s">
        <v>154</v>
      </c>
      <c r="O6" s="131">
        <f t="shared" si="0"/>
        <v>-6000</v>
      </c>
      <c r="P6" s="61">
        <v>-12000</v>
      </c>
      <c r="Q6" s="56">
        <v>2</v>
      </c>
    </row>
    <row r="7" spans="1:17" x14ac:dyDescent="0.4">
      <c r="A7" s="73" t="s">
        <v>2</v>
      </c>
      <c r="B7" s="65">
        <v>0</v>
      </c>
      <c r="C7" s="47">
        <f>IF(B$2=0,0,B7/B$2)</f>
        <v>0</v>
      </c>
      <c r="E7" s="82" t="s">
        <v>72</v>
      </c>
      <c r="F7" s="78" t="s">
        <v>12</v>
      </c>
      <c r="G7" s="65">
        <v>0</v>
      </c>
      <c r="H7" s="47">
        <f>IF(B$25=0,0,G7/B$25)</f>
        <v>0</v>
      </c>
      <c r="I7" s="118">
        <v>12</v>
      </c>
      <c r="N7" s="50" t="s">
        <v>155</v>
      </c>
      <c r="O7" s="132">
        <f t="shared" si="0"/>
        <v>-5000</v>
      </c>
      <c r="P7" s="62">
        <v>-5000</v>
      </c>
      <c r="Q7" s="57">
        <v>1</v>
      </c>
    </row>
    <row r="8" spans="1:17" x14ac:dyDescent="0.4">
      <c r="A8" s="73" t="s">
        <v>3</v>
      </c>
      <c r="B8" s="65">
        <v>0</v>
      </c>
      <c r="C8" s="47">
        <f t="shared" ref="C8:C9" si="1">IF(B$2=0,0,B8/B$2)</f>
        <v>0</v>
      </c>
      <c r="E8" s="82" t="s">
        <v>73</v>
      </c>
      <c r="F8" s="78" t="s">
        <v>26</v>
      </c>
      <c r="G8" s="65">
        <v>0</v>
      </c>
      <c r="H8" s="47">
        <f>IF(B$25=0,0,G8/B$25)</f>
        <v>0</v>
      </c>
      <c r="I8" s="118">
        <v>13</v>
      </c>
      <c r="N8" s="41"/>
      <c r="O8" s="41"/>
      <c r="P8" s="41"/>
      <c r="Q8" s="41"/>
    </row>
    <row r="9" spans="1:17" x14ac:dyDescent="0.4">
      <c r="A9" s="74" t="s">
        <v>4</v>
      </c>
      <c r="B9" s="66">
        <v>4</v>
      </c>
      <c r="C9" s="48">
        <f t="shared" si="1"/>
        <v>1</v>
      </c>
      <c r="E9" s="82" t="s">
        <v>74</v>
      </c>
      <c r="F9" s="78" t="s">
        <v>27</v>
      </c>
      <c r="G9" s="65">
        <v>0</v>
      </c>
      <c r="H9" s="47">
        <f>IF(B$25=0,0,G9/B$25)</f>
        <v>0</v>
      </c>
      <c r="I9" s="118">
        <v>11</v>
      </c>
      <c r="N9" s="42" t="s">
        <v>235</v>
      </c>
      <c r="O9" s="129" t="s">
        <v>125</v>
      </c>
      <c r="P9" s="153" t="s">
        <v>238</v>
      </c>
      <c r="Q9" s="125" t="s">
        <v>121</v>
      </c>
    </row>
    <row r="10" spans="1:17" x14ac:dyDescent="0.4">
      <c r="A10" s="74" t="s">
        <v>19</v>
      </c>
      <c r="B10" s="66">
        <v>2</v>
      </c>
      <c r="C10" s="48">
        <f>IF(B$2=0,0,B10/B$2)</f>
        <v>0.5</v>
      </c>
      <c r="E10" s="82" t="s">
        <v>75</v>
      </c>
      <c r="F10" s="78" t="s">
        <v>28</v>
      </c>
      <c r="G10" s="65">
        <v>0</v>
      </c>
      <c r="H10" s="47">
        <f>IF(B$25=0,0,G10/B$25)</f>
        <v>0</v>
      </c>
      <c r="I10" s="118">
        <v>12</v>
      </c>
      <c r="N10" s="44" t="s">
        <v>171</v>
      </c>
      <c r="O10" s="126">
        <f>IF(Q10=0,0,P10/Q10)</f>
        <v>-22</v>
      </c>
      <c r="P10" s="154">
        <v>-22</v>
      </c>
      <c r="Q10" s="155">
        <v>1</v>
      </c>
    </row>
    <row r="11" spans="1:17" x14ac:dyDescent="0.4">
      <c r="A11" s="75" t="s">
        <v>158</v>
      </c>
      <c r="B11" s="67">
        <v>0</v>
      </c>
      <c r="C11" s="51">
        <f>IF(B$2=0,0,B11/B$2)</f>
        <v>0</v>
      </c>
      <c r="E11" s="82" t="s">
        <v>76</v>
      </c>
      <c r="F11" s="78" t="s">
        <v>29</v>
      </c>
      <c r="G11" s="65">
        <v>0</v>
      </c>
      <c r="H11" s="47">
        <f>IF(B$25=0,0,G11/B$25)</f>
        <v>0</v>
      </c>
      <c r="I11" s="118">
        <v>12</v>
      </c>
      <c r="N11" s="46" t="s">
        <v>133</v>
      </c>
      <c r="O11" s="127">
        <f>IF(Q11=0,0,P11/Q11)</f>
        <v>-33.024999999999999</v>
      </c>
      <c r="P11" s="156">
        <v>-132.1</v>
      </c>
      <c r="Q11" s="157">
        <v>4</v>
      </c>
    </row>
    <row r="12" spans="1:17" x14ac:dyDescent="0.4">
      <c r="A12" s="76" t="s">
        <v>128</v>
      </c>
      <c r="B12" s="68">
        <v>0</v>
      </c>
      <c r="C12" s="54">
        <f>IF(B$24=0,0,B12/B$24)</f>
        <v>0</v>
      </c>
      <c r="E12" s="82" t="s">
        <v>77</v>
      </c>
      <c r="F12" s="78" t="s">
        <v>30</v>
      </c>
      <c r="G12" s="65">
        <v>0</v>
      </c>
      <c r="H12" s="47">
        <f>IF(B$25=0,0,G12/B$25)</f>
        <v>0</v>
      </c>
      <c r="I12" s="118">
        <v>5</v>
      </c>
      <c r="N12" s="46" t="s">
        <v>135</v>
      </c>
      <c r="O12" s="127">
        <f>IF(Q12=0,0,P12/Q12)</f>
        <v>-36.699999999999996</v>
      </c>
      <c r="P12" s="156">
        <v>-110.1</v>
      </c>
      <c r="Q12" s="157">
        <v>3</v>
      </c>
    </row>
    <row r="13" spans="1:17" x14ac:dyDescent="0.4">
      <c r="A13" s="73" t="s">
        <v>123</v>
      </c>
      <c r="B13" s="65">
        <v>0</v>
      </c>
      <c r="C13" s="47">
        <f>IF(B$24=0,0,B13/B$24)</f>
        <v>0</v>
      </c>
      <c r="E13" s="82" t="s">
        <v>78</v>
      </c>
      <c r="F13" s="78" t="s">
        <v>31</v>
      </c>
      <c r="G13" s="65">
        <v>0</v>
      </c>
      <c r="H13" s="47">
        <f>IF(B$25=0,0,G13/B$25)</f>
        <v>0</v>
      </c>
      <c r="I13" s="118">
        <v>4</v>
      </c>
    </row>
    <row r="14" spans="1:17" x14ac:dyDescent="0.4">
      <c r="A14" s="72" t="s">
        <v>130</v>
      </c>
      <c r="B14" s="64">
        <v>0</v>
      </c>
      <c r="C14" s="45">
        <f>IF(B$12=0,0,B14/B$12)</f>
        <v>0</v>
      </c>
      <c r="E14" s="82" t="s">
        <v>79</v>
      </c>
      <c r="F14" s="78" t="s">
        <v>32</v>
      </c>
      <c r="G14" s="65">
        <v>0</v>
      </c>
      <c r="H14" s="47">
        <f>IF(B$25=0,0,G14/B$25)</f>
        <v>0</v>
      </c>
      <c r="I14" s="118">
        <v>6</v>
      </c>
    </row>
    <row r="15" spans="1:17" x14ac:dyDescent="0.4">
      <c r="A15" s="72" t="s">
        <v>131</v>
      </c>
      <c r="B15" s="64">
        <v>0</v>
      </c>
      <c r="C15" s="45">
        <f>IF(B$13=0,0,B15/B$13)</f>
        <v>0</v>
      </c>
      <c r="E15" s="82" t="s">
        <v>80</v>
      </c>
      <c r="F15" s="78" t="s">
        <v>33</v>
      </c>
      <c r="G15" s="65">
        <v>0</v>
      </c>
      <c r="H15" s="47">
        <f>IF(B$25=0,0,G15/B$25)</f>
        <v>0</v>
      </c>
      <c r="I15" s="118">
        <v>1</v>
      </c>
    </row>
    <row r="16" spans="1:17" x14ac:dyDescent="0.4">
      <c r="A16" s="72" t="s">
        <v>10</v>
      </c>
      <c r="B16" s="64">
        <f>B18+B17</f>
        <v>1</v>
      </c>
      <c r="C16" s="45">
        <f>IF(B$3=0,0,B16/B$3)</f>
        <v>0.04</v>
      </c>
      <c r="E16" s="82" t="s">
        <v>81</v>
      </c>
      <c r="F16" s="78" t="s">
        <v>34</v>
      </c>
      <c r="G16" s="65">
        <v>0</v>
      </c>
      <c r="H16" s="47">
        <f>IF(B$25=0,0,G16/B$25)</f>
        <v>0</v>
      </c>
      <c r="I16" s="118">
        <v>6</v>
      </c>
    </row>
    <row r="17" spans="1:9" x14ac:dyDescent="0.4">
      <c r="A17" s="73" t="s">
        <v>12</v>
      </c>
      <c r="B17" s="65">
        <v>1</v>
      </c>
      <c r="C17" s="47">
        <f>IF(B$16=0,0,B17/B$16)</f>
        <v>1</v>
      </c>
      <c r="E17" s="82" t="s">
        <v>82</v>
      </c>
      <c r="F17" s="78" t="s">
        <v>35</v>
      </c>
      <c r="G17" s="65">
        <v>0</v>
      </c>
      <c r="H17" s="47">
        <f>IF(B$25=0,0,G17/B$25)</f>
        <v>0</v>
      </c>
      <c r="I17" s="118">
        <v>10</v>
      </c>
    </row>
    <row r="18" spans="1:9" x14ac:dyDescent="0.4">
      <c r="A18" s="73" t="s">
        <v>11</v>
      </c>
      <c r="B18" s="65">
        <v>0</v>
      </c>
      <c r="C18" s="47">
        <f>IF(B$16=0,0,B18/B$16)</f>
        <v>0</v>
      </c>
      <c r="E18" s="82" t="s">
        <v>83</v>
      </c>
      <c r="F18" s="78" t="s">
        <v>36</v>
      </c>
      <c r="G18" s="65">
        <v>0</v>
      </c>
      <c r="H18" s="47">
        <f>IF(B$25=0,0,G18/B$25)</f>
        <v>0</v>
      </c>
      <c r="I18" s="118">
        <v>9</v>
      </c>
    </row>
    <row r="19" spans="1:9" x14ac:dyDescent="0.4">
      <c r="A19" s="73" t="s">
        <v>13</v>
      </c>
      <c r="B19" s="65">
        <v>10</v>
      </c>
      <c r="C19" s="47">
        <f>IF(B$3=0,0,B19/B$3)</f>
        <v>0.4</v>
      </c>
      <c r="E19" s="82" t="s">
        <v>84</v>
      </c>
      <c r="F19" s="78" t="s">
        <v>37</v>
      </c>
      <c r="G19" s="65">
        <v>0</v>
      </c>
      <c r="H19" s="47">
        <f>IF(B$25=0,0,G19/B$25)</f>
        <v>0</v>
      </c>
      <c r="I19" s="118">
        <v>1</v>
      </c>
    </row>
    <row r="20" spans="1:9" x14ac:dyDescent="0.4">
      <c r="A20" s="73" t="s">
        <v>5</v>
      </c>
      <c r="B20" s="69">
        <f>IF(B$16=0,0,C20/B$16)</f>
        <v>7800</v>
      </c>
      <c r="C20" s="49">
        <v>7800</v>
      </c>
      <c r="E20" s="82" t="s">
        <v>85</v>
      </c>
      <c r="F20" s="78" t="s">
        <v>38</v>
      </c>
      <c r="G20" s="65">
        <v>0</v>
      </c>
      <c r="H20" s="47">
        <f>IF(B$25=0,0,G20/B$25)</f>
        <v>0</v>
      </c>
      <c r="I20" s="118">
        <v>3</v>
      </c>
    </row>
    <row r="21" spans="1:9" x14ac:dyDescent="0.4">
      <c r="A21" s="75" t="s">
        <v>14</v>
      </c>
      <c r="B21" s="70">
        <f>IF(B$19=0,0,C21/B$19)</f>
        <v>-8240</v>
      </c>
      <c r="C21" s="63">
        <v>-82400</v>
      </c>
      <c r="E21" s="82" t="s">
        <v>86</v>
      </c>
      <c r="F21" s="78" t="s">
        <v>39</v>
      </c>
      <c r="G21" s="65">
        <v>0</v>
      </c>
      <c r="H21" s="47">
        <f>IF(B$25=0,0,G21/B$25)</f>
        <v>0</v>
      </c>
      <c r="I21" s="118">
        <v>9</v>
      </c>
    </row>
    <row r="22" spans="1:9" x14ac:dyDescent="0.4">
      <c r="A22" s="72" t="s">
        <v>147</v>
      </c>
      <c r="B22" s="64">
        <v>0</v>
      </c>
      <c r="C22" s="45">
        <f>IF(B$3=0,0,B22/B$3)</f>
        <v>0</v>
      </c>
      <c r="E22" s="82" t="s">
        <v>87</v>
      </c>
      <c r="F22" s="78" t="s">
        <v>40</v>
      </c>
      <c r="G22" s="65">
        <v>0</v>
      </c>
      <c r="H22" s="47">
        <f>IF(B$25=0,0,G22/B$25)</f>
        <v>0</v>
      </c>
      <c r="I22" s="118">
        <v>1</v>
      </c>
    </row>
    <row r="23" spans="1:9" x14ac:dyDescent="0.4">
      <c r="A23" s="75" t="s">
        <v>148</v>
      </c>
      <c r="B23" s="67">
        <v>0</v>
      </c>
      <c r="C23" s="51">
        <f>IF(B$22=0,0,B23/B$22)</f>
        <v>0</v>
      </c>
      <c r="E23" s="82" t="s">
        <v>88</v>
      </c>
      <c r="F23" s="78" t="s">
        <v>41</v>
      </c>
      <c r="G23" s="65">
        <v>0</v>
      </c>
      <c r="H23" s="47">
        <f>IF(B$25=0,0,G23/B$25)</f>
        <v>0</v>
      </c>
      <c r="I23" s="118">
        <v>9</v>
      </c>
    </row>
    <row r="24" spans="1:9" x14ac:dyDescent="0.4">
      <c r="A24" s="72" t="s">
        <v>126</v>
      </c>
      <c r="B24" s="135">
        <v>0</v>
      </c>
      <c r="C24" s="136"/>
      <c r="E24" s="82" t="s">
        <v>89</v>
      </c>
      <c r="F24" s="78" t="s">
        <v>42</v>
      </c>
      <c r="G24" s="65">
        <v>0</v>
      </c>
      <c r="H24" s="47">
        <f>IF(B$25=0,0,G24/B$25)</f>
        <v>0</v>
      </c>
      <c r="I24" s="118">
        <v>5</v>
      </c>
    </row>
    <row r="25" spans="1:9" x14ac:dyDescent="0.4">
      <c r="A25" s="75" t="s">
        <v>127</v>
      </c>
      <c r="B25" s="149">
        <v>0</v>
      </c>
      <c r="C25" s="150"/>
      <c r="E25" s="82" t="s">
        <v>90</v>
      </c>
      <c r="F25" s="78" t="s">
        <v>43</v>
      </c>
      <c r="G25" s="65">
        <v>0</v>
      </c>
      <c r="H25" s="47">
        <f>IF(B$25=0,0,G25/B$25)</f>
        <v>0</v>
      </c>
      <c r="I25" s="118">
        <v>5</v>
      </c>
    </row>
    <row r="26" spans="1:9" x14ac:dyDescent="0.4">
      <c r="A26" s="113" t="s">
        <v>162</v>
      </c>
      <c r="B26" s="145">
        <v>0</v>
      </c>
      <c r="C26" s="146"/>
      <c r="E26" s="82" t="s">
        <v>91</v>
      </c>
      <c r="F26" s="78" t="s">
        <v>44</v>
      </c>
      <c r="G26" s="65">
        <v>0</v>
      </c>
      <c r="H26" s="47">
        <f>IF(B$25=0,0,G26/B$25)</f>
        <v>0</v>
      </c>
      <c r="I26" s="118">
        <v>12</v>
      </c>
    </row>
    <row r="27" spans="1:9" x14ac:dyDescent="0.4">
      <c r="A27" s="76" t="s">
        <v>203</v>
      </c>
      <c r="B27" s="143">
        <v>13000</v>
      </c>
      <c r="C27" s="144"/>
      <c r="E27" s="82" t="s">
        <v>92</v>
      </c>
      <c r="F27" s="78" t="s">
        <v>45</v>
      </c>
      <c r="G27" s="65">
        <v>0</v>
      </c>
      <c r="H27" s="47">
        <f>IF(B$25=0,0,G27/B$25)</f>
        <v>0</v>
      </c>
      <c r="I27" s="118">
        <v>4</v>
      </c>
    </row>
    <row r="28" spans="1:9" x14ac:dyDescent="0.4">
      <c r="A28" s="75" t="s">
        <v>163</v>
      </c>
      <c r="B28" s="84">
        <v>0</v>
      </c>
      <c r="C28" s="51">
        <f>IF(B$3=0,0,B28/B$3)</f>
        <v>0</v>
      </c>
      <c r="E28" s="82" t="s">
        <v>93</v>
      </c>
      <c r="F28" s="78" t="s">
        <v>46</v>
      </c>
      <c r="G28" s="65">
        <v>0</v>
      </c>
      <c r="H28" s="47">
        <f>IF(B$25=0,0,G28/B$25)</f>
        <v>0</v>
      </c>
      <c r="I28" s="118">
        <v>3</v>
      </c>
    </row>
    <row r="29" spans="1:9" x14ac:dyDescent="0.4">
      <c r="E29" s="82" t="s">
        <v>94</v>
      </c>
      <c r="F29" s="78" t="s">
        <v>47</v>
      </c>
      <c r="G29" s="65">
        <v>0</v>
      </c>
      <c r="H29" s="47">
        <f>IF(B$25=0,0,G29/B$25)</f>
        <v>0</v>
      </c>
      <c r="I29" s="118">
        <v>11</v>
      </c>
    </row>
    <row r="30" spans="1:9" x14ac:dyDescent="0.4">
      <c r="E30" s="82" t="s">
        <v>95</v>
      </c>
      <c r="F30" s="78" t="s">
        <v>48</v>
      </c>
      <c r="G30" s="65">
        <v>0</v>
      </c>
      <c r="H30" s="47">
        <f>IF(B$25=0,0,G30/B$25)</f>
        <v>0</v>
      </c>
      <c r="I30" s="118">
        <v>3</v>
      </c>
    </row>
    <row r="31" spans="1:9" x14ac:dyDescent="0.4">
      <c r="E31" s="82" t="s">
        <v>96</v>
      </c>
      <c r="F31" s="78" t="s">
        <v>49</v>
      </c>
      <c r="G31" s="65">
        <v>0</v>
      </c>
      <c r="H31" s="47">
        <f>IF(B$25=0,0,G31/B$25)</f>
        <v>0</v>
      </c>
      <c r="I31" s="118">
        <v>8</v>
      </c>
    </row>
    <row r="32" spans="1:9" x14ac:dyDescent="0.4">
      <c r="E32" s="82" t="s">
        <v>97</v>
      </c>
      <c r="F32" s="78" t="s">
        <v>50</v>
      </c>
      <c r="G32" s="65">
        <v>0</v>
      </c>
      <c r="H32" s="47">
        <f>IF(B$25=0,0,G32/B$25)</f>
        <v>0</v>
      </c>
      <c r="I32" s="118">
        <v>6</v>
      </c>
    </row>
    <row r="33" spans="5:9" x14ac:dyDescent="0.4">
      <c r="E33" s="82" t="s">
        <v>98</v>
      </c>
      <c r="F33" s="78" t="s">
        <v>51</v>
      </c>
      <c r="G33" s="65">
        <v>0</v>
      </c>
      <c r="H33" s="47">
        <f>IF(B$25=0,0,G33/B$25)</f>
        <v>0</v>
      </c>
      <c r="I33" s="118">
        <v>4</v>
      </c>
    </row>
    <row r="34" spans="5:9" x14ac:dyDescent="0.4">
      <c r="E34" s="82" t="s">
        <v>99</v>
      </c>
      <c r="F34" s="78" t="s">
        <v>52</v>
      </c>
      <c r="G34" s="65">
        <v>0</v>
      </c>
      <c r="H34" s="47">
        <f>IF(B$25=0,0,G34/B$25)</f>
        <v>0</v>
      </c>
      <c r="I34" s="118">
        <v>1</v>
      </c>
    </row>
    <row r="35" spans="5:9" x14ac:dyDescent="0.4">
      <c r="E35" s="82" t="s">
        <v>100</v>
      </c>
      <c r="F35" s="78" t="s">
        <v>53</v>
      </c>
      <c r="G35" s="65">
        <v>0</v>
      </c>
      <c r="H35" s="47">
        <f>IF(B$25=0,0,G35/B$25)</f>
        <v>0</v>
      </c>
      <c r="I35" s="118">
        <v>3</v>
      </c>
    </row>
    <row r="36" spans="5:9" x14ac:dyDescent="0.4">
      <c r="E36" s="82" t="s">
        <v>101</v>
      </c>
      <c r="F36" s="78" t="s">
        <v>54</v>
      </c>
      <c r="G36" s="65">
        <v>0</v>
      </c>
      <c r="H36" s="47">
        <f>IF(B$25=0,0,G36/B$25)</f>
        <v>0</v>
      </c>
      <c r="I36" s="118">
        <v>1</v>
      </c>
    </row>
    <row r="37" spans="5:9" x14ac:dyDescent="0.4">
      <c r="E37" s="82" t="s">
        <v>102</v>
      </c>
      <c r="F37" s="78" t="s">
        <v>55</v>
      </c>
      <c r="G37" s="65">
        <v>0</v>
      </c>
      <c r="H37" s="47">
        <f>IF(B$25=0,0,G37/B$25)</f>
        <v>0</v>
      </c>
      <c r="I37" s="118">
        <v>1</v>
      </c>
    </row>
    <row r="38" spans="5:9" x14ac:dyDescent="0.4">
      <c r="E38" s="82" t="s">
        <v>103</v>
      </c>
      <c r="F38" s="78" t="s">
        <v>56</v>
      </c>
      <c r="G38" s="65">
        <v>0</v>
      </c>
      <c r="H38" s="47">
        <f>IF(B$25=0,0,G38/B$25)</f>
        <v>0</v>
      </c>
      <c r="I38" s="118">
        <v>1</v>
      </c>
    </row>
    <row r="39" spans="5:9" x14ac:dyDescent="0.4">
      <c r="E39" s="82" t="s">
        <v>104</v>
      </c>
      <c r="F39" s="78" t="s">
        <v>57</v>
      </c>
      <c r="G39" s="65">
        <v>0</v>
      </c>
      <c r="H39" s="47">
        <f>IF(B$25=0,0,G39/B$25)</f>
        <v>0</v>
      </c>
      <c r="I39" s="118">
        <v>1</v>
      </c>
    </row>
    <row r="40" spans="5:9" x14ac:dyDescent="0.4">
      <c r="E40" s="82" t="s">
        <v>105</v>
      </c>
      <c r="F40" s="78" t="s">
        <v>58</v>
      </c>
      <c r="G40" s="65">
        <v>0</v>
      </c>
      <c r="H40" s="47">
        <f>IF(B$25=0,0,G40/B$25)</f>
        <v>0</v>
      </c>
      <c r="I40" s="118">
        <v>1</v>
      </c>
    </row>
    <row r="41" spans="5:9" x14ac:dyDescent="0.4">
      <c r="E41" s="82" t="s">
        <v>106</v>
      </c>
      <c r="F41" s="78" t="s">
        <v>59</v>
      </c>
      <c r="G41" s="65">
        <v>0</v>
      </c>
      <c r="H41" s="47">
        <f>IF(B$25=0,0,G41/B$25)</f>
        <v>0</v>
      </c>
      <c r="I41" s="118">
        <v>1</v>
      </c>
    </row>
    <row r="42" spans="5:9" x14ac:dyDescent="0.4">
      <c r="E42" s="82" t="s">
        <v>107</v>
      </c>
      <c r="F42" s="78" t="s">
        <v>60</v>
      </c>
      <c r="G42" s="65">
        <v>0</v>
      </c>
      <c r="H42" s="47">
        <f>IF(B$25=0,0,G42/B$25)</f>
        <v>0</v>
      </c>
      <c r="I42" s="118">
        <v>1</v>
      </c>
    </row>
    <row r="43" spans="5:9" x14ac:dyDescent="0.4">
      <c r="E43" s="82" t="s">
        <v>108</v>
      </c>
      <c r="F43" s="78" t="s">
        <v>61</v>
      </c>
      <c r="G43" s="65">
        <v>0</v>
      </c>
      <c r="H43" s="47">
        <f>IF(B$25=0,0,G43/B$25)</f>
        <v>0</v>
      </c>
      <c r="I43" s="118">
        <v>1</v>
      </c>
    </row>
    <row r="44" spans="5:9" x14ac:dyDescent="0.4">
      <c r="E44" s="82" t="s">
        <v>109</v>
      </c>
      <c r="F44" s="78" t="s">
        <v>62</v>
      </c>
      <c r="G44" s="65">
        <v>0</v>
      </c>
      <c r="H44" s="47">
        <f>IF(B$25=0,0,G44/B$25)</f>
        <v>0</v>
      </c>
      <c r="I44" s="118">
        <v>1</v>
      </c>
    </row>
    <row r="45" spans="5:9" x14ac:dyDescent="0.4">
      <c r="E45" s="82" t="s">
        <v>110</v>
      </c>
      <c r="F45" s="78" t="s">
        <v>117</v>
      </c>
      <c r="G45" s="65">
        <v>0</v>
      </c>
      <c r="H45" s="47">
        <f>IF(B$25=0,0,G45/B$25)</f>
        <v>0</v>
      </c>
      <c r="I45" s="118">
        <v>1</v>
      </c>
    </row>
    <row r="46" spans="5:9" x14ac:dyDescent="0.4">
      <c r="E46" s="82" t="s">
        <v>111</v>
      </c>
      <c r="F46" s="78" t="s">
        <v>118</v>
      </c>
      <c r="G46" s="65">
        <v>0</v>
      </c>
      <c r="H46" s="47">
        <f>IF(B$25=0,0,G46/B$25)</f>
        <v>0</v>
      </c>
      <c r="I46" s="118">
        <v>3</v>
      </c>
    </row>
    <row r="47" spans="5:9" x14ac:dyDescent="0.4">
      <c r="E47" s="82" t="s">
        <v>112</v>
      </c>
      <c r="F47" s="78" t="s">
        <v>119</v>
      </c>
      <c r="G47" s="65">
        <v>0</v>
      </c>
      <c r="H47" s="47">
        <f>IF(B$25=0,0,G47/B$25)</f>
        <v>0</v>
      </c>
      <c r="I47" s="118">
        <v>1</v>
      </c>
    </row>
    <row r="48" spans="5:9" x14ac:dyDescent="0.4">
      <c r="E48" s="82" t="s">
        <v>113</v>
      </c>
      <c r="F48" s="78" t="s">
        <v>63</v>
      </c>
      <c r="G48" s="65">
        <v>0</v>
      </c>
      <c r="H48" s="47">
        <f>IF(B$25=0,0,G48/B$25)</f>
        <v>0</v>
      </c>
      <c r="I48" s="118">
        <v>1</v>
      </c>
    </row>
    <row r="49" spans="5:9" x14ac:dyDescent="0.4">
      <c r="E49" s="82" t="s">
        <v>114</v>
      </c>
      <c r="F49" s="78" t="s">
        <v>64</v>
      </c>
      <c r="G49" s="65">
        <v>0</v>
      </c>
      <c r="H49" s="47">
        <f>IF(B$25=0,0,G49/B$25)</f>
        <v>0</v>
      </c>
      <c r="I49" s="118">
        <v>1</v>
      </c>
    </row>
    <row r="50" spans="5:9" x14ac:dyDescent="0.4">
      <c r="E50" s="82" t="s">
        <v>115</v>
      </c>
      <c r="F50" s="78" t="s">
        <v>65</v>
      </c>
      <c r="G50" s="65">
        <v>0</v>
      </c>
      <c r="H50" s="47">
        <f>IF(B$25=0,0,G50/B$25)</f>
        <v>0</v>
      </c>
      <c r="I50" s="118">
        <v>1</v>
      </c>
    </row>
    <row r="51" spans="5:9" x14ac:dyDescent="0.4">
      <c r="E51" s="83" t="s">
        <v>116</v>
      </c>
      <c r="F51" s="79" t="s">
        <v>66</v>
      </c>
      <c r="G51" s="67">
        <v>0</v>
      </c>
      <c r="H51" s="51">
        <f>IF(B$25=0,0,G51/B$25)</f>
        <v>0</v>
      </c>
      <c r="I51" s="119">
        <v>1</v>
      </c>
    </row>
  </sheetData>
  <sortState ref="N10:Q12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3DDDC-2DCD-4B92-A73F-36B6BE21DE63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4" customWidth="1"/>
    <col min="13" max="13" width="3.5" style="41" customWidth="1"/>
    <col min="14" max="14" width="9" style="46" customWidth="1"/>
    <col min="15" max="15" width="9" style="127" customWidth="1"/>
    <col min="16" max="16" width="3.5" style="156" customWidth="1"/>
    <col min="17" max="17" width="3.5" style="157" customWidth="1"/>
    <col min="18" max="16384" width="9" style="41"/>
  </cols>
  <sheetData>
    <row r="1" spans="1:17" x14ac:dyDescent="0.4">
      <c r="A1" s="71" t="s">
        <v>0</v>
      </c>
      <c r="B1" s="133" t="s">
        <v>171</v>
      </c>
      <c r="C1" s="134"/>
      <c r="E1" s="80" t="s">
        <v>160</v>
      </c>
      <c r="F1" s="129" t="s">
        <v>120</v>
      </c>
      <c r="G1" s="128" t="s">
        <v>121</v>
      </c>
      <c r="H1" s="129" t="s">
        <v>122</v>
      </c>
      <c r="I1" s="129" t="s">
        <v>231</v>
      </c>
      <c r="K1" s="42" t="s">
        <v>20</v>
      </c>
      <c r="L1" s="43" t="s">
        <v>125</v>
      </c>
      <c r="N1" s="42" t="s">
        <v>156</v>
      </c>
      <c r="O1" s="129" t="s">
        <v>157</v>
      </c>
      <c r="P1" s="59" t="s">
        <v>238</v>
      </c>
      <c r="Q1" s="55" t="s">
        <v>121</v>
      </c>
    </row>
    <row r="2" spans="1:17" x14ac:dyDescent="0.4">
      <c r="A2" s="72" t="s">
        <v>9</v>
      </c>
      <c r="B2" s="135">
        <v>3</v>
      </c>
      <c r="C2" s="136"/>
      <c r="E2" s="81" t="s">
        <v>70</v>
      </c>
      <c r="F2" s="77" t="s">
        <v>24</v>
      </c>
      <c r="G2" s="64">
        <v>2</v>
      </c>
      <c r="H2" s="45">
        <f>IF(B$25=0,0,G2/B$25)</f>
        <v>2</v>
      </c>
      <c r="I2" s="117">
        <v>1</v>
      </c>
      <c r="K2" s="44">
        <v>0</v>
      </c>
      <c r="L2" s="123">
        <v>0</v>
      </c>
      <c r="N2" s="44" t="s">
        <v>150</v>
      </c>
      <c r="O2" s="130">
        <f t="shared" ref="O2:O7" si="0">IF(Q2=0,0,P2/Q2)</f>
        <v>-8666.6666666666661</v>
      </c>
      <c r="P2" s="60">
        <v>-26000</v>
      </c>
      <c r="Q2" s="58">
        <v>3</v>
      </c>
    </row>
    <row r="3" spans="1:17" x14ac:dyDescent="0.4">
      <c r="A3" s="73" t="s">
        <v>8</v>
      </c>
      <c r="B3" s="137">
        <v>16</v>
      </c>
      <c r="C3" s="138"/>
      <c r="E3" s="82" t="s">
        <v>67</v>
      </c>
      <c r="F3" s="78" t="s">
        <v>21</v>
      </c>
      <c r="G3" s="65">
        <v>1</v>
      </c>
      <c r="H3" s="47">
        <f>IF(B$25=0,0,G3/B$25)</f>
        <v>1</v>
      </c>
      <c r="I3" s="118">
        <v>1</v>
      </c>
      <c r="K3" s="46">
        <v>1</v>
      </c>
      <c r="L3" s="124">
        <v>7</v>
      </c>
      <c r="N3" s="46" t="s">
        <v>151</v>
      </c>
      <c r="O3" s="131">
        <f t="shared" si="0"/>
        <v>-250</v>
      </c>
      <c r="P3" s="61">
        <v>-500</v>
      </c>
      <c r="Q3" s="56">
        <v>2</v>
      </c>
    </row>
    <row r="4" spans="1:17" x14ac:dyDescent="0.4">
      <c r="A4" s="73" t="s">
        <v>6</v>
      </c>
      <c r="B4" s="139">
        <v>-26.5</v>
      </c>
      <c r="C4" s="140"/>
      <c r="E4" s="82" t="s">
        <v>73</v>
      </c>
      <c r="F4" s="78" t="s">
        <v>26</v>
      </c>
      <c r="G4" s="65">
        <v>1</v>
      </c>
      <c r="H4" s="47">
        <f>IF(B$25=0,0,G4/B$25)</f>
        <v>1</v>
      </c>
      <c r="I4" s="118">
        <v>1</v>
      </c>
      <c r="K4" s="46">
        <v>2</v>
      </c>
      <c r="L4" s="124">
        <v>-24.5</v>
      </c>
      <c r="N4" s="46" t="s">
        <v>152</v>
      </c>
      <c r="O4" s="131">
        <f t="shared" si="0"/>
        <v>-3500</v>
      </c>
      <c r="P4" s="61">
        <v>-7000</v>
      </c>
      <c r="Q4" s="56">
        <v>2</v>
      </c>
    </row>
    <row r="5" spans="1:17" x14ac:dyDescent="0.4">
      <c r="A5" s="73" t="s">
        <v>7</v>
      </c>
      <c r="B5" s="141">
        <f>IF(B$2=0,0,B$4/B$2)</f>
        <v>-8.8333333333333339</v>
      </c>
      <c r="C5" s="142"/>
      <c r="E5" s="82" t="s">
        <v>75</v>
      </c>
      <c r="F5" s="78" t="s">
        <v>28</v>
      </c>
      <c r="G5" s="65">
        <v>1</v>
      </c>
      <c r="H5" s="47">
        <f>IF(B$25=0,0,G5/B$25)</f>
        <v>1</v>
      </c>
      <c r="I5" s="118">
        <v>1</v>
      </c>
      <c r="K5" s="46">
        <v>3</v>
      </c>
      <c r="L5" s="124">
        <v>-26.5</v>
      </c>
      <c r="N5" s="46" t="s">
        <v>153</v>
      </c>
      <c r="O5" s="131">
        <f t="shared" si="0"/>
        <v>0</v>
      </c>
      <c r="P5" s="61">
        <v>0</v>
      </c>
      <c r="Q5" s="56">
        <v>1</v>
      </c>
    </row>
    <row r="6" spans="1:17" x14ac:dyDescent="0.4">
      <c r="A6" s="73" t="s">
        <v>1</v>
      </c>
      <c r="B6" s="147">
        <f>IF(B$2=0,0,(B$7*1+B$8*2+B$9*3)/B$2)</f>
        <v>2.3333333333333335</v>
      </c>
      <c r="C6" s="148"/>
      <c r="E6" s="82" t="s">
        <v>68</v>
      </c>
      <c r="F6" s="78" t="s">
        <v>22</v>
      </c>
      <c r="G6" s="65">
        <v>0</v>
      </c>
      <c r="H6" s="47">
        <f>IF(B$25=0,0,G6/B$25)</f>
        <v>0</v>
      </c>
      <c r="I6" s="118">
        <v>12</v>
      </c>
      <c r="N6" s="46" t="s">
        <v>154</v>
      </c>
      <c r="O6" s="131">
        <f t="shared" si="0"/>
        <v>8000</v>
      </c>
      <c r="P6" s="61">
        <v>8000</v>
      </c>
      <c r="Q6" s="56">
        <v>1</v>
      </c>
    </row>
    <row r="7" spans="1:17" x14ac:dyDescent="0.4">
      <c r="A7" s="73" t="s">
        <v>2</v>
      </c>
      <c r="B7" s="65">
        <v>0</v>
      </c>
      <c r="C7" s="47">
        <f>IF(B$2=0,0,B7/B$2)</f>
        <v>0</v>
      </c>
      <c r="E7" s="82" t="s">
        <v>69</v>
      </c>
      <c r="F7" s="78" t="s">
        <v>23</v>
      </c>
      <c r="G7" s="65">
        <v>0</v>
      </c>
      <c r="H7" s="47">
        <f>IF(B$25=0,0,G7/B$25)</f>
        <v>0</v>
      </c>
      <c r="I7" s="118">
        <v>12</v>
      </c>
      <c r="N7" s="50" t="s">
        <v>155</v>
      </c>
      <c r="O7" s="132">
        <f t="shared" si="0"/>
        <v>-1000</v>
      </c>
      <c r="P7" s="62">
        <v>-1000</v>
      </c>
      <c r="Q7" s="57">
        <v>1</v>
      </c>
    </row>
    <row r="8" spans="1:17" x14ac:dyDescent="0.4">
      <c r="A8" s="73" t="s">
        <v>3</v>
      </c>
      <c r="B8" s="65">
        <v>2</v>
      </c>
      <c r="C8" s="47">
        <f t="shared" ref="C8:C9" si="1">IF(B$2=0,0,B8/B$2)</f>
        <v>0.66666666666666663</v>
      </c>
      <c r="E8" s="82" t="s">
        <v>71</v>
      </c>
      <c r="F8" s="78" t="s">
        <v>25</v>
      </c>
      <c r="G8" s="65">
        <v>0</v>
      </c>
      <c r="H8" s="47">
        <f>IF(B$25=0,0,G8/B$25)</f>
        <v>0</v>
      </c>
      <c r="I8" s="118">
        <v>12</v>
      </c>
      <c r="N8" s="41"/>
      <c r="O8" s="41"/>
      <c r="P8" s="41"/>
      <c r="Q8" s="41"/>
    </row>
    <row r="9" spans="1:17" x14ac:dyDescent="0.4">
      <c r="A9" s="74" t="s">
        <v>4</v>
      </c>
      <c r="B9" s="66">
        <v>1</v>
      </c>
      <c r="C9" s="48">
        <f t="shared" si="1"/>
        <v>0.33333333333333331</v>
      </c>
      <c r="E9" s="82" t="s">
        <v>72</v>
      </c>
      <c r="F9" s="78" t="s">
        <v>12</v>
      </c>
      <c r="G9" s="65">
        <v>0</v>
      </c>
      <c r="H9" s="47">
        <f>IF(B$25=0,0,G9/B$25)</f>
        <v>0</v>
      </c>
      <c r="I9" s="118">
        <v>12</v>
      </c>
      <c r="N9" s="42" t="s">
        <v>235</v>
      </c>
      <c r="O9" s="129" t="s">
        <v>125</v>
      </c>
      <c r="P9" s="153" t="s">
        <v>238</v>
      </c>
      <c r="Q9" s="125" t="s">
        <v>121</v>
      </c>
    </row>
    <row r="10" spans="1:17" x14ac:dyDescent="0.4">
      <c r="A10" s="74" t="s">
        <v>19</v>
      </c>
      <c r="B10" s="66">
        <v>0</v>
      </c>
      <c r="C10" s="48">
        <f>IF(B$2=0,0,B10/B$2)</f>
        <v>0</v>
      </c>
      <c r="E10" s="82" t="s">
        <v>74</v>
      </c>
      <c r="F10" s="78" t="s">
        <v>27</v>
      </c>
      <c r="G10" s="65">
        <v>0</v>
      </c>
      <c r="H10" s="47">
        <f>IF(B$25=0,0,G10/B$25)</f>
        <v>0</v>
      </c>
      <c r="I10" s="118">
        <v>11</v>
      </c>
      <c r="N10" s="44" t="s">
        <v>133</v>
      </c>
      <c r="O10" s="126">
        <f>IF(Q10=0,0,P10/Q10)</f>
        <v>7</v>
      </c>
      <c r="P10" s="154">
        <v>7</v>
      </c>
      <c r="Q10" s="155">
        <v>1</v>
      </c>
    </row>
    <row r="11" spans="1:17" x14ac:dyDescent="0.4">
      <c r="A11" s="75" t="s">
        <v>158</v>
      </c>
      <c r="B11" s="67">
        <v>0</v>
      </c>
      <c r="C11" s="51">
        <f>IF(B$2=0,0,B11/B$2)</f>
        <v>0</v>
      </c>
      <c r="E11" s="82" t="s">
        <v>76</v>
      </c>
      <c r="F11" s="78" t="s">
        <v>29</v>
      </c>
      <c r="G11" s="65">
        <v>0</v>
      </c>
      <c r="H11" s="47">
        <f>IF(B$25=0,0,G11/B$25)</f>
        <v>0</v>
      </c>
      <c r="I11" s="118">
        <v>12</v>
      </c>
      <c r="N11" s="46" t="s">
        <v>170</v>
      </c>
      <c r="O11" s="127">
        <f>IF(Q11=0,0,P11/Q11)</f>
        <v>7</v>
      </c>
      <c r="P11" s="156">
        <v>7</v>
      </c>
      <c r="Q11" s="157">
        <v>1</v>
      </c>
    </row>
    <row r="12" spans="1:17" x14ac:dyDescent="0.4">
      <c r="A12" s="76" t="s">
        <v>128</v>
      </c>
      <c r="B12" s="68">
        <v>5</v>
      </c>
      <c r="C12" s="54">
        <f>IF(B$24=0,0,B12/B$24)</f>
        <v>0.45454545454545453</v>
      </c>
      <c r="E12" s="82" t="s">
        <v>77</v>
      </c>
      <c r="F12" s="78" t="s">
        <v>30</v>
      </c>
      <c r="G12" s="65">
        <v>0</v>
      </c>
      <c r="H12" s="47">
        <f>IF(B$25=0,0,G12/B$25)</f>
        <v>0</v>
      </c>
      <c r="I12" s="118">
        <v>5</v>
      </c>
      <c r="N12" s="46" t="s">
        <v>134</v>
      </c>
      <c r="O12" s="127">
        <f>IF(Q12=0,0,P12/Q12)</f>
        <v>-16.75</v>
      </c>
      <c r="P12" s="156">
        <v>-33.5</v>
      </c>
      <c r="Q12" s="157">
        <v>2</v>
      </c>
    </row>
    <row r="13" spans="1:17" x14ac:dyDescent="0.4">
      <c r="A13" s="73" t="s">
        <v>123</v>
      </c>
      <c r="B13" s="65">
        <v>0</v>
      </c>
      <c r="C13" s="47">
        <f>IF(B$24=0,0,B13/B$24)</f>
        <v>0</v>
      </c>
      <c r="E13" s="82" t="s">
        <v>78</v>
      </c>
      <c r="F13" s="78" t="s">
        <v>31</v>
      </c>
      <c r="G13" s="65">
        <v>0</v>
      </c>
      <c r="H13" s="47">
        <f>IF(B$25=0,0,G13/B$25)</f>
        <v>0</v>
      </c>
      <c r="I13" s="118">
        <v>4</v>
      </c>
      <c r="N13" s="46" t="s">
        <v>139</v>
      </c>
      <c r="O13" s="127">
        <f>IF(Q13=0,0,P13/Q13)</f>
        <v>-16.75</v>
      </c>
      <c r="P13" s="156">
        <v>-33.5</v>
      </c>
      <c r="Q13" s="157">
        <v>2</v>
      </c>
    </row>
    <row r="14" spans="1:17" x14ac:dyDescent="0.4">
      <c r="A14" s="72" t="s">
        <v>130</v>
      </c>
      <c r="B14" s="64">
        <v>1</v>
      </c>
      <c r="C14" s="45">
        <f>IF(B$12=0,0,B14/B$12)</f>
        <v>0.2</v>
      </c>
      <c r="E14" s="82" t="s">
        <v>79</v>
      </c>
      <c r="F14" s="78" t="s">
        <v>32</v>
      </c>
      <c r="G14" s="65">
        <v>0</v>
      </c>
      <c r="H14" s="47">
        <f>IF(B$25=0,0,G14/B$25)</f>
        <v>0</v>
      </c>
      <c r="I14" s="118">
        <v>6</v>
      </c>
    </row>
    <row r="15" spans="1:17" x14ac:dyDescent="0.4">
      <c r="A15" s="72" t="s">
        <v>131</v>
      </c>
      <c r="B15" s="64">
        <v>0</v>
      </c>
      <c r="C15" s="45">
        <f>IF(B$13=0,0,B15/B$13)</f>
        <v>0</v>
      </c>
      <c r="E15" s="82" t="s">
        <v>80</v>
      </c>
      <c r="F15" s="78" t="s">
        <v>33</v>
      </c>
      <c r="G15" s="65">
        <v>0</v>
      </c>
      <c r="H15" s="47">
        <f>IF(B$25=0,0,G15/B$25)</f>
        <v>0</v>
      </c>
      <c r="I15" s="118">
        <v>1</v>
      </c>
    </row>
    <row r="16" spans="1:17" x14ac:dyDescent="0.4">
      <c r="A16" s="72" t="s">
        <v>10</v>
      </c>
      <c r="B16" s="64">
        <f>B18+B17</f>
        <v>3</v>
      </c>
      <c r="C16" s="45">
        <f>IF(B$3=0,0,B16/B$3)</f>
        <v>0.1875</v>
      </c>
      <c r="E16" s="82" t="s">
        <v>81</v>
      </c>
      <c r="F16" s="78" t="s">
        <v>34</v>
      </c>
      <c r="G16" s="65">
        <v>0</v>
      </c>
      <c r="H16" s="47">
        <f>IF(B$25=0,0,G16/B$25)</f>
        <v>0</v>
      </c>
      <c r="I16" s="118">
        <v>6</v>
      </c>
    </row>
    <row r="17" spans="1:9" x14ac:dyDescent="0.4">
      <c r="A17" s="73" t="s">
        <v>12</v>
      </c>
      <c r="B17" s="65">
        <v>0</v>
      </c>
      <c r="C17" s="47">
        <f>IF(B$16=0,0,B17/B$16)</f>
        <v>0</v>
      </c>
      <c r="E17" s="82" t="s">
        <v>82</v>
      </c>
      <c r="F17" s="78" t="s">
        <v>35</v>
      </c>
      <c r="G17" s="65">
        <v>0</v>
      </c>
      <c r="H17" s="47">
        <f>IF(B$25=0,0,G17/B$25)</f>
        <v>0</v>
      </c>
      <c r="I17" s="118">
        <v>10</v>
      </c>
    </row>
    <row r="18" spans="1:9" x14ac:dyDescent="0.4">
      <c r="A18" s="73" t="s">
        <v>11</v>
      </c>
      <c r="B18" s="65">
        <v>3</v>
      </c>
      <c r="C18" s="47">
        <f>IF(B$16=0,0,B18/B$16)</f>
        <v>1</v>
      </c>
      <c r="E18" s="82" t="s">
        <v>83</v>
      </c>
      <c r="F18" s="78" t="s">
        <v>36</v>
      </c>
      <c r="G18" s="65">
        <v>0</v>
      </c>
      <c r="H18" s="47">
        <f>IF(B$25=0,0,G18/B$25)</f>
        <v>0</v>
      </c>
      <c r="I18" s="118">
        <v>9</v>
      </c>
    </row>
    <row r="19" spans="1:9" x14ac:dyDescent="0.4">
      <c r="A19" s="73" t="s">
        <v>13</v>
      </c>
      <c r="B19" s="65">
        <v>2</v>
      </c>
      <c r="C19" s="47">
        <f>IF(B$3=0,0,B19/B$3)</f>
        <v>0.125</v>
      </c>
      <c r="E19" s="82" t="s">
        <v>84</v>
      </c>
      <c r="F19" s="78" t="s">
        <v>37</v>
      </c>
      <c r="G19" s="65">
        <v>0</v>
      </c>
      <c r="H19" s="47">
        <f>IF(B$25=0,0,G19/B$25)</f>
        <v>0</v>
      </c>
      <c r="I19" s="118">
        <v>1</v>
      </c>
    </row>
    <row r="20" spans="1:9" x14ac:dyDescent="0.4">
      <c r="A20" s="73" t="s">
        <v>5</v>
      </c>
      <c r="B20" s="69">
        <f>IF(B$16=0,0,C20/B$16)</f>
        <v>8000</v>
      </c>
      <c r="C20" s="49">
        <v>24000</v>
      </c>
      <c r="E20" s="82" t="s">
        <v>85</v>
      </c>
      <c r="F20" s="78" t="s">
        <v>38</v>
      </c>
      <c r="G20" s="65">
        <v>0</v>
      </c>
      <c r="H20" s="47">
        <f>IF(B$25=0,0,G20/B$25)</f>
        <v>0</v>
      </c>
      <c r="I20" s="118">
        <v>3</v>
      </c>
    </row>
    <row r="21" spans="1:9" x14ac:dyDescent="0.4">
      <c r="A21" s="75" t="s">
        <v>14</v>
      </c>
      <c r="B21" s="70">
        <f>IF(B$19=0,0,C21/B$19)</f>
        <v>-12000</v>
      </c>
      <c r="C21" s="63">
        <v>-24000</v>
      </c>
      <c r="E21" s="82" t="s">
        <v>86</v>
      </c>
      <c r="F21" s="78" t="s">
        <v>39</v>
      </c>
      <c r="G21" s="65">
        <v>0</v>
      </c>
      <c r="H21" s="47">
        <f>IF(B$25=0,0,G21/B$25)</f>
        <v>0</v>
      </c>
      <c r="I21" s="118">
        <v>9</v>
      </c>
    </row>
    <row r="22" spans="1:9" x14ac:dyDescent="0.4">
      <c r="A22" s="72" t="s">
        <v>147</v>
      </c>
      <c r="B22" s="64">
        <v>3</v>
      </c>
      <c r="C22" s="45">
        <f>IF(B$3=0,0,B22/B$3)</f>
        <v>0.1875</v>
      </c>
      <c r="E22" s="82" t="s">
        <v>87</v>
      </c>
      <c r="F22" s="78" t="s">
        <v>40</v>
      </c>
      <c r="G22" s="65">
        <v>0</v>
      </c>
      <c r="H22" s="47">
        <f>IF(B$25=0,0,G22/B$25)</f>
        <v>0</v>
      </c>
      <c r="I22" s="118">
        <v>1</v>
      </c>
    </row>
    <row r="23" spans="1:9" x14ac:dyDescent="0.4">
      <c r="A23" s="75" t="s">
        <v>148</v>
      </c>
      <c r="B23" s="67">
        <v>0</v>
      </c>
      <c r="C23" s="51">
        <f>IF(B$22=0,0,B23/B$22)</f>
        <v>0</v>
      </c>
      <c r="E23" s="82" t="s">
        <v>88</v>
      </c>
      <c r="F23" s="78" t="s">
        <v>41</v>
      </c>
      <c r="G23" s="65">
        <v>0</v>
      </c>
      <c r="H23" s="47">
        <f>IF(B$25=0,0,G23/B$25)</f>
        <v>0</v>
      </c>
      <c r="I23" s="118">
        <v>9</v>
      </c>
    </row>
    <row r="24" spans="1:9" x14ac:dyDescent="0.4">
      <c r="A24" s="72" t="s">
        <v>126</v>
      </c>
      <c r="B24" s="135">
        <v>11</v>
      </c>
      <c r="C24" s="136"/>
      <c r="E24" s="82" t="s">
        <v>89</v>
      </c>
      <c r="F24" s="78" t="s">
        <v>42</v>
      </c>
      <c r="G24" s="65">
        <v>0</v>
      </c>
      <c r="H24" s="47">
        <f>IF(B$25=0,0,G24/B$25)</f>
        <v>0</v>
      </c>
      <c r="I24" s="118">
        <v>5</v>
      </c>
    </row>
    <row r="25" spans="1:9" x14ac:dyDescent="0.4">
      <c r="A25" s="75" t="s">
        <v>127</v>
      </c>
      <c r="B25" s="149">
        <v>1</v>
      </c>
      <c r="C25" s="150"/>
      <c r="E25" s="82" t="s">
        <v>90</v>
      </c>
      <c r="F25" s="78" t="s">
        <v>43</v>
      </c>
      <c r="G25" s="65">
        <v>0</v>
      </c>
      <c r="H25" s="47">
        <f>IF(B$25=0,0,G25/B$25)</f>
        <v>0</v>
      </c>
      <c r="I25" s="118">
        <v>5</v>
      </c>
    </row>
    <row r="26" spans="1:9" x14ac:dyDescent="0.4">
      <c r="A26" s="113" t="s">
        <v>162</v>
      </c>
      <c r="B26" s="145">
        <v>2</v>
      </c>
      <c r="C26" s="146"/>
      <c r="E26" s="82" t="s">
        <v>91</v>
      </c>
      <c r="F26" s="78" t="s">
        <v>44</v>
      </c>
      <c r="G26" s="65">
        <v>0</v>
      </c>
      <c r="H26" s="47">
        <f>IF(B$25=0,0,G26/B$25)</f>
        <v>0</v>
      </c>
      <c r="I26" s="118">
        <v>12</v>
      </c>
    </row>
    <row r="27" spans="1:9" x14ac:dyDescent="0.4">
      <c r="A27" s="76" t="s">
        <v>203</v>
      </c>
      <c r="B27" s="143">
        <v>42000</v>
      </c>
      <c r="C27" s="144"/>
      <c r="E27" s="82" t="s">
        <v>92</v>
      </c>
      <c r="F27" s="78" t="s">
        <v>45</v>
      </c>
      <c r="G27" s="65">
        <v>0</v>
      </c>
      <c r="H27" s="47">
        <f>IF(B$25=0,0,G27/B$25)</f>
        <v>0</v>
      </c>
      <c r="I27" s="118">
        <v>4</v>
      </c>
    </row>
    <row r="28" spans="1:9" x14ac:dyDescent="0.4">
      <c r="A28" s="75" t="s">
        <v>163</v>
      </c>
      <c r="B28" s="84">
        <v>0</v>
      </c>
      <c r="C28" s="51">
        <f>IF(B$3=0,0,B28/B$3)</f>
        <v>0</v>
      </c>
      <c r="E28" s="82" t="s">
        <v>93</v>
      </c>
      <c r="F28" s="78" t="s">
        <v>46</v>
      </c>
      <c r="G28" s="65">
        <v>0</v>
      </c>
      <c r="H28" s="47">
        <f>IF(B$25=0,0,G28/B$25)</f>
        <v>0</v>
      </c>
      <c r="I28" s="118">
        <v>3</v>
      </c>
    </row>
    <row r="29" spans="1:9" x14ac:dyDescent="0.4">
      <c r="E29" s="82" t="s">
        <v>94</v>
      </c>
      <c r="F29" s="78" t="s">
        <v>47</v>
      </c>
      <c r="G29" s="65">
        <v>0</v>
      </c>
      <c r="H29" s="47">
        <f>IF(B$25=0,0,G29/B$25)</f>
        <v>0</v>
      </c>
      <c r="I29" s="118">
        <v>11</v>
      </c>
    </row>
    <row r="30" spans="1:9" x14ac:dyDescent="0.4">
      <c r="E30" s="82" t="s">
        <v>95</v>
      </c>
      <c r="F30" s="78" t="s">
        <v>48</v>
      </c>
      <c r="G30" s="65">
        <v>0</v>
      </c>
      <c r="H30" s="47">
        <f>IF(B$25=0,0,G30/B$25)</f>
        <v>0</v>
      </c>
      <c r="I30" s="118">
        <v>3</v>
      </c>
    </row>
    <row r="31" spans="1:9" x14ac:dyDescent="0.4">
      <c r="E31" s="82" t="s">
        <v>96</v>
      </c>
      <c r="F31" s="78" t="s">
        <v>49</v>
      </c>
      <c r="G31" s="65">
        <v>0</v>
      </c>
      <c r="H31" s="47">
        <f>IF(B$25=0,0,G31/B$25)</f>
        <v>0</v>
      </c>
      <c r="I31" s="118">
        <v>8</v>
      </c>
    </row>
    <row r="32" spans="1:9" x14ac:dyDescent="0.4">
      <c r="E32" s="82" t="s">
        <v>97</v>
      </c>
      <c r="F32" s="78" t="s">
        <v>50</v>
      </c>
      <c r="G32" s="65">
        <v>0</v>
      </c>
      <c r="H32" s="47">
        <f>IF(B$25=0,0,G32/B$25)</f>
        <v>0</v>
      </c>
      <c r="I32" s="118">
        <v>6</v>
      </c>
    </row>
    <row r="33" spans="5:9" x14ac:dyDescent="0.4">
      <c r="E33" s="82" t="s">
        <v>98</v>
      </c>
      <c r="F33" s="78" t="s">
        <v>51</v>
      </c>
      <c r="G33" s="65">
        <v>0</v>
      </c>
      <c r="H33" s="47">
        <f>IF(B$25=0,0,G33/B$25)</f>
        <v>0</v>
      </c>
      <c r="I33" s="118">
        <v>4</v>
      </c>
    </row>
    <row r="34" spans="5:9" x14ac:dyDescent="0.4">
      <c r="E34" s="82" t="s">
        <v>99</v>
      </c>
      <c r="F34" s="78" t="s">
        <v>52</v>
      </c>
      <c r="G34" s="65">
        <v>0</v>
      </c>
      <c r="H34" s="47">
        <f>IF(B$25=0,0,G34/B$25)</f>
        <v>0</v>
      </c>
      <c r="I34" s="118">
        <v>1</v>
      </c>
    </row>
    <row r="35" spans="5:9" x14ac:dyDescent="0.4">
      <c r="E35" s="82" t="s">
        <v>100</v>
      </c>
      <c r="F35" s="78" t="s">
        <v>53</v>
      </c>
      <c r="G35" s="65">
        <v>0</v>
      </c>
      <c r="H35" s="47">
        <f>IF(B$25=0,0,G35/B$25)</f>
        <v>0</v>
      </c>
      <c r="I35" s="118">
        <v>3</v>
      </c>
    </row>
    <row r="36" spans="5:9" x14ac:dyDescent="0.4">
      <c r="E36" s="82" t="s">
        <v>101</v>
      </c>
      <c r="F36" s="78" t="s">
        <v>54</v>
      </c>
      <c r="G36" s="65">
        <v>0</v>
      </c>
      <c r="H36" s="47">
        <f>IF(B$25=0,0,G36/B$25)</f>
        <v>0</v>
      </c>
      <c r="I36" s="118">
        <v>1</v>
      </c>
    </row>
    <row r="37" spans="5:9" x14ac:dyDescent="0.4">
      <c r="E37" s="82" t="s">
        <v>102</v>
      </c>
      <c r="F37" s="78" t="s">
        <v>55</v>
      </c>
      <c r="G37" s="65">
        <v>0</v>
      </c>
      <c r="H37" s="47">
        <f>IF(B$25=0,0,G37/B$25)</f>
        <v>0</v>
      </c>
      <c r="I37" s="118">
        <v>1</v>
      </c>
    </row>
    <row r="38" spans="5:9" x14ac:dyDescent="0.4">
      <c r="E38" s="82" t="s">
        <v>103</v>
      </c>
      <c r="F38" s="78" t="s">
        <v>56</v>
      </c>
      <c r="G38" s="65">
        <v>0</v>
      </c>
      <c r="H38" s="47">
        <f>IF(B$25=0,0,G38/B$25)</f>
        <v>0</v>
      </c>
      <c r="I38" s="118">
        <v>1</v>
      </c>
    </row>
    <row r="39" spans="5:9" x14ac:dyDescent="0.4">
      <c r="E39" s="82" t="s">
        <v>104</v>
      </c>
      <c r="F39" s="78" t="s">
        <v>57</v>
      </c>
      <c r="G39" s="65">
        <v>0</v>
      </c>
      <c r="H39" s="47">
        <f>IF(B$25=0,0,G39/B$25)</f>
        <v>0</v>
      </c>
      <c r="I39" s="118">
        <v>1</v>
      </c>
    </row>
    <row r="40" spans="5:9" x14ac:dyDescent="0.4">
      <c r="E40" s="82" t="s">
        <v>105</v>
      </c>
      <c r="F40" s="78" t="s">
        <v>58</v>
      </c>
      <c r="G40" s="65">
        <v>0</v>
      </c>
      <c r="H40" s="47">
        <f>IF(B$25=0,0,G40/B$25)</f>
        <v>0</v>
      </c>
      <c r="I40" s="118">
        <v>1</v>
      </c>
    </row>
    <row r="41" spans="5:9" x14ac:dyDescent="0.4">
      <c r="E41" s="82" t="s">
        <v>106</v>
      </c>
      <c r="F41" s="78" t="s">
        <v>59</v>
      </c>
      <c r="G41" s="65">
        <v>0</v>
      </c>
      <c r="H41" s="47">
        <f>IF(B$25=0,0,G41/B$25)</f>
        <v>0</v>
      </c>
      <c r="I41" s="118">
        <v>1</v>
      </c>
    </row>
    <row r="42" spans="5:9" x14ac:dyDescent="0.4">
      <c r="E42" s="82" t="s">
        <v>107</v>
      </c>
      <c r="F42" s="78" t="s">
        <v>60</v>
      </c>
      <c r="G42" s="65">
        <v>0</v>
      </c>
      <c r="H42" s="47">
        <f>IF(B$25=0,0,G42/B$25)</f>
        <v>0</v>
      </c>
      <c r="I42" s="118">
        <v>1</v>
      </c>
    </row>
    <row r="43" spans="5:9" x14ac:dyDescent="0.4">
      <c r="E43" s="82" t="s">
        <v>108</v>
      </c>
      <c r="F43" s="78" t="s">
        <v>61</v>
      </c>
      <c r="G43" s="65">
        <v>0</v>
      </c>
      <c r="H43" s="47">
        <f>IF(B$25=0,0,G43/B$25)</f>
        <v>0</v>
      </c>
      <c r="I43" s="118">
        <v>1</v>
      </c>
    </row>
    <row r="44" spans="5:9" x14ac:dyDescent="0.4">
      <c r="E44" s="82" t="s">
        <v>109</v>
      </c>
      <c r="F44" s="78" t="s">
        <v>62</v>
      </c>
      <c r="G44" s="65">
        <v>0</v>
      </c>
      <c r="H44" s="47">
        <f>IF(B$25=0,0,G44/B$25)</f>
        <v>0</v>
      </c>
      <c r="I44" s="118">
        <v>1</v>
      </c>
    </row>
    <row r="45" spans="5:9" x14ac:dyDescent="0.4">
      <c r="E45" s="82" t="s">
        <v>110</v>
      </c>
      <c r="F45" s="78" t="s">
        <v>117</v>
      </c>
      <c r="G45" s="65">
        <v>0</v>
      </c>
      <c r="H45" s="47">
        <f>IF(B$25=0,0,G45/B$25)</f>
        <v>0</v>
      </c>
      <c r="I45" s="118">
        <v>1</v>
      </c>
    </row>
    <row r="46" spans="5:9" x14ac:dyDescent="0.4">
      <c r="E46" s="82" t="s">
        <v>111</v>
      </c>
      <c r="F46" s="78" t="s">
        <v>118</v>
      </c>
      <c r="G46" s="65">
        <v>0</v>
      </c>
      <c r="H46" s="47">
        <f>IF(B$25=0,0,G46/B$25)</f>
        <v>0</v>
      </c>
      <c r="I46" s="118">
        <v>3</v>
      </c>
    </row>
    <row r="47" spans="5:9" x14ac:dyDescent="0.4">
      <c r="E47" s="82" t="s">
        <v>112</v>
      </c>
      <c r="F47" s="78" t="s">
        <v>119</v>
      </c>
      <c r="G47" s="65">
        <v>0</v>
      </c>
      <c r="H47" s="47">
        <f>IF(B$25=0,0,G47/B$25)</f>
        <v>0</v>
      </c>
      <c r="I47" s="118">
        <v>1</v>
      </c>
    </row>
    <row r="48" spans="5:9" x14ac:dyDescent="0.4">
      <c r="E48" s="82" t="s">
        <v>113</v>
      </c>
      <c r="F48" s="78" t="s">
        <v>63</v>
      </c>
      <c r="G48" s="65">
        <v>0</v>
      </c>
      <c r="H48" s="47">
        <f>IF(B$25=0,0,G48/B$25)</f>
        <v>0</v>
      </c>
      <c r="I48" s="118">
        <v>1</v>
      </c>
    </row>
    <row r="49" spans="5:9" x14ac:dyDescent="0.4">
      <c r="E49" s="82" t="s">
        <v>114</v>
      </c>
      <c r="F49" s="78" t="s">
        <v>64</v>
      </c>
      <c r="G49" s="65">
        <v>0</v>
      </c>
      <c r="H49" s="47">
        <f>IF(B$25=0,0,G49/B$25)</f>
        <v>0</v>
      </c>
      <c r="I49" s="118">
        <v>1</v>
      </c>
    </row>
    <row r="50" spans="5:9" x14ac:dyDescent="0.4">
      <c r="E50" s="82" t="s">
        <v>115</v>
      </c>
      <c r="F50" s="78" t="s">
        <v>65</v>
      </c>
      <c r="G50" s="65">
        <v>0</v>
      </c>
      <c r="H50" s="47">
        <f>IF(B$25=0,0,G50/B$25)</f>
        <v>0</v>
      </c>
      <c r="I50" s="118">
        <v>1</v>
      </c>
    </row>
    <row r="51" spans="5:9" x14ac:dyDescent="0.4">
      <c r="E51" s="83" t="s">
        <v>116</v>
      </c>
      <c r="F51" s="79" t="s">
        <v>66</v>
      </c>
      <c r="G51" s="67">
        <v>0</v>
      </c>
      <c r="H51" s="51">
        <f>IF(B$25=0,0,G51/B$25)</f>
        <v>0</v>
      </c>
      <c r="I51" s="119">
        <v>1</v>
      </c>
    </row>
  </sheetData>
  <sortState ref="N10:Q13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A95D9-739B-4C5B-AAD1-509593DAAFB2}">
  <sheetPr codeName="Sheet13"/>
  <dimension ref="A1:Q113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4" customWidth="1"/>
    <col min="13" max="13" width="3.5" style="41" customWidth="1"/>
    <col min="14" max="14" width="9" style="46" customWidth="1"/>
    <col min="15" max="15" width="9" style="127" customWidth="1"/>
    <col min="16" max="16" width="3.5" style="156" customWidth="1"/>
    <col min="17" max="17" width="3.5" style="157" customWidth="1"/>
    <col min="18" max="16384" width="9" style="41"/>
  </cols>
  <sheetData>
    <row r="1" spans="1:17" x14ac:dyDescent="0.4">
      <c r="A1" s="71" t="s">
        <v>0</v>
      </c>
      <c r="B1" s="133" t="s">
        <v>134</v>
      </c>
      <c r="C1" s="134"/>
      <c r="E1" s="80" t="s">
        <v>160</v>
      </c>
      <c r="F1" s="129" t="s">
        <v>120</v>
      </c>
      <c r="G1" s="128" t="s">
        <v>121</v>
      </c>
      <c r="H1" s="129" t="s">
        <v>122</v>
      </c>
      <c r="I1" s="129" t="s">
        <v>231</v>
      </c>
      <c r="K1" s="42" t="s">
        <v>20</v>
      </c>
      <c r="L1" s="43" t="s">
        <v>125</v>
      </c>
      <c r="N1" s="42" t="s">
        <v>156</v>
      </c>
      <c r="O1" s="129" t="s">
        <v>157</v>
      </c>
      <c r="P1" s="59" t="s">
        <v>238</v>
      </c>
      <c r="Q1" s="55" t="s">
        <v>121</v>
      </c>
    </row>
    <row r="2" spans="1:17" x14ac:dyDescent="0.4">
      <c r="A2" s="72" t="s">
        <v>9</v>
      </c>
      <c r="B2" s="135">
        <v>111</v>
      </c>
      <c r="C2" s="136"/>
      <c r="E2" s="81" t="s">
        <v>71</v>
      </c>
      <c r="F2" s="77" t="s">
        <v>25</v>
      </c>
      <c r="G2" s="64">
        <v>121</v>
      </c>
      <c r="H2" s="45">
        <f>IF(B$25=0,0,G2/B$25)</f>
        <v>0.76100628930817615</v>
      </c>
      <c r="I2" s="117">
        <v>9</v>
      </c>
      <c r="K2" s="44">
        <v>0</v>
      </c>
      <c r="L2" s="123">
        <v>0</v>
      </c>
      <c r="N2" s="44" t="s">
        <v>150</v>
      </c>
      <c r="O2" s="130">
        <f t="shared" ref="O2:O7" si="0">IF(Q2=0,0,P2/Q2)</f>
        <v>-330.27522935779814</v>
      </c>
      <c r="P2" s="60">
        <v>-36000</v>
      </c>
      <c r="Q2" s="58">
        <v>109</v>
      </c>
    </row>
    <row r="3" spans="1:17" x14ac:dyDescent="0.4">
      <c r="A3" s="73" t="s">
        <v>8</v>
      </c>
      <c r="B3" s="137">
        <v>856</v>
      </c>
      <c r="C3" s="138"/>
      <c r="E3" s="82" t="s">
        <v>69</v>
      </c>
      <c r="F3" s="78" t="s">
        <v>23</v>
      </c>
      <c r="G3" s="65">
        <v>106</v>
      </c>
      <c r="H3" s="47">
        <f>IF(B$25=0,0,G3/B$25)</f>
        <v>0.66666666666666663</v>
      </c>
      <c r="I3" s="118">
        <v>6</v>
      </c>
      <c r="K3" s="46">
        <v>1</v>
      </c>
      <c r="L3" s="124">
        <v>40.9</v>
      </c>
      <c r="N3" s="46" t="s">
        <v>151</v>
      </c>
      <c r="O3" s="131">
        <f t="shared" si="0"/>
        <v>-1934.2857142857142</v>
      </c>
      <c r="P3" s="61">
        <v>-203100</v>
      </c>
      <c r="Q3" s="56">
        <v>105</v>
      </c>
    </row>
    <row r="4" spans="1:17" x14ac:dyDescent="0.4">
      <c r="A4" s="73" t="s">
        <v>6</v>
      </c>
      <c r="B4" s="139">
        <v>-468.39999999999992</v>
      </c>
      <c r="C4" s="140"/>
      <c r="E4" s="82" t="s">
        <v>67</v>
      </c>
      <c r="F4" s="78" t="s">
        <v>21</v>
      </c>
      <c r="G4" s="65">
        <v>97</v>
      </c>
      <c r="H4" s="47">
        <f>IF(B$25=0,0,G4/B$25)</f>
        <v>0.61006289308176098</v>
      </c>
      <c r="I4" s="118">
        <v>6</v>
      </c>
      <c r="K4" s="46">
        <v>2</v>
      </c>
      <c r="L4" s="124">
        <v>-0.89999999999999858</v>
      </c>
      <c r="N4" s="46" t="s">
        <v>152</v>
      </c>
      <c r="O4" s="131">
        <f t="shared" si="0"/>
        <v>2591.1764705882351</v>
      </c>
      <c r="P4" s="61">
        <v>264300</v>
      </c>
      <c r="Q4" s="56">
        <v>102</v>
      </c>
    </row>
    <row r="5" spans="1:17" x14ac:dyDescent="0.4">
      <c r="A5" s="73" t="s">
        <v>7</v>
      </c>
      <c r="B5" s="141">
        <f>IF(B$2=0,0,B$4/B$2)</f>
        <v>-4.2198198198198194</v>
      </c>
      <c r="C5" s="142"/>
      <c r="E5" s="82" t="s">
        <v>76</v>
      </c>
      <c r="F5" s="78" t="s">
        <v>29</v>
      </c>
      <c r="G5" s="65">
        <v>87</v>
      </c>
      <c r="H5" s="47">
        <f>IF(B$25=0,0,G5/B$25)</f>
        <v>0.54716981132075471</v>
      </c>
      <c r="I5" s="118">
        <v>7</v>
      </c>
      <c r="K5" s="46">
        <v>3</v>
      </c>
      <c r="L5" s="124">
        <v>-36.4</v>
      </c>
      <c r="N5" s="46" t="s">
        <v>153</v>
      </c>
      <c r="O5" s="131">
        <f t="shared" si="0"/>
        <v>-1648.3516483516485</v>
      </c>
      <c r="P5" s="61">
        <v>-150000</v>
      </c>
      <c r="Q5" s="56">
        <v>91</v>
      </c>
    </row>
    <row r="6" spans="1:17" x14ac:dyDescent="0.4">
      <c r="A6" s="73" t="s">
        <v>1</v>
      </c>
      <c r="B6" s="147">
        <f>IF(B$2=0,0,(B$7*1+B$8*2+B$9*3)/B$2)</f>
        <v>2.1261261261261262</v>
      </c>
      <c r="C6" s="148"/>
      <c r="E6" s="82" t="s">
        <v>72</v>
      </c>
      <c r="F6" s="78" t="s">
        <v>12</v>
      </c>
      <c r="G6" s="65">
        <v>55</v>
      </c>
      <c r="H6" s="47">
        <f>IF(B$25=0,0,G6/B$25)</f>
        <v>0.34591194968553457</v>
      </c>
      <c r="I6" s="118">
        <v>2</v>
      </c>
      <c r="K6" s="46">
        <v>4</v>
      </c>
      <c r="L6" s="124">
        <v>3.6000000000000014</v>
      </c>
      <c r="N6" s="46" t="s">
        <v>154</v>
      </c>
      <c r="O6" s="131">
        <f t="shared" si="0"/>
        <v>-3023.6842105263158</v>
      </c>
      <c r="P6" s="61">
        <v>-229800</v>
      </c>
      <c r="Q6" s="56">
        <v>76</v>
      </c>
    </row>
    <row r="7" spans="1:17" x14ac:dyDescent="0.4">
      <c r="A7" s="73" t="s">
        <v>2</v>
      </c>
      <c r="B7" s="65">
        <v>32</v>
      </c>
      <c r="C7" s="47">
        <f>IF(B$2=0,0,B7/B$2)</f>
        <v>0.28828828828828829</v>
      </c>
      <c r="E7" s="82" t="s">
        <v>70</v>
      </c>
      <c r="F7" s="78" t="s">
        <v>24</v>
      </c>
      <c r="G7" s="65">
        <v>50</v>
      </c>
      <c r="H7" s="47">
        <f>IF(B$25=0,0,G7/B$25)</f>
        <v>0.31446540880503143</v>
      </c>
      <c r="I7" s="118">
        <v>7</v>
      </c>
      <c r="K7" s="46">
        <v>5</v>
      </c>
      <c r="L7" s="124">
        <v>14.600000000000001</v>
      </c>
      <c r="N7" s="50" t="s">
        <v>155</v>
      </c>
      <c r="O7" s="132">
        <f t="shared" si="0"/>
        <v>-2530</v>
      </c>
      <c r="P7" s="62">
        <v>-151800</v>
      </c>
      <c r="Q7" s="57">
        <v>60</v>
      </c>
    </row>
    <row r="8" spans="1:17" x14ac:dyDescent="0.4">
      <c r="A8" s="73" t="s">
        <v>3</v>
      </c>
      <c r="B8" s="65">
        <v>33</v>
      </c>
      <c r="C8" s="47">
        <f t="shared" ref="C8:C9" si="1">IF(B$2=0,0,B8/B$2)</f>
        <v>0.29729729729729731</v>
      </c>
      <c r="E8" s="82" t="s">
        <v>94</v>
      </c>
      <c r="F8" s="78" t="s">
        <v>47</v>
      </c>
      <c r="G8" s="65">
        <v>27</v>
      </c>
      <c r="H8" s="47">
        <f>IF(B$25=0,0,G8/B$25)</f>
        <v>0.16981132075471697</v>
      </c>
      <c r="I8" s="118">
        <v>3</v>
      </c>
      <c r="K8" s="46">
        <v>6</v>
      </c>
      <c r="L8" s="124">
        <v>47.6</v>
      </c>
      <c r="N8" s="41"/>
      <c r="O8" s="41"/>
      <c r="P8" s="41"/>
      <c r="Q8" s="41"/>
    </row>
    <row r="9" spans="1:17" x14ac:dyDescent="0.4">
      <c r="A9" s="74" t="s">
        <v>4</v>
      </c>
      <c r="B9" s="66">
        <v>46</v>
      </c>
      <c r="C9" s="48">
        <f t="shared" si="1"/>
        <v>0.4144144144144144</v>
      </c>
      <c r="E9" s="82" t="s">
        <v>68</v>
      </c>
      <c r="F9" s="78" t="s">
        <v>22</v>
      </c>
      <c r="G9" s="65">
        <v>25</v>
      </c>
      <c r="H9" s="47">
        <f>IF(B$25=0,0,G9/B$25)</f>
        <v>0.15723270440251572</v>
      </c>
      <c r="I9" s="118">
        <v>4</v>
      </c>
      <c r="K9" s="46">
        <v>7</v>
      </c>
      <c r="L9" s="124">
        <v>100.1</v>
      </c>
      <c r="N9" s="42" t="s">
        <v>235</v>
      </c>
      <c r="O9" s="129" t="s">
        <v>125</v>
      </c>
      <c r="P9" s="153" t="s">
        <v>238</v>
      </c>
      <c r="Q9" s="125" t="s">
        <v>121</v>
      </c>
    </row>
    <row r="10" spans="1:17" x14ac:dyDescent="0.4">
      <c r="A10" s="74" t="s">
        <v>19</v>
      </c>
      <c r="B10" s="66">
        <v>23</v>
      </c>
      <c r="C10" s="48">
        <f>IF(B$2=0,0,B10/B$2)</f>
        <v>0.2072072072072072</v>
      </c>
      <c r="E10" s="82" t="s">
        <v>73</v>
      </c>
      <c r="F10" s="78" t="s">
        <v>26</v>
      </c>
      <c r="G10" s="65">
        <v>25</v>
      </c>
      <c r="H10" s="47">
        <f>IF(B$25=0,0,G10/B$25)</f>
        <v>0.15723270440251572</v>
      </c>
      <c r="I10" s="118">
        <v>4</v>
      </c>
      <c r="K10" s="46">
        <v>8</v>
      </c>
      <c r="L10" s="124">
        <v>60.199999999999996</v>
      </c>
      <c r="N10" s="44" t="s">
        <v>171</v>
      </c>
      <c r="O10" s="126">
        <f>IF(Q10=0,0,P10/Q10)</f>
        <v>34.200000000000003</v>
      </c>
      <c r="P10" s="154">
        <v>68.400000000000006</v>
      </c>
      <c r="Q10" s="155">
        <v>2</v>
      </c>
    </row>
    <row r="11" spans="1:17" x14ac:dyDescent="0.4">
      <c r="A11" s="75" t="s">
        <v>158</v>
      </c>
      <c r="B11" s="67">
        <v>15</v>
      </c>
      <c r="C11" s="51">
        <f>IF(B$2=0,0,B11/B$2)</f>
        <v>0.13513513513513514</v>
      </c>
      <c r="E11" s="82" t="s">
        <v>74</v>
      </c>
      <c r="F11" s="78" t="s">
        <v>27</v>
      </c>
      <c r="G11" s="65">
        <v>23</v>
      </c>
      <c r="H11" s="47">
        <f>IF(B$25=0,0,G11/B$25)</f>
        <v>0.14465408805031446</v>
      </c>
      <c r="I11" s="118">
        <v>2</v>
      </c>
      <c r="K11" s="46">
        <v>9</v>
      </c>
      <c r="L11" s="124">
        <v>24.4</v>
      </c>
      <c r="N11" s="46" t="s">
        <v>136</v>
      </c>
      <c r="O11" s="127">
        <f>IF(Q11=0,0,P11/Q11)</f>
        <v>10.014285714285714</v>
      </c>
      <c r="P11" s="156">
        <v>140.19999999999999</v>
      </c>
      <c r="Q11" s="157">
        <v>14</v>
      </c>
    </row>
    <row r="12" spans="1:17" x14ac:dyDescent="0.4">
      <c r="A12" s="76" t="s">
        <v>128</v>
      </c>
      <c r="B12" s="68">
        <v>173</v>
      </c>
      <c r="C12" s="54">
        <f>IF(B$24=0,0,B12/B$24)</f>
        <v>0.29075630252100843</v>
      </c>
      <c r="E12" s="82" t="s">
        <v>88</v>
      </c>
      <c r="F12" s="78" t="s">
        <v>41</v>
      </c>
      <c r="G12" s="65">
        <v>15</v>
      </c>
      <c r="H12" s="47">
        <f>IF(B$25=0,0,G12/B$25)</f>
        <v>9.4339622641509441E-2</v>
      </c>
      <c r="I12" s="118">
        <v>3</v>
      </c>
      <c r="K12" s="46">
        <v>10</v>
      </c>
      <c r="L12" s="124">
        <v>-20.100000000000001</v>
      </c>
      <c r="N12" s="46" t="s">
        <v>139</v>
      </c>
      <c r="O12" s="127">
        <f>IF(Q12=0,0,P12/Q12)</f>
        <v>-1.1428571428571389E-2</v>
      </c>
      <c r="P12" s="156">
        <v>-0.39999999999999858</v>
      </c>
      <c r="Q12" s="157">
        <v>35</v>
      </c>
    </row>
    <row r="13" spans="1:17" x14ac:dyDescent="0.4">
      <c r="A13" s="73" t="s">
        <v>123</v>
      </c>
      <c r="B13" s="65">
        <v>106</v>
      </c>
      <c r="C13" s="47">
        <f>IF(B$24=0,0,B13/B$24)</f>
        <v>0.17815126050420169</v>
      </c>
      <c r="E13" s="82" t="s">
        <v>91</v>
      </c>
      <c r="F13" s="78" t="s">
        <v>44</v>
      </c>
      <c r="G13" s="65">
        <v>14</v>
      </c>
      <c r="H13" s="47">
        <f>IF(B$25=0,0,G13/B$25)</f>
        <v>8.8050314465408799E-2</v>
      </c>
      <c r="I13" s="118">
        <v>4</v>
      </c>
      <c r="K13" s="46">
        <v>11</v>
      </c>
      <c r="L13" s="124">
        <v>-3.6000000000000014</v>
      </c>
      <c r="N13" s="46" t="s">
        <v>161</v>
      </c>
      <c r="O13" s="127">
        <f>IF(Q13=0,0,P13/Q13)</f>
        <v>-0.56666666666666676</v>
      </c>
      <c r="P13" s="156">
        <v>-1.7000000000000004</v>
      </c>
      <c r="Q13" s="157">
        <v>3</v>
      </c>
    </row>
    <row r="14" spans="1:17" x14ac:dyDescent="0.4">
      <c r="A14" s="72" t="s">
        <v>130</v>
      </c>
      <c r="B14" s="64">
        <v>98</v>
      </c>
      <c r="C14" s="45">
        <f>IF(B$12=0,0,B14/B$12)</f>
        <v>0.56647398843930641</v>
      </c>
      <c r="E14" s="82" t="s">
        <v>86</v>
      </c>
      <c r="F14" s="78" t="s">
        <v>39</v>
      </c>
      <c r="G14" s="65">
        <v>7</v>
      </c>
      <c r="H14" s="47">
        <f>IF(B$25=0,0,G14/B$25)</f>
        <v>4.40251572327044E-2</v>
      </c>
      <c r="I14" s="118">
        <v>3</v>
      </c>
      <c r="K14" s="46">
        <v>12</v>
      </c>
      <c r="L14" s="124">
        <v>-12.000000000000002</v>
      </c>
      <c r="N14" s="46" t="s">
        <v>133</v>
      </c>
      <c r="O14" s="127">
        <f>IF(Q14=0,0,P14/Q14)</f>
        <v>-5.8562500000000002</v>
      </c>
      <c r="P14" s="156">
        <v>-562.20000000000005</v>
      </c>
      <c r="Q14" s="157">
        <v>96</v>
      </c>
    </row>
    <row r="15" spans="1:17" x14ac:dyDescent="0.4">
      <c r="A15" s="72" t="s">
        <v>131</v>
      </c>
      <c r="B15" s="64">
        <v>41</v>
      </c>
      <c r="C15" s="45">
        <f>IF(B$13=0,0,B15/B$13)</f>
        <v>0.3867924528301887</v>
      </c>
      <c r="E15" s="82" t="s">
        <v>96</v>
      </c>
      <c r="F15" s="78" t="s">
        <v>49</v>
      </c>
      <c r="G15" s="65">
        <v>7</v>
      </c>
      <c r="H15" s="47">
        <f>IF(B$25=0,0,G15/B$25)</f>
        <v>4.40251572327044E-2</v>
      </c>
      <c r="I15" s="118">
        <v>2</v>
      </c>
      <c r="K15" s="46">
        <v>13</v>
      </c>
      <c r="L15" s="124">
        <v>49.5</v>
      </c>
      <c r="N15" s="46" t="s">
        <v>138</v>
      </c>
      <c r="O15" s="127">
        <f>IF(Q15=0,0,P15/Q15)</f>
        <v>-7.1000000000000005</v>
      </c>
      <c r="P15" s="156">
        <v>-42.6</v>
      </c>
      <c r="Q15" s="157">
        <v>6</v>
      </c>
    </row>
    <row r="16" spans="1:17" x14ac:dyDescent="0.4">
      <c r="A16" s="72" t="s">
        <v>10</v>
      </c>
      <c r="B16" s="64">
        <f>B18+B17</f>
        <v>220</v>
      </c>
      <c r="C16" s="45">
        <f>IF(B$3=0,0,B16/B$3)</f>
        <v>0.2570093457943925</v>
      </c>
      <c r="E16" s="82" t="s">
        <v>75</v>
      </c>
      <c r="F16" s="78" t="s">
        <v>28</v>
      </c>
      <c r="G16" s="65">
        <v>4</v>
      </c>
      <c r="H16" s="47">
        <f>IF(B$25=0,0,G16/B$25)</f>
        <v>2.5157232704402517E-2</v>
      </c>
      <c r="I16" s="118">
        <v>10</v>
      </c>
      <c r="K16" s="46">
        <v>14</v>
      </c>
      <c r="L16" s="124">
        <v>33</v>
      </c>
      <c r="N16" s="46" t="s">
        <v>135</v>
      </c>
      <c r="O16" s="127">
        <f>IF(Q16=0,0,P16/Q16)</f>
        <v>-7.3111111111111109</v>
      </c>
      <c r="P16" s="156">
        <v>-263.2</v>
      </c>
      <c r="Q16" s="157">
        <v>36</v>
      </c>
    </row>
    <row r="17" spans="1:17" x14ac:dyDescent="0.4">
      <c r="A17" s="73" t="s">
        <v>12</v>
      </c>
      <c r="B17" s="65">
        <v>93</v>
      </c>
      <c r="C17" s="47">
        <f>IF(B$16=0,0,B17/B$16)</f>
        <v>0.42272727272727273</v>
      </c>
      <c r="E17" s="82" t="s">
        <v>82</v>
      </c>
      <c r="F17" s="78" t="s">
        <v>35</v>
      </c>
      <c r="G17" s="65">
        <v>3</v>
      </c>
      <c r="H17" s="47">
        <f>IF(B$25=0,0,G17/B$25)</f>
        <v>1.8867924528301886E-2</v>
      </c>
      <c r="I17" s="118">
        <v>7</v>
      </c>
      <c r="K17" s="46">
        <v>15</v>
      </c>
      <c r="L17" s="124">
        <v>38.5</v>
      </c>
      <c r="N17" s="46" t="s">
        <v>137</v>
      </c>
      <c r="O17" s="127">
        <f>IF(Q17=0,0,P17/Q17)</f>
        <v>-9.1592592592592599</v>
      </c>
      <c r="P17" s="156">
        <v>-247.3</v>
      </c>
      <c r="Q17" s="157">
        <v>27</v>
      </c>
    </row>
    <row r="18" spans="1:17" x14ac:dyDescent="0.4">
      <c r="A18" s="73" t="s">
        <v>11</v>
      </c>
      <c r="B18" s="65">
        <v>127</v>
      </c>
      <c r="C18" s="47">
        <f>IF(B$16=0,0,B18/B$16)</f>
        <v>0.57727272727272727</v>
      </c>
      <c r="E18" s="82" t="s">
        <v>83</v>
      </c>
      <c r="F18" s="78" t="s">
        <v>36</v>
      </c>
      <c r="G18" s="65">
        <v>2</v>
      </c>
      <c r="H18" s="47">
        <f>IF(B$25=0,0,G18/B$25)</f>
        <v>1.2578616352201259E-2</v>
      </c>
      <c r="I18" s="118">
        <v>5</v>
      </c>
      <c r="K18" s="46">
        <v>16</v>
      </c>
      <c r="L18" s="124">
        <v>14.600000000000001</v>
      </c>
      <c r="N18" s="46" t="s">
        <v>198</v>
      </c>
      <c r="O18" s="127">
        <f>IF(Q18=0,0,P18/Q18)</f>
        <v>-9.3333333333333339</v>
      </c>
      <c r="P18" s="156">
        <v>-28</v>
      </c>
      <c r="Q18" s="157">
        <v>3</v>
      </c>
    </row>
    <row r="19" spans="1:17" x14ac:dyDescent="0.4">
      <c r="A19" s="73" t="s">
        <v>13</v>
      </c>
      <c r="B19" s="65">
        <v>168</v>
      </c>
      <c r="C19" s="47">
        <f>IF(B$3=0,0,B19/B$3)</f>
        <v>0.19626168224299065</v>
      </c>
      <c r="E19" s="82" t="s">
        <v>90</v>
      </c>
      <c r="F19" s="78" t="s">
        <v>43</v>
      </c>
      <c r="G19" s="65">
        <v>2</v>
      </c>
      <c r="H19" s="47">
        <f>IF(B$25=0,0,G19/B$25)</f>
        <v>1.2578616352201259E-2</v>
      </c>
      <c r="I19" s="118">
        <v>2</v>
      </c>
      <c r="K19" s="46">
        <v>17</v>
      </c>
      <c r="L19" s="124">
        <v>13.900000000000002</v>
      </c>
    </row>
    <row r="20" spans="1:17" x14ac:dyDescent="0.4">
      <c r="A20" s="73" t="s">
        <v>5</v>
      </c>
      <c r="B20" s="69">
        <f>IF(B$16=0,0,C20/B$16)</f>
        <v>11140.90909090909</v>
      </c>
      <c r="C20" s="49">
        <v>2451000</v>
      </c>
      <c r="E20" s="82" t="s">
        <v>97</v>
      </c>
      <c r="F20" s="78" t="s">
        <v>50</v>
      </c>
      <c r="G20" s="65">
        <v>2</v>
      </c>
      <c r="H20" s="47">
        <f>IF(B$25=0,0,G20/B$25)</f>
        <v>1.2578616352201259E-2</v>
      </c>
      <c r="I20" s="118">
        <v>2</v>
      </c>
      <c r="K20" s="46">
        <v>18</v>
      </c>
      <c r="L20" s="124">
        <v>-21.999999999999996</v>
      </c>
    </row>
    <row r="21" spans="1:17" x14ac:dyDescent="0.4">
      <c r="A21" s="75" t="s">
        <v>14</v>
      </c>
      <c r="B21" s="70">
        <f>IF(B$19=0,0,C21/B$19)</f>
        <v>-9800</v>
      </c>
      <c r="C21" s="63">
        <v>-1646400</v>
      </c>
      <c r="E21" s="82" t="s">
        <v>85</v>
      </c>
      <c r="F21" s="78" t="s">
        <v>38</v>
      </c>
      <c r="G21" s="65">
        <v>1</v>
      </c>
      <c r="H21" s="47">
        <f>IF(B$25=0,0,G21/B$25)</f>
        <v>6.2893081761006293E-3</v>
      </c>
      <c r="I21" s="118">
        <v>1</v>
      </c>
      <c r="K21" s="46">
        <v>19</v>
      </c>
      <c r="L21" s="124">
        <v>-26.699999999999996</v>
      </c>
    </row>
    <row r="22" spans="1:17" x14ac:dyDescent="0.4">
      <c r="A22" s="72" t="s">
        <v>147</v>
      </c>
      <c r="B22" s="64">
        <v>272</v>
      </c>
      <c r="C22" s="45">
        <f>IF(B$3=0,0,B22/B$3)</f>
        <v>0.31775700934579437</v>
      </c>
      <c r="E22" s="82" t="s">
        <v>89</v>
      </c>
      <c r="F22" s="78" t="s">
        <v>42</v>
      </c>
      <c r="G22" s="65">
        <v>1</v>
      </c>
      <c r="H22" s="47">
        <f>IF(B$25=0,0,G22/B$25)</f>
        <v>6.2893081761006293E-3</v>
      </c>
      <c r="I22" s="118">
        <v>2</v>
      </c>
      <c r="K22" s="46">
        <v>20</v>
      </c>
      <c r="L22" s="124">
        <v>-57.899999999999991</v>
      </c>
    </row>
    <row r="23" spans="1:17" x14ac:dyDescent="0.4">
      <c r="A23" s="75" t="s">
        <v>148</v>
      </c>
      <c r="B23" s="67">
        <v>84</v>
      </c>
      <c r="C23" s="51">
        <f>IF(B$22=0,0,B23/B$22)</f>
        <v>0.30882352941176472</v>
      </c>
      <c r="E23" s="82" t="s">
        <v>92</v>
      </c>
      <c r="F23" s="78" t="s">
        <v>45</v>
      </c>
      <c r="G23" s="65">
        <v>1</v>
      </c>
      <c r="H23" s="47">
        <f>IF(B$25=0,0,G23/B$25)</f>
        <v>6.2893081761006293E-3</v>
      </c>
      <c r="I23" s="118">
        <v>1</v>
      </c>
      <c r="K23" s="46">
        <v>21</v>
      </c>
      <c r="L23" s="124">
        <v>-82.699999999999989</v>
      </c>
    </row>
    <row r="24" spans="1:17" x14ac:dyDescent="0.4">
      <c r="A24" s="72" t="s">
        <v>126</v>
      </c>
      <c r="B24" s="135">
        <v>595</v>
      </c>
      <c r="C24" s="136"/>
      <c r="E24" s="82" t="s">
        <v>93</v>
      </c>
      <c r="F24" s="78" t="s">
        <v>46</v>
      </c>
      <c r="G24" s="65">
        <v>1</v>
      </c>
      <c r="H24" s="47">
        <f>IF(B$25=0,0,G24/B$25)</f>
        <v>6.2893081761006293E-3</v>
      </c>
      <c r="I24" s="118">
        <v>1</v>
      </c>
      <c r="K24" s="46">
        <v>22</v>
      </c>
      <c r="L24" s="124">
        <v>-94.6</v>
      </c>
    </row>
    <row r="25" spans="1:17" x14ac:dyDescent="0.4">
      <c r="A25" s="75" t="s">
        <v>127</v>
      </c>
      <c r="B25" s="149">
        <v>159</v>
      </c>
      <c r="C25" s="150"/>
      <c r="E25" s="82" t="s">
        <v>77</v>
      </c>
      <c r="F25" s="78" t="s">
        <v>30</v>
      </c>
      <c r="G25" s="65">
        <v>0</v>
      </c>
      <c r="H25" s="47">
        <f>IF(B$25=0,0,G25/B$25)</f>
        <v>0</v>
      </c>
      <c r="I25" s="118">
        <v>5</v>
      </c>
      <c r="K25" s="46">
        <v>23</v>
      </c>
      <c r="L25" s="124">
        <v>-111.3</v>
      </c>
    </row>
    <row r="26" spans="1:17" x14ac:dyDescent="0.4">
      <c r="A26" s="113" t="s">
        <v>162</v>
      </c>
      <c r="B26" s="145">
        <v>10</v>
      </c>
      <c r="C26" s="146"/>
      <c r="E26" s="82" t="s">
        <v>78</v>
      </c>
      <c r="F26" s="78" t="s">
        <v>31</v>
      </c>
      <c r="G26" s="65">
        <v>0</v>
      </c>
      <c r="H26" s="47">
        <f>IF(B$25=0,0,G26/B$25)</f>
        <v>0</v>
      </c>
      <c r="I26" s="118">
        <v>4</v>
      </c>
      <c r="K26" s="46">
        <v>24</v>
      </c>
      <c r="L26" s="124">
        <v>-68.099999999999994</v>
      </c>
    </row>
    <row r="27" spans="1:17" x14ac:dyDescent="0.4">
      <c r="A27" s="76" t="s">
        <v>203</v>
      </c>
      <c r="B27" s="143">
        <v>96500</v>
      </c>
      <c r="C27" s="144"/>
      <c r="E27" s="82" t="s">
        <v>79</v>
      </c>
      <c r="F27" s="78" t="s">
        <v>32</v>
      </c>
      <c r="G27" s="65">
        <v>0</v>
      </c>
      <c r="H27" s="47">
        <f>IF(B$25=0,0,G27/B$25)</f>
        <v>0</v>
      </c>
      <c r="I27" s="118">
        <v>6</v>
      </c>
      <c r="K27" s="46">
        <v>25</v>
      </c>
      <c r="L27" s="124">
        <v>-70.899999999999991</v>
      </c>
    </row>
    <row r="28" spans="1:17" x14ac:dyDescent="0.4">
      <c r="A28" s="75" t="s">
        <v>163</v>
      </c>
      <c r="B28" s="84">
        <v>4</v>
      </c>
      <c r="C28" s="51">
        <f>IF(B$3=0,0,B28/B$3)</f>
        <v>4.6728971962616819E-3</v>
      </c>
      <c r="E28" s="82" t="s">
        <v>80</v>
      </c>
      <c r="F28" s="78" t="s">
        <v>33</v>
      </c>
      <c r="G28" s="65">
        <v>0</v>
      </c>
      <c r="H28" s="47">
        <f>IF(B$25=0,0,G28/B$25)</f>
        <v>0</v>
      </c>
      <c r="I28" s="118">
        <v>1</v>
      </c>
      <c r="K28" s="46">
        <v>26</v>
      </c>
      <c r="L28" s="124">
        <v>-125.89999999999999</v>
      </c>
    </row>
    <row r="29" spans="1:17" x14ac:dyDescent="0.4">
      <c r="E29" s="82" t="s">
        <v>81</v>
      </c>
      <c r="F29" s="78" t="s">
        <v>34</v>
      </c>
      <c r="G29" s="65">
        <v>0</v>
      </c>
      <c r="H29" s="47">
        <f>IF(B$25=0,0,G29/B$25)</f>
        <v>0</v>
      </c>
      <c r="I29" s="118">
        <v>6</v>
      </c>
      <c r="K29" s="46">
        <v>27</v>
      </c>
      <c r="L29" s="124">
        <v>-163.6</v>
      </c>
    </row>
    <row r="30" spans="1:17" x14ac:dyDescent="0.4">
      <c r="E30" s="82" t="s">
        <v>84</v>
      </c>
      <c r="F30" s="78" t="s">
        <v>37</v>
      </c>
      <c r="G30" s="65">
        <v>0</v>
      </c>
      <c r="H30" s="47">
        <f>IF(B$25=0,0,G30/B$25)</f>
        <v>0</v>
      </c>
      <c r="I30" s="118">
        <v>1</v>
      </c>
      <c r="K30" s="46">
        <v>28</v>
      </c>
      <c r="L30" s="124">
        <v>-169.5</v>
      </c>
    </row>
    <row r="31" spans="1:17" x14ac:dyDescent="0.4">
      <c r="E31" s="82" t="s">
        <v>87</v>
      </c>
      <c r="F31" s="78" t="s">
        <v>40</v>
      </c>
      <c r="G31" s="65">
        <v>0</v>
      </c>
      <c r="H31" s="47">
        <f>IF(B$25=0,0,G31/B$25)</f>
        <v>0</v>
      </c>
      <c r="I31" s="118">
        <v>1</v>
      </c>
      <c r="K31" s="46">
        <v>29</v>
      </c>
      <c r="L31" s="124">
        <v>-163.30000000000001</v>
      </c>
    </row>
    <row r="32" spans="1:17" x14ac:dyDescent="0.4">
      <c r="E32" s="82" t="s">
        <v>95</v>
      </c>
      <c r="F32" s="78" t="s">
        <v>48</v>
      </c>
      <c r="G32" s="65">
        <v>0</v>
      </c>
      <c r="H32" s="47">
        <f>IF(B$25=0,0,G32/B$25)</f>
        <v>0</v>
      </c>
      <c r="I32" s="118">
        <v>3</v>
      </c>
      <c r="K32" s="46">
        <v>30</v>
      </c>
      <c r="L32" s="124">
        <v>-209.4</v>
      </c>
    </row>
    <row r="33" spans="5:12" x14ac:dyDescent="0.4">
      <c r="E33" s="82" t="s">
        <v>98</v>
      </c>
      <c r="F33" s="78" t="s">
        <v>51</v>
      </c>
      <c r="G33" s="65">
        <v>0</v>
      </c>
      <c r="H33" s="47">
        <f>IF(B$25=0,0,G33/B$25)</f>
        <v>0</v>
      </c>
      <c r="I33" s="118">
        <v>4</v>
      </c>
      <c r="K33" s="46">
        <v>31</v>
      </c>
      <c r="L33" s="124">
        <v>-259.89999999999998</v>
      </c>
    </row>
    <row r="34" spans="5:12" x14ac:dyDescent="0.4">
      <c r="E34" s="82" t="s">
        <v>99</v>
      </c>
      <c r="F34" s="78" t="s">
        <v>52</v>
      </c>
      <c r="G34" s="65">
        <v>0</v>
      </c>
      <c r="H34" s="47">
        <f>IF(B$25=0,0,G34/B$25)</f>
        <v>0</v>
      </c>
      <c r="I34" s="118">
        <v>1</v>
      </c>
      <c r="K34" s="46">
        <v>32</v>
      </c>
      <c r="L34" s="124">
        <v>-253.59999999999997</v>
      </c>
    </row>
    <row r="35" spans="5:12" x14ac:dyDescent="0.4">
      <c r="E35" s="82" t="s">
        <v>100</v>
      </c>
      <c r="F35" s="78" t="s">
        <v>53</v>
      </c>
      <c r="G35" s="65">
        <v>0</v>
      </c>
      <c r="H35" s="47">
        <f>IF(B$25=0,0,G35/B$25)</f>
        <v>0</v>
      </c>
      <c r="I35" s="118">
        <v>3</v>
      </c>
      <c r="K35" s="46">
        <v>33</v>
      </c>
      <c r="L35" s="124">
        <v>-234.89999999999998</v>
      </c>
    </row>
    <row r="36" spans="5:12" x14ac:dyDescent="0.4">
      <c r="E36" s="82" t="s">
        <v>101</v>
      </c>
      <c r="F36" s="78" t="s">
        <v>54</v>
      </c>
      <c r="G36" s="65">
        <v>0</v>
      </c>
      <c r="H36" s="47">
        <f>IF(B$25=0,0,G36/B$25)</f>
        <v>0</v>
      </c>
      <c r="I36" s="118">
        <v>1</v>
      </c>
      <c r="K36" s="46">
        <v>34</v>
      </c>
      <c r="L36" s="124">
        <v>-229.79999999999998</v>
      </c>
    </row>
    <row r="37" spans="5:12" x14ac:dyDescent="0.4">
      <c r="E37" s="82" t="s">
        <v>102</v>
      </c>
      <c r="F37" s="78" t="s">
        <v>55</v>
      </c>
      <c r="G37" s="65">
        <v>0</v>
      </c>
      <c r="H37" s="47">
        <f>IF(B$25=0,0,G37/B$25)</f>
        <v>0</v>
      </c>
      <c r="I37" s="118">
        <v>1</v>
      </c>
      <c r="K37" s="46">
        <v>35</v>
      </c>
      <c r="L37" s="124">
        <v>-254.29999999999998</v>
      </c>
    </row>
    <row r="38" spans="5:12" x14ac:dyDescent="0.4">
      <c r="E38" s="82" t="s">
        <v>103</v>
      </c>
      <c r="F38" s="78" t="s">
        <v>56</v>
      </c>
      <c r="G38" s="65">
        <v>0</v>
      </c>
      <c r="H38" s="47">
        <f>IF(B$25=0,0,G38/B$25)</f>
        <v>0</v>
      </c>
      <c r="I38" s="118">
        <v>1</v>
      </c>
      <c r="K38" s="46">
        <v>36</v>
      </c>
      <c r="L38" s="124">
        <v>-204.29999999999998</v>
      </c>
    </row>
    <row r="39" spans="5:12" x14ac:dyDescent="0.4">
      <c r="E39" s="82" t="s">
        <v>104</v>
      </c>
      <c r="F39" s="78" t="s">
        <v>57</v>
      </c>
      <c r="G39" s="65">
        <v>0</v>
      </c>
      <c r="H39" s="47">
        <f>IF(B$25=0,0,G39/B$25)</f>
        <v>0</v>
      </c>
      <c r="I39" s="118">
        <v>1</v>
      </c>
      <c r="K39" s="46">
        <v>37</v>
      </c>
      <c r="L39" s="124">
        <v>-249.29999999999998</v>
      </c>
    </row>
    <row r="40" spans="5:12" x14ac:dyDescent="0.4">
      <c r="E40" s="82" t="s">
        <v>105</v>
      </c>
      <c r="F40" s="78" t="s">
        <v>58</v>
      </c>
      <c r="G40" s="65">
        <v>0</v>
      </c>
      <c r="H40" s="47">
        <f>IF(B$25=0,0,G40/B$25)</f>
        <v>0</v>
      </c>
      <c r="I40" s="118">
        <v>1</v>
      </c>
      <c r="K40" s="46">
        <v>38</v>
      </c>
      <c r="L40" s="124">
        <v>-242.49999999999997</v>
      </c>
    </row>
    <row r="41" spans="5:12" x14ac:dyDescent="0.4">
      <c r="E41" s="82" t="s">
        <v>106</v>
      </c>
      <c r="F41" s="78" t="s">
        <v>59</v>
      </c>
      <c r="G41" s="65">
        <v>0</v>
      </c>
      <c r="H41" s="47">
        <f>IF(B$25=0,0,G41/B$25)</f>
        <v>0</v>
      </c>
      <c r="I41" s="118">
        <v>1</v>
      </c>
      <c r="K41" s="46">
        <v>39</v>
      </c>
      <c r="L41" s="124">
        <v>-244.59999999999997</v>
      </c>
    </row>
    <row r="42" spans="5:12" x14ac:dyDescent="0.4">
      <c r="E42" s="82" t="s">
        <v>107</v>
      </c>
      <c r="F42" s="78" t="s">
        <v>60</v>
      </c>
      <c r="G42" s="65">
        <v>0</v>
      </c>
      <c r="H42" s="47">
        <f>IF(B$25=0,0,G42/B$25)</f>
        <v>0</v>
      </c>
      <c r="I42" s="118">
        <v>1</v>
      </c>
      <c r="K42" s="46">
        <v>40</v>
      </c>
      <c r="L42" s="124">
        <v>-279.7</v>
      </c>
    </row>
    <row r="43" spans="5:12" x14ac:dyDescent="0.4">
      <c r="E43" s="82" t="s">
        <v>108</v>
      </c>
      <c r="F43" s="78" t="s">
        <v>61</v>
      </c>
      <c r="G43" s="65">
        <v>0</v>
      </c>
      <c r="H43" s="47">
        <f>IF(B$25=0,0,G43/B$25)</f>
        <v>0</v>
      </c>
      <c r="I43" s="118">
        <v>1</v>
      </c>
      <c r="K43" s="46">
        <v>41</v>
      </c>
      <c r="L43" s="124">
        <v>-320.09999999999997</v>
      </c>
    </row>
    <row r="44" spans="5:12" x14ac:dyDescent="0.4">
      <c r="E44" s="82" t="s">
        <v>109</v>
      </c>
      <c r="F44" s="78" t="s">
        <v>62</v>
      </c>
      <c r="G44" s="65">
        <v>0</v>
      </c>
      <c r="H44" s="47">
        <f>IF(B$25=0,0,G44/B$25)</f>
        <v>0</v>
      </c>
      <c r="I44" s="118">
        <v>1</v>
      </c>
      <c r="K44" s="46">
        <v>42</v>
      </c>
      <c r="L44" s="124">
        <v>-314.29999999999995</v>
      </c>
    </row>
    <row r="45" spans="5:12" x14ac:dyDescent="0.4">
      <c r="E45" s="82" t="s">
        <v>110</v>
      </c>
      <c r="F45" s="78" t="s">
        <v>117</v>
      </c>
      <c r="G45" s="65">
        <v>0</v>
      </c>
      <c r="H45" s="47">
        <f>IF(B$25=0,0,G45/B$25)</f>
        <v>0</v>
      </c>
      <c r="I45" s="118">
        <v>1</v>
      </c>
      <c r="K45" s="46">
        <v>43</v>
      </c>
      <c r="L45" s="124">
        <v>-284.79999999999995</v>
      </c>
    </row>
    <row r="46" spans="5:12" x14ac:dyDescent="0.4">
      <c r="E46" s="82" t="s">
        <v>111</v>
      </c>
      <c r="F46" s="78" t="s">
        <v>118</v>
      </c>
      <c r="G46" s="65">
        <v>0</v>
      </c>
      <c r="H46" s="47">
        <f>IF(B$25=0,0,G46/B$25)</f>
        <v>0</v>
      </c>
      <c r="I46" s="118">
        <v>3</v>
      </c>
      <c r="K46" s="46">
        <v>44</v>
      </c>
      <c r="L46" s="124">
        <v>-239.89999999999995</v>
      </c>
    </row>
    <row r="47" spans="5:12" x14ac:dyDescent="0.4">
      <c r="E47" s="82" t="s">
        <v>112</v>
      </c>
      <c r="F47" s="78" t="s">
        <v>119</v>
      </c>
      <c r="G47" s="65">
        <v>0</v>
      </c>
      <c r="H47" s="47">
        <f>IF(B$25=0,0,G47/B$25)</f>
        <v>0</v>
      </c>
      <c r="I47" s="118">
        <v>1</v>
      </c>
      <c r="K47" s="46">
        <v>45</v>
      </c>
      <c r="L47" s="124">
        <v>-256.29999999999995</v>
      </c>
    </row>
    <row r="48" spans="5:12" x14ac:dyDescent="0.4">
      <c r="E48" s="82" t="s">
        <v>113</v>
      </c>
      <c r="F48" s="78" t="s">
        <v>63</v>
      </c>
      <c r="G48" s="65">
        <v>0</v>
      </c>
      <c r="H48" s="47">
        <f>IF(B$25=0,0,G48/B$25)</f>
        <v>0</v>
      </c>
      <c r="I48" s="118">
        <v>1</v>
      </c>
      <c r="K48" s="46">
        <v>46</v>
      </c>
      <c r="L48" s="124">
        <v>-280.59999999999997</v>
      </c>
    </row>
    <row r="49" spans="5:12" x14ac:dyDescent="0.4">
      <c r="E49" s="82" t="s">
        <v>114</v>
      </c>
      <c r="F49" s="78" t="s">
        <v>64</v>
      </c>
      <c r="G49" s="65">
        <v>0</v>
      </c>
      <c r="H49" s="47">
        <f>IF(B$25=0,0,G49/B$25)</f>
        <v>0</v>
      </c>
      <c r="I49" s="118">
        <v>1</v>
      </c>
      <c r="K49" s="46">
        <v>47</v>
      </c>
      <c r="L49" s="124">
        <v>-264.59999999999997</v>
      </c>
    </row>
    <row r="50" spans="5:12" x14ac:dyDescent="0.4">
      <c r="E50" s="82" t="s">
        <v>115</v>
      </c>
      <c r="F50" s="78" t="s">
        <v>65</v>
      </c>
      <c r="G50" s="65">
        <v>0</v>
      </c>
      <c r="H50" s="47">
        <f>IF(B$25=0,0,G50/B$25)</f>
        <v>0</v>
      </c>
      <c r="I50" s="118">
        <v>1</v>
      </c>
      <c r="K50" s="46">
        <v>48</v>
      </c>
      <c r="L50" s="124">
        <v>-288.79999999999995</v>
      </c>
    </row>
    <row r="51" spans="5:12" x14ac:dyDescent="0.4">
      <c r="E51" s="83" t="s">
        <v>116</v>
      </c>
      <c r="F51" s="79" t="s">
        <v>66</v>
      </c>
      <c r="G51" s="67">
        <v>0</v>
      </c>
      <c r="H51" s="51">
        <f>IF(B$25=0,0,G51/B$25)</f>
        <v>0</v>
      </c>
      <c r="I51" s="119">
        <v>1</v>
      </c>
      <c r="K51" s="46">
        <v>49</v>
      </c>
      <c r="L51" s="124">
        <v>-282.99999999999994</v>
      </c>
    </row>
    <row r="52" spans="5:12" x14ac:dyDescent="0.4">
      <c r="K52" s="46">
        <v>50</v>
      </c>
      <c r="L52" s="124">
        <v>-287.09999999999997</v>
      </c>
    </row>
    <row r="53" spans="5:12" x14ac:dyDescent="0.4">
      <c r="K53" s="46">
        <v>51</v>
      </c>
      <c r="L53" s="124">
        <v>-269.59999999999997</v>
      </c>
    </row>
    <row r="54" spans="5:12" x14ac:dyDescent="0.4">
      <c r="K54" s="46">
        <v>52</v>
      </c>
      <c r="L54" s="124">
        <v>-308.09999999999997</v>
      </c>
    </row>
    <row r="55" spans="5:12" x14ac:dyDescent="0.4">
      <c r="K55" s="46">
        <v>53</v>
      </c>
      <c r="L55" s="124">
        <v>-336.49999999999994</v>
      </c>
    </row>
    <row r="56" spans="5:12" x14ac:dyDescent="0.4">
      <c r="K56" s="46">
        <v>54</v>
      </c>
      <c r="L56" s="124">
        <v>-378.89999999999992</v>
      </c>
    </row>
    <row r="57" spans="5:12" x14ac:dyDescent="0.4">
      <c r="K57" s="46">
        <v>55</v>
      </c>
      <c r="L57" s="124">
        <v>-364.2999999999999</v>
      </c>
    </row>
    <row r="58" spans="5:12" x14ac:dyDescent="0.4">
      <c r="K58" s="46">
        <v>56</v>
      </c>
      <c r="L58" s="124">
        <v>-316.2999999999999</v>
      </c>
    </row>
    <row r="59" spans="5:12" x14ac:dyDescent="0.4">
      <c r="K59" s="46">
        <v>57</v>
      </c>
      <c r="L59" s="124">
        <v>-312.49999999999989</v>
      </c>
    </row>
    <row r="60" spans="5:12" x14ac:dyDescent="0.4">
      <c r="K60" s="46">
        <v>58</v>
      </c>
      <c r="L60" s="124">
        <v>-254.59999999999988</v>
      </c>
    </row>
    <row r="61" spans="5:12" x14ac:dyDescent="0.4">
      <c r="K61" s="46">
        <v>59</v>
      </c>
      <c r="L61" s="124">
        <v>-205.09999999999988</v>
      </c>
    </row>
    <row r="62" spans="5:12" x14ac:dyDescent="0.4">
      <c r="K62" s="46">
        <v>60</v>
      </c>
      <c r="L62" s="124">
        <v>-214.59999999999988</v>
      </c>
    </row>
    <row r="63" spans="5:12" x14ac:dyDescent="0.4">
      <c r="K63" s="46">
        <v>61</v>
      </c>
      <c r="L63" s="124">
        <v>-211.89999999999989</v>
      </c>
    </row>
    <row r="64" spans="5:12" x14ac:dyDescent="0.4">
      <c r="K64" s="46">
        <v>62</v>
      </c>
      <c r="L64" s="124">
        <v>-250.89999999999989</v>
      </c>
    </row>
    <row r="65" spans="11:12" x14ac:dyDescent="0.4">
      <c r="K65" s="46">
        <v>63</v>
      </c>
      <c r="L65" s="124">
        <v>-290.99999999999989</v>
      </c>
    </row>
    <row r="66" spans="11:12" x14ac:dyDescent="0.4">
      <c r="K66" s="46">
        <v>64</v>
      </c>
      <c r="L66" s="124">
        <v>-356.99999999999989</v>
      </c>
    </row>
    <row r="67" spans="11:12" x14ac:dyDescent="0.4">
      <c r="K67" s="46">
        <v>65</v>
      </c>
      <c r="L67" s="124">
        <v>-381.09999999999991</v>
      </c>
    </row>
    <row r="68" spans="11:12" x14ac:dyDescent="0.4">
      <c r="K68" s="46">
        <v>66</v>
      </c>
      <c r="L68" s="124">
        <v>-378.49999999999989</v>
      </c>
    </row>
    <row r="69" spans="11:12" x14ac:dyDescent="0.4">
      <c r="K69" s="46">
        <v>67</v>
      </c>
      <c r="L69" s="124">
        <v>-371.19999999999987</v>
      </c>
    </row>
    <row r="70" spans="11:12" x14ac:dyDescent="0.4">
      <c r="K70" s="46">
        <v>68</v>
      </c>
      <c r="L70" s="124">
        <v>-407.2999999999999</v>
      </c>
    </row>
    <row r="71" spans="11:12" x14ac:dyDescent="0.4">
      <c r="K71" s="46">
        <v>69</v>
      </c>
      <c r="L71" s="124">
        <v>-412.49999999999989</v>
      </c>
    </row>
    <row r="72" spans="11:12" x14ac:dyDescent="0.4">
      <c r="K72" s="46">
        <v>70</v>
      </c>
      <c r="L72" s="124">
        <v>-379.49999999999989</v>
      </c>
    </row>
    <row r="73" spans="11:12" x14ac:dyDescent="0.4">
      <c r="K73" s="46">
        <v>71</v>
      </c>
      <c r="L73" s="124">
        <v>-374.2999999999999</v>
      </c>
    </row>
    <row r="74" spans="11:12" x14ac:dyDescent="0.4">
      <c r="K74" s="46">
        <v>72</v>
      </c>
      <c r="L74" s="124">
        <v>-409.7999999999999</v>
      </c>
    </row>
    <row r="75" spans="11:12" x14ac:dyDescent="0.4">
      <c r="K75" s="46">
        <v>73</v>
      </c>
      <c r="L75" s="124">
        <v>-393.59999999999991</v>
      </c>
    </row>
    <row r="76" spans="11:12" x14ac:dyDescent="0.4">
      <c r="K76" s="46">
        <v>74</v>
      </c>
      <c r="L76" s="124">
        <v>-399.49999999999989</v>
      </c>
    </row>
    <row r="77" spans="11:12" x14ac:dyDescent="0.4">
      <c r="K77" s="46">
        <v>75</v>
      </c>
      <c r="L77" s="124">
        <v>-419.69999999999987</v>
      </c>
    </row>
    <row r="78" spans="11:12" x14ac:dyDescent="0.4">
      <c r="K78" s="46">
        <v>76</v>
      </c>
      <c r="L78" s="124">
        <v>-369.69999999999987</v>
      </c>
    </row>
    <row r="79" spans="11:12" x14ac:dyDescent="0.4">
      <c r="K79" s="46">
        <v>77</v>
      </c>
      <c r="L79" s="124">
        <v>-381.7999999999999</v>
      </c>
    </row>
    <row r="80" spans="11:12" x14ac:dyDescent="0.4">
      <c r="K80" s="46">
        <v>78</v>
      </c>
      <c r="L80" s="124">
        <v>-365.99999999999989</v>
      </c>
    </row>
    <row r="81" spans="11:12" x14ac:dyDescent="0.4">
      <c r="K81" s="46">
        <v>79</v>
      </c>
      <c r="L81" s="124">
        <v>-383.99999999999989</v>
      </c>
    </row>
    <row r="82" spans="11:12" x14ac:dyDescent="0.4">
      <c r="K82" s="46">
        <v>80</v>
      </c>
      <c r="L82" s="124">
        <v>-390.7999999999999</v>
      </c>
    </row>
    <row r="83" spans="11:12" x14ac:dyDescent="0.4">
      <c r="K83" s="46">
        <v>81</v>
      </c>
      <c r="L83" s="124">
        <v>-378.99999999999989</v>
      </c>
    </row>
    <row r="84" spans="11:12" x14ac:dyDescent="0.4">
      <c r="K84" s="46">
        <v>82</v>
      </c>
      <c r="L84" s="124">
        <v>-398.59999999999991</v>
      </c>
    </row>
    <row r="85" spans="11:12" x14ac:dyDescent="0.4">
      <c r="K85" s="46">
        <v>83</v>
      </c>
      <c r="L85" s="124">
        <v>-397.39999999999992</v>
      </c>
    </row>
    <row r="86" spans="11:12" x14ac:dyDescent="0.4">
      <c r="K86" s="46">
        <v>84</v>
      </c>
      <c r="L86" s="124">
        <v>-371.89999999999992</v>
      </c>
    </row>
    <row r="87" spans="11:12" x14ac:dyDescent="0.4">
      <c r="K87" s="46">
        <v>85</v>
      </c>
      <c r="L87" s="124">
        <v>-409.89999999999992</v>
      </c>
    </row>
    <row r="88" spans="11:12" x14ac:dyDescent="0.4">
      <c r="K88" s="46">
        <v>86</v>
      </c>
      <c r="L88" s="124">
        <v>-386.39999999999992</v>
      </c>
    </row>
    <row r="89" spans="11:12" x14ac:dyDescent="0.4">
      <c r="K89" s="46">
        <v>87</v>
      </c>
      <c r="L89" s="124">
        <v>-360.69999999999993</v>
      </c>
    </row>
    <row r="90" spans="11:12" x14ac:dyDescent="0.4">
      <c r="K90" s="46">
        <v>88</v>
      </c>
      <c r="L90" s="124">
        <v>-377.49999999999994</v>
      </c>
    </row>
    <row r="91" spans="11:12" x14ac:dyDescent="0.4">
      <c r="K91" s="46">
        <v>89</v>
      </c>
      <c r="L91" s="124">
        <v>-410.29999999999995</v>
      </c>
    </row>
    <row r="92" spans="11:12" x14ac:dyDescent="0.4">
      <c r="K92" s="46">
        <v>90</v>
      </c>
      <c r="L92" s="124">
        <v>-405.79999999999995</v>
      </c>
    </row>
    <row r="93" spans="11:12" x14ac:dyDescent="0.4">
      <c r="K93" s="46">
        <v>91</v>
      </c>
      <c r="L93" s="124">
        <v>-395.29999999999995</v>
      </c>
    </row>
    <row r="94" spans="11:12" x14ac:dyDescent="0.4">
      <c r="K94" s="46">
        <v>92</v>
      </c>
      <c r="L94" s="124">
        <v>-365.49999999999994</v>
      </c>
    </row>
    <row r="95" spans="11:12" x14ac:dyDescent="0.4">
      <c r="K95" s="46">
        <v>93</v>
      </c>
      <c r="L95" s="124">
        <v>-401.99999999999994</v>
      </c>
    </row>
    <row r="96" spans="11:12" x14ac:dyDescent="0.4">
      <c r="K96" s="46">
        <v>94</v>
      </c>
      <c r="L96" s="124">
        <v>-372.59999999999997</v>
      </c>
    </row>
    <row r="97" spans="11:12" x14ac:dyDescent="0.4">
      <c r="K97" s="46">
        <v>95</v>
      </c>
      <c r="L97" s="124">
        <v>-399.4</v>
      </c>
    </row>
    <row r="98" spans="11:12" x14ac:dyDescent="0.4">
      <c r="K98" s="46">
        <v>96</v>
      </c>
      <c r="L98" s="124">
        <v>-381</v>
      </c>
    </row>
    <row r="99" spans="11:12" x14ac:dyDescent="0.4">
      <c r="K99" s="46">
        <v>97</v>
      </c>
      <c r="L99" s="124">
        <v>-393.5</v>
      </c>
    </row>
    <row r="100" spans="11:12" x14ac:dyDescent="0.4">
      <c r="K100" s="46">
        <v>98</v>
      </c>
      <c r="L100" s="124">
        <v>-333</v>
      </c>
    </row>
    <row r="101" spans="11:12" x14ac:dyDescent="0.4">
      <c r="K101" s="46">
        <v>99</v>
      </c>
      <c r="L101" s="124">
        <v>-362.5</v>
      </c>
    </row>
    <row r="102" spans="11:12" x14ac:dyDescent="0.4">
      <c r="K102" s="46">
        <v>100</v>
      </c>
      <c r="L102" s="124">
        <v>-376.4</v>
      </c>
    </row>
    <row r="103" spans="11:12" x14ac:dyDescent="0.4">
      <c r="K103" s="46">
        <v>101</v>
      </c>
      <c r="L103" s="124">
        <v>-374.7</v>
      </c>
    </row>
    <row r="104" spans="11:12" x14ac:dyDescent="0.4">
      <c r="K104" s="46">
        <v>102</v>
      </c>
      <c r="L104" s="124">
        <v>-401.4</v>
      </c>
    </row>
    <row r="105" spans="11:12" x14ac:dyDescent="0.4">
      <c r="K105" s="46">
        <v>103</v>
      </c>
      <c r="L105" s="124">
        <v>-426.9</v>
      </c>
    </row>
    <row r="106" spans="11:12" x14ac:dyDescent="0.4">
      <c r="K106" s="46">
        <v>104</v>
      </c>
      <c r="L106" s="124">
        <v>-436.4</v>
      </c>
    </row>
    <row r="107" spans="11:12" x14ac:dyDescent="0.4">
      <c r="K107" s="46">
        <v>105</v>
      </c>
      <c r="L107" s="124">
        <v>-425.59999999999997</v>
      </c>
    </row>
    <row r="108" spans="11:12" x14ac:dyDescent="0.4">
      <c r="K108" s="46">
        <v>106</v>
      </c>
      <c r="L108" s="124">
        <v>-438.49999999999994</v>
      </c>
    </row>
    <row r="109" spans="11:12" x14ac:dyDescent="0.4">
      <c r="K109" s="46">
        <v>107</v>
      </c>
      <c r="L109" s="124">
        <v>-433.59999999999997</v>
      </c>
    </row>
    <row r="110" spans="11:12" x14ac:dyDescent="0.4">
      <c r="K110" s="46">
        <v>108</v>
      </c>
      <c r="L110" s="124">
        <v>-426.99999999999994</v>
      </c>
    </row>
    <row r="111" spans="11:12" x14ac:dyDescent="0.4">
      <c r="K111" s="46">
        <v>109</v>
      </c>
      <c r="L111" s="124">
        <v>-462.89999999999992</v>
      </c>
    </row>
    <row r="112" spans="11:12" x14ac:dyDescent="0.4">
      <c r="K112" s="46">
        <v>110</v>
      </c>
      <c r="L112" s="124">
        <v>-486.2999999999999</v>
      </c>
    </row>
    <row r="113" spans="11:12" x14ac:dyDescent="0.4">
      <c r="K113" s="46">
        <v>111</v>
      </c>
      <c r="L113" s="124">
        <v>-468.39999999999992</v>
      </c>
    </row>
  </sheetData>
  <sortState ref="N10:Q18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16DDE-9ED8-4660-9DF2-614AAE16BBCB}">
  <sheetPr codeName="Sheet15"/>
  <dimension ref="A1:Q5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4" customWidth="1"/>
    <col min="13" max="13" width="3.5" style="41" customWidth="1"/>
    <col min="14" max="14" width="9" style="46" customWidth="1"/>
    <col min="15" max="15" width="9" style="127" customWidth="1"/>
    <col min="16" max="16" width="3.5" style="156" customWidth="1"/>
    <col min="17" max="17" width="3.5" style="157" customWidth="1"/>
    <col min="18" max="16384" width="9" style="41"/>
  </cols>
  <sheetData>
    <row r="1" spans="1:17" x14ac:dyDescent="0.4">
      <c r="A1" s="71" t="s">
        <v>0</v>
      </c>
      <c r="B1" s="133" t="s">
        <v>135</v>
      </c>
      <c r="C1" s="134"/>
      <c r="E1" s="80" t="s">
        <v>160</v>
      </c>
      <c r="F1" s="129" t="s">
        <v>120</v>
      </c>
      <c r="G1" s="128" t="s">
        <v>121</v>
      </c>
      <c r="H1" s="129" t="s">
        <v>122</v>
      </c>
      <c r="I1" s="129" t="s">
        <v>231</v>
      </c>
      <c r="K1" s="42" t="s">
        <v>20</v>
      </c>
      <c r="L1" s="43" t="s">
        <v>125</v>
      </c>
      <c r="N1" s="42" t="s">
        <v>156</v>
      </c>
      <c r="O1" s="129" t="s">
        <v>157</v>
      </c>
      <c r="P1" s="59" t="s">
        <v>238</v>
      </c>
      <c r="Q1" s="55" t="s">
        <v>121</v>
      </c>
    </row>
    <row r="2" spans="1:17" x14ac:dyDescent="0.4">
      <c r="A2" s="72" t="s">
        <v>9</v>
      </c>
      <c r="B2" s="135">
        <v>57</v>
      </c>
      <c r="C2" s="136"/>
      <c r="E2" s="81" t="s">
        <v>69</v>
      </c>
      <c r="F2" s="77" t="s">
        <v>23</v>
      </c>
      <c r="G2" s="64">
        <v>52</v>
      </c>
      <c r="H2" s="45">
        <f>IF(B$25=0,0,G2/B$25)</f>
        <v>0.91228070175438591</v>
      </c>
      <c r="I2" s="117">
        <v>1</v>
      </c>
      <c r="K2" s="44">
        <v>0</v>
      </c>
      <c r="L2" s="123">
        <v>0</v>
      </c>
      <c r="N2" s="44" t="s">
        <v>150</v>
      </c>
      <c r="O2" s="130">
        <f t="shared" ref="O2:O7" si="0">IF(Q2=0,0,P2/Q2)</f>
        <v>-577.19298245614038</v>
      </c>
      <c r="P2" s="60">
        <v>-32900</v>
      </c>
      <c r="Q2" s="58">
        <v>57</v>
      </c>
    </row>
    <row r="3" spans="1:17" x14ac:dyDescent="0.4">
      <c r="A3" s="73" t="s">
        <v>8</v>
      </c>
      <c r="B3" s="137">
        <v>410</v>
      </c>
      <c r="C3" s="138"/>
      <c r="E3" s="82" t="s">
        <v>71</v>
      </c>
      <c r="F3" s="78" t="s">
        <v>25</v>
      </c>
      <c r="G3" s="65">
        <v>51</v>
      </c>
      <c r="H3" s="47">
        <f>IF(B$25=0,0,G3/B$25)</f>
        <v>0.89473684210526316</v>
      </c>
      <c r="I3" s="118">
        <v>5</v>
      </c>
      <c r="K3" s="46">
        <v>1</v>
      </c>
      <c r="L3" s="124">
        <v>-39.9</v>
      </c>
      <c r="N3" s="46" t="s">
        <v>151</v>
      </c>
      <c r="O3" s="131">
        <f t="shared" si="0"/>
        <v>2777.7777777777778</v>
      </c>
      <c r="P3" s="61">
        <v>150000</v>
      </c>
      <c r="Q3" s="56">
        <v>54</v>
      </c>
    </row>
    <row r="4" spans="1:17" x14ac:dyDescent="0.4">
      <c r="A4" s="73" t="s">
        <v>6</v>
      </c>
      <c r="B4" s="139">
        <v>257.3</v>
      </c>
      <c r="C4" s="140"/>
      <c r="E4" s="82" t="s">
        <v>76</v>
      </c>
      <c r="F4" s="78" t="s">
        <v>29</v>
      </c>
      <c r="G4" s="65">
        <v>36</v>
      </c>
      <c r="H4" s="47">
        <f>IF(B$25=0,0,G4/B$25)</f>
        <v>0.63157894736842102</v>
      </c>
      <c r="I4" s="118">
        <v>4</v>
      </c>
      <c r="K4" s="46">
        <v>2</v>
      </c>
      <c r="L4" s="124">
        <v>-13.2</v>
      </c>
      <c r="N4" s="46" t="s">
        <v>152</v>
      </c>
      <c r="O4" s="131">
        <f t="shared" si="0"/>
        <v>-1976.9230769230769</v>
      </c>
      <c r="P4" s="61">
        <v>-102800</v>
      </c>
      <c r="Q4" s="56">
        <v>52</v>
      </c>
    </row>
    <row r="5" spans="1:17" x14ac:dyDescent="0.4">
      <c r="A5" s="73" t="s">
        <v>7</v>
      </c>
      <c r="B5" s="141">
        <f>IF(B$2=0,0,B$4/B$2)</f>
        <v>4.5140350877192983</v>
      </c>
      <c r="C5" s="142"/>
      <c r="E5" s="82" t="s">
        <v>67</v>
      </c>
      <c r="F5" s="78" t="s">
        <v>21</v>
      </c>
      <c r="G5" s="65">
        <v>24</v>
      </c>
      <c r="H5" s="47">
        <f>IF(B$25=0,0,G5/B$25)</f>
        <v>0.42105263157894735</v>
      </c>
      <c r="I5" s="118">
        <v>11</v>
      </c>
      <c r="K5" s="46">
        <v>3</v>
      </c>
      <c r="L5" s="124">
        <v>-57.7</v>
      </c>
      <c r="N5" s="46" t="s">
        <v>153</v>
      </c>
      <c r="O5" s="131">
        <f t="shared" si="0"/>
        <v>-190.69767441860466</v>
      </c>
      <c r="P5" s="61">
        <v>-8200</v>
      </c>
      <c r="Q5" s="56">
        <v>43</v>
      </c>
    </row>
    <row r="6" spans="1:17" x14ac:dyDescent="0.4">
      <c r="A6" s="73" t="s">
        <v>1</v>
      </c>
      <c r="B6" s="147">
        <f>IF(B$2=0,0,(B$7*1+B$8*2+B$9*3)/B$2)</f>
        <v>1.8771929824561404</v>
      </c>
      <c r="C6" s="148"/>
      <c r="E6" s="82" t="s">
        <v>72</v>
      </c>
      <c r="F6" s="78" t="s">
        <v>12</v>
      </c>
      <c r="G6" s="65">
        <v>18</v>
      </c>
      <c r="H6" s="47">
        <f>IF(B$25=0,0,G6/B$25)</f>
        <v>0.31578947368421051</v>
      </c>
      <c r="I6" s="118">
        <v>6</v>
      </c>
      <c r="K6" s="46">
        <v>4</v>
      </c>
      <c r="L6" s="124">
        <v>-53.7</v>
      </c>
      <c r="N6" s="46" t="s">
        <v>154</v>
      </c>
      <c r="O6" s="131">
        <f t="shared" si="0"/>
        <v>7697.2972972972975</v>
      </c>
      <c r="P6" s="61">
        <v>284800</v>
      </c>
      <c r="Q6" s="56">
        <v>37</v>
      </c>
    </row>
    <row r="7" spans="1:17" x14ac:dyDescent="0.4">
      <c r="A7" s="73" t="s">
        <v>2</v>
      </c>
      <c r="B7" s="65">
        <v>20</v>
      </c>
      <c r="C7" s="47">
        <f>IF(B$2=0,0,B7/B$2)</f>
        <v>0.35087719298245612</v>
      </c>
      <c r="E7" s="82" t="s">
        <v>70</v>
      </c>
      <c r="F7" s="78" t="s">
        <v>24</v>
      </c>
      <c r="G7" s="65">
        <v>17</v>
      </c>
      <c r="H7" s="47">
        <f>IF(B$25=0,0,G7/B$25)</f>
        <v>0.2982456140350877</v>
      </c>
      <c r="I7" s="118">
        <v>8</v>
      </c>
      <c r="K7" s="46">
        <v>5</v>
      </c>
      <c r="L7" s="124">
        <v>-45.7</v>
      </c>
      <c r="N7" s="50" t="s">
        <v>155</v>
      </c>
      <c r="O7" s="132">
        <f t="shared" si="0"/>
        <v>-1200</v>
      </c>
      <c r="P7" s="62">
        <v>-31200</v>
      </c>
      <c r="Q7" s="57">
        <v>26</v>
      </c>
    </row>
    <row r="8" spans="1:17" x14ac:dyDescent="0.4">
      <c r="A8" s="73" t="s">
        <v>3</v>
      </c>
      <c r="B8" s="65">
        <v>24</v>
      </c>
      <c r="C8" s="47">
        <f t="shared" ref="C8:C9" si="1">IF(B$2=0,0,B8/B$2)</f>
        <v>0.42105263157894735</v>
      </c>
      <c r="E8" s="82" t="s">
        <v>73</v>
      </c>
      <c r="F8" s="78" t="s">
        <v>26</v>
      </c>
      <c r="G8" s="65">
        <v>6</v>
      </c>
      <c r="H8" s="47">
        <f>IF(B$25=0,0,G8/B$25)</f>
        <v>0.10526315789473684</v>
      </c>
      <c r="I8" s="118">
        <v>10</v>
      </c>
      <c r="K8" s="46">
        <v>6</v>
      </c>
      <c r="L8" s="124">
        <v>-50.6</v>
      </c>
      <c r="N8" s="41"/>
      <c r="O8" s="41"/>
      <c r="P8" s="41"/>
      <c r="Q8" s="41"/>
    </row>
    <row r="9" spans="1:17" x14ac:dyDescent="0.4">
      <c r="A9" s="74" t="s">
        <v>4</v>
      </c>
      <c r="B9" s="66">
        <v>13</v>
      </c>
      <c r="C9" s="48">
        <f t="shared" si="1"/>
        <v>0.22807017543859648</v>
      </c>
      <c r="E9" s="82" t="s">
        <v>88</v>
      </c>
      <c r="F9" s="78" t="s">
        <v>41</v>
      </c>
      <c r="G9" s="65">
        <v>6</v>
      </c>
      <c r="H9" s="47">
        <f>IF(B$25=0,0,G9/B$25)</f>
        <v>0.10526315789473684</v>
      </c>
      <c r="I9" s="118">
        <v>2</v>
      </c>
      <c r="K9" s="46">
        <v>7</v>
      </c>
      <c r="L9" s="124">
        <v>-47.6</v>
      </c>
      <c r="N9" s="42" t="s">
        <v>235</v>
      </c>
      <c r="O9" s="129" t="s">
        <v>125</v>
      </c>
      <c r="P9" s="153" t="s">
        <v>238</v>
      </c>
      <c r="Q9" s="125" t="s">
        <v>121</v>
      </c>
    </row>
    <row r="10" spans="1:17" x14ac:dyDescent="0.4">
      <c r="A10" s="74" t="s">
        <v>19</v>
      </c>
      <c r="B10" s="66">
        <v>7</v>
      </c>
      <c r="C10" s="48">
        <f>IF(B$2=0,0,B10/B$2)</f>
        <v>0.12280701754385964</v>
      </c>
      <c r="E10" s="82" t="s">
        <v>68</v>
      </c>
      <c r="F10" s="78" t="s">
        <v>22</v>
      </c>
      <c r="G10" s="65">
        <v>4</v>
      </c>
      <c r="H10" s="47">
        <f>IF(B$25=0,0,G10/B$25)</f>
        <v>7.0175438596491224E-2</v>
      </c>
      <c r="I10" s="118">
        <v>11</v>
      </c>
      <c r="K10" s="46">
        <v>8</v>
      </c>
      <c r="L10" s="124">
        <v>-59.1</v>
      </c>
      <c r="N10" s="44" t="s">
        <v>137</v>
      </c>
      <c r="O10" s="126">
        <f>IF(Q10=0,0,P10/Q10)</f>
        <v>13.900000000000002</v>
      </c>
      <c r="P10" s="154">
        <v>97.300000000000011</v>
      </c>
      <c r="Q10" s="155">
        <v>7</v>
      </c>
    </row>
    <row r="11" spans="1:17" x14ac:dyDescent="0.4">
      <c r="A11" s="75" t="s">
        <v>158</v>
      </c>
      <c r="B11" s="67">
        <v>10</v>
      </c>
      <c r="C11" s="51">
        <f>IF(B$2=0,0,B11/B$2)</f>
        <v>0.17543859649122806</v>
      </c>
      <c r="E11" s="82" t="s">
        <v>74</v>
      </c>
      <c r="F11" s="78" t="s">
        <v>27</v>
      </c>
      <c r="G11" s="65">
        <v>4</v>
      </c>
      <c r="H11" s="47">
        <f>IF(B$25=0,0,G11/B$25)</f>
        <v>7.0175438596491224E-2</v>
      </c>
      <c r="I11" s="118">
        <v>8</v>
      </c>
      <c r="K11" s="46">
        <v>9</v>
      </c>
      <c r="L11" s="124">
        <v>-77.900000000000006</v>
      </c>
      <c r="N11" s="46" t="s">
        <v>136</v>
      </c>
      <c r="O11" s="127">
        <f>IF(Q11=0,0,P11/Q11)</f>
        <v>11.999999999999998</v>
      </c>
      <c r="P11" s="156">
        <v>23.999999999999996</v>
      </c>
      <c r="Q11" s="157">
        <v>2</v>
      </c>
    </row>
    <row r="12" spans="1:17" x14ac:dyDescent="0.4">
      <c r="A12" s="76" t="s">
        <v>128</v>
      </c>
      <c r="B12" s="68">
        <v>39</v>
      </c>
      <c r="C12" s="54">
        <f>IF(B$24=0,0,B12/B$24)</f>
        <v>0.22674418604651161</v>
      </c>
      <c r="E12" s="82" t="s">
        <v>86</v>
      </c>
      <c r="F12" s="78" t="s">
        <v>39</v>
      </c>
      <c r="G12" s="65">
        <v>4</v>
      </c>
      <c r="H12" s="47">
        <f>IF(B$25=0,0,G12/B$25)</f>
        <v>7.0175438596491224E-2</v>
      </c>
      <c r="I12" s="118">
        <v>1</v>
      </c>
      <c r="K12" s="46">
        <v>10</v>
      </c>
      <c r="L12" s="124">
        <v>-78.900000000000006</v>
      </c>
      <c r="N12" s="46" t="s">
        <v>198</v>
      </c>
      <c r="O12" s="127">
        <f>IF(Q12=0,0,P12/Q12)</f>
        <v>9.6</v>
      </c>
      <c r="P12" s="156">
        <v>19.2</v>
      </c>
      <c r="Q12" s="157">
        <v>2</v>
      </c>
    </row>
    <row r="13" spans="1:17" x14ac:dyDescent="0.4">
      <c r="A13" s="73" t="s">
        <v>123</v>
      </c>
      <c r="B13" s="65">
        <v>55</v>
      </c>
      <c r="C13" s="47">
        <f>IF(B$24=0,0,B13/B$24)</f>
        <v>0.31976744186046513</v>
      </c>
      <c r="E13" s="82" t="s">
        <v>94</v>
      </c>
      <c r="F13" s="78" t="s">
        <v>47</v>
      </c>
      <c r="G13" s="65">
        <v>4</v>
      </c>
      <c r="H13" s="47">
        <f>IF(B$25=0,0,G13/B$25)</f>
        <v>7.0175438596491224E-2</v>
      </c>
      <c r="I13" s="118">
        <v>9</v>
      </c>
      <c r="K13" s="46">
        <v>11</v>
      </c>
      <c r="L13" s="124">
        <v>-88.9</v>
      </c>
      <c r="N13" s="46" t="s">
        <v>134</v>
      </c>
      <c r="O13" s="127">
        <f>IF(Q13=0,0,P13/Q13)</f>
        <v>8.2055555555555557</v>
      </c>
      <c r="P13" s="156">
        <v>295.39999999999998</v>
      </c>
      <c r="Q13" s="157">
        <v>36</v>
      </c>
    </row>
    <row r="14" spans="1:17" x14ac:dyDescent="0.4">
      <c r="A14" s="72" t="s">
        <v>130</v>
      </c>
      <c r="B14" s="64">
        <v>24</v>
      </c>
      <c r="C14" s="45">
        <f>IF(B$12=0,0,B14/B$12)</f>
        <v>0.61538461538461542</v>
      </c>
      <c r="E14" s="82" t="s">
        <v>91</v>
      </c>
      <c r="F14" s="78" t="s">
        <v>44</v>
      </c>
      <c r="G14" s="65">
        <v>3</v>
      </c>
      <c r="H14" s="47">
        <f>IF(B$25=0,0,G14/B$25)</f>
        <v>5.2631578947368418E-2</v>
      </c>
      <c r="I14" s="118">
        <v>9</v>
      </c>
      <c r="K14" s="46">
        <v>12</v>
      </c>
      <c r="L14" s="124">
        <v>-23.5</v>
      </c>
      <c r="N14" s="46" t="s">
        <v>133</v>
      </c>
      <c r="O14" s="127">
        <f>IF(Q14=0,0,P14/Q14)</f>
        <v>5.1360000000000001</v>
      </c>
      <c r="P14" s="156">
        <v>256.8</v>
      </c>
      <c r="Q14" s="157">
        <v>50</v>
      </c>
    </row>
    <row r="15" spans="1:17" x14ac:dyDescent="0.4">
      <c r="A15" s="72" t="s">
        <v>131</v>
      </c>
      <c r="B15" s="64">
        <v>21</v>
      </c>
      <c r="C15" s="45">
        <f>IF(B$13=0,0,B15/B$13)</f>
        <v>0.38181818181818183</v>
      </c>
      <c r="E15" s="82" t="s">
        <v>75</v>
      </c>
      <c r="F15" s="78" t="s">
        <v>28</v>
      </c>
      <c r="G15" s="65">
        <v>1</v>
      </c>
      <c r="H15" s="47">
        <f>IF(B$25=0,0,G15/B$25)</f>
        <v>1.7543859649122806E-2</v>
      </c>
      <c r="I15" s="118">
        <v>11</v>
      </c>
      <c r="K15" s="46">
        <v>13</v>
      </c>
      <c r="L15" s="124">
        <v>-12.4</v>
      </c>
      <c r="N15" s="46" t="s">
        <v>175</v>
      </c>
      <c r="O15" s="127">
        <f>IF(Q15=0,0,P15/Q15)</f>
        <v>-8.4333333333333336</v>
      </c>
      <c r="P15" s="156">
        <v>-25.3</v>
      </c>
      <c r="Q15" s="157">
        <v>3</v>
      </c>
    </row>
    <row r="16" spans="1:17" x14ac:dyDescent="0.4">
      <c r="A16" s="72" t="s">
        <v>10</v>
      </c>
      <c r="B16" s="64">
        <f>B18+B17</f>
        <v>144</v>
      </c>
      <c r="C16" s="45">
        <f>IF(B$3=0,0,B16/B$3)</f>
        <v>0.35121951219512193</v>
      </c>
      <c r="E16" s="82" t="s">
        <v>82</v>
      </c>
      <c r="F16" s="78" t="s">
        <v>35</v>
      </c>
      <c r="G16" s="65">
        <v>1</v>
      </c>
      <c r="H16" s="47">
        <f>IF(B$25=0,0,G16/B$25)</f>
        <v>1.7543859649122806E-2</v>
      </c>
      <c r="I16" s="118">
        <v>8</v>
      </c>
      <c r="K16" s="46">
        <v>14</v>
      </c>
      <c r="L16" s="124">
        <v>38.6</v>
      </c>
      <c r="N16" s="46" t="s">
        <v>170</v>
      </c>
      <c r="O16" s="127">
        <f>IF(Q16=0,0,P16/Q16)</f>
        <v>-9.9333333333333336</v>
      </c>
      <c r="P16" s="156">
        <v>-29.8</v>
      </c>
      <c r="Q16" s="157">
        <v>3</v>
      </c>
    </row>
    <row r="17" spans="1:17" x14ac:dyDescent="0.4">
      <c r="A17" s="73" t="s">
        <v>12</v>
      </c>
      <c r="B17" s="65">
        <v>67</v>
      </c>
      <c r="C17" s="47">
        <f>IF(B$16=0,0,B17/B$16)</f>
        <v>0.46527777777777779</v>
      </c>
      <c r="E17" s="82" t="s">
        <v>98</v>
      </c>
      <c r="F17" s="78" t="s">
        <v>51</v>
      </c>
      <c r="G17" s="65">
        <v>1</v>
      </c>
      <c r="H17" s="47">
        <f>IF(B$25=0,0,G17/B$25)</f>
        <v>1.7543859649122806E-2</v>
      </c>
      <c r="I17" s="118">
        <v>1</v>
      </c>
      <c r="K17" s="46">
        <v>15</v>
      </c>
      <c r="L17" s="124">
        <v>55.8</v>
      </c>
      <c r="N17" s="46" t="s">
        <v>139</v>
      </c>
      <c r="O17" s="127">
        <f>IF(Q17=0,0,P17/Q17)</f>
        <v>-10.949999999999998</v>
      </c>
      <c r="P17" s="156">
        <v>-109.49999999999997</v>
      </c>
      <c r="Q17" s="157">
        <v>10</v>
      </c>
    </row>
    <row r="18" spans="1:17" x14ac:dyDescent="0.4">
      <c r="A18" s="73" t="s">
        <v>11</v>
      </c>
      <c r="B18" s="65">
        <v>77</v>
      </c>
      <c r="C18" s="47">
        <f>IF(B$16=0,0,B18/B$16)</f>
        <v>0.53472222222222221</v>
      </c>
      <c r="E18" s="82" t="s">
        <v>77</v>
      </c>
      <c r="F18" s="78" t="s">
        <v>30</v>
      </c>
      <c r="G18" s="65">
        <v>0</v>
      </c>
      <c r="H18" s="47">
        <f>IF(B$25=0,0,G18/B$25)</f>
        <v>0</v>
      </c>
      <c r="I18" s="118">
        <v>5</v>
      </c>
      <c r="K18" s="46">
        <v>16</v>
      </c>
      <c r="L18" s="124">
        <v>40.299999999999997</v>
      </c>
      <c r="N18" s="46" t="s">
        <v>138</v>
      </c>
      <c r="O18" s="127">
        <f>IF(Q18=0,0,P18/Q18)</f>
        <v>-13.5</v>
      </c>
      <c r="P18" s="156">
        <v>-13.5</v>
      </c>
      <c r="Q18" s="157">
        <v>1</v>
      </c>
    </row>
    <row r="19" spans="1:17" x14ac:dyDescent="0.4">
      <c r="A19" s="73" t="s">
        <v>13</v>
      </c>
      <c r="B19" s="65">
        <v>64</v>
      </c>
      <c r="C19" s="47">
        <f>IF(B$3=0,0,B19/B$3)</f>
        <v>0.15609756097560976</v>
      </c>
      <c r="E19" s="82" t="s">
        <v>78</v>
      </c>
      <c r="F19" s="78" t="s">
        <v>31</v>
      </c>
      <c r="G19" s="65">
        <v>0</v>
      </c>
      <c r="H19" s="47">
        <f>IF(B$25=0,0,G19/B$25)</f>
        <v>0</v>
      </c>
      <c r="I19" s="118">
        <v>4</v>
      </c>
      <c r="K19" s="46">
        <v>17</v>
      </c>
      <c r="L19" s="124">
        <v>15.799999999999997</v>
      </c>
    </row>
    <row r="20" spans="1:17" x14ac:dyDescent="0.4">
      <c r="A20" s="73" t="s">
        <v>5</v>
      </c>
      <c r="B20" s="69">
        <f>IF(B$16=0,0,C20/B$16)</f>
        <v>9825.6944444444453</v>
      </c>
      <c r="C20" s="49">
        <v>1414900</v>
      </c>
      <c r="E20" s="82" t="s">
        <v>79</v>
      </c>
      <c r="F20" s="78" t="s">
        <v>32</v>
      </c>
      <c r="G20" s="65">
        <v>0</v>
      </c>
      <c r="H20" s="47">
        <f>IF(B$25=0,0,G20/B$25)</f>
        <v>0</v>
      </c>
      <c r="I20" s="118">
        <v>6</v>
      </c>
      <c r="K20" s="46">
        <v>18</v>
      </c>
      <c r="L20" s="124">
        <v>-25.700000000000003</v>
      </c>
    </row>
    <row r="21" spans="1:17" x14ac:dyDescent="0.4">
      <c r="A21" s="75" t="s">
        <v>14</v>
      </c>
      <c r="B21" s="70">
        <f>IF(B$19=0,0,C21/B$19)</f>
        <v>-9007.8125</v>
      </c>
      <c r="C21" s="63">
        <v>-576500</v>
      </c>
      <c r="E21" s="82" t="s">
        <v>80</v>
      </c>
      <c r="F21" s="78" t="s">
        <v>33</v>
      </c>
      <c r="G21" s="65">
        <v>0</v>
      </c>
      <c r="H21" s="47">
        <f>IF(B$25=0,0,G21/B$25)</f>
        <v>0</v>
      </c>
      <c r="I21" s="118">
        <v>1</v>
      </c>
      <c r="K21" s="46">
        <v>19</v>
      </c>
      <c r="L21" s="124">
        <v>-17.700000000000003</v>
      </c>
    </row>
    <row r="22" spans="1:17" x14ac:dyDescent="0.4">
      <c r="A22" s="72" t="s">
        <v>147</v>
      </c>
      <c r="B22" s="64">
        <v>151</v>
      </c>
      <c r="C22" s="45">
        <f>IF(B$3=0,0,B22/B$3)</f>
        <v>0.36829268292682926</v>
      </c>
      <c r="E22" s="82" t="s">
        <v>81</v>
      </c>
      <c r="F22" s="78" t="s">
        <v>34</v>
      </c>
      <c r="G22" s="65">
        <v>0</v>
      </c>
      <c r="H22" s="47">
        <f>IF(B$25=0,0,G22/B$25)</f>
        <v>0</v>
      </c>
      <c r="I22" s="118">
        <v>6</v>
      </c>
      <c r="K22" s="46">
        <v>20</v>
      </c>
      <c r="L22" s="124">
        <v>7.4999999999999964</v>
      </c>
    </row>
    <row r="23" spans="1:17" x14ac:dyDescent="0.4">
      <c r="A23" s="75" t="s">
        <v>148</v>
      </c>
      <c r="B23" s="67">
        <v>56</v>
      </c>
      <c r="C23" s="51">
        <f>IF(B$22=0,0,B23/B$22)</f>
        <v>0.37086092715231789</v>
      </c>
      <c r="E23" s="82" t="s">
        <v>83</v>
      </c>
      <c r="F23" s="78" t="s">
        <v>36</v>
      </c>
      <c r="G23" s="65">
        <v>0</v>
      </c>
      <c r="H23" s="47">
        <f>IF(B$25=0,0,G23/B$25)</f>
        <v>0</v>
      </c>
      <c r="I23" s="118">
        <v>9</v>
      </c>
      <c r="K23" s="46">
        <v>21</v>
      </c>
      <c r="L23" s="124">
        <v>69.8</v>
      </c>
    </row>
    <row r="24" spans="1:17" x14ac:dyDescent="0.4">
      <c r="A24" s="72" t="s">
        <v>126</v>
      </c>
      <c r="B24" s="135">
        <v>172</v>
      </c>
      <c r="C24" s="136"/>
      <c r="E24" s="82" t="s">
        <v>84</v>
      </c>
      <c r="F24" s="78" t="s">
        <v>37</v>
      </c>
      <c r="G24" s="65">
        <v>0</v>
      </c>
      <c r="H24" s="47">
        <f>IF(B$25=0,0,G24/B$25)</f>
        <v>0</v>
      </c>
      <c r="I24" s="118">
        <v>1</v>
      </c>
      <c r="K24" s="46">
        <v>22</v>
      </c>
      <c r="L24" s="124">
        <v>78.399999999999991</v>
      </c>
    </row>
    <row r="25" spans="1:17" x14ac:dyDescent="0.4">
      <c r="A25" s="75" t="s">
        <v>127</v>
      </c>
      <c r="B25" s="149">
        <v>57</v>
      </c>
      <c r="C25" s="150"/>
      <c r="E25" s="82" t="s">
        <v>85</v>
      </c>
      <c r="F25" s="78" t="s">
        <v>38</v>
      </c>
      <c r="G25" s="65">
        <v>0</v>
      </c>
      <c r="H25" s="47">
        <f>IF(B$25=0,0,G25/B$25)</f>
        <v>0</v>
      </c>
      <c r="I25" s="118">
        <v>3</v>
      </c>
      <c r="K25" s="46">
        <v>23</v>
      </c>
      <c r="L25" s="124">
        <v>93.199999999999989</v>
      </c>
    </row>
    <row r="26" spans="1:17" x14ac:dyDescent="0.4">
      <c r="A26" s="113" t="s">
        <v>162</v>
      </c>
      <c r="B26" s="145">
        <v>7</v>
      </c>
      <c r="C26" s="146"/>
      <c r="E26" s="82" t="s">
        <v>87</v>
      </c>
      <c r="F26" s="78" t="s">
        <v>40</v>
      </c>
      <c r="G26" s="65">
        <v>0</v>
      </c>
      <c r="H26" s="47">
        <f>IF(B$25=0,0,G26/B$25)</f>
        <v>0</v>
      </c>
      <c r="I26" s="118">
        <v>1</v>
      </c>
      <c r="K26" s="46">
        <v>24</v>
      </c>
      <c r="L26" s="124">
        <v>49.29999999999999</v>
      </c>
    </row>
    <row r="27" spans="1:17" x14ac:dyDescent="0.4">
      <c r="A27" s="76" t="s">
        <v>203</v>
      </c>
      <c r="B27" s="143">
        <v>118000</v>
      </c>
      <c r="C27" s="144"/>
      <c r="E27" s="82" t="s">
        <v>89</v>
      </c>
      <c r="F27" s="78" t="s">
        <v>42</v>
      </c>
      <c r="G27" s="65">
        <v>0</v>
      </c>
      <c r="H27" s="47">
        <f>IF(B$25=0,0,G27/B$25)</f>
        <v>0</v>
      </c>
      <c r="I27" s="118">
        <v>5</v>
      </c>
      <c r="K27" s="46">
        <v>25</v>
      </c>
      <c r="L27" s="124">
        <v>58.79999999999999</v>
      </c>
    </row>
    <row r="28" spans="1:17" x14ac:dyDescent="0.4">
      <c r="A28" s="75" t="s">
        <v>163</v>
      </c>
      <c r="B28" s="84">
        <v>1</v>
      </c>
      <c r="C28" s="51">
        <f>IF(B$3=0,0,B28/B$3)</f>
        <v>2.4390243902439024E-3</v>
      </c>
      <c r="E28" s="82" t="s">
        <v>90</v>
      </c>
      <c r="F28" s="78" t="s">
        <v>43</v>
      </c>
      <c r="G28" s="65">
        <v>0</v>
      </c>
      <c r="H28" s="47">
        <f>IF(B$25=0,0,G28/B$25)</f>
        <v>0</v>
      </c>
      <c r="I28" s="118">
        <v>5</v>
      </c>
      <c r="K28" s="46">
        <v>26</v>
      </c>
      <c r="L28" s="124">
        <v>141.79999999999998</v>
      </c>
    </row>
    <row r="29" spans="1:17" x14ac:dyDescent="0.4">
      <c r="E29" s="82" t="s">
        <v>92</v>
      </c>
      <c r="F29" s="78" t="s">
        <v>45</v>
      </c>
      <c r="G29" s="65">
        <v>0</v>
      </c>
      <c r="H29" s="47">
        <f>IF(B$25=0,0,G29/B$25)</f>
        <v>0</v>
      </c>
      <c r="I29" s="118">
        <v>4</v>
      </c>
      <c r="K29" s="46">
        <v>27</v>
      </c>
      <c r="L29" s="124">
        <v>162.79999999999998</v>
      </c>
    </row>
    <row r="30" spans="1:17" x14ac:dyDescent="0.4">
      <c r="E30" s="82" t="s">
        <v>93</v>
      </c>
      <c r="F30" s="78" t="s">
        <v>46</v>
      </c>
      <c r="G30" s="65">
        <v>0</v>
      </c>
      <c r="H30" s="47">
        <f>IF(B$25=0,0,G30/B$25)</f>
        <v>0</v>
      </c>
      <c r="I30" s="118">
        <v>3</v>
      </c>
      <c r="K30" s="46">
        <v>28</v>
      </c>
      <c r="L30" s="124">
        <v>174.7</v>
      </c>
    </row>
    <row r="31" spans="1:17" x14ac:dyDescent="0.4">
      <c r="E31" s="82" t="s">
        <v>95</v>
      </c>
      <c r="F31" s="78" t="s">
        <v>48</v>
      </c>
      <c r="G31" s="65">
        <v>0</v>
      </c>
      <c r="H31" s="47">
        <f>IF(B$25=0,0,G31/B$25)</f>
        <v>0</v>
      </c>
      <c r="I31" s="118">
        <v>3</v>
      </c>
      <c r="K31" s="46">
        <v>29</v>
      </c>
      <c r="L31" s="124">
        <v>205</v>
      </c>
    </row>
    <row r="32" spans="1:17" x14ac:dyDescent="0.4">
      <c r="E32" s="82" t="s">
        <v>96</v>
      </c>
      <c r="F32" s="78" t="s">
        <v>49</v>
      </c>
      <c r="G32" s="65">
        <v>0</v>
      </c>
      <c r="H32" s="47">
        <f>IF(B$25=0,0,G32/B$25)</f>
        <v>0</v>
      </c>
      <c r="I32" s="118">
        <v>8</v>
      </c>
      <c r="K32" s="46">
        <v>30</v>
      </c>
      <c r="L32" s="124">
        <v>198.5</v>
      </c>
    </row>
    <row r="33" spans="5:12" x14ac:dyDescent="0.4">
      <c r="E33" s="82" t="s">
        <v>97</v>
      </c>
      <c r="F33" s="78" t="s">
        <v>50</v>
      </c>
      <c r="G33" s="65">
        <v>0</v>
      </c>
      <c r="H33" s="47">
        <f>IF(B$25=0,0,G33/B$25)</f>
        <v>0</v>
      </c>
      <c r="I33" s="118">
        <v>6</v>
      </c>
      <c r="K33" s="46">
        <v>31</v>
      </c>
      <c r="L33" s="124">
        <v>186.9</v>
      </c>
    </row>
    <row r="34" spans="5:12" x14ac:dyDescent="0.4">
      <c r="E34" s="82" t="s">
        <v>99</v>
      </c>
      <c r="F34" s="78" t="s">
        <v>52</v>
      </c>
      <c r="G34" s="65">
        <v>0</v>
      </c>
      <c r="H34" s="47">
        <f>IF(B$25=0,0,G34/B$25)</f>
        <v>0</v>
      </c>
      <c r="I34" s="118">
        <v>1</v>
      </c>
      <c r="K34" s="46">
        <v>32</v>
      </c>
      <c r="L34" s="124">
        <v>204.4</v>
      </c>
    </row>
    <row r="35" spans="5:12" x14ac:dyDescent="0.4">
      <c r="E35" s="82" t="s">
        <v>100</v>
      </c>
      <c r="F35" s="78" t="s">
        <v>53</v>
      </c>
      <c r="G35" s="65">
        <v>0</v>
      </c>
      <c r="H35" s="47">
        <f>IF(B$25=0,0,G35/B$25)</f>
        <v>0</v>
      </c>
      <c r="I35" s="118">
        <v>3</v>
      </c>
      <c r="K35" s="46">
        <v>33</v>
      </c>
      <c r="L35" s="124">
        <v>245.4</v>
      </c>
    </row>
    <row r="36" spans="5:12" x14ac:dyDescent="0.4">
      <c r="E36" s="82" t="s">
        <v>101</v>
      </c>
      <c r="F36" s="78" t="s">
        <v>54</v>
      </c>
      <c r="G36" s="65">
        <v>0</v>
      </c>
      <c r="H36" s="47">
        <f>IF(B$25=0,0,G36/B$25)</f>
        <v>0</v>
      </c>
      <c r="I36" s="118">
        <v>1</v>
      </c>
      <c r="K36" s="46">
        <v>34</v>
      </c>
      <c r="L36" s="124">
        <v>234.9</v>
      </c>
    </row>
    <row r="37" spans="5:12" x14ac:dyDescent="0.4">
      <c r="E37" s="82" t="s">
        <v>102</v>
      </c>
      <c r="F37" s="78" t="s">
        <v>55</v>
      </c>
      <c r="G37" s="65">
        <v>0</v>
      </c>
      <c r="H37" s="47">
        <f>IF(B$25=0,0,G37/B$25)</f>
        <v>0</v>
      </c>
      <c r="I37" s="118">
        <v>1</v>
      </c>
      <c r="K37" s="46">
        <v>35</v>
      </c>
      <c r="L37" s="124">
        <v>188.9</v>
      </c>
    </row>
    <row r="38" spans="5:12" x14ac:dyDescent="0.4">
      <c r="E38" s="82" t="s">
        <v>103</v>
      </c>
      <c r="F38" s="78" t="s">
        <v>56</v>
      </c>
      <c r="G38" s="65">
        <v>0</v>
      </c>
      <c r="H38" s="47">
        <f>IF(B$25=0,0,G38/B$25)</f>
        <v>0</v>
      </c>
      <c r="I38" s="118">
        <v>1</v>
      </c>
      <c r="K38" s="46">
        <v>36</v>
      </c>
      <c r="L38" s="124">
        <v>236</v>
      </c>
    </row>
    <row r="39" spans="5:12" x14ac:dyDescent="0.4">
      <c r="E39" s="82" t="s">
        <v>104</v>
      </c>
      <c r="F39" s="78" t="s">
        <v>57</v>
      </c>
      <c r="G39" s="65">
        <v>0</v>
      </c>
      <c r="H39" s="47">
        <f>IF(B$25=0,0,G39/B$25)</f>
        <v>0</v>
      </c>
      <c r="I39" s="118">
        <v>1</v>
      </c>
      <c r="K39" s="46">
        <v>37</v>
      </c>
      <c r="L39" s="124">
        <v>250.8</v>
      </c>
    </row>
    <row r="40" spans="5:12" x14ac:dyDescent="0.4">
      <c r="E40" s="82" t="s">
        <v>105</v>
      </c>
      <c r="F40" s="78" t="s">
        <v>58</v>
      </c>
      <c r="G40" s="65">
        <v>0</v>
      </c>
      <c r="H40" s="47">
        <f>IF(B$25=0,0,G40/B$25)</f>
        <v>0</v>
      </c>
      <c r="I40" s="118">
        <v>1</v>
      </c>
      <c r="K40" s="46">
        <v>38</v>
      </c>
      <c r="L40" s="124">
        <v>232.60000000000002</v>
      </c>
    </row>
    <row r="41" spans="5:12" x14ac:dyDescent="0.4">
      <c r="E41" s="82" t="s">
        <v>106</v>
      </c>
      <c r="F41" s="78" t="s">
        <v>59</v>
      </c>
      <c r="G41" s="65">
        <v>0</v>
      </c>
      <c r="H41" s="47">
        <f>IF(B$25=0,0,G41/B$25)</f>
        <v>0</v>
      </c>
      <c r="I41" s="118">
        <v>1</v>
      </c>
      <c r="K41" s="46">
        <v>39</v>
      </c>
      <c r="L41" s="124">
        <v>233.00000000000003</v>
      </c>
    </row>
    <row r="42" spans="5:12" x14ac:dyDescent="0.4">
      <c r="E42" s="82" t="s">
        <v>107</v>
      </c>
      <c r="F42" s="78" t="s">
        <v>60</v>
      </c>
      <c r="G42" s="65">
        <v>0</v>
      </c>
      <c r="H42" s="47">
        <f>IF(B$25=0,0,G42/B$25)</f>
        <v>0</v>
      </c>
      <c r="I42" s="118">
        <v>1</v>
      </c>
      <c r="K42" s="46">
        <v>40</v>
      </c>
      <c r="L42" s="124">
        <v>236.10000000000002</v>
      </c>
    </row>
    <row r="43" spans="5:12" x14ac:dyDescent="0.4">
      <c r="E43" s="82" t="s">
        <v>108</v>
      </c>
      <c r="F43" s="78" t="s">
        <v>61</v>
      </c>
      <c r="G43" s="65">
        <v>0</v>
      </c>
      <c r="H43" s="47">
        <f>IF(B$25=0,0,G43/B$25)</f>
        <v>0</v>
      </c>
      <c r="I43" s="118">
        <v>1</v>
      </c>
      <c r="K43" s="46">
        <v>41</v>
      </c>
      <c r="L43" s="124">
        <v>234.10000000000002</v>
      </c>
    </row>
    <row r="44" spans="5:12" x14ac:dyDescent="0.4">
      <c r="E44" s="82" t="s">
        <v>109</v>
      </c>
      <c r="F44" s="78" t="s">
        <v>62</v>
      </c>
      <c r="G44" s="65">
        <v>0</v>
      </c>
      <c r="H44" s="47">
        <f>IF(B$25=0,0,G44/B$25)</f>
        <v>0</v>
      </c>
      <c r="I44" s="118">
        <v>1</v>
      </c>
      <c r="K44" s="46">
        <v>42</v>
      </c>
      <c r="L44" s="124">
        <v>255.3</v>
      </c>
    </row>
    <row r="45" spans="5:12" x14ac:dyDescent="0.4">
      <c r="E45" s="82" t="s">
        <v>110</v>
      </c>
      <c r="F45" s="78" t="s">
        <v>117</v>
      </c>
      <c r="G45" s="65">
        <v>0</v>
      </c>
      <c r="H45" s="47">
        <f>IF(B$25=0,0,G45/B$25)</f>
        <v>0</v>
      </c>
      <c r="I45" s="118">
        <v>1</v>
      </c>
      <c r="K45" s="46">
        <v>43</v>
      </c>
      <c r="L45" s="124">
        <v>288.10000000000002</v>
      </c>
    </row>
    <row r="46" spans="5:12" x14ac:dyDescent="0.4">
      <c r="E46" s="82" t="s">
        <v>111</v>
      </c>
      <c r="F46" s="78" t="s">
        <v>118</v>
      </c>
      <c r="G46" s="65">
        <v>0</v>
      </c>
      <c r="H46" s="47">
        <f>IF(B$25=0,0,G46/B$25)</f>
        <v>0</v>
      </c>
      <c r="I46" s="118">
        <v>3</v>
      </c>
      <c r="K46" s="46">
        <v>44</v>
      </c>
      <c r="L46" s="124">
        <v>279.3</v>
      </c>
    </row>
    <row r="47" spans="5:12" x14ac:dyDescent="0.4">
      <c r="E47" s="82" t="s">
        <v>112</v>
      </c>
      <c r="F47" s="78" t="s">
        <v>119</v>
      </c>
      <c r="G47" s="65">
        <v>0</v>
      </c>
      <c r="H47" s="47">
        <f>IF(B$25=0,0,G47/B$25)</f>
        <v>0</v>
      </c>
      <c r="I47" s="118">
        <v>1</v>
      </c>
      <c r="K47" s="46">
        <v>45</v>
      </c>
      <c r="L47" s="124">
        <v>248.10000000000002</v>
      </c>
    </row>
    <row r="48" spans="5:12" x14ac:dyDescent="0.4">
      <c r="E48" s="82" t="s">
        <v>113</v>
      </c>
      <c r="F48" s="78" t="s">
        <v>63</v>
      </c>
      <c r="G48" s="65">
        <v>0</v>
      </c>
      <c r="H48" s="47">
        <f>IF(B$25=0,0,G48/B$25)</f>
        <v>0</v>
      </c>
      <c r="I48" s="118">
        <v>1</v>
      </c>
      <c r="K48" s="46">
        <v>46</v>
      </c>
      <c r="L48" s="124">
        <v>212.60000000000002</v>
      </c>
    </row>
    <row r="49" spans="5:12" x14ac:dyDescent="0.4">
      <c r="E49" s="82" t="s">
        <v>114</v>
      </c>
      <c r="F49" s="78" t="s">
        <v>64</v>
      </c>
      <c r="G49" s="65">
        <v>0</v>
      </c>
      <c r="H49" s="47">
        <f>IF(B$25=0,0,G49/B$25)</f>
        <v>0</v>
      </c>
      <c r="I49" s="118">
        <v>1</v>
      </c>
      <c r="K49" s="46">
        <v>47</v>
      </c>
      <c r="L49" s="124">
        <v>191.90000000000003</v>
      </c>
    </row>
    <row r="50" spans="5:12" x14ac:dyDescent="0.4">
      <c r="E50" s="82" t="s">
        <v>115</v>
      </c>
      <c r="F50" s="78" t="s">
        <v>65</v>
      </c>
      <c r="G50" s="65">
        <v>0</v>
      </c>
      <c r="H50" s="47">
        <f>IF(B$25=0,0,G50/B$25)</f>
        <v>0</v>
      </c>
      <c r="I50" s="118">
        <v>1</v>
      </c>
      <c r="K50" s="46">
        <v>48</v>
      </c>
      <c r="L50" s="124">
        <v>213.70000000000005</v>
      </c>
    </row>
    <row r="51" spans="5:12" x14ac:dyDescent="0.4">
      <c r="E51" s="83" t="s">
        <v>116</v>
      </c>
      <c r="F51" s="79" t="s">
        <v>66</v>
      </c>
      <c r="G51" s="67">
        <v>0</v>
      </c>
      <c r="H51" s="51">
        <f>IF(B$25=0,0,G51/B$25)</f>
        <v>0</v>
      </c>
      <c r="I51" s="119">
        <v>1</v>
      </c>
      <c r="K51" s="46">
        <v>49</v>
      </c>
      <c r="L51" s="124">
        <v>210.90000000000003</v>
      </c>
    </row>
    <row r="52" spans="5:12" x14ac:dyDescent="0.4">
      <c r="K52" s="46">
        <v>50</v>
      </c>
      <c r="L52" s="124">
        <v>210.90000000000003</v>
      </c>
    </row>
    <row r="53" spans="5:12" x14ac:dyDescent="0.4">
      <c r="K53" s="46">
        <v>51</v>
      </c>
      <c r="L53" s="124">
        <v>289.60000000000002</v>
      </c>
    </row>
    <row r="54" spans="5:12" x14ac:dyDescent="0.4">
      <c r="K54" s="46">
        <v>52</v>
      </c>
      <c r="L54" s="124">
        <v>316.10000000000002</v>
      </c>
    </row>
    <row r="55" spans="5:12" x14ac:dyDescent="0.4">
      <c r="K55" s="46">
        <v>53</v>
      </c>
      <c r="L55" s="124">
        <v>265.60000000000002</v>
      </c>
    </row>
    <row r="56" spans="5:12" x14ac:dyDescent="0.4">
      <c r="K56" s="46">
        <v>54</v>
      </c>
      <c r="L56" s="124">
        <v>250.50000000000003</v>
      </c>
    </row>
    <row r="57" spans="5:12" x14ac:dyDescent="0.4">
      <c r="K57" s="46">
        <v>55</v>
      </c>
      <c r="L57" s="124">
        <v>266.40000000000003</v>
      </c>
    </row>
    <row r="58" spans="5:12" x14ac:dyDescent="0.4">
      <c r="K58" s="46">
        <v>56</v>
      </c>
      <c r="L58" s="124">
        <v>270.8</v>
      </c>
    </row>
    <row r="59" spans="5:12" x14ac:dyDescent="0.4">
      <c r="K59" s="46">
        <v>57</v>
      </c>
      <c r="L59" s="124">
        <v>257.3</v>
      </c>
    </row>
  </sheetData>
  <sortState ref="N10:Q18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FB01B-99F5-4960-8F92-E03C07003F18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4" customWidth="1"/>
    <col min="13" max="13" width="3.5" style="41" customWidth="1"/>
    <col min="14" max="14" width="9" style="46" customWidth="1"/>
    <col min="15" max="15" width="9" style="127" customWidth="1"/>
    <col min="16" max="16" width="3.5" style="156" customWidth="1"/>
    <col min="17" max="17" width="3.5" style="157" customWidth="1"/>
    <col min="18" max="16384" width="9" style="41"/>
  </cols>
  <sheetData>
    <row r="1" spans="1:17" x14ac:dyDescent="0.4">
      <c r="A1" s="71" t="s">
        <v>0</v>
      </c>
      <c r="B1" s="133" t="s">
        <v>175</v>
      </c>
      <c r="C1" s="134"/>
      <c r="E1" s="80" t="s">
        <v>160</v>
      </c>
      <c r="F1" s="129" t="s">
        <v>120</v>
      </c>
      <c r="G1" s="128" t="s">
        <v>121</v>
      </c>
      <c r="H1" s="129" t="s">
        <v>122</v>
      </c>
      <c r="I1" s="129" t="s">
        <v>231</v>
      </c>
      <c r="K1" s="42" t="s">
        <v>20</v>
      </c>
      <c r="L1" s="43" t="s">
        <v>125</v>
      </c>
      <c r="N1" s="42" t="s">
        <v>156</v>
      </c>
      <c r="O1" s="129" t="s">
        <v>157</v>
      </c>
      <c r="P1" s="59" t="s">
        <v>238</v>
      </c>
      <c r="Q1" s="55" t="s">
        <v>121</v>
      </c>
    </row>
    <row r="2" spans="1:17" x14ac:dyDescent="0.4">
      <c r="A2" s="72" t="s">
        <v>9</v>
      </c>
      <c r="B2" s="135">
        <v>5</v>
      </c>
      <c r="C2" s="136"/>
      <c r="E2" s="81" t="s">
        <v>67</v>
      </c>
      <c r="F2" s="77" t="s">
        <v>21</v>
      </c>
      <c r="G2" s="64">
        <v>6</v>
      </c>
      <c r="H2" s="45">
        <f>IF(B$25=0,0,G2/B$25)</f>
        <v>0.66666666666666663</v>
      </c>
      <c r="I2" s="117">
        <v>3</v>
      </c>
      <c r="K2" s="44">
        <v>0</v>
      </c>
      <c r="L2" s="123">
        <v>0</v>
      </c>
      <c r="N2" s="44" t="s">
        <v>150</v>
      </c>
      <c r="O2" s="130">
        <f t="shared" ref="O2:O7" si="0">IF(Q2=0,0,P2/Q2)</f>
        <v>-2740</v>
      </c>
      <c r="P2" s="60">
        <v>-13700</v>
      </c>
      <c r="Q2" s="58">
        <v>5</v>
      </c>
    </row>
    <row r="3" spans="1:17" x14ac:dyDescent="0.4">
      <c r="A3" s="73" t="s">
        <v>8</v>
      </c>
      <c r="B3" s="137">
        <v>37</v>
      </c>
      <c r="C3" s="138"/>
      <c r="E3" s="82" t="s">
        <v>71</v>
      </c>
      <c r="F3" s="78" t="s">
        <v>25</v>
      </c>
      <c r="G3" s="65">
        <v>6</v>
      </c>
      <c r="H3" s="47">
        <f>IF(B$25=0,0,G3/B$25)</f>
        <v>0.66666666666666663</v>
      </c>
      <c r="I3" s="118">
        <v>10</v>
      </c>
      <c r="K3" s="46">
        <v>1</v>
      </c>
      <c r="L3" s="124">
        <v>-40.700000000000003</v>
      </c>
      <c r="N3" s="46" t="s">
        <v>151</v>
      </c>
      <c r="O3" s="131">
        <f t="shared" si="0"/>
        <v>1500</v>
      </c>
      <c r="P3" s="61">
        <v>7500</v>
      </c>
      <c r="Q3" s="56">
        <v>5</v>
      </c>
    </row>
    <row r="4" spans="1:17" x14ac:dyDescent="0.4">
      <c r="A4" s="73" t="s">
        <v>6</v>
      </c>
      <c r="B4" s="139">
        <v>-86.4</v>
      </c>
      <c r="C4" s="140"/>
      <c r="E4" s="82" t="s">
        <v>68</v>
      </c>
      <c r="F4" s="78" t="s">
        <v>22</v>
      </c>
      <c r="G4" s="65">
        <v>4</v>
      </c>
      <c r="H4" s="47">
        <f>IF(B$25=0,0,G4/B$25)</f>
        <v>0.44444444444444442</v>
      </c>
      <c r="I4" s="118">
        <v>1</v>
      </c>
      <c r="K4" s="46">
        <v>2</v>
      </c>
      <c r="L4" s="124">
        <v>-81.7</v>
      </c>
      <c r="N4" s="46" t="s">
        <v>152</v>
      </c>
      <c r="O4" s="131">
        <f t="shared" si="0"/>
        <v>-11250</v>
      </c>
      <c r="P4" s="61">
        <v>-45000</v>
      </c>
      <c r="Q4" s="56">
        <v>4</v>
      </c>
    </row>
    <row r="5" spans="1:17" x14ac:dyDescent="0.4">
      <c r="A5" s="73" t="s">
        <v>7</v>
      </c>
      <c r="B5" s="141">
        <f>IF(B$2=0,0,B$4/B$2)</f>
        <v>-17.28</v>
      </c>
      <c r="C5" s="142"/>
      <c r="E5" s="82" t="s">
        <v>76</v>
      </c>
      <c r="F5" s="78" t="s">
        <v>29</v>
      </c>
      <c r="G5" s="65">
        <v>4</v>
      </c>
      <c r="H5" s="47">
        <f>IF(B$25=0,0,G5/B$25)</f>
        <v>0.44444444444444442</v>
      </c>
      <c r="I5" s="118">
        <v>10</v>
      </c>
      <c r="K5" s="46">
        <v>3</v>
      </c>
      <c r="L5" s="124">
        <v>-88.9</v>
      </c>
      <c r="N5" s="46" t="s">
        <v>153</v>
      </c>
      <c r="O5" s="131">
        <f t="shared" si="0"/>
        <v>-12000</v>
      </c>
      <c r="P5" s="61">
        <v>-36000</v>
      </c>
      <c r="Q5" s="56">
        <v>3</v>
      </c>
    </row>
    <row r="6" spans="1:17" x14ac:dyDescent="0.4">
      <c r="A6" s="73" t="s">
        <v>1</v>
      </c>
      <c r="B6" s="147">
        <f>IF(B$2=0,0,(B$7*1+B$8*2+B$9*3)/B$2)</f>
        <v>2.2000000000000002</v>
      </c>
      <c r="C6" s="148"/>
      <c r="E6" s="82" t="s">
        <v>72</v>
      </c>
      <c r="F6" s="78" t="s">
        <v>12</v>
      </c>
      <c r="G6" s="65">
        <v>3</v>
      </c>
      <c r="H6" s="47">
        <f>IF(B$25=0,0,G6/B$25)</f>
        <v>0.33333333333333331</v>
      </c>
      <c r="I6" s="118">
        <v>4</v>
      </c>
      <c r="K6" s="46">
        <v>4</v>
      </c>
      <c r="L6" s="124">
        <v>-109.2</v>
      </c>
      <c r="N6" s="46" t="s">
        <v>154</v>
      </c>
      <c r="O6" s="131">
        <f t="shared" si="0"/>
        <v>5400</v>
      </c>
      <c r="P6" s="61">
        <v>10800</v>
      </c>
      <c r="Q6" s="56">
        <v>2</v>
      </c>
    </row>
    <row r="7" spans="1:17" x14ac:dyDescent="0.4">
      <c r="A7" s="73" t="s">
        <v>2</v>
      </c>
      <c r="B7" s="65">
        <v>1</v>
      </c>
      <c r="C7" s="47">
        <f>IF(B$2=0,0,B7/B$2)</f>
        <v>0.2</v>
      </c>
      <c r="E7" s="82" t="s">
        <v>70</v>
      </c>
      <c r="F7" s="78" t="s">
        <v>24</v>
      </c>
      <c r="G7" s="65">
        <v>2</v>
      </c>
      <c r="H7" s="47">
        <f>IF(B$25=0,0,G7/B$25)</f>
        <v>0.22222222222222221</v>
      </c>
      <c r="I7" s="118">
        <v>10</v>
      </c>
      <c r="K7" s="46">
        <v>5</v>
      </c>
      <c r="L7" s="124">
        <v>-86.4</v>
      </c>
      <c r="N7" s="50" t="s">
        <v>155</v>
      </c>
      <c r="O7" s="132">
        <f t="shared" si="0"/>
        <v>-5000</v>
      </c>
      <c r="P7" s="62">
        <v>-10000</v>
      </c>
      <c r="Q7" s="57">
        <v>2</v>
      </c>
    </row>
    <row r="8" spans="1:17" x14ac:dyDescent="0.4">
      <c r="A8" s="73" t="s">
        <v>3</v>
      </c>
      <c r="B8" s="65">
        <v>2</v>
      </c>
      <c r="C8" s="47">
        <f t="shared" ref="C8:C9" si="1">IF(B$2=0,0,B8/B$2)</f>
        <v>0.4</v>
      </c>
      <c r="E8" s="82" t="s">
        <v>83</v>
      </c>
      <c r="F8" s="78" t="s">
        <v>36</v>
      </c>
      <c r="G8" s="65">
        <v>2</v>
      </c>
      <c r="H8" s="47">
        <f>IF(B$25=0,0,G8/B$25)</f>
        <v>0.22222222222222221</v>
      </c>
      <c r="I8" s="118">
        <v>1</v>
      </c>
      <c r="N8" s="41"/>
      <c r="O8" s="41"/>
      <c r="P8" s="41"/>
      <c r="Q8" s="41"/>
    </row>
    <row r="9" spans="1:17" x14ac:dyDescent="0.4">
      <c r="A9" s="74" t="s">
        <v>4</v>
      </c>
      <c r="B9" s="66">
        <v>2</v>
      </c>
      <c r="C9" s="48">
        <f t="shared" si="1"/>
        <v>0.4</v>
      </c>
      <c r="E9" s="82" t="s">
        <v>69</v>
      </c>
      <c r="F9" s="78" t="s">
        <v>23</v>
      </c>
      <c r="G9" s="65">
        <v>1</v>
      </c>
      <c r="H9" s="47">
        <f>IF(B$25=0,0,G9/B$25)</f>
        <v>0.1111111111111111</v>
      </c>
      <c r="I9" s="118">
        <v>11</v>
      </c>
      <c r="N9" s="42" t="s">
        <v>235</v>
      </c>
      <c r="O9" s="129" t="s">
        <v>125</v>
      </c>
      <c r="P9" s="153" t="s">
        <v>238</v>
      </c>
      <c r="Q9" s="125" t="s">
        <v>121</v>
      </c>
    </row>
    <row r="10" spans="1:17" x14ac:dyDescent="0.4">
      <c r="A10" s="74" t="s">
        <v>19</v>
      </c>
      <c r="B10" s="66">
        <v>2</v>
      </c>
      <c r="C10" s="48">
        <f>IF(B$2=0,0,B10/B$2)</f>
        <v>0.4</v>
      </c>
      <c r="E10" s="82" t="s">
        <v>73</v>
      </c>
      <c r="F10" s="78" t="s">
        <v>26</v>
      </c>
      <c r="G10" s="65">
        <v>1</v>
      </c>
      <c r="H10" s="47">
        <f>IF(B$25=0,0,G10/B$25)</f>
        <v>0.1111111111111111</v>
      </c>
      <c r="I10" s="118">
        <v>9</v>
      </c>
      <c r="N10" s="44" t="s">
        <v>161</v>
      </c>
      <c r="O10" s="126">
        <f>IF(Q10=0,0,P10/Q10)</f>
        <v>1.25</v>
      </c>
      <c r="P10" s="154">
        <v>2.5</v>
      </c>
      <c r="Q10" s="155">
        <v>2</v>
      </c>
    </row>
    <row r="11" spans="1:17" x14ac:dyDescent="0.4">
      <c r="A11" s="75" t="s">
        <v>158</v>
      </c>
      <c r="B11" s="67">
        <v>1</v>
      </c>
      <c r="C11" s="51">
        <f>IF(B$2=0,0,B11/B$2)</f>
        <v>0.2</v>
      </c>
      <c r="E11" s="82" t="s">
        <v>91</v>
      </c>
      <c r="F11" s="78" t="s">
        <v>44</v>
      </c>
      <c r="G11" s="65">
        <v>1</v>
      </c>
      <c r="H11" s="47">
        <f>IF(B$25=0,0,G11/B$25)</f>
        <v>0.1111111111111111</v>
      </c>
      <c r="I11" s="118">
        <v>2</v>
      </c>
      <c r="N11" s="46" t="s">
        <v>139</v>
      </c>
      <c r="O11" s="127">
        <f>IF(Q11=0,0,P11/Q11)</f>
        <v>1.25</v>
      </c>
      <c r="P11" s="156">
        <v>2.5</v>
      </c>
      <c r="Q11" s="157">
        <v>2</v>
      </c>
    </row>
    <row r="12" spans="1:17" x14ac:dyDescent="0.4">
      <c r="A12" s="76" t="s">
        <v>128</v>
      </c>
      <c r="B12" s="68">
        <v>8</v>
      </c>
      <c r="C12" s="54">
        <f>IF(B$24=0,0,B12/B$24)</f>
        <v>0.25806451612903225</v>
      </c>
      <c r="E12" s="82" t="s">
        <v>74</v>
      </c>
      <c r="F12" s="78" t="s">
        <v>27</v>
      </c>
      <c r="G12" s="65">
        <v>0</v>
      </c>
      <c r="H12" s="47">
        <f>IF(B$25=0,0,G12/B$25)</f>
        <v>0</v>
      </c>
      <c r="I12" s="118">
        <v>11</v>
      </c>
      <c r="N12" s="46" t="s">
        <v>198</v>
      </c>
      <c r="O12" s="127">
        <f>IF(Q12=0,0,P12/Q12)</f>
        <v>-24.1</v>
      </c>
      <c r="P12" s="156">
        <v>-48.2</v>
      </c>
      <c r="Q12" s="157">
        <v>2</v>
      </c>
    </row>
    <row r="13" spans="1:17" x14ac:dyDescent="0.4">
      <c r="A13" s="73" t="s">
        <v>123</v>
      </c>
      <c r="B13" s="65">
        <v>5</v>
      </c>
      <c r="C13" s="47">
        <f>IF(B$24=0,0,B13/B$24)</f>
        <v>0.16129032258064516</v>
      </c>
      <c r="E13" s="82" t="s">
        <v>75</v>
      </c>
      <c r="F13" s="78" t="s">
        <v>28</v>
      </c>
      <c r="G13" s="65">
        <v>0</v>
      </c>
      <c r="H13" s="47">
        <f>IF(B$25=0,0,G13/B$25)</f>
        <v>0</v>
      </c>
      <c r="I13" s="118">
        <v>12</v>
      </c>
      <c r="N13" s="46" t="s">
        <v>135</v>
      </c>
      <c r="O13" s="127">
        <f>IF(Q13=0,0,P13/Q13)</f>
        <v>-29.633333333333336</v>
      </c>
      <c r="P13" s="156">
        <v>-88.9</v>
      </c>
      <c r="Q13" s="157">
        <v>3</v>
      </c>
    </row>
    <row r="14" spans="1:17" x14ac:dyDescent="0.4">
      <c r="A14" s="72" t="s">
        <v>130</v>
      </c>
      <c r="B14" s="64">
        <v>6</v>
      </c>
      <c r="C14" s="45">
        <f>IF(B$12=0,0,B14/B$12)</f>
        <v>0.75</v>
      </c>
      <c r="E14" s="82" t="s">
        <v>77</v>
      </c>
      <c r="F14" s="78" t="s">
        <v>30</v>
      </c>
      <c r="G14" s="65">
        <v>0</v>
      </c>
      <c r="H14" s="47">
        <f>IF(B$25=0,0,G14/B$25)</f>
        <v>0</v>
      </c>
      <c r="I14" s="118">
        <v>5</v>
      </c>
      <c r="N14" s="46" t="s">
        <v>133</v>
      </c>
      <c r="O14" s="127">
        <f>IF(Q14=0,0,P14/Q14)</f>
        <v>-40.700000000000003</v>
      </c>
      <c r="P14" s="156">
        <v>-40.700000000000003</v>
      </c>
      <c r="Q14" s="157">
        <v>1</v>
      </c>
    </row>
    <row r="15" spans="1:17" x14ac:dyDescent="0.4">
      <c r="A15" s="72" t="s">
        <v>131</v>
      </c>
      <c r="B15" s="64">
        <v>1</v>
      </c>
      <c r="C15" s="45">
        <f>IF(B$13=0,0,B15/B$13)</f>
        <v>0.2</v>
      </c>
      <c r="E15" s="82" t="s">
        <v>78</v>
      </c>
      <c r="F15" s="78" t="s">
        <v>31</v>
      </c>
      <c r="G15" s="65">
        <v>0</v>
      </c>
      <c r="H15" s="47">
        <f>IF(B$25=0,0,G15/B$25)</f>
        <v>0</v>
      </c>
      <c r="I15" s="118">
        <v>4</v>
      </c>
    </row>
    <row r="16" spans="1:17" x14ac:dyDescent="0.4">
      <c r="A16" s="72" t="s">
        <v>10</v>
      </c>
      <c r="B16" s="64">
        <f>B18+B17</f>
        <v>10</v>
      </c>
      <c r="C16" s="45">
        <f>IF(B$3=0,0,B16/B$3)</f>
        <v>0.27027027027027029</v>
      </c>
      <c r="E16" s="82" t="s">
        <v>79</v>
      </c>
      <c r="F16" s="78" t="s">
        <v>32</v>
      </c>
      <c r="G16" s="65">
        <v>0</v>
      </c>
      <c r="H16" s="47">
        <f>IF(B$25=0,0,G16/B$25)</f>
        <v>0</v>
      </c>
      <c r="I16" s="118">
        <v>6</v>
      </c>
    </row>
    <row r="17" spans="1:9" x14ac:dyDescent="0.4">
      <c r="A17" s="73" t="s">
        <v>12</v>
      </c>
      <c r="B17" s="65">
        <v>3</v>
      </c>
      <c r="C17" s="47">
        <f>IF(B$16=0,0,B17/B$16)</f>
        <v>0.3</v>
      </c>
      <c r="E17" s="82" t="s">
        <v>80</v>
      </c>
      <c r="F17" s="78" t="s">
        <v>33</v>
      </c>
      <c r="G17" s="65">
        <v>0</v>
      </c>
      <c r="H17" s="47">
        <f>IF(B$25=0,0,G17/B$25)</f>
        <v>0</v>
      </c>
      <c r="I17" s="118">
        <v>1</v>
      </c>
    </row>
    <row r="18" spans="1:9" x14ac:dyDescent="0.4">
      <c r="A18" s="73" t="s">
        <v>11</v>
      </c>
      <c r="B18" s="65">
        <v>7</v>
      </c>
      <c r="C18" s="47">
        <f>IF(B$16=0,0,B18/B$16)</f>
        <v>0.7</v>
      </c>
      <c r="E18" s="82" t="s">
        <v>81</v>
      </c>
      <c r="F18" s="78" t="s">
        <v>34</v>
      </c>
      <c r="G18" s="65">
        <v>0</v>
      </c>
      <c r="H18" s="47">
        <f>IF(B$25=0,0,G18/B$25)</f>
        <v>0</v>
      </c>
      <c r="I18" s="118">
        <v>6</v>
      </c>
    </row>
    <row r="19" spans="1:9" x14ac:dyDescent="0.4">
      <c r="A19" s="73" t="s">
        <v>13</v>
      </c>
      <c r="B19" s="65">
        <v>8</v>
      </c>
      <c r="C19" s="47">
        <f>IF(B$3=0,0,B19/B$3)</f>
        <v>0.21621621621621623</v>
      </c>
      <c r="E19" s="82" t="s">
        <v>82</v>
      </c>
      <c r="F19" s="78" t="s">
        <v>35</v>
      </c>
      <c r="G19" s="65">
        <v>0</v>
      </c>
      <c r="H19" s="47">
        <f>IF(B$25=0,0,G19/B$25)</f>
        <v>0</v>
      </c>
      <c r="I19" s="118">
        <v>10</v>
      </c>
    </row>
    <row r="20" spans="1:9" x14ac:dyDescent="0.4">
      <c r="A20" s="73" t="s">
        <v>5</v>
      </c>
      <c r="B20" s="69">
        <f>IF(B$16=0,0,C20/B$16)</f>
        <v>7100</v>
      </c>
      <c r="C20" s="49">
        <v>71000</v>
      </c>
      <c r="E20" s="82" t="s">
        <v>84</v>
      </c>
      <c r="F20" s="78" t="s">
        <v>37</v>
      </c>
      <c r="G20" s="65">
        <v>0</v>
      </c>
      <c r="H20" s="47">
        <f>IF(B$25=0,0,G20/B$25)</f>
        <v>0</v>
      </c>
      <c r="I20" s="118">
        <v>1</v>
      </c>
    </row>
    <row r="21" spans="1:9" x14ac:dyDescent="0.4">
      <c r="A21" s="75" t="s">
        <v>14</v>
      </c>
      <c r="B21" s="70">
        <f>IF(B$19=0,0,C21/B$19)</f>
        <v>-12487.5</v>
      </c>
      <c r="C21" s="63">
        <v>-99900</v>
      </c>
      <c r="E21" s="82" t="s">
        <v>85</v>
      </c>
      <c r="F21" s="78" t="s">
        <v>38</v>
      </c>
      <c r="G21" s="65">
        <v>0</v>
      </c>
      <c r="H21" s="47">
        <f>IF(B$25=0,0,G21/B$25)</f>
        <v>0</v>
      </c>
      <c r="I21" s="118">
        <v>3</v>
      </c>
    </row>
    <row r="22" spans="1:9" x14ac:dyDescent="0.4">
      <c r="A22" s="72" t="s">
        <v>147</v>
      </c>
      <c r="B22" s="64">
        <v>13</v>
      </c>
      <c r="C22" s="45">
        <f>IF(B$3=0,0,B22/B$3)</f>
        <v>0.35135135135135137</v>
      </c>
      <c r="E22" s="82" t="s">
        <v>86</v>
      </c>
      <c r="F22" s="78" t="s">
        <v>39</v>
      </c>
      <c r="G22" s="65">
        <v>0</v>
      </c>
      <c r="H22" s="47">
        <f>IF(B$25=0,0,G22/B$25)</f>
        <v>0</v>
      </c>
      <c r="I22" s="118">
        <v>9</v>
      </c>
    </row>
    <row r="23" spans="1:9" x14ac:dyDescent="0.4">
      <c r="A23" s="75" t="s">
        <v>148</v>
      </c>
      <c r="B23" s="67">
        <v>6</v>
      </c>
      <c r="C23" s="51">
        <f>IF(B$22=0,0,B23/B$22)</f>
        <v>0.46153846153846156</v>
      </c>
      <c r="E23" s="82" t="s">
        <v>87</v>
      </c>
      <c r="F23" s="78" t="s">
        <v>40</v>
      </c>
      <c r="G23" s="65">
        <v>0</v>
      </c>
      <c r="H23" s="47">
        <f>IF(B$25=0,0,G23/B$25)</f>
        <v>0</v>
      </c>
      <c r="I23" s="118">
        <v>1</v>
      </c>
    </row>
    <row r="24" spans="1:9" x14ac:dyDescent="0.4">
      <c r="A24" s="72" t="s">
        <v>126</v>
      </c>
      <c r="B24" s="135">
        <v>31</v>
      </c>
      <c r="C24" s="136"/>
      <c r="E24" s="82" t="s">
        <v>88</v>
      </c>
      <c r="F24" s="78" t="s">
        <v>41</v>
      </c>
      <c r="G24" s="65">
        <v>0</v>
      </c>
      <c r="H24" s="47">
        <f>IF(B$25=0,0,G24/B$25)</f>
        <v>0</v>
      </c>
      <c r="I24" s="118">
        <v>9</v>
      </c>
    </row>
    <row r="25" spans="1:9" x14ac:dyDescent="0.4">
      <c r="A25" s="75" t="s">
        <v>127</v>
      </c>
      <c r="B25" s="149">
        <v>9</v>
      </c>
      <c r="C25" s="150"/>
      <c r="E25" s="82" t="s">
        <v>89</v>
      </c>
      <c r="F25" s="78" t="s">
        <v>42</v>
      </c>
      <c r="G25" s="65">
        <v>0</v>
      </c>
      <c r="H25" s="47">
        <f>IF(B$25=0,0,G25/B$25)</f>
        <v>0</v>
      </c>
      <c r="I25" s="118">
        <v>5</v>
      </c>
    </row>
    <row r="26" spans="1:9" x14ac:dyDescent="0.4">
      <c r="A26" s="113" t="s">
        <v>162</v>
      </c>
      <c r="B26" s="145">
        <v>3</v>
      </c>
      <c r="C26" s="146"/>
      <c r="E26" s="82" t="s">
        <v>90</v>
      </c>
      <c r="F26" s="78" t="s">
        <v>43</v>
      </c>
      <c r="G26" s="65">
        <v>0</v>
      </c>
      <c r="H26" s="47">
        <f>IF(B$25=0,0,G26/B$25)</f>
        <v>0</v>
      </c>
      <c r="I26" s="118">
        <v>5</v>
      </c>
    </row>
    <row r="27" spans="1:9" x14ac:dyDescent="0.4">
      <c r="A27" s="76" t="s">
        <v>203</v>
      </c>
      <c r="B27" s="143">
        <v>57800</v>
      </c>
      <c r="C27" s="144"/>
      <c r="E27" s="82" t="s">
        <v>92</v>
      </c>
      <c r="F27" s="78" t="s">
        <v>45</v>
      </c>
      <c r="G27" s="65">
        <v>0</v>
      </c>
      <c r="H27" s="47">
        <f>IF(B$25=0,0,G27/B$25)</f>
        <v>0</v>
      </c>
      <c r="I27" s="118">
        <v>4</v>
      </c>
    </row>
    <row r="28" spans="1:9" x14ac:dyDescent="0.4">
      <c r="A28" s="75" t="s">
        <v>163</v>
      </c>
      <c r="B28" s="84">
        <v>0</v>
      </c>
      <c r="C28" s="51">
        <f>IF(B$3=0,0,B28/B$3)</f>
        <v>0</v>
      </c>
      <c r="E28" s="82" t="s">
        <v>93</v>
      </c>
      <c r="F28" s="78" t="s">
        <v>46</v>
      </c>
      <c r="G28" s="65">
        <v>0</v>
      </c>
      <c r="H28" s="47">
        <f>IF(B$25=0,0,G28/B$25)</f>
        <v>0</v>
      </c>
      <c r="I28" s="118">
        <v>3</v>
      </c>
    </row>
    <row r="29" spans="1:9" x14ac:dyDescent="0.4">
      <c r="E29" s="82" t="s">
        <v>94</v>
      </c>
      <c r="F29" s="78" t="s">
        <v>47</v>
      </c>
      <c r="G29" s="65">
        <v>0</v>
      </c>
      <c r="H29" s="47">
        <f>IF(B$25=0,0,G29/B$25)</f>
        <v>0</v>
      </c>
      <c r="I29" s="118">
        <v>11</v>
      </c>
    </row>
    <row r="30" spans="1:9" x14ac:dyDescent="0.4">
      <c r="E30" s="82" t="s">
        <v>95</v>
      </c>
      <c r="F30" s="78" t="s">
        <v>48</v>
      </c>
      <c r="G30" s="65">
        <v>0</v>
      </c>
      <c r="H30" s="47">
        <f>IF(B$25=0,0,G30/B$25)</f>
        <v>0</v>
      </c>
      <c r="I30" s="118">
        <v>3</v>
      </c>
    </row>
    <row r="31" spans="1:9" x14ac:dyDescent="0.4">
      <c r="E31" s="82" t="s">
        <v>96</v>
      </c>
      <c r="F31" s="78" t="s">
        <v>49</v>
      </c>
      <c r="G31" s="65">
        <v>0</v>
      </c>
      <c r="H31" s="47">
        <f>IF(B$25=0,0,G31/B$25)</f>
        <v>0</v>
      </c>
      <c r="I31" s="118">
        <v>8</v>
      </c>
    </row>
    <row r="32" spans="1:9" x14ac:dyDescent="0.4">
      <c r="E32" s="82" t="s">
        <v>97</v>
      </c>
      <c r="F32" s="78" t="s">
        <v>50</v>
      </c>
      <c r="G32" s="65">
        <v>0</v>
      </c>
      <c r="H32" s="47">
        <f>IF(B$25=0,0,G32/B$25)</f>
        <v>0</v>
      </c>
      <c r="I32" s="118">
        <v>6</v>
      </c>
    </row>
    <row r="33" spans="5:9" x14ac:dyDescent="0.4">
      <c r="E33" s="82" t="s">
        <v>98</v>
      </c>
      <c r="F33" s="78" t="s">
        <v>51</v>
      </c>
      <c r="G33" s="65">
        <v>0</v>
      </c>
      <c r="H33" s="47">
        <f>IF(B$25=0,0,G33/B$25)</f>
        <v>0</v>
      </c>
      <c r="I33" s="118">
        <v>4</v>
      </c>
    </row>
    <row r="34" spans="5:9" x14ac:dyDescent="0.4">
      <c r="E34" s="82" t="s">
        <v>99</v>
      </c>
      <c r="F34" s="78" t="s">
        <v>52</v>
      </c>
      <c r="G34" s="65">
        <v>0</v>
      </c>
      <c r="H34" s="47">
        <f>IF(B$25=0,0,G34/B$25)</f>
        <v>0</v>
      </c>
      <c r="I34" s="118">
        <v>1</v>
      </c>
    </row>
    <row r="35" spans="5:9" x14ac:dyDescent="0.4">
      <c r="E35" s="82" t="s">
        <v>100</v>
      </c>
      <c r="F35" s="78" t="s">
        <v>53</v>
      </c>
      <c r="G35" s="65">
        <v>0</v>
      </c>
      <c r="H35" s="47">
        <f>IF(B$25=0,0,G35/B$25)</f>
        <v>0</v>
      </c>
      <c r="I35" s="118">
        <v>3</v>
      </c>
    </row>
    <row r="36" spans="5:9" x14ac:dyDescent="0.4">
      <c r="E36" s="82" t="s">
        <v>101</v>
      </c>
      <c r="F36" s="78" t="s">
        <v>54</v>
      </c>
      <c r="G36" s="65">
        <v>0</v>
      </c>
      <c r="H36" s="47">
        <f>IF(B$25=0,0,G36/B$25)</f>
        <v>0</v>
      </c>
      <c r="I36" s="118">
        <v>1</v>
      </c>
    </row>
    <row r="37" spans="5:9" x14ac:dyDescent="0.4">
      <c r="E37" s="82" t="s">
        <v>102</v>
      </c>
      <c r="F37" s="78" t="s">
        <v>55</v>
      </c>
      <c r="G37" s="65">
        <v>0</v>
      </c>
      <c r="H37" s="47">
        <f>IF(B$25=0,0,G37/B$25)</f>
        <v>0</v>
      </c>
      <c r="I37" s="118">
        <v>1</v>
      </c>
    </row>
    <row r="38" spans="5:9" x14ac:dyDescent="0.4">
      <c r="E38" s="82" t="s">
        <v>103</v>
      </c>
      <c r="F38" s="78" t="s">
        <v>56</v>
      </c>
      <c r="G38" s="65">
        <v>0</v>
      </c>
      <c r="H38" s="47">
        <f>IF(B$25=0,0,G38/B$25)</f>
        <v>0</v>
      </c>
      <c r="I38" s="118">
        <v>1</v>
      </c>
    </row>
    <row r="39" spans="5:9" x14ac:dyDescent="0.4">
      <c r="E39" s="82" t="s">
        <v>104</v>
      </c>
      <c r="F39" s="78" t="s">
        <v>57</v>
      </c>
      <c r="G39" s="65">
        <v>0</v>
      </c>
      <c r="H39" s="47">
        <f>IF(B$25=0,0,G39/B$25)</f>
        <v>0</v>
      </c>
      <c r="I39" s="118">
        <v>1</v>
      </c>
    </row>
    <row r="40" spans="5:9" x14ac:dyDescent="0.4">
      <c r="E40" s="82" t="s">
        <v>105</v>
      </c>
      <c r="F40" s="78" t="s">
        <v>58</v>
      </c>
      <c r="G40" s="65">
        <v>0</v>
      </c>
      <c r="H40" s="47">
        <f>IF(B$25=0,0,G40/B$25)</f>
        <v>0</v>
      </c>
      <c r="I40" s="118">
        <v>1</v>
      </c>
    </row>
    <row r="41" spans="5:9" x14ac:dyDescent="0.4">
      <c r="E41" s="82" t="s">
        <v>106</v>
      </c>
      <c r="F41" s="78" t="s">
        <v>59</v>
      </c>
      <c r="G41" s="65">
        <v>0</v>
      </c>
      <c r="H41" s="47">
        <f>IF(B$25=0,0,G41/B$25)</f>
        <v>0</v>
      </c>
      <c r="I41" s="118">
        <v>1</v>
      </c>
    </row>
    <row r="42" spans="5:9" x14ac:dyDescent="0.4">
      <c r="E42" s="82" t="s">
        <v>107</v>
      </c>
      <c r="F42" s="78" t="s">
        <v>60</v>
      </c>
      <c r="G42" s="65">
        <v>0</v>
      </c>
      <c r="H42" s="47">
        <f>IF(B$25=0,0,G42/B$25)</f>
        <v>0</v>
      </c>
      <c r="I42" s="118">
        <v>1</v>
      </c>
    </row>
    <row r="43" spans="5:9" x14ac:dyDescent="0.4">
      <c r="E43" s="82" t="s">
        <v>108</v>
      </c>
      <c r="F43" s="78" t="s">
        <v>61</v>
      </c>
      <c r="G43" s="65">
        <v>0</v>
      </c>
      <c r="H43" s="47">
        <f>IF(B$25=0,0,G43/B$25)</f>
        <v>0</v>
      </c>
      <c r="I43" s="118">
        <v>1</v>
      </c>
    </row>
    <row r="44" spans="5:9" x14ac:dyDescent="0.4">
      <c r="E44" s="82" t="s">
        <v>109</v>
      </c>
      <c r="F44" s="78" t="s">
        <v>62</v>
      </c>
      <c r="G44" s="65">
        <v>0</v>
      </c>
      <c r="H44" s="47">
        <f>IF(B$25=0,0,G44/B$25)</f>
        <v>0</v>
      </c>
      <c r="I44" s="118">
        <v>1</v>
      </c>
    </row>
    <row r="45" spans="5:9" x14ac:dyDescent="0.4">
      <c r="E45" s="82" t="s">
        <v>110</v>
      </c>
      <c r="F45" s="78" t="s">
        <v>117</v>
      </c>
      <c r="G45" s="65">
        <v>0</v>
      </c>
      <c r="H45" s="47">
        <f>IF(B$25=0,0,G45/B$25)</f>
        <v>0</v>
      </c>
      <c r="I45" s="118">
        <v>1</v>
      </c>
    </row>
    <row r="46" spans="5:9" x14ac:dyDescent="0.4">
      <c r="E46" s="82" t="s">
        <v>111</v>
      </c>
      <c r="F46" s="78" t="s">
        <v>118</v>
      </c>
      <c r="G46" s="65">
        <v>0</v>
      </c>
      <c r="H46" s="47">
        <f>IF(B$25=0,0,G46/B$25)</f>
        <v>0</v>
      </c>
      <c r="I46" s="118">
        <v>3</v>
      </c>
    </row>
    <row r="47" spans="5:9" x14ac:dyDescent="0.4">
      <c r="E47" s="82" t="s">
        <v>112</v>
      </c>
      <c r="F47" s="78" t="s">
        <v>119</v>
      </c>
      <c r="G47" s="65">
        <v>0</v>
      </c>
      <c r="H47" s="47">
        <f>IF(B$25=0,0,G47/B$25)</f>
        <v>0</v>
      </c>
      <c r="I47" s="118">
        <v>1</v>
      </c>
    </row>
    <row r="48" spans="5:9" x14ac:dyDescent="0.4">
      <c r="E48" s="82" t="s">
        <v>113</v>
      </c>
      <c r="F48" s="78" t="s">
        <v>63</v>
      </c>
      <c r="G48" s="65">
        <v>0</v>
      </c>
      <c r="H48" s="47">
        <f>IF(B$25=0,0,G48/B$25)</f>
        <v>0</v>
      </c>
      <c r="I48" s="118">
        <v>1</v>
      </c>
    </row>
    <row r="49" spans="5:9" x14ac:dyDescent="0.4">
      <c r="E49" s="82" t="s">
        <v>114</v>
      </c>
      <c r="F49" s="78" t="s">
        <v>64</v>
      </c>
      <c r="G49" s="65">
        <v>0</v>
      </c>
      <c r="H49" s="47">
        <f>IF(B$25=0,0,G49/B$25)</f>
        <v>0</v>
      </c>
      <c r="I49" s="118">
        <v>1</v>
      </c>
    </row>
    <row r="50" spans="5:9" x14ac:dyDescent="0.4">
      <c r="E50" s="82" t="s">
        <v>115</v>
      </c>
      <c r="F50" s="78" t="s">
        <v>65</v>
      </c>
      <c r="G50" s="65">
        <v>0</v>
      </c>
      <c r="H50" s="47">
        <f>IF(B$25=0,0,G50/B$25)</f>
        <v>0</v>
      </c>
      <c r="I50" s="118">
        <v>1</v>
      </c>
    </row>
    <row r="51" spans="5:9" x14ac:dyDescent="0.4">
      <c r="E51" s="83" t="s">
        <v>116</v>
      </c>
      <c r="F51" s="79" t="s">
        <v>66</v>
      </c>
      <c r="G51" s="67">
        <v>0</v>
      </c>
      <c r="H51" s="51">
        <f>IF(B$25=0,0,G51/B$25)</f>
        <v>0</v>
      </c>
      <c r="I51" s="119">
        <v>1</v>
      </c>
    </row>
  </sheetData>
  <sortState ref="N10:Q14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1A6BD-CCFB-4DBD-BAEE-0528CAA83EC5}">
  <sheetPr codeName="Sheet19"/>
  <dimension ref="A1:Q56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4" customWidth="1"/>
    <col min="13" max="13" width="3.5" style="41" customWidth="1"/>
    <col min="14" max="14" width="9" style="46" customWidth="1"/>
    <col min="15" max="15" width="9" style="127" customWidth="1"/>
    <col min="16" max="16" width="3.5" style="156" customWidth="1"/>
    <col min="17" max="17" width="3.5" style="157" customWidth="1"/>
    <col min="18" max="16384" width="9" style="41"/>
  </cols>
  <sheetData>
    <row r="1" spans="1:17" x14ac:dyDescent="0.4">
      <c r="A1" s="71" t="s">
        <v>0</v>
      </c>
      <c r="B1" s="133" t="s">
        <v>136</v>
      </c>
      <c r="C1" s="134"/>
      <c r="E1" s="80" t="s">
        <v>160</v>
      </c>
      <c r="F1" s="129" t="s">
        <v>120</v>
      </c>
      <c r="G1" s="128" t="s">
        <v>121</v>
      </c>
      <c r="H1" s="129" t="s">
        <v>122</v>
      </c>
      <c r="I1" s="129" t="s">
        <v>231</v>
      </c>
      <c r="K1" s="42" t="s">
        <v>20</v>
      </c>
      <c r="L1" s="43" t="s">
        <v>125</v>
      </c>
      <c r="N1" s="42" t="s">
        <v>156</v>
      </c>
      <c r="O1" s="129" t="s">
        <v>157</v>
      </c>
      <c r="P1" s="59" t="s">
        <v>238</v>
      </c>
      <c r="Q1" s="55" t="s">
        <v>121</v>
      </c>
    </row>
    <row r="2" spans="1:17" x14ac:dyDescent="0.4">
      <c r="A2" s="72" t="s">
        <v>9</v>
      </c>
      <c r="B2" s="135">
        <v>54</v>
      </c>
      <c r="C2" s="136"/>
      <c r="E2" s="81" t="s">
        <v>71</v>
      </c>
      <c r="F2" s="77" t="s">
        <v>25</v>
      </c>
      <c r="G2" s="64">
        <v>52</v>
      </c>
      <c r="H2" s="45">
        <f>IF(B$25=0,0,G2/B$25)</f>
        <v>0.94545454545454544</v>
      </c>
      <c r="I2" s="117">
        <v>4</v>
      </c>
      <c r="K2" s="44">
        <v>0</v>
      </c>
      <c r="L2" s="123">
        <v>0</v>
      </c>
      <c r="N2" s="44" t="s">
        <v>150</v>
      </c>
      <c r="O2" s="130">
        <f t="shared" ref="O2:O7" si="0">IF(Q2=0,0,P2/Q2)</f>
        <v>-2531.4814814814813</v>
      </c>
      <c r="P2" s="60">
        <v>-136700</v>
      </c>
      <c r="Q2" s="58">
        <v>54</v>
      </c>
    </row>
    <row r="3" spans="1:17" x14ac:dyDescent="0.4">
      <c r="A3" s="73" t="s">
        <v>8</v>
      </c>
      <c r="B3" s="137">
        <v>424</v>
      </c>
      <c r="C3" s="138"/>
      <c r="E3" s="82" t="s">
        <v>76</v>
      </c>
      <c r="F3" s="78" t="s">
        <v>29</v>
      </c>
      <c r="G3" s="65">
        <v>38</v>
      </c>
      <c r="H3" s="47">
        <f>IF(B$25=0,0,G3/B$25)</f>
        <v>0.69090909090909092</v>
      </c>
      <c r="I3" s="118">
        <v>2</v>
      </c>
      <c r="K3" s="46">
        <v>1</v>
      </c>
      <c r="L3" s="124">
        <v>68.2</v>
      </c>
      <c r="N3" s="46" t="s">
        <v>151</v>
      </c>
      <c r="O3" s="131">
        <f t="shared" si="0"/>
        <v>-3470.5882352941176</v>
      </c>
      <c r="P3" s="61">
        <v>-177000</v>
      </c>
      <c r="Q3" s="56">
        <v>51</v>
      </c>
    </row>
    <row r="4" spans="1:17" x14ac:dyDescent="0.4">
      <c r="A4" s="73" t="s">
        <v>6</v>
      </c>
      <c r="B4" s="139">
        <v>-423.99999999999994</v>
      </c>
      <c r="C4" s="140"/>
      <c r="E4" s="82" t="s">
        <v>69</v>
      </c>
      <c r="F4" s="78" t="s">
        <v>23</v>
      </c>
      <c r="G4" s="65">
        <v>36</v>
      </c>
      <c r="H4" s="47">
        <f>IF(B$25=0,0,G4/B$25)</f>
        <v>0.65454545454545454</v>
      </c>
      <c r="I4" s="118">
        <v>7</v>
      </c>
      <c r="K4" s="46">
        <v>2</v>
      </c>
      <c r="L4" s="124">
        <v>58.5</v>
      </c>
      <c r="N4" s="46" t="s">
        <v>152</v>
      </c>
      <c r="O4" s="131">
        <f t="shared" si="0"/>
        <v>-1304.5454545454545</v>
      </c>
      <c r="P4" s="61">
        <v>-57400</v>
      </c>
      <c r="Q4" s="56">
        <v>44</v>
      </c>
    </row>
    <row r="5" spans="1:17" x14ac:dyDescent="0.4">
      <c r="A5" s="73" t="s">
        <v>7</v>
      </c>
      <c r="B5" s="141">
        <f>IF(B$2=0,0,B$4/B$2)</f>
        <v>-7.8518518518518512</v>
      </c>
      <c r="C5" s="142"/>
      <c r="E5" s="82" t="s">
        <v>67</v>
      </c>
      <c r="F5" s="78" t="s">
        <v>21</v>
      </c>
      <c r="G5" s="65">
        <v>24</v>
      </c>
      <c r="H5" s="47">
        <f>IF(B$25=0,0,G5/B$25)</f>
        <v>0.43636363636363634</v>
      </c>
      <c r="I5" s="118">
        <v>10</v>
      </c>
      <c r="K5" s="46">
        <v>3</v>
      </c>
      <c r="L5" s="124">
        <v>82.1</v>
      </c>
      <c r="N5" s="46" t="s">
        <v>153</v>
      </c>
      <c r="O5" s="131">
        <f t="shared" si="0"/>
        <v>1559.5238095238096</v>
      </c>
      <c r="P5" s="61">
        <v>65500</v>
      </c>
      <c r="Q5" s="56">
        <v>42</v>
      </c>
    </row>
    <row r="6" spans="1:17" x14ac:dyDescent="0.4">
      <c r="A6" s="73" t="s">
        <v>1</v>
      </c>
      <c r="B6" s="147">
        <f>IF(B$2=0,0,(B$7*1+B$8*2+B$9*3)/B$2)</f>
        <v>2.2222222222222223</v>
      </c>
      <c r="C6" s="148"/>
      <c r="E6" s="82" t="s">
        <v>72</v>
      </c>
      <c r="F6" s="78" t="s">
        <v>12</v>
      </c>
      <c r="G6" s="65">
        <v>13</v>
      </c>
      <c r="H6" s="47">
        <f>IF(B$25=0,0,G6/B$25)</f>
        <v>0.23636363636363636</v>
      </c>
      <c r="I6" s="118">
        <v>9</v>
      </c>
      <c r="K6" s="46">
        <v>4</v>
      </c>
      <c r="L6" s="124">
        <v>57.699999999999996</v>
      </c>
      <c r="N6" s="46" t="s">
        <v>154</v>
      </c>
      <c r="O6" s="131">
        <f t="shared" si="0"/>
        <v>-2739.3939393939395</v>
      </c>
      <c r="P6" s="61">
        <v>-90400</v>
      </c>
      <c r="Q6" s="56">
        <v>33</v>
      </c>
    </row>
    <row r="7" spans="1:17" x14ac:dyDescent="0.4">
      <c r="A7" s="73" t="s">
        <v>2</v>
      </c>
      <c r="B7" s="65">
        <v>11</v>
      </c>
      <c r="C7" s="47">
        <f>IF(B$2=0,0,B7/B$2)</f>
        <v>0.20370370370370369</v>
      </c>
      <c r="E7" s="82" t="s">
        <v>68</v>
      </c>
      <c r="F7" s="78" t="s">
        <v>22</v>
      </c>
      <c r="G7" s="65">
        <v>7</v>
      </c>
      <c r="H7" s="47">
        <f>IF(B$25=0,0,G7/B$25)</f>
        <v>0.12727272727272726</v>
      </c>
      <c r="I7" s="118">
        <v>6</v>
      </c>
      <c r="K7" s="46">
        <v>5</v>
      </c>
      <c r="L7" s="124">
        <v>123.69999999999999</v>
      </c>
      <c r="N7" s="50" t="s">
        <v>155</v>
      </c>
      <c r="O7" s="132">
        <f t="shared" si="0"/>
        <v>-1037.037037037037</v>
      </c>
      <c r="P7" s="62">
        <v>-28000</v>
      </c>
      <c r="Q7" s="57">
        <v>27</v>
      </c>
    </row>
    <row r="8" spans="1:17" x14ac:dyDescent="0.4">
      <c r="A8" s="73" t="s">
        <v>3</v>
      </c>
      <c r="B8" s="65">
        <v>20</v>
      </c>
      <c r="C8" s="47">
        <f t="shared" ref="C8:C9" si="1">IF(B$2=0,0,B8/B$2)</f>
        <v>0.37037037037037035</v>
      </c>
      <c r="E8" s="82" t="s">
        <v>70</v>
      </c>
      <c r="F8" s="78" t="s">
        <v>24</v>
      </c>
      <c r="G8" s="65">
        <v>5</v>
      </c>
      <c r="H8" s="47">
        <f>IF(B$25=0,0,G8/B$25)</f>
        <v>9.0909090909090912E-2</v>
      </c>
      <c r="I8" s="118">
        <v>12</v>
      </c>
      <c r="K8" s="46">
        <v>6</v>
      </c>
      <c r="L8" s="124">
        <v>125.19999999999999</v>
      </c>
      <c r="N8" s="41"/>
      <c r="O8" s="41"/>
      <c r="P8" s="41"/>
      <c r="Q8" s="41"/>
    </row>
    <row r="9" spans="1:17" x14ac:dyDescent="0.4">
      <c r="A9" s="74" t="s">
        <v>4</v>
      </c>
      <c r="B9" s="66">
        <v>23</v>
      </c>
      <c r="C9" s="48">
        <f t="shared" si="1"/>
        <v>0.42592592592592593</v>
      </c>
      <c r="E9" s="82" t="s">
        <v>73</v>
      </c>
      <c r="F9" s="78" t="s">
        <v>26</v>
      </c>
      <c r="G9" s="65">
        <v>4</v>
      </c>
      <c r="H9" s="47">
        <f>IF(B$25=0,0,G9/B$25)</f>
        <v>7.2727272727272724E-2</v>
      </c>
      <c r="I9" s="118">
        <v>11</v>
      </c>
      <c r="K9" s="46">
        <v>7</v>
      </c>
      <c r="L9" s="124">
        <v>129</v>
      </c>
      <c r="N9" s="42" t="s">
        <v>235</v>
      </c>
      <c r="O9" s="129" t="s">
        <v>125</v>
      </c>
      <c r="P9" s="153" t="s">
        <v>238</v>
      </c>
      <c r="Q9" s="125" t="s">
        <v>121</v>
      </c>
    </row>
    <row r="10" spans="1:17" x14ac:dyDescent="0.4">
      <c r="A10" s="74" t="s">
        <v>19</v>
      </c>
      <c r="B10" s="66">
        <v>11</v>
      </c>
      <c r="C10" s="48">
        <f>IF(B$2=0,0,B10/B$2)</f>
        <v>0.20370370370370369</v>
      </c>
      <c r="E10" s="82" t="s">
        <v>94</v>
      </c>
      <c r="F10" s="78" t="s">
        <v>47</v>
      </c>
      <c r="G10" s="65">
        <v>4</v>
      </c>
      <c r="H10" s="47">
        <f>IF(B$25=0,0,G10/B$25)</f>
        <v>7.2727272727272724E-2</v>
      </c>
      <c r="I10" s="118">
        <v>8</v>
      </c>
      <c r="K10" s="46">
        <v>8</v>
      </c>
      <c r="L10" s="124">
        <v>96.5</v>
      </c>
      <c r="N10" s="44" t="s">
        <v>161</v>
      </c>
      <c r="O10" s="126">
        <f>IF(Q10=0,0,P10/Q10)</f>
        <v>13.899999999999999</v>
      </c>
      <c r="P10" s="154">
        <v>27.799999999999997</v>
      </c>
      <c r="Q10" s="155">
        <v>2</v>
      </c>
    </row>
    <row r="11" spans="1:17" x14ac:dyDescent="0.4">
      <c r="A11" s="75" t="s">
        <v>158</v>
      </c>
      <c r="B11" s="67">
        <v>7</v>
      </c>
      <c r="C11" s="51">
        <f>IF(B$2=0,0,B11/B$2)</f>
        <v>0.12962962962962962</v>
      </c>
      <c r="E11" s="82" t="s">
        <v>74</v>
      </c>
      <c r="F11" s="78" t="s">
        <v>27</v>
      </c>
      <c r="G11" s="65">
        <v>3</v>
      </c>
      <c r="H11" s="47">
        <f>IF(B$25=0,0,G11/B$25)</f>
        <v>5.4545454545454543E-2</v>
      </c>
      <c r="I11" s="118">
        <v>9</v>
      </c>
      <c r="K11" s="46">
        <v>9</v>
      </c>
      <c r="L11" s="124">
        <v>82.8</v>
      </c>
      <c r="N11" s="46" t="s">
        <v>137</v>
      </c>
      <c r="O11" s="127">
        <f>IF(Q11=0,0,P11/Q11)</f>
        <v>4.1782608695652161</v>
      </c>
      <c r="P11" s="156">
        <v>96.09999999999998</v>
      </c>
      <c r="Q11" s="157">
        <v>23</v>
      </c>
    </row>
    <row r="12" spans="1:17" x14ac:dyDescent="0.4">
      <c r="A12" s="76" t="s">
        <v>128</v>
      </c>
      <c r="B12" s="68">
        <v>57</v>
      </c>
      <c r="C12" s="54">
        <f>IF(B$24=0,0,B12/B$24)</f>
        <v>0.24050632911392406</v>
      </c>
      <c r="E12" s="82" t="s">
        <v>75</v>
      </c>
      <c r="F12" s="78" t="s">
        <v>28</v>
      </c>
      <c r="G12" s="65">
        <v>3</v>
      </c>
      <c r="H12" s="47">
        <f>IF(B$25=0,0,G12/B$25)</f>
        <v>5.4545454545454543E-2</v>
      </c>
      <c r="I12" s="118">
        <v>4</v>
      </c>
      <c r="K12" s="46">
        <v>10</v>
      </c>
      <c r="L12" s="124">
        <v>110.5</v>
      </c>
      <c r="N12" s="46" t="s">
        <v>139</v>
      </c>
      <c r="O12" s="127">
        <f>IF(Q12=0,0,P12/Q12)</f>
        <v>-0.23999999999999844</v>
      </c>
      <c r="P12" s="156">
        <v>-1.1999999999999922</v>
      </c>
      <c r="Q12" s="157">
        <v>5</v>
      </c>
    </row>
    <row r="13" spans="1:17" x14ac:dyDescent="0.4">
      <c r="A13" s="73" t="s">
        <v>123</v>
      </c>
      <c r="B13" s="65">
        <v>64</v>
      </c>
      <c r="C13" s="47">
        <f>IF(B$24=0,0,B13/B$24)</f>
        <v>0.27004219409282698</v>
      </c>
      <c r="E13" s="82" t="s">
        <v>91</v>
      </c>
      <c r="F13" s="78" t="s">
        <v>44</v>
      </c>
      <c r="G13" s="65">
        <v>3</v>
      </c>
      <c r="H13" s="47">
        <f>IF(B$25=0,0,G13/B$25)</f>
        <v>5.4545454545454543E-2</v>
      </c>
      <c r="I13" s="118">
        <v>8</v>
      </c>
      <c r="K13" s="46">
        <v>11</v>
      </c>
      <c r="L13" s="124">
        <v>138.19999999999999</v>
      </c>
      <c r="N13" s="46" t="s">
        <v>135</v>
      </c>
      <c r="O13" s="127">
        <f>IF(Q13=0,0,P13/Q13)</f>
        <v>-1.25</v>
      </c>
      <c r="P13" s="156">
        <v>-2.5</v>
      </c>
      <c r="Q13" s="157">
        <v>2</v>
      </c>
    </row>
    <row r="14" spans="1:17" x14ac:dyDescent="0.4">
      <c r="A14" s="72" t="s">
        <v>130</v>
      </c>
      <c r="B14" s="64">
        <v>23</v>
      </c>
      <c r="C14" s="45">
        <f>IF(B$12=0,0,B14/B$12)</f>
        <v>0.40350877192982454</v>
      </c>
      <c r="E14" s="82" t="s">
        <v>82</v>
      </c>
      <c r="F14" s="78" t="s">
        <v>35</v>
      </c>
      <c r="G14" s="65">
        <v>2</v>
      </c>
      <c r="H14" s="47">
        <f>IF(B$25=0,0,G14/B$25)</f>
        <v>3.6363636363636362E-2</v>
      </c>
      <c r="I14" s="118">
        <v>4</v>
      </c>
      <c r="K14" s="46">
        <v>12</v>
      </c>
      <c r="L14" s="124">
        <v>99.299999999999983</v>
      </c>
      <c r="N14" s="46" t="s">
        <v>133</v>
      </c>
      <c r="O14" s="127">
        <f>IF(Q14=0,0,P14/Q14)</f>
        <v>-9.8914893617021278</v>
      </c>
      <c r="P14" s="156">
        <v>-464.9</v>
      </c>
      <c r="Q14" s="157">
        <v>47</v>
      </c>
    </row>
    <row r="15" spans="1:17" x14ac:dyDescent="0.4">
      <c r="A15" s="72" t="s">
        <v>131</v>
      </c>
      <c r="B15" s="64">
        <v>24</v>
      </c>
      <c r="C15" s="45">
        <f>IF(B$13=0,0,B15/B$13)</f>
        <v>0.375</v>
      </c>
      <c r="E15" s="82" t="s">
        <v>83</v>
      </c>
      <c r="F15" s="78" t="s">
        <v>36</v>
      </c>
      <c r="G15" s="65">
        <v>2</v>
      </c>
      <c r="H15" s="47">
        <f>IF(B$25=0,0,G15/B$25)</f>
        <v>3.6363636363636362E-2</v>
      </c>
      <c r="I15" s="118">
        <v>3</v>
      </c>
      <c r="K15" s="46">
        <v>13</v>
      </c>
      <c r="L15" s="124">
        <v>61.299999999999983</v>
      </c>
      <c r="N15" s="46" t="s">
        <v>138</v>
      </c>
      <c r="O15" s="127">
        <f>IF(Q15=0,0,P15/Q15)</f>
        <v>-12.699999999999996</v>
      </c>
      <c r="P15" s="156">
        <v>-190.49999999999994</v>
      </c>
      <c r="Q15" s="157">
        <v>15</v>
      </c>
    </row>
    <row r="16" spans="1:17" x14ac:dyDescent="0.4">
      <c r="A16" s="72" t="s">
        <v>10</v>
      </c>
      <c r="B16" s="64">
        <f>B18+B17</f>
        <v>109</v>
      </c>
      <c r="C16" s="45">
        <f>IF(B$3=0,0,B16/B$3)</f>
        <v>0.25707547169811323</v>
      </c>
      <c r="E16" s="82" t="s">
        <v>79</v>
      </c>
      <c r="F16" s="78" t="s">
        <v>32</v>
      </c>
      <c r="G16" s="65">
        <v>1</v>
      </c>
      <c r="H16" s="47">
        <f>IF(B$25=0,0,G16/B$25)</f>
        <v>1.8181818181818181E-2</v>
      </c>
      <c r="I16" s="118">
        <v>1</v>
      </c>
      <c r="K16" s="46">
        <v>14</v>
      </c>
      <c r="L16" s="124">
        <v>40.999999999999986</v>
      </c>
      <c r="N16" s="46" t="s">
        <v>134</v>
      </c>
      <c r="O16" s="127">
        <f>IF(Q16=0,0,P16/Q16)</f>
        <v>-22.342857142857145</v>
      </c>
      <c r="P16" s="156">
        <v>-312.8</v>
      </c>
      <c r="Q16" s="157">
        <v>14</v>
      </c>
    </row>
    <row r="17" spans="1:12" x14ac:dyDescent="0.4">
      <c r="A17" s="73" t="s">
        <v>12</v>
      </c>
      <c r="B17" s="65">
        <v>49</v>
      </c>
      <c r="C17" s="47">
        <f>IF(B$16=0,0,B17/B$16)</f>
        <v>0.44954128440366975</v>
      </c>
      <c r="E17" s="82" t="s">
        <v>86</v>
      </c>
      <c r="F17" s="78" t="s">
        <v>39</v>
      </c>
      <c r="G17" s="65">
        <v>1</v>
      </c>
      <c r="H17" s="47">
        <f>IF(B$25=0,0,G17/B$25)</f>
        <v>1.8181818181818181E-2</v>
      </c>
      <c r="I17" s="118">
        <v>8</v>
      </c>
      <c r="K17" s="46">
        <v>15</v>
      </c>
      <c r="L17" s="124">
        <v>32.499999999999986</v>
      </c>
    </row>
    <row r="18" spans="1:12" x14ac:dyDescent="0.4">
      <c r="A18" s="73" t="s">
        <v>11</v>
      </c>
      <c r="B18" s="65">
        <v>60</v>
      </c>
      <c r="C18" s="47">
        <f>IF(B$16=0,0,B18/B$16)</f>
        <v>0.55045871559633031</v>
      </c>
      <c r="E18" s="82" t="s">
        <v>88</v>
      </c>
      <c r="F18" s="78" t="s">
        <v>41</v>
      </c>
      <c r="G18" s="65">
        <v>1</v>
      </c>
      <c r="H18" s="47">
        <f>IF(B$25=0,0,G18/B$25)</f>
        <v>1.8181818181818181E-2</v>
      </c>
      <c r="I18" s="118">
        <v>8</v>
      </c>
      <c r="K18" s="46">
        <v>16</v>
      </c>
      <c r="L18" s="124">
        <v>-6.0000000000000142</v>
      </c>
    </row>
    <row r="19" spans="1:12" x14ac:dyDescent="0.4">
      <c r="A19" s="73" t="s">
        <v>13</v>
      </c>
      <c r="B19" s="65">
        <v>84</v>
      </c>
      <c r="C19" s="47">
        <f>IF(B$3=0,0,B19/B$3)</f>
        <v>0.19811320754716982</v>
      </c>
      <c r="E19" s="82" t="s">
        <v>77</v>
      </c>
      <c r="F19" s="78" t="s">
        <v>30</v>
      </c>
      <c r="G19" s="65">
        <v>0</v>
      </c>
      <c r="H19" s="47">
        <f>IF(B$25=0,0,G19/B$25)</f>
        <v>0</v>
      </c>
      <c r="I19" s="118">
        <v>5</v>
      </c>
      <c r="K19" s="46">
        <v>17</v>
      </c>
      <c r="L19" s="124">
        <v>-17.600000000000016</v>
      </c>
    </row>
    <row r="20" spans="1:12" x14ac:dyDescent="0.4">
      <c r="A20" s="73" t="s">
        <v>5</v>
      </c>
      <c r="B20" s="69">
        <f>IF(B$16=0,0,C20/B$16)</f>
        <v>9361.4678899082573</v>
      </c>
      <c r="C20" s="49">
        <v>1020400</v>
      </c>
      <c r="E20" s="82" t="s">
        <v>78</v>
      </c>
      <c r="F20" s="78" t="s">
        <v>31</v>
      </c>
      <c r="G20" s="65">
        <v>0</v>
      </c>
      <c r="H20" s="47">
        <f>IF(B$25=0,0,G20/B$25)</f>
        <v>0</v>
      </c>
      <c r="I20" s="118">
        <v>4</v>
      </c>
      <c r="K20" s="46">
        <v>18</v>
      </c>
      <c r="L20" s="124">
        <v>-17.300000000000015</v>
      </c>
    </row>
    <row r="21" spans="1:12" x14ac:dyDescent="0.4">
      <c r="A21" s="75" t="s">
        <v>14</v>
      </c>
      <c r="B21" s="70">
        <f>IF(B$19=0,0,C21/B$19)</f>
        <v>-9384.5238095238092</v>
      </c>
      <c r="C21" s="63">
        <v>-788300</v>
      </c>
      <c r="E21" s="82" t="s">
        <v>80</v>
      </c>
      <c r="F21" s="78" t="s">
        <v>33</v>
      </c>
      <c r="G21" s="65">
        <v>0</v>
      </c>
      <c r="H21" s="47">
        <f>IF(B$25=0,0,G21/B$25)</f>
        <v>0</v>
      </c>
      <c r="I21" s="118">
        <v>1</v>
      </c>
      <c r="K21" s="46">
        <v>19</v>
      </c>
      <c r="L21" s="124">
        <v>-2.6000000000000156</v>
      </c>
    </row>
    <row r="22" spans="1:12" x14ac:dyDescent="0.4">
      <c r="A22" s="72" t="s">
        <v>147</v>
      </c>
      <c r="B22" s="64">
        <v>121</v>
      </c>
      <c r="C22" s="45">
        <f>IF(B$3=0,0,B22/B$3)</f>
        <v>0.28537735849056606</v>
      </c>
      <c r="E22" s="82" t="s">
        <v>81</v>
      </c>
      <c r="F22" s="78" t="s">
        <v>34</v>
      </c>
      <c r="G22" s="65">
        <v>0</v>
      </c>
      <c r="H22" s="47">
        <f>IF(B$25=0,0,G22/B$25)</f>
        <v>0</v>
      </c>
      <c r="I22" s="118">
        <v>6</v>
      </c>
      <c r="K22" s="46">
        <v>20</v>
      </c>
      <c r="L22" s="124">
        <v>45.399999999999984</v>
      </c>
    </row>
    <row r="23" spans="1:12" x14ac:dyDescent="0.4">
      <c r="A23" s="75" t="s">
        <v>148</v>
      </c>
      <c r="B23" s="67">
        <v>43</v>
      </c>
      <c r="C23" s="51">
        <f>IF(B$22=0,0,B23/B$22)</f>
        <v>0.35537190082644626</v>
      </c>
      <c r="E23" s="82" t="s">
        <v>84</v>
      </c>
      <c r="F23" s="78" t="s">
        <v>37</v>
      </c>
      <c r="G23" s="65">
        <v>0</v>
      </c>
      <c r="H23" s="47">
        <f>IF(B$25=0,0,G23/B$25)</f>
        <v>0</v>
      </c>
      <c r="I23" s="118">
        <v>1</v>
      </c>
      <c r="K23" s="46">
        <v>21</v>
      </c>
      <c r="L23" s="124">
        <v>3.5999999999999872</v>
      </c>
    </row>
    <row r="24" spans="1:12" x14ac:dyDescent="0.4">
      <c r="A24" s="72" t="s">
        <v>126</v>
      </c>
      <c r="B24" s="135">
        <v>237</v>
      </c>
      <c r="C24" s="136"/>
      <c r="E24" s="82" t="s">
        <v>85</v>
      </c>
      <c r="F24" s="78" t="s">
        <v>38</v>
      </c>
      <c r="G24" s="65">
        <v>0</v>
      </c>
      <c r="H24" s="47">
        <f>IF(B$25=0,0,G24/B$25)</f>
        <v>0</v>
      </c>
      <c r="I24" s="118">
        <v>3</v>
      </c>
      <c r="K24" s="46">
        <v>22</v>
      </c>
      <c r="L24" s="124">
        <v>-1.9000000000000128</v>
      </c>
    </row>
    <row r="25" spans="1:12" x14ac:dyDescent="0.4">
      <c r="A25" s="75" t="s">
        <v>127</v>
      </c>
      <c r="B25" s="149">
        <v>55</v>
      </c>
      <c r="C25" s="150"/>
      <c r="E25" s="82" t="s">
        <v>87</v>
      </c>
      <c r="F25" s="78" t="s">
        <v>40</v>
      </c>
      <c r="G25" s="65">
        <v>0</v>
      </c>
      <c r="H25" s="47">
        <f>IF(B$25=0,0,G25/B$25)</f>
        <v>0</v>
      </c>
      <c r="I25" s="118">
        <v>1</v>
      </c>
      <c r="K25" s="46">
        <v>23</v>
      </c>
      <c r="L25" s="124">
        <v>22.999999999999986</v>
      </c>
    </row>
    <row r="26" spans="1:12" x14ac:dyDescent="0.4">
      <c r="A26" s="113" t="s">
        <v>162</v>
      </c>
      <c r="B26" s="145">
        <v>5</v>
      </c>
      <c r="C26" s="146"/>
      <c r="E26" s="82" t="s">
        <v>89</v>
      </c>
      <c r="F26" s="78" t="s">
        <v>42</v>
      </c>
      <c r="G26" s="65">
        <v>0</v>
      </c>
      <c r="H26" s="47">
        <f>IF(B$25=0,0,G26/B$25)</f>
        <v>0</v>
      </c>
      <c r="I26" s="118">
        <v>5</v>
      </c>
      <c r="K26" s="46">
        <v>24</v>
      </c>
      <c r="L26" s="124">
        <v>9.0999999999999854</v>
      </c>
    </row>
    <row r="27" spans="1:12" x14ac:dyDescent="0.4">
      <c r="A27" s="76" t="s">
        <v>203</v>
      </c>
      <c r="B27" s="143">
        <v>103200</v>
      </c>
      <c r="C27" s="144"/>
      <c r="E27" s="82" t="s">
        <v>90</v>
      </c>
      <c r="F27" s="78" t="s">
        <v>43</v>
      </c>
      <c r="G27" s="65">
        <v>0</v>
      </c>
      <c r="H27" s="47">
        <f>IF(B$25=0,0,G27/B$25)</f>
        <v>0</v>
      </c>
      <c r="I27" s="118">
        <v>5</v>
      </c>
      <c r="K27" s="46">
        <v>25</v>
      </c>
      <c r="L27" s="124">
        <v>0.79999999999998472</v>
      </c>
    </row>
    <row r="28" spans="1:12" x14ac:dyDescent="0.4">
      <c r="A28" s="75" t="s">
        <v>163</v>
      </c>
      <c r="B28" s="84">
        <v>2</v>
      </c>
      <c r="C28" s="51">
        <f>IF(B$3=0,0,B28/B$3)</f>
        <v>4.7169811320754715E-3</v>
      </c>
      <c r="E28" s="82" t="s">
        <v>92</v>
      </c>
      <c r="F28" s="78" t="s">
        <v>45</v>
      </c>
      <c r="G28" s="65">
        <v>0</v>
      </c>
      <c r="H28" s="47">
        <f>IF(B$25=0,0,G28/B$25)</f>
        <v>0</v>
      </c>
      <c r="I28" s="118">
        <v>4</v>
      </c>
      <c r="K28" s="46">
        <v>26</v>
      </c>
      <c r="L28" s="124">
        <v>-10.200000000000015</v>
      </c>
    </row>
    <row r="29" spans="1:12" x14ac:dyDescent="0.4">
      <c r="E29" s="82" t="s">
        <v>93</v>
      </c>
      <c r="F29" s="78" t="s">
        <v>46</v>
      </c>
      <c r="G29" s="65">
        <v>0</v>
      </c>
      <c r="H29" s="47">
        <f>IF(B$25=0,0,G29/B$25)</f>
        <v>0</v>
      </c>
      <c r="I29" s="118">
        <v>3</v>
      </c>
      <c r="K29" s="46">
        <v>27</v>
      </c>
      <c r="L29" s="124">
        <v>-32.100000000000016</v>
      </c>
    </row>
    <row r="30" spans="1:12" x14ac:dyDescent="0.4">
      <c r="E30" s="82" t="s">
        <v>95</v>
      </c>
      <c r="F30" s="78" t="s">
        <v>48</v>
      </c>
      <c r="G30" s="65">
        <v>0</v>
      </c>
      <c r="H30" s="47">
        <f>IF(B$25=0,0,G30/B$25)</f>
        <v>0</v>
      </c>
      <c r="I30" s="118">
        <v>3</v>
      </c>
      <c r="K30" s="46">
        <v>28</v>
      </c>
      <c r="L30" s="124">
        <v>-26.000000000000014</v>
      </c>
    </row>
    <row r="31" spans="1:12" x14ac:dyDescent="0.4">
      <c r="E31" s="82" t="s">
        <v>96</v>
      </c>
      <c r="F31" s="78" t="s">
        <v>49</v>
      </c>
      <c r="G31" s="65">
        <v>0</v>
      </c>
      <c r="H31" s="47">
        <f>IF(B$25=0,0,G31/B$25)</f>
        <v>0</v>
      </c>
      <c r="I31" s="118">
        <v>8</v>
      </c>
      <c r="K31" s="46">
        <v>29</v>
      </c>
      <c r="L31" s="124">
        <v>-25.400000000000013</v>
      </c>
    </row>
    <row r="32" spans="1:12" x14ac:dyDescent="0.4">
      <c r="E32" s="82" t="s">
        <v>97</v>
      </c>
      <c r="F32" s="78" t="s">
        <v>50</v>
      </c>
      <c r="G32" s="65">
        <v>0</v>
      </c>
      <c r="H32" s="47">
        <f>IF(B$25=0,0,G32/B$25)</f>
        <v>0</v>
      </c>
      <c r="I32" s="118">
        <v>6</v>
      </c>
      <c r="K32" s="46">
        <v>30</v>
      </c>
      <c r="L32" s="124">
        <v>14.79999999999999</v>
      </c>
    </row>
    <row r="33" spans="5:12" x14ac:dyDescent="0.4">
      <c r="E33" s="82" t="s">
        <v>98</v>
      </c>
      <c r="F33" s="78" t="s">
        <v>51</v>
      </c>
      <c r="G33" s="65">
        <v>0</v>
      </c>
      <c r="H33" s="47">
        <f>IF(B$25=0,0,G33/B$25)</f>
        <v>0</v>
      </c>
      <c r="I33" s="118">
        <v>4</v>
      </c>
      <c r="K33" s="46">
        <v>31</v>
      </c>
      <c r="L33" s="124">
        <v>-20.900000000000013</v>
      </c>
    </row>
    <row r="34" spans="5:12" x14ac:dyDescent="0.4">
      <c r="E34" s="82" t="s">
        <v>99</v>
      </c>
      <c r="F34" s="78" t="s">
        <v>52</v>
      </c>
      <c r="G34" s="65">
        <v>0</v>
      </c>
      <c r="H34" s="47">
        <f>IF(B$25=0,0,G34/B$25)</f>
        <v>0</v>
      </c>
      <c r="I34" s="118">
        <v>1</v>
      </c>
      <c r="K34" s="46">
        <v>32</v>
      </c>
      <c r="L34" s="124">
        <v>-36.900000000000013</v>
      </c>
    </row>
    <row r="35" spans="5:12" x14ac:dyDescent="0.4">
      <c r="E35" s="82" t="s">
        <v>100</v>
      </c>
      <c r="F35" s="78" t="s">
        <v>53</v>
      </c>
      <c r="G35" s="65">
        <v>0</v>
      </c>
      <c r="H35" s="47">
        <f>IF(B$25=0,0,G35/B$25)</f>
        <v>0</v>
      </c>
      <c r="I35" s="118">
        <v>3</v>
      </c>
      <c r="K35" s="46">
        <v>33</v>
      </c>
      <c r="L35" s="124">
        <v>-42.70000000000001</v>
      </c>
    </row>
    <row r="36" spans="5:12" x14ac:dyDescent="0.4">
      <c r="E36" s="82" t="s">
        <v>101</v>
      </c>
      <c r="F36" s="78" t="s">
        <v>54</v>
      </c>
      <c r="G36" s="65">
        <v>0</v>
      </c>
      <c r="H36" s="47">
        <f>IF(B$25=0,0,G36/B$25)</f>
        <v>0</v>
      </c>
      <c r="I36" s="118">
        <v>1</v>
      </c>
      <c r="K36" s="46">
        <v>34</v>
      </c>
      <c r="L36" s="124">
        <v>-94.600000000000009</v>
      </c>
    </row>
    <row r="37" spans="5:12" x14ac:dyDescent="0.4">
      <c r="E37" s="82" t="s">
        <v>102</v>
      </c>
      <c r="F37" s="78" t="s">
        <v>55</v>
      </c>
      <c r="G37" s="65">
        <v>0</v>
      </c>
      <c r="H37" s="47">
        <f>IF(B$25=0,0,G37/B$25)</f>
        <v>0</v>
      </c>
      <c r="I37" s="118">
        <v>1</v>
      </c>
      <c r="K37" s="46">
        <v>35</v>
      </c>
      <c r="L37" s="124">
        <v>-106.60000000000001</v>
      </c>
    </row>
    <row r="38" spans="5:12" x14ac:dyDescent="0.4">
      <c r="E38" s="82" t="s">
        <v>103</v>
      </c>
      <c r="F38" s="78" t="s">
        <v>56</v>
      </c>
      <c r="G38" s="65">
        <v>0</v>
      </c>
      <c r="H38" s="47">
        <f>IF(B$25=0,0,G38/B$25)</f>
        <v>0</v>
      </c>
      <c r="I38" s="118">
        <v>1</v>
      </c>
      <c r="K38" s="46">
        <v>36</v>
      </c>
      <c r="L38" s="124">
        <v>-73.200000000000017</v>
      </c>
    </row>
    <row r="39" spans="5:12" x14ac:dyDescent="0.4">
      <c r="E39" s="82" t="s">
        <v>104</v>
      </c>
      <c r="F39" s="78" t="s">
        <v>57</v>
      </c>
      <c r="G39" s="65">
        <v>0</v>
      </c>
      <c r="H39" s="47">
        <f>IF(B$25=0,0,G39/B$25)</f>
        <v>0</v>
      </c>
      <c r="I39" s="118">
        <v>1</v>
      </c>
      <c r="K39" s="46">
        <v>37</v>
      </c>
      <c r="L39" s="124">
        <v>-78.800000000000011</v>
      </c>
    </row>
    <row r="40" spans="5:12" x14ac:dyDescent="0.4">
      <c r="E40" s="82" t="s">
        <v>105</v>
      </c>
      <c r="F40" s="78" t="s">
        <v>58</v>
      </c>
      <c r="G40" s="65">
        <v>0</v>
      </c>
      <c r="H40" s="47">
        <f>IF(B$25=0,0,G40/B$25)</f>
        <v>0</v>
      </c>
      <c r="I40" s="118">
        <v>1</v>
      </c>
      <c r="K40" s="46">
        <v>38</v>
      </c>
      <c r="L40" s="124">
        <v>-105.80000000000001</v>
      </c>
    </row>
    <row r="41" spans="5:12" x14ac:dyDescent="0.4">
      <c r="E41" s="82" t="s">
        <v>106</v>
      </c>
      <c r="F41" s="78" t="s">
        <v>59</v>
      </c>
      <c r="G41" s="65">
        <v>0</v>
      </c>
      <c r="H41" s="47">
        <f>IF(B$25=0,0,G41/B$25)</f>
        <v>0</v>
      </c>
      <c r="I41" s="118">
        <v>1</v>
      </c>
      <c r="K41" s="46">
        <v>39</v>
      </c>
      <c r="L41" s="124">
        <v>-100.60000000000001</v>
      </c>
    </row>
    <row r="42" spans="5:12" x14ac:dyDescent="0.4">
      <c r="E42" s="82" t="s">
        <v>107</v>
      </c>
      <c r="F42" s="78" t="s">
        <v>60</v>
      </c>
      <c r="G42" s="65">
        <v>0</v>
      </c>
      <c r="H42" s="47">
        <f>IF(B$25=0,0,G42/B$25)</f>
        <v>0</v>
      </c>
      <c r="I42" s="118">
        <v>1</v>
      </c>
      <c r="K42" s="46">
        <v>40</v>
      </c>
      <c r="L42" s="124">
        <v>-108.30000000000001</v>
      </c>
    </row>
    <row r="43" spans="5:12" x14ac:dyDescent="0.4">
      <c r="E43" s="82" t="s">
        <v>108</v>
      </c>
      <c r="F43" s="78" t="s">
        <v>61</v>
      </c>
      <c r="G43" s="65">
        <v>0</v>
      </c>
      <c r="H43" s="47">
        <f>IF(B$25=0,0,G43/B$25)</f>
        <v>0</v>
      </c>
      <c r="I43" s="118">
        <v>1</v>
      </c>
      <c r="K43" s="46">
        <v>41</v>
      </c>
      <c r="L43" s="124">
        <v>-123.30000000000001</v>
      </c>
    </row>
    <row r="44" spans="5:12" x14ac:dyDescent="0.4">
      <c r="E44" s="82" t="s">
        <v>109</v>
      </c>
      <c r="F44" s="78" t="s">
        <v>62</v>
      </c>
      <c r="G44" s="65">
        <v>0</v>
      </c>
      <c r="H44" s="47">
        <f>IF(B$25=0,0,G44/B$25)</f>
        <v>0</v>
      </c>
      <c r="I44" s="118">
        <v>1</v>
      </c>
      <c r="K44" s="46">
        <v>42</v>
      </c>
      <c r="L44" s="124">
        <v>-173.9</v>
      </c>
    </row>
    <row r="45" spans="5:12" x14ac:dyDescent="0.4">
      <c r="E45" s="82" t="s">
        <v>110</v>
      </c>
      <c r="F45" s="78" t="s">
        <v>117</v>
      </c>
      <c r="G45" s="65">
        <v>0</v>
      </c>
      <c r="H45" s="47">
        <f>IF(B$25=0,0,G45/B$25)</f>
        <v>0</v>
      </c>
      <c r="I45" s="118">
        <v>1</v>
      </c>
      <c r="K45" s="46">
        <v>43</v>
      </c>
      <c r="L45" s="124">
        <v>-169.1</v>
      </c>
    </row>
    <row r="46" spans="5:12" x14ac:dyDescent="0.4">
      <c r="E46" s="82" t="s">
        <v>111</v>
      </c>
      <c r="F46" s="78" t="s">
        <v>118</v>
      </c>
      <c r="G46" s="65">
        <v>0</v>
      </c>
      <c r="H46" s="47">
        <f>IF(B$25=0,0,G46/B$25)</f>
        <v>0</v>
      </c>
      <c r="I46" s="118">
        <v>3</v>
      </c>
      <c r="K46" s="46">
        <v>44</v>
      </c>
      <c r="L46" s="124">
        <v>-214.6</v>
      </c>
    </row>
    <row r="47" spans="5:12" x14ac:dyDescent="0.4">
      <c r="E47" s="82" t="s">
        <v>112</v>
      </c>
      <c r="F47" s="78" t="s">
        <v>119</v>
      </c>
      <c r="G47" s="65">
        <v>0</v>
      </c>
      <c r="H47" s="47">
        <f>IF(B$25=0,0,G47/B$25)</f>
        <v>0</v>
      </c>
      <c r="I47" s="118">
        <v>1</v>
      </c>
      <c r="K47" s="46">
        <v>45</v>
      </c>
      <c r="L47" s="124">
        <v>-215.7</v>
      </c>
    </row>
    <row r="48" spans="5:12" x14ac:dyDescent="0.4">
      <c r="E48" s="82" t="s">
        <v>113</v>
      </c>
      <c r="F48" s="78" t="s">
        <v>63</v>
      </c>
      <c r="G48" s="65">
        <v>0</v>
      </c>
      <c r="H48" s="47">
        <f>IF(B$25=0,0,G48/B$25)</f>
        <v>0</v>
      </c>
      <c r="I48" s="118">
        <v>1</v>
      </c>
      <c r="K48" s="46">
        <v>46</v>
      </c>
      <c r="L48" s="124">
        <v>-252.89999999999998</v>
      </c>
    </row>
    <row r="49" spans="5:12" x14ac:dyDescent="0.4">
      <c r="E49" s="82" t="s">
        <v>114</v>
      </c>
      <c r="F49" s="78" t="s">
        <v>64</v>
      </c>
      <c r="G49" s="65">
        <v>0</v>
      </c>
      <c r="H49" s="47">
        <f>IF(B$25=0,0,G49/B$25)</f>
        <v>0</v>
      </c>
      <c r="I49" s="118">
        <v>1</v>
      </c>
      <c r="K49" s="46">
        <v>47</v>
      </c>
      <c r="L49" s="124">
        <v>-294.2</v>
      </c>
    </row>
    <row r="50" spans="5:12" x14ac:dyDescent="0.4">
      <c r="E50" s="82" t="s">
        <v>115</v>
      </c>
      <c r="F50" s="78" t="s">
        <v>65</v>
      </c>
      <c r="G50" s="65">
        <v>0</v>
      </c>
      <c r="H50" s="47">
        <f>IF(B$25=0,0,G50/B$25)</f>
        <v>0</v>
      </c>
      <c r="I50" s="118">
        <v>1</v>
      </c>
      <c r="K50" s="46">
        <v>48</v>
      </c>
      <c r="L50" s="124">
        <v>-298.39999999999998</v>
      </c>
    </row>
    <row r="51" spans="5:12" x14ac:dyDescent="0.4">
      <c r="E51" s="83" t="s">
        <v>116</v>
      </c>
      <c r="F51" s="79" t="s">
        <v>66</v>
      </c>
      <c r="G51" s="67">
        <v>0</v>
      </c>
      <c r="H51" s="51">
        <f>IF(B$25=0,0,G51/B$25)</f>
        <v>0</v>
      </c>
      <c r="I51" s="119">
        <v>1</v>
      </c>
      <c r="K51" s="46">
        <v>49</v>
      </c>
      <c r="L51" s="124">
        <v>-358.7</v>
      </c>
    </row>
    <row r="52" spans="5:12" x14ac:dyDescent="0.4">
      <c r="K52" s="46">
        <v>50</v>
      </c>
      <c r="L52" s="124">
        <v>-374.59999999999997</v>
      </c>
    </row>
    <row r="53" spans="5:12" x14ac:dyDescent="0.4">
      <c r="K53" s="46">
        <v>51</v>
      </c>
      <c r="L53" s="124">
        <v>-368.59999999999997</v>
      </c>
    </row>
    <row r="54" spans="5:12" x14ac:dyDescent="0.4">
      <c r="K54" s="46">
        <v>52</v>
      </c>
      <c r="L54" s="124">
        <v>-389.59999999999997</v>
      </c>
    </row>
    <row r="55" spans="5:12" x14ac:dyDescent="0.4">
      <c r="K55" s="46">
        <v>53</v>
      </c>
      <c r="L55" s="124">
        <v>-393.59999999999997</v>
      </c>
    </row>
    <row r="56" spans="5:12" x14ac:dyDescent="0.4">
      <c r="K56" s="46">
        <v>54</v>
      </c>
      <c r="L56" s="124">
        <v>-423.99999999999994</v>
      </c>
    </row>
  </sheetData>
  <sortState ref="N10:Q16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0638C-77D9-4757-9F43-50650A986EE8}">
  <sheetPr codeName="Sheet21"/>
  <dimension ref="A1:Q84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4" customWidth="1"/>
    <col min="13" max="13" width="3.5" style="41" customWidth="1"/>
    <col min="14" max="14" width="9" style="46" customWidth="1"/>
    <col min="15" max="15" width="9" style="127" customWidth="1"/>
    <col min="16" max="16" width="3.5" style="156" customWidth="1"/>
    <col min="17" max="17" width="3.5" style="157" customWidth="1"/>
    <col min="18" max="16384" width="9" style="41"/>
  </cols>
  <sheetData>
    <row r="1" spans="1:17" x14ac:dyDescent="0.4">
      <c r="A1" s="71" t="s">
        <v>0</v>
      </c>
      <c r="B1" s="133" t="s">
        <v>137</v>
      </c>
      <c r="C1" s="134"/>
      <c r="E1" s="80" t="s">
        <v>160</v>
      </c>
      <c r="F1" s="129" t="s">
        <v>120</v>
      </c>
      <c r="G1" s="128" t="s">
        <v>121</v>
      </c>
      <c r="H1" s="129" t="s">
        <v>122</v>
      </c>
      <c r="I1" s="129" t="s">
        <v>231</v>
      </c>
      <c r="K1" s="42" t="s">
        <v>20</v>
      </c>
      <c r="L1" s="43" t="s">
        <v>125</v>
      </c>
      <c r="N1" s="42" t="s">
        <v>156</v>
      </c>
      <c r="O1" s="129" t="s">
        <v>157</v>
      </c>
      <c r="P1" s="59" t="s">
        <v>238</v>
      </c>
      <c r="Q1" s="55" t="s">
        <v>121</v>
      </c>
    </row>
    <row r="2" spans="1:17" x14ac:dyDescent="0.4">
      <c r="A2" s="72" t="s">
        <v>9</v>
      </c>
      <c r="B2" s="135">
        <v>82</v>
      </c>
      <c r="C2" s="136"/>
      <c r="E2" s="81" t="s">
        <v>71</v>
      </c>
      <c r="F2" s="77" t="s">
        <v>25</v>
      </c>
      <c r="G2" s="64">
        <v>134</v>
      </c>
      <c r="H2" s="45">
        <f>IF(B$25=0,0,G2/B$25)</f>
        <v>0.86451612903225805</v>
      </c>
      <c r="I2" s="117">
        <v>8</v>
      </c>
      <c r="K2" s="44">
        <v>0</v>
      </c>
      <c r="L2" s="123">
        <v>0</v>
      </c>
      <c r="N2" s="44" t="s">
        <v>150</v>
      </c>
      <c r="O2" s="130">
        <f t="shared" ref="O2:O7" si="0">IF(Q2=0,0,P2/Q2)</f>
        <v>2878.75</v>
      </c>
      <c r="P2" s="60">
        <v>230300</v>
      </c>
      <c r="Q2" s="58">
        <v>80</v>
      </c>
    </row>
    <row r="3" spans="1:17" x14ac:dyDescent="0.4">
      <c r="A3" s="73" t="s">
        <v>8</v>
      </c>
      <c r="B3" s="137">
        <v>609</v>
      </c>
      <c r="C3" s="138"/>
      <c r="E3" s="82" t="s">
        <v>69</v>
      </c>
      <c r="F3" s="78" t="s">
        <v>23</v>
      </c>
      <c r="G3" s="65">
        <v>131</v>
      </c>
      <c r="H3" s="47">
        <f>IF(B$25=0,0,G3/B$25)</f>
        <v>0.84516129032258069</v>
      </c>
      <c r="I3" s="118">
        <v>3</v>
      </c>
      <c r="K3" s="46">
        <v>1</v>
      </c>
      <c r="L3" s="124">
        <v>-36.700000000000003</v>
      </c>
      <c r="N3" s="46" t="s">
        <v>151</v>
      </c>
      <c r="O3" s="131">
        <f t="shared" si="0"/>
        <v>374.66666666666669</v>
      </c>
      <c r="P3" s="61">
        <v>28100</v>
      </c>
      <c r="Q3" s="56">
        <v>75</v>
      </c>
    </row>
    <row r="4" spans="1:17" x14ac:dyDescent="0.4">
      <c r="A4" s="73" t="s">
        <v>6</v>
      </c>
      <c r="B4" s="139">
        <v>226.19999999999996</v>
      </c>
      <c r="C4" s="140"/>
      <c r="E4" s="82" t="s">
        <v>67</v>
      </c>
      <c r="F4" s="78" t="s">
        <v>21</v>
      </c>
      <c r="G4" s="65">
        <v>92</v>
      </c>
      <c r="H4" s="47">
        <f>IF(B$25=0,0,G4/B$25)</f>
        <v>0.59354838709677415</v>
      </c>
      <c r="I4" s="118">
        <v>7</v>
      </c>
      <c r="K4" s="46">
        <v>2</v>
      </c>
      <c r="L4" s="124">
        <v>-45.300000000000004</v>
      </c>
      <c r="N4" s="46" t="s">
        <v>152</v>
      </c>
      <c r="O4" s="131">
        <f t="shared" si="0"/>
        <v>-286.95652173913044</v>
      </c>
      <c r="P4" s="61">
        <v>-19800</v>
      </c>
      <c r="Q4" s="56">
        <v>69</v>
      </c>
    </row>
    <row r="5" spans="1:17" x14ac:dyDescent="0.4">
      <c r="A5" s="73" t="s">
        <v>7</v>
      </c>
      <c r="B5" s="141">
        <f>IF(B$2=0,0,B$4/B$2)</f>
        <v>2.758536585365853</v>
      </c>
      <c r="C5" s="142"/>
      <c r="E5" s="82" t="s">
        <v>76</v>
      </c>
      <c r="F5" s="78" t="s">
        <v>29</v>
      </c>
      <c r="G5" s="65">
        <v>88</v>
      </c>
      <c r="H5" s="47">
        <f>IF(B$25=0,0,G5/B$25)</f>
        <v>0.56774193548387097</v>
      </c>
      <c r="I5" s="118">
        <v>6</v>
      </c>
      <c r="K5" s="46">
        <v>3</v>
      </c>
      <c r="L5" s="124">
        <v>-81.7</v>
      </c>
      <c r="N5" s="46" t="s">
        <v>153</v>
      </c>
      <c r="O5" s="131">
        <f t="shared" si="0"/>
        <v>-990.625</v>
      </c>
      <c r="P5" s="61">
        <v>-63400</v>
      </c>
      <c r="Q5" s="56">
        <v>64</v>
      </c>
    </row>
    <row r="6" spans="1:17" x14ac:dyDescent="0.4">
      <c r="A6" s="73" t="s">
        <v>1</v>
      </c>
      <c r="B6" s="147">
        <f>IF(B$2=0,0,(B$7*1+B$8*2+B$9*3)/B$2)</f>
        <v>1.9024390243902438</v>
      </c>
      <c r="C6" s="148"/>
      <c r="E6" s="82" t="s">
        <v>70</v>
      </c>
      <c r="F6" s="78" t="s">
        <v>24</v>
      </c>
      <c r="G6" s="65">
        <v>61</v>
      </c>
      <c r="H6" s="47">
        <f>IF(B$25=0,0,G6/B$25)</f>
        <v>0.3935483870967742</v>
      </c>
      <c r="I6" s="118">
        <v>3</v>
      </c>
      <c r="K6" s="46">
        <v>4</v>
      </c>
      <c r="L6" s="124">
        <v>-114.30000000000001</v>
      </c>
      <c r="N6" s="46" t="s">
        <v>154</v>
      </c>
      <c r="O6" s="131">
        <f t="shared" si="0"/>
        <v>-151.85185185185185</v>
      </c>
      <c r="P6" s="61">
        <v>-8200</v>
      </c>
      <c r="Q6" s="56">
        <v>54</v>
      </c>
    </row>
    <row r="7" spans="1:17" x14ac:dyDescent="0.4">
      <c r="A7" s="73" t="s">
        <v>2</v>
      </c>
      <c r="B7" s="65">
        <v>33</v>
      </c>
      <c r="C7" s="47">
        <f>IF(B$2=0,0,B7/B$2)</f>
        <v>0.40243902439024393</v>
      </c>
      <c r="E7" s="82" t="s">
        <v>72</v>
      </c>
      <c r="F7" s="78" t="s">
        <v>12</v>
      </c>
      <c r="G7" s="65">
        <v>51</v>
      </c>
      <c r="H7" s="47">
        <f>IF(B$25=0,0,G7/B$25)</f>
        <v>0.32903225806451614</v>
      </c>
      <c r="I7" s="118">
        <v>5</v>
      </c>
      <c r="K7" s="46">
        <v>5</v>
      </c>
      <c r="L7" s="124">
        <v>-136.30000000000001</v>
      </c>
      <c r="N7" s="50" t="s">
        <v>155</v>
      </c>
      <c r="O7" s="132">
        <f t="shared" si="0"/>
        <v>393.61702127659572</v>
      </c>
      <c r="P7" s="62">
        <v>18500</v>
      </c>
      <c r="Q7" s="57">
        <v>47</v>
      </c>
    </row>
    <row r="8" spans="1:17" x14ac:dyDescent="0.4">
      <c r="A8" s="73" t="s">
        <v>3</v>
      </c>
      <c r="B8" s="65">
        <v>24</v>
      </c>
      <c r="C8" s="47">
        <f t="shared" ref="C8:C9" si="1">IF(B$2=0,0,B8/B$2)</f>
        <v>0.29268292682926828</v>
      </c>
      <c r="E8" s="82" t="s">
        <v>73</v>
      </c>
      <c r="F8" s="78" t="s">
        <v>26</v>
      </c>
      <c r="G8" s="65">
        <v>28</v>
      </c>
      <c r="H8" s="47">
        <f>IF(B$25=0,0,G8/B$25)</f>
        <v>0.18064516129032257</v>
      </c>
      <c r="I8" s="118">
        <v>2</v>
      </c>
      <c r="K8" s="46">
        <v>6</v>
      </c>
      <c r="L8" s="124">
        <v>-100.80000000000001</v>
      </c>
      <c r="N8" s="41"/>
      <c r="O8" s="41"/>
      <c r="P8" s="41"/>
      <c r="Q8" s="41"/>
    </row>
    <row r="9" spans="1:17" x14ac:dyDescent="0.4">
      <c r="A9" s="74" t="s">
        <v>4</v>
      </c>
      <c r="B9" s="66">
        <v>25</v>
      </c>
      <c r="C9" s="48">
        <f t="shared" si="1"/>
        <v>0.3048780487804878</v>
      </c>
      <c r="E9" s="82" t="s">
        <v>94</v>
      </c>
      <c r="F9" s="78" t="s">
        <v>47</v>
      </c>
      <c r="G9" s="65">
        <v>25</v>
      </c>
      <c r="H9" s="47">
        <f>IF(B$25=0,0,G9/B$25)</f>
        <v>0.16129032258064516</v>
      </c>
      <c r="I9" s="118">
        <v>4</v>
      </c>
      <c r="K9" s="46">
        <v>7</v>
      </c>
      <c r="L9" s="124">
        <v>-106.20000000000002</v>
      </c>
      <c r="N9" s="42" t="s">
        <v>235</v>
      </c>
      <c r="O9" s="129" t="s">
        <v>125</v>
      </c>
      <c r="P9" s="153" t="s">
        <v>238</v>
      </c>
      <c r="Q9" s="125" t="s">
        <v>121</v>
      </c>
    </row>
    <row r="10" spans="1:17" x14ac:dyDescent="0.4">
      <c r="A10" s="74" t="s">
        <v>19</v>
      </c>
      <c r="B10" s="66">
        <v>11</v>
      </c>
      <c r="C10" s="48">
        <f>IF(B$2=0,0,B10/B$2)</f>
        <v>0.13414634146341464</v>
      </c>
      <c r="E10" s="82" t="s">
        <v>68</v>
      </c>
      <c r="F10" s="78" t="s">
        <v>22</v>
      </c>
      <c r="G10" s="65">
        <v>22</v>
      </c>
      <c r="H10" s="47">
        <f>IF(B$25=0,0,G10/B$25)</f>
        <v>0.14193548387096774</v>
      </c>
      <c r="I10" s="118">
        <v>5</v>
      </c>
      <c r="K10" s="46">
        <v>8</v>
      </c>
      <c r="L10" s="124">
        <v>-52.300000000000018</v>
      </c>
      <c r="N10" s="44" t="s">
        <v>134</v>
      </c>
      <c r="O10" s="126">
        <f>IF(Q10=0,0,P10/Q10)</f>
        <v>13.303703703703704</v>
      </c>
      <c r="P10" s="154">
        <v>359.2</v>
      </c>
      <c r="Q10" s="155">
        <v>27</v>
      </c>
    </row>
    <row r="11" spans="1:17" x14ac:dyDescent="0.4">
      <c r="A11" s="75" t="s">
        <v>158</v>
      </c>
      <c r="B11" s="67">
        <v>16</v>
      </c>
      <c r="C11" s="51">
        <f>IF(B$2=0,0,B11/B$2)</f>
        <v>0.1951219512195122</v>
      </c>
      <c r="E11" s="82" t="s">
        <v>74</v>
      </c>
      <c r="F11" s="78" t="s">
        <v>27</v>
      </c>
      <c r="G11" s="65">
        <v>11</v>
      </c>
      <c r="H11" s="47">
        <f>IF(B$25=0,0,G11/B$25)</f>
        <v>7.0967741935483872E-2</v>
      </c>
      <c r="I11" s="118">
        <v>7</v>
      </c>
      <c r="K11" s="46">
        <v>9</v>
      </c>
      <c r="L11" s="124">
        <v>-53.500000000000021</v>
      </c>
      <c r="N11" s="46" t="s">
        <v>133</v>
      </c>
      <c r="O11" s="127">
        <f>IF(Q11=0,0,P11/Q11)</f>
        <v>3.0471428571428567</v>
      </c>
      <c r="P11" s="156">
        <v>213.29999999999998</v>
      </c>
      <c r="Q11" s="157">
        <v>70</v>
      </c>
    </row>
    <row r="12" spans="1:17" x14ac:dyDescent="0.4">
      <c r="A12" s="76" t="s">
        <v>128</v>
      </c>
      <c r="B12" s="68">
        <v>150</v>
      </c>
      <c r="C12" s="54">
        <f>IF(B$24=0,0,B12/B$24)</f>
        <v>0.31512605042016806</v>
      </c>
      <c r="E12" s="82" t="s">
        <v>82</v>
      </c>
      <c r="F12" s="78" t="s">
        <v>35</v>
      </c>
      <c r="G12" s="65">
        <v>10</v>
      </c>
      <c r="H12" s="47">
        <f>IF(B$25=0,0,G12/B$25)</f>
        <v>6.4516129032258063E-2</v>
      </c>
      <c r="I12" s="118">
        <v>1</v>
      </c>
      <c r="K12" s="46">
        <v>10</v>
      </c>
      <c r="L12" s="124">
        <v>-72.800000000000026</v>
      </c>
      <c r="N12" s="46" t="s">
        <v>139</v>
      </c>
      <c r="O12" s="127">
        <f>IF(Q12=0,0,P12/Q12)</f>
        <v>1.2740740740740744</v>
      </c>
      <c r="P12" s="156">
        <v>34.400000000000006</v>
      </c>
      <c r="Q12" s="157">
        <v>27</v>
      </c>
    </row>
    <row r="13" spans="1:17" x14ac:dyDescent="0.4">
      <c r="A13" s="73" t="s">
        <v>123</v>
      </c>
      <c r="B13" s="65">
        <v>114</v>
      </c>
      <c r="C13" s="47">
        <f>IF(B$24=0,0,B13/B$24)</f>
        <v>0.23949579831932774</v>
      </c>
      <c r="E13" s="82" t="s">
        <v>75</v>
      </c>
      <c r="F13" s="78" t="s">
        <v>28</v>
      </c>
      <c r="G13" s="65">
        <v>9</v>
      </c>
      <c r="H13" s="47">
        <f>IF(B$25=0,0,G13/B$25)</f>
        <v>5.8064516129032261E-2</v>
      </c>
      <c r="I13" s="118">
        <v>3</v>
      </c>
      <c r="K13" s="46">
        <v>11</v>
      </c>
      <c r="L13" s="124">
        <v>-92.100000000000023</v>
      </c>
      <c r="N13" s="46" t="s">
        <v>138</v>
      </c>
      <c r="O13" s="127">
        <f>IF(Q13=0,0,P13/Q13)</f>
        <v>0.9</v>
      </c>
      <c r="P13" s="156">
        <v>0.9</v>
      </c>
      <c r="Q13" s="157">
        <v>1</v>
      </c>
    </row>
    <row r="14" spans="1:17" x14ac:dyDescent="0.4">
      <c r="A14" s="72" t="s">
        <v>130</v>
      </c>
      <c r="B14" s="64">
        <v>93</v>
      </c>
      <c r="C14" s="45">
        <f>IF(B$12=0,0,B14/B$12)</f>
        <v>0.62</v>
      </c>
      <c r="E14" s="82" t="s">
        <v>91</v>
      </c>
      <c r="F14" s="78" t="s">
        <v>44</v>
      </c>
      <c r="G14" s="65">
        <v>7</v>
      </c>
      <c r="H14" s="47">
        <f>IF(B$25=0,0,G14/B$25)</f>
        <v>4.5161290322580643E-2</v>
      </c>
      <c r="I14" s="118">
        <v>10</v>
      </c>
      <c r="K14" s="46">
        <v>12</v>
      </c>
      <c r="L14" s="124">
        <v>-89.100000000000023</v>
      </c>
      <c r="N14" s="46" t="s">
        <v>161</v>
      </c>
      <c r="O14" s="127">
        <f>IF(Q14=0,0,P14/Q14)</f>
        <v>0.39999999999999974</v>
      </c>
      <c r="P14" s="156">
        <v>2.3999999999999986</v>
      </c>
      <c r="Q14" s="157">
        <v>6</v>
      </c>
    </row>
    <row r="15" spans="1:17" x14ac:dyDescent="0.4">
      <c r="A15" s="72" t="s">
        <v>131</v>
      </c>
      <c r="B15" s="64">
        <v>43</v>
      </c>
      <c r="C15" s="45">
        <f>IF(B$13=0,0,B15/B$13)</f>
        <v>0.37719298245614036</v>
      </c>
      <c r="E15" s="82" t="s">
        <v>86</v>
      </c>
      <c r="F15" s="78" t="s">
        <v>39</v>
      </c>
      <c r="G15" s="65">
        <v>5</v>
      </c>
      <c r="H15" s="47">
        <f>IF(B$25=0,0,G15/B$25)</f>
        <v>3.2258064516129031E-2</v>
      </c>
      <c r="I15" s="118">
        <v>4</v>
      </c>
      <c r="K15" s="46">
        <v>13</v>
      </c>
      <c r="L15" s="124">
        <v>-73.600000000000023</v>
      </c>
      <c r="N15" s="46" t="s">
        <v>135</v>
      </c>
      <c r="O15" s="127">
        <f>IF(Q15=0,0,P15/Q15)</f>
        <v>-0.47142857142857192</v>
      </c>
      <c r="P15" s="156">
        <v>-3.3000000000000034</v>
      </c>
      <c r="Q15" s="157">
        <v>7</v>
      </c>
    </row>
    <row r="16" spans="1:17" x14ac:dyDescent="0.4">
      <c r="A16" s="72" t="s">
        <v>10</v>
      </c>
      <c r="B16" s="64">
        <f>B18+B17</f>
        <v>193</v>
      </c>
      <c r="C16" s="45">
        <f>IF(B$3=0,0,B16/B$3)</f>
        <v>0.31691297208538588</v>
      </c>
      <c r="E16" s="82" t="s">
        <v>88</v>
      </c>
      <c r="F16" s="78" t="s">
        <v>41</v>
      </c>
      <c r="G16" s="65">
        <v>3</v>
      </c>
      <c r="H16" s="47">
        <f>IF(B$25=0,0,G16/B$25)</f>
        <v>1.935483870967742E-2</v>
      </c>
      <c r="I16" s="118">
        <v>7</v>
      </c>
      <c r="K16" s="46">
        <v>14</v>
      </c>
      <c r="L16" s="124">
        <v>-62.500000000000021</v>
      </c>
      <c r="N16" s="46" t="s">
        <v>136</v>
      </c>
      <c r="O16" s="127">
        <f>IF(Q16=0,0,P16/Q16)</f>
        <v>-5.5043478260869572</v>
      </c>
      <c r="P16" s="156">
        <v>-126.60000000000002</v>
      </c>
      <c r="Q16" s="157">
        <v>23</v>
      </c>
    </row>
    <row r="17" spans="1:17" x14ac:dyDescent="0.4">
      <c r="A17" s="73" t="s">
        <v>12</v>
      </c>
      <c r="B17" s="65">
        <v>84</v>
      </c>
      <c r="C17" s="47">
        <f>IF(B$16=0,0,B17/B$16)</f>
        <v>0.43523316062176165</v>
      </c>
      <c r="E17" s="82" t="s">
        <v>81</v>
      </c>
      <c r="F17" s="78" t="s">
        <v>34</v>
      </c>
      <c r="G17" s="65">
        <v>2</v>
      </c>
      <c r="H17" s="47">
        <f>IF(B$25=0,0,G17/B$25)</f>
        <v>1.2903225806451613E-2</v>
      </c>
      <c r="I17" s="118">
        <v>2</v>
      </c>
      <c r="K17" s="46">
        <v>15</v>
      </c>
      <c r="L17" s="124">
        <v>-69.700000000000017</v>
      </c>
      <c r="N17" s="46" t="s">
        <v>198</v>
      </c>
      <c r="O17" s="127">
        <f>IF(Q17=0,0,P17/Q17)</f>
        <v>-9.2999999999999989</v>
      </c>
      <c r="P17" s="156">
        <v>-27.9</v>
      </c>
      <c r="Q17" s="157">
        <v>3</v>
      </c>
    </row>
    <row r="18" spans="1:17" x14ac:dyDescent="0.4">
      <c r="A18" s="73" t="s">
        <v>11</v>
      </c>
      <c r="B18" s="65">
        <v>109</v>
      </c>
      <c r="C18" s="47">
        <f>IF(B$16=0,0,B18/B$16)</f>
        <v>0.56476683937823835</v>
      </c>
      <c r="E18" s="82" t="s">
        <v>83</v>
      </c>
      <c r="F18" s="78" t="s">
        <v>36</v>
      </c>
      <c r="G18" s="65">
        <v>2</v>
      </c>
      <c r="H18" s="47">
        <f>IF(B$25=0,0,G18/B$25)</f>
        <v>1.2903225806451613E-2</v>
      </c>
      <c r="I18" s="118">
        <v>4</v>
      </c>
      <c r="K18" s="46">
        <v>16</v>
      </c>
      <c r="L18" s="124">
        <v>4.5999999999999801</v>
      </c>
    </row>
    <row r="19" spans="1:17" x14ac:dyDescent="0.4">
      <c r="A19" s="73" t="s">
        <v>13</v>
      </c>
      <c r="B19" s="65">
        <v>99</v>
      </c>
      <c r="C19" s="47">
        <f>IF(B$3=0,0,B19/B$3)</f>
        <v>0.1625615763546798</v>
      </c>
      <c r="E19" s="82" t="s">
        <v>96</v>
      </c>
      <c r="F19" s="78" t="s">
        <v>49</v>
      </c>
      <c r="G19" s="65">
        <v>2</v>
      </c>
      <c r="H19" s="47">
        <f>IF(B$25=0,0,G19/B$25)</f>
        <v>1.2903225806451613E-2</v>
      </c>
      <c r="I19" s="118">
        <v>6</v>
      </c>
      <c r="K19" s="46">
        <v>17</v>
      </c>
      <c r="L19" s="124">
        <v>39.59999999999998</v>
      </c>
    </row>
    <row r="20" spans="1:17" x14ac:dyDescent="0.4">
      <c r="A20" s="73" t="s">
        <v>5</v>
      </c>
      <c r="B20" s="69">
        <f>IF(B$16=0,0,C20/B$16)</f>
        <v>10520.725388601037</v>
      </c>
      <c r="C20" s="49">
        <v>2030500</v>
      </c>
      <c r="E20" s="82" t="s">
        <v>77</v>
      </c>
      <c r="F20" s="78" t="s">
        <v>30</v>
      </c>
      <c r="G20" s="65">
        <v>1</v>
      </c>
      <c r="H20" s="47">
        <f>IF(B$25=0,0,G20/B$25)</f>
        <v>6.4516129032258064E-3</v>
      </c>
      <c r="I20" s="118">
        <v>4</v>
      </c>
      <c r="K20" s="46">
        <v>18</v>
      </c>
      <c r="L20" s="124">
        <v>39.299999999999983</v>
      </c>
    </row>
    <row r="21" spans="1:17" x14ac:dyDescent="0.4">
      <c r="A21" s="75" t="s">
        <v>14</v>
      </c>
      <c r="B21" s="70">
        <f>IF(B$19=0,0,C21/B$19)</f>
        <v>-9255.5555555555547</v>
      </c>
      <c r="C21" s="63">
        <v>-916300</v>
      </c>
      <c r="E21" s="82" t="s">
        <v>78</v>
      </c>
      <c r="F21" s="78" t="s">
        <v>31</v>
      </c>
      <c r="G21" s="65">
        <v>1</v>
      </c>
      <c r="H21" s="47">
        <f>IF(B$25=0,0,G21/B$25)</f>
        <v>6.4516129032258064E-3</v>
      </c>
      <c r="I21" s="118">
        <v>1</v>
      </c>
      <c r="K21" s="46">
        <v>19</v>
      </c>
      <c r="L21" s="124">
        <v>103.29999999999998</v>
      </c>
    </row>
    <row r="22" spans="1:17" x14ac:dyDescent="0.4">
      <c r="A22" s="72" t="s">
        <v>147</v>
      </c>
      <c r="B22" s="64">
        <v>214</v>
      </c>
      <c r="C22" s="45">
        <f>IF(B$3=0,0,B22/B$3)</f>
        <v>0.35139573070607555</v>
      </c>
      <c r="E22" s="82" t="s">
        <v>79</v>
      </c>
      <c r="F22" s="78" t="s">
        <v>32</v>
      </c>
      <c r="G22" s="65">
        <v>1</v>
      </c>
      <c r="H22" s="47">
        <f>IF(B$25=0,0,G22/B$25)</f>
        <v>6.4516129032258064E-3</v>
      </c>
      <c r="I22" s="118">
        <v>5</v>
      </c>
      <c r="K22" s="46">
        <v>20</v>
      </c>
      <c r="L22" s="124">
        <v>106.39999999999998</v>
      </c>
    </row>
    <row r="23" spans="1:17" x14ac:dyDescent="0.4">
      <c r="A23" s="75" t="s">
        <v>148</v>
      </c>
      <c r="B23" s="67">
        <v>72</v>
      </c>
      <c r="C23" s="51">
        <f>IF(B$22=0,0,B23/B$22)</f>
        <v>0.3364485981308411</v>
      </c>
      <c r="E23" s="82" t="s">
        <v>89</v>
      </c>
      <c r="F23" s="78" t="s">
        <v>42</v>
      </c>
      <c r="G23" s="65">
        <v>1</v>
      </c>
      <c r="H23" s="47">
        <f>IF(B$25=0,0,G23/B$25)</f>
        <v>6.4516129032258064E-3</v>
      </c>
      <c r="I23" s="118">
        <v>1</v>
      </c>
      <c r="K23" s="46">
        <v>21</v>
      </c>
      <c r="L23" s="124">
        <v>107.59999999999998</v>
      </c>
    </row>
    <row r="24" spans="1:17" x14ac:dyDescent="0.4">
      <c r="A24" s="72" t="s">
        <v>126</v>
      </c>
      <c r="B24" s="135">
        <v>476</v>
      </c>
      <c r="C24" s="136"/>
      <c r="E24" s="82" t="s">
        <v>80</v>
      </c>
      <c r="F24" s="78" t="s">
        <v>33</v>
      </c>
      <c r="G24" s="65">
        <v>0</v>
      </c>
      <c r="H24" s="47">
        <f>IF(B$25=0,0,G24/B$25)</f>
        <v>0</v>
      </c>
      <c r="I24" s="118">
        <v>1</v>
      </c>
      <c r="K24" s="46">
        <v>22</v>
      </c>
      <c r="L24" s="124">
        <v>110.39999999999998</v>
      </c>
    </row>
    <row r="25" spans="1:17" x14ac:dyDescent="0.4">
      <c r="A25" s="75" t="s">
        <v>127</v>
      </c>
      <c r="B25" s="149">
        <v>155</v>
      </c>
      <c r="C25" s="150"/>
      <c r="E25" s="82" t="s">
        <v>84</v>
      </c>
      <c r="F25" s="78" t="s">
        <v>37</v>
      </c>
      <c r="G25" s="65">
        <v>0</v>
      </c>
      <c r="H25" s="47">
        <f>IF(B$25=0,0,G25/B$25)</f>
        <v>0</v>
      </c>
      <c r="I25" s="118">
        <v>1</v>
      </c>
      <c r="K25" s="46">
        <v>23</v>
      </c>
      <c r="L25" s="124">
        <v>154.99999999999997</v>
      </c>
    </row>
    <row r="26" spans="1:17" x14ac:dyDescent="0.4">
      <c r="A26" s="113" t="s">
        <v>162</v>
      </c>
      <c r="B26" s="145">
        <v>9</v>
      </c>
      <c r="C26" s="146"/>
      <c r="E26" s="82" t="s">
        <v>85</v>
      </c>
      <c r="F26" s="78" t="s">
        <v>38</v>
      </c>
      <c r="G26" s="65">
        <v>0</v>
      </c>
      <c r="H26" s="47">
        <f>IF(B$25=0,0,G26/B$25)</f>
        <v>0</v>
      </c>
      <c r="I26" s="118">
        <v>3</v>
      </c>
      <c r="K26" s="46">
        <v>24</v>
      </c>
      <c r="L26" s="124">
        <v>153.59999999999997</v>
      </c>
    </row>
    <row r="27" spans="1:17" x14ac:dyDescent="0.4">
      <c r="A27" s="76" t="s">
        <v>203</v>
      </c>
      <c r="B27" s="143">
        <v>109300</v>
      </c>
      <c r="C27" s="144"/>
      <c r="E27" s="82" t="s">
        <v>87</v>
      </c>
      <c r="F27" s="78" t="s">
        <v>40</v>
      </c>
      <c r="G27" s="65">
        <v>0</v>
      </c>
      <c r="H27" s="47">
        <f>IF(B$25=0,0,G27/B$25)</f>
        <v>0</v>
      </c>
      <c r="I27" s="118">
        <v>1</v>
      </c>
      <c r="K27" s="46">
        <v>25</v>
      </c>
      <c r="L27" s="124">
        <v>113.89999999999996</v>
      </c>
    </row>
    <row r="28" spans="1:17" x14ac:dyDescent="0.4">
      <c r="A28" s="75" t="s">
        <v>163</v>
      </c>
      <c r="B28" s="84">
        <v>3</v>
      </c>
      <c r="C28" s="51">
        <f>IF(B$3=0,0,B28/B$3)</f>
        <v>4.9261083743842365E-3</v>
      </c>
      <c r="E28" s="82" t="s">
        <v>90</v>
      </c>
      <c r="F28" s="78" t="s">
        <v>43</v>
      </c>
      <c r="G28" s="65">
        <v>0</v>
      </c>
      <c r="H28" s="47">
        <f>IF(B$25=0,0,G28/B$25)</f>
        <v>0</v>
      </c>
      <c r="I28" s="118">
        <v>5</v>
      </c>
      <c r="K28" s="46">
        <v>26</v>
      </c>
      <c r="L28" s="124">
        <v>98.099999999999966</v>
      </c>
    </row>
    <row r="29" spans="1:17" x14ac:dyDescent="0.4">
      <c r="E29" s="82" t="s">
        <v>92</v>
      </c>
      <c r="F29" s="78" t="s">
        <v>45</v>
      </c>
      <c r="G29" s="65">
        <v>0</v>
      </c>
      <c r="H29" s="47">
        <f>IF(B$25=0,0,G29/B$25)</f>
        <v>0</v>
      </c>
      <c r="I29" s="118">
        <v>4</v>
      </c>
      <c r="K29" s="46">
        <v>27</v>
      </c>
      <c r="L29" s="124">
        <v>109.39999999999996</v>
      </c>
    </row>
    <row r="30" spans="1:17" x14ac:dyDescent="0.4">
      <c r="E30" s="82" t="s">
        <v>93</v>
      </c>
      <c r="F30" s="78" t="s">
        <v>46</v>
      </c>
      <c r="G30" s="65">
        <v>0</v>
      </c>
      <c r="H30" s="47">
        <f>IF(B$25=0,0,G30/B$25)</f>
        <v>0</v>
      </c>
      <c r="I30" s="118">
        <v>3</v>
      </c>
      <c r="K30" s="46">
        <v>28</v>
      </c>
      <c r="L30" s="124">
        <v>65.399999999999963</v>
      </c>
    </row>
    <row r="31" spans="1:17" x14ac:dyDescent="0.4">
      <c r="E31" s="82" t="s">
        <v>95</v>
      </c>
      <c r="F31" s="78" t="s">
        <v>48</v>
      </c>
      <c r="G31" s="65">
        <v>0</v>
      </c>
      <c r="H31" s="47">
        <f>IF(B$25=0,0,G31/B$25)</f>
        <v>0</v>
      </c>
      <c r="I31" s="118">
        <v>3</v>
      </c>
      <c r="K31" s="46">
        <v>29</v>
      </c>
      <c r="L31" s="124">
        <v>24.399999999999963</v>
      </c>
    </row>
    <row r="32" spans="1:17" x14ac:dyDescent="0.4">
      <c r="E32" s="82" t="s">
        <v>97</v>
      </c>
      <c r="F32" s="78" t="s">
        <v>50</v>
      </c>
      <c r="G32" s="65">
        <v>0</v>
      </c>
      <c r="H32" s="47">
        <f>IF(B$25=0,0,G32/B$25)</f>
        <v>0</v>
      </c>
      <c r="I32" s="118">
        <v>6</v>
      </c>
      <c r="K32" s="46">
        <v>30</v>
      </c>
      <c r="L32" s="124">
        <v>13.599999999999962</v>
      </c>
    </row>
    <row r="33" spans="5:12" x14ac:dyDescent="0.4">
      <c r="E33" s="82" t="s">
        <v>98</v>
      </c>
      <c r="F33" s="78" t="s">
        <v>51</v>
      </c>
      <c r="G33" s="65">
        <v>0</v>
      </c>
      <c r="H33" s="47">
        <f>IF(B$25=0,0,G33/B$25)</f>
        <v>0</v>
      </c>
      <c r="I33" s="118">
        <v>4</v>
      </c>
      <c r="K33" s="46">
        <v>31</v>
      </c>
      <c r="L33" s="124">
        <v>29.19999999999996</v>
      </c>
    </row>
    <row r="34" spans="5:12" x14ac:dyDescent="0.4">
      <c r="E34" s="82" t="s">
        <v>99</v>
      </c>
      <c r="F34" s="78" t="s">
        <v>52</v>
      </c>
      <c r="G34" s="65">
        <v>0</v>
      </c>
      <c r="H34" s="47">
        <f>IF(B$25=0,0,G34/B$25)</f>
        <v>0</v>
      </c>
      <c r="I34" s="118">
        <v>1</v>
      </c>
      <c r="K34" s="46">
        <v>32</v>
      </c>
      <c r="L34" s="124">
        <v>-14.200000000000038</v>
      </c>
    </row>
    <row r="35" spans="5:12" x14ac:dyDescent="0.4">
      <c r="E35" s="82" t="s">
        <v>100</v>
      </c>
      <c r="F35" s="78" t="s">
        <v>53</v>
      </c>
      <c r="G35" s="65">
        <v>0</v>
      </c>
      <c r="H35" s="47">
        <f>IF(B$25=0,0,G35/B$25)</f>
        <v>0</v>
      </c>
      <c r="I35" s="118">
        <v>3</v>
      </c>
      <c r="K35" s="46">
        <v>33</v>
      </c>
      <c r="L35" s="124">
        <v>-13.500000000000039</v>
      </c>
    </row>
    <row r="36" spans="5:12" x14ac:dyDescent="0.4">
      <c r="E36" s="82" t="s">
        <v>101</v>
      </c>
      <c r="F36" s="78" t="s">
        <v>54</v>
      </c>
      <c r="G36" s="65">
        <v>0</v>
      </c>
      <c r="H36" s="47">
        <f>IF(B$25=0,0,G36/B$25)</f>
        <v>0</v>
      </c>
      <c r="I36" s="118">
        <v>1</v>
      </c>
      <c r="K36" s="46">
        <v>34</v>
      </c>
      <c r="L36" s="124">
        <v>-1.3000000000000398</v>
      </c>
    </row>
    <row r="37" spans="5:12" x14ac:dyDescent="0.4">
      <c r="E37" s="82" t="s">
        <v>102</v>
      </c>
      <c r="F37" s="78" t="s">
        <v>55</v>
      </c>
      <c r="G37" s="65">
        <v>0</v>
      </c>
      <c r="H37" s="47">
        <f>IF(B$25=0,0,G37/B$25)</f>
        <v>0</v>
      </c>
      <c r="I37" s="118">
        <v>1</v>
      </c>
      <c r="K37" s="46">
        <v>35</v>
      </c>
      <c r="L37" s="124">
        <v>-38.600000000000037</v>
      </c>
    </row>
    <row r="38" spans="5:12" x14ac:dyDescent="0.4">
      <c r="E38" s="82" t="s">
        <v>103</v>
      </c>
      <c r="F38" s="78" t="s">
        <v>56</v>
      </c>
      <c r="G38" s="65">
        <v>0</v>
      </c>
      <c r="H38" s="47">
        <f>IF(B$25=0,0,G38/B$25)</f>
        <v>0</v>
      </c>
      <c r="I38" s="118">
        <v>1</v>
      </c>
      <c r="K38" s="46">
        <v>36</v>
      </c>
      <c r="L38" s="124">
        <v>10.399999999999963</v>
      </c>
    </row>
    <row r="39" spans="5:12" x14ac:dyDescent="0.4">
      <c r="E39" s="82" t="s">
        <v>104</v>
      </c>
      <c r="F39" s="78" t="s">
        <v>57</v>
      </c>
      <c r="G39" s="65">
        <v>0</v>
      </c>
      <c r="H39" s="47">
        <f>IF(B$25=0,0,G39/B$25)</f>
        <v>0</v>
      </c>
      <c r="I39" s="118">
        <v>1</v>
      </c>
      <c r="K39" s="46">
        <v>37</v>
      </c>
      <c r="L39" s="124">
        <v>-3.4000000000000377</v>
      </c>
    </row>
    <row r="40" spans="5:12" x14ac:dyDescent="0.4">
      <c r="E40" s="82" t="s">
        <v>105</v>
      </c>
      <c r="F40" s="78" t="s">
        <v>58</v>
      </c>
      <c r="G40" s="65">
        <v>0</v>
      </c>
      <c r="H40" s="47">
        <f>IF(B$25=0,0,G40/B$25)</f>
        <v>0</v>
      </c>
      <c r="I40" s="118">
        <v>1</v>
      </c>
      <c r="K40" s="46">
        <v>38</v>
      </c>
      <c r="L40" s="124">
        <v>37.599999999999966</v>
      </c>
    </row>
    <row r="41" spans="5:12" x14ac:dyDescent="0.4">
      <c r="E41" s="82" t="s">
        <v>106</v>
      </c>
      <c r="F41" s="78" t="s">
        <v>59</v>
      </c>
      <c r="G41" s="65">
        <v>0</v>
      </c>
      <c r="H41" s="47">
        <f>IF(B$25=0,0,G41/B$25)</f>
        <v>0</v>
      </c>
      <c r="I41" s="118">
        <v>1</v>
      </c>
      <c r="K41" s="46">
        <v>39</v>
      </c>
      <c r="L41" s="124">
        <v>34.199999999999967</v>
      </c>
    </row>
    <row r="42" spans="5:12" x14ac:dyDescent="0.4">
      <c r="E42" s="82" t="s">
        <v>107</v>
      </c>
      <c r="F42" s="78" t="s">
        <v>60</v>
      </c>
      <c r="G42" s="65">
        <v>0</v>
      </c>
      <c r="H42" s="47">
        <f>IF(B$25=0,0,G42/B$25)</f>
        <v>0</v>
      </c>
      <c r="I42" s="118">
        <v>1</v>
      </c>
      <c r="K42" s="46">
        <v>40</v>
      </c>
      <c r="L42" s="124">
        <v>105.79999999999995</v>
      </c>
    </row>
    <row r="43" spans="5:12" x14ac:dyDescent="0.4">
      <c r="E43" s="82" t="s">
        <v>108</v>
      </c>
      <c r="F43" s="78" t="s">
        <v>61</v>
      </c>
      <c r="G43" s="65">
        <v>0</v>
      </c>
      <c r="H43" s="47">
        <f>IF(B$25=0,0,G43/B$25)</f>
        <v>0</v>
      </c>
      <c r="I43" s="118">
        <v>1</v>
      </c>
      <c r="K43" s="46">
        <v>41</v>
      </c>
      <c r="L43" s="124">
        <v>137.29999999999995</v>
      </c>
    </row>
    <row r="44" spans="5:12" x14ac:dyDescent="0.4">
      <c r="E44" s="82" t="s">
        <v>109</v>
      </c>
      <c r="F44" s="78" t="s">
        <v>62</v>
      </c>
      <c r="G44" s="65">
        <v>0</v>
      </c>
      <c r="H44" s="47">
        <f>IF(B$25=0,0,G44/B$25)</f>
        <v>0</v>
      </c>
      <c r="I44" s="118">
        <v>1</v>
      </c>
      <c r="K44" s="46">
        <v>42</v>
      </c>
      <c r="L44" s="124">
        <v>172.69999999999996</v>
      </c>
    </row>
    <row r="45" spans="5:12" x14ac:dyDescent="0.4">
      <c r="E45" s="82" t="s">
        <v>110</v>
      </c>
      <c r="F45" s="78" t="s">
        <v>117</v>
      </c>
      <c r="G45" s="65">
        <v>0</v>
      </c>
      <c r="H45" s="47">
        <f>IF(B$25=0,0,G45/B$25)</f>
        <v>0</v>
      </c>
      <c r="I45" s="118">
        <v>1</v>
      </c>
      <c r="K45" s="46">
        <v>43</v>
      </c>
      <c r="L45" s="124">
        <v>184.19999999999996</v>
      </c>
    </row>
    <row r="46" spans="5:12" x14ac:dyDescent="0.4">
      <c r="E46" s="82" t="s">
        <v>111</v>
      </c>
      <c r="F46" s="78" t="s">
        <v>118</v>
      </c>
      <c r="G46" s="65">
        <v>0</v>
      </c>
      <c r="H46" s="47">
        <f>IF(B$25=0,0,G46/B$25)</f>
        <v>0</v>
      </c>
      <c r="I46" s="118">
        <v>3</v>
      </c>
      <c r="K46" s="46">
        <v>44</v>
      </c>
      <c r="L46" s="124">
        <v>193.29999999999995</v>
      </c>
    </row>
    <row r="47" spans="5:12" x14ac:dyDescent="0.4">
      <c r="E47" s="82" t="s">
        <v>112</v>
      </c>
      <c r="F47" s="78" t="s">
        <v>119</v>
      </c>
      <c r="G47" s="65">
        <v>0</v>
      </c>
      <c r="H47" s="47">
        <f>IF(B$25=0,0,G47/B$25)</f>
        <v>0</v>
      </c>
      <c r="I47" s="118">
        <v>1</v>
      </c>
      <c r="K47" s="46">
        <v>45</v>
      </c>
      <c r="L47" s="124">
        <v>144.89999999999995</v>
      </c>
    </row>
    <row r="48" spans="5:12" x14ac:dyDescent="0.4">
      <c r="E48" s="82" t="s">
        <v>113</v>
      </c>
      <c r="F48" s="78" t="s">
        <v>63</v>
      </c>
      <c r="G48" s="65">
        <v>0</v>
      </c>
      <c r="H48" s="47">
        <f>IF(B$25=0,0,G48/B$25)</f>
        <v>0</v>
      </c>
      <c r="I48" s="118">
        <v>1</v>
      </c>
      <c r="K48" s="46">
        <v>46</v>
      </c>
      <c r="L48" s="124">
        <v>189.79999999999995</v>
      </c>
    </row>
    <row r="49" spans="5:12" x14ac:dyDescent="0.4">
      <c r="E49" s="82" t="s">
        <v>114</v>
      </c>
      <c r="F49" s="78" t="s">
        <v>64</v>
      </c>
      <c r="G49" s="65">
        <v>0</v>
      </c>
      <c r="H49" s="47">
        <f>IF(B$25=0,0,G49/B$25)</f>
        <v>0</v>
      </c>
      <c r="I49" s="118">
        <v>1</v>
      </c>
      <c r="K49" s="46">
        <v>47</v>
      </c>
      <c r="L49" s="124">
        <v>199.69999999999996</v>
      </c>
    </row>
    <row r="50" spans="5:12" x14ac:dyDescent="0.4">
      <c r="E50" s="82" t="s">
        <v>115</v>
      </c>
      <c r="F50" s="78" t="s">
        <v>65</v>
      </c>
      <c r="G50" s="65">
        <v>0</v>
      </c>
      <c r="H50" s="47">
        <f>IF(B$25=0,0,G50/B$25)</f>
        <v>0</v>
      </c>
      <c r="I50" s="118">
        <v>1</v>
      </c>
      <c r="K50" s="46">
        <v>48</v>
      </c>
      <c r="L50" s="124">
        <v>179.69999999999996</v>
      </c>
    </row>
    <row r="51" spans="5:12" x14ac:dyDescent="0.4">
      <c r="E51" s="83" t="s">
        <v>116</v>
      </c>
      <c r="F51" s="79" t="s">
        <v>66</v>
      </c>
      <c r="G51" s="67">
        <v>0</v>
      </c>
      <c r="H51" s="51">
        <f>IF(B$25=0,0,G51/B$25)</f>
        <v>0</v>
      </c>
      <c r="I51" s="119">
        <v>1</v>
      </c>
      <c r="K51" s="46">
        <v>49</v>
      </c>
      <c r="L51" s="124">
        <v>174.79999999999995</v>
      </c>
    </row>
    <row r="52" spans="5:12" x14ac:dyDescent="0.4">
      <c r="K52" s="46">
        <v>50</v>
      </c>
      <c r="L52" s="124">
        <v>192.59999999999997</v>
      </c>
    </row>
    <row r="53" spans="5:12" x14ac:dyDescent="0.4">
      <c r="K53" s="46">
        <v>51</v>
      </c>
      <c r="L53" s="124">
        <v>166.19999999999996</v>
      </c>
    </row>
    <row r="54" spans="5:12" x14ac:dyDescent="0.4">
      <c r="K54" s="46">
        <v>52</v>
      </c>
      <c r="L54" s="124">
        <v>176.69999999999996</v>
      </c>
    </row>
    <row r="55" spans="5:12" x14ac:dyDescent="0.4">
      <c r="K55" s="46">
        <v>53</v>
      </c>
      <c r="L55" s="124">
        <v>176.29999999999995</v>
      </c>
    </row>
    <row r="56" spans="5:12" x14ac:dyDescent="0.4">
      <c r="K56" s="46">
        <v>54</v>
      </c>
      <c r="L56" s="124">
        <v>194.39999999999995</v>
      </c>
    </row>
    <row r="57" spans="5:12" x14ac:dyDescent="0.4">
      <c r="K57" s="46">
        <v>55</v>
      </c>
      <c r="L57" s="124">
        <v>217.19999999999996</v>
      </c>
    </row>
    <row r="58" spans="5:12" x14ac:dyDescent="0.4">
      <c r="K58" s="46">
        <v>56</v>
      </c>
      <c r="L58" s="124">
        <v>204.39999999999995</v>
      </c>
    </row>
    <row r="59" spans="5:12" x14ac:dyDescent="0.4">
      <c r="K59" s="46">
        <v>57</v>
      </c>
      <c r="L59" s="124">
        <v>240.39999999999995</v>
      </c>
    </row>
    <row r="60" spans="5:12" x14ac:dyDescent="0.4">
      <c r="K60" s="46">
        <v>58</v>
      </c>
      <c r="L60" s="124">
        <v>191.29999999999995</v>
      </c>
    </row>
    <row r="61" spans="5:12" x14ac:dyDescent="0.4">
      <c r="K61" s="46">
        <v>59</v>
      </c>
      <c r="L61" s="124">
        <v>188.69999999999996</v>
      </c>
    </row>
    <row r="62" spans="5:12" x14ac:dyDescent="0.4">
      <c r="K62" s="46">
        <v>60</v>
      </c>
      <c r="L62" s="124">
        <v>201.19999999999996</v>
      </c>
    </row>
    <row r="63" spans="5:12" x14ac:dyDescent="0.4">
      <c r="K63" s="46">
        <v>61</v>
      </c>
      <c r="L63" s="124">
        <v>213.49999999999997</v>
      </c>
    </row>
    <row r="64" spans="5:12" x14ac:dyDescent="0.4">
      <c r="K64" s="46">
        <v>62</v>
      </c>
      <c r="L64" s="124">
        <v>214.39999999999998</v>
      </c>
    </row>
    <row r="65" spans="11:12" x14ac:dyDescent="0.4">
      <c r="K65" s="46">
        <v>63</v>
      </c>
      <c r="L65" s="124">
        <v>210.59999999999997</v>
      </c>
    </row>
    <row r="66" spans="11:12" x14ac:dyDescent="0.4">
      <c r="K66" s="46">
        <v>64</v>
      </c>
      <c r="L66" s="124">
        <v>198.69999999999996</v>
      </c>
    </row>
    <row r="67" spans="11:12" x14ac:dyDescent="0.4">
      <c r="K67" s="46">
        <v>65</v>
      </c>
      <c r="L67" s="124">
        <v>181.19999999999996</v>
      </c>
    </row>
    <row r="68" spans="11:12" x14ac:dyDescent="0.4">
      <c r="K68" s="46">
        <v>66</v>
      </c>
      <c r="L68" s="124">
        <v>188.49999999999997</v>
      </c>
    </row>
    <row r="69" spans="11:12" x14ac:dyDescent="0.4">
      <c r="K69" s="46">
        <v>67</v>
      </c>
      <c r="L69" s="124">
        <v>183.89999999999998</v>
      </c>
    </row>
    <row r="70" spans="11:12" x14ac:dyDescent="0.4">
      <c r="K70" s="46">
        <v>68</v>
      </c>
      <c r="L70" s="124">
        <v>197.99999999999997</v>
      </c>
    </row>
    <row r="71" spans="11:12" x14ac:dyDescent="0.4">
      <c r="K71" s="46">
        <v>69</v>
      </c>
      <c r="L71" s="124">
        <v>159.49999999999997</v>
      </c>
    </row>
    <row r="72" spans="11:12" x14ac:dyDescent="0.4">
      <c r="K72" s="46">
        <v>70</v>
      </c>
      <c r="L72" s="124">
        <v>168.39999999999998</v>
      </c>
    </row>
    <row r="73" spans="11:12" x14ac:dyDescent="0.4">
      <c r="K73" s="46">
        <v>71</v>
      </c>
      <c r="L73" s="124">
        <v>198.09999999999997</v>
      </c>
    </row>
    <row r="74" spans="11:12" x14ac:dyDescent="0.4">
      <c r="K74" s="46">
        <v>72</v>
      </c>
      <c r="L74" s="124">
        <v>177.39999999999998</v>
      </c>
    </row>
    <row r="75" spans="11:12" x14ac:dyDescent="0.4">
      <c r="K75" s="46">
        <v>73</v>
      </c>
      <c r="L75" s="124">
        <v>139.39999999999998</v>
      </c>
    </row>
    <row r="76" spans="11:12" x14ac:dyDescent="0.4">
      <c r="K76" s="46">
        <v>74</v>
      </c>
      <c r="L76" s="124">
        <v>175.39999999999998</v>
      </c>
    </row>
    <row r="77" spans="11:12" x14ac:dyDescent="0.4">
      <c r="K77" s="46">
        <v>75</v>
      </c>
      <c r="L77" s="124">
        <v>205.29999999999998</v>
      </c>
    </row>
    <row r="78" spans="11:12" x14ac:dyDescent="0.4">
      <c r="K78" s="46">
        <v>76</v>
      </c>
      <c r="L78" s="124">
        <v>228.79999999999998</v>
      </c>
    </row>
    <row r="79" spans="11:12" x14ac:dyDescent="0.4">
      <c r="K79" s="46">
        <v>77</v>
      </c>
      <c r="L79" s="124">
        <v>222.99999999999997</v>
      </c>
    </row>
    <row r="80" spans="11:12" x14ac:dyDescent="0.4">
      <c r="K80" s="46">
        <v>78</v>
      </c>
      <c r="L80" s="124">
        <v>219.99999999999997</v>
      </c>
    </row>
    <row r="81" spans="11:12" x14ac:dyDescent="0.4">
      <c r="K81" s="46">
        <v>79</v>
      </c>
      <c r="L81" s="124">
        <v>213.29999999999998</v>
      </c>
    </row>
    <row r="82" spans="11:12" x14ac:dyDescent="0.4">
      <c r="K82" s="46">
        <v>80</v>
      </c>
      <c r="L82" s="124">
        <v>192.99999999999997</v>
      </c>
    </row>
    <row r="83" spans="11:12" x14ac:dyDescent="0.4">
      <c r="K83" s="46">
        <v>81</v>
      </c>
      <c r="L83" s="124">
        <v>220.49999999999997</v>
      </c>
    </row>
    <row r="84" spans="11:12" x14ac:dyDescent="0.4">
      <c r="K84" s="46">
        <v>82</v>
      </c>
      <c r="L84" s="124">
        <v>226.19999999999996</v>
      </c>
    </row>
  </sheetData>
  <sortState ref="N10:Q17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9642A-57AF-408D-8300-A4641F6AA5B7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4" customWidth="1"/>
    <col min="13" max="13" width="3.5" style="41" customWidth="1"/>
    <col min="14" max="14" width="9" style="46" customWidth="1"/>
    <col min="15" max="15" width="9" style="127" customWidth="1"/>
    <col min="16" max="16" width="3.5" style="156" customWidth="1"/>
    <col min="17" max="17" width="3.5" style="157" customWidth="1"/>
    <col min="18" max="16384" width="9" style="41"/>
  </cols>
  <sheetData>
    <row r="1" spans="1:17" x14ac:dyDescent="0.4">
      <c r="A1" s="71" t="s">
        <v>0</v>
      </c>
      <c r="B1" s="133" t="s">
        <v>138</v>
      </c>
      <c r="C1" s="134"/>
      <c r="E1" s="80" t="s">
        <v>160</v>
      </c>
      <c r="F1" s="129" t="s">
        <v>120</v>
      </c>
      <c r="G1" s="128" t="s">
        <v>121</v>
      </c>
      <c r="H1" s="129" t="s">
        <v>122</v>
      </c>
      <c r="I1" s="129" t="s">
        <v>231</v>
      </c>
      <c r="K1" s="42" t="s">
        <v>20</v>
      </c>
      <c r="L1" s="43" t="s">
        <v>125</v>
      </c>
      <c r="N1" s="42" t="s">
        <v>156</v>
      </c>
      <c r="O1" s="129" t="s">
        <v>157</v>
      </c>
      <c r="P1" s="59" t="s">
        <v>238</v>
      </c>
      <c r="Q1" s="55" t="s">
        <v>121</v>
      </c>
    </row>
    <row r="2" spans="1:17" x14ac:dyDescent="0.4">
      <c r="A2" s="72" t="s">
        <v>9</v>
      </c>
      <c r="B2" s="135">
        <v>23</v>
      </c>
      <c r="C2" s="136"/>
      <c r="E2" s="81" t="s">
        <v>71</v>
      </c>
      <c r="F2" s="77" t="s">
        <v>25</v>
      </c>
      <c r="G2" s="64">
        <v>22</v>
      </c>
      <c r="H2" s="45">
        <f>IF(B$25=0,0,G2/B$25)</f>
        <v>0.95652173913043481</v>
      </c>
      <c r="I2" s="117">
        <v>2</v>
      </c>
      <c r="K2" s="44">
        <v>0</v>
      </c>
      <c r="L2" s="123">
        <v>0</v>
      </c>
      <c r="N2" s="44" t="s">
        <v>150</v>
      </c>
      <c r="O2" s="130">
        <f t="shared" ref="O2:O7" si="0">IF(Q2=0,0,P2/Q2)</f>
        <v>313.04347826086956</v>
      </c>
      <c r="P2" s="60">
        <v>7200</v>
      </c>
      <c r="Q2" s="58">
        <v>23</v>
      </c>
    </row>
    <row r="3" spans="1:17" x14ac:dyDescent="0.4">
      <c r="A3" s="73" t="s">
        <v>8</v>
      </c>
      <c r="B3" s="137">
        <v>183</v>
      </c>
      <c r="C3" s="138"/>
      <c r="E3" s="82" t="s">
        <v>67</v>
      </c>
      <c r="F3" s="78" t="s">
        <v>21</v>
      </c>
      <c r="G3" s="65">
        <v>17</v>
      </c>
      <c r="H3" s="47">
        <f>IF(B$25=0,0,G3/B$25)</f>
        <v>0.73913043478260865</v>
      </c>
      <c r="I3" s="118">
        <v>2</v>
      </c>
      <c r="K3" s="46">
        <v>1</v>
      </c>
      <c r="L3" s="124">
        <v>-14.4</v>
      </c>
      <c r="N3" s="46" t="s">
        <v>151</v>
      </c>
      <c r="O3" s="131">
        <f t="shared" si="0"/>
        <v>4776.1904761904761</v>
      </c>
      <c r="P3" s="61">
        <v>100300</v>
      </c>
      <c r="Q3" s="56">
        <v>21</v>
      </c>
    </row>
    <row r="4" spans="1:17" x14ac:dyDescent="0.4">
      <c r="A4" s="73" t="s">
        <v>6</v>
      </c>
      <c r="B4" s="139">
        <v>53.800000000000026</v>
      </c>
      <c r="C4" s="140"/>
      <c r="E4" s="82" t="s">
        <v>70</v>
      </c>
      <c r="F4" s="78" t="s">
        <v>24</v>
      </c>
      <c r="G4" s="65">
        <v>17</v>
      </c>
      <c r="H4" s="47">
        <f>IF(B$25=0,0,G4/B$25)</f>
        <v>0.73913043478260865</v>
      </c>
      <c r="I4" s="118">
        <v>2</v>
      </c>
      <c r="K4" s="46">
        <v>2</v>
      </c>
      <c r="L4" s="124">
        <v>37.6</v>
      </c>
      <c r="N4" s="46" t="s">
        <v>152</v>
      </c>
      <c r="O4" s="131">
        <f t="shared" si="0"/>
        <v>-4255.5555555555557</v>
      </c>
      <c r="P4" s="61">
        <v>-76600</v>
      </c>
      <c r="Q4" s="56">
        <v>18</v>
      </c>
    </row>
    <row r="5" spans="1:17" x14ac:dyDescent="0.4">
      <c r="A5" s="73" t="s">
        <v>7</v>
      </c>
      <c r="B5" s="141">
        <f>IF(B$2=0,0,B$4/B$2)</f>
        <v>2.3391304347826098</v>
      </c>
      <c r="C5" s="142"/>
      <c r="E5" s="82" t="s">
        <v>69</v>
      </c>
      <c r="F5" s="78" t="s">
        <v>23</v>
      </c>
      <c r="G5" s="65">
        <v>11</v>
      </c>
      <c r="H5" s="47">
        <f>IF(B$25=0,0,G5/B$25)</f>
        <v>0.47826086956521741</v>
      </c>
      <c r="I5" s="118">
        <v>10</v>
      </c>
      <c r="K5" s="46">
        <v>3</v>
      </c>
      <c r="L5" s="124">
        <v>-2.7999999999999972</v>
      </c>
      <c r="N5" s="46" t="s">
        <v>153</v>
      </c>
      <c r="O5" s="131">
        <f t="shared" si="0"/>
        <v>2970.5882352941176</v>
      </c>
      <c r="P5" s="61">
        <v>50500</v>
      </c>
      <c r="Q5" s="56">
        <v>17</v>
      </c>
    </row>
    <row r="6" spans="1:17" x14ac:dyDescent="0.4">
      <c r="A6" s="73" t="s">
        <v>1</v>
      </c>
      <c r="B6" s="147">
        <f>IF(B$2=0,0,(B$7*1+B$8*2+B$9*3)/B$2)</f>
        <v>2</v>
      </c>
      <c r="C6" s="148"/>
      <c r="E6" s="82" t="s">
        <v>72</v>
      </c>
      <c r="F6" s="78" t="s">
        <v>12</v>
      </c>
      <c r="G6" s="65">
        <v>9</v>
      </c>
      <c r="H6" s="47">
        <f>IF(B$25=0,0,G6/B$25)</f>
        <v>0.39130434782608697</v>
      </c>
      <c r="I6" s="118">
        <v>1</v>
      </c>
      <c r="K6" s="46">
        <v>4</v>
      </c>
      <c r="L6" s="124">
        <v>-44.3</v>
      </c>
      <c r="N6" s="46" t="s">
        <v>154</v>
      </c>
      <c r="O6" s="131">
        <f t="shared" si="0"/>
        <v>-950</v>
      </c>
      <c r="P6" s="61">
        <v>-13300</v>
      </c>
      <c r="Q6" s="56">
        <v>14</v>
      </c>
    </row>
    <row r="7" spans="1:17" x14ac:dyDescent="0.4">
      <c r="A7" s="73" t="s">
        <v>2</v>
      </c>
      <c r="B7" s="65">
        <v>8</v>
      </c>
      <c r="C7" s="47">
        <f>IF(B$2=0,0,B7/B$2)</f>
        <v>0.34782608695652173</v>
      </c>
      <c r="E7" s="82" t="s">
        <v>76</v>
      </c>
      <c r="F7" s="78" t="s">
        <v>29</v>
      </c>
      <c r="G7" s="65">
        <v>9</v>
      </c>
      <c r="H7" s="47">
        <f>IF(B$25=0,0,G7/B$25)</f>
        <v>0.39130434782608697</v>
      </c>
      <c r="I7" s="118">
        <v>11</v>
      </c>
      <c r="K7" s="46">
        <v>5</v>
      </c>
      <c r="L7" s="124">
        <v>8.2000000000000028</v>
      </c>
      <c r="N7" s="50" t="s">
        <v>155</v>
      </c>
      <c r="O7" s="132">
        <f t="shared" si="0"/>
        <v>-1191.6666666666667</v>
      </c>
      <c r="P7" s="62">
        <v>-14300</v>
      </c>
      <c r="Q7" s="57">
        <v>12</v>
      </c>
    </row>
    <row r="8" spans="1:17" x14ac:dyDescent="0.4">
      <c r="A8" s="73" t="s">
        <v>3</v>
      </c>
      <c r="B8" s="65">
        <v>7</v>
      </c>
      <c r="C8" s="47">
        <f t="shared" ref="C8:C9" si="1">IF(B$2=0,0,B8/B$2)</f>
        <v>0.30434782608695654</v>
      </c>
      <c r="E8" s="82" t="s">
        <v>68</v>
      </c>
      <c r="F8" s="78" t="s">
        <v>22</v>
      </c>
      <c r="G8" s="65">
        <v>4</v>
      </c>
      <c r="H8" s="47">
        <f>IF(B$25=0,0,G8/B$25)</f>
        <v>0.17391304347826086</v>
      </c>
      <c r="I8" s="118">
        <v>2</v>
      </c>
      <c r="K8" s="46">
        <v>6</v>
      </c>
      <c r="L8" s="124">
        <v>23.200000000000003</v>
      </c>
      <c r="N8" s="41"/>
      <c r="O8" s="41"/>
      <c r="P8" s="41"/>
      <c r="Q8" s="41"/>
    </row>
    <row r="9" spans="1:17" x14ac:dyDescent="0.4">
      <c r="A9" s="74" t="s">
        <v>4</v>
      </c>
      <c r="B9" s="66">
        <v>8</v>
      </c>
      <c r="C9" s="48">
        <f t="shared" si="1"/>
        <v>0.34782608695652173</v>
      </c>
      <c r="E9" s="82" t="s">
        <v>73</v>
      </c>
      <c r="F9" s="78" t="s">
        <v>26</v>
      </c>
      <c r="G9" s="65">
        <v>3</v>
      </c>
      <c r="H9" s="47">
        <f>IF(B$25=0,0,G9/B$25)</f>
        <v>0.13043478260869565</v>
      </c>
      <c r="I9" s="118">
        <v>7</v>
      </c>
      <c r="K9" s="46">
        <v>7</v>
      </c>
      <c r="L9" s="124">
        <v>40</v>
      </c>
      <c r="N9" s="42" t="s">
        <v>235</v>
      </c>
      <c r="O9" s="129" t="s">
        <v>125</v>
      </c>
      <c r="P9" s="153" t="s">
        <v>238</v>
      </c>
      <c r="Q9" s="125" t="s">
        <v>121</v>
      </c>
    </row>
    <row r="10" spans="1:17" x14ac:dyDescent="0.4">
      <c r="A10" s="74" t="s">
        <v>19</v>
      </c>
      <c r="B10" s="66">
        <v>5</v>
      </c>
      <c r="C10" s="48">
        <f>IF(B$2=0,0,B10/B$2)</f>
        <v>0.21739130434782608</v>
      </c>
      <c r="E10" s="82" t="s">
        <v>74</v>
      </c>
      <c r="F10" s="78" t="s">
        <v>27</v>
      </c>
      <c r="G10" s="65">
        <v>1</v>
      </c>
      <c r="H10" s="47">
        <f>IF(B$25=0,0,G10/B$25)</f>
        <v>4.3478260869565216E-2</v>
      </c>
      <c r="I10" s="118">
        <v>10</v>
      </c>
      <c r="K10" s="46">
        <v>8</v>
      </c>
      <c r="L10" s="124">
        <v>4.2000000000000028</v>
      </c>
      <c r="N10" s="44" t="s">
        <v>136</v>
      </c>
      <c r="O10" s="126">
        <f>IF(Q10=0,0,P10/Q10)</f>
        <v>12.293333333333335</v>
      </c>
      <c r="P10" s="154">
        <v>184.40000000000003</v>
      </c>
      <c r="Q10" s="155">
        <v>15</v>
      </c>
    </row>
    <row r="11" spans="1:17" x14ac:dyDescent="0.4">
      <c r="A11" s="75" t="s">
        <v>158</v>
      </c>
      <c r="B11" s="67">
        <v>4</v>
      </c>
      <c r="C11" s="51">
        <f>IF(B$2=0,0,B11/B$2)</f>
        <v>0.17391304347826086</v>
      </c>
      <c r="E11" s="82" t="s">
        <v>75</v>
      </c>
      <c r="F11" s="78" t="s">
        <v>28</v>
      </c>
      <c r="G11" s="65">
        <v>1</v>
      </c>
      <c r="H11" s="47">
        <f>IF(B$25=0,0,G11/B$25)</f>
        <v>4.3478260869565216E-2</v>
      </c>
      <c r="I11" s="118">
        <v>8</v>
      </c>
      <c r="K11" s="46">
        <v>9</v>
      </c>
      <c r="L11" s="124">
        <v>6.8000000000000025</v>
      </c>
      <c r="N11" s="46" t="s">
        <v>133</v>
      </c>
      <c r="O11" s="127">
        <f>IF(Q11=0,0,P11/Q11)</f>
        <v>1.9714285714285724</v>
      </c>
      <c r="P11" s="156">
        <v>41.40000000000002</v>
      </c>
      <c r="Q11" s="157">
        <v>21</v>
      </c>
    </row>
    <row r="12" spans="1:17" x14ac:dyDescent="0.4">
      <c r="A12" s="76" t="s">
        <v>128</v>
      </c>
      <c r="B12" s="68">
        <v>34</v>
      </c>
      <c r="C12" s="54">
        <f>IF(B$24=0,0,B12/B$24)</f>
        <v>0.33663366336633666</v>
      </c>
      <c r="E12" s="82" t="s">
        <v>82</v>
      </c>
      <c r="F12" s="78" t="s">
        <v>35</v>
      </c>
      <c r="G12" s="65">
        <v>1</v>
      </c>
      <c r="H12" s="47">
        <f>IF(B$25=0,0,G12/B$25)</f>
        <v>4.3478260869565216E-2</v>
      </c>
      <c r="I12" s="118">
        <v>3</v>
      </c>
      <c r="K12" s="46">
        <v>10</v>
      </c>
      <c r="L12" s="124">
        <v>56.800000000000004</v>
      </c>
      <c r="N12" s="46" t="s">
        <v>134</v>
      </c>
      <c r="O12" s="127">
        <f>IF(Q12=0,0,P12/Q12)</f>
        <v>-5.8166666666666673</v>
      </c>
      <c r="P12" s="156">
        <v>-34.900000000000006</v>
      </c>
      <c r="Q12" s="157">
        <v>6</v>
      </c>
    </row>
    <row r="13" spans="1:17" x14ac:dyDescent="0.4">
      <c r="A13" s="73" t="s">
        <v>123</v>
      </c>
      <c r="B13" s="65">
        <v>23</v>
      </c>
      <c r="C13" s="47">
        <f>IF(B$24=0,0,B13/B$24)</f>
        <v>0.22772277227722773</v>
      </c>
      <c r="E13" s="82" t="s">
        <v>91</v>
      </c>
      <c r="F13" s="78" t="s">
        <v>44</v>
      </c>
      <c r="G13" s="65">
        <v>1</v>
      </c>
      <c r="H13" s="47">
        <f>IF(B$25=0,0,G13/B$25)</f>
        <v>4.3478260869565216E-2</v>
      </c>
      <c r="I13" s="118">
        <v>11</v>
      </c>
      <c r="K13" s="46">
        <v>11</v>
      </c>
      <c r="L13" s="124">
        <v>69.300000000000011</v>
      </c>
      <c r="N13" s="46" t="s">
        <v>137</v>
      </c>
      <c r="O13" s="127">
        <f>IF(Q13=0,0,P13/Q13)</f>
        <v>-8</v>
      </c>
      <c r="P13" s="156">
        <v>-8</v>
      </c>
      <c r="Q13" s="157">
        <v>1</v>
      </c>
    </row>
    <row r="14" spans="1:17" x14ac:dyDescent="0.4">
      <c r="A14" s="72" t="s">
        <v>130</v>
      </c>
      <c r="B14" s="64">
        <v>16</v>
      </c>
      <c r="C14" s="45">
        <f>IF(B$12=0,0,B14/B$12)</f>
        <v>0.47058823529411764</v>
      </c>
      <c r="E14" s="82" t="s">
        <v>94</v>
      </c>
      <c r="F14" s="78" t="s">
        <v>47</v>
      </c>
      <c r="G14" s="65">
        <v>1</v>
      </c>
      <c r="H14" s="47">
        <f>IF(B$25=0,0,G14/B$25)</f>
        <v>4.3478260869565216E-2</v>
      </c>
      <c r="I14" s="118">
        <v>10</v>
      </c>
      <c r="K14" s="46">
        <v>12</v>
      </c>
      <c r="L14" s="124">
        <v>80.800000000000011</v>
      </c>
      <c r="N14" s="46" t="s">
        <v>139</v>
      </c>
      <c r="O14" s="127">
        <f>IF(Q14=0,0,P14/Q14)</f>
        <v>-13.900000000000002</v>
      </c>
      <c r="P14" s="156">
        <v>-27.800000000000004</v>
      </c>
      <c r="Q14" s="157">
        <v>2</v>
      </c>
    </row>
    <row r="15" spans="1:17" x14ac:dyDescent="0.4">
      <c r="A15" s="72" t="s">
        <v>131</v>
      </c>
      <c r="B15" s="64">
        <v>3</v>
      </c>
      <c r="C15" s="45">
        <f>IF(B$13=0,0,B15/B$13)</f>
        <v>0.13043478260869565</v>
      </c>
      <c r="E15" s="82" t="s">
        <v>97</v>
      </c>
      <c r="F15" s="78" t="s">
        <v>50</v>
      </c>
      <c r="G15" s="65">
        <v>1</v>
      </c>
      <c r="H15" s="47">
        <f>IF(B$25=0,0,G15/B$25)</f>
        <v>4.3478260869565216E-2</v>
      </c>
      <c r="I15" s="118">
        <v>1</v>
      </c>
      <c r="K15" s="46">
        <v>13</v>
      </c>
      <c r="L15" s="124">
        <v>155.10000000000002</v>
      </c>
      <c r="N15" s="46" t="s">
        <v>135</v>
      </c>
      <c r="O15" s="127">
        <f>IF(Q15=0,0,P15/Q15)</f>
        <v>-47.5</v>
      </c>
      <c r="P15" s="156">
        <v>-47.5</v>
      </c>
      <c r="Q15" s="157">
        <v>1</v>
      </c>
    </row>
    <row r="16" spans="1:17" x14ac:dyDescent="0.4">
      <c r="A16" s="72" t="s">
        <v>10</v>
      </c>
      <c r="B16" s="64">
        <f>B18+B17</f>
        <v>51</v>
      </c>
      <c r="C16" s="45">
        <f>IF(B$3=0,0,B16/B$3)</f>
        <v>0.27868852459016391</v>
      </c>
      <c r="E16" s="82" t="s">
        <v>77</v>
      </c>
      <c r="F16" s="78" t="s">
        <v>30</v>
      </c>
      <c r="G16" s="65">
        <v>0</v>
      </c>
      <c r="H16" s="47">
        <f>IF(B$25=0,0,G16/B$25)</f>
        <v>0</v>
      </c>
      <c r="I16" s="118">
        <v>5</v>
      </c>
      <c r="K16" s="46">
        <v>14</v>
      </c>
      <c r="L16" s="124">
        <v>147.10000000000002</v>
      </c>
    </row>
    <row r="17" spans="1:12" x14ac:dyDescent="0.4">
      <c r="A17" s="73" t="s">
        <v>12</v>
      </c>
      <c r="B17" s="65">
        <v>23</v>
      </c>
      <c r="C17" s="47">
        <f>IF(B$16=0,0,B17/B$16)</f>
        <v>0.45098039215686275</v>
      </c>
      <c r="E17" s="82" t="s">
        <v>78</v>
      </c>
      <c r="F17" s="78" t="s">
        <v>31</v>
      </c>
      <c r="G17" s="65">
        <v>0</v>
      </c>
      <c r="H17" s="47">
        <f>IF(B$25=0,0,G17/B$25)</f>
        <v>0</v>
      </c>
      <c r="I17" s="118">
        <v>4</v>
      </c>
      <c r="K17" s="46">
        <v>15</v>
      </c>
      <c r="L17" s="124">
        <v>148.80000000000001</v>
      </c>
    </row>
    <row r="18" spans="1:12" x14ac:dyDescent="0.4">
      <c r="A18" s="73" t="s">
        <v>11</v>
      </c>
      <c r="B18" s="65">
        <v>28</v>
      </c>
      <c r="C18" s="47">
        <f>IF(B$16=0,0,B18/B$16)</f>
        <v>0.5490196078431373</v>
      </c>
      <c r="E18" s="82" t="s">
        <v>79</v>
      </c>
      <c r="F18" s="78" t="s">
        <v>32</v>
      </c>
      <c r="G18" s="65">
        <v>0</v>
      </c>
      <c r="H18" s="47">
        <f>IF(B$25=0,0,G18/B$25)</f>
        <v>0</v>
      </c>
      <c r="I18" s="118">
        <v>6</v>
      </c>
      <c r="K18" s="46">
        <v>16</v>
      </c>
      <c r="L18" s="124">
        <v>152.30000000000001</v>
      </c>
    </row>
    <row r="19" spans="1:12" x14ac:dyDescent="0.4">
      <c r="A19" s="73" t="s">
        <v>13</v>
      </c>
      <c r="B19" s="65">
        <v>30</v>
      </c>
      <c r="C19" s="47">
        <f>IF(B$3=0,0,B19/B$3)</f>
        <v>0.16393442622950818</v>
      </c>
      <c r="E19" s="82" t="s">
        <v>80</v>
      </c>
      <c r="F19" s="78" t="s">
        <v>33</v>
      </c>
      <c r="G19" s="65">
        <v>0</v>
      </c>
      <c r="H19" s="47">
        <f>IF(B$25=0,0,G19/B$25)</f>
        <v>0</v>
      </c>
      <c r="I19" s="118">
        <v>1</v>
      </c>
      <c r="K19" s="46">
        <v>17</v>
      </c>
      <c r="L19" s="124">
        <v>178.10000000000002</v>
      </c>
    </row>
    <row r="20" spans="1:12" x14ac:dyDescent="0.4">
      <c r="A20" s="73" t="s">
        <v>5</v>
      </c>
      <c r="B20" s="69">
        <f>IF(B$16=0,0,C20/B$16)</f>
        <v>11427.450980392157</v>
      </c>
      <c r="C20" s="49">
        <v>582800</v>
      </c>
      <c r="E20" s="82" t="s">
        <v>81</v>
      </c>
      <c r="F20" s="78" t="s">
        <v>34</v>
      </c>
      <c r="G20" s="65">
        <v>0</v>
      </c>
      <c r="H20" s="47">
        <f>IF(B$25=0,0,G20/B$25)</f>
        <v>0</v>
      </c>
      <c r="I20" s="118">
        <v>6</v>
      </c>
      <c r="K20" s="46">
        <v>18</v>
      </c>
      <c r="L20" s="124">
        <v>155.00000000000003</v>
      </c>
    </row>
    <row r="21" spans="1:12" x14ac:dyDescent="0.4">
      <c r="A21" s="75" t="s">
        <v>14</v>
      </c>
      <c r="B21" s="70">
        <f>IF(B$19=0,0,C21/B$19)</f>
        <v>-9023.3333333333339</v>
      </c>
      <c r="C21" s="63">
        <v>-270700</v>
      </c>
      <c r="E21" s="82" t="s">
        <v>83</v>
      </c>
      <c r="F21" s="78" t="s">
        <v>36</v>
      </c>
      <c r="G21" s="65">
        <v>0</v>
      </c>
      <c r="H21" s="47">
        <f>IF(B$25=0,0,G21/B$25)</f>
        <v>0</v>
      </c>
      <c r="I21" s="118">
        <v>9</v>
      </c>
      <c r="K21" s="46">
        <v>19</v>
      </c>
      <c r="L21" s="124">
        <v>143.60000000000002</v>
      </c>
    </row>
    <row r="22" spans="1:12" x14ac:dyDescent="0.4">
      <c r="A22" s="72" t="s">
        <v>147</v>
      </c>
      <c r="B22" s="64">
        <v>69</v>
      </c>
      <c r="C22" s="45">
        <f>IF(B$3=0,0,B22/B$3)</f>
        <v>0.37704918032786883</v>
      </c>
      <c r="E22" s="82" t="s">
        <v>84</v>
      </c>
      <c r="F22" s="78" t="s">
        <v>37</v>
      </c>
      <c r="G22" s="65">
        <v>0</v>
      </c>
      <c r="H22" s="47">
        <f>IF(B$25=0,0,G22/B$25)</f>
        <v>0</v>
      </c>
      <c r="I22" s="118">
        <v>1</v>
      </c>
      <c r="K22" s="46">
        <v>20</v>
      </c>
      <c r="L22" s="124">
        <v>152.50000000000003</v>
      </c>
    </row>
    <row r="23" spans="1:12" x14ac:dyDescent="0.4">
      <c r="A23" s="75" t="s">
        <v>148</v>
      </c>
      <c r="B23" s="67">
        <v>28</v>
      </c>
      <c r="C23" s="51">
        <f>IF(B$22=0,0,B23/B$22)</f>
        <v>0.40579710144927539</v>
      </c>
      <c r="E23" s="82" t="s">
        <v>85</v>
      </c>
      <c r="F23" s="78" t="s">
        <v>38</v>
      </c>
      <c r="G23" s="65">
        <v>0</v>
      </c>
      <c r="H23" s="47">
        <f>IF(B$25=0,0,G23/B$25)</f>
        <v>0</v>
      </c>
      <c r="I23" s="118">
        <v>3</v>
      </c>
      <c r="K23" s="46">
        <v>21</v>
      </c>
      <c r="L23" s="124">
        <v>138.00000000000003</v>
      </c>
    </row>
    <row r="24" spans="1:12" x14ac:dyDescent="0.4">
      <c r="A24" s="72" t="s">
        <v>126</v>
      </c>
      <c r="B24" s="135">
        <v>101</v>
      </c>
      <c r="C24" s="136"/>
      <c r="E24" s="82" t="s">
        <v>86</v>
      </c>
      <c r="F24" s="78" t="s">
        <v>39</v>
      </c>
      <c r="G24" s="65">
        <v>0</v>
      </c>
      <c r="H24" s="47">
        <f>IF(B$25=0,0,G24/B$25)</f>
        <v>0</v>
      </c>
      <c r="I24" s="118">
        <v>9</v>
      </c>
      <c r="K24" s="46">
        <v>22</v>
      </c>
      <c r="L24" s="124">
        <v>101.30000000000003</v>
      </c>
    </row>
    <row r="25" spans="1:12" x14ac:dyDescent="0.4">
      <c r="A25" s="75" t="s">
        <v>127</v>
      </c>
      <c r="B25" s="149">
        <v>23</v>
      </c>
      <c r="C25" s="150"/>
      <c r="E25" s="82" t="s">
        <v>87</v>
      </c>
      <c r="F25" s="78" t="s">
        <v>40</v>
      </c>
      <c r="G25" s="65">
        <v>0</v>
      </c>
      <c r="H25" s="47">
        <f>IF(B$25=0,0,G25/B$25)</f>
        <v>0</v>
      </c>
      <c r="I25" s="118">
        <v>1</v>
      </c>
      <c r="K25" s="46">
        <v>23</v>
      </c>
      <c r="L25" s="124">
        <v>53.800000000000026</v>
      </c>
    </row>
    <row r="26" spans="1:12" x14ac:dyDescent="0.4">
      <c r="A26" s="113" t="s">
        <v>162</v>
      </c>
      <c r="B26" s="145">
        <v>7</v>
      </c>
      <c r="C26" s="146"/>
      <c r="E26" s="82" t="s">
        <v>88</v>
      </c>
      <c r="F26" s="78" t="s">
        <v>41</v>
      </c>
      <c r="G26" s="65">
        <v>0</v>
      </c>
      <c r="H26" s="47">
        <f>IF(B$25=0,0,G26/B$25)</f>
        <v>0</v>
      </c>
      <c r="I26" s="118">
        <v>9</v>
      </c>
    </row>
    <row r="27" spans="1:12" x14ac:dyDescent="0.4">
      <c r="A27" s="76" t="s">
        <v>203</v>
      </c>
      <c r="B27" s="143">
        <v>109300</v>
      </c>
      <c r="C27" s="144"/>
      <c r="E27" s="82" t="s">
        <v>89</v>
      </c>
      <c r="F27" s="78" t="s">
        <v>42</v>
      </c>
      <c r="G27" s="65">
        <v>0</v>
      </c>
      <c r="H27" s="47">
        <f>IF(B$25=0,0,G27/B$25)</f>
        <v>0</v>
      </c>
      <c r="I27" s="118">
        <v>5</v>
      </c>
    </row>
    <row r="28" spans="1:12" x14ac:dyDescent="0.4">
      <c r="A28" s="75" t="s">
        <v>163</v>
      </c>
      <c r="B28" s="84">
        <v>0</v>
      </c>
      <c r="C28" s="51">
        <f>IF(B$3=0,0,B28/B$3)</f>
        <v>0</v>
      </c>
      <c r="E28" s="82" t="s">
        <v>90</v>
      </c>
      <c r="F28" s="78" t="s">
        <v>43</v>
      </c>
      <c r="G28" s="65">
        <v>0</v>
      </c>
      <c r="H28" s="47">
        <f>IF(B$25=0,0,G28/B$25)</f>
        <v>0</v>
      </c>
      <c r="I28" s="118">
        <v>5</v>
      </c>
    </row>
    <row r="29" spans="1:12" x14ac:dyDescent="0.4">
      <c r="E29" s="82" t="s">
        <v>92</v>
      </c>
      <c r="F29" s="78" t="s">
        <v>45</v>
      </c>
      <c r="G29" s="65">
        <v>0</v>
      </c>
      <c r="H29" s="47">
        <f>IF(B$25=0,0,G29/B$25)</f>
        <v>0</v>
      </c>
      <c r="I29" s="118">
        <v>4</v>
      </c>
    </row>
    <row r="30" spans="1:12" x14ac:dyDescent="0.4">
      <c r="E30" s="82" t="s">
        <v>93</v>
      </c>
      <c r="F30" s="78" t="s">
        <v>46</v>
      </c>
      <c r="G30" s="65">
        <v>0</v>
      </c>
      <c r="H30" s="47">
        <f>IF(B$25=0,0,G30/B$25)</f>
        <v>0</v>
      </c>
      <c r="I30" s="118">
        <v>3</v>
      </c>
    </row>
    <row r="31" spans="1:12" x14ac:dyDescent="0.4">
      <c r="E31" s="82" t="s">
        <v>95</v>
      </c>
      <c r="F31" s="78" t="s">
        <v>48</v>
      </c>
      <c r="G31" s="65">
        <v>0</v>
      </c>
      <c r="H31" s="47">
        <f>IF(B$25=0,0,G31/B$25)</f>
        <v>0</v>
      </c>
      <c r="I31" s="118">
        <v>3</v>
      </c>
    </row>
    <row r="32" spans="1:12" x14ac:dyDescent="0.4">
      <c r="E32" s="82" t="s">
        <v>96</v>
      </c>
      <c r="F32" s="78" t="s">
        <v>49</v>
      </c>
      <c r="G32" s="65">
        <v>0</v>
      </c>
      <c r="H32" s="47">
        <f>IF(B$25=0,0,G32/B$25)</f>
        <v>0</v>
      </c>
      <c r="I32" s="118">
        <v>8</v>
      </c>
    </row>
    <row r="33" spans="5:9" x14ac:dyDescent="0.4">
      <c r="E33" s="82" t="s">
        <v>98</v>
      </c>
      <c r="F33" s="78" t="s">
        <v>51</v>
      </c>
      <c r="G33" s="65">
        <v>0</v>
      </c>
      <c r="H33" s="47">
        <f>IF(B$25=0,0,G33/B$25)</f>
        <v>0</v>
      </c>
      <c r="I33" s="118">
        <v>4</v>
      </c>
    </row>
    <row r="34" spans="5:9" x14ac:dyDescent="0.4">
      <c r="E34" s="82" t="s">
        <v>99</v>
      </c>
      <c r="F34" s="78" t="s">
        <v>52</v>
      </c>
      <c r="G34" s="65">
        <v>0</v>
      </c>
      <c r="H34" s="47">
        <f>IF(B$25=0,0,G34/B$25)</f>
        <v>0</v>
      </c>
      <c r="I34" s="118">
        <v>1</v>
      </c>
    </row>
    <row r="35" spans="5:9" x14ac:dyDescent="0.4">
      <c r="E35" s="82" t="s">
        <v>100</v>
      </c>
      <c r="F35" s="78" t="s">
        <v>53</v>
      </c>
      <c r="G35" s="65">
        <v>0</v>
      </c>
      <c r="H35" s="47">
        <f>IF(B$25=0,0,G35/B$25)</f>
        <v>0</v>
      </c>
      <c r="I35" s="118">
        <v>3</v>
      </c>
    </row>
    <row r="36" spans="5:9" x14ac:dyDescent="0.4">
      <c r="E36" s="82" t="s">
        <v>101</v>
      </c>
      <c r="F36" s="78" t="s">
        <v>54</v>
      </c>
      <c r="G36" s="65">
        <v>0</v>
      </c>
      <c r="H36" s="47">
        <f>IF(B$25=0,0,G36/B$25)</f>
        <v>0</v>
      </c>
      <c r="I36" s="118">
        <v>1</v>
      </c>
    </row>
    <row r="37" spans="5:9" x14ac:dyDescent="0.4">
      <c r="E37" s="82" t="s">
        <v>102</v>
      </c>
      <c r="F37" s="78" t="s">
        <v>55</v>
      </c>
      <c r="G37" s="65">
        <v>0</v>
      </c>
      <c r="H37" s="47">
        <f>IF(B$25=0,0,G37/B$25)</f>
        <v>0</v>
      </c>
      <c r="I37" s="118">
        <v>1</v>
      </c>
    </row>
    <row r="38" spans="5:9" x14ac:dyDescent="0.4">
      <c r="E38" s="82" t="s">
        <v>103</v>
      </c>
      <c r="F38" s="78" t="s">
        <v>56</v>
      </c>
      <c r="G38" s="65">
        <v>0</v>
      </c>
      <c r="H38" s="47">
        <f>IF(B$25=0,0,G38/B$25)</f>
        <v>0</v>
      </c>
      <c r="I38" s="118">
        <v>1</v>
      </c>
    </row>
    <row r="39" spans="5:9" x14ac:dyDescent="0.4">
      <c r="E39" s="82" t="s">
        <v>104</v>
      </c>
      <c r="F39" s="78" t="s">
        <v>57</v>
      </c>
      <c r="G39" s="65">
        <v>0</v>
      </c>
      <c r="H39" s="47">
        <f>IF(B$25=0,0,G39/B$25)</f>
        <v>0</v>
      </c>
      <c r="I39" s="118">
        <v>1</v>
      </c>
    </row>
    <row r="40" spans="5:9" x14ac:dyDescent="0.4">
      <c r="E40" s="82" t="s">
        <v>105</v>
      </c>
      <c r="F40" s="78" t="s">
        <v>58</v>
      </c>
      <c r="G40" s="65">
        <v>0</v>
      </c>
      <c r="H40" s="47">
        <f>IF(B$25=0,0,G40/B$25)</f>
        <v>0</v>
      </c>
      <c r="I40" s="118">
        <v>1</v>
      </c>
    </row>
    <row r="41" spans="5:9" x14ac:dyDescent="0.4">
      <c r="E41" s="82" t="s">
        <v>106</v>
      </c>
      <c r="F41" s="78" t="s">
        <v>59</v>
      </c>
      <c r="G41" s="65">
        <v>0</v>
      </c>
      <c r="H41" s="47">
        <f>IF(B$25=0,0,G41/B$25)</f>
        <v>0</v>
      </c>
      <c r="I41" s="118">
        <v>1</v>
      </c>
    </row>
    <row r="42" spans="5:9" x14ac:dyDescent="0.4">
      <c r="E42" s="82" t="s">
        <v>107</v>
      </c>
      <c r="F42" s="78" t="s">
        <v>60</v>
      </c>
      <c r="G42" s="65">
        <v>0</v>
      </c>
      <c r="H42" s="47">
        <f>IF(B$25=0,0,G42/B$25)</f>
        <v>0</v>
      </c>
      <c r="I42" s="118">
        <v>1</v>
      </c>
    </row>
    <row r="43" spans="5:9" x14ac:dyDescent="0.4">
      <c r="E43" s="82" t="s">
        <v>108</v>
      </c>
      <c r="F43" s="78" t="s">
        <v>61</v>
      </c>
      <c r="G43" s="65">
        <v>0</v>
      </c>
      <c r="H43" s="47">
        <f>IF(B$25=0,0,G43/B$25)</f>
        <v>0</v>
      </c>
      <c r="I43" s="118">
        <v>1</v>
      </c>
    </row>
    <row r="44" spans="5:9" x14ac:dyDescent="0.4">
      <c r="E44" s="82" t="s">
        <v>109</v>
      </c>
      <c r="F44" s="78" t="s">
        <v>62</v>
      </c>
      <c r="G44" s="65">
        <v>0</v>
      </c>
      <c r="H44" s="47">
        <f>IF(B$25=0,0,G44/B$25)</f>
        <v>0</v>
      </c>
      <c r="I44" s="118">
        <v>1</v>
      </c>
    </row>
    <row r="45" spans="5:9" x14ac:dyDescent="0.4">
      <c r="E45" s="82" t="s">
        <v>110</v>
      </c>
      <c r="F45" s="78" t="s">
        <v>117</v>
      </c>
      <c r="G45" s="65">
        <v>0</v>
      </c>
      <c r="H45" s="47">
        <f>IF(B$25=0,0,G45/B$25)</f>
        <v>0</v>
      </c>
      <c r="I45" s="118">
        <v>1</v>
      </c>
    </row>
    <row r="46" spans="5:9" x14ac:dyDescent="0.4">
      <c r="E46" s="82" t="s">
        <v>111</v>
      </c>
      <c r="F46" s="78" t="s">
        <v>118</v>
      </c>
      <c r="G46" s="65">
        <v>0</v>
      </c>
      <c r="H46" s="47">
        <f>IF(B$25=0,0,G46/B$25)</f>
        <v>0</v>
      </c>
      <c r="I46" s="118">
        <v>3</v>
      </c>
    </row>
    <row r="47" spans="5:9" x14ac:dyDescent="0.4">
      <c r="E47" s="82" t="s">
        <v>112</v>
      </c>
      <c r="F47" s="78" t="s">
        <v>119</v>
      </c>
      <c r="G47" s="65">
        <v>0</v>
      </c>
      <c r="H47" s="47">
        <f>IF(B$25=0,0,G47/B$25)</f>
        <v>0</v>
      </c>
      <c r="I47" s="118">
        <v>1</v>
      </c>
    </row>
    <row r="48" spans="5:9" x14ac:dyDescent="0.4">
      <c r="E48" s="82" t="s">
        <v>113</v>
      </c>
      <c r="F48" s="78" t="s">
        <v>63</v>
      </c>
      <c r="G48" s="65">
        <v>0</v>
      </c>
      <c r="H48" s="47">
        <f>IF(B$25=0,0,G48/B$25)</f>
        <v>0</v>
      </c>
      <c r="I48" s="118">
        <v>1</v>
      </c>
    </row>
    <row r="49" spans="5:9" x14ac:dyDescent="0.4">
      <c r="E49" s="82" t="s">
        <v>114</v>
      </c>
      <c r="F49" s="78" t="s">
        <v>64</v>
      </c>
      <c r="G49" s="65">
        <v>0</v>
      </c>
      <c r="H49" s="47">
        <f>IF(B$25=0,0,G49/B$25)</f>
        <v>0</v>
      </c>
      <c r="I49" s="118">
        <v>1</v>
      </c>
    </row>
    <row r="50" spans="5:9" x14ac:dyDescent="0.4">
      <c r="E50" s="82" t="s">
        <v>115</v>
      </c>
      <c r="F50" s="78" t="s">
        <v>65</v>
      </c>
      <c r="G50" s="65">
        <v>0</v>
      </c>
      <c r="H50" s="47">
        <f>IF(B$25=0,0,G50/B$25)</f>
        <v>0</v>
      </c>
      <c r="I50" s="118">
        <v>1</v>
      </c>
    </row>
    <row r="51" spans="5:9" x14ac:dyDescent="0.4">
      <c r="E51" s="83" t="s">
        <v>116</v>
      </c>
      <c r="F51" s="79" t="s">
        <v>66</v>
      </c>
      <c r="G51" s="67">
        <v>0</v>
      </c>
      <c r="H51" s="51">
        <f>IF(B$25=0,0,G51/B$25)</f>
        <v>0</v>
      </c>
      <c r="I51" s="119">
        <v>1</v>
      </c>
    </row>
  </sheetData>
  <sortState ref="N10:Q15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695AC-07F7-4794-A2C6-3751BA738199}">
  <sheetPr codeName="Sheet25"/>
  <dimension ref="A1:Q88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4" customWidth="1"/>
    <col min="13" max="13" width="3.5" style="41" customWidth="1"/>
    <col min="14" max="14" width="9" style="46" customWidth="1"/>
    <col min="15" max="15" width="9" style="127" customWidth="1"/>
    <col min="16" max="16" width="3.5" style="156" customWidth="1"/>
    <col min="17" max="17" width="3.5" style="157" customWidth="1"/>
    <col min="18" max="16384" width="9" style="41"/>
  </cols>
  <sheetData>
    <row r="1" spans="1:17" x14ac:dyDescent="0.4">
      <c r="A1" s="71" t="s">
        <v>0</v>
      </c>
      <c r="B1" s="133" t="s">
        <v>139</v>
      </c>
      <c r="C1" s="134"/>
      <c r="E1" s="80" t="s">
        <v>160</v>
      </c>
      <c r="F1" s="129" t="s">
        <v>120</v>
      </c>
      <c r="G1" s="128" t="s">
        <v>121</v>
      </c>
      <c r="H1" s="129" t="s">
        <v>122</v>
      </c>
      <c r="I1" s="129" t="s">
        <v>231</v>
      </c>
      <c r="K1" s="42" t="s">
        <v>20</v>
      </c>
      <c r="L1" s="43" t="s">
        <v>125</v>
      </c>
      <c r="N1" s="42" t="s">
        <v>156</v>
      </c>
      <c r="O1" s="129" t="s">
        <v>157</v>
      </c>
      <c r="P1" s="59" t="s">
        <v>238</v>
      </c>
      <c r="Q1" s="55" t="s">
        <v>121</v>
      </c>
    </row>
    <row r="2" spans="1:17" x14ac:dyDescent="0.4">
      <c r="A2" s="72" t="s">
        <v>9</v>
      </c>
      <c r="B2" s="135">
        <v>86</v>
      </c>
      <c r="C2" s="136"/>
      <c r="E2" s="81" t="s">
        <v>71</v>
      </c>
      <c r="F2" s="77" t="s">
        <v>25</v>
      </c>
      <c r="G2" s="64">
        <v>174</v>
      </c>
      <c r="H2" s="45">
        <f>IF(B$25=0,0,G2/B$25)</f>
        <v>0.94565217391304346</v>
      </c>
      <c r="I2" s="117">
        <v>3</v>
      </c>
      <c r="K2" s="44">
        <v>0</v>
      </c>
      <c r="L2" s="123">
        <v>0</v>
      </c>
      <c r="N2" s="44" t="s">
        <v>150</v>
      </c>
      <c r="O2" s="130">
        <f t="shared" ref="O2:O7" si="0">IF(Q2=0,0,P2/Q2)</f>
        <v>-1304.8780487804879</v>
      </c>
      <c r="P2" s="60">
        <v>-107000</v>
      </c>
      <c r="Q2" s="58">
        <v>82</v>
      </c>
    </row>
    <row r="3" spans="1:17" x14ac:dyDescent="0.4">
      <c r="A3" s="73" t="s">
        <v>8</v>
      </c>
      <c r="B3" s="137">
        <v>661</v>
      </c>
      <c r="C3" s="138"/>
      <c r="E3" s="82" t="s">
        <v>69</v>
      </c>
      <c r="F3" s="78" t="s">
        <v>23</v>
      </c>
      <c r="G3" s="65">
        <v>156</v>
      </c>
      <c r="H3" s="47">
        <f>IF(B$25=0,0,G3/B$25)</f>
        <v>0.84782608695652173</v>
      </c>
      <c r="I3" s="118">
        <v>2</v>
      </c>
      <c r="K3" s="46">
        <v>1</v>
      </c>
      <c r="L3" s="124">
        <v>3.9</v>
      </c>
      <c r="N3" s="46" t="s">
        <v>151</v>
      </c>
      <c r="O3" s="131">
        <f t="shared" si="0"/>
        <v>96.296296296296291</v>
      </c>
      <c r="P3" s="61">
        <v>7800</v>
      </c>
      <c r="Q3" s="56">
        <v>81</v>
      </c>
    </row>
    <row r="4" spans="1:17" x14ac:dyDescent="0.4">
      <c r="A4" s="73" t="s">
        <v>6</v>
      </c>
      <c r="B4" s="139">
        <v>-383.7999999999999</v>
      </c>
      <c r="C4" s="140"/>
      <c r="E4" s="82" t="s">
        <v>76</v>
      </c>
      <c r="F4" s="78" t="s">
        <v>29</v>
      </c>
      <c r="G4" s="65">
        <v>120</v>
      </c>
      <c r="H4" s="47">
        <f>IF(B$25=0,0,G4/B$25)</f>
        <v>0.65217391304347827</v>
      </c>
      <c r="I4" s="118">
        <v>3</v>
      </c>
      <c r="K4" s="46">
        <v>2</v>
      </c>
      <c r="L4" s="124">
        <v>-33.9</v>
      </c>
      <c r="N4" s="46" t="s">
        <v>152</v>
      </c>
      <c r="O4" s="131">
        <f t="shared" si="0"/>
        <v>-1503.8961038961038</v>
      </c>
      <c r="P4" s="61">
        <v>-115800</v>
      </c>
      <c r="Q4" s="56">
        <v>77</v>
      </c>
    </row>
    <row r="5" spans="1:17" x14ac:dyDescent="0.4">
      <c r="A5" s="73" t="s">
        <v>7</v>
      </c>
      <c r="B5" s="141">
        <f>IF(B$2=0,0,B$4/B$2)</f>
        <v>-4.4627906976744178</v>
      </c>
      <c r="C5" s="142"/>
      <c r="E5" s="82" t="s">
        <v>67</v>
      </c>
      <c r="F5" s="78" t="s">
        <v>21</v>
      </c>
      <c r="G5" s="65">
        <v>113</v>
      </c>
      <c r="H5" s="47">
        <f>IF(B$25=0,0,G5/B$25)</f>
        <v>0.61413043478260865</v>
      </c>
      <c r="I5" s="118">
        <v>5</v>
      </c>
      <c r="K5" s="46">
        <v>3</v>
      </c>
      <c r="L5" s="124">
        <v>-70.099999999999994</v>
      </c>
      <c r="N5" s="46" t="s">
        <v>153</v>
      </c>
      <c r="O5" s="131">
        <f t="shared" si="0"/>
        <v>-678.57142857142856</v>
      </c>
      <c r="P5" s="61">
        <v>-47500</v>
      </c>
      <c r="Q5" s="56">
        <v>70</v>
      </c>
    </row>
    <row r="6" spans="1:17" x14ac:dyDescent="0.4">
      <c r="A6" s="73" t="s">
        <v>1</v>
      </c>
      <c r="B6" s="147">
        <f>IF(B$2=0,0,(B$7*1+B$8*2+B$9*3)/B$2)</f>
        <v>2.1744186046511627</v>
      </c>
      <c r="C6" s="148"/>
      <c r="E6" s="82" t="s">
        <v>70</v>
      </c>
      <c r="F6" s="78" t="s">
        <v>24</v>
      </c>
      <c r="G6" s="65">
        <v>69</v>
      </c>
      <c r="H6" s="47">
        <f>IF(B$25=0,0,G6/B$25)</f>
        <v>0.375</v>
      </c>
      <c r="I6" s="118">
        <v>4</v>
      </c>
      <c r="K6" s="46">
        <v>4</v>
      </c>
      <c r="L6" s="124">
        <v>-35.099999999999994</v>
      </c>
      <c r="N6" s="46" t="s">
        <v>154</v>
      </c>
      <c r="O6" s="131">
        <f t="shared" si="0"/>
        <v>-1887.5</v>
      </c>
      <c r="P6" s="61">
        <v>-120800</v>
      </c>
      <c r="Q6" s="56">
        <v>64</v>
      </c>
    </row>
    <row r="7" spans="1:17" x14ac:dyDescent="0.4">
      <c r="A7" s="73" t="s">
        <v>2</v>
      </c>
      <c r="B7" s="65">
        <v>22</v>
      </c>
      <c r="C7" s="47">
        <f>IF(B$2=0,0,B7/B$2)</f>
        <v>0.2558139534883721</v>
      </c>
      <c r="E7" s="82" t="s">
        <v>72</v>
      </c>
      <c r="F7" s="78" t="s">
        <v>12</v>
      </c>
      <c r="G7" s="65">
        <v>62</v>
      </c>
      <c r="H7" s="47">
        <f>IF(B$25=0,0,G7/B$25)</f>
        <v>0.33695652173913043</v>
      </c>
      <c r="I7" s="118">
        <v>3</v>
      </c>
      <c r="K7" s="46">
        <v>5</v>
      </c>
      <c r="L7" s="124">
        <v>-80.099999999999994</v>
      </c>
      <c r="N7" s="50" t="s">
        <v>155</v>
      </c>
      <c r="O7" s="132">
        <f t="shared" si="0"/>
        <v>2281.6326530612246</v>
      </c>
      <c r="P7" s="62">
        <v>111800</v>
      </c>
      <c r="Q7" s="57">
        <v>49</v>
      </c>
    </row>
    <row r="8" spans="1:17" x14ac:dyDescent="0.4">
      <c r="A8" s="73" t="s">
        <v>3</v>
      </c>
      <c r="B8" s="65">
        <v>27</v>
      </c>
      <c r="C8" s="47">
        <f t="shared" ref="C8:C9" si="1">IF(B$2=0,0,B8/B$2)</f>
        <v>0.31395348837209303</v>
      </c>
      <c r="E8" s="82" t="s">
        <v>94</v>
      </c>
      <c r="F8" s="78" t="s">
        <v>47</v>
      </c>
      <c r="G8" s="65">
        <v>25</v>
      </c>
      <c r="H8" s="47">
        <f>IF(B$25=0,0,G8/B$25)</f>
        <v>0.1358695652173913</v>
      </c>
      <c r="I8" s="118">
        <v>7</v>
      </c>
      <c r="K8" s="46">
        <v>6</v>
      </c>
      <c r="L8" s="124">
        <v>-116.1</v>
      </c>
      <c r="N8" s="41"/>
      <c r="O8" s="41"/>
      <c r="P8" s="41"/>
      <c r="Q8" s="41"/>
    </row>
    <row r="9" spans="1:17" x14ac:dyDescent="0.4">
      <c r="A9" s="74" t="s">
        <v>4</v>
      </c>
      <c r="B9" s="66">
        <v>37</v>
      </c>
      <c r="C9" s="48">
        <f t="shared" si="1"/>
        <v>0.43023255813953487</v>
      </c>
      <c r="E9" s="82" t="s">
        <v>73</v>
      </c>
      <c r="F9" s="78" t="s">
        <v>26</v>
      </c>
      <c r="G9" s="65">
        <v>24</v>
      </c>
      <c r="H9" s="47">
        <f>IF(B$25=0,0,G9/B$25)</f>
        <v>0.13043478260869565</v>
      </c>
      <c r="I9" s="118">
        <v>7</v>
      </c>
      <c r="K9" s="46">
        <v>7</v>
      </c>
      <c r="L9" s="124">
        <v>-147.4</v>
      </c>
      <c r="N9" s="42" t="s">
        <v>235</v>
      </c>
      <c r="O9" s="129" t="s">
        <v>125</v>
      </c>
      <c r="P9" s="153" t="s">
        <v>238</v>
      </c>
      <c r="Q9" s="125" t="s">
        <v>121</v>
      </c>
    </row>
    <row r="10" spans="1:17" x14ac:dyDescent="0.4">
      <c r="A10" s="74" t="s">
        <v>19</v>
      </c>
      <c r="B10" s="66">
        <v>18</v>
      </c>
      <c r="C10" s="48">
        <f>IF(B$2=0,0,B10/B$2)</f>
        <v>0.20930232558139536</v>
      </c>
      <c r="E10" s="82" t="s">
        <v>74</v>
      </c>
      <c r="F10" s="78" t="s">
        <v>27</v>
      </c>
      <c r="G10" s="65">
        <v>24</v>
      </c>
      <c r="H10" s="47">
        <f>IF(B$25=0,0,G10/B$25)</f>
        <v>0.13043478260869565</v>
      </c>
      <c r="I10" s="118">
        <v>4</v>
      </c>
      <c r="K10" s="46">
        <v>8</v>
      </c>
      <c r="L10" s="124">
        <v>-146</v>
      </c>
      <c r="N10" s="44" t="s">
        <v>198</v>
      </c>
      <c r="O10" s="126">
        <f>IF(Q10=0,0,P10/Q10)</f>
        <v>18.45</v>
      </c>
      <c r="P10" s="154">
        <v>36.9</v>
      </c>
      <c r="Q10" s="155">
        <v>2</v>
      </c>
    </row>
    <row r="11" spans="1:17" x14ac:dyDescent="0.4">
      <c r="A11" s="75" t="s">
        <v>158</v>
      </c>
      <c r="B11" s="67">
        <v>12</v>
      </c>
      <c r="C11" s="51">
        <f>IF(B$2=0,0,B11/B$2)</f>
        <v>0.13953488372093023</v>
      </c>
      <c r="E11" s="82" t="s">
        <v>68</v>
      </c>
      <c r="F11" s="78" t="s">
        <v>22</v>
      </c>
      <c r="G11" s="65">
        <v>16</v>
      </c>
      <c r="H11" s="47">
        <f>IF(B$25=0,0,G11/B$25)</f>
        <v>8.6956521739130432E-2</v>
      </c>
      <c r="I11" s="118">
        <v>10</v>
      </c>
      <c r="K11" s="46">
        <v>9</v>
      </c>
      <c r="L11" s="124">
        <v>-173</v>
      </c>
      <c r="N11" s="46" t="s">
        <v>138</v>
      </c>
      <c r="O11" s="127">
        <f>IF(Q11=0,0,P11/Q11)</f>
        <v>5.85</v>
      </c>
      <c r="P11" s="156">
        <v>11.7</v>
      </c>
      <c r="Q11" s="157">
        <v>2</v>
      </c>
    </row>
    <row r="12" spans="1:17" x14ac:dyDescent="0.4">
      <c r="A12" s="76" t="s">
        <v>128</v>
      </c>
      <c r="B12" s="68">
        <v>194</v>
      </c>
      <c r="C12" s="54">
        <f>IF(B$24=0,0,B12/B$24)</f>
        <v>0.3108974358974359</v>
      </c>
      <c r="E12" s="82" t="s">
        <v>91</v>
      </c>
      <c r="F12" s="78" t="s">
        <v>44</v>
      </c>
      <c r="G12" s="65">
        <v>12</v>
      </c>
      <c r="H12" s="47">
        <f>IF(B$25=0,0,G12/B$25)</f>
        <v>6.5217391304347824E-2</v>
      </c>
      <c r="I12" s="118">
        <v>6</v>
      </c>
      <c r="K12" s="46">
        <v>10</v>
      </c>
      <c r="L12" s="124">
        <v>-206.1</v>
      </c>
      <c r="N12" s="46" t="s">
        <v>161</v>
      </c>
      <c r="O12" s="127">
        <f>IF(Q12=0,0,P12/Q12)</f>
        <v>1.7888888888888888</v>
      </c>
      <c r="P12" s="156">
        <v>32.199999999999996</v>
      </c>
      <c r="Q12" s="157">
        <v>18</v>
      </c>
    </row>
    <row r="13" spans="1:17" x14ac:dyDescent="0.4">
      <c r="A13" s="73" t="s">
        <v>123</v>
      </c>
      <c r="B13" s="65">
        <v>129</v>
      </c>
      <c r="C13" s="47">
        <f>IF(B$24=0,0,B13/B$24)</f>
        <v>0.20673076923076922</v>
      </c>
      <c r="E13" s="82" t="s">
        <v>82</v>
      </c>
      <c r="F13" s="78" t="s">
        <v>35</v>
      </c>
      <c r="G13" s="65">
        <v>9</v>
      </c>
      <c r="H13" s="47">
        <f>IF(B$25=0,0,G13/B$25)</f>
        <v>4.8913043478260872E-2</v>
      </c>
      <c r="I13" s="118">
        <v>2</v>
      </c>
      <c r="K13" s="46">
        <v>11</v>
      </c>
      <c r="L13" s="124">
        <v>-174</v>
      </c>
      <c r="N13" s="46" t="s">
        <v>135</v>
      </c>
      <c r="O13" s="127">
        <f>IF(Q13=0,0,P13/Q13)</f>
        <v>-3.2300000000000004</v>
      </c>
      <c r="P13" s="156">
        <v>-32.300000000000004</v>
      </c>
      <c r="Q13" s="157">
        <v>10</v>
      </c>
    </row>
    <row r="14" spans="1:17" x14ac:dyDescent="0.4">
      <c r="A14" s="72" t="s">
        <v>130</v>
      </c>
      <c r="B14" s="64">
        <v>116</v>
      </c>
      <c r="C14" s="45">
        <f>IF(B$12=0,0,B14/B$12)</f>
        <v>0.59793814432989689</v>
      </c>
      <c r="E14" s="82" t="s">
        <v>88</v>
      </c>
      <c r="F14" s="78" t="s">
        <v>41</v>
      </c>
      <c r="G14" s="65">
        <v>6</v>
      </c>
      <c r="H14" s="47">
        <f>IF(B$25=0,0,G14/B$25)</f>
        <v>3.2608695652173912E-2</v>
      </c>
      <c r="I14" s="118">
        <v>5</v>
      </c>
      <c r="K14" s="46">
        <v>12</v>
      </c>
      <c r="L14" s="124">
        <v>-197</v>
      </c>
      <c r="N14" s="46" t="s">
        <v>133</v>
      </c>
      <c r="O14" s="127">
        <f>IF(Q14=0,0,P14/Q14)</f>
        <v>-3.4579710144927556</v>
      </c>
      <c r="P14" s="156">
        <v>-238.60000000000014</v>
      </c>
      <c r="Q14" s="157">
        <v>69</v>
      </c>
    </row>
    <row r="15" spans="1:17" x14ac:dyDescent="0.4">
      <c r="A15" s="72" t="s">
        <v>131</v>
      </c>
      <c r="B15" s="64">
        <v>49</v>
      </c>
      <c r="C15" s="45">
        <f>IF(B$13=0,0,B15/B$13)</f>
        <v>0.37984496124031009</v>
      </c>
      <c r="E15" s="82" t="s">
        <v>75</v>
      </c>
      <c r="F15" s="78" t="s">
        <v>28</v>
      </c>
      <c r="G15" s="65">
        <v>5</v>
      </c>
      <c r="H15" s="47">
        <f>IF(B$25=0,0,G15/B$25)</f>
        <v>2.717391304347826E-2</v>
      </c>
      <c r="I15" s="118">
        <v>9</v>
      </c>
      <c r="K15" s="46">
        <v>13</v>
      </c>
      <c r="L15" s="124">
        <v>-235</v>
      </c>
      <c r="N15" s="46" t="s">
        <v>134</v>
      </c>
      <c r="O15" s="127">
        <f>IF(Q15=0,0,P15/Q15)</f>
        <v>-6.3142857142857141</v>
      </c>
      <c r="P15" s="156">
        <v>-221</v>
      </c>
      <c r="Q15" s="157">
        <v>35</v>
      </c>
    </row>
    <row r="16" spans="1:17" x14ac:dyDescent="0.4">
      <c r="A16" s="72" t="s">
        <v>10</v>
      </c>
      <c r="B16" s="64">
        <f>B18+B17</f>
        <v>194</v>
      </c>
      <c r="C16" s="45">
        <f>IF(B$3=0,0,B16/B$3)</f>
        <v>0.29349470499243568</v>
      </c>
      <c r="E16" s="82" t="s">
        <v>77</v>
      </c>
      <c r="F16" s="78" t="s">
        <v>30</v>
      </c>
      <c r="G16" s="65">
        <v>4</v>
      </c>
      <c r="H16" s="47">
        <f>IF(B$25=0,0,G16/B$25)</f>
        <v>2.1739130434782608E-2</v>
      </c>
      <c r="I16" s="118">
        <v>1</v>
      </c>
      <c r="K16" s="46">
        <v>14</v>
      </c>
      <c r="L16" s="124">
        <v>-231</v>
      </c>
      <c r="N16" s="46" t="s">
        <v>137</v>
      </c>
      <c r="O16" s="127">
        <f>IF(Q16=0,0,P16/Q16)</f>
        <v>-9.0074074074074097</v>
      </c>
      <c r="P16" s="156">
        <v>-243.20000000000005</v>
      </c>
      <c r="Q16" s="157">
        <v>27</v>
      </c>
    </row>
    <row r="17" spans="1:17" x14ac:dyDescent="0.4">
      <c r="A17" s="73" t="s">
        <v>12</v>
      </c>
      <c r="B17" s="65">
        <v>89</v>
      </c>
      <c r="C17" s="47">
        <f>IF(B$16=0,0,B17/B$16)</f>
        <v>0.45876288659793812</v>
      </c>
      <c r="E17" s="82" t="s">
        <v>86</v>
      </c>
      <c r="F17" s="78" t="s">
        <v>39</v>
      </c>
      <c r="G17" s="65">
        <v>4</v>
      </c>
      <c r="H17" s="47">
        <f>IF(B$25=0,0,G17/B$25)</f>
        <v>2.1739130434782608E-2</v>
      </c>
      <c r="I17" s="118">
        <v>7</v>
      </c>
      <c r="K17" s="46">
        <v>15</v>
      </c>
      <c r="L17" s="124">
        <v>-212.5</v>
      </c>
      <c r="N17" s="46" t="s">
        <v>136</v>
      </c>
      <c r="O17" s="127">
        <f>IF(Q17=0,0,P17/Q17)</f>
        <v>-9.3000000000000007</v>
      </c>
      <c r="P17" s="156">
        <v>-46.5</v>
      </c>
      <c r="Q17" s="157">
        <v>5</v>
      </c>
    </row>
    <row r="18" spans="1:17" x14ac:dyDescent="0.4">
      <c r="A18" s="73" t="s">
        <v>11</v>
      </c>
      <c r="B18" s="65">
        <v>105</v>
      </c>
      <c r="C18" s="47">
        <f>IF(B$16=0,0,B18/B$16)</f>
        <v>0.54123711340206182</v>
      </c>
      <c r="E18" s="82" t="s">
        <v>79</v>
      </c>
      <c r="F18" s="78" t="s">
        <v>32</v>
      </c>
      <c r="G18" s="65">
        <v>3</v>
      </c>
      <c r="H18" s="47">
        <f>IF(B$25=0,0,G18/B$25)</f>
        <v>1.6304347826086956E-2</v>
      </c>
      <c r="I18" s="118">
        <v>2</v>
      </c>
      <c r="K18" s="46">
        <v>16</v>
      </c>
      <c r="L18" s="124">
        <v>-233.2</v>
      </c>
      <c r="N18" s="46" t="s">
        <v>175</v>
      </c>
      <c r="O18" s="127">
        <f>IF(Q18=0,0,P18/Q18)</f>
        <v>-15.95</v>
      </c>
      <c r="P18" s="156">
        <v>-31.9</v>
      </c>
      <c r="Q18" s="157">
        <v>2</v>
      </c>
    </row>
    <row r="19" spans="1:17" x14ac:dyDescent="0.4">
      <c r="A19" s="73" t="s">
        <v>13</v>
      </c>
      <c r="B19" s="65">
        <v>145</v>
      </c>
      <c r="C19" s="47">
        <f>IF(B$3=0,0,B19/B$3)</f>
        <v>0.21936459909228442</v>
      </c>
      <c r="E19" s="82" t="s">
        <v>96</v>
      </c>
      <c r="F19" s="78" t="s">
        <v>49</v>
      </c>
      <c r="G19" s="65">
        <v>3</v>
      </c>
      <c r="H19" s="47">
        <f>IF(B$25=0,0,G19/B$25)</f>
        <v>1.6304347826086956E-2</v>
      </c>
      <c r="I19" s="118">
        <v>5</v>
      </c>
      <c r="K19" s="46">
        <v>17</v>
      </c>
      <c r="L19" s="124">
        <v>-268.7</v>
      </c>
      <c r="N19" s="46" t="s">
        <v>171</v>
      </c>
      <c r="O19" s="127">
        <f>IF(Q19=0,0,P19/Q19)</f>
        <v>-17.45</v>
      </c>
      <c r="P19" s="156">
        <v>-34.9</v>
      </c>
      <c r="Q19" s="157">
        <v>2</v>
      </c>
    </row>
    <row r="20" spans="1:17" x14ac:dyDescent="0.4">
      <c r="A20" s="73" t="s">
        <v>5</v>
      </c>
      <c r="B20" s="69">
        <f>IF(B$16=0,0,C20/B$16)</f>
        <v>10793.298969072164</v>
      </c>
      <c r="C20" s="49">
        <v>2093900</v>
      </c>
      <c r="E20" s="82" t="s">
        <v>81</v>
      </c>
      <c r="F20" s="78" t="s">
        <v>34</v>
      </c>
      <c r="G20" s="65">
        <v>1</v>
      </c>
      <c r="H20" s="47">
        <f>IF(B$25=0,0,G20/B$25)</f>
        <v>5.434782608695652E-3</v>
      </c>
      <c r="I20" s="118">
        <v>5</v>
      </c>
      <c r="K20" s="46">
        <v>18</v>
      </c>
      <c r="L20" s="124">
        <v>-295.8</v>
      </c>
    </row>
    <row r="21" spans="1:17" x14ac:dyDescent="0.4">
      <c r="A21" s="75" t="s">
        <v>14</v>
      </c>
      <c r="B21" s="70">
        <f>IF(B$19=0,0,C21/B$19)</f>
        <v>-9739.310344827587</v>
      </c>
      <c r="C21" s="63">
        <v>-1412200</v>
      </c>
      <c r="E21" s="82" t="s">
        <v>83</v>
      </c>
      <c r="F21" s="78" t="s">
        <v>36</v>
      </c>
      <c r="G21" s="65">
        <v>1</v>
      </c>
      <c r="H21" s="47">
        <f>IF(B$25=0,0,G21/B$25)</f>
        <v>5.434782608695652E-3</v>
      </c>
      <c r="I21" s="118">
        <v>8</v>
      </c>
      <c r="K21" s="46">
        <v>19</v>
      </c>
      <c r="L21" s="124">
        <v>-273.2</v>
      </c>
    </row>
    <row r="22" spans="1:17" x14ac:dyDescent="0.4">
      <c r="A22" s="72" t="s">
        <v>147</v>
      </c>
      <c r="B22" s="64">
        <v>213</v>
      </c>
      <c r="C22" s="45">
        <f>IF(B$3=0,0,B22/B$3)</f>
        <v>0.32223903177004537</v>
      </c>
      <c r="E22" s="82" t="s">
        <v>89</v>
      </c>
      <c r="F22" s="78" t="s">
        <v>42</v>
      </c>
      <c r="G22" s="65">
        <v>1</v>
      </c>
      <c r="H22" s="47">
        <f>IF(B$25=0,0,G22/B$25)</f>
        <v>5.434782608695652E-3</v>
      </c>
      <c r="I22" s="118">
        <v>3</v>
      </c>
      <c r="K22" s="46">
        <v>20</v>
      </c>
      <c r="L22" s="124">
        <v>-270</v>
      </c>
    </row>
    <row r="23" spans="1:17" x14ac:dyDescent="0.4">
      <c r="A23" s="75" t="s">
        <v>148</v>
      </c>
      <c r="B23" s="67">
        <v>70</v>
      </c>
      <c r="C23" s="51">
        <f>IF(B$22=0,0,B23/B$22)</f>
        <v>0.32863849765258218</v>
      </c>
      <c r="E23" s="82" t="s">
        <v>97</v>
      </c>
      <c r="F23" s="78" t="s">
        <v>50</v>
      </c>
      <c r="G23" s="65">
        <v>1</v>
      </c>
      <c r="H23" s="47">
        <f>IF(B$25=0,0,G23/B$25)</f>
        <v>5.434782608695652E-3</v>
      </c>
      <c r="I23" s="118">
        <v>5</v>
      </c>
      <c r="K23" s="46">
        <v>21</v>
      </c>
      <c r="L23" s="124">
        <v>-242</v>
      </c>
    </row>
    <row r="24" spans="1:17" x14ac:dyDescent="0.4">
      <c r="A24" s="72" t="s">
        <v>126</v>
      </c>
      <c r="B24" s="135">
        <v>624</v>
      </c>
      <c r="C24" s="136"/>
      <c r="E24" s="82" t="s">
        <v>98</v>
      </c>
      <c r="F24" s="78" t="s">
        <v>51</v>
      </c>
      <c r="G24" s="65">
        <v>1</v>
      </c>
      <c r="H24" s="47">
        <f>IF(B$25=0,0,G24/B$25)</f>
        <v>5.434782608695652E-3</v>
      </c>
      <c r="I24" s="118">
        <v>2</v>
      </c>
      <c r="K24" s="46">
        <v>22</v>
      </c>
      <c r="L24" s="124">
        <v>-202.9</v>
      </c>
    </row>
    <row r="25" spans="1:17" x14ac:dyDescent="0.4">
      <c r="A25" s="75" t="s">
        <v>127</v>
      </c>
      <c r="B25" s="149">
        <v>184</v>
      </c>
      <c r="C25" s="150"/>
      <c r="E25" s="82" t="s">
        <v>78</v>
      </c>
      <c r="F25" s="78" t="s">
        <v>31</v>
      </c>
      <c r="G25" s="65">
        <v>0</v>
      </c>
      <c r="H25" s="47">
        <f>IF(B$25=0,0,G25/B$25)</f>
        <v>0</v>
      </c>
      <c r="I25" s="118">
        <v>4</v>
      </c>
      <c r="K25" s="46">
        <v>23</v>
      </c>
      <c r="L25" s="124">
        <v>-200.9</v>
      </c>
    </row>
    <row r="26" spans="1:17" x14ac:dyDescent="0.4">
      <c r="A26" s="113" t="s">
        <v>162</v>
      </c>
      <c r="B26" s="145">
        <v>7</v>
      </c>
      <c r="C26" s="146"/>
      <c r="E26" s="82" t="s">
        <v>80</v>
      </c>
      <c r="F26" s="78" t="s">
        <v>33</v>
      </c>
      <c r="G26" s="65">
        <v>0</v>
      </c>
      <c r="H26" s="47">
        <f>IF(B$25=0,0,G26/B$25)</f>
        <v>0</v>
      </c>
      <c r="I26" s="118">
        <v>1</v>
      </c>
      <c r="K26" s="46">
        <v>24</v>
      </c>
      <c r="L26" s="124">
        <v>-168.2</v>
      </c>
    </row>
    <row r="27" spans="1:17" x14ac:dyDescent="0.4">
      <c r="A27" s="76" t="s">
        <v>203</v>
      </c>
      <c r="B27" s="143">
        <v>124700</v>
      </c>
      <c r="C27" s="144"/>
      <c r="E27" s="82" t="s">
        <v>84</v>
      </c>
      <c r="F27" s="78" t="s">
        <v>37</v>
      </c>
      <c r="G27" s="65">
        <v>0</v>
      </c>
      <c r="H27" s="47">
        <f>IF(B$25=0,0,G27/B$25)</f>
        <v>0</v>
      </c>
      <c r="I27" s="118">
        <v>1</v>
      </c>
      <c r="K27" s="46">
        <v>25</v>
      </c>
      <c r="L27" s="124">
        <v>-216.89999999999998</v>
      </c>
    </row>
    <row r="28" spans="1:17" x14ac:dyDescent="0.4">
      <c r="A28" s="75" t="s">
        <v>163</v>
      </c>
      <c r="B28" s="84">
        <v>7</v>
      </c>
      <c r="C28" s="51">
        <f>IF(B$3=0,0,B28/B$3)</f>
        <v>1.059001512859304E-2</v>
      </c>
      <c r="E28" s="82" t="s">
        <v>85</v>
      </c>
      <c r="F28" s="78" t="s">
        <v>38</v>
      </c>
      <c r="G28" s="65">
        <v>0</v>
      </c>
      <c r="H28" s="47">
        <f>IF(B$25=0,0,G28/B$25)</f>
        <v>0</v>
      </c>
      <c r="I28" s="118">
        <v>3</v>
      </c>
      <c r="K28" s="46">
        <v>26</v>
      </c>
      <c r="L28" s="124">
        <v>-256.29999999999995</v>
      </c>
    </row>
    <row r="29" spans="1:17" x14ac:dyDescent="0.4">
      <c r="E29" s="82" t="s">
        <v>87</v>
      </c>
      <c r="F29" s="78" t="s">
        <v>40</v>
      </c>
      <c r="G29" s="65">
        <v>0</v>
      </c>
      <c r="H29" s="47">
        <f>IF(B$25=0,0,G29/B$25)</f>
        <v>0</v>
      </c>
      <c r="I29" s="118">
        <v>1</v>
      </c>
      <c r="K29" s="46">
        <v>27</v>
      </c>
      <c r="L29" s="124">
        <v>-296.29999999999995</v>
      </c>
    </row>
    <row r="30" spans="1:17" x14ac:dyDescent="0.4">
      <c r="E30" s="82" t="s">
        <v>90</v>
      </c>
      <c r="F30" s="78" t="s">
        <v>43</v>
      </c>
      <c r="G30" s="65">
        <v>0</v>
      </c>
      <c r="H30" s="47">
        <f>IF(B$25=0,0,G30/B$25)</f>
        <v>0</v>
      </c>
      <c r="I30" s="118">
        <v>5</v>
      </c>
      <c r="K30" s="46">
        <v>28</v>
      </c>
      <c r="L30" s="124">
        <v>-290.19999999999993</v>
      </c>
    </row>
    <row r="31" spans="1:17" x14ac:dyDescent="0.4">
      <c r="E31" s="82" t="s">
        <v>92</v>
      </c>
      <c r="F31" s="78" t="s">
        <v>45</v>
      </c>
      <c r="G31" s="65">
        <v>0</v>
      </c>
      <c r="H31" s="47">
        <f>IF(B$25=0,0,G31/B$25)</f>
        <v>0</v>
      </c>
      <c r="I31" s="118">
        <v>4</v>
      </c>
      <c r="K31" s="46">
        <v>29</v>
      </c>
      <c r="L31" s="124">
        <v>-239.19999999999993</v>
      </c>
    </row>
    <row r="32" spans="1:17" x14ac:dyDescent="0.4">
      <c r="E32" s="82" t="s">
        <v>93</v>
      </c>
      <c r="F32" s="78" t="s">
        <v>46</v>
      </c>
      <c r="G32" s="65">
        <v>0</v>
      </c>
      <c r="H32" s="47">
        <f>IF(B$25=0,0,G32/B$25)</f>
        <v>0</v>
      </c>
      <c r="I32" s="118">
        <v>3</v>
      </c>
      <c r="K32" s="46">
        <v>30</v>
      </c>
      <c r="L32" s="124">
        <v>-257.29999999999995</v>
      </c>
    </row>
    <row r="33" spans="5:12" x14ac:dyDescent="0.4">
      <c r="E33" s="82" t="s">
        <v>95</v>
      </c>
      <c r="F33" s="78" t="s">
        <v>48</v>
      </c>
      <c r="G33" s="65">
        <v>0</v>
      </c>
      <c r="H33" s="47">
        <f>IF(B$25=0,0,G33/B$25)</f>
        <v>0</v>
      </c>
      <c r="I33" s="118">
        <v>3</v>
      </c>
      <c r="K33" s="46">
        <v>31</v>
      </c>
      <c r="L33" s="124">
        <v>-265.39999999999998</v>
      </c>
    </row>
    <row r="34" spans="5:12" x14ac:dyDescent="0.4">
      <c r="E34" s="82" t="s">
        <v>99</v>
      </c>
      <c r="F34" s="78" t="s">
        <v>52</v>
      </c>
      <c r="G34" s="65">
        <v>0</v>
      </c>
      <c r="H34" s="47">
        <f>IF(B$25=0,0,G34/B$25)</f>
        <v>0</v>
      </c>
      <c r="I34" s="118">
        <v>1</v>
      </c>
      <c r="K34" s="46">
        <v>32</v>
      </c>
      <c r="L34" s="124">
        <v>-283.89999999999998</v>
      </c>
    </row>
    <row r="35" spans="5:12" x14ac:dyDescent="0.4">
      <c r="E35" s="82" t="s">
        <v>100</v>
      </c>
      <c r="F35" s="78" t="s">
        <v>53</v>
      </c>
      <c r="G35" s="65">
        <v>0</v>
      </c>
      <c r="H35" s="47">
        <f>IF(B$25=0,0,G35/B$25)</f>
        <v>0</v>
      </c>
      <c r="I35" s="118">
        <v>3</v>
      </c>
      <c r="K35" s="46">
        <v>33</v>
      </c>
      <c r="L35" s="124">
        <v>-291.29999999999995</v>
      </c>
    </row>
    <row r="36" spans="5:12" x14ac:dyDescent="0.4">
      <c r="E36" s="82" t="s">
        <v>101</v>
      </c>
      <c r="F36" s="78" t="s">
        <v>54</v>
      </c>
      <c r="G36" s="65">
        <v>0</v>
      </c>
      <c r="H36" s="47">
        <f>IF(B$25=0,0,G36/B$25)</f>
        <v>0</v>
      </c>
      <c r="I36" s="118">
        <v>1</v>
      </c>
      <c r="K36" s="46">
        <v>34</v>
      </c>
      <c r="L36" s="124">
        <v>-301.69999999999993</v>
      </c>
    </row>
    <row r="37" spans="5:12" x14ac:dyDescent="0.4">
      <c r="E37" s="82" t="s">
        <v>102</v>
      </c>
      <c r="F37" s="78" t="s">
        <v>55</v>
      </c>
      <c r="G37" s="65">
        <v>0</v>
      </c>
      <c r="H37" s="47">
        <f>IF(B$25=0,0,G37/B$25)</f>
        <v>0</v>
      </c>
      <c r="I37" s="118">
        <v>1</v>
      </c>
      <c r="K37" s="46">
        <v>35</v>
      </c>
      <c r="L37" s="124">
        <v>-339.69999999999993</v>
      </c>
    </row>
    <row r="38" spans="5:12" x14ac:dyDescent="0.4">
      <c r="E38" s="82" t="s">
        <v>103</v>
      </c>
      <c r="F38" s="78" t="s">
        <v>56</v>
      </c>
      <c r="G38" s="65">
        <v>0</v>
      </c>
      <c r="H38" s="47">
        <f>IF(B$25=0,0,G38/B$25)</f>
        <v>0</v>
      </c>
      <c r="I38" s="118">
        <v>1</v>
      </c>
      <c r="K38" s="46">
        <v>36</v>
      </c>
      <c r="L38" s="124">
        <v>-328.09999999999991</v>
      </c>
    </row>
    <row r="39" spans="5:12" x14ac:dyDescent="0.4">
      <c r="E39" s="82" t="s">
        <v>104</v>
      </c>
      <c r="F39" s="78" t="s">
        <v>57</v>
      </c>
      <c r="G39" s="65">
        <v>0</v>
      </c>
      <c r="H39" s="47">
        <f>IF(B$25=0,0,G39/B$25)</f>
        <v>0</v>
      </c>
      <c r="I39" s="118">
        <v>1</v>
      </c>
      <c r="K39" s="46">
        <v>37</v>
      </c>
      <c r="L39" s="124">
        <v>-371.59999999999991</v>
      </c>
    </row>
    <row r="40" spans="5:12" x14ac:dyDescent="0.4">
      <c r="E40" s="82" t="s">
        <v>105</v>
      </c>
      <c r="F40" s="78" t="s">
        <v>58</v>
      </c>
      <c r="G40" s="65">
        <v>0</v>
      </c>
      <c r="H40" s="47">
        <f>IF(B$25=0,0,G40/B$25)</f>
        <v>0</v>
      </c>
      <c r="I40" s="118">
        <v>1</v>
      </c>
      <c r="K40" s="46">
        <v>38</v>
      </c>
      <c r="L40" s="124">
        <v>-380.09999999999991</v>
      </c>
    </row>
    <row r="41" spans="5:12" x14ac:dyDescent="0.4">
      <c r="E41" s="82" t="s">
        <v>106</v>
      </c>
      <c r="F41" s="78" t="s">
        <v>59</v>
      </c>
      <c r="G41" s="65">
        <v>0</v>
      </c>
      <c r="H41" s="47">
        <f>IF(B$25=0,0,G41/B$25)</f>
        <v>0</v>
      </c>
      <c r="I41" s="118">
        <v>1</v>
      </c>
      <c r="K41" s="46">
        <v>39</v>
      </c>
      <c r="L41" s="124">
        <v>-360.49999999999989</v>
      </c>
    </row>
    <row r="42" spans="5:12" x14ac:dyDescent="0.4">
      <c r="E42" s="82" t="s">
        <v>107</v>
      </c>
      <c r="F42" s="78" t="s">
        <v>60</v>
      </c>
      <c r="G42" s="65">
        <v>0</v>
      </c>
      <c r="H42" s="47">
        <f>IF(B$25=0,0,G42/B$25)</f>
        <v>0</v>
      </c>
      <c r="I42" s="118">
        <v>1</v>
      </c>
      <c r="K42" s="46">
        <v>40</v>
      </c>
      <c r="L42" s="124">
        <v>-378.59999999999991</v>
      </c>
    </row>
    <row r="43" spans="5:12" x14ac:dyDescent="0.4">
      <c r="E43" s="82" t="s">
        <v>108</v>
      </c>
      <c r="F43" s="78" t="s">
        <v>61</v>
      </c>
      <c r="G43" s="65">
        <v>0</v>
      </c>
      <c r="H43" s="47">
        <f>IF(B$25=0,0,G43/B$25)</f>
        <v>0</v>
      </c>
      <c r="I43" s="118">
        <v>1</v>
      </c>
      <c r="K43" s="46">
        <v>41</v>
      </c>
      <c r="L43" s="124">
        <v>-366.59999999999991</v>
      </c>
    </row>
    <row r="44" spans="5:12" x14ac:dyDescent="0.4">
      <c r="E44" s="82" t="s">
        <v>109</v>
      </c>
      <c r="F44" s="78" t="s">
        <v>62</v>
      </c>
      <c r="G44" s="65">
        <v>0</v>
      </c>
      <c r="H44" s="47">
        <f>IF(B$25=0,0,G44/B$25)</f>
        <v>0</v>
      </c>
      <c r="I44" s="118">
        <v>1</v>
      </c>
      <c r="K44" s="46">
        <v>42</v>
      </c>
      <c r="L44" s="124">
        <v>-367.09999999999991</v>
      </c>
    </row>
    <row r="45" spans="5:12" x14ac:dyDescent="0.4">
      <c r="E45" s="82" t="s">
        <v>110</v>
      </c>
      <c r="F45" s="78" t="s">
        <v>117</v>
      </c>
      <c r="G45" s="65">
        <v>0</v>
      </c>
      <c r="H45" s="47">
        <f>IF(B$25=0,0,G45/B$25)</f>
        <v>0</v>
      </c>
      <c r="I45" s="118">
        <v>1</v>
      </c>
      <c r="K45" s="46">
        <v>43</v>
      </c>
      <c r="L45" s="124">
        <v>-325.09999999999991</v>
      </c>
    </row>
    <row r="46" spans="5:12" x14ac:dyDescent="0.4">
      <c r="E46" s="82" t="s">
        <v>111</v>
      </c>
      <c r="F46" s="78" t="s">
        <v>118</v>
      </c>
      <c r="G46" s="65">
        <v>0</v>
      </c>
      <c r="H46" s="47">
        <f>IF(B$25=0,0,G46/B$25)</f>
        <v>0</v>
      </c>
      <c r="I46" s="118">
        <v>3</v>
      </c>
      <c r="K46" s="46">
        <v>44</v>
      </c>
      <c r="L46" s="124">
        <v>-330.89999999999992</v>
      </c>
    </row>
    <row r="47" spans="5:12" x14ac:dyDescent="0.4">
      <c r="E47" s="82" t="s">
        <v>112</v>
      </c>
      <c r="F47" s="78" t="s">
        <v>119</v>
      </c>
      <c r="G47" s="65">
        <v>0</v>
      </c>
      <c r="H47" s="47">
        <f>IF(B$25=0,0,G47/B$25)</f>
        <v>0</v>
      </c>
      <c r="I47" s="118">
        <v>1</v>
      </c>
      <c r="K47" s="46">
        <v>45</v>
      </c>
      <c r="L47" s="124">
        <v>-329.19999999999993</v>
      </c>
    </row>
    <row r="48" spans="5:12" x14ac:dyDescent="0.4">
      <c r="E48" s="82" t="s">
        <v>113</v>
      </c>
      <c r="F48" s="78" t="s">
        <v>63</v>
      </c>
      <c r="G48" s="65">
        <v>0</v>
      </c>
      <c r="H48" s="47">
        <f>IF(B$25=0,0,G48/B$25)</f>
        <v>0</v>
      </c>
      <c r="I48" s="118">
        <v>1</v>
      </c>
      <c r="K48" s="46">
        <v>46</v>
      </c>
      <c r="L48" s="124">
        <v>-363.39999999999992</v>
      </c>
    </row>
    <row r="49" spans="5:12" x14ac:dyDescent="0.4">
      <c r="E49" s="82" t="s">
        <v>114</v>
      </c>
      <c r="F49" s="78" t="s">
        <v>64</v>
      </c>
      <c r="G49" s="65">
        <v>0</v>
      </c>
      <c r="H49" s="47">
        <f>IF(B$25=0,0,G49/B$25)</f>
        <v>0</v>
      </c>
      <c r="I49" s="118">
        <v>1</v>
      </c>
      <c r="K49" s="46">
        <v>47</v>
      </c>
      <c r="L49" s="124">
        <v>-351.39999999999992</v>
      </c>
    </row>
    <row r="50" spans="5:12" x14ac:dyDescent="0.4">
      <c r="E50" s="82" t="s">
        <v>115</v>
      </c>
      <c r="F50" s="78" t="s">
        <v>65</v>
      </c>
      <c r="G50" s="65">
        <v>0</v>
      </c>
      <c r="H50" s="47">
        <f>IF(B$25=0,0,G50/B$25)</f>
        <v>0</v>
      </c>
      <c r="I50" s="118">
        <v>1</v>
      </c>
      <c r="K50" s="46">
        <v>48</v>
      </c>
      <c r="L50" s="124">
        <v>-359.19999999999993</v>
      </c>
    </row>
    <row r="51" spans="5:12" x14ac:dyDescent="0.4">
      <c r="E51" s="83" t="s">
        <v>116</v>
      </c>
      <c r="F51" s="79" t="s">
        <v>66</v>
      </c>
      <c r="G51" s="67">
        <v>0</v>
      </c>
      <c r="H51" s="51">
        <f>IF(B$25=0,0,G51/B$25)</f>
        <v>0</v>
      </c>
      <c r="I51" s="119">
        <v>1</v>
      </c>
      <c r="K51" s="46">
        <v>49</v>
      </c>
      <c r="L51" s="124">
        <v>-364.49999999999994</v>
      </c>
    </row>
    <row r="52" spans="5:12" x14ac:dyDescent="0.4">
      <c r="K52" s="46">
        <v>50</v>
      </c>
      <c r="L52" s="124">
        <v>-399.99999999999994</v>
      </c>
    </row>
    <row r="53" spans="5:12" x14ac:dyDescent="0.4">
      <c r="K53" s="46">
        <v>51</v>
      </c>
      <c r="L53" s="124">
        <v>-409.99999999999994</v>
      </c>
    </row>
    <row r="54" spans="5:12" x14ac:dyDescent="0.4">
      <c r="K54" s="46">
        <v>52</v>
      </c>
      <c r="L54" s="124">
        <v>-426.39999999999992</v>
      </c>
    </row>
    <row r="55" spans="5:12" x14ac:dyDescent="0.4">
      <c r="K55" s="46">
        <v>53</v>
      </c>
      <c r="L55" s="124">
        <v>-399.89999999999992</v>
      </c>
    </row>
    <row r="56" spans="5:12" x14ac:dyDescent="0.4">
      <c r="K56" s="46">
        <v>54</v>
      </c>
      <c r="L56" s="124">
        <v>-411.19999999999993</v>
      </c>
    </row>
    <row r="57" spans="5:12" x14ac:dyDescent="0.4">
      <c r="K57" s="46">
        <v>55</v>
      </c>
      <c r="L57" s="124">
        <v>-420.49999999999994</v>
      </c>
    </row>
    <row r="58" spans="5:12" x14ac:dyDescent="0.4">
      <c r="K58" s="46">
        <v>56</v>
      </c>
      <c r="L58" s="124">
        <v>-395.39999999999992</v>
      </c>
    </row>
    <row r="59" spans="5:12" x14ac:dyDescent="0.4">
      <c r="K59" s="46">
        <v>57</v>
      </c>
      <c r="L59" s="124">
        <v>-428.89999999999992</v>
      </c>
    </row>
    <row r="60" spans="5:12" x14ac:dyDescent="0.4">
      <c r="K60" s="46">
        <v>58</v>
      </c>
      <c r="L60" s="124">
        <v>-466.39999999999992</v>
      </c>
    </row>
    <row r="61" spans="5:12" x14ac:dyDescent="0.4">
      <c r="K61" s="46">
        <v>59</v>
      </c>
      <c r="L61" s="124">
        <v>-475.7999999999999</v>
      </c>
    </row>
    <row r="62" spans="5:12" x14ac:dyDescent="0.4">
      <c r="K62" s="46">
        <v>60</v>
      </c>
      <c r="L62" s="124">
        <v>-475.2999999999999</v>
      </c>
    </row>
    <row r="63" spans="5:12" x14ac:dyDescent="0.4">
      <c r="K63" s="46">
        <v>61</v>
      </c>
      <c r="L63" s="124">
        <v>-487.39999999999992</v>
      </c>
    </row>
    <row r="64" spans="5:12" x14ac:dyDescent="0.4">
      <c r="K64" s="46">
        <v>62</v>
      </c>
      <c r="L64" s="124">
        <v>-492.59999999999991</v>
      </c>
    </row>
    <row r="65" spans="11:12" x14ac:dyDescent="0.4">
      <c r="K65" s="46">
        <v>63</v>
      </c>
      <c r="L65" s="124">
        <v>-416.09999999999991</v>
      </c>
    </row>
    <row r="66" spans="11:12" x14ac:dyDescent="0.4">
      <c r="K66" s="46">
        <v>64</v>
      </c>
      <c r="L66" s="124">
        <v>-451.89999999999992</v>
      </c>
    </row>
    <row r="67" spans="11:12" x14ac:dyDescent="0.4">
      <c r="K67" s="46">
        <v>65</v>
      </c>
      <c r="L67" s="124">
        <v>-454.09999999999991</v>
      </c>
    </row>
    <row r="68" spans="11:12" x14ac:dyDescent="0.4">
      <c r="K68" s="46">
        <v>66</v>
      </c>
      <c r="L68" s="124">
        <v>-470.99999999999989</v>
      </c>
    </row>
    <row r="69" spans="11:12" x14ac:dyDescent="0.4">
      <c r="K69" s="46">
        <v>67</v>
      </c>
      <c r="L69" s="124">
        <v>-508.39999999999986</v>
      </c>
    </row>
    <row r="70" spans="11:12" x14ac:dyDescent="0.4">
      <c r="K70" s="46">
        <v>68</v>
      </c>
      <c r="L70" s="124">
        <v>-418.69999999999987</v>
      </c>
    </row>
    <row r="71" spans="11:12" x14ac:dyDescent="0.4">
      <c r="K71" s="46">
        <v>69</v>
      </c>
      <c r="L71" s="124">
        <v>-387.49999999999989</v>
      </c>
    </row>
    <row r="72" spans="11:12" x14ac:dyDescent="0.4">
      <c r="K72" s="46">
        <v>70</v>
      </c>
      <c r="L72" s="124">
        <v>-347.2999999999999</v>
      </c>
    </row>
    <row r="73" spans="11:12" x14ac:dyDescent="0.4">
      <c r="K73" s="46">
        <v>71</v>
      </c>
      <c r="L73" s="124">
        <v>-368.2999999999999</v>
      </c>
    </row>
    <row r="74" spans="11:12" x14ac:dyDescent="0.4">
      <c r="K74" s="46">
        <v>72</v>
      </c>
      <c r="L74" s="124">
        <v>-404.2999999999999</v>
      </c>
    </row>
    <row r="75" spans="11:12" x14ac:dyDescent="0.4">
      <c r="K75" s="46">
        <v>73</v>
      </c>
      <c r="L75" s="124">
        <v>-413.69999999999987</v>
      </c>
    </row>
    <row r="76" spans="11:12" x14ac:dyDescent="0.4">
      <c r="K76" s="46">
        <v>74</v>
      </c>
      <c r="L76" s="124">
        <v>-399.19999999999987</v>
      </c>
    </row>
    <row r="77" spans="11:12" x14ac:dyDescent="0.4">
      <c r="K77" s="46">
        <v>75</v>
      </c>
      <c r="L77" s="124">
        <v>-438.59999999999985</v>
      </c>
    </row>
    <row r="78" spans="11:12" x14ac:dyDescent="0.4">
      <c r="K78" s="46">
        <v>76</v>
      </c>
      <c r="L78" s="124">
        <v>-437.19999999999987</v>
      </c>
    </row>
    <row r="79" spans="11:12" x14ac:dyDescent="0.4">
      <c r="K79" s="46">
        <v>77</v>
      </c>
      <c r="L79" s="124">
        <v>-439.99999999999989</v>
      </c>
    </row>
    <row r="80" spans="11:12" x14ac:dyDescent="0.4">
      <c r="K80" s="46">
        <v>78</v>
      </c>
      <c r="L80" s="124">
        <v>-428.19999999999987</v>
      </c>
    </row>
    <row r="81" spans="11:12" x14ac:dyDescent="0.4">
      <c r="K81" s="46">
        <v>79</v>
      </c>
      <c r="L81" s="124">
        <v>-443.2999999999999</v>
      </c>
    </row>
    <row r="82" spans="11:12" x14ac:dyDescent="0.4">
      <c r="K82" s="46">
        <v>80</v>
      </c>
      <c r="L82" s="124">
        <v>-454.99999999999989</v>
      </c>
    </row>
    <row r="83" spans="11:12" x14ac:dyDescent="0.4">
      <c r="K83" s="46">
        <v>81</v>
      </c>
      <c r="L83" s="124">
        <v>-398.59999999999991</v>
      </c>
    </row>
    <row r="84" spans="11:12" x14ac:dyDescent="0.4">
      <c r="K84" s="46">
        <v>82</v>
      </c>
      <c r="L84" s="124">
        <v>-353.59999999999991</v>
      </c>
    </row>
    <row r="85" spans="11:12" x14ac:dyDescent="0.4">
      <c r="K85" s="46">
        <v>83</v>
      </c>
      <c r="L85" s="124">
        <v>-354.2999999999999</v>
      </c>
    </row>
    <row r="86" spans="11:12" x14ac:dyDescent="0.4">
      <c r="K86" s="46">
        <v>84</v>
      </c>
      <c r="L86" s="124">
        <v>-344.19999999999987</v>
      </c>
    </row>
    <row r="87" spans="11:12" x14ac:dyDescent="0.4">
      <c r="K87" s="46">
        <v>85</v>
      </c>
      <c r="L87" s="124">
        <v>-379.99999999999989</v>
      </c>
    </row>
    <row r="88" spans="11:12" x14ac:dyDescent="0.4">
      <c r="K88" s="46">
        <v>86</v>
      </c>
      <c r="L88" s="124">
        <v>-383.7999999999999</v>
      </c>
    </row>
  </sheetData>
  <sortState ref="N10:Q19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D51E1-D027-49B5-BE3A-85EDA5E8EB21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4" customWidth="1"/>
    <col min="13" max="13" width="3.5" style="41" customWidth="1"/>
    <col min="14" max="14" width="9" style="46" customWidth="1"/>
    <col min="15" max="15" width="9" style="127" customWidth="1"/>
    <col min="16" max="16" width="3.5" style="156" customWidth="1"/>
    <col min="17" max="17" width="3.5" style="157" customWidth="1"/>
    <col min="18" max="16384" width="9" style="41"/>
  </cols>
  <sheetData>
    <row r="1" spans="1:17" x14ac:dyDescent="0.4">
      <c r="A1" s="71" t="s">
        <v>0</v>
      </c>
      <c r="B1" s="133" t="s">
        <v>198</v>
      </c>
      <c r="C1" s="134"/>
      <c r="E1" s="80" t="s">
        <v>160</v>
      </c>
      <c r="F1" s="129" t="s">
        <v>120</v>
      </c>
      <c r="G1" s="128" t="s">
        <v>121</v>
      </c>
      <c r="H1" s="129" t="s">
        <v>122</v>
      </c>
      <c r="I1" s="129" t="s">
        <v>231</v>
      </c>
      <c r="K1" s="42" t="s">
        <v>20</v>
      </c>
      <c r="L1" s="43" t="s">
        <v>125</v>
      </c>
      <c r="N1" s="42" t="s">
        <v>156</v>
      </c>
      <c r="O1" s="129" t="s">
        <v>157</v>
      </c>
      <c r="P1" s="59" t="s">
        <v>238</v>
      </c>
      <c r="Q1" s="55" t="s">
        <v>121</v>
      </c>
    </row>
    <row r="2" spans="1:17" x14ac:dyDescent="0.4">
      <c r="A2" s="72" t="s">
        <v>9</v>
      </c>
      <c r="B2" s="135">
        <v>6</v>
      </c>
      <c r="C2" s="136"/>
      <c r="E2" s="81" t="s">
        <v>67</v>
      </c>
      <c r="F2" s="77" t="s">
        <v>21</v>
      </c>
      <c r="G2" s="64">
        <v>12</v>
      </c>
      <c r="H2" s="45">
        <f>IF(B$25=0,0,G2/B$25)</f>
        <v>0.63157894736842102</v>
      </c>
      <c r="I2" s="117">
        <v>4</v>
      </c>
      <c r="K2" s="44">
        <v>0</v>
      </c>
      <c r="L2" s="123">
        <v>0</v>
      </c>
      <c r="N2" s="44" t="s">
        <v>150</v>
      </c>
      <c r="O2" s="130">
        <f t="shared" ref="O2:O7" si="0">IF(Q2=0,0,P2/Q2)</f>
        <v>7650</v>
      </c>
      <c r="P2" s="60">
        <v>45900</v>
      </c>
      <c r="Q2" s="58">
        <v>6</v>
      </c>
    </row>
    <row r="3" spans="1:17" x14ac:dyDescent="0.4">
      <c r="A3" s="73" t="s">
        <v>8</v>
      </c>
      <c r="B3" s="137">
        <v>50</v>
      </c>
      <c r="C3" s="138"/>
      <c r="E3" s="82" t="s">
        <v>69</v>
      </c>
      <c r="F3" s="78" t="s">
        <v>23</v>
      </c>
      <c r="G3" s="65">
        <v>12</v>
      </c>
      <c r="H3" s="47">
        <f>IF(B$25=0,0,G3/B$25)</f>
        <v>0.63157894736842102</v>
      </c>
      <c r="I3" s="118">
        <v>9</v>
      </c>
      <c r="K3" s="46">
        <v>1</v>
      </c>
      <c r="L3" s="124">
        <v>28.3</v>
      </c>
      <c r="N3" s="46" t="s">
        <v>151</v>
      </c>
      <c r="O3" s="131">
        <f t="shared" si="0"/>
        <v>-6450</v>
      </c>
      <c r="P3" s="61">
        <v>-38700</v>
      </c>
      <c r="Q3" s="56">
        <v>6</v>
      </c>
    </row>
    <row r="4" spans="1:17" x14ac:dyDescent="0.4">
      <c r="A4" s="73" t="s">
        <v>6</v>
      </c>
      <c r="B4" s="139">
        <v>47</v>
      </c>
      <c r="C4" s="140"/>
      <c r="E4" s="82" t="s">
        <v>71</v>
      </c>
      <c r="F4" s="78" t="s">
        <v>25</v>
      </c>
      <c r="G4" s="65">
        <v>12</v>
      </c>
      <c r="H4" s="47">
        <f>IF(B$25=0,0,G4/B$25)</f>
        <v>0.63157894736842102</v>
      </c>
      <c r="I4" s="118">
        <v>11</v>
      </c>
      <c r="K4" s="46">
        <v>2</v>
      </c>
      <c r="L4" s="124">
        <v>71.3</v>
      </c>
      <c r="N4" s="46" t="s">
        <v>152</v>
      </c>
      <c r="O4" s="131">
        <f t="shared" si="0"/>
        <v>-1500</v>
      </c>
      <c r="P4" s="61">
        <v>-9000</v>
      </c>
      <c r="Q4" s="56">
        <v>6</v>
      </c>
    </row>
    <row r="5" spans="1:17" x14ac:dyDescent="0.4">
      <c r="A5" s="73" t="s">
        <v>7</v>
      </c>
      <c r="B5" s="141">
        <f>IF(B$2=0,0,B$4/B$2)</f>
        <v>7.833333333333333</v>
      </c>
      <c r="C5" s="142"/>
      <c r="E5" s="82" t="s">
        <v>76</v>
      </c>
      <c r="F5" s="78" t="s">
        <v>29</v>
      </c>
      <c r="G5" s="65">
        <v>10</v>
      </c>
      <c r="H5" s="47">
        <f>IF(B$25=0,0,G5/B$25)</f>
        <v>0.52631578947368418</v>
      </c>
      <c r="I5" s="118">
        <v>9</v>
      </c>
      <c r="K5" s="46">
        <v>3</v>
      </c>
      <c r="L5" s="124">
        <v>57.3</v>
      </c>
      <c r="N5" s="46" t="s">
        <v>153</v>
      </c>
      <c r="O5" s="131">
        <f t="shared" si="0"/>
        <v>10700</v>
      </c>
      <c r="P5" s="61">
        <v>42800</v>
      </c>
      <c r="Q5" s="56">
        <v>4</v>
      </c>
    </row>
    <row r="6" spans="1:17" x14ac:dyDescent="0.4">
      <c r="A6" s="73" t="s">
        <v>1</v>
      </c>
      <c r="B6" s="147">
        <f>IF(B$2=0,0,(B$7*1+B$8*2+B$9*3)/B$2)</f>
        <v>1.8333333333333333</v>
      </c>
      <c r="C6" s="148"/>
      <c r="E6" s="82" t="s">
        <v>70</v>
      </c>
      <c r="F6" s="78" t="s">
        <v>24</v>
      </c>
      <c r="G6" s="65">
        <v>7</v>
      </c>
      <c r="H6" s="47">
        <f>IF(B$25=0,0,G6/B$25)</f>
        <v>0.36842105263157893</v>
      </c>
      <c r="I6" s="118">
        <v>5</v>
      </c>
      <c r="K6" s="46">
        <v>4</v>
      </c>
      <c r="L6" s="124">
        <v>64.5</v>
      </c>
      <c r="N6" s="46" t="s">
        <v>154</v>
      </c>
      <c r="O6" s="131">
        <f t="shared" si="0"/>
        <v>-1000</v>
      </c>
      <c r="P6" s="61">
        <v>-4000</v>
      </c>
      <c r="Q6" s="56">
        <v>4</v>
      </c>
    </row>
    <row r="7" spans="1:17" x14ac:dyDescent="0.4">
      <c r="A7" s="73" t="s">
        <v>2</v>
      </c>
      <c r="B7" s="65">
        <v>3</v>
      </c>
      <c r="C7" s="47">
        <f>IF(B$2=0,0,B7/B$2)</f>
        <v>0.5</v>
      </c>
      <c r="E7" s="82" t="s">
        <v>72</v>
      </c>
      <c r="F7" s="78" t="s">
        <v>12</v>
      </c>
      <c r="G7" s="65">
        <v>4</v>
      </c>
      <c r="H7" s="47">
        <f>IF(B$25=0,0,G7/B$25)</f>
        <v>0.21052631578947367</v>
      </c>
      <c r="I7" s="118">
        <v>10</v>
      </c>
      <c r="K7" s="46">
        <v>5</v>
      </c>
      <c r="L7" s="124">
        <v>89</v>
      </c>
      <c r="N7" s="50" t="s">
        <v>155</v>
      </c>
      <c r="O7" s="132">
        <f t="shared" si="0"/>
        <v>2500</v>
      </c>
      <c r="P7" s="62">
        <v>10000</v>
      </c>
      <c r="Q7" s="57">
        <v>4</v>
      </c>
    </row>
    <row r="8" spans="1:17" x14ac:dyDescent="0.4">
      <c r="A8" s="73" t="s">
        <v>3</v>
      </c>
      <c r="B8" s="65">
        <v>1</v>
      </c>
      <c r="C8" s="47">
        <f t="shared" ref="C8:C9" si="1">IF(B$2=0,0,B8/B$2)</f>
        <v>0.16666666666666666</v>
      </c>
      <c r="E8" s="82" t="s">
        <v>74</v>
      </c>
      <c r="F8" s="78" t="s">
        <v>27</v>
      </c>
      <c r="G8" s="65">
        <v>4</v>
      </c>
      <c r="H8" s="47">
        <f>IF(B$25=0,0,G8/B$25)</f>
        <v>0.21052631578947367</v>
      </c>
      <c r="I8" s="118">
        <v>1</v>
      </c>
      <c r="K8" s="46">
        <v>6</v>
      </c>
      <c r="L8" s="124">
        <v>47</v>
      </c>
      <c r="N8" s="41"/>
      <c r="O8" s="41"/>
      <c r="P8" s="41"/>
      <c r="Q8" s="41"/>
    </row>
    <row r="9" spans="1:17" x14ac:dyDescent="0.4">
      <c r="A9" s="74" t="s">
        <v>4</v>
      </c>
      <c r="B9" s="66">
        <v>2</v>
      </c>
      <c r="C9" s="48">
        <f t="shared" si="1"/>
        <v>0.33333333333333331</v>
      </c>
      <c r="E9" s="82" t="s">
        <v>68</v>
      </c>
      <c r="F9" s="78" t="s">
        <v>22</v>
      </c>
      <c r="G9" s="65">
        <v>3</v>
      </c>
      <c r="H9" s="47">
        <f>IF(B$25=0,0,G9/B$25)</f>
        <v>0.15789473684210525</v>
      </c>
      <c r="I9" s="118">
        <v>3</v>
      </c>
      <c r="N9" s="42" t="s">
        <v>235</v>
      </c>
      <c r="O9" s="129" t="s">
        <v>125</v>
      </c>
      <c r="P9" s="153" t="s">
        <v>238</v>
      </c>
      <c r="Q9" s="125" t="s">
        <v>121</v>
      </c>
    </row>
    <row r="10" spans="1:17" x14ac:dyDescent="0.4">
      <c r="A10" s="74" t="s">
        <v>19</v>
      </c>
      <c r="B10" s="66">
        <v>1</v>
      </c>
      <c r="C10" s="48">
        <f>IF(B$2=0,0,B10/B$2)</f>
        <v>0.16666666666666666</v>
      </c>
      <c r="E10" s="82" t="s">
        <v>73</v>
      </c>
      <c r="F10" s="78" t="s">
        <v>26</v>
      </c>
      <c r="G10" s="65">
        <v>3</v>
      </c>
      <c r="H10" s="47">
        <f>IF(B$25=0,0,G10/B$25)</f>
        <v>0.15789473684210525</v>
      </c>
      <c r="I10" s="118">
        <v>3</v>
      </c>
      <c r="N10" s="44" t="s">
        <v>134</v>
      </c>
      <c r="O10" s="126">
        <f>IF(Q10=0,0,P10/Q10)</f>
        <v>20</v>
      </c>
      <c r="P10" s="154">
        <v>60</v>
      </c>
      <c r="Q10" s="155">
        <v>3</v>
      </c>
    </row>
    <row r="11" spans="1:17" x14ac:dyDescent="0.4">
      <c r="A11" s="75" t="s">
        <v>158</v>
      </c>
      <c r="B11" s="67">
        <v>1</v>
      </c>
      <c r="C11" s="51">
        <f>IF(B$2=0,0,B11/B$2)</f>
        <v>0.16666666666666666</v>
      </c>
      <c r="E11" s="82" t="s">
        <v>91</v>
      </c>
      <c r="F11" s="78" t="s">
        <v>44</v>
      </c>
      <c r="G11" s="65">
        <v>3</v>
      </c>
      <c r="H11" s="47">
        <f>IF(B$25=0,0,G11/B$25)</f>
        <v>0.15789473684210525</v>
      </c>
      <c r="I11" s="118">
        <v>1</v>
      </c>
      <c r="N11" s="46" t="s">
        <v>175</v>
      </c>
      <c r="O11" s="127">
        <f>IF(Q11=0,0,P11/Q11)</f>
        <v>14.5</v>
      </c>
      <c r="P11" s="156">
        <v>29</v>
      </c>
      <c r="Q11" s="157">
        <v>2</v>
      </c>
    </row>
    <row r="12" spans="1:17" x14ac:dyDescent="0.4">
      <c r="A12" s="76" t="s">
        <v>128</v>
      </c>
      <c r="B12" s="68">
        <v>21</v>
      </c>
      <c r="C12" s="54">
        <f>IF(B$24=0,0,B12/B$24)</f>
        <v>0.42</v>
      </c>
      <c r="E12" s="82" t="s">
        <v>94</v>
      </c>
      <c r="F12" s="78" t="s">
        <v>47</v>
      </c>
      <c r="G12" s="65">
        <v>3</v>
      </c>
      <c r="H12" s="47">
        <f>IF(B$25=0,0,G12/B$25)</f>
        <v>0.15789473684210525</v>
      </c>
      <c r="I12" s="118">
        <v>5</v>
      </c>
      <c r="N12" s="46" t="s">
        <v>135</v>
      </c>
      <c r="O12" s="127">
        <f>IF(Q12=0,0,P12/Q12)</f>
        <v>14.5</v>
      </c>
      <c r="P12" s="156">
        <v>29</v>
      </c>
      <c r="Q12" s="157">
        <v>2</v>
      </c>
    </row>
    <row r="13" spans="1:17" x14ac:dyDescent="0.4">
      <c r="A13" s="73" t="s">
        <v>123</v>
      </c>
      <c r="B13" s="65">
        <v>6</v>
      </c>
      <c r="C13" s="47">
        <f>IF(B$24=0,0,B13/B$24)</f>
        <v>0.12</v>
      </c>
      <c r="E13" s="82" t="s">
        <v>75</v>
      </c>
      <c r="F13" s="78" t="s">
        <v>28</v>
      </c>
      <c r="G13" s="65">
        <v>1</v>
      </c>
      <c r="H13" s="47">
        <f>IF(B$25=0,0,G13/B$25)</f>
        <v>5.2631578947368418E-2</v>
      </c>
      <c r="I13" s="118">
        <v>5</v>
      </c>
      <c r="N13" s="46" t="s">
        <v>137</v>
      </c>
      <c r="O13" s="127">
        <f>IF(Q13=0,0,P13/Q13)</f>
        <v>-3.4333333333333336</v>
      </c>
      <c r="P13" s="156">
        <v>-10.3</v>
      </c>
      <c r="Q13" s="157">
        <v>3</v>
      </c>
    </row>
    <row r="14" spans="1:17" x14ac:dyDescent="0.4">
      <c r="A14" s="72" t="s">
        <v>130</v>
      </c>
      <c r="B14" s="64">
        <v>13</v>
      </c>
      <c r="C14" s="45">
        <f>IF(B$12=0,0,B14/B$12)</f>
        <v>0.61904761904761907</v>
      </c>
      <c r="E14" s="82" t="s">
        <v>96</v>
      </c>
      <c r="F14" s="78" t="s">
        <v>49</v>
      </c>
      <c r="G14" s="65">
        <v>1</v>
      </c>
      <c r="H14" s="47">
        <f>IF(B$25=0,0,G14/B$25)</f>
        <v>5.2631578947368418E-2</v>
      </c>
      <c r="I14" s="118">
        <v>1</v>
      </c>
      <c r="N14" s="46" t="s">
        <v>139</v>
      </c>
      <c r="O14" s="127">
        <f>IF(Q14=0,0,P14/Q14)</f>
        <v>-6.85</v>
      </c>
      <c r="P14" s="156">
        <v>-13.7</v>
      </c>
      <c r="Q14" s="157">
        <v>2</v>
      </c>
    </row>
    <row r="15" spans="1:17" x14ac:dyDescent="0.4">
      <c r="A15" s="72" t="s">
        <v>131</v>
      </c>
      <c r="B15" s="64">
        <v>3</v>
      </c>
      <c r="C15" s="45">
        <f>IF(B$13=0,0,B15/B$13)</f>
        <v>0.5</v>
      </c>
      <c r="E15" s="82" t="s">
        <v>77</v>
      </c>
      <c r="F15" s="78" t="s">
        <v>30</v>
      </c>
      <c r="G15" s="65">
        <v>0</v>
      </c>
      <c r="H15" s="47">
        <f>IF(B$25=0,0,G15/B$25)</f>
        <v>0</v>
      </c>
      <c r="I15" s="118">
        <v>5</v>
      </c>
    </row>
    <row r="16" spans="1:17" x14ac:dyDescent="0.4">
      <c r="A16" s="72" t="s">
        <v>10</v>
      </c>
      <c r="B16" s="64">
        <f>B18+B17</f>
        <v>19</v>
      </c>
      <c r="C16" s="45">
        <f>IF(B$3=0,0,B16/B$3)</f>
        <v>0.38</v>
      </c>
      <c r="E16" s="82" t="s">
        <v>78</v>
      </c>
      <c r="F16" s="78" t="s">
        <v>31</v>
      </c>
      <c r="G16" s="65">
        <v>0</v>
      </c>
      <c r="H16" s="47">
        <f>IF(B$25=0,0,G16/B$25)</f>
        <v>0</v>
      </c>
      <c r="I16" s="118">
        <v>4</v>
      </c>
    </row>
    <row r="17" spans="1:9" x14ac:dyDescent="0.4">
      <c r="A17" s="73" t="s">
        <v>12</v>
      </c>
      <c r="B17" s="65">
        <v>6</v>
      </c>
      <c r="C17" s="47">
        <f>IF(B$16=0,0,B17/B$16)</f>
        <v>0.31578947368421051</v>
      </c>
      <c r="E17" s="82" t="s">
        <v>79</v>
      </c>
      <c r="F17" s="78" t="s">
        <v>32</v>
      </c>
      <c r="G17" s="65">
        <v>0</v>
      </c>
      <c r="H17" s="47">
        <f>IF(B$25=0,0,G17/B$25)</f>
        <v>0</v>
      </c>
      <c r="I17" s="118">
        <v>6</v>
      </c>
    </row>
    <row r="18" spans="1:9" x14ac:dyDescent="0.4">
      <c r="A18" s="73" t="s">
        <v>11</v>
      </c>
      <c r="B18" s="65">
        <v>13</v>
      </c>
      <c r="C18" s="47">
        <f>IF(B$16=0,0,B18/B$16)</f>
        <v>0.68421052631578949</v>
      </c>
      <c r="E18" s="82" t="s">
        <v>80</v>
      </c>
      <c r="F18" s="78" t="s">
        <v>33</v>
      </c>
      <c r="G18" s="65">
        <v>0</v>
      </c>
      <c r="H18" s="47">
        <f>IF(B$25=0,0,G18/B$25)</f>
        <v>0</v>
      </c>
      <c r="I18" s="118">
        <v>1</v>
      </c>
    </row>
    <row r="19" spans="1:9" x14ac:dyDescent="0.4">
      <c r="A19" s="73" t="s">
        <v>13</v>
      </c>
      <c r="B19" s="65">
        <v>4</v>
      </c>
      <c r="C19" s="47">
        <f>IF(B$3=0,0,B19/B$3)</f>
        <v>0.08</v>
      </c>
      <c r="E19" s="82" t="s">
        <v>81</v>
      </c>
      <c r="F19" s="78" t="s">
        <v>34</v>
      </c>
      <c r="G19" s="65">
        <v>0</v>
      </c>
      <c r="H19" s="47">
        <f>IF(B$25=0,0,G19/B$25)</f>
        <v>0</v>
      </c>
      <c r="I19" s="118">
        <v>6</v>
      </c>
    </row>
    <row r="20" spans="1:9" x14ac:dyDescent="0.4">
      <c r="A20" s="73" t="s">
        <v>5</v>
      </c>
      <c r="B20" s="69">
        <f>IF(B$16=0,0,C20/B$16)</f>
        <v>9163.1578947368416</v>
      </c>
      <c r="C20" s="49">
        <v>174100</v>
      </c>
      <c r="E20" s="82" t="s">
        <v>82</v>
      </c>
      <c r="F20" s="78" t="s">
        <v>35</v>
      </c>
      <c r="G20" s="65">
        <v>0</v>
      </c>
      <c r="H20" s="47">
        <f>IF(B$25=0,0,G20/B$25)</f>
        <v>0</v>
      </c>
      <c r="I20" s="118">
        <v>10</v>
      </c>
    </row>
    <row r="21" spans="1:9" x14ac:dyDescent="0.4">
      <c r="A21" s="75" t="s">
        <v>14</v>
      </c>
      <c r="B21" s="70">
        <f>IF(B$19=0,0,C21/B$19)</f>
        <v>-10025</v>
      </c>
      <c r="C21" s="63">
        <v>-40100</v>
      </c>
      <c r="E21" s="82" t="s">
        <v>83</v>
      </c>
      <c r="F21" s="78" t="s">
        <v>36</v>
      </c>
      <c r="G21" s="65">
        <v>0</v>
      </c>
      <c r="H21" s="47">
        <f>IF(B$25=0,0,G21/B$25)</f>
        <v>0</v>
      </c>
      <c r="I21" s="118">
        <v>9</v>
      </c>
    </row>
    <row r="22" spans="1:9" x14ac:dyDescent="0.4">
      <c r="A22" s="72" t="s">
        <v>147</v>
      </c>
      <c r="B22" s="64">
        <v>16</v>
      </c>
      <c r="C22" s="45">
        <f>IF(B$3=0,0,B22/B$3)</f>
        <v>0.32</v>
      </c>
      <c r="E22" s="82" t="s">
        <v>84</v>
      </c>
      <c r="F22" s="78" t="s">
        <v>37</v>
      </c>
      <c r="G22" s="65">
        <v>0</v>
      </c>
      <c r="H22" s="47">
        <f>IF(B$25=0,0,G22/B$25)</f>
        <v>0</v>
      </c>
      <c r="I22" s="118">
        <v>1</v>
      </c>
    </row>
    <row r="23" spans="1:9" x14ac:dyDescent="0.4">
      <c r="A23" s="75" t="s">
        <v>148</v>
      </c>
      <c r="B23" s="67">
        <v>7</v>
      </c>
      <c r="C23" s="51">
        <f>IF(B$22=0,0,B23/B$22)</f>
        <v>0.4375</v>
      </c>
      <c r="E23" s="82" t="s">
        <v>85</v>
      </c>
      <c r="F23" s="78" t="s">
        <v>38</v>
      </c>
      <c r="G23" s="65">
        <v>0</v>
      </c>
      <c r="H23" s="47">
        <f>IF(B$25=0,0,G23/B$25)</f>
        <v>0</v>
      </c>
      <c r="I23" s="118">
        <v>3</v>
      </c>
    </row>
    <row r="24" spans="1:9" x14ac:dyDescent="0.4">
      <c r="A24" s="72" t="s">
        <v>126</v>
      </c>
      <c r="B24" s="135">
        <v>50</v>
      </c>
      <c r="C24" s="136"/>
      <c r="E24" s="82" t="s">
        <v>86</v>
      </c>
      <c r="F24" s="78" t="s">
        <v>39</v>
      </c>
      <c r="G24" s="65">
        <v>0</v>
      </c>
      <c r="H24" s="47">
        <f>IF(B$25=0,0,G24/B$25)</f>
        <v>0</v>
      </c>
      <c r="I24" s="118">
        <v>9</v>
      </c>
    </row>
    <row r="25" spans="1:9" x14ac:dyDescent="0.4">
      <c r="A25" s="75" t="s">
        <v>127</v>
      </c>
      <c r="B25" s="149">
        <v>19</v>
      </c>
      <c r="C25" s="150"/>
      <c r="E25" s="82" t="s">
        <v>87</v>
      </c>
      <c r="F25" s="78" t="s">
        <v>40</v>
      </c>
      <c r="G25" s="65">
        <v>0</v>
      </c>
      <c r="H25" s="47">
        <f>IF(B$25=0,0,G25/B$25)</f>
        <v>0</v>
      </c>
      <c r="I25" s="118">
        <v>1</v>
      </c>
    </row>
    <row r="26" spans="1:9" x14ac:dyDescent="0.4">
      <c r="A26" s="113" t="s">
        <v>162</v>
      </c>
      <c r="B26" s="145">
        <v>5</v>
      </c>
      <c r="C26" s="146"/>
      <c r="E26" s="82" t="s">
        <v>88</v>
      </c>
      <c r="F26" s="78" t="s">
        <v>41</v>
      </c>
      <c r="G26" s="65">
        <v>0</v>
      </c>
      <c r="H26" s="47">
        <f>IF(B$25=0,0,G26/B$25)</f>
        <v>0</v>
      </c>
      <c r="I26" s="118">
        <v>9</v>
      </c>
    </row>
    <row r="27" spans="1:9" x14ac:dyDescent="0.4">
      <c r="A27" s="76" t="s">
        <v>203</v>
      </c>
      <c r="B27" s="143">
        <v>78000</v>
      </c>
      <c r="C27" s="144"/>
      <c r="E27" s="82" t="s">
        <v>89</v>
      </c>
      <c r="F27" s="78" t="s">
        <v>42</v>
      </c>
      <c r="G27" s="65">
        <v>0</v>
      </c>
      <c r="H27" s="47">
        <f>IF(B$25=0,0,G27/B$25)</f>
        <v>0</v>
      </c>
      <c r="I27" s="118">
        <v>5</v>
      </c>
    </row>
    <row r="28" spans="1:9" x14ac:dyDescent="0.4">
      <c r="A28" s="75" t="s">
        <v>163</v>
      </c>
      <c r="B28" s="84">
        <v>0</v>
      </c>
      <c r="C28" s="51">
        <f>IF(B$3=0,0,B28/B$3)</f>
        <v>0</v>
      </c>
      <c r="E28" s="82" t="s">
        <v>90</v>
      </c>
      <c r="F28" s="78" t="s">
        <v>43</v>
      </c>
      <c r="G28" s="65">
        <v>0</v>
      </c>
      <c r="H28" s="47">
        <f>IF(B$25=0,0,G28/B$25)</f>
        <v>0</v>
      </c>
      <c r="I28" s="118">
        <v>5</v>
      </c>
    </row>
    <row r="29" spans="1:9" x14ac:dyDescent="0.4">
      <c r="E29" s="82" t="s">
        <v>92</v>
      </c>
      <c r="F29" s="78" t="s">
        <v>45</v>
      </c>
      <c r="G29" s="65">
        <v>0</v>
      </c>
      <c r="H29" s="47">
        <f>IF(B$25=0,0,G29/B$25)</f>
        <v>0</v>
      </c>
      <c r="I29" s="118">
        <v>4</v>
      </c>
    </row>
    <row r="30" spans="1:9" x14ac:dyDescent="0.4">
      <c r="E30" s="82" t="s">
        <v>93</v>
      </c>
      <c r="F30" s="78" t="s">
        <v>46</v>
      </c>
      <c r="G30" s="65">
        <v>0</v>
      </c>
      <c r="H30" s="47">
        <f>IF(B$25=0,0,G30/B$25)</f>
        <v>0</v>
      </c>
      <c r="I30" s="118">
        <v>3</v>
      </c>
    </row>
    <row r="31" spans="1:9" x14ac:dyDescent="0.4">
      <c r="E31" s="82" t="s">
        <v>95</v>
      </c>
      <c r="F31" s="78" t="s">
        <v>48</v>
      </c>
      <c r="G31" s="65">
        <v>0</v>
      </c>
      <c r="H31" s="47">
        <f>IF(B$25=0,0,G31/B$25)</f>
        <v>0</v>
      </c>
      <c r="I31" s="118">
        <v>3</v>
      </c>
    </row>
    <row r="32" spans="1:9" x14ac:dyDescent="0.4">
      <c r="E32" s="82" t="s">
        <v>97</v>
      </c>
      <c r="F32" s="78" t="s">
        <v>50</v>
      </c>
      <c r="G32" s="65">
        <v>0</v>
      </c>
      <c r="H32" s="47">
        <f>IF(B$25=0,0,G32/B$25)</f>
        <v>0</v>
      </c>
      <c r="I32" s="118">
        <v>6</v>
      </c>
    </row>
    <row r="33" spans="5:9" x14ac:dyDescent="0.4">
      <c r="E33" s="82" t="s">
        <v>98</v>
      </c>
      <c r="F33" s="78" t="s">
        <v>51</v>
      </c>
      <c r="G33" s="65">
        <v>0</v>
      </c>
      <c r="H33" s="47">
        <f>IF(B$25=0,0,G33/B$25)</f>
        <v>0</v>
      </c>
      <c r="I33" s="118">
        <v>4</v>
      </c>
    </row>
    <row r="34" spans="5:9" x14ac:dyDescent="0.4">
      <c r="E34" s="82" t="s">
        <v>99</v>
      </c>
      <c r="F34" s="78" t="s">
        <v>52</v>
      </c>
      <c r="G34" s="65">
        <v>0</v>
      </c>
      <c r="H34" s="47">
        <f>IF(B$25=0,0,G34/B$25)</f>
        <v>0</v>
      </c>
      <c r="I34" s="118">
        <v>1</v>
      </c>
    </row>
    <row r="35" spans="5:9" x14ac:dyDescent="0.4">
      <c r="E35" s="82" t="s">
        <v>100</v>
      </c>
      <c r="F35" s="78" t="s">
        <v>53</v>
      </c>
      <c r="G35" s="65">
        <v>0</v>
      </c>
      <c r="H35" s="47">
        <f>IF(B$25=0,0,G35/B$25)</f>
        <v>0</v>
      </c>
      <c r="I35" s="118">
        <v>3</v>
      </c>
    </row>
    <row r="36" spans="5:9" x14ac:dyDescent="0.4">
      <c r="E36" s="82" t="s">
        <v>101</v>
      </c>
      <c r="F36" s="78" t="s">
        <v>54</v>
      </c>
      <c r="G36" s="65">
        <v>0</v>
      </c>
      <c r="H36" s="47">
        <f>IF(B$25=0,0,G36/B$25)</f>
        <v>0</v>
      </c>
      <c r="I36" s="118">
        <v>1</v>
      </c>
    </row>
    <row r="37" spans="5:9" x14ac:dyDescent="0.4">
      <c r="E37" s="82" t="s">
        <v>102</v>
      </c>
      <c r="F37" s="78" t="s">
        <v>55</v>
      </c>
      <c r="G37" s="65">
        <v>0</v>
      </c>
      <c r="H37" s="47">
        <f>IF(B$25=0,0,G37/B$25)</f>
        <v>0</v>
      </c>
      <c r="I37" s="118">
        <v>1</v>
      </c>
    </row>
    <row r="38" spans="5:9" x14ac:dyDescent="0.4">
      <c r="E38" s="82" t="s">
        <v>103</v>
      </c>
      <c r="F38" s="78" t="s">
        <v>56</v>
      </c>
      <c r="G38" s="65">
        <v>0</v>
      </c>
      <c r="H38" s="47">
        <f>IF(B$25=0,0,G38/B$25)</f>
        <v>0</v>
      </c>
      <c r="I38" s="118">
        <v>1</v>
      </c>
    </row>
    <row r="39" spans="5:9" x14ac:dyDescent="0.4">
      <c r="E39" s="82" t="s">
        <v>104</v>
      </c>
      <c r="F39" s="78" t="s">
        <v>57</v>
      </c>
      <c r="G39" s="65">
        <v>0</v>
      </c>
      <c r="H39" s="47">
        <f>IF(B$25=0,0,G39/B$25)</f>
        <v>0</v>
      </c>
      <c r="I39" s="118">
        <v>1</v>
      </c>
    </row>
    <row r="40" spans="5:9" x14ac:dyDescent="0.4">
      <c r="E40" s="82" t="s">
        <v>105</v>
      </c>
      <c r="F40" s="78" t="s">
        <v>58</v>
      </c>
      <c r="G40" s="65">
        <v>0</v>
      </c>
      <c r="H40" s="47">
        <f>IF(B$25=0,0,G40/B$25)</f>
        <v>0</v>
      </c>
      <c r="I40" s="118">
        <v>1</v>
      </c>
    </row>
    <row r="41" spans="5:9" x14ac:dyDescent="0.4">
      <c r="E41" s="82" t="s">
        <v>106</v>
      </c>
      <c r="F41" s="78" t="s">
        <v>59</v>
      </c>
      <c r="G41" s="65">
        <v>0</v>
      </c>
      <c r="H41" s="47">
        <f>IF(B$25=0,0,G41/B$25)</f>
        <v>0</v>
      </c>
      <c r="I41" s="118">
        <v>1</v>
      </c>
    </row>
    <row r="42" spans="5:9" x14ac:dyDescent="0.4">
      <c r="E42" s="82" t="s">
        <v>107</v>
      </c>
      <c r="F42" s="78" t="s">
        <v>60</v>
      </c>
      <c r="G42" s="65">
        <v>0</v>
      </c>
      <c r="H42" s="47">
        <f>IF(B$25=0,0,G42/B$25)</f>
        <v>0</v>
      </c>
      <c r="I42" s="118">
        <v>1</v>
      </c>
    </row>
    <row r="43" spans="5:9" x14ac:dyDescent="0.4">
      <c r="E43" s="82" t="s">
        <v>108</v>
      </c>
      <c r="F43" s="78" t="s">
        <v>61</v>
      </c>
      <c r="G43" s="65">
        <v>0</v>
      </c>
      <c r="H43" s="47">
        <f>IF(B$25=0,0,G43/B$25)</f>
        <v>0</v>
      </c>
      <c r="I43" s="118">
        <v>1</v>
      </c>
    </row>
    <row r="44" spans="5:9" x14ac:dyDescent="0.4">
      <c r="E44" s="82" t="s">
        <v>109</v>
      </c>
      <c r="F44" s="78" t="s">
        <v>62</v>
      </c>
      <c r="G44" s="65">
        <v>0</v>
      </c>
      <c r="H44" s="47">
        <f>IF(B$25=0,0,G44/B$25)</f>
        <v>0</v>
      </c>
      <c r="I44" s="118">
        <v>1</v>
      </c>
    </row>
    <row r="45" spans="5:9" x14ac:dyDescent="0.4">
      <c r="E45" s="82" t="s">
        <v>110</v>
      </c>
      <c r="F45" s="78" t="s">
        <v>117</v>
      </c>
      <c r="G45" s="65">
        <v>0</v>
      </c>
      <c r="H45" s="47">
        <f>IF(B$25=0,0,G45/B$25)</f>
        <v>0</v>
      </c>
      <c r="I45" s="118">
        <v>1</v>
      </c>
    </row>
    <row r="46" spans="5:9" x14ac:dyDescent="0.4">
      <c r="E46" s="82" t="s">
        <v>111</v>
      </c>
      <c r="F46" s="78" t="s">
        <v>118</v>
      </c>
      <c r="G46" s="65">
        <v>0</v>
      </c>
      <c r="H46" s="47">
        <f>IF(B$25=0,0,G46/B$25)</f>
        <v>0</v>
      </c>
      <c r="I46" s="118">
        <v>3</v>
      </c>
    </row>
    <row r="47" spans="5:9" x14ac:dyDescent="0.4">
      <c r="E47" s="82" t="s">
        <v>112</v>
      </c>
      <c r="F47" s="78" t="s">
        <v>119</v>
      </c>
      <c r="G47" s="65">
        <v>0</v>
      </c>
      <c r="H47" s="47">
        <f>IF(B$25=0,0,G47/B$25)</f>
        <v>0</v>
      </c>
      <c r="I47" s="118">
        <v>1</v>
      </c>
    </row>
    <row r="48" spans="5:9" x14ac:dyDescent="0.4">
      <c r="E48" s="82" t="s">
        <v>113</v>
      </c>
      <c r="F48" s="78" t="s">
        <v>63</v>
      </c>
      <c r="G48" s="65">
        <v>0</v>
      </c>
      <c r="H48" s="47">
        <f>IF(B$25=0,0,G48/B$25)</f>
        <v>0</v>
      </c>
      <c r="I48" s="118">
        <v>1</v>
      </c>
    </row>
    <row r="49" spans="5:9" x14ac:dyDescent="0.4">
      <c r="E49" s="82" t="s">
        <v>114</v>
      </c>
      <c r="F49" s="78" t="s">
        <v>64</v>
      </c>
      <c r="G49" s="65">
        <v>0</v>
      </c>
      <c r="H49" s="47">
        <f>IF(B$25=0,0,G49/B$25)</f>
        <v>0</v>
      </c>
      <c r="I49" s="118">
        <v>1</v>
      </c>
    </row>
    <row r="50" spans="5:9" x14ac:dyDescent="0.4">
      <c r="E50" s="82" t="s">
        <v>115</v>
      </c>
      <c r="F50" s="78" t="s">
        <v>65</v>
      </c>
      <c r="G50" s="65">
        <v>0</v>
      </c>
      <c r="H50" s="47">
        <f>IF(B$25=0,0,G50/B$25)</f>
        <v>0</v>
      </c>
      <c r="I50" s="118">
        <v>1</v>
      </c>
    </row>
    <row r="51" spans="5:9" x14ac:dyDescent="0.4">
      <c r="E51" s="83" t="s">
        <v>116</v>
      </c>
      <c r="F51" s="79" t="s">
        <v>66</v>
      </c>
      <c r="G51" s="67">
        <v>0</v>
      </c>
      <c r="H51" s="51">
        <f>IF(B$25=0,0,G51/B$25)</f>
        <v>0</v>
      </c>
      <c r="I51" s="119">
        <v>1</v>
      </c>
    </row>
  </sheetData>
  <sortState ref="N10:Q14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3F6A0-CA67-4562-81EB-A27B5C1AE4A7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4" customWidth="1"/>
    <col min="13" max="13" width="3.5" style="41" customWidth="1"/>
    <col min="14" max="14" width="9" style="46" customWidth="1"/>
    <col min="15" max="15" width="9" style="127" customWidth="1"/>
    <col min="16" max="16" width="3.5" style="156" customWidth="1"/>
    <col min="17" max="17" width="3.5" style="157" customWidth="1"/>
    <col min="18" max="16384" width="9" style="41"/>
  </cols>
  <sheetData>
    <row r="1" spans="1:17" x14ac:dyDescent="0.4">
      <c r="A1" s="71" t="s">
        <v>0</v>
      </c>
      <c r="B1" s="133" t="s">
        <v>161</v>
      </c>
      <c r="C1" s="134"/>
      <c r="E1" s="80" t="s">
        <v>160</v>
      </c>
      <c r="F1" s="129" t="s">
        <v>120</v>
      </c>
      <c r="G1" s="128" t="s">
        <v>121</v>
      </c>
      <c r="H1" s="129" t="s">
        <v>122</v>
      </c>
      <c r="I1" s="129" t="s">
        <v>231</v>
      </c>
      <c r="K1" s="42" t="s">
        <v>20</v>
      </c>
      <c r="L1" s="43" t="s">
        <v>125</v>
      </c>
      <c r="N1" s="42" t="s">
        <v>156</v>
      </c>
      <c r="O1" s="129" t="s">
        <v>157</v>
      </c>
      <c r="P1" s="59" t="s">
        <v>238</v>
      </c>
      <c r="Q1" s="55" t="s">
        <v>121</v>
      </c>
    </row>
    <row r="2" spans="1:17" x14ac:dyDescent="0.4">
      <c r="A2" s="72" t="s">
        <v>9</v>
      </c>
      <c r="B2" s="135">
        <v>25</v>
      </c>
      <c r="C2" s="136"/>
      <c r="E2" s="81" t="s">
        <v>71</v>
      </c>
      <c r="F2" s="77" t="s">
        <v>25</v>
      </c>
      <c r="G2" s="64">
        <v>46</v>
      </c>
      <c r="H2" s="45">
        <f>IF(B$25=0,0,G2/B$25)</f>
        <v>1.0454545454545454</v>
      </c>
      <c r="I2" s="117">
        <v>1</v>
      </c>
      <c r="K2" s="44">
        <v>0</v>
      </c>
      <c r="L2" s="123">
        <v>0</v>
      </c>
      <c r="N2" s="44" t="s">
        <v>150</v>
      </c>
      <c r="O2" s="130">
        <f t="shared" ref="O2:O7" si="0">IF(Q2=0,0,P2/Q2)</f>
        <v>-4016</v>
      </c>
      <c r="P2" s="60">
        <v>-100400</v>
      </c>
      <c r="Q2" s="58">
        <v>25</v>
      </c>
    </row>
    <row r="3" spans="1:17" x14ac:dyDescent="0.4">
      <c r="A3" s="73" t="s">
        <v>8</v>
      </c>
      <c r="B3" s="137">
        <v>196</v>
      </c>
      <c r="C3" s="138"/>
      <c r="E3" s="82" t="s">
        <v>69</v>
      </c>
      <c r="F3" s="78" t="s">
        <v>23</v>
      </c>
      <c r="G3" s="65">
        <v>32</v>
      </c>
      <c r="H3" s="47">
        <f>IF(B$25=0,0,G3/B$25)</f>
        <v>0.72727272727272729</v>
      </c>
      <c r="I3" s="118">
        <v>4</v>
      </c>
      <c r="K3" s="46">
        <v>1</v>
      </c>
      <c r="L3" s="124">
        <v>15</v>
      </c>
      <c r="N3" s="46" t="s">
        <v>151</v>
      </c>
      <c r="O3" s="131">
        <f t="shared" si="0"/>
        <v>1972</v>
      </c>
      <c r="P3" s="61">
        <v>49300</v>
      </c>
      <c r="Q3" s="56">
        <v>25</v>
      </c>
    </row>
    <row r="4" spans="1:17" x14ac:dyDescent="0.4">
      <c r="A4" s="73" t="s">
        <v>6</v>
      </c>
      <c r="B4" s="139">
        <v>-240.00000000000003</v>
      </c>
      <c r="C4" s="140"/>
      <c r="E4" s="82" t="s">
        <v>76</v>
      </c>
      <c r="F4" s="78" t="s">
        <v>29</v>
      </c>
      <c r="G4" s="65">
        <v>32</v>
      </c>
      <c r="H4" s="47">
        <f>IF(B$25=0,0,G4/B$25)</f>
        <v>0.72727272727272729</v>
      </c>
      <c r="I4" s="118">
        <v>1</v>
      </c>
      <c r="K4" s="46">
        <v>2</v>
      </c>
      <c r="L4" s="124">
        <v>-24.299999999999997</v>
      </c>
      <c r="N4" s="46" t="s">
        <v>152</v>
      </c>
      <c r="O4" s="131">
        <f t="shared" si="0"/>
        <v>-2850</v>
      </c>
      <c r="P4" s="61">
        <v>-62700</v>
      </c>
      <c r="Q4" s="56">
        <v>22</v>
      </c>
    </row>
    <row r="5" spans="1:17" x14ac:dyDescent="0.4">
      <c r="A5" s="73" t="s">
        <v>7</v>
      </c>
      <c r="B5" s="141">
        <f>IF(B$2=0,0,B$4/B$2)</f>
        <v>-9.6000000000000014</v>
      </c>
      <c r="C5" s="142"/>
      <c r="E5" s="82" t="s">
        <v>67</v>
      </c>
      <c r="F5" s="78" t="s">
        <v>21</v>
      </c>
      <c r="G5" s="65">
        <v>13</v>
      </c>
      <c r="H5" s="47">
        <f>IF(B$25=0,0,G5/B$25)</f>
        <v>0.29545454545454547</v>
      </c>
      <c r="I5" s="118">
        <v>12</v>
      </c>
      <c r="K5" s="46">
        <v>3</v>
      </c>
      <c r="L5" s="124">
        <v>-15.599999999999998</v>
      </c>
      <c r="N5" s="46" t="s">
        <v>153</v>
      </c>
      <c r="O5" s="131">
        <f t="shared" si="0"/>
        <v>-2175</v>
      </c>
      <c r="P5" s="61">
        <v>-43500</v>
      </c>
      <c r="Q5" s="56">
        <v>20</v>
      </c>
    </row>
    <row r="6" spans="1:17" x14ac:dyDescent="0.4">
      <c r="A6" s="73" t="s">
        <v>1</v>
      </c>
      <c r="B6" s="147">
        <f>IF(B$2=0,0,(B$7*1+B$8*2+B$9*3)/B$2)</f>
        <v>2.3199999999999998</v>
      </c>
      <c r="C6" s="148"/>
      <c r="E6" s="82" t="s">
        <v>88</v>
      </c>
      <c r="F6" s="78" t="s">
        <v>41</v>
      </c>
      <c r="G6" s="65">
        <v>9</v>
      </c>
      <c r="H6" s="47">
        <f>IF(B$25=0,0,G6/B$25)</f>
        <v>0.20454545454545456</v>
      </c>
      <c r="I6" s="118">
        <v>1</v>
      </c>
      <c r="K6" s="46">
        <v>4</v>
      </c>
      <c r="L6" s="124">
        <v>5.1000000000000014</v>
      </c>
      <c r="N6" s="46" t="s">
        <v>154</v>
      </c>
      <c r="O6" s="131">
        <f t="shared" si="0"/>
        <v>-3331.5789473684213</v>
      </c>
      <c r="P6" s="61">
        <v>-63300</v>
      </c>
      <c r="Q6" s="56">
        <v>19</v>
      </c>
    </row>
    <row r="7" spans="1:17" x14ac:dyDescent="0.4">
      <c r="A7" s="73" t="s">
        <v>2</v>
      </c>
      <c r="B7" s="65">
        <v>5</v>
      </c>
      <c r="C7" s="47">
        <f>IF(B$2=0,0,B7/B$2)</f>
        <v>0.2</v>
      </c>
      <c r="E7" s="82" t="s">
        <v>72</v>
      </c>
      <c r="F7" s="78" t="s">
        <v>12</v>
      </c>
      <c r="G7" s="65">
        <v>8</v>
      </c>
      <c r="H7" s="47">
        <f>IF(B$25=0,0,G7/B$25)</f>
        <v>0.18181818181818182</v>
      </c>
      <c r="I7" s="118">
        <v>11</v>
      </c>
      <c r="K7" s="46">
        <v>5</v>
      </c>
      <c r="L7" s="124">
        <v>9.6000000000000014</v>
      </c>
      <c r="N7" s="50" t="s">
        <v>155</v>
      </c>
      <c r="O7" s="132">
        <f t="shared" si="0"/>
        <v>-1293.3333333333333</v>
      </c>
      <c r="P7" s="62">
        <v>-19400</v>
      </c>
      <c r="Q7" s="57">
        <v>15</v>
      </c>
    </row>
    <row r="8" spans="1:17" x14ac:dyDescent="0.4">
      <c r="A8" s="73" t="s">
        <v>3</v>
      </c>
      <c r="B8" s="65">
        <v>7</v>
      </c>
      <c r="C8" s="47">
        <f t="shared" ref="C8:C9" si="1">IF(B$2=0,0,B8/B$2)</f>
        <v>0.28000000000000003</v>
      </c>
      <c r="E8" s="82" t="s">
        <v>94</v>
      </c>
      <c r="F8" s="78" t="s">
        <v>47</v>
      </c>
      <c r="G8" s="65">
        <v>8</v>
      </c>
      <c r="H8" s="47">
        <f>IF(B$25=0,0,G8/B$25)</f>
        <v>0.18181818181818182</v>
      </c>
      <c r="I8" s="118">
        <v>1</v>
      </c>
      <c r="K8" s="46">
        <v>6</v>
      </c>
      <c r="L8" s="124">
        <v>2.2000000000000011</v>
      </c>
      <c r="N8" s="41"/>
      <c r="O8" s="41"/>
      <c r="P8" s="41"/>
      <c r="Q8" s="41"/>
    </row>
    <row r="9" spans="1:17" x14ac:dyDescent="0.4">
      <c r="A9" s="74" t="s">
        <v>4</v>
      </c>
      <c r="B9" s="66">
        <v>13</v>
      </c>
      <c r="C9" s="48">
        <f t="shared" si="1"/>
        <v>0.52</v>
      </c>
      <c r="E9" s="82" t="s">
        <v>74</v>
      </c>
      <c r="F9" s="78" t="s">
        <v>27</v>
      </c>
      <c r="G9" s="65">
        <v>6</v>
      </c>
      <c r="H9" s="47">
        <f>IF(B$25=0,0,G9/B$25)</f>
        <v>0.13636363636363635</v>
      </c>
      <c r="I9" s="118">
        <v>3</v>
      </c>
      <c r="K9" s="46">
        <v>7</v>
      </c>
      <c r="L9" s="124">
        <v>27.200000000000003</v>
      </c>
      <c r="N9" s="42" t="s">
        <v>235</v>
      </c>
      <c r="O9" s="129" t="s">
        <v>125</v>
      </c>
      <c r="P9" s="153" t="s">
        <v>238</v>
      </c>
      <c r="Q9" s="125" t="s">
        <v>121</v>
      </c>
    </row>
    <row r="10" spans="1:17" x14ac:dyDescent="0.4">
      <c r="A10" s="74" t="s">
        <v>19</v>
      </c>
      <c r="B10" s="66">
        <v>6</v>
      </c>
      <c r="C10" s="48">
        <f>IF(B$2=0,0,B10/B$2)</f>
        <v>0.24</v>
      </c>
      <c r="E10" s="82" t="s">
        <v>68</v>
      </c>
      <c r="F10" s="78" t="s">
        <v>22</v>
      </c>
      <c r="G10" s="65">
        <v>5</v>
      </c>
      <c r="H10" s="47">
        <f>IF(B$25=0,0,G10/B$25)</f>
        <v>0.11363636363636363</v>
      </c>
      <c r="I10" s="118">
        <v>8</v>
      </c>
      <c r="K10" s="46">
        <v>8</v>
      </c>
      <c r="L10" s="124">
        <v>-4.4999999999999964</v>
      </c>
      <c r="N10" s="44" t="s">
        <v>175</v>
      </c>
      <c r="O10" s="126">
        <f>IF(Q10=0,0,P10/Q10)</f>
        <v>14.7</v>
      </c>
      <c r="P10" s="154">
        <v>29.4</v>
      </c>
      <c r="Q10" s="155">
        <v>2</v>
      </c>
    </row>
    <row r="11" spans="1:17" x14ac:dyDescent="0.4">
      <c r="A11" s="75" t="s">
        <v>158</v>
      </c>
      <c r="B11" s="67">
        <v>2</v>
      </c>
      <c r="C11" s="51">
        <f>IF(B$2=0,0,B11/B$2)</f>
        <v>0.08</v>
      </c>
      <c r="E11" s="82" t="s">
        <v>70</v>
      </c>
      <c r="F11" s="78" t="s">
        <v>24</v>
      </c>
      <c r="G11" s="65">
        <v>5</v>
      </c>
      <c r="H11" s="47">
        <f>IF(B$25=0,0,G11/B$25)</f>
        <v>0.11363636363636363</v>
      </c>
      <c r="I11" s="118">
        <v>11</v>
      </c>
      <c r="K11" s="46">
        <v>9</v>
      </c>
      <c r="L11" s="124">
        <v>-9.3999999999999968</v>
      </c>
      <c r="N11" s="46" t="s">
        <v>134</v>
      </c>
      <c r="O11" s="127">
        <f>IF(Q11=0,0,P11/Q11)</f>
        <v>9.8000000000000007</v>
      </c>
      <c r="P11" s="156">
        <v>29.400000000000002</v>
      </c>
      <c r="Q11" s="157">
        <v>3</v>
      </c>
    </row>
    <row r="12" spans="1:17" x14ac:dyDescent="0.4">
      <c r="A12" s="76" t="s">
        <v>128</v>
      </c>
      <c r="B12" s="68">
        <v>30</v>
      </c>
      <c r="C12" s="54">
        <f>IF(B$24=0,0,B12/B$24)</f>
        <v>0.15306122448979592</v>
      </c>
      <c r="E12" s="82" t="s">
        <v>91</v>
      </c>
      <c r="F12" s="78" t="s">
        <v>44</v>
      </c>
      <c r="G12" s="65">
        <v>4</v>
      </c>
      <c r="H12" s="47">
        <f>IF(B$25=0,0,G12/B$25)</f>
        <v>9.0909090909090912E-2</v>
      </c>
      <c r="I12" s="118">
        <v>3</v>
      </c>
      <c r="K12" s="46">
        <v>10</v>
      </c>
      <c r="L12" s="124">
        <v>-24.299999999999997</v>
      </c>
      <c r="N12" s="46" t="s">
        <v>139</v>
      </c>
      <c r="O12" s="127">
        <f>IF(Q12=0,0,P12/Q12)</f>
        <v>-8.9722222222222214</v>
      </c>
      <c r="P12" s="156">
        <v>-161.5</v>
      </c>
      <c r="Q12" s="157">
        <v>18</v>
      </c>
    </row>
    <row r="13" spans="1:17" x14ac:dyDescent="0.4">
      <c r="A13" s="73" t="s">
        <v>123</v>
      </c>
      <c r="B13" s="65">
        <v>76</v>
      </c>
      <c r="C13" s="47">
        <f>IF(B$24=0,0,B13/B$24)</f>
        <v>0.38775510204081631</v>
      </c>
      <c r="E13" s="82" t="s">
        <v>73</v>
      </c>
      <c r="F13" s="78" t="s">
        <v>26</v>
      </c>
      <c r="G13" s="65">
        <v>2</v>
      </c>
      <c r="H13" s="47">
        <f>IF(B$25=0,0,G13/B$25)</f>
        <v>4.5454545454545456E-2</v>
      </c>
      <c r="I13" s="118">
        <v>12</v>
      </c>
      <c r="K13" s="46">
        <v>11</v>
      </c>
      <c r="L13" s="124">
        <v>-70</v>
      </c>
      <c r="N13" s="46" t="s">
        <v>136</v>
      </c>
      <c r="O13" s="127">
        <f>IF(Q13=0,0,P13/Q13)</f>
        <v>-12.149999999999999</v>
      </c>
      <c r="P13" s="156">
        <v>-24.299999999999997</v>
      </c>
      <c r="Q13" s="157">
        <v>2</v>
      </c>
    </row>
    <row r="14" spans="1:17" x14ac:dyDescent="0.4">
      <c r="A14" s="72" t="s">
        <v>130</v>
      </c>
      <c r="B14" s="64">
        <v>14</v>
      </c>
      <c r="C14" s="45">
        <f>IF(B$12=0,0,B14/B$12)</f>
        <v>0.46666666666666667</v>
      </c>
      <c r="E14" s="82" t="s">
        <v>75</v>
      </c>
      <c r="F14" s="78" t="s">
        <v>28</v>
      </c>
      <c r="G14" s="65">
        <v>2</v>
      </c>
      <c r="H14" s="47">
        <f>IF(B$25=0,0,G14/B$25)</f>
        <v>4.5454545454545456E-2</v>
      </c>
      <c r="I14" s="118">
        <v>7</v>
      </c>
      <c r="K14" s="46">
        <v>12</v>
      </c>
      <c r="L14" s="124">
        <v>-43.8</v>
      </c>
      <c r="N14" s="46" t="s">
        <v>133</v>
      </c>
      <c r="O14" s="127">
        <f>IF(Q14=0,0,P14/Q14)</f>
        <v>-13.468421052631578</v>
      </c>
      <c r="P14" s="156">
        <v>-255.9</v>
      </c>
      <c r="Q14" s="157">
        <v>19</v>
      </c>
    </row>
    <row r="15" spans="1:17" x14ac:dyDescent="0.4">
      <c r="A15" s="72" t="s">
        <v>131</v>
      </c>
      <c r="B15" s="64">
        <v>24</v>
      </c>
      <c r="C15" s="45">
        <f>IF(B$13=0,0,B15/B$13)</f>
        <v>0.31578947368421051</v>
      </c>
      <c r="E15" s="82" t="s">
        <v>83</v>
      </c>
      <c r="F15" s="78" t="s">
        <v>36</v>
      </c>
      <c r="G15" s="65">
        <v>2</v>
      </c>
      <c r="H15" s="47">
        <f>IF(B$25=0,0,G15/B$25)</f>
        <v>4.5454545454545456E-2</v>
      </c>
      <c r="I15" s="118">
        <v>2</v>
      </c>
      <c r="K15" s="46">
        <v>13</v>
      </c>
      <c r="L15" s="124">
        <v>-11.099999999999994</v>
      </c>
      <c r="N15" s="46" t="s">
        <v>137</v>
      </c>
      <c r="O15" s="127">
        <f>IF(Q15=0,0,P15/Q15)</f>
        <v>-16.183333333333334</v>
      </c>
      <c r="P15" s="156">
        <v>-97.1</v>
      </c>
      <c r="Q15" s="157">
        <v>6</v>
      </c>
    </row>
    <row r="16" spans="1:17" x14ac:dyDescent="0.4">
      <c r="A16" s="72" t="s">
        <v>10</v>
      </c>
      <c r="B16" s="64">
        <f>B18+B17</f>
        <v>44</v>
      </c>
      <c r="C16" s="45">
        <f>IF(B$3=0,0,B16/B$3)</f>
        <v>0.22448979591836735</v>
      </c>
      <c r="E16" s="82" t="s">
        <v>86</v>
      </c>
      <c r="F16" s="78" t="s">
        <v>39</v>
      </c>
      <c r="G16" s="65">
        <v>2</v>
      </c>
      <c r="H16" s="47">
        <f>IF(B$25=0,0,G16/B$25)</f>
        <v>4.5454545454545456E-2</v>
      </c>
      <c r="I16" s="118">
        <v>2</v>
      </c>
      <c r="K16" s="46">
        <v>14</v>
      </c>
      <c r="L16" s="124">
        <v>-5.7999999999999945</v>
      </c>
    </row>
    <row r="17" spans="1:12" x14ac:dyDescent="0.4">
      <c r="A17" s="73" t="s">
        <v>12</v>
      </c>
      <c r="B17" s="65">
        <v>13</v>
      </c>
      <c r="C17" s="47">
        <f>IF(B$16=0,0,B17/B$16)</f>
        <v>0.29545454545454547</v>
      </c>
      <c r="E17" s="82" t="s">
        <v>81</v>
      </c>
      <c r="F17" s="78" t="s">
        <v>34</v>
      </c>
      <c r="G17" s="65">
        <v>1</v>
      </c>
      <c r="H17" s="47">
        <f>IF(B$25=0,0,G17/B$25)</f>
        <v>2.2727272727272728E-2</v>
      </c>
      <c r="I17" s="118">
        <v>1</v>
      </c>
      <c r="K17" s="46">
        <v>15</v>
      </c>
      <c r="L17" s="124">
        <v>-44.199999999999996</v>
      </c>
    </row>
    <row r="18" spans="1:12" x14ac:dyDescent="0.4">
      <c r="A18" s="73" t="s">
        <v>11</v>
      </c>
      <c r="B18" s="65">
        <v>31</v>
      </c>
      <c r="C18" s="47">
        <f>IF(B$16=0,0,B18/B$16)</f>
        <v>0.70454545454545459</v>
      </c>
      <c r="E18" s="82" t="s">
        <v>82</v>
      </c>
      <c r="F18" s="78" t="s">
        <v>35</v>
      </c>
      <c r="G18" s="65">
        <v>1</v>
      </c>
      <c r="H18" s="47">
        <f>IF(B$25=0,0,G18/B$25)</f>
        <v>2.2727272727272728E-2</v>
      </c>
      <c r="I18" s="118">
        <v>6</v>
      </c>
      <c r="K18" s="46">
        <v>16</v>
      </c>
      <c r="L18" s="124">
        <v>-25.599999999999994</v>
      </c>
    </row>
    <row r="19" spans="1:12" x14ac:dyDescent="0.4">
      <c r="A19" s="73" t="s">
        <v>13</v>
      </c>
      <c r="B19" s="65">
        <v>34</v>
      </c>
      <c r="C19" s="47">
        <f>IF(B$3=0,0,B19/B$3)</f>
        <v>0.17346938775510204</v>
      </c>
      <c r="E19" s="82" t="s">
        <v>90</v>
      </c>
      <c r="F19" s="78" t="s">
        <v>43</v>
      </c>
      <c r="G19" s="65">
        <v>1</v>
      </c>
      <c r="H19" s="47">
        <f>IF(B$25=0,0,G19/B$25)</f>
        <v>2.2727272727272728E-2</v>
      </c>
      <c r="I19" s="118">
        <v>1</v>
      </c>
      <c r="K19" s="46">
        <v>17</v>
      </c>
      <c r="L19" s="124">
        <v>-39.799999999999997</v>
      </c>
    </row>
    <row r="20" spans="1:12" x14ac:dyDescent="0.4">
      <c r="A20" s="73" t="s">
        <v>5</v>
      </c>
      <c r="B20" s="69">
        <f>IF(B$16=0,0,C20/B$16)</f>
        <v>9343.181818181818</v>
      </c>
      <c r="C20" s="49">
        <v>411100</v>
      </c>
      <c r="E20" s="82" t="s">
        <v>96</v>
      </c>
      <c r="F20" s="78" t="s">
        <v>49</v>
      </c>
      <c r="G20" s="65">
        <v>1</v>
      </c>
      <c r="H20" s="47">
        <f>IF(B$25=0,0,G20/B$25)</f>
        <v>2.2727272727272728E-2</v>
      </c>
      <c r="I20" s="118">
        <v>3</v>
      </c>
      <c r="K20" s="46">
        <v>18</v>
      </c>
      <c r="L20" s="124">
        <v>-60.4</v>
      </c>
    </row>
    <row r="21" spans="1:12" x14ac:dyDescent="0.4">
      <c r="A21" s="75" t="s">
        <v>14</v>
      </c>
      <c r="B21" s="70">
        <f>IF(B$19=0,0,C21/B$19)</f>
        <v>-8441.176470588236</v>
      </c>
      <c r="C21" s="63">
        <v>-287000</v>
      </c>
      <c r="E21" s="82" t="s">
        <v>77</v>
      </c>
      <c r="F21" s="78" t="s">
        <v>30</v>
      </c>
      <c r="G21" s="65">
        <v>0</v>
      </c>
      <c r="H21" s="47">
        <f>IF(B$25=0,0,G21/B$25)</f>
        <v>0</v>
      </c>
      <c r="I21" s="118">
        <v>5</v>
      </c>
      <c r="K21" s="46">
        <v>19</v>
      </c>
      <c r="L21" s="124">
        <v>-60</v>
      </c>
    </row>
    <row r="22" spans="1:12" x14ac:dyDescent="0.4">
      <c r="A22" s="72" t="s">
        <v>147</v>
      </c>
      <c r="B22" s="64">
        <v>57</v>
      </c>
      <c r="C22" s="45">
        <f>IF(B$3=0,0,B22/B$3)</f>
        <v>0.29081632653061223</v>
      </c>
      <c r="E22" s="82" t="s">
        <v>78</v>
      </c>
      <c r="F22" s="78" t="s">
        <v>31</v>
      </c>
      <c r="G22" s="65">
        <v>0</v>
      </c>
      <c r="H22" s="47">
        <f>IF(B$25=0,0,G22/B$25)</f>
        <v>0</v>
      </c>
      <c r="I22" s="118">
        <v>4</v>
      </c>
      <c r="K22" s="46">
        <v>20</v>
      </c>
      <c r="L22" s="124">
        <v>-88.2</v>
      </c>
    </row>
    <row r="23" spans="1:12" x14ac:dyDescent="0.4">
      <c r="A23" s="75" t="s">
        <v>148</v>
      </c>
      <c r="B23" s="67">
        <v>13</v>
      </c>
      <c r="C23" s="51">
        <f>IF(B$22=0,0,B23/B$22)</f>
        <v>0.22807017543859648</v>
      </c>
      <c r="E23" s="82" t="s">
        <v>79</v>
      </c>
      <c r="F23" s="78" t="s">
        <v>32</v>
      </c>
      <c r="G23" s="65">
        <v>0</v>
      </c>
      <c r="H23" s="47">
        <f>IF(B$25=0,0,G23/B$25)</f>
        <v>0</v>
      </c>
      <c r="I23" s="118">
        <v>6</v>
      </c>
      <c r="K23" s="46">
        <v>21</v>
      </c>
      <c r="L23" s="124">
        <v>-125.80000000000001</v>
      </c>
    </row>
    <row r="24" spans="1:12" x14ac:dyDescent="0.4">
      <c r="A24" s="72" t="s">
        <v>126</v>
      </c>
      <c r="B24" s="135">
        <v>196</v>
      </c>
      <c r="C24" s="136"/>
      <c r="E24" s="82" t="s">
        <v>80</v>
      </c>
      <c r="F24" s="78" t="s">
        <v>33</v>
      </c>
      <c r="G24" s="65">
        <v>0</v>
      </c>
      <c r="H24" s="47">
        <f>IF(B$25=0,0,G24/B$25)</f>
        <v>0</v>
      </c>
      <c r="I24" s="118">
        <v>1</v>
      </c>
      <c r="K24" s="46">
        <v>22</v>
      </c>
      <c r="L24" s="124">
        <v>-149.30000000000001</v>
      </c>
    </row>
    <row r="25" spans="1:12" x14ac:dyDescent="0.4">
      <c r="A25" s="75" t="s">
        <v>127</v>
      </c>
      <c r="B25" s="149">
        <v>44</v>
      </c>
      <c r="C25" s="150"/>
      <c r="E25" s="82" t="s">
        <v>84</v>
      </c>
      <c r="F25" s="78" t="s">
        <v>37</v>
      </c>
      <c r="G25" s="65">
        <v>0</v>
      </c>
      <c r="H25" s="47">
        <f>IF(B$25=0,0,G25/B$25)</f>
        <v>0</v>
      </c>
      <c r="I25" s="118">
        <v>1</v>
      </c>
      <c r="K25" s="46">
        <v>23</v>
      </c>
      <c r="L25" s="124">
        <v>-150.30000000000001</v>
      </c>
    </row>
    <row r="26" spans="1:12" x14ac:dyDescent="0.4">
      <c r="A26" s="113" t="s">
        <v>162</v>
      </c>
      <c r="B26" s="145">
        <v>5</v>
      </c>
      <c r="C26" s="146"/>
      <c r="E26" s="82" t="s">
        <v>85</v>
      </c>
      <c r="F26" s="78" t="s">
        <v>38</v>
      </c>
      <c r="G26" s="65">
        <v>0</v>
      </c>
      <c r="H26" s="47">
        <f>IF(B$25=0,0,G26/B$25)</f>
        <v>0</v>
      </c>
      <c r="I26" s="118">
        <v>3</v>
      </c>
      <c r="K26" s="46">
        <v>24</v>
      </c>
      <c r="L26" s="124">
        <v>-196.10000000000002</v>
      </c>
    </row>
    <row r="27" spans="1:12" x14ac:dyDescent="0.4">
      <c r="A27" s="76" t="s">
        <v>203</v>
      </c>
      <c r="B27" s="143">
        <v>67700</v>
      </c>
      <c r="C27" s="144"/>
      <c r="E27" s="82" t="s">
        <v>87</v>
      </c>
      <c r="F27" s="78" t="s">
        <v>40</v>
      </c>
      <c r="G27" s="65">
        <v>0</v>
      </c>
      <c r="H27" s="47">
        <f>IF(B$25=0,0,G27/B$25)</f>
        <v>0</v>
      </c>
      <c r="I27" s="118">
        <v>1</v>
      </c>
      <c r="K27" s="46">
        <v>25</v>
      </c>
      <c r="L27" s="124">
        <v>-240.00000000000003</v>
      </c>
    </row>
    <row r="28" spans="1:12" x14ac:dyDescent="0.4">
      <c r="A28" s="75" t="s">
        <v>163</v>
      </c>
      <c r="B28" s="84">
        <v>0</v>
      </c>
      <c r="C28" s="51">
        <f>IF(B$3=0,0,B28/B$3)</f>
        <v>0</v>
      </c>
      <c r="E28" s="82" t="s">
        <v>89</v>
      </c>
      <c r="F28" s="78" t="s">
        <v>42</v>
      </c>
      <c r="G28" s="65">
        <v>0</v>
      </c>
      <c r="H28" s="47">
        <f>IF(B$25=0,0,G28/B$25)</f>
        <v>0</v>
      </c>
      <c r="I28" s="118">
        <v>5</v>
      </c>
    </row>
    <row r="29" spans="1:12" x14ac:dyDescent="0.4">
      <c r="E29" s="82" t="s">
        <v>92</v>
      </c>
      <c r="F29" s="78" t="s">
        <v>45</v>
      </c>
      <c r="G29" s="65">
        <v>0</v>
      </c>
      <c r="H29" s="47">
        <f>IF(B$25=0,0,G29/B$25)</f>
        <v>0</v>
      </c>
      <c r="I29" s="118">
        <v>4</v>
      </c>
    </row>
    <row r="30" spans="1:12" x14ac:dyDescent="0.4">
      <c r="E30" s="82" t="s">
        <v>93</v>
      </c>
      <c r="F30" s="78" t="s">
        <v>46</v>
      </c>
      <c r="G30" s="65">
        <v>0</v>
      </c>
      <c r="H30" s="47">
        <f>IF(B$25=0,0,G30/B$25)</f>
        <v>0</v>
      </c>
      <c r="I30" s="118">
        <v>3</v>
      </c>
    </row>
    <row r="31" spans="1:12" x14ac:dyDescent="0.4">
      <c r="E31" s="82" t="s">
        <v>95</v>
      </c>
      <c r="F31" s="78" t="s">
        <v>48</v>
      </c>
      <c r="G31" s="65">
        <v>0</v>
      </c>
      <c r="H31" s="47">
        <f>IF(B$25=0,0,G31/B$25)</f>
        <v>0</v>
      </c>
      <c r="I31" s="118">
        <v>3</v>
      </c>
    </row>
    <row r="32" spans="1:12" x14ac:dyDescent="0.4">
      <c r="E32" s="82" t="s">
        <v>97</v>
      </c>
      <c r="F32" s="78" t="s">
        <v>50</v>
      </c>
      <c r="G32" s="65">
        <v>0</v>
      </c>
      <c r="H32" s="47">
        <f>IF(B$25=0,0,G32/B$25)</f>
        <v>0</v>
      </c>
      <c r="I32" s="118">
        <v>6</v>
      </c>
    </row>
    <row r="33" spans="5:9" x14ac:dyDescent="0.4">
      <c r="E33" s="82" t="s">
        <v>98</v>
      </c>
      <c r="F33" s="78" t="s">
        <v>51</v>
      </c>
      <c r="G33" s="65">
        <v>0</v>
      </c>
      <c r="H33" s="47">
        <f>IF(B$25=0,0,G33/B$25)</f>
        <v>0</v>
      </c>
      <c r="I33" s="118">
        <v>4</v>
      </c>
    </row>
    <row r="34" spans="5:9" x14ac:dyDescent="0.4">
      <c r="E34" s="82" t="s">
        <v>99</v>
      </c>
      <c r="F34" s="78" t="s">
        <v>52</v>
      </c>
      <c r="G34" s="65">
        <v>0</v>
      </c>
      <c r="H34" s="47">
        <f>IF(B$25=0,0,G34/B$25)</f>
        <v>0</v>
      </c>
      <c r="I34" s="118">
        <v>1</v>
      </c>
    </row>
    <row r="35" spans="5:9" x14ac:dyDescent="0.4">
      <c r="E35" s="82" t="s">
        <v>100</v>
      </c>
      <c r="F35" s="78" t="s">
        <v>53</v>
      </c>
      <c r="G35" s="65">
        <v>0</v>
      </c>
      <c r="H35" s="47">
        <f>IF(B$25=0,0,G35/B$25)</f>
        <v>0</v>
      </c>
      <c r="I35" s="118">
        <v>3</v>
      </c>
    </row>
    <row r="36" spans="5:9" x14ac:dyDescent="0.4">
      <c r="E36" s="82" t="s">
        <v>101</v>
      </c>
      <c r="F36" s="78" t="s">
        <v>54</v>
      </c>
      <c r="G36" s="65">
        <v>0</v>
      </c>
      <c r="H36" s="47">
        <f>IF(B$25=0,0,G36/B$25)</f>
        <v>0</v>
      </c>
      <c r="I36" s="118">
        <v>1</v>
      </c>
    </row>
    <row r="37" spans="5:9" x14ac:dyDescent="0.4">
      <c r="E37" s="82" t="s">
        <v>102</v>
      </c>
      <c r="F37" s="78" t="s">
        <v>55</v>
      </c>
      <c r="G37" s="65">
        <v>0</v>
      </c>
      <c r="H37" s="47">
        <f>IF(B$25=0,0,G37/B$25)</f>
        <v>0</v>
      </c>
      <c r="I37" s="118">
        <v>1</v>
      </c>
    </row>
    <row r="38" spans="5:9" x14ac:dyDescent="0.4">
      <c r="E38" s="82" t="s">
        <v>103</v>
      </c>
      <c r="F38" s="78" t="s">
        <v>56</v>
      </c>
      <c r="G38" s="65">
        <v>0</v>
      </c>
      <c r="H38" s="47">
        <f>IF(B$25=0,0,G38/B$25)</f>
        <v>0</v>
      </c>
      <c r="I38" s="118">
        <v>1</v>
      </c>
    </row>
    <row r="39" spans="5:9" x14ac:dyDescent="0.4">
      <c r="E39" s="82" t="s">
        <v>104</v>
      </c>
      <c r="F39" s="78" t="s">
        <v>57</v>
      </c>
      <c r="G39" s="65">
        <v>0</v>
      </c>
      <c r="H39" s="47">
        <f>IF(B$25=0,0,G39/B$25)</f>
        <v>0</v>
      </c>
      <c r="I39" s="118">
        <v>1</v>
      </c>
    </row>
    <row r="40" spans="5:9" x14ac:dyDescent="0.4">
      <c r="E40" s="82" t="s">
        <v>105</v>
      </c>
      <c r="F40" s="78" t="s">
        <v>58</v>
      </c>
      <c r="G40" s="65">
        <v>0</v>
      </c>
      <c r="H40" s="47">
        <f>IF(B$25=0,0,G40/B$25)</f>
        <v>0</v>
      </c>
      <c r="I40" s="118">
        <v>1</v>
      </c>
    </row>
    <row r="41" spans="5:9" x14ac:dyDescent="0.4">
      <c r="E41" s="82" t="s">
        <v>106</v>
      </c>
      <c r="F41" s="78" t="s">
        <v>59</v>
      </c>
      <c r="G41" s="65">
        <v>0</v>
      </c>
      <c r="H41" s="47">
        <f>IF(B$25=0,0,G41/B$25)</f>
        <v>0</v>
      </c>
      <c r="I41" s="118">
        <v>1</v>
      </c>
    </row>
    <row r="42" spans="5:9" x14ac:dyDescent="0.4">
      <c r="E42" s="82" t="s">
        <v>107</v>
      </c>
      <c r="F42" s="78" t="s">
        <v>60</v>
      </c>
      <c r="G42" s="65">
        <v>0</v>
      </c>
      <c r="H42" s="47">
        <f>IF(B$25=0,0,G42/B$25)</f>
        <v>0</v>
      </c>
      <c r="I42" s="118">
        <v>1</v>
      </c>
    </row>
    <row r="43" spans="5:9" x14ac:dyDescent="0.4">
      <c r="E43" s="82" t="s">
        <v>108</v>
      </c>
      <c r="F43" s="78" t="s">
        <v>61</v>
      </c>
      <c r="G43" s="65">
        <v>0</v>
      </c>
      <c r="H43" s="47">
        <f>IF(B$25=0,0,G43/B$25)</f>
        <v>0</v>
      </c>
      <c r="I43" s="118">
        <v>1</v>
      </c>
    </row>
    <row r="44" spans="5:9" x14ac:dyDescent="0.4">
      <c r="E44" s="82" t="s">
        <v>109</v>
      </c>
      <c r="F44" s="78" t="s">
        <v>62</v>
      </c>
      <c r="G44" s="65">
        <v>0</v>
      </c>
      <c r="H44" s="47">
        <f>IF(B$25=0,0,G44/B$25)</f>
        <v>0</v>
      </c>
      <c r="I44" s="118">
        <v>1</v>
      </c>
    </row>
    <row r="45" spans="5:9" x14ac:dyDescent="0.4">
      <c r="E45" s="82" t="s">
        <v>110</v>
      </c>
      <c r="F45" s="78" t="s">
        <v>117</v>
      </c>
      <c r="G45" s="65">
        <v>0</v>
      </c>
      <c r="H45" s="47">
        <f>IF(B$25=0,0,G45/B$25)</f>
        <v>0</v>
      </c>
      <c r="I45" s="118">
        <v>1</v>
      </c>
    </row>
    <row r="46" spans="5:9" x14ac:dyDescent="0.4">
      <c r="E46" s="82" t="s">
        <v>111</v>
      </c>
      <c r="F46" s="78" t="s">
        <v>118</v>
      </c>
      <c r="G46" s="65">
        <v>0</v>
      </c>
      <c r="H46" s="47">
        <f>IF(B$25=0,0,G46/B$25)</f>
        <v>0</v>
      </c>
      <c r="I46" s="118">
        <v>3</v>
      </c>
    </row>
    <row r="47" spans="5:9" x14ac:dyDescent="0.4">
      <c r="E47" s="82" t="s">
        <v>112</v>
      </c>
      <c r="F47" s="78" t="s">
        <v>119</v>
      </c>
      <c r="G47" s="65">
        <v>0</v>
      </c>
      <c r="H47" s="47">
        <f>IF(B$25=0,0,G47/B$25)</f>
        <v>0</v>
      </c>
      <c r="I47" s="118">
        <v>1</v>
      </c>
    </row>
    <row r="48" spans="5:9" x14ac:dyDescent="0.4">
      <c r="E48" s="82" t="s">
        <v>113</v>
      </c>
      <c r="F48" s="78" t="s">
        <v>63</v>
      </c>
      <c r="G48" s="65">
        <v>0</v>
      </c>
      <c r="H48" s="47">
        <f>IF(B$25=0,0,G48/B$25)</f>
        <v>0</v>
      </c>
      <c r="I48" s="118">
        <v>1</v>
      </c>
    </row>
    <row r="49" spans="5:9" x14ac:dyDescent="0.4">
      <c r="E49" s="82" t="s">
        <v>114</v>
      </c>
      <c r="F49" s="78" t="s">
        <v>64</v>
      </c>
      <c r="G49" s="65">
        <v>0</v>
      </c>
      <c r="H49" s="47">
        <f>IF(B$25=0,0,G49/B$25)</f>
        <v>0</v>
      </c>
      <c r="I49" s="118">
        <v>1</v>
      </c>
    </row>
    <row r="50" spans="5:9" x14ac:dyDescent="0.4">
      <c r="E50" s="82" t="s">
        <v>115</v>
      </c>
      <c r="F50" s="78" t="s">
        <v>65</v>
      </c>
      <c r="G50" s="65">
        <v>0</v>
      </c>
      <c r="H50" s="47">
        <f>IF(B$25=0,0,G50/B$25)</f>
        <v>0</v>
      </c>
      <c r="I50" s="118">
        <v>1</v>
      </c>
    </row>
    <row r="51" spans="5:9" x14ac:dyDescent="0.4">
      <c r="E51" s="83" t="s">
        <v>116</v>
      </c>
      <c r="F51" s="79" t="s">
        <v>66</v>
      </c>
      <c r="G51" s="67">
        <v>0</v>
      </c>
      <c r="H51" s="51">
        <f>IF(B$25=0,0,G51/B$25)</f>
        <v>0</v>
      </c>
      <c r="I51" s="119">
        <v>1</v>
      </c>
    </row>
  </sheetData>
  <sortState ref="N10:Q15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C7B9B-D762-4BDF-8BCF-A82A7E2A6008}">
  <sheetPr codeName="Sheet30"/>
  <dimension ref="A1:Q28"/>
  <sheetViews>
    <sheetView workbookViewId="0"/>
  </sheetViews>
  <sheetFormatPr defaultColWidth="10.75" defaultRowHeight="18.75" x14ac:dyDescent="0.4"/>
  <cols>
    <col min="1" max="1" width="10.75" style="88"/>
    <col min="2" max="3" width="10.75" style="85"/>
    <col min="4" max="4" width="10.75" style="90"/>
    <col min="5" max="7" width="10.75" style="86"/>
    <col min="8" max="9" width="10.75" style="87"/>
    <col min="10" max="17" width="10.75" style="86"/>
    <col min="18" max="16384" width="10.75" style="89"/>
  </cols>
  <sheetData>
    <row r="1" spans="1:17" x14ac:dyDescent="0.4">
      <c r="A1" s="89" t="s">
        <v>161</v>
      </c>
      <c r="B1" s="89" t="s">
        <v>161</v>
      </c>
      <c r="C1" s="89" t="s">
        <v>161</v>
      </c>
      <c r="D1" s="90" t="s">
        <v>161</v>
      </c>
      <c r="E1" s="89" t="s">
        <v>161</v>
      </c>
      <c r="F1" s="89" t="s">
        <v>161</v>
      </c>
      <c r="G1" s="89" t="s">
        <v>161</v>
      </c>
      <c r="H1" s="89" t="s">
        <v>161</v>
      </c>
      <c r="I1" s="89" t="s">
        <v>161</v>
      </c>
      <c r="J1" s="89" t="s">
        <v>161</v>
      </c>
      <c r="K1" s="89" t="s">
        <v>161</v>
      </c>
      <c r="L1" s="89" t="s">
        <v>161</v>
      </c>
      <c r="M1" s="89" t="s">
        <v>161</v>
      </c>
      <c r="N1" s="89" t="s">
        <v>161</v>
      </c>
      <c r="O1" s="89" t="s">
        <v>161</v>
      </c>
      <c r="P1" s="89" t="s">
        <v>161</v>
      </c>
      <c r="Q1" s="89" t="s">
        <v>161</v>
      </c>
    </row>
    <row r="2" spans="1:17" x14ac:dyDescent="0.4">
      <c r="A2" s="89" t="s">
        <v>9</v>
      </c>
      <c r="B2" s="89" t="s">
        <v>6</v>
      </c>
      <c r="C2" s="89" t="s">
        <v>7</v>
      </c>
      <c r="D2" s="90" t="s">
        <v>16</v>
      </c>
      <c r="E2" s="89" t="s">
        <v>15</v>
      </c>
      <c r="F2" s="89" t="s">
        <v>167</v>
      </c>
      <c r="G2" s="89" t="s">
        <v>166</v>
      </c>
      <c r="H2" s="89" t="s">
        <v>5</v>
      </c>
      <c r="I2" s="89" t="s">
        <v>17</v>
      </c>
      <c r="J2" s="89" t="s">
        <v>18</v>
      </c>
      <c r="K2" s="89" t="s">
        <v>159</v>
      </c>
      <c r="L2" s="89" t="s">
        <v>129</v>
      </c>
      <c r="M2" s="89" t="s">
        <v>124</v>
      </c>
      <c r="N2" s="89" t="s">
        <v>132</v>
      </c>
      <c r="O2" s="89" t="s">
        <v>168</v>
      </c>
      <c r="P2" s="89" t="s">
        <v>164</v>
      </c>
      <c r="Q2" s="89" t="s">
        <v>149</v>
      </c>
    </row>
    <row r="3" spans="1:17" x14ac:dyDescent="0.4">
      <c r="A3" s="88">
        <v>0</v>
      </c>
      <c r="B3" s="85">
        <v>0</v>
      </c>
    </row>
    <row r="4" spans="1:17" x14ac:dyDescent="0.4">
      <c r="A4" s="88">
        <v>1</v>
      </c>
      <c r="B4" s="85">
        <v>15</v>
      </c>
      <c r="C4" s="85">
        <v>15</v>
      </c>
      <c r="D4" s="90">
        <v>2</v>
      </c>
      <c r="E4" s="86">
        <v>0</v>
      </c>
      <c r="F4" s="86">
        <v>0.2857142857142857</v>
      </c>
      <c r="G4" s="86">
        <v>0</v>
      </c>
      <c r="H4" s="87">
        <v>13000</v>
      </c>
      <c r="I4" s="87">
        <v>0</v>
      </c>
      <c r="J4" s="86">
        <v>0</v>
      </c>
      <c r="K4" s="86">
        <v>0</v>
      </c>
      <c r="L4" s="86">
        <v>0</v>
      </c>
      <c r="M4" s="86">
        <v>0.8571428571428571</v>
      </c>
      <c r="N4" s="86">
        <v>0</v>
      </c>
      <c r="O4" s="86">
        <v>0.33333333333333331</v>
      </c>
      <c r="P4" s="86">
        <v>0</v>
      </c>
      <c r="Q4" s="86">
        <v>0.5</v>
      </c>
    </row>
    <row r="5" spans="1:17" x14ac:dyDescent="0.4">
      <c r="A5" s="88">
        <v>2</v>
      </c>
      <c r="B5" s="85">
        <v>-24.299999999999997</v>
      </c>
      <c r="C5" s="85">
        <v>-12.149999999999999</v>
      </c>
      <c r="D5" s="90">
        <v>2.5</v>
      </c>
      <c r="E5" s="86">
        <v>0</v>
      </c>
      <c r="F5" s="86">
        <v>0.14285714285714285</v>
      </c>
      <c r="G5" s="86">
        <v>0.21428571428571427</v>
      </c>
      <c r="H5" s="87">
        <v>13000</v>
      </c>
      <c r="I5" s="87">
        <v>-8000</v>
      </c>
      <c r="J5" s="86">
        <v>0.5</v>
      </c>
      <c r="K5" s="86">
        <v>0</v>
      </c>
      <c r="L5" s="86">
        <v>0</v>
      </c>
      <c r="M5" s="86">
        <v>0.5</v>
      </c>
      <c r="N5" s="86">
        <v>0</v>
      </c>
      <c r="O5" s="86">
        <v>0.2857142857142857</v>
      </c>
      <c r="P5" s="86">
        <v>0</v>
      </c>
      <c r="Q5" s="86">
        <v>0.33333333333333331</v>
      </c>
    </row>
    <row r="6" spans="1:17" x14ac:dyDescent="0.4">
      <c r="A6" s="88">
        <v>3</v>
      </c>
      <c r="B6" s="85">
        <v>-15.599999999999998</v>
      </c>
      <c r="C6" s="85">
        <v>-5.1999999999999993</v>
      </c>
      <c r="D6" s="90">
        <v>2.3333333333333335</v>
      </c>
      <c r="E6" s="86">
        <v>0</v>
      </c>
      <c r="F6" s="86">
        <v>0.25</v>
      </c>
      <c r="G6" s="86">
        <v>0.20833333333333334</v>
      </c>
      <c r="H6" s="87">
        <v>9650</v>
      </c>
      <c r="I6" s="87">
        <v>-7940</v>
      </c>
      <c r="J6" s="86">
        <v>0.33333333333333331</v>
      </c>
      <c r="K6" s="86">
        <v>0</v>
      </c>
      <c r="L6" s="86">
        <v>4.1666666666666664E-2</v>
      </c>
      <c r="M6" s="86">
        <v>0.54166666666666663</v>
      </c>
      <c r="N6" s="86">
        <v>0</v>
      </c>
      <c r="O6" s="86">
        <v>0.46153846153846156</v>
      </c>
      <c r="P6" s="86">
        <v>0</v>
      </c>
      <c r="Q6" s="86">
        <v>0.16666666666666666</v>
      </c>
    </row>
    <row r="7" spans="1:17" x14ac:dyDescent="0.4">
      <c r="A7" s="88">
        <v>4</v>
      </c>
      <c r="B7" s="85">
        <v>5.1000000000000014</v>
      </c>
      <c r="C7" s="85">
        <v>1.2750000000000004</v>
      </c>
      <c r="D7" s="90">
        <v>2.25</v>
      </c>
      <c r="E7" s="86">
        <v>0</v>
      </c>
      <c r="F7" s="86">
        <v>0.27586206896551724</v>
      </c>
      <c r="G7" s="86">
        <v>0.20689655172413793</v>
      </c>
      <c r="H7" s="87">
        <v>10237.5</v>
      </c>
      <c r="I7" s="87">
        <v>-7416.666666666667</v>
      </c>
      <c r="J7" s="86">
        <v>0.25</v>
      </c>
      <c r="K7" s="86">
        <v>0</v>
      </c>
      <c r="L7" s="86">
        <v>6.8965517241379309E-2</v>
      </c>
      <c r="M7" s="86">
        <v>0.51724137931034486</v>
      </c>
      <c r="N7" s="86">
        <v>0.5</v>
      </c>
      <c r="O7" s="86">
        <v>0.46666666666666667</v>
      </c>
      <c r="P7" s="86">
        <v>0</v>
      </c>
      <c r="Q7" s="86">
        <v>0.16666666666666666</v>
      </c>
    </row>
    <row r="8" spans="1:17" x14ac:dyDescent="0.4">
      <c r="A8" s="88">
        <v>5</v>
      </c>
      <c r="B8" s="85">
        <v>9.6000000000000014</v>
      </c>
      <c r="C8" s="85">
        <v>1.9200000000000004</v>
      </c>
      <c r="D8" s="90">
        <v>2.2000000000000002</v>
      </c>
      <c r="E8" s="86">
        <v>0</v>
      </c>
      <c r="F8" s="86">
        <v>0.27272727272727271</v>
      </c>
      <c r="G8" s="86">
        <v>0.18181818181818182</v>
      </c>
      <c r="H8" s="87">
        <v>9988.8888888888887</v>
      </c>
      <c r="I8" s="87">
        <v>-7416.666666666667</v>
      </c>
      <c r="J8" s="86">
        <v>0.2</v>
      </c>
      <c r="K8" s="86">
        <v>0</v>
      </c>
      <c r="L8" s="86">
        <v>6.0606060606060608E-2</v>
      </c>
      <c r="M8" s="86">
        <v>0.48484848484848486</v>
      </c>
      <c r="N8" s="86">
        <v>0.5</v>
      </c>
      <c r="O8" s="86">
        <v>0.5</v>
      </c>
      <c r="P8" s="86">
        <v>0</v>
      </c>
      <c r="Q8" s="86">
        <v>0.14285714285714285</v>
      </c>
    </row>
    <row r="9" spans="1:17" x14ac:dyDescent="0.4">
      <c r="A9" s="88">
        <v>6</v>
      </c>
      <c r="B9" s="85">
        <v>2.2000000000000011</v>
      </c>
      <c r="C9" s="85">
        <v>0.36666666666666686</v>
      </c>
      <c r="D9" s="90">
        <v>2.3333333333333335</v>
      </c>
      <c r="E9" s="86">
        <v>0</v>
      </c>
      <c r="F9" s="86">
        <v>0.20930232558139536</v>
      </c>
      <c r="G9" s="86">
        <v>0.16279069767441862</v>
      </c>
      <c r="H9" s="87">
        <v>9988.8888888888887</v>
      </c>
      <c r="I9" s="87">
        <v>-6914.2857142857147</v>
      </c>
      <c r="J9" s="86">
        <v>0.16666666666666666</v>
      </c>
      <c r="K9" s="86">
        <v>0</v>
      </c>
      <c r="L9" s="86">
        <v>6.9767441860465115E-2</v>
      </c>
      <c r="M9" s="86">
        <v>0.48837209302325579</v>
      </c>
      <c r="N9" s="86">
        <v>0.33333333333333331</v>
      </c>
      <c r="O9" s="86">
        <v>0.38095238095238093</v>
      </c>
      <c r="P9" s="86">
        <v>0</v>
      </c>
      <c r="Q9" s="86">
        <v>0.1</v>
      </c>
    </row>
    <row r="10" spans="1:17" x14ac:dyDescent="0.4">
      <c r="A10" s="88">
        <v>7</v>
      </c>
      <c r="B10" s="85">
        <v>27.200000000000003</v>
      </c>
      <c r="C10" s="85">
        <v>3.8857142857142861</v>
      </c>
      <c r="D10" s="90">
        <v>2.1428571428571428</v>
      </c>
      <c r="E10" s="86">
        <v>0.14285714285714285</v>
      </c>
      <c r="F10" s="86">
        <v>0.22916666666666666</v>
      </c>
      <c r="G10" s="86">
        <v>0.14583333333333334</v>
      </c>
      <c r="H10" s="87">
        <v>10354.545454545454</v>
      </c>
      <c r="I10" s="87">
        <v>-6914.2857142857147</v>
      </c>
      <c r="J10" s="86">
        <v>0.14285714285714285</v>
      </c>
      <c r="K10" s="86">
        <v>0.14285714285714285</v>
      </c>
      <c r="L10" s="86">
        <v>6.25E-2</v>
      </c>
      <c r="M10" s="86">
        <v>0.47916666666666669</v>
      </c>
      <c r="N10" s="86">
        <v>0.33333333333333331</v>
      </c>
      <c r="O10" s="86">
        <v>0.43478260869565216</v>
      </c>
      <c r="P10" s="86">
        <v>9.0909090909090912E-2</v>
      </c>
      <c r="Q10" s="86">
        <v>0.18181818181818182</v>
      </c>
    </row>
    <row r="11" spans="1:17" x14ac:dyDescent="0.4">
      <c r="A11" s="88">
        <v>8</v>
      </c>
      <c r="B11" s="85">
        <v>-4.4999999999999964</v>
      </c>
      <c r="C11" s="85">
        <v>-0.56249999999999956</v>
      </c>
      <c r="D11" s="90">
        <v>2.25</v>
      </c>
      <c r="E11" s="86">
        <v>0.125</v>
      </c>
      <c r="F11" s="86">
        <v>0.21052631578947367</v>
      </c>
      <c r="G11" s="86">
        <v>0.17543859649122806</v>
      </c>
      <c r="H11" s="87">
        <v>10158.333333333334</v>
      </c>
      <c r="I11" s="87">
        <v>-6560</v>
      </c>
      <c r="J11" s="86">
        <v>0.125</v>
      </c>
      <c r="K11" s="86">
        <v>0.125</v>
      </c>
      <c r="L11" s="86">
        <v>7.0175438596491224E-2</v>
      </c>
      <c r="M11" s="86">
        <v>0.43859649122807015</v>
      </c>
      <c r="N11" s="86">
        <v>0.25</v>
      </c>
      <c r="O11" s="86">
        <v>0.4</v>
      </c>
      <c r="P11" s="86">
        <v>8.3333333333333329E-2</v>
      </c>
      <c r="Q11" s="86">
        <v>0.15384615384615385</v>
      </c>
    </row>
    <row r="12" spans="1:17" x14ac:dyDescent="0.4">
      <c r="A12" s="88">
        <v>9</v>
      </c>
      <c r="B12" s="85">
        <v>-9.3999999999999968</v>
      </c>
      <c r="C12" s="85">
        <v>-1.0444444444444441</v>
      </c>
      <c r="D12" s="90">
        <v>2.2222222222222223</v>
      </c>
      <c r="E12" s="86">
        <v>0.1111111111111111</v>
      </c>
      <c r="F12" s="86">
        <v>0.22727272727272727</v>
      </c>
      <c r="G12" s="86">
        <v>0.16666666666666666</v>
      </c>
      <c r="H12" s="87">
        <v>9073.3333333333339</v>
      </c>
      <c r="I12" s="87">
        <v>-6200</v>
      </c>
      <c r="J12" s="86">
        <v>0.1111111111111111</v>
      </c>
      <c r="K12" s="86">
        <v>0.1111111111111111</v>
      </c>
      <c r="L12" s="86">
        <v>7.575757575757576E-2</v>
      </c>
      <c r="M12" s="86">
        <v>0.46969696969696972</v>
      </c>
      <c r="N12" s="86">
        <v>0.4</v>
      </c>
      <c r="O12" s="86">
        <v>0.38709677419354838</v>
      </c>
      <c r="P12" s="86">
        <v>6.6666666666666666E-2</v>
      </c>
      <c r="Q12" s="86">
        <v>0.1875</v>
      </c>
    </row>
    <row r="13" spans="1:17" x14ac:dyDescent="0.4">
      <c r="A13" s="88">
        <v>10</v>
      </c>
      <c r="B13" s="85">
        <v>-24.299999999999997</v>
      </c>
      <c r="C13" s="85">
        <v>-2.4299999999999997</v>
      </c>
      <c r="D13" s="90">
        <v>2.2999999999999998</v>
      </c>
      <c r="E13" s="86">
        <v>0.1</v>
      </c>
      <c r="F13" s="86">
        <v>0.23076923076923078</v>
      </c>
      <c r="G13" s="86">
        <v>0.15384615384615385</v>
      </c>
      <c r="H13" s="87">
        <v>8566.6666666666661</v>
      </c>
      <c r="I13" s="87">
        <v>-6350</v>
      </c>
      <c r="J13" s="86">
        <v>0.1</v>
      </c>
      <c r="K13" s="86">
        <v>0.1</v>
      </c>
      <c r="L13" s="86">
        <v>0.10256410256410256</v>
      </c>
      <c r="M13" s="86">
        <v>0.47435897435897434</v>
      </c>
      <c r="N13" s="86">
        <v>0.5</v>
      </c>
      <c r="O13" s="86">
        <v>0.32432432432432434</v>
      </c>
      <c r="P13" s="86">
        <v>0.16666666666666666</v>
      </c>
      <c r="Q13" s="86">
        <v>0.15</v>
      </c>
    </row>
    <row r="14" spans="1:17" x14ac:dyDescent="0.4">
      <c r="A14" s="88">
        <v>11</v>
      </c>
      <c r="B14" s="85">
        <v>-70</v>
      </c>
      <c r="C14" s="85">
        <v>-6.3636363636363633</v>
      </c>
      <c r="D14" s="90">
        <v>2.3636363636363638</v>
      </c>
      <c r="E14" s="86">
        <v>9.0909090909090912E-2</v>
      </c>
      <c r="F14" s="86">
        <v>0.21176470588235294</v>
      </c>
      <c r="G14" s="86">
        <v>0.17647058823529413</v>
      </c>
      <c r="H14" s="87">
        <v>8566.6666666666661</v>
      </c>
      <c r="I14" s="87">
        <v>-7726.666666666667</v>
      </c>
      <c r="J14" s="86">
        <v>0.18181818181818182</v>
      </c>
      <c r="K14" s="86">
        <v>9.0909090909090912E-2</v>
      </c>
      <c r="L14" s="86">
        <v>9.4117647058823528E-2</v>
      </c>
      <c r="M14" s="86">
        <v>0.47058823529411764</v>
      </c>
      <c r="N14" s="86">
        <v>0.5</v>
      </c>
      <c r="O14" s="86">
        <v>0.3</v>
      </c>
      <c r="P14" s="86">
        <v>0.16666666666666666</v>
      </c>
      <c r="Q14" s="86">
        <v>0.13636363636363635</v>
      </c>
    </row>
    <row r="15" spans="1:17" x14ac:dyDescent="0.4">
      <c r="A15" s="88">
        <v>12</v>
      </c>
      <c r="B15" s="85">
        <v>-43.8</v>
      </c>
      <c r="C15" s="85">
        <v>-3.65</v>
      </c>
      <c r="D15" s="90">
        <v>2.25</v>
      </c>
      <c r="E15" s="86">
        <v>0.16666666666666666</v>
      </c>
      <c r="F15" s="86">
        <v>0.23404255319148937</v>
      </c>
      <c r="G15" s="86">
        <v>0.15957446808510639</v>
      </c>
      <c r="H15" s="87">
        <v>8427.2727272727279</v>
      </c>
      <c r="I15" s="87">
        <v>-7726.666666666667</v>
      </c>
      <c r="J15" s="86">
        <v>0.16666666666666666</v>
      </c>
      <c r="K15" s="86">
        <v>8.3333333333333329E-2</v>
      </c>
      <c r="L15" s="86">
        <v>0.11702127659574468</v>
      </c>
      <c r="M15" s="86">
        <v>0.43617021276595747</v>
      </c>
      <c r="N15" s="86">
        <v>0.54545454545454541</v>
      </c>
      <c r="O15" s="86">
        <v>0.31707317073170732</v>
      </c>
      <c r="P15" s="86">
        <v>0.18181818181818182</v>
      </c>
      <c r="Q15" s="86">
        <v>0.15384615384615385</v>
      </c>
    </row>
    <row r="16" spans="1:17" x14ac:dyDescent="0.4">
      <c r="A16" s="88">
        <v>13</v>
      </c>
      <c r="B16" s="85">
        <v>-11.099999999999994</v>
      </c>
      <c r="C16" s="85">
        <v>-0.85384615384615337</v>
      </c>
      <c r="D16" s="90">
        <v>2.1538461538461537</v>
      </c>
      <c r="E16" s="86">
        <v>0.23076923076923078</v>
      </c>
      <c r="F16" s="86">
        <v>0.25714285714285712</v>
      </c>
      <c r="G16" s="86">
        <v>0.16190476190476191</v>
      </c>
      <c r="H16" s="87">
        <v>9088.8888888888887</v>
      </c>
      <c r="I16" s="87">
        <v>-7364.7058823529414</v>
      </c>
      <c r="J16" s="86">
        <v>0.15384615384615385</v>
      </c>
      <c r="K16" s="86">
        <v>0.15384615384615385</v>
      </c>
      <c r="L16" s="86">
        <v>0.16190476190476191</v>
      </c>
      <c r="M16" s="86">
        <v>0.40952380952380951</v>
      </c>
      <c r="N16" s="86">
        <v>0.58823529411764708</v>
      </c>
      <c r="O16" s="86">
        <v>0.32558139534883723</v>
      </c>
      <c r="P16" s="86">
        <v>0.22222222222222221</v>
      </c>
      <c r="Q16" s="86">
        <v>0.22580645161290322</v>
      </c>
    </row>
    <row r="17" spans="1:17" x14ac:dyDescent="0.4">
      <c r="A17" s="88">
        <v>14</v>
      </c>
      <c r="B17" s="85">
        <v>-5.7999999999999945</v>
      </c>
      <c r="C17" s="85">
        <v>-0.41428571428571387</v>
      </c>
      <c r="D17" s="90">
        <v>2.0714285714285716</v>
      </c>
      <c r="E17" s="86">
        <v>0.2857142857142857</v>
      </c>
      <c r="F17" s="86">
        <v>0.25438596491228072</v>
      </c>
      <c r="G17" s="86">
        <v>0.16666666666666666</v>
      </c>
      <c r="H17" s="87">
        <v>9703.4482758620688</v>
      </c>
      <c r="I17" s="87">
        <v>-7494.7368421052633</v>
      </c>
      <c r="J17" s="86">
        <v>0.14285714285714285</v>
      </c>
      <c r="K17" s="86">
        <v>0.14285714285714285</v>
      </c>
      <c r="L17" s="86">
        <v>0.17543859649122806</v>
      </c>
      <c r="M17" s="86">
        <v>0.41228070175438597</v>
      </c>
      <c r="N17" s="86">
        <v>0.6</v>
      </c>
      <c r="O17" s="86">
        <v>0.2978723404255319</v>
      </c>
      <c r="P17" s="86">
        <v>0.2413793103448276</v>
      </c>
      <c r="Q17" s="86">
        <v>0.25714285714285712</v>
      </c>
    </row>
    <row r="18" spans="1:17" x14ac:dyDescent="0.4">
      <c r="A18" s="88">
        <v>15</v>
      </c>
      <c r="B18" s="85">
        <v>-44.199999999999996</v>
      </c>
      <c r="C18" s="85">
        <v>-2.9466666666666663</v>
      </c>
      <c r="D18" s="90">
        <v>2.1333333333333333</v>
      </c>
      <c r="E18" s="86">
        <v>0.26666666666666666</v>
      </c>
      <c r="F18" s="86">
        <v>0.24576271186440679</v>
      </c>
      <c r="G18" s="86">
        <v>0.17796610169491525</v>
      </c>
      <c r="H18" s="87">
        <v>9703.4482758620688</v>
      </c>
      <c r="I18" s="87">
        <v>-8109.5238095238092</v>
      </c>
      <c r="J18" s="86">
        <v>0.2</v>
      </c>
      <c r="K18" s="86">
        <v>0.13333333333333333</v>
      </c>
      <c r="L18" s="86">
        <v>0.1864406779661017</v>
      </c>
      <c r="M18" s="86">
        <v>0.39830508474576271</v>
      </c>
      <c r="N18" s="86">
        <v>0.54545454545454541</v>
      </c>
      <c r="O18" s="86">
        <v>0.2978723404255319</v>
      </c>
      <c r="P18" s="86">
        <v>0.2413793103448276</v>
      </c>
      <c r="Q18" s="86">
        <v>0.25714285714285712</v>
      </c>
    </row>
    <row r="19" spans="1:17" x14ac:dyDescent="0.4">
      <c r="A19" s="88">
        <v>16</v>
      </c>
      <c r="B19" s="85">
        <v>-25.599999999999994</v>
      </c>
      <c r="C19" s="85">
        <v>-1.5999999999999996</v>
      </c>
      <c r="D19" s="90">
        <v>2.0625</v>
      </c>
      <c r="E19" s="86">
        <v>0.3125</v>
      </c>
      <c r="F19" s="86">
        <v>0.26400000000000001</v>
      </c>
      <c r="G19" s="86">
        <v>0.192</v>
      </c>
      <c r="H19" s="87">
        <v>10090.90909090909</v>
      </c>
      <c r="I19" s="87">
        <v>-8429.1666666666661</v>
      </c>
      <c r="J19" s="86">
        <v>0.1875</v>
      </c>
      <c r="K19" s="86">
        <v>0.125</v>
      </c>
      <c r="L19" s="86">
        <v>0.2</v>
      </c>
      <c r="M19" s="86">
        <v>0.39200000000000002</v>
      </c>
      <c r="N19" s="86">
        <v>0.56000000000000005</v>
      </c>
      <c r="O19" s="86">
        <v>0.30612244897959184</v>
      </c>
      <c r="P19" s="86">
        <v>0.24242424242424243</v>
      </c>
      <c r="Q19" s="86">
        <v>0.27027027027027029</v>
      </c>
    </row>
    <row r="20" spans="1:17" x14ac:dyDescent="0.4">
      <c r="A20" s="88">
        <v>17</v>
      </c>
      <c r="B20" s="85">
        <v>-39.799999999999997</v>
      </c>
      <c r="C20" s="85">
        <v>-2.341176470588235</v>
      </c>
      <c r="D20" s="90">
        <v>2.1176470588235294</v>
      </c>
      <c r="E20" s="86">
        <v>0.29411764705882354</v>
      </c>
      <c r="F20" s="86">
        <v>0.26119402985074625</v>
      </c>
      <c r="G20" s="86">
        <v>0.17910447761194029</v>
      </c>
      <c r="H20" s="87">
        <v>10022.857142857143</v>
      </c>
      <c r="I20" s="87">
        <v>-8429.1666666666661</v>
      </c>
      <c r="J20" s="86">
        <v>0.17647058823529413</v>
      </c>
      <c r="K20" s="86">
        <v>0.11764705882352941</v>
      </c>
      <c r="L20" s="86">
        <v>0.19402985074626866</v>
      </c>
      <c r="M20" s="86">
        <v>0.38059701492537312</v>
      </c>
      <c r="N20" s="86">
        <v>0.53846153846153844</v>
      </c>
      <c r="O20" s="86">
        <v>0.33333333333333331</v>
      </c>
      <c r="P20" s="86">
        <v>0.25714285714285712</v>
      </c>
      <c r="Q20" s="86">
        <v>0.27500000000000002</v>
      </c>
    </row>
    <row r="21" spans="1:17" x14ac:dyDescent="0.4">
      <c r="A21" s="88">
        <v>18</v>
      </c>
      <c r="B21" s="85">
        <v>-60.4</v>
      </c>
      <c r="C21" s="85">
        <v>-3.3555555555555556</v>
      </c>
      <c r="D21" s="90">
        <v>2.1666666666666665</v>
      </c>
      <c r="E21" s="86">
        <v>0.27777777777777779</v>
      </c>
      <c r="F21" s="86">
        <v>0.25874125874125875</v>
      </c>
      <c r="G21" s="86">
        <v>0.16783216783216784</v>
      </c>
      <c r="H21" s="87">
        <v>9729.72972972973</v>
      </c>
      <c r="I21" s="87">
        <v>-8429.1666666666661</v>
      </c>
      <c r="J21" s="86">
        <v>0.16666666666666666</v>
      </c>
      <c r="K21" s="86">
        <v>0.1111111111111111</v>
      </c>
      <c r="L21" s="86">
        <v>0.18181818181818182</v>
      </c>
      <c r="M21" s="86">
        <v>0.3776223776223776</v>
      </c>
      <c r="N21" s="86">
        <v>0.53846153846153844</v>
      </c>
      <c r="O21" s="86">
        <v>0.33333333333333331</v>
      </c>
      <c r="P21" s="86">
        <v>0.29729729729729731</v>
      </c>
      <c r="Q21" s="86">
        <v>0.26190476190476192</v>
      </c>
    </row>
    <row r="22" spans="1:17" x14ac:dyDescent="0.4">
      <c r="A22" s="88">
        <v>19</v>
      </c>
      <c r="B22" s="85">
        <v>-60</v>
      </c>
      <c r="C22" s="85">
        <v>-3.1578947368421053</v>
      </c>
      <c r="D22" s="90">
        <v>2.1578947368421053</v>
      </c>
      <c r="E22" s="86">
        <v>0.26315789473684209</v>
      </c>
      <c r="F22" s="86">
        <v>0.26490066225165565</v>
      </c>
      <c r="G22" s="86">
        <v>0.17218543046357615</v>
      </c>
      <c r="H22" s="87">
        <v>9597.5</v>
      </c>
      <c r="I22" s="87">
        <v>-8165.3846153846152</v>
      </c>
      <c r="J22" s="86">
        <v>0.15789473684210525</v>
      </c>
      <c r="K22" s="86">
        <v>0.10526315789473684</v>
      </c>
      <c r="L22" s="86">
        <v>0.17880794701986755</v>
      </c>
      <c r="M22" s="86">
        <v>0.38410596026490068</v>
      </c>
      <c r="N22" s="86">
        <v>0.51851851851851849</v>
      </c>
      <c r="O22" s="86">
        <v>0.36206896551724138</v>
      </c>
      <c r="P22" s="86">
        <v>0.27500000000000002</v>
      </c>
      <c r="Q22" s="86">
        <v>0.26666666666666666</v>
      </c>
    </row>
    <row r="23" spans="1:17" x14ac:dyDescent="0.4">
      <c r="A23" s="88">
        <v>20</v>
      </c>
      <c r="B23" s="85">
        <v>-88.2</v>
      </c>
      <c r="C23" s="85">
        <v>-4.41</v>
      </c>
      <c r="D23" s="90">
        <v>2.2000000000000002</v>
      </c>
      <c r="E23" s="86">
        <v>0.25</v>
      </c>
      <c r="F23" s="86">
        <v>0.25308641975308643</v>
      </c>
      <c r="G23" s="86">
        <v>0.1728395061728395</v>
      </c>
      <c r="H23" s="87">
        <v>9509.7560975609758</v>
      </c>
      <c r="I23" s="87">
        <v>-7839.2857142857147</v>
      </c>
      <c r="J23" s="86">
        <v>0.15</v>
      </c>
      <c r="K23" s="86">
        <v>0.1</v>
      </c>
      <c r="L23" s="86">
        <v>0.16666666666666666</v>
      </c>
      <c r="M23" s="86">
        <v>0.3888888888888889</v>
      </c>
      <c r="N23" s="86">
        <v>0.51851851851851849</v>
      </c>
      <c r="O23" s="86">
        <v>0.33333333333333331</v>
      </c>
      <c r="P23" s="86">
        <v>0.29268292682926828</v>
      </c>
      <c r="Q23" s="86">
        <v>0.27083333333333331</v>
      </c>
    </row>
    <row r="24" spans="1:17" x14ac:dyDescent="0.4">
      <c r="A24" s="88">
        <v>21</v>
      </c>
      <c r="B24" s="85">
        <v>-125.80000000000001</v>
      </c>
      <c r="C24" s="85">
        <v>-5.9904761904761914</v>
      </c>
      <c r="D24" s="90">
        <v>2.2380952380952381</v>
      </c>
      <c r="E24" s="86">
        <v>0.23809523809523808</v>
      </c>
      <c r="F24" s="86">
        <v>0.24260355029585798</v>
      </c>
      <c r="G24" s="86">
        <v>0.17751479289940827</v>
      </c>
      <c r="H24" s="87">
        <v>9509.7560975609758</v>
      </c>
      <c r="I24" s="87">
        <v>-7703.333333333333</v>
      </c>
      <c r="J24" s="86">
        <v>0.19047619047619047</v>
      </c>
      <c r="K24" s="86">
        <v>9.5238095238095233E-2</v>
      </c>
      <c r="L24" s="86">
        <v>0.15976331360946747</v>
      </c>
      <c r="M24" s="86">
        <v>0.38461538461538464</v>
      </c>
      <c r="N24" s="86">
        <v>0.51851851851851849</v>
      </c>
      <c r="O24" s="86">
        <v>0.32307692307692309</v>
      </c>
      <c r="P24" s="86">
        <v>0.29268292682926828</v>
      </c>
      <c r="Q24" s="86">
        <v>0.26</v>
      </c>
    </row>
    <row r="25" spans="1:17" x14ac:dyDescent="0.4">
      <c r="A25" s="88">
        <v>22</v>
      </c>
      <c r="B25" s="85">
        <v>-149.30000000000001</v>
      </c>
      <c r="C25" s="85">
        <v>-6.786363636363637</v>
      </c>
      <c r="D25" s="90">
        <v>2.2727272727272729</v>
      </c>
      <c r="E25" s="86">
        <v>0.22727272727272727</v>
      </c>
      <c r="F25" s="86">
        <v>0.23728813559322035</v>
      </c>
      <c r="G25" s="86">
        <v>0.1751412429378531</v>
      </c>
      <c r="H25" s="87">
        <v>9473.8095238095229</v>
      </c>
      <c r="I25" s="87">
        <v>-7712.9032258064517</v>
      </c>
      <c r="J25" s="86">
        <v>0.18181818181818182</v>
      </c>
      <c r="K25" s="86">
        <v>9.0909090909090912E-2</v>
      </c>
      <c r="L25" s="86">
        <v>0.15819209039548024</v>
      </c>
      <c r="M25" s="86">
        <v>0.38983050847457629</v>
      </c>
      <c r="N25" s="86">
        <v>0.5</v>
      </c>
      <c r="O25" s="86">
        <v>0.3188405797101449</v>
      </c>
      <c r="P25" s="86">
        <v>0.2857142857142857</v>
      </c>
      <c r="Q25" s="86">
        <v>0.24528301886792453</v>
      </c>
    </row>
    <row r="26" spans="1:17" x14ac:dyDescent="0.4">
      <c r="A26" s="88">
        <v>23</v>
      </c>
      <c r="B26" s="85">
        <v>-150.30000000000001</v>
      </c>
      <c r="C26" s="85">
        <v>-6.5347826086956529</v>
      </c>
      <c r="D26" s="90">
        <v>2.2608695652173911</v>
      </c>
      <c r="E26" s="86">
        <v>0.21739130434782608</v>
      </c>
      <c r="F26" s="86">
        <v>0.23243243243243245</v>
      </c>
      <c r="G26" s="86">
        <v>0.16756756756756758</v>
      </c>
      <c r="H26" s="87">
        <v>9532.5581395348836</v>
      </c>
      <c r="I26" s="87">
        <v>-7712.9032258064517</v>
      </c>
      <c r="J26" s="86">
        <v>0.17391304347826086</v>
      </c>
      <c r="K26" s="86">
        <v>8.6956521739130432E-2</v>
      </c>
      <c r="L26" s="86">
        <v>0.15135135135135136</v>
      </c>
      <c r="M26" s="86">
        <v>0.38918918918918921</v>
      </c>
      <c r="N26" s="86">
        <v>0.5</v>
      </c>
      <c r="O26" s="86">
        <v>0.31944444444444442</v>
      </c>
      <c r="P26" s="86">
        <v>0.27906976744186046</v>
      </c>
      <c r="Q26" s="86">
        <v>0.23636363636363636</v>
      </c>
    </row>
    <row r="27" spans="1:17" x14ac:dyDescent="0.4">
      <c r="A27" s="88">
        <v>24</v>
      </c>
      <c r="B27" s="85">
        <v>-196.10000000000002</v>
      </c>
      <c r="C27" s="85">
        <v>-8.1708333333333343</v>
      </c>
      <c r="D27" s="90">
        <v>2.2916666666666665</v>
      </c>
      <c r="E27" s="86">
        <v>0.20833333333333334</v>
      </c>
      <c r="F27" s="86">
        <v>0.23036649214659685</v>
      </c>
      <c r="G27" s="86">
        <v>0.16753926701570682</v>
      </c>
      <c r="H27" s="87">
        <v>9343.181818181818</v>
      </c>
      <c r="I27" s="87">
        <v>-8221.875</v>
      </c>
      <c r="J27" s="86">
        <v>0.20833333333333334</v>
      </c>
      <c r="K27" s="86">
        <v>8.3333333333333329E-2</v>
      </c>
      <c r="L27" s="86">
        <v>0.15183246073298429</v>
      </c>
      <c r="M27" s="86">
        <v>0.39267015706806285</v>
      </c>
      <c r="N27" s="86">
        <v>0.48275862068965519</v>
      </c>
      <c r="O27" s="86">
        <v>0.32</v>
      </c>
      <c r="P27" s="86">
        <v>0.29545454545454547</v>
      </c>
      <c r="Q27" s="86">
        <v>0.23214285714285715</v>
      </c>
    </row>
    <row r="28" spans="1:17" x14ac:dyDescent="0.4">
      <c r="A28" s="88">
        <v>25</v>
      </c>
      <c r="B28" s="85">
        <v>-240.00000000000003</v>
      </c>
      <c r="C28" s="85">
        <v>-9.6000000000000014</v>
      </c>
      <c r="D28" s="90">
        <v>2.3199999999999998</v>
      </c>
      <c r="E28" s="86">
        <v>0.2</v>
      </c>
      <c r="F28" s="86">
        <v>0.22448979591836735</v>
      </c>
      <c r="G28" s="86">
        <v>0.17346938775510204</v>
      </c>
      <c r="H28" s="87">
        <v>9343.181818181818</v>
      </c>
      <c r="I28" s="87">
        <v>-8441.176470588236</v>
      </c>
      <c r="J28" s="86">
        <v>0.24</v>
      </c>
      <c r="K28" s="86">
        <v>0.08</v>
      </c>
      <c r="L28" s="86">
        <v>0.15306122448979592</v>
      </c>
      <c r="M28" s="86">
        <v>0.38775510204081631</v>
      </c>
      <c r="N28" s="86">
        <v>0.46666666666666667</v>
      </c>
      <c r="O28" s="86">
        <v>0.31578947368421051</v>
      </c>
      <c r="P28" s="86">
        <v>0.29545454545454547</v>
      </c>
      <c r="Q28" s="86">
        <v>0.22807017543859648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0CD41-5184-4346-9D1B-06E2144D12BF}">
  <sheetPr codeName="Sheet28"/>
  <dimension ref="A1:Q9"/>
  <sheetViews>
    <sheetView workbookViewId="0"/>
  </sheetViews>
  <sheetFormatPr defaultColWidth="10.75" defaultRowHeight="18.75" x14ac:dyDescent="0.4"/>
  <cols>
    <col min="1" max="1" width="10.75" style="88"/>
    <col min="2" max="3" width="10.75" style="85"/>
    <col min="4" max="4" width="10.75" style="90"/>
    <col min="5" max="7" width="10.75" style="86"/>
    <col min="8" max="9" width="10.75" style="87"/>
    <col min="10" max="17" width="10.75" style="86"/>
    <col min="18" max="16384" width="10.75" style="89"/>
  </cols>
  <sheetData>
    <row r="1" spans="1:17" x14ac:dyDescent="0.4">
      <c r="A1" s="89" t="s">
        <v>198</v>
      </c>
      <c r="B1" s="89" t="s">
        <v>198</v>
      </c>
      <c r="C1" s="89" t="s">
        <v>198</v>
      </c>
      <c r="D1" s="90" t="s">
        <v>198</v>
      </c>
      <c r="E1" s="89" t="s">
        <v>198</v>
      </c>
      <c r="F1" s="89" t="s">
        <v>198</v>
      </c>
      <c r="G1" s="89" t="s">
        <v>198</v>
      </c>
      <c r="H1" s="89" t="s">
        <v>198</v>
      </c>
      <c r="I1" s="89" t="s">
        <v>198</v>
      </c>
      <c r="J1" s="89" t="s">
        <v>198</v>
      </c>
      <c r="K1" s="89" t="s">
        <v>198</v>
      </c>
      <c r="L1" s="89" t="s">
        <v>198</v>
      </c>
      <c r="M1" s="89" t="s">
        <v>198</v>
      </c>
      <c r="N1" s="89" t="s">
        <v>198</v>
      </c>
      <c r="O1" s="89" t="s">
        <v>198</v>
      </c>
      <c r="P1" s="89" t="s">
        <v>198</v>
      </c>
      <c r="Q1" s="89" t="s">
        <v>198</v>
      </c>
    </row>
    <row r="2" spans="1:17" x14ac:dyDescent="0.4">
      <c r="A2" s="89" t="s">
        <v>9</v>
      </c>
      <c r="B2" s="89" t="s">
        <v>6</v>
      </c>
      <c r="C2" s="89" t="s">
        <v>7</v>
      </c>
      <c r="D2" s="90" t="s">
        <v>16</v>
      </c>
      <c r="E2" s="89" t="s">
        <v>15</v>
      </c>
      <c r="F2" s="89" t="s">
        <v>167</v>
      </c>
      <c r="G2" s="89" t="s">
        <v>166</v>
      </c>
      <c r="H2" s="89" t="s">
        <v>5</v>
      </c>
      <c r="I2" s="89" t="s">
        <v>17</v>
      </c>
      <c r="J2" s="89" t="s">
        <v>18</v>
      </c>
      <c r="K2" s="89" t="s">
        <v>159</v>
      </c>
      <c r="L2" s="89" t="s">
        <v>129</v>
      </c>
      <c r="M2" s="89" t="s">
        <v>124</v>
      </c>
      <c r="N2" s="89" t="s">
        <v>132</v>
      </c>
      <c r="O2" s="89" t="s">
        <v>168</v>
      </c>
      <c r="P2" s="89" t="s">
        <v>164</v>
      </c>
      <c r="Q2" s="89" t="s">
        <v>149</v>
      </c>
    </row>
    <row r="3" spans="1:17" x14ac:dyDescent="0.4">
      <c r="A3" s="88">
        <v>0</v>
      </c>
      <c r="B3" s="85">
        <v>0</v>
      </c>
    </row>
    <row r="4" spans="1:17" x14ac:dyDescent="0.4">
      <c r="A4" s="88">
        <v>1</v>
      </c>
      <c r="B4" s="85">
        <v>28.3</v>
      </c>
      <c r="C4" s="85">
        <v>28.3</v>
      </c>
      <c r="D4" s="90">
        <v>1</v>
      </c>
      <c r="E4" s="86">
        <v>1</v>
      </c>
      <c r="F4" s="86">
        <v>0.54545454545454541</v>
      </c>
      <c r="G4" s="86">
        <v>9.0909090909090912E-2</v>
      </c>
      <c r="H4" s="87">
        <v>7133.333333333333</v>
      </c>
      <c r="I4" s="87">
        <v>-8000</v>
      </c>
      <c r="J4" s="86">
        <v>0</v>
      </c>
      <c r="K4" s="86">
        <v>0</v>
      </c>
      <c r="L4" s="86">
        <v>0.45454545454545453</v>
      </c>
      <c r="M4" s="86">
        <v>0.18181818181818182</v>
      </c>
      <c r="N4" s="86">
        <v>0.8</v>
      </c>
      <c r="O4" s="86">
        <v>0.5</v>
      </c>
      <c r="P4" s="86">
        <v>0.16666666666666666</v>
      </c>
      <c r="Q4" s="86">
        <v>0.66666666666666663</v>
      </c>
    </row>
    <row r="5" spans="1:17" x14ac:dyDescent="0.4">
      <c r="A5" s="88">
        <v>2</v>
      </c>
      <c r="B5" s="85">
        <v>71.3</v>
      </c>
      <c r="C5" s="85">
        <v>35.65</v>
      </c>
      <c r="D5" s="90">
        <v>1</v>
      </c>
      <c r="E5" s="86">
        <v>1</v>
      </c>
      <c r="F5" s="86">
        <v>0.5714285714285714</v>
      </c>
      <c r="G5" s="86">
        <v>7.1428571428571425E-2</v>
      </c>
      <c r="H5" s="87">
        <v>10850</v>
      </c>
      <c r="I5" s="87">
        <v>-8000</v>
      </c>
      <c r="J5" s="86">
        <v>0</v>
      </c>
      <c r="K5" s="86">
        <v>0.5</v>
      </c>
      <c r="L5" s="86">
        <v>0.5714285714285714</v>
      </c>
      <c r="M5" s="86">
        <v>0.14285714285714285</v>
      </c>
      <c r="N5" s="86">
        <v>0.75</v>
      </c>
      <c r="O5" s="86">
        <v>0.5</v>
      </c>
      <c r="P5" s="86">
        <v>0.125</v>
      </c>
      <c r="Q5" s="86">
        <v>0.7142857142857143</v>
      </c>
    </row>
    <row r="6" spans="1:17" x14ac:dyDescent="0.4">
      <c r="A6" s="88">
        <v>3</v>
      </c>
      <c r="B6" s="85">
        <v>57.3</v>
      </c>
      <c r="C6" s="85">
        <v>19.099999999999998</v>
      </c>
      <c r="D6" s="90">
        <v>1.6666666666666667</v>
      </c>
      <c r="E6" s="86">
        <v>0.66666666666666663</v>
      </c>
      <c r="F6" s="86">
        <v>0.40740740740740738</v>
      </c>
      <c r="G6" s="86">
        <v>7.407407407407407E-2</v>
      </c>
      <c r="H6" s="87">
        <v>10181.818181818182</v>
      </c>
      <c r="I6" s="87">
        <v>-6600</v>
      </c>
      <c r="J6" s="86">
        <v>0</v>
      </c>
      <c r="K6" s="86">
        <v>0.33333333333333331</v>
      </c>
      <c r="L6" s="86">
        <v>0.48148148148148145</v>
      </c>
      <c r="M6" s="86">
        <v>0.14814814814814814</v>
      </c>
      <c r="N6" s="86">
        <v>0.69230769230769229</v>
      </c>
      <c r="O6" s="86">
        <v>0.25</v>
      </c>
      <c r="P6" s="86">
        <v>0.18181818181818182</v>
      </c>
      <c r="Q6" s="86">
        <v>0.54545454545454541</v>
      </c>
    </row>
    <row r="7" spans="1:17" x14ac:dyDescent="0.4">
      <c r="A7" s="88">
        <v>4</v>
      </c>
      <c r="B7" s="85">
        <v>64.5</v>
      </c>
      <c r="C7" s="85">
        <v>16.125</v>
      </c>
      <c r="D7" s="90">
        <v>1.75</v>
      </c>
      <c r="E7" s="86">
        <v>0.5</v>
      </c>
      <c r="F7" s="86">
        <v>0.40540540540540543</v>
      </c>
      <c r="G7" s="86">
        <v>5.4054054054054057E-2</v>
      </c>
      <c r="H7" s="87">
        <v>9013.3333333333339</v>
      </c>
      <c r="I7" s="87">
        <v>-6600</v>
      </c>
      <c r="J7" s="86">
        <v>0</v>
      </c>
      <c r="K7" s="86">
        <v>0.25</v>
      </c>
      <c r="L7" s="86">
        <v>0.43243243243243246</v>
      </c>
      <c r="M7" s="86">
        <v>0.13513513513513514</v>
      </c>
      <c r="N7" s="86">
        <v>0.6875</v>
      </c>
      <c r="O7" s="86">
        <v>0.4</v>
      </c>
      <c r="P7" s="86">
        <v>0.26666666666666666</v>
      </c>
      <c r="Q7" s="86">
        <v>0.46153846153846156</v>
      </c>
    </row>
    <row r="8" spans="1:17" x14ac:dyDescent="0.4">
      <c r="A8" s="88">
        <v>5</v>
      </c>
      <c r="B8" s="85">
        <v>89</v>
      </c>
      <c r="C8" s="85">
        <v>17.8</v>
      </c>
      <c r="D8" s="90">
        <v>1.6</v>
      </c>
      <c r="E8" s="86">
        <v>0.6</v>
      </c>
      <c r="F8" s="86">
        <v>0.39130434782608697</v>
      </c>
      <c r="G8" s="86">
        <v>6.5217391304347824E-2</v>
      </c>
      <c r="H8" s="87">
        <v>9227.7777777777774</v>
      </c>
      <c r="I8" s="87">
        <v>-5366.666666666667</v>
      </c>
      <c r="J8" s="86">
        <v>0</v>
      </c>
      <c r="K8" s="86">
        <v>0.2</v>
      </c>
      <c r="L8" s="86">
        <v>0.43478260869565216</v>
      </c>
      <c r="M8" s="86">
        <v>0.13043478260869565</v>
      </c>
      <c r="N8" s="86">
        <v>0.6</v>
      </c>
      <c r="O8" s="86">
        <v>0.5</v>
      </c>
      <c r="P8" s="86">
        <v>0.27777777777777779</v>
      </c>
      <c r="Q8" s="86">
        <v>0.46666666666666667</v>
      </c>
    </row>
    <row r="9" spans="1:17" x14ac:dyDescent="0.4">
      <c r="A9" s="88">
        <v>6</v>
      </c>
      <c r="B9" s="85">
        <v>47</v>
      </c>
      <c r="C9" s="85">
        <v>7.833333333333333</v>
      </c>
      <c r="D9" s="90">
        <v>1.8333333333333333</v>
      </c>
      <c r="E9" s="86">
        <v>0.5</v>
      </c>
      <c r="F9" s="86">
        <v>0.38</v>
      </c>
      <c r="G9" s="86">
        <v>0.08</v>
      </c>
      <c r="H9" s="87">
        <v>9163.1578947368416</v>
      </c>
      <c r="I9" s="87">
        <v>-10025</v>
      </c>
      <c r="J9" s="86">
        <v>0.16666666666666666</v>
      </c>
      <c r="K9" s="86">
        <v>0.16666666666666666</v>
      </c>
      <c r="L9" s="86">
        <v>0.42</v>
      </c>
      <c r="M9" s="86">
        <v>0.12</v>
      </c>
      <c r="N9" s="86">
        <v>0.61904761904761907</v>
      </c>
      <c r="O9" s="86">
        <v>0.5</v>
      </c>
      <c r="P9" s="86">
        <v>0.31578947368421051</v>
      </c>
      <c r="Q9" s="86">
        <v>0.4375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8CA32-0FC0-4FE8-9799-3BE9816A8855}">
  <sheetPr codeName="Sheet26"/>
  <dimension ref="A1:Q89"/>
  <sheetViews>
    <sheetView workbookViewId="0"/>
  </sheetViews>
  <sheetFormatPr defaultColWidth="10.75" defaultRowHeight="18.75" x14ac:dyDescent="0.4"/>
  <cols>
    <col min="1" max="1" width="10.75" style="88"/>
    <col min="2" max="3" width="10.75" style="85"/>
    <col min="4" max="4" width="10.75" style="90"/>
    <col min="5" max="7" width="10.75" style="86"/>
    <col min="8" max="9" width="10.75" style="87"/>
    <col min="10" max="17" width="10.75" style="86"/>
    <col min="18" max="16384" width="10.75" style="89"/>
  </cols>
  <sheetData>
    <row r="1" spans="1:17" x14ac:dyDescent="0.4">
      <c r="A1" s="89" t="s">
        <v>139</v>
      </c>
      <c r="B1" s="89" t="s">
        <v>139</v>
      </c>
      <c r="C1" s="89" t="s">
        <v>139</v>
      </c>
      <c r="D1" s="90" t="s">
        <v>139</v>
      </c>
      <c r="E1" s="89" t="s">
        <v>139</v>
      </c>
      <c r="F1" s="89" t="s">
        <v>139</v>
      </c>
      <c r="G1" s="89" t="s">
        <v>139</v>
      </c>
      <c r="H1" s="89" t="s">
        <v>139</v>
      </c>
      <c r="I1" s="89" t="s">
        <v>139</v>
      </c>
      <c r="J1" s="89" t="s">
        <v>139</v>
      </c>
      <c r="K1" s="89" t="s">
        <v>139</v>
      </c>
      <c r="L1" s="89" t="s">
        <v>139</v>
      </c>
      <c r="M1" s="89" t="s">
        <v>139</v>
      </c>
      <c r="N1" s="89" t="s">
        <v>139</v>
      </c>
      <c r="O1" s="89" t="s">
        <v>139</v>
      </c>
      <c r="P1" s="89" t="s">
        <v>139</v>
      </c>
      <c r="Q1" s="89" t="s">
        <v>139</v>
      </c>
    </row>
    <row r="2" spans="1:17" x14ac:dyDescent="0.4">
      <c r="A2" s="89" t="s">
        <v>9</v>
      </c>
      <c r="B2" s="89" t="s">
        <v>6</v>
      </c>
      <c r="C2" s="89" t="s">
        <v>7</v>
      </c>
      <c r="D2" s="90" t="s">
        <v>16</v>
      </c>
      <c r="E2" s="89" t="s">
        <v>15</v>
      </c>
      <c r="F2" s="89" t="s">
        <v>167</v>
      </c>
      <c r="G2" s="89" t="s">
        <v>166</v>
      </c>
      <c r="H2" s="89" t="s">
        <v>5</v>
      </c>
      <c r="I2" s="89" t="s">
        <v>17</v>
      </c>
      <c r="J2" s="89" t="s">
        <v>18</v>
      </c>
      <c r="K2" s="89" t="s">
        <v>159</v>
      </c>
      <c r="L2" s="89" t="s">
        <v>129</v>
      </c>
      <c r="M2" s="89" t="s">
        <v>124</v>
      </c>
      <c r="N2" s="89" t="s">
        <v>132</v>
      </c>
      <c r="O2" s="89" t="s">
        <v>168</v>
      </c>
      <c r="P2" s="89" t="s">
        <v>164</v>
      </c>
      <c r="Q2" s="89" t="s">
        <v>149</v>
      </c>
    </row>
    <row r="3" spans="1:17" x14ac:dyDescent="0.4">
      <c r="A3" s="88">
        <v>0</v>
      </c>
      <c r="B3" s="85">
        <v>0</v>
      </c>
    </row>
    <row r="4" spans="1:17" x14ac:dyDescent="0.4">
      <c r="A4" s="88">
        <v>1</v>
      </c>
      <c r="B4" s="85">
        <v>3.9</v>
      </c>
      <c r="C4" s="85">
        <v>3.9</v>
      </c>
      <c r="D4" s="90">
        <v>2</v>
      </c>
      <c r="E4" s="86">
        <v>0</v>
      </c>
      <c r="F4" s="86">
        <v>0.41666666666666669</v>
      </c>
      <c r="G4" s="86">
        <v>0.16666666666666666</v>
      </c>
      <c r="H4" s="87">
        <v>8600</v>
      </c>
      <c r="I4" s="87">
        <v>-18000</v>
      </c>
      <c r="J4" s="86">
        <v>0</v>
      </c>
      <c r="K4" s="86">
        <v>0</v>
      </c>
      <c r="P4" s="86">
        <v>0.4</v>
      </c>
      <c r="Q4" s="86">
        <v>0.5</v>
      </c>
    </row>
    <row r="5" spans="1:17" x14ac:dyDescent="0.4">
      <c r="A5" s="88">
        <v>2</v>
      </c>
      <c r="B5" s="85">
        <v>-33.9</v>
      </c>
      <c r="C5" s="85">
        <v>-16.95</v>
      </c>
      <c r="D5" s="90">
        <v>2.5</v>
      </c>
      <c r="E5" s="86">
        <v>0</v>
      </c>
      <c r="F5" s="86">
        <v>0.2857142857142857</v>
      </c>
      <c r="G5" s="86">
        <v>0.19047619047619047</v>
      </c>
      <c r="H5" s="87">
        <v>8233.3333333333339</v>
      </c>
      <c r="I5" s="87">
        <v>-13300</v>
      </c>
      <c r="J5" s="86">
        <v>0.5</v>
      </c>
      <c r="K5" s="86">
        <v>0</v>
      </c>
      <c r="P5" s="86">
        <v>0.5</v>
      </c>
      <c r="Q5" s="86">
        <v>0.33333333333333331</v>
      </c>
    </row>
    <row r="6" spans="1:17" x14ac:dyDescent="0.4">
      <c r="A6" s="88">
        <v>3</v>
      </c>
      <c r="B6" s="85">
        <v>-70.099999999999994</v>
      </c>
      <c r="C6" s="85">
        <v>-23.366666666666664</v>
      </c>
      <c r="D6" s="90">
        <v>2.6666666666666665</v>
      </c>
      <c r="E6" s="86">
        <v>0</v>
      </c>
      <c r="F6" s="86">
        <v>0.2413793103448276</v>
      </c>
      <c r="G6" s="86">
        <v>0.2413793103448276</v>
      </c>
      <c r="H6" s="87">
        <v>8200</v>
      </c>
      <c r="I6" s="87">
        <v>-12985.714285714286</v>
      </c>
      <c r="J6" s="86">
        <v>0.66666666666666663</v>
      </c>
      <c r="K6" s="86">
        <v>0</v>
      </c>
      <c r="P6" s="86">
        <v>0.42857142857142855</v>
      </c>
      <c r="Q6" s="86">
        <v>0.25</v>
      </c>
    </row>
    <row r="7" spans="1:17" x14ac:dyDescent="0.4">
      <c r="A7" s="88">
        <v>4</v>
      </c>
      <c r="B7" s="85">
        <v>-35.099999999999994</v>
      </c>
      <c r="C7" s="85">
        <v>-8.7749999999999986</v>
      </c>
      <c r="D7" s="90">
        <v>2.25</v>
      </c>
      <c r="E7" s="86">
        <v>0.25</v>
      </c>
      <c r="F7" s="86">
        <v>0.27027027027027029</v>
      </c>
      <c r="G7" s="86">
        <v>0.1891891891891892</v>
      </c>
      <c r="H7" s="87">
        <v>10540</v>
      </c>
      <c r="I7" s="87">
        <v>-12985.714285714286</v>
      </c>
      <c r="J7" s="86">
        <v>0.5</v>
      </c>
      <c r="K7" s="86">
        <v>0</v>
      </c>
      <c r="P7" s="86">
        <v>0.5</v>
      </c>
      <c r="Q7" s="86">
        <v>0.3</v>
      </c>
    </row>
    <row r="8" spans="1:17" x14ac:dyDescent="0.4">
      <c r="A8" s="88">
        <v>5</v>
      </c>
      <c r="B8" s="85">
        <v>-80.099999999999994</v>
      </c>
      <c r="C8" s="85">
        <v>-16.02</v>
      </c>
      <c r="D8" s="90">
        <v>2.4</v>
      </c>
      <c r="E8" s="86">
        <v>0.2</v>
      </c>
      <c r="F8" s="86">
        <v>0.27027027027027029</v>
      </c>
      <c r="G8" s="86">
        <v>0.1891891891891892</v>
      </c>
      <c r="H8" s="87">
        <v>10540</v>
      </c>
      <c r="I8" s="87">
        <v>-12985.714285714286</v>
      </c>
      <c r="J8" s="86">
        <v>0.6</v>
      </c>
      <c r="K8" s="86">
        <v>0</v>
      </c>
      <c r="P8" s="86">
        <v>0.5</v>
      </c>
      <c r="Q8" s="86">
        <v>0.3</v>
      </c>
    </row>
    <row r="9" spans="1:17" x14ac:dyDescent="0.4">
      <c r="A9" s="88">
        <v>6</v>
      </c>
      <c r="B9" s="85">
        <v>-116.1</v>
      </c>
      <c r="C9" s="85">
        <v>-19.349999999999998</v>
      </c>
      <c r="D9" s="90">
        <v>2.5</v>
      </c>
      <c r="E9" s="86">
        <v>0.16666666666666666</v>
      </c>
      <c r="F9" s="86">
        <v>0.27027027027027029</v>
      </c>
      <c r="G9" s="86">
        <v>0.1891891891891892</v>
      </c>
      <c r="H9" s="87">
        <v>10540</v>
      </c>
      <c r="I9" s="87">
        <v>-12985.714285714286</v>
      </c>
      <c r="J9" s="86">
        <v>0.66666666666666663</v>
      </c>
      <c r="K9" s="86">
        <v>0</v>
      </c>
      <c r="P9" s="86">
        <v>0.5</v>
      </c>
      <c r="Q9" s="86">
        <v>0.3</v>
      </c>
    </row>
    <row r="10" spans="1:17" x14ac:dyDescent="0.4">
      <c r="A10" s="88">
        <v>7</v>
      </c>
      <c r="B10" s="85">
        <v>-147.4</v>
      </c>
      <c r="C10" s="85">
        <v>-21.057142857142857</v>
      </c>
      <c r="D10" s="90">
        <v>2.5714285714285716</v>
      </c>
      <c r="E10" s="86">
        <v>0.14285714285714285</v>
      </c>
      <c r="F10" s="86">
        <v>0.27027027027027029</v>
      </c>
      <c r="G10" s="86">
        <v>0.1891891891891892</v>
      </c>
      <c r="H10" s="87">
        <v>10540</v>
      </c>
      <c r="I10" s="87">
        <v>-12985.714285714286</v>
      </c>
      <c r="J10" s="86">
        <v>0.5714285714285714</v>
      </c>
      <c r="K10" s="86">
        <v>0</v>
      </c>
      <c r="P10" s="86">
        <v>0.5</v>
      </c>
      <c r="Q10" s="86">
        <v>0.3</v>
      </c>
    </row>
    <row r="11" spans="1:17" x14ac:dyDescent="0.4">
      <c r="A11" s="88">
        <v>8</v>
      </c>
      <c r="B11" s="85">
        <v>-146</v>
      </c>
      <c r="C11" s="85">
        <v>-18.25</v>
      </c>
      <c r="D11" s="90">
        <v>2.5</v>
      </c>
      <c r="E11" s="86">
        <v>0.125</v>
      </c>
      <c r="F11" s="86">
        <v>0.27272727272727271</v>
      </c>
      <c r="G11" s="86">
        <v>0.20454545454545456</v>
      </c>
      <c r="H11" s="87">
        <v>10283.333333333334</v>
      </c>
      <c r="I11" s="87">
        <v>-11000</v>
      </c>
      <c r="J11" s="86">
        <v>0.5</v>
      </c>
      <c r="K11" s="86">
        <v>0</v>
      </c>
      <c r="L11" s="86">
        <v>0.42857142857142855</v>
      </c>
      <c r="M11" s="86">
        <v>0.14285714285714285</v>
      </c>
      <c r="N11" s="86">
        <v>0.33333333333333331</v>
      </c>
      <c r="O11" s="86">
        <v>0</v>
      </c>
      <c r="P11" s="86">
        <v>0.5</v>
      </c>
      <c r="Q11" s="86">
        <v>0.27272727272727271</v>
      </c>
    </row>
    <row r="12" spans="1:17" x14ac:dyDescent="0.4">
      <c r="A12" s="88">
        <v>9</v>
      </c>
      <c r="B12" s="85">
        <v>-173</v>
      </c>
      <c r="C12" s="85">
        <v>-19.222222222222221</v>
      </c>
      <c r="D12" s="90">
        <v>2.5555555555555554</v>
      </c>
      <c r="E12" s="86">
        <v>0.1111111111111111</v>
      </c>
      <c r="F12" s="86">
        <v>0.28846153846153844</v>
      </c>
      <c r="G12" s="86">
        <v>0.19230769230769232</v>
      </c>
      <c r="H12" s="87">
        <v>9813.3333333333339</v>
      </c>
      <c r="I12" s="87">
        <v>-13100</v>
      </c>
      <c r="J12" s="86">
        <v>0.44444444444444442</v>
      </c>
      <c r="K12" s="86">
        <v>0</v>
      </c>
      <c r="L12" s="86">
        <v>0.33333333333333331</v>
      </c>
      <c r="M12" s="86">
        <v>0.13333333333333333</v>
      </c>
      <c r="N12" s="86">
        <v>0.6</v>
      </c>
      <c r="O12" s="86">
        <v>0.5</v>
      </c>
      <c r="P12" s="86">
        <v>0.53333333333333333</v>
      </c>
      <c r="Q12" s="86">
        <v>0.33333333333333331</v>
      </c>
    </row>
    <row r="13" spans="1:17" x14ac:dyDescent="0.4">
      <c r="A13" s="88">
        <v>10</v>
      </c>
      <c r="B13" s="85">
        <v>-206.1</v>
      </c>
      <c r="C13" s="85">
        <v>-20.61</v>
      </c>
      <c r="D13" s="90">
        <v>2.6</v>
      </c>
      <c r="E13" s="86">
        <v>0.1</v>
      </c>
      <c r="F13" s="86">
        <v>0.25</v>
      </c>
      <c r="G13" s="86">
        <v>0.21666666666666667</v>
      </c>
      <c r="H13" s="87">
        <v>9813.3333333333339</v>
      </c>
      <c r="I13" s="87">
        <v>-12000</v>
      </c>
      <c r="J13" s="86">
        <v>0.4</v>
      </c>
      <c r="K13" s="86">
        <v>0</v>
      </c>
      <c r="L13" s="86">
        <v>0.2608695652173913</v>
      </c>
      <c r="M13" s="86">
        <v>0.21739130434782608</v>
      </c>
      <c r="N13" s="86">
        <v>0.5</v>
      </c>
      <c r="O13" s="86">
        <v>0.2</v>
      </c>
      <c r="P13" s="86">
        <v>0.53333333333333333</v>
      </c>
      <c r="Q13" s="86">
        <v>0.29411764705882354</v>
      </c>
    </row>
    <row r="14" spans="1:17" x14ac:dyDescent="0.4">
      <c r="A14" s="88">
        <v>11</v>
      </c>
      <c r="B14" s="85">
        <v>-174</v>
      </c>
      <c r="C14" s="85">
        <v>-15.818181818181818</v>
      </c>
      <c r="D14" s="90">
        <v>2.4545454545454546</v>
      </c>
      <c r="E14" s="86">
        <v>0.18181818181818182</v>
      </c>
      <c r="F14" s="86">
        <v>0.25</v>
      </c>
      <c r="G14" s="86">
        <v>0.22058823529411764</v>
      </c>
      <c r="H14" s="87">
        <v>11600</v>
      </c>
      <c r="I14" s="87">
        <v>-10960</v>
      </c>
      <c r="J14" s="86">
        <v>0.36363636363636365</v>
      </c>
      <c r="K14" s="86">
        <v>0</v>
      </c>
      <c r="L14" s="86">
        <v>0.25806451612903225</v>
      </c>
      <c r="M14" s="86">
        <v>0.22580645161290322</v>
      </c>
      <c r="N14" s="86">
        <v>0.5</v>
      </c>
      <c r="O14" s="86">
        <v>0.14285714285714285</v>
      </c>
      <c r="P14" s="86">
        <v>0.58823529411764708</v>
      </c>
      <c r="Q14" s="86">
        <v>0.31578947368421051</v>
      </c>
    </row>
    <row r="15" spans="1:17" x14ac:dyDescent="0.4">
      <c r="A15" s="88">
        <v>12</v>
      </c>
      <c r="B15" s="85">
        <v>-197</v>
      </c>
      <c r="C15" s="85">
        <v>-16.416666666666668</v>
      </c>
      <c r="D15" s="90">
        <v>2.5</v>
      </c>
      <c r="E15" s="86">
        <v>0.16666666666666666</v>
      </c>
      <c r="F15" s="86">
        <v>0.22500000000000001</v>
      </c>
      <c r="G15" s="86">
        <v>0.2</v>
      </c>
      <c r="H15" s="87">
        <v>11955.555555555555</v>
      </c>
      <c r="I15" s="87">
        <v>-11025</v>
      </c>
      <c r="J15" s="86">
        <v>0.33333333333333331</v>
      </c>
      <c r="K15" s="86">
        <v>0</v>
      </c>
      <c r="L15" s="86">
        <v>0.27906976744186046</v>
      </c>
      <c r="M15" s="86">
        <v>0.20930232558139536</v>
      </c>
      <c r="N15" s="86">
        <v>0.41666666666666669</v>
      </c>
      <c r="O15" s="86">
        <v>0.1111111111111111</v>
      </c>
      <c r="P15" s="86">
        <v>0.61111111111111116</v>
      </c>
      <c r="Q15" s="86">
        <v>0.31818181818181818</v>
      </c>
    </row>
    <row r="16" spans="1:17" x14ac:dyDescent="0.4">
      <c r="A16" s="88">
        <v>13</v>
      </c>
      <c r="B16" s="85">
        <v>-235</v>
      </c>
      <c r="C16" s="85">
        <v>-18.076923076923077</v>
      </c>
      <c r="D16" s="90">
        <v>2.5384615384615383</v>
      </c>
      <c r="E16" s="86">
        <v>0.15384615384615385</v>
      </c>
      <c r="F16" s="86">
        <v>0.22580645161290322</v>
      </c>
      <c r="G16" s="86">
        <v>0.21505376344086022</v>
      </c>
      <c r="H16" s="87">
        <v>10671.428571428571</v>
      </c>
      <c r="I16" s="87">
        <v>-10800</v>
      </c>
      <c r="J16" s="86">
        <v>0.38461538461538464</v>
      </c>
      <c r="K16" s="86">
        <v>0</v>
      </c>
      <c r="L16" s="86">
        <v>0.2857142857142857</v>
      </c>
      <c r="M16" s="86">
        <v>0.19642857142857142</v>
      </c>
      <c r="N16" s="86">
        <v>0.375</v>
      </c>
      <c r="O16" s="86">
        <v>0.18181818181818182</v>
      </c>
      <c r="P16" s="86">
        <v>0.5714285714285714</v>
      </c>
      <c r="Q16" s="86">
        <v>0.36</v>
      </c>
    </row>
    <row r="17" spans="1:17" x14ac:dyDescent="0.4">
      <c r="A17" s="88">
        <v>14</v>
      </c>
      <c r="B17" s="85">
        <v>-231</v>
      </c>
      <c r="C17" s="85">
        <v>-16.5</v>
      </c>
      <c r="D17" s="90">
        <v>2.5</v>
      </c>
      <c r="E17" s="86">
        <v>0.14285714285714285</v>
      </c>
      <c r="F17" s="86">
        <v>0.22448979591836735</v>
      </c>
      <c r="G17" s="86">
        <v>0.21428571428571427</v>
      </c>
      <c r="H17" s="87">
        <v>11004.545454545454</v>
      </c>
      <c r="I17" s="87">
        <v>-10857.142857142857</v>
      </c>
      <c r="J17" s="86">
        <v>0.35714285714285715</v>
      </c>
      <c r="K17" s="86">
        <v>0</v>
      </c>
      <c r="L17" s="86">
        <v>0.27868852459016391</v>
      </c>
      <c r="M17" s="86">
        <v>0.21311475409836064</v>
      </c>
      <c r="N17" s="86">
        <v>0.41176470588235292</v>
      </c>
      <c r="O17" s="86">
        <v>0.15384615384615385</v>
      </c>
      <c r="P17" s="86">
        <v>0.59090909090909094</v>
      </c>
      <c r="Q17" s="86">
        <v>0.35714285714285715</v>
      </c>
    </row>
    <row r="18" spans="1:17" x14ac:dyDescent="0.4">
      <c r="A18" s="88">
        <v>15</v>
      </c>
      <c r="B18" s="85">
        <v>-212.5</v>
      </c>
      <c r="C18" s="85">
        <v>-14.166666666666666</v>
      </c>
      <c r="D18" s="90">
        <v>2.4666666666666668</v>
      </c>
      <c r="E18" s="86">
        <v>0.13333333333333333</v>
      </c>
      <c r="F18" s="86">
        <v>0.23584905660377359</v>
      </c>
      <c r="G18" s="86">
        <v>0.21698113207547171</v>
      </c>
      <c r="H18" s="87">
        <v>11284</v>
      </c>
      <c r="I18" s="87">
        <v>-10573.91304347826</v>
      </c>
      <c r="J18" s="86">
        <v>0.33333333333333331</v>
      </c>
      <c r="K18" s="86">
        <v>0</v>
      </c>
      <c r="L18" s="86">
        <v>0.28985507246376813</v>
      </c>
      <c r="M18" s="86">
        <v>0.21739130434782608</v>
      </c>
      <c r="N18" s="86">
        <v>0.5</v>
      </c>
      <c r="O18" s="86">
        <v>0.13333333333333333</v>
      </c>
      <c r="P18" s="86">
        <v>0.6</v>
      </c>
      <c r="Q18" s="86">
        <v>0.34482758620689657</v>
      </c>
    </row>
    <row r="19" spans="1:17" x14ac:dyDescent="0.4">
      <c r="A19" s="88">
        <v>16</v>
      </c>
      <c r="B19" s="85">
        <v>-233.2</v>
      </c>
      <c r="C19" s="85">
        <v>-14.574999999999999</v>
      </c>
      <c r="D19" s="90">
        <v>2.5</v>
      </c>
      <c r="E19" s="86">
        <v>0.125</v>
      </c>
      <c r="F19" s="86">
        <v>0.22807017543859648</v>
      </c>
      <c r="G19" s="86">
        <v>0.21929824561403508</v>
      </c>
      <c r="H19" s="87">
        <v>11157.692307692309</v>
      </c>
      <c r="I19" s="87">
        <v>-10256</v>
      </c>
      <c r="J19" s="86">
        <v>0.3125</v>
      </c>
      <c r="K19" s="86">
        <v>0</v>
      </c>
      <c r="L19" s="86">
        <v>0.27272727272727271</v>
      </c>
      <c r="M19" s="86">
        <v>0.20779220779220781</v>
      </c>
      <c r="N19" s="86">
        <v>0.52380952380952384</v>
      </c>
      <c r="O19" s="86">
        <v>0.125</v>
      </c>
      <c r="P19" s="86">
        <v>0.57692307692307687</v>
      </c>
      <c r="Q19" s="86">
        <v>0.3125</v>
      </c>
    </row>
    <row r="20" spans="1:17" x14ac:dyDescent="0.4">
      <c r="A20" s="88">
        <v>17</v>
      </c>
      <c r="B20" s="85">
        <v>-268.7</v>
      </c>
      <c r="C20" s="85">
        <v>-15.805882352941175</v>
      </c>
      <c r="D20" s="90">
        <v>2.5294117647058822</v>
      </c>
      <c r="E20" s="86">
        <v>0.11764705882352941</v>
      </c>
      <c r="F20" s="86">
        <v>0.22689075630252101</v>
      </c>
      <c r="G20" s="86">
        <v>0.21008403361344538</v>
      </c>
      <c r="H20" s="87">
        <v>11188.888888888889</v>
      </c>
      <c r="I20" s="87">
        <v>-10256</v>
      </c>
      <c r="J20" s="86">
        <v>0.35294117647058826</v>
      </c>
      <c r="K20" s="86">
        <v>0</v>
      </c>
      <c r="L20" s="86">
        <v>0.25609756097560976</v>
      </c>
      <c r="M20" s="86">
        <v>0.21951219512195122</v>
      </c>
      <c r="N20" s="86">
        <v>0.52380952380952384</v>
      </c>
      <c r="O20" s="86">
        <v>0.1111111111111111</v>
      </c>
      <c r="P20" s="86">
        <v>0.59259259259259256</v>
      </c>
      <c r="Q20" s="86">
        <v>0.31428571428571428</v>
      </c>
    </row>
    <row r="21" spans="1:17" x14ac:dyDescent="0.4">
      <c r="A21" s="88">
        <v>18</v>
      </c>
      <c r="B21" s="85">
        <v>-295.8</v>
      </c>
      <c r="C21" s="85">
        <v>-16.433333333333334</v>
      </c>
      <c r="D21" s="90">
        <v>2.5555555555555554</v>
      </c>
      <c r="E21" s="86">
        <v>0.1111111111111111</v>
      </c>
      <c r="F21" s="86">
        <v>0.21804511278195488</v>
      </c>
      <c r="G21" s="86">
        <v>0.20300751879699247</v>
      </c>
      <c r="H21" s="87">
        <v>11013.793103448275</v>
      </c>
      <c r="I21" s="87">
        <v>-10066.666666666666</v>
      </c>
      <c r="J21" s="86">
        <v>0.33333333333333331</v>
      </c>
      <c r="K21" s="86">
        <v>0</v>
      </c>
      <c r="L21" s="86">
        <v>0.23958333333333334</v>
      </c>
      <c r="M21" s="86">
        <v>0.21875</v>
      </c>
      <c r="N21" s="86">
        <v>0.52173913043478259</v>
      </c>
      <c r="O21" s="86">
        <v>0.14285714285714285</v>
      </c>
      <c r="P21" s="86">
        <v>0.58620689655172409</v>
      </c>
      <c r="Q21" s="86">
        <v>0.31578947368421051</v>
      </c>
    </row>
    <row r="22" spans="1:17" x14ac:dyDescent="0.4">
      <c r="A22" s="88">
        <v>19</v>
      </c>
      <c r="B22" s="85">
        <v>-273.2</v>
      </c>
      <c r="C22" s="85">
        <v>-14.378947368421052</v>
      </c>
      <c r="D22" s="90">
        <v>2.4736842105263159</v>
      </c>
      <c r="E22" s="86">
        <v>0.15789473684210525</v>
      </c>
      <c r="F22" s="86">
        <v>0.23404255319148937</v>
      </c>
      <c r="G22" s="86">
        <v>0.19858156028368795</v>
      </c>
      <c r="H22" s="87">
        <v>10466.666666666666</v>
      </c>
      <c r="I22" s="87">
        <v>-9846.4285714285706</v>
      </c>
      <c r="J22" s="86">
        <v>0.31578947368421051</v>
      </c>
      <c r="K22" s="86">
        <v>0</v>
      </c>
      <c r="L22" s="86">
        <v>0.24038461538461539</v>
      </c>
      <c r="M22" s="86">
        <v>0.22115384615384615</v>
      </c>
      <c r="N22" s="86">
        <v>0.56000000000000005</v>
      </c>
      <c r="O22" s="86">
        <v>0.21739130434782608</v>
      </c>
      <c r="P22" s="86">
        <v>0.5757575757575758</v>
      </c>
      <c r="Q22" s="86">
        <v>0.3</v>
      </c>
    </row>
    <row r="23" spans="1:17" x14ac:dyDescent="0.4">
      <c r="A23" s="88">
        <v>20</v>
      </c>
      <c r="B23" s="85">
        <v>-270</v>
      </c>
      <c r="C23" s="85">
        <v>-13.5</v>
      </c>
      <c r="D23" s="90">
        <v>2.4500000000000002</v>
      </c>
      <c r="E23" s="86">
        <v>0.15</v>
      </c>
      <c r="F23" s="86">
        <v>0.24183006535947713</v>
      </c>
      <c r="G23" s="86">
        <v>0.20261437908496732</v>
      </c>
      <c r="H23" s="87">
        <v>10740.54054054054</v>
      </c>
      <c r="I23" s="87">
        <v>-10506.451612903225</v>
      </c>
      <c r="J23" s="86">
        <v>0.3</v>
      </c>
      <c r="K23" s="86">
        <v>0</v>
      </c>
      <c r="L23" s="86">
        <v>0.22413793103448276</v>
      </c>
      <c r="M23" s="86">
        <v>0.23275862068965517</v>
      </c>
      <c r="N23" s="86">
        <v>0.53846153846153844</v>
      </c>
      <c r="O23" s="86">
        <v>0.29629629629629628</v>
      </c>
      <c r="P23" s="86">
        <v>0.56756756756756754</v>
      </c>
      <c r="Q23" s="86">
        <v>0.2857142857142857</v>
      </c>
    </row>
    <row r="24" spans="1:17" x14ac:dyDescent="0.4">
      <c r="A24" s="88">
        <v>21</v>
      </c>
      <c r="B24" s="85">
        <v>-242</v>
      </c>
      <c r="C24" s="85">
        <v>-11.523809523809524</v>
      </c>
      <c r="D24" s="90">
        <v>2.3809523809523809</v>
      </c>
      <c r="E24" s="86">
        <v>0.19047619047619047</v>
      </c>
      <c r="F24" s="86">
        <v>0.25</v>
      </c>
      <c r="G24" s="86">
        <v>0.2</v>
      </c>
      <c r="H24" s="87">
        <v>10885</v>
      </c>
      <c r="I24" s="87">
        <v>-10428.125</v>
      </c>
      <c r="J24" s="86">
        <v>0.2857142857142857</v>
      </c>
      <c r="K24" s="86">
        <v>4.7619047619047616E-2</v>
      </c>
      <c r="L24" s="86">
        <v>0.22764227642276422</v>
      </c>
      <c r="M24" s="86">
        <v>0.22764227642276422</v>
      </c>
      <c r="N24" s="86">
        <v>0.5714285714285714</v>
      </c>
      <c r="O24" s="86">
        <v>0.32142857142857145</v>
      </c>
      <c r="P24" s="86">
        <v>0.52500000000000002</v>
      </c>
      <c r="Q24" s="86">
        <v>0.29545454545454547</v>
      </c>
    </row>
    <row r="25" spans="1:17" x14ac:dyDescent="0.4">
      <c r="A25" s="88">
        <v>22</v>
      </c>
      <c r="B25" s="85">
        <v>-202.9</v>
      </c>
      <c r="C25" s="85">
        <v>-9.2227272727272727</v>
      </c>
      <c r="D25" s="90">
        <v>2.3181818181818183</v>
      </c>
      <c r="E25" s="86">
        <v>0.22727272727272727</v>
      </c>
      <c r="F25" s="86">
        <v>0.26627218934911245</v>
      </c>
      <c r="G25" s="86">
        <v>0.20118343195266272</v>
      </c>
      <c r="H25" s="87">
        <v>10808.888888888889</v>
      </c>
      <c r="I25" s="87">
        <v>-10135.294117647059</v>
      </c>
      <c r="J25" s="86">
        <v>0.27272727272727271</v>
      </c>
      <c r="K25" s="86">
        <v>9.0909090909090912E-2</v>
      </c>
      <c r="L25" s="86">
        <v>0.22727272727272727</v>
      </c>
      <c r="M25" s="86">
        <v>0.23484848484848486</v>
      </c>
      <c r="N25" s="86">
        <v>0.6</v>
      </c>
      <c r="O25" s="86">
        <v>0.35483870967741937</v>
      </c>
      <c r="P25" s="86">
        <v>0.53333333333333333</v>
      </c>
      <c r="Q25" s="86">
        <v>0.33333333333333331</v>
      </c>
    </row>
    <row r="26" spans="1:17" x14ac:dyDescent="0.4">
      <c r="A26" s="88">
        <v>23</v>
      </c>
      <c r="B26" s="85">
        <v>-200.9</v>
      </c>
      <c r="C26" s="85">
        <v>-8.734782608695653</v>
      </c>
      <c r="D26" s="90">
        <v>2.3043478260869565</v>
      </c>
      <c r="E26" s="86">
        <v>0.21739130434782608</v>
      </c>
      <c r="F26" s="86">
        <v>0.2655367231638418</v>
      </c>
      <c r="G26" s="86">
        <v>0.19774011299435029</v>
      </c>
      <c r="H26" s="87">
        <v>10944.680851063829</v>
      </c>
      <c r="I26" s="87">
        <v>-9902.8571428571431</v>
      </c>
      <c r="J26" s="86">
        <v>0.2608695652173913</v>
      </c>
      <c r="K26" s="86">
        <v>8.6956521739130432E-2</v>
      </c>
      <c r="L26" s="86">
        <v>0.23571428571428571</v>
      </c>
      <c r="M26" s="86">
        <v>0.24285714285714285</v>
      </c>
      <c r="N26" s="86">
        <v>0.5757575757575758</v>
      </c>
      <c r="O26" s="86">
        <v>0.35294117647058826</v>
      </c>
      <c r="P26" s="86">
        <v>0.53191489361702127</v>
      </c>
      <c r="Q26" s="86">
        <v>0.33333333333333331</v>
      </c>
    </row>
    <row r="27" spans="1:17" x14ac:dyDescent="0.4">
      <c r="A27" s="88">
        <v>24</v>
      </c>
      <c r="B27" s="85">
        <v>-168.2</v>
      </c>
      <c r="C27" s="85">
        <v>-7.0083333333333329</v>
      </c>
      <c r="D27" s="90">
        <v>2.25</v>
      </c>
      <c r="E27" s="86">
        <v>0.25</v>
      </c>
      <c r="F27" s="86">
        <v>0.27659574468085107</v>
      </c>
      <c r="G27" s="86">
        <v>0.20212765957446807</v>
      </c>
      <c r="H27" s="87">
        <v>11084.615384615385</v>
      </c>
      <c r="I27" s="87">
        <v>-9642.105263157895</v>
      </c>
      <c r="J27" s="86">
        <v>0.25</v>
      </c>
      <c r="K27" s="86">
        <v>0.125</v>
      </c>
      <c r="L27" s="86">
        <v>0.25827814569536423</v>
      </c>
      <c r="M27" s="86">
        <v>0.2251655629139073</v>
      </c>
      <c r="N27" s="86">
        <v>0.61538461538461542</v>
      </c>
      <c r="O27" s="86">
        <v>0.35294117647058826</v>
      </c>
      <c r="P27" s="86">
        <v>0.51923076923076927</v>
      </c>
      <c r="Q27" s="86">
        <v>0.36842105263157893</v>
      </c>
    </row>
    <row r="28" spans="1:17" x14ac:dyDescent="0.4">
      <c r="A28" s="88">
        <v>25</v>
      </c>
      <c r="B28" s="85">
        <v>-216.89999999999998</v>
      </c>
      <c r="C28" s="85">
        <v>-8.6759999999999984</v>
      </c>
      <c r="D28" s="90">
        <v>2.2799999999999998</v>
      </c>
      <c r="E28" s="86">
        <v>0.24</v>
      </c>
      <c r="F28" s="86">
        <v>0.27272727272727271</v>
      </c>
      <c r="G28" s="86">
        <v>0.20707070707070707</v>
      </c>
      <c r="H28" s="87">
        <v>10729.62962962963</v>
      </c>
      <c r="I28" s="87">
        <v>-9697.5609756097565</v>
      </c>
      <c r="J28" s="86">
        <v>0.28000000000000003</v>
      </c>
      <c r="K28" s="86">
        <v>0.12</v>
      </c>
      <c r="L28" s="86">
        <v>0.24223602484472051</v>
      </c>
      <c r="M28" s="86">
        <v>0.22981366459627328</v>
      </c>
      <c r="N28" s="86">
        <v>0.61538461538461542</v>
      </c>
      <c r="O28" s="86">
        <v>0.3783783783783784</v>
      </c>
      <c r="P28" s="86">
        <v>0.5</v>
      </c>
      <c r="Q28" s="86">
        <v>0.3559322033898305</v>
      </c>
    </row>
    <row r="29" spans="1:17" x14ac:dyDescent="0.4">
      <c r="A29" s="88">
        <v>26</v>
      </c>
      <c r="B29" s="85">
        <v>-256.29999999999995</v>
      </c>
      <c r="C29" s="85">
        <v>-9.8576923076923055</v>
      </c>
      <c r="D29" s="90">
        <v>2.3076923076923075</v>
      </c>
      <c r="E29" s="86">
        <v>0.23076923076923078</v>
      </c>
      <c r="F29" s="86">
        <v>0.26829268292682928</v>
      </c>
      <c r="G29" s="86">
        <v>0.21463414634146341</v>
      </c>
      <c r="H29" s="87">
        <v>10825.454545454546</v>
      </c>
      <c r="I29" s="87">
        <v>-9990.9090909090901</v>
      </c>
      <c r="J29" s="86">
        <v>0.30769230769230771</v>
      </c>
      <c r="K29" s="86">
        <v>0.11538461538461539</v>
      </c>
      <c r="L29" s="86">
        <v>0.23809523809523808</v>
      </c>
      <c r="M29" s="86">
        <v>0.23214285714285715</v>
      </c>
      <c r="N29" s="86">
        <v>0.625</v>
      </c>
      <c r="O29" s="86">
        <v>0.35897435897435898</v>
      </c>
      <c r="P29" s="86">
        <v>0.49090909090909091</v>
      </c>
      <c r="Q29" s="86">
        <v>0.34426229508196721</v>
      </c>
    </row>
    <row r="30" spans="1:17" x14ac:dyDescent="0.4">
      <c r="A30" s="88">
        <v>27</v>
      </c>
      <c r="B30" s="85">
        <v>-296.29999999999995</v>
      </c>
      <c r="C30" s="85">
        <v>-10.974074074074073</v>
      </c>
      <c r="D30" s="90">
        <v>2.3333333333333335</v>
      </c>
      <c r="E30" s="86">
        <v>0.22222222222222221</v>
      </c>
      <c r="F30" s="86">
        <v>0.26442307692307693</v>
      </c>
      <c r="G30" s="86">
        <v>0.22115384615384615</v>
      </c>
      <c r="H30" s="87">
        <v>10825.454545454546</v>
      </c>
      <c r="I30" s="87">
        <v>-10339.130434782608</v>
      </c>
      <c r="J30" s="86">
        <v>0.33333333333333331</v>
      </c>
      <c r="K30" s="86">
        <v>0.1111111111111111</v>
      </c>
      <c r="L30" s="86">
        <v>0.23976608187134502</v>
      </c>
      <c r="M30" s="86">
        <v>0.22807017543859648</v>
      </c>
      <c r="N30" s="86">
        <v>0.6097560975609756</v>
      </c>
      <c r="O30" s="86">
        <v>0.35897435897435898</v>
      </c>
      <c r="P30" s="86">
        <v>0.49090909090909091</v>
      </c>
      <c r="Q30" s="86">
        <v>0.33870967741935482</v>
      </c>
    </row>
    <row r="31" spans="1:17" x14ac:dyDescent="0.4">
      <c r="A31" s="88">
        <v>28</v>
      </c>
      <c r="B31" s="85">
        <v>-290.19999999999993</v>
      </c>
      <c r="C31" s="85">
        <v>-10.364285714285712</v>
      </c>
      <c r="D31" s="90">
        <v>2.2857142857142856</v>
      </c>
      <c r="E31" s="86">
        <v>0.25</v>
      </c>
      <c r="F31" s="86">
        <v>0.26851851851851855</v>
      </c>
      <c r="G31" s="86">
        <v>0.22685185185185186</v>
      </c>
      <c r="H31" s="87">
        <v>10817.241379310344</v>
      </c>
      <c r="I31" s="87">
        <v>-10040.816326530612</v>
      </c>
      <c r="J31" s="86">
        <v>0.32142857142857145</v>
      </c>
      <c r="K31" s="86">
        <v>0.10714285714285714</v>
      </c>
      <c r="L31" s="86">
        <v>0.25139664804469275</v>
      </c>
      <c r="M31" s="86">
        <v>0.24022346368715083</v>
      </c>
      <c r="N31" s="86">
        <v>0.6</v>
      </c>
      <c r="O31" s="86">
        <v>0.34883720930232559</v>
      </c>
      <c r="P31" s="86">
        <v>0.48275862068965519</v>
      </c>
      <c r="Q31" s="86">
        <v>0.33846153846153848</v>
      </c>
    </row>
    <row r="32" spans="1:17" x14ac:dyDescent="0.4">
      <c r="A32" s="88">
        <v>29</v>
      </c>
      <c r="B32" s="85">
        <v>-239.19999999999993</v>
      </c>
      <c r="C32" s="85">
        <v>-8.2482758620689633</v>
      </c>
      <c r="D32" s="90">
        <v>2.2413793103448274</v>
      </c>
      <c r="E32" s="86">
        <v>0.27586206896551724</v>
      </c>
      <c r="F32" s="86">
        <v>0.27927927927927926</v>
      </c>
      <c r="G32" s="86">
        <v>0.22072072072072071</v>
      </c>
      <c r="H32" s="87">
        <v>11087.096774193549</v>
      </c>
      <c r="I32" s="87">
        <v>-10040.816326530612</v>
      </c>
      <c r="J32" s="86">
        <v>0.31034482758620691</v>
      </c>
      <c r="K32" s="86">
        <v>0.13793103448275862</v>
      </c>
      <c r="L32" s="86">
        <v>0.26486486486486488</v>
      </c>
      <c r="M32" s="86">
        <v>0.23243243243243245</v>
      </c>
      <c r="N32" s="86">
        <v>0.63265306122448983</v>
      </c>
      <c r="O32" s="86">
        <v>0.34883720930232559</v>
      </c>
      <c r="P32" s="86">
        <v>0.5</v>
      </c>
      <c r="Q32" s="86">
        <v>0.36231884057971014</v>
      </c>
    </row>
    <row r="33" spans="1:17" x14ac:dyDescent="0.4">
      <c r="A33" s="88">
        <v>30</v>
      </c>
      <c r="B33" s="85">
        <v>-257.29999999999995</v>
      </c>
      <c r="C33" s="85">
        <v>-8.5766666666666644</v>
      </c>
      <c r="D33" s="90">
        <v>2.2666666666666666</v>
      </c>
      <c r="E33" s="86">
        <v>0.26666666666666666</v>
      </c>
      <c r="F33" s="86">
        <v>0.27192982456140352</v>
      </c>
      <c r="G33" s="86">
        <v>0.22368421052631579</v>
      </c>
      <c r="H33" s="87">
        <v>11087.096774193549</v>
      </c>
      <c r="I33" s="87">
        <v>-9854.9019607843129</v>
      </c>
      <c r="J33" s="86">
        <v>0.3</v>
      </c>
      <c r="K33" s="86">
        <v>0.13333333333333333</v>
      </c>
      <c r="L33" s="86">
        <v>0.26178010471204188</v>
      </c>
      <c r="M33" s="86">
        <v>0.22513089005235601</v>
      </c>
      <c r="N33" s="86">
        <v>0.62</v>
      </c>
      <c r="O33" s="86">
        <v>0.34883720930232559</v>
      </c>
      <c r="P33" s="86">
        <v>0.5</v>
      </c>
      <c r="Q33" s="86">
        <v>0.352112676056338</v>
      </c>
    </row>
    <row r="34" spans="1:17" x14ac:dyDescent="0.4">
      <c r="A34" s="88">
        <v>31</v>
      </c>
      <c r="B34" s="85">
        <v>-265.39999999999998</v>
      </c>
      <c r="C34" s="85">
        <v>-8.5612903225806445</v>
      </c>
      <c r="D34" s="90">
        <v>2.2580645161290325</v>
      </c>
      <c r="E34" s="86">
        <v>0.25806451612903225</v>
      </c>
      <c r="F34" s="86">
        <v>0.27196652719665271</v>
      </c>
      <c r="G34" s="86">
        <v>0.22594142259414227</v>
      </c>
      <c r="H34" s="87">
        <v>11006.153846153846</v>
      </c>
      <c r="I34" s="87">
        <v>-9892.5925925925931</v>
      </c>
      <c r="J34" s="86">
        <v>0.29032258064516131</v>
      </c>
      <c r="K34" s="86">
        <v>0.12903225806451613</v>
      </c>
      <c r="L34" s="86">
        <v>0.25742574257425743</v>
      </c>
      <c r="M34" s="86">
        <v>0.21782178217821782</v>
      </c>
      <c r="N34" s="86">
        <v>0.63461538461538458</v>
      </c>
      <c r="O34" s="86">
        <v>0.36363636363636365</v>
      </c>
      <c r="P34" s="86">
        <v>0.49230769230769234</v>
      </c>
      <c r="Q34" s="86">
        <v>0.34246575342465752</v>
      </c>
    </row>
    <row r="35" spans="1:17" x14ac:dyDescent="0.4">
      <c r="A35" s="88">
        <v>32</v>
      </c>
      <c r="B35" s="85">
        <v>-283.89999999999998</v>
      </c>
      <c r="C35" s="85">
        <v>-8.8718749999999993</v>
      </c>
      <c r="D35" s="90">
        <v>2.25</v>
      </c>
      <c r="E35" s="86">
        <v>0.25</v>
      </c>
      <c r="F35" s="86">
        <v>0.26970954356846472</v>
      </c>
      <c r="G35" s="86">
        <v>0.22406639004149378</v>
      </c>
      <c r="H35" s="87">
        <v>11006.153846153846</v>
      </c>
      <c r="I35" s="87">
        <v>-9892.5925925925931</v>
      </c>
      <c r="J35" s="86">
        <v>0.28125</v>
      </c>
      <c r="K35" s="86">
        <v>0.125</v>
      </c>
      <c r="L35" s="86">
        <v>0.25490196078431371</v>
      </c>
      <c r="M35" s="86">
        <v>0.21568627450980393</v>
      </c>
      <c r="N35" s="86">
        <v>0.63461538461538458</v>
      </c>
      <c r="O35" s="86">
        <v>0.36363636363636365</v>
      </c>
      <c r="P35" s="86">
        <v>0.49230769230769234</v>
      </c>
      <c r="Q35" s="86">
        <v>0.34246575342465752</v>
      </c>
    </row>
    <row r="36" spans="1:17" x14ac:dyDescent="0.4">
      <c r="A36" s="88">
        <v>33</v>
      </c>
      <c r="B36" s="85">
        <v>-291.29999999999995</v>
      </c>
      <c r="C36" s="85">
        <v>-8.8272727272727263</v>
      </c>
      <c r="D36" s="90">
        <v>2.2424242424242422</v>
      </c>
      <c r="E36" s="86">
        <v>0.24242424242424243</v>
      </c>
      <c r="F36" s="86">
        <v>0.2661290322580645</v>
      </c>
      <c r="G36" s="86">
        <v>0.22177419354838709</v>
      </c>
      <c r="H36" s="87">
        <v>11021.212121212122</v>
      </c>
      <c r="I36" s="87">
        <v>-9783.636363636364</v>
      </c>
      <c r="J36" s="86">
        <v>0.27272727272727271</v>
      </c>
      <c r="K36" s="86">
        <v>0.12121212121212122</v>
      </c>
      <c r="L36" s="86">
        <v>0.25592417061611372</v>
      </c>
      <c r="M36" s="86">
        <v>0.2132701421800948</v>
      </c>
      <c r="N36" s="86">
        <v>0.62962962962962965</v>
      </c>
      <c r="O36" s="86">
        <v>0.35555555555555557</v>
      </c>
      <c r="P36" s="86">
        <v>0.5</v>
      </c>
      <c r="Q36" s="86">
        <v>0.33333333333333331</v>
      </c>
    </row>
    <row r="37" spans="1:17" x14ac:dyDescent="0.4">
      <c r="A37" s="88">
        <v>34</v>
      </c>
      <c r="B37" s="85">
        <v>-301.69999999999993</v>
      </c>
      <c r="C37" s="85">
        <v>-8.8735294117647037</v>
      </c>
      <c r="D37" s="90">
        <v>2.2647058823529411</v>
      </c>
      <c r="E37" s="86">
        <v>0.23529411764705882</v>
      </c>
      <c r="F37" s="86">
        <v>0.26459143968871596</v>
      </c>
      <c r="G37" s="86">
        <v>0.22178988326848248</v>
      </c>
      <c r="H37" s="87">
        <v>11108.823529411764</v>
      </c>
      <c r="I37" s="87">
        <v>-9649.1228070175439</v>
      </c>
      <c r="J37" s="86">
        <v>0.26470588235294118</v>
      </c>
      <c r="K37" s="86">
        <v>0.11764705882352941</v>
      </c>
      <c r="L37" s="86">
        <v>0.26363636363636361</v>
      </c>
      <c r="M37" s="86">
        <v>0.20909090909090908</v>
      </c>
      <c r="N37" s="86">
        <v>0.60344827586206895</v>
      </c>
      <c r="O37" s="86">
        <v>0.34782608695652173</v>
      </c>
      <c r="P37" s="86">
        <v>0.48529411764705882</v>
      </c>
      <c r="Q37" s="86">
        <v>0.33333333333333331</v>
      </c>
    </row>
    <row r="38" spans="1:17" x14ac:dyDescent="0.4">
      <c r="A38" s="88">
        <v>35</v>
      </c>
      <c r="B38" s="85">
        <v>-339.69999999999993</v>
      </c>
      <c r="C38" s="85">
        <v>-9.7057142857142846</v>
      </c>
      <c r="D38" s="90">
        <v>2.2857142857142856</v>
      </c>
      <c r="E38" s="86">
        <v>0.22857142857142856</v>
      </c>
      <c r="F38" s="86">
        <v>0.26235741444866922</v>
      </c>
      <c r="G38" s="86">
        <v>0.22813688212927757</v>
      </c>
      <c r="H38" s="87">
        <v>11179.710144927536</v>
      </c>
      <c r="I38" s="87">
        <v>-9966.6666666666661</v>
      </c>
      <c r="J38" s="86">
        <v>0.2857142857142857</v>
      </c>
      <c r="K38" s="86">
        <v>0.11428571428571428</v>
      </c>
      <c r="L38" s="86">
        <v>0.26106194690265488</v>
      </c>
      <c r="M38" s="86">
        <v>0.21238938053097345</v>
      </c>
      <c r="N38" s="86">
        <v>0.61016949152542377</v>
      </c>
      <c r="O38" s="86">
        <v>0.33333333333333331</v>
      </c>
      <c r="P38" s="86">
        <v>0.47826086956521741</v>
      </c>
      <c r="Q38" s="86">
        <v>0.32911392405063289</v>
      </c>
    </row>
    <row r="39" spans="1:17" x14ac:dyDescent="0.4">
      <c r="A39" s="88">
        <v>36</v>
      </c>
      <c r="B39" s="85">
        <v>-328.09999999999991</v>
      </c>
      <c r="C39" s="85">
        <v>-9.1138888888888872</v>
      </c>
      <c r="D39" s="90">
        <v>2.25</v>
      </c>
      <c r="E39" s="86">
        <v>0.25</v>
      </c>
      <c r="F39" s="86">
        <v>0.26373626373626374</v>
      </c>
      <c r="G39" s="86">
        <v>0.23443223443223443</v>
      </c>
      <c r="H39" s="87">
        <v>11380.555555555555</v>
      </c>
      <c r="I39" s="87">
        <v>-9904.6875</v>
      </c>
      <c r="J39" s="86">
        <v>0.27777777777777779</v>
      </c>
      <c r="K39" s="86">
        <v>0.1111111111111111</v>
      </c>
      <c r="L39" s="86">
        <v>0.25847457627118642</v>
      </c>
      <c r="M39" s="86">
        <v>0.22033898305084745</v>
      </c>
      <c r="N39" s="86">
        <v>0.5901639344262295</v>
      </c>
      <c r="O39" s="86">
        <v>0.34615384615384615</v>
      </c>
      <c r="P39" s="86">
        <v>0.47222222222222221</v>
      </c>
      <c r="Q39" s="86">
        <v>0.32926829268292684</v>
      </c>
    </row>
    <row r="40" spans="1:17" x14ac:dyDescent="0.4">
      <c r="A40" s="88">
        <v>37</v>
      </c>
      <c r="B40" s="85">
        <v>-371.59999999999991</v>
      </c>
      <c r="C40" s="85">
        <v>-10.043243243243241</v>
      </c>
      <c r="D40" s="90">
        <v>2.2702702702702702</v>
      </c>
      <c r="E40" s="86">
        <v>0.24324324324324326</v>
      </c>
      <c r="F40" s="86">
        <v>0.25899280575539568</v>
      </c>
      <c r="G40" s="86">
        <v>0.24100719424460432</v>
      </c>
      <c r="H40" s="87">
        <v>11380.555555555555</v>
      </c>
      <c r="I40" s="87">
        <v>-9998.507462686568</v>
      </c>
      <c r="J40" s="86">
        <v>0.29729729729729731</v>
      </c>
      <c r="K40" s="86">
        <v>0.10810810810810811</v>
      </c>
      <c r="L40" s="86">
        <v>0.26141078838174275</v>
      </c>
      <c r="M40" s="86">
        <v>0.21576763485477179</v>
      </c>
      <c r="N40" s="86">
        <v>0.5714285714285714</v>
      </c>
      <c r="O40" s="86">
        <v>0.34615384615384615</v>
      </c>
      <c r="P40" s="86">
        <v>0.47222222222222221</v>
      </c>
      <c r="Q40" s="86">
        <v>0.3253012048192771</v>
      </c>
    </row>
    <row r="41" spans="1:17" x14ac:dyDescent="0.4">
      <c r="A41" s="88">
        <v>38</v>
      </c>
      <c r="B41" s="85">
        <v>-380.09999999999991</v>
      </c>
      <c r="C41" s="85">
        <v>-10.002631578947366</v>
      </c>
      <c r="D41" s="90">
        <v>2.2894736842105261</v>
      </c>
      <c r="E41" s="86">
        <v>0.23684210526315788</v>
      </c>
      <c r="F41" s="86">
        <v>0.26132404181184671</v>
      </c>
      <c r="G41" s="86">
        <v>0.25087108013937282</v>
      </c>
      <c r="H41" s="87">
        <v>11528</v>
      </c>
      <c r="I41" s="87">
        <v>-10098.611111111111</v>
      </c>
      <c r="J41" s="86">
        <v>0.28947368421052633</v>
      </c>
      <c r="K41" s="86">
        <v>0.10526315789473684</v>
      </c>
      <c r="L41" s="86">
        <v>0.26400000000000001</v>
      </c>
      <c r="M41" s="86">
        <v>0.20799999999999999</v>
      </c>
      <c r="N41" s="86">
        <v>0.59090909090909094</v>
      </c>
      <c r="O41" s="86">
        <v>0.34615384615384615</v>
      </c>
      <c r="P41" s="86">
        <v>0.48</v>
      </c>
      <c r="Q41" s="86">
        <v>0.32558139534883723</v>
      </c>
    </row>
    <row r="42" spans="1:17" x14ac:dyDescent="0.4">
      <c r="A42" s="88">
        <v>39</v>
      </c>
      <c r="B42" s="85">
        <v>-360.49999999999989</v>
      </c>
      <c r="C42" s="85">
        <v>-9.2435897435897409</v>
      </c>
      <c r="D42" s="90">
        <v>2.2564102564102564</v>
      </c>
      <c r="E42" s="86">
        <v>0.25641025641025639</v>
      </c>
      <c r="F42" s="86">
        <v>0.26621160409556316</v>
      </c>
      <c r="G42" s="86">
        <v>0.24914675767918087</v>
      </c>
      <c r="H42" s="87">
        <v>11458.974358974359</v>
      </c>
      <c r="I42" s="87">
        <v>-9995.8904109589039</v>
      </c>
      <c r="J42" s="86">
        <v>0.28205128205128205</v>
      </c>
      <c r="K42" s="86">
        <v>0.10256410256410256</v>
      </c>
      <c r="L42" s="86">
        <v>0.2734375</v>
      </c>
      <c r="M42" s="86">
        <v>0.20703125</v>
      </c>
      <c r="N42" s="86">
        <v>0.6</v>
      </c>
      <c r="O42" s="86">
        <v>0.33962264150943394</v>
      </c>
      <c r="P42" s="86">
        <v>0.46153846153846156</v>
      </c>
      <c r="Q42" s="86">
        <v>0.31818181818181818</v>
      </c>
    </row>
    <row r="43" spans="1:17" x14ac:dyDescent="0.4">
      <c r="A43" s="88">
        <v>40</v>
      </c>
      <c r="B43" s="85">
        <v>-378.59999999999991</v>
      </c>
      <c r="C43" s="85">
        <v>-9.4649999999999981</v>
      </c>
      <c r="D43" s="90">
        <v>2.2749999999999999</v>
      </c>
      <c r="E43" s="86">
        <v>0.25</v>
      </c>
      <c r="F43" s="86">
        <v>0.26821192052980131</v>
      </c>
      <c r="G43" s="86">
        <v>0.25165562913907286</v>
      </c>
      <c r="H43" s="87">
        <v>11392.592592592593</v>
      </c>
      <c r="I43" s="87">
        <v>-9786.8421052631584</v>
      </c>
      <c r="J43" s="86">
        <v>0.27500000000000002</v>
      </c>
      <c r="K43" s="86">
        <v>0.1</v>
      </c>
      <c r="L43" s="86">
        <v>0.27547169811320754</v>
      </c>
      <c r="M43" s="86">
        <v>0.21509433962264152</v>
      </c>
      <c r="N43" s="86">
        <v>0.60273972602739723</v>
      </c>
      <c r="O43" s="86">
        <v>0.33333333333333331</v>
      </c>
      <c r="P43" s="86">
        <v>0.46913580246913578</v>
      </c>
      <c r="Q43" s="86">
        <v>0.32608695652173914</v>
      </c>
    </row>
    <row r="44" spans="1:17" x14ac:dyDescent="0.4">
      <c r="A44" s="88">
        <v>41</v>
      </c>
      <c r="B44" s="85">
        <v>-366.59999999999991</v>
      </c>
      <c r="C44" s="85">
        <v>-8.9414634146341445</v>
      </c>
      <c r="D44" s="90">
        <v>2.2682926829268291</v>
      </c>
      <c r="E44" s="86">
        <v>0.24390243902439024</v>
      </c>
      <c r="F44" s="86">
        <v>0.27035830618892509</v>
      </c>
      <c r="G44" s="86">
        <v>0.24755700325732899</v>
      </c>
      <c r="H44" s="87">
        <v>11359.036144578313</v>
      </c>
      <c r="I44" s="87">
        <v>-9786.8421052631584</v>
      </c>
      <c r="J44" s="86">
        <v>0.26829268292682928</v>
      </c>
      <c r="K44" s="86">
        <v>9.7560975609756101E-2</v>
      </c>
      <c r="L44" s="86">
        <v>0.27407407407407408</v>
      </c>
      <c r="M44" s="86">
        <v>0.21481481481481482</v>
      </c>
      <c r="N44" s="86">
        <v>0.60810810810810811</v>
      </c>
      <c r="O44" s="86">
        <v>0.32758620689655171</v>
      </c>
      <c r="P44" s="86">
        <v>0.46987951807228917</v>
      </c>
      <c r="Q44" s="86">
        <v>0.32978723404255317</v>
      </c>
    </row>
    <row r="45" spans="1:17" x14ac:dyDescent="0.4">
      <c r="A45" s="88">
        <v>42</v>
      </c>
      <c r="B45" s="85">
        <v>-367.09999999999991</v>
      </c>
      <c r="C45" s="85">
        <v>-8.7404761904761887</v>
      </c>
      <c r="D45" s="90">
        <v>2.2619047619047619</v>
      </c>
      <c r="E45" s="86">
        <v>0.23809523809523808</v>
      </c>
      <c r="F45" s="86">
        <v>0.26923076923076922</v>
      </c>
      <c r="G45" s="86">
        <v>0.24679487179487181</v>
      </c>
      <c r="H45" s="87">
        <v>11414.285714285714</v>
      </c>
      <c r="I45" s="87">
        <v>-9815.5844155844152</v>
      </c>
      <c r="J45" s="86">
        <v>0.26190476190476192</v>
      </c>
      <c r="K45" s="86">
        <v>9.5238095238095233E-2</v>
      </c>
      <c r="L45" s="86">
        <v>0.27272727272727271</v>
      </c>
      <c r="M45" s="86">
        <v>0.21454545454545454</v>
      </c>
      <c r="N45" s="86">
        <v>0.61333333333333329</v>
      </c>
      <c r="O45" s="86">
        <v>0.32203389830508472</v>
      </c>
      <c r="P45" s="86">
        <v>0.47619047619047616</v>
      </c>
      <c r="Q45" s="86">
        <v>0.32631578947368423</v>
      </c>
    </row>
    <row r="46" spans="1:17" x14ac:dyDescent="0.4">
      <c r="A46" s="88">
        <v>43</v>
      </c>
      <c r="B46" s="85">
        <v>-325.09999999999991</v>
      </c>
      <c r="C46" s="85">
        <v>-7.5604651162790679</v>
      </c>
      <c r="D46" s="90">
        <v>2.2325581395348837</v>
      </c>
      <c r="E46" s="86">
        <v>0.2558139534883721</v>
      </c>
      <c r="F46" s="86">
        <v>0.27848101265822783</v>
      </c>
      <c r="G46" s="86">
        <v>0.24367088607594936</v>
      </c>
      <c r="H46" s="87">
        <v>11361.363636363636</v>
      </c>
      <c r="I46" s="87">
        <v>-9815.5844155844152</v>
      </c>
      <c r="J46" s="86">
        <v>0.2558139534883721</v>
      </c>
      <c r="K46" s="86">
        <v>0.11627906976744186</v>
      </c>
      <c r="L46" s="86">
        <v>0.27598566308243727</v>
      </c>
      <c r="M46" s="86">
        <v>0.21863799283154123</v>
      </c>
      <c r="N46" s="86">
        <v>0.62337662337662336</v>
      </c>
      <c r="O46" s="86">
        <v>0.34426229508196721</v>
      </c>
      <c r="P46" s="86">
        <v>0.47727272727272729</v>
      </c>
      <c r="Q46" s="86">
        <v>0.34693877551020408</v>
      </c>
    </row>
    <row r="47" spans="1:17" x14ac:dyDescent="0.4">
      <c r="A47" s="88">
        <v>44</v>
      </c>
      <c r="B47" s="85">
        <v>-330.89999999999992</v>
      </c>
      <c r="C47" s="85">
        <v>-7.5204545454545437</v>
      </c>
      <c r="D47" s="90">
        <v>2.2272727272727271</v>
      </c>
      <c r="E47" s="86">
        <v>0.25</v>
      </c>
      <c r="F47" s="86">
        <v>0.28834355828220859</v>
      </c>
      <c r="G47" s="86">
        <v>0.2392638036809816</v>
      </c>
      <c r="H47" s="87">
        <v>11053.191489361701</v>
      </c>
      <c r="I47" s="87">
        <v>-10100</v>
      </c>
      <c r="J47" s="86">
        <v>0.25</v>
      </c>
      <c r="K47" s="86">
        <v>0.11363636363636363</v>
      </c>
      <c r="L47" s="86">
        <v>0.28027681660899656</v>
      </c>
      <c r="M47" s="86">
        <v>0.22491349480968859</v>
      </c>
      <c r="N47" s="86">
        <v>0.62962962962962965</v>
      </c>
      <c r="O47" s="86">
        <v>0.36923076923076925</v>
      </c>
      <c r="P47" s="86">
        <v>0.45744680851063829</v>
      </c>
      <c r="Q47" s="86">
        <v>0.35294117647058826</v>
      </c>
    </row>
    <row r="48" spans="1:17" x14ac:dyDescent="0.4">
      <c r="A48" s="88">
        <v>45</v>
      </c>
      <c r="B48" s="85">
        <v>-329.19999999999993</v>
      </c>
      <c r="C48" s="85">
        <v>-7.3155555555555543</v>
      </c>
      <c r="D48" s="90">
        <v>2.2222222222222223</v>
      </c>
      <c r="E48" s="86">
        <v>0.24444444444444444</v>
      </c>
      <c r="F48" s="86">
        <v>0.29376854599406527</v>
      </c>
      <c r="G48" s="86">
        <v>0.23738872403560832</v>
      </c>
      <c r="H48" s="87">
        <v>10793.939393939394</v>
      </c>
      <c r="I48" s="87">
        <v>-10196.25</v>
      </c>
      <c r="J48" s="86">
        <v>0.24444444444444444</v>
      </c>
      <c r="K48" s="86">
        <v>0.1111111111111111</v>
      </c>
      <c r="L48" s="86">
        <v>0.28000000000000003</v>
      </c>
      <c r="M48" s="86">
        <v>0.22666666666666666</v>
      </c>
      <c r="N48" s="86">
        <v>0.6428571428571429</v>
      </c>
      <c r="O48" s="86">
        <v>0.38235294117647056</v>
      </c>
      <c r="P48" s="86">
        <v>0.45454545454545453</v>
      </c>
      <c r="Q48" s="86">
        <v>0.35514018691588783</v>
      </c>
    </row>
    <row r="49" spans="1:17" x14ac:dyDescent="0.4">
      <c r="A49" s="88">
        <v>46</v>
      </c>
      <c r="B49" s="85">
        <v>-363.39999999999992</v>
      </c>
      <c r="C49" s="85">
        <v>-7.8999999999999986</v>
      </c>
      <c r="D49" s="90">
        <v>2.2391304347826089</v>
      </c>
      <c r="E49" s="86">
        <v>0.2391304347826087</v>
      </c>
      <c r="F49" s="86">
        <v>0.28901734104046245</v>
      </c>
      <c r="G49" s="86">
        <v>0.23699421965317918</v>
      </c>
      <c r="H49" s="87">
        <v>10766</v>
      </c>
      <c r="I49" s="87">
        <v>-10035.365853658537</v>
      </c>
      <c r="J49" s="86">
        <v>0.2391304347826087</v>
      </c>
      <c r="K49" s="86">
        <v>0.10869565217391304</v>
      </c>
      <c r="L49" s="86">
        <v>0.28155339805825241</v>
      </c>
      <c r="M49" s="86">
        <v>0.22653721682847897</v>
      </c>
      <c r="N49" s="86">
        <v>0.62068965517241381</v>
      </c>
      <c r="O49" s="86">
        <v>0.38571428571428573</v>
      </c>
      <c r="P49" s="86">
        <v>0.46</v>
      </c>
      <c r="Q49" s="86">
        <v>0.34862385321100919</v>
      </c>
    </row>
    <row r="50" spans="1:17" x14ac:dyDescent="0.4">
      <c r="A50" s="88">
        <v>47</v>
      </c>
      <c r="B50" s="85">
        <v>-351.39999999999992</v>
      </c>
      <c r="C50" s="85">
        <v>-7.4765957446808491</v>
      </c>
      <c r="D50" s="90">
        <v>2.2127659574468086</v>
      </c>
      <c r="E50" s="86">
        <v>0.25531914893617019</v>
      </c>
      <c r="F50" s="86">
        <v>0.2893258426966292</v>
      </c>
      <c r="G50" s="86">
        <v>0.23595505617977527</v>
      </c>
      <c r="H50" s="87">
        <v>10674.757281553399</v>
      </c>
      <c r="I50" s="87">
        <v>-9866.6666666666661</v>
      </c>
      <c r="J50" s="86">
        <v>0.23404255319148937</v>
      </c>
      <c r="K50" s="86">
        <v>0.10638297872340426</v>
      </c>
      <c r="L50" s="86">
        <v>0.29153605015673983</v>
      </c>
      <c r="M50" s="86">
        <v>0.21943573667711599</v>
      </c>
      <c r="N50" s="86">
        <v>0.60215053763440862</v>
      </c>
      <c r="O50" s="86">
        <v>0.38571428571428573</v>
      </c>
      <c r="P50" s="86">
        <v>0.44660194174757284</v>
      </c>
      <c r="Q50" s="86">
        <v>0.34513274336283184</v>
      </c>
    </row>
    <row r="51" spans="1:17" x14ac:dyDescent="0.4">
      <c r="A51" s="88">
        <v>48</v>
      </c>
      <c r="B51" s="85">
        <v>-359.19999999999993</v>
      </c>
      <c r="C51" s="85">
        <v>-7.4833333333333316</v>
      </c>
      <c r="D51" s="90">
        <v>2.2083333333333335</v>
      </c>
      <c r="E51" s="86">
        <v>0.25</v>
      </c>
      <c r="F51" s="86">
        <v>0.28846153846153844</v>
      </c>
      <c r="G51" s="86">
        <v>0.23076923076923078</v>
      </c>
      <c r="H51" s="87">
        <v>10635.238095238095</v>
      </c>
      <c r="I51" s="87">
        <v>-9866.6666666666661</v>
      </c>
      <c r="J51" s="86">
        <v>0.22916666666666666</v>
      </c>
      <c r="K51" s="86">
        <v>0.10416666666666667</v>
      </c>
      <c r="L51" s="86">
        <v>0.29357798165137616</v>
      </c>
      <c r="M51" s="86">
        <v>0.22018348623853212</v>
      </c>
      <c r="N51" s="86">
        <v>0.59375</v>
      </c>
      <c r="O51" s="86">
        <v>0.3888888888888889</v>
      </c>
      <c r="P51" s="86">
        <v>0.44761904761904764</v>
      </c>
      <c r="Q51" s="86">
        <v>0.33620689655172414</v>
      </c>
    </row>
    <row r="52" spans="1:17" x14ac:dyDescent="0.4">
      <c r="A52" s="88">
        <v>49</v>
      </c>
      <c r="B52" s="85">
        <v>-364.49999999999994</v>
      </c>
      <c r="C52" s="85">
        <v>-7.4387755102040805</v>
      </c>
      <c r="D52" s="90">
        <v>2.204081632653061</v>
      </c>
      <c r="E52" s="86">
        <v>0.24489795918367346</v>
      </c>
      <c r="F52" s="86">
        <v>0.29032258064516131</v>
      </c>
      <c r="G52" s="86">
        <v>0.23387096774193547</v>
      </c>
      <c r="H52" s="87">
        <v>10728.703703703704</v>
      </c>
      <c r="I52" s="87">
        <v>-9742.5287356321842</v>
      </c>
      <c r="J52" s="86">
        <v>0.22448979591836735</v>
      </c>
      <c r="K52" s="86">
        <v>0.10204081632653061</v>
      </c>
      <c r="L52" s="86">
        <v>0.29850746268656714</v>
      </c>
      <c r="M52" s="86">
        <v>0.22089552238805971</v>
      </c>
      <c r="N52" s="86">
        <v>0.57999999999999996</v>
      </c>
      <c r="O52" s="86">
        <v>0.39189189189189189</v>
      </c>
      <c r="P52" s="86">
        <v>0.46296296296296297</v>
      </c>
      <c r="Q52" s="86">
        <v>0.33613445378151263</v>
      </c>
    </row>
    <row r="53" spans="1:17" x14ac:dyDescent="0.4">
      <c r="A53" s="88">
        <v>50</v>
      </c>
      <c r="B53" s="85">
        <v>-399.99999999999994</v>
      </c>
      <c r="C53" s="85">
        <v>-7.9999999999999991</v>
      </c>
      <c r="D53" s="90">
        <v>2.2200000000000002</v>
      </c>
      <c r="E53" s="86">
        <v>0.24</v>
      </c>
      <c r="F53" s="86">
        <v>0.28647214854111408</v>
      </c>
      <c r="G53" s="86">
        <v>0.23607427055702918</v>
      </c>
      <c r="H53" s="87">
        <v>10728.703703703704</v>
      </c>
      <c r="I53" s="87">
        <v>-9793.258426966293</v>
      </c>
      <c r="J53" s="86">
        <v>0.24</v>
      </c>
      <c r="K53" s="86">
        <v>0.1</v>
      </c>
      <c r="L53" s="86">
        <v>0.29705882352941176</v>
      </c>
      <c r="M53" s="86">
        <v>0.22058823529411764</v>
      </c>
      <c r="N53" s="86">
        <v>0.57425742574257421</v>
      </c>
      <c r="O53" s="86">
        <v>0.38666666666666666</v>
      </c>
      <c r="P53" s="86">
        <v>0.46296296296296297</v>
      </c>
      <c r="Q53" s="86">
        <v>0.33333333333333331</v>
      </c>
    </row>
    <row r="54" spans="1:17" x14ac:dyDescent="0.4">
      <c r="A54" s="88">
        <v>51</v>
      </c>
      <c r="B54" s="85">
        <v>-409.99999999999994</v>
      </c>
      <c r="C54" s="85">
        <v>-8.0392156862745079</v>
      </c>
      <c r="D54" s="90">
        <v>2.215686274509804</v>
      </c>
      <c r="E54" s="86">
        <v>0.23529411764705882</v>
      </c>
      <c r="F54" s="86">
        <v>0.2890625</v>
      </c>
      <c r="G54" s="86">
        <v>0.234375</v>
      </c>
      <c r="H54" s="87">
        <v>10654.954954954956</v>
      </c>
      <c r="I54" s="87">
        <v>-10040</v>
      </c>
      <c r="J54" s="86">
        <v>0.23529411764705882</v>
      </c>
      <c r="K54" s="86">
        <v>9.8039215686274508E-2</v>
      </c>
      <c r="L54" s="86">
        <v>0.29682997118155618</v>
      </c>
      <c r="M54" s="86">
        <v>0.21902017291066284</v>
      </c>
      <c r="N54" s="86">
        <v>0.58252427184466016</v>
      </c>
      <c r="O54" s="86">
        <v>0.39473684210526316</v>
      </c>
      <c r="P54" s="86">
        <v>0.45945945945945948</v>
      </c>
      <c r="Q54" s="86">
        <v>0.32786885245901637</v>
      </c>
    </row>
    <row r="55" spans="1:17" x14ac:dyDescent="0.4">
      <c r="A55" s="88">
        <v>52</v>
      </c>
      <c r="B55" s="85">
        <v>-426.39999999999992</v>
      </c>
      <c r="C55" s="85">
        <v>-8.1999999999999993</v>
      </c>
      <c r="D55" s="90">
        <v>2.2307692307692308</v>
      </c>
      <c r="E55" s="86">
        <v>0.23076923076923078</v>
      </c>
      <c r="F55" s="86">
        <v>0.2875318066157761</v>
      </c>
      <c r="G55" s="86">
        <v>0.23918575063613232</v>
      </c>
      <c r="H55" s="87">
        <v>10749.557522123894</v>
      </c>
      <c r="I55" s="87">
        <v>-10037.234042553191</v>
      </c>
      <c r="J55" s="86">
        <v>0.23076923076923078</v>
      </c>
      <c r="K55" s="86">
        <v>9.6153846153846159E-2</v>
      </c>
      <c r="L55" s="86">
        <v>0.29775280898876405</v>
      </c>
      <c r="M55" s="86">
        <v>0.21629213483146068</v>
      </c>
      <c r="N55" s="86">
        <v>0.58490566037735847</v>
      </c>
      <c r="O55" s="86">
        <v>0.38961038961038963</v>
      </c>
      <c r="P55" s="86">
        <v>0.45132743362831856</v>
      </c>
      <c r="Q55" s="86">
        <v>0.32800000000000001</v>
      </c>
    </row>
    <row r="56" spans="1:17" x14ac:dyDescent="0.4">
      <c r="A56" s="88">
        <v>53</v>
      </c>
      <c r="B56" s="85">
        <v>-399.89999999999992</v>
      </c>
      <c r="C56" s="85">
        <v>-7.5452830188679227</v>
      </c>
      <c r="D56" s="90">
        <v>2.2075471698113209</v>
      </c>
      <c r="E56" s="86">
        <v>0.24528301886792453</v>
      </c>
      <c r="F56" s="86">
        <v>0.29104477611940299</v>
      </c>
      <c r="G56" s="86">
        <v>0.23880597014925373</v>
      </c>
      <c r="H56" s="87">
        <v>10792.307692307691</v>
      </c>
      <c r="I56" s="87">
        <v>-10036.458333333334</v>
      </c>
      <c r="J56" s="86">
        <v>0.22641509433962265</v>
      </c>
      <c r="K56" s="86">
        <v>9.4339622641509441E-2</v>
      </c>
      <c r="L56" s="86">
        <v>0.29863013698630136</v>
      </c>
      <c r="M56" s="86">
        <v>0.21369863013698631</v>
      </c>
      <c r="N56" s="86">
        <v>0.59633027522935778</v>
      </c>
      <c r="O56" s="86">
        <v>0.39743589743589741</v>
      </c>
      <c r="P56" s="86">
        <v>0.46153846153846156</v>
      </c>
      <c r="Q56" s="86">
        <v>0.33333333333333331</v>
      </c>
    </row>
    <row r="57" spans="1:17" x14ac:dyDescent="0.4">
      <c r="A57" s="88">
        <v>54</v>
      </c>
      <c r="B57" s="85">
        <v>-411.19999999999993</v>
      </c>
      <c r="C57" s="85">
        <v>-7.6148148148148138</v>
      </c>
      <c r="D57" s="90">
        <v>2.2222222222222223</v>
      </c>
      <c r="E57" s="86">
        <v>0.24074074074074073</v>
      </c>
      <c r="F57" s="86">
        <v>0.28953771289537711</v>
      </c>
      <c r="G57" s="86">
        <v>0.24087591240875914</v>
      </c>
      <c r="H57" s="87">
        <v>10689.0756302521</v>
      </c>
      <c r="I57" s="87">
        <v>-9869.69696969697</v>
      </c>
      <c r="J57" s="86">
        <v>0.22222222222222221</v>
      </c>
      <c r="K57" s="86">
        <v>9.2592592592592587E-2</v>
      </c>
      <c r="L57" s="86">
        <v>0.30213903743315507</v>
      </c>
      <c r="M57" s="86">
        <v>0.21390374331550802</v>
      </c>
      <c r="N57" s="86">
        <v>0.59292035398230092</v>
      </c>
      <c r="O57" s="86">
        <v>0.38750000000000001</v>
      </c>
      <c r="P57" s="86">
        <v>0.46218487394957986</v>
      </c>
      <c r="Q57" s="86">
        <v>0.3282442748091603</v>
      </c>
    </row>
    <row r="58" spans="1:17" x14ac:dyDescent="0.4">
      <c r="A58" s="88">
        <v>55</v>
      </c>
      <c r="B58" s="85">
        <v>-420.49999999999994</v>
      </c>
      <c r="C58" s="85">
        <v>-7.6454545454545446</v>
      </c>
      <c r="D58" s="90">
        <v>2.2181818181818183</v>
      </c>
      <c r="E58" s="86">
        <v>0.23636363636363636</v>
      </c>
      <c r="F58" s="86">
        <v>0.2860520094562648</v>
      </c>
      <c r="G58" s="86">
        <v>0.24113475177304963</v>
      </c>
      <c r="H58" s="87">
        <v>10842.975206611571</v>
      </c>
      <c r="I58" s="87">
        <v>-9790.1960784313724</v>
      </c>
      <c r="J58" s="86">
        <v>0.21818181818181817</v>
      </c>
      <c r="K58" s="86">
        <v>9.0909090909090912E-2</v>
      </c>
      <c r="L58" s="86">
        <v>0.29792746113989638</v>
      </c>
      <c r="M58" s="86">
        <v>0.21502590673575128</v>
      </c>
      <c r="N58" s="86">
        <v>0.59130434782608698</v>
      </c>
      <c r="O58" s="86">
        <v>0.38554216867469882</v>
      </c>
      <c r="P58" s="86">
        <v>0.47107438016528924</v>
      </c>
      <c r="Q58" s="86">
        <v>0.32835820895522388</v>
      </c>
    </row>
    <row r="59" spans="1:17" x14ac:dyDescent="0.4">
      <c r="A59" s="88">
        <v>56</v>
      </c>
      <c r="B59" s="85">
        <v>-395.39999999999992</v>
      </c>
      <c r="C59" s="85">
        <v>-7.0607142857142842</v>
      </c>
      <c r="D59" s="90">
        <v>2.1964285714285716</v>
      </c>
      <c r="E59" s="86">
        <v>0.25</v>
      </c>
      <c r="F59" s="86">
        <v>0.28837209302325584</v>
      </c>
      <c r="G59" s="86">
        <v>0.23953488372093024</v>
      </c>
      <c r="H59" s="87">
        <v>10838.709677419354</v>
      </c>
      <c r="I59" s="87">
        <v>-9733.0097087378635</v>
      </c>
      <c r="J59" s="86">
        <v>0.21428571428571427</v>
      </c>
      <c r="K59" s="86">
        <v>0.10714285714285714</v>
      </c>
      <c r="L59" s="86">
        <v>0.2951653944020356</v>
      </c>
      <c r="M59" s="86">
        <v>0.21882951653944022</v>
      </c>
      <c r="N59" s="86">
        <v>0.59482758620689657</v>
      </c>
      <c r="O59" s="86">
        <v>0.39534883720930231</v>
      </c>
      <c r="P59" s="86">
        <v>0.46774193548387094</v>
      </c>
      <c r="Q59" s="86">
        <v>0.3235294117647059</v>
      </c>
    </row>
    <row r="60" spans="1:17" x14ac:dyDescent="0.4">
      <c r="A60" s="88">
        <v>57</v>
      </c>
      <c r="B60" s="85">
        <v>-428.89999999999992</v>
      </c>
      <c r="C60" s="85">
        <v>-7.5245614035087707</v>
      </c>
      <c r="D60" s="90">
        <v>2.2105263157894739</v>
      </c>
      <c r="E60" s="86">
        <v>0.24561403508771928</v>
      </c>
      <c r="F60" s="86">
        <v>0.2847380410022779</v>
      </c>
      <c r="G60" s="86">
        <v>0.24373576309794989</v>
      </c>
      <c r="H60" s="87">
        <v>10784</v>
      </c>
      <c r="I60" s="87">
        <v>-9642.9906542056069</v>
      </c>
      <c r="J60" s="86">
        <v>0.21052631578947367</v>
      </c>
      <c r="K60" s="86">
        <v>0.10526315789473684</v>
      </c>
      <c r="L60" s="86">
        <v>0.29104477611940299</v>
      </c>
      <c r="M60" s="86">
        <v>0.22139303482587064</v>
      </c>
      <c r="N60" s="86">
        <v>0.58974358974358976</v>
      </c>
      <c r="O60" s="86">
        <v>0.39325842696629215</v>
      </c>
      <c r="P60" s="86">
        <v>0.47199999999999998</v>
      </c>
      <c r="Q60" s="86">
        <v>0.31654676258992803</v>
      </c>
    </row>
    <row r="61" spans="1:17" x14ac:dyDescent="0.4">
      <c r="A61" s="88">
        <v>58</v>
      </c>
      <c r="B61" s="85">
        <v>-466.39999999999992</v>
      </c>
      <c r="C61" s="85">
        <v>-8.0413793103448263</v>
      </c>
      <c r="D61" s="90">
        <v>2.2241379310344827</v>
      </c>
      <c r="E61" s="86">
        <v>0.2413793103448276</v>
      </c>
      <c r="F61" s="86">
        <v>0.28000000000000003</v>
      </c>
      <c r="G61" s="86">
        <v>0.24</v>
      </c>
      <c r="H61" s="87">
        <v>10761.904761904761</v>
      </c>
      <c r="I61" s="87">
        <v>-9664.8148148148157</v>
      </c>
      <c r="J61" s="86">
        <v>0.22413793103448276</v>
      </c>
      <c r="K61" s="86">
        <v>0.10344827586206896</v>
      </c>
      <c r="L61" s="86">
        <v>0.29055690072639223</v>
      </c>
      <c r="M61" s="86">
        <v>0.21791767554479419</v>
      </c>
      <c r="N61" s="86">
        <v>0.58333333333333337</v>
      </c>
      <c r="O61" s="86">
        <v>0.3888888888888889</v>
      </c>
      <c r="P61" s="86">
        <v>0.46825396825396826</v>
      </c>
      <c r="Q61" s="86">
        <v>0.31205673758865249</v>
      </c>
    </row>
    <row r="62" spans="1:17" x14ac:dyDescent="0.4">
      <c r="A62" s="88">
        <v>59</v>
      </c>
      <c r="B62" s="85">
        <v>-475.7999999999999</v>
      </c>
      <c r="C62" s="85">
        <v>-8.0644067796610148</v>
      </c>
      <c r="D62" s="90">
        <v>2.2372881355932202</v>
      </c>
      <c r="E62" s="86">
        <v>0.23728813559322035</v>
      </c>
      <c r="F62" s="86">
        <v>0.28104575163398693</v>
      </c>
      <c r="G62" s="86">
        <v>0.23965141612200436</v>
      </c>
      <c r="H62" s="87">
        <v>10663.565891472868</v>
      </c>
      <c r="I62" s="87">
        <v>-9670.9090909090901</v>
      </c>
      <c r="J62" s="86">
        <v>0.22033898305084745</v>
      </c>
      <c r="K62" s="86">
        <v>0.10169491525423729</v>
      </c>
      <c r="L62" s="86">
        <v>0.29146919431279622</v>
      </c>
      <c r="M62" s="86">
        <v>0.21800947867298578</v>
      </c>
      <c r="N62" s="86">
        <v>0.5934959349593496</v>
      </c>
      <c r="O62" s="86">
        <v>0.38043478260869568</v>
      </c>
      <c r="P62" s="86">
        <v>0.47286821705426357</v>
      </c>
      <c r="Q62" s="86">
        <v>0.30769230769230771</v>
      </c>
    </row>
    <row r="63" spans="1:17" x14ac:dyDescent="0.4">
      <c r="A63" s="88">
        <v>60</v>
      </c>
      <c r="B63" s="85">
        <v>-475.2999999999999</v>
      </c>
      <c r="C63" s="85">
        <v>-7.9216666666666651</v>
      </c>
      <c r="D63" s="90">
        <v>2.2333333333333334</v>
      </c>
      <c r="E63" s="86">
        <v>0.23333333333333334</v>
      </c>
      <c r="F63" s="86">
        <v>0.28265524625267668</v>
      </c>
      <c r="G63" s="86">
        <v>0.23768736616702354</v>
      </c>
      <c r="H63" s="87">
        <v>10678.787878787878</v>
      </c>
      <c r="I63" s="87">
        <v>-9691.8918918918916</v>
      </c>
      <c r="J63" s="86">
        <v>0.21666666666666667</v>
      </c>
      <c r="K63" s="86">
        <v>0.1</v>
      </c>
      <c r="L63" s="86">
        <v>0.29534883720930233</v>
      </c>
      <c r="M63" s="86">
        <v>0.21860465116279071</v>
      </c>
      <c r="N63" s="86">
        <v>0.59055118110236215</v>
      </c>
      <c r="O63" s="86">
        <v>0.38297872340425532</v>
      </c>
      <c r="P63" s="86">
        <v>0.4621212121212121</v>
      </c>
      <c r="Q63" s="86">
        <v>0.30821917808219179</v>
      </c>
    </row>
    <row r="64" spans="1:17" x14ac:dyDescent="0.4">
      <c r="A64" s="88">
        <v>61</v>
      </c>
      <c r="B64" s="85">
        <v>-487.39999999999992</v>
      </c>
      <c r="C64" s="85">
        <v>-7.9901639344262279</v>
      </c>
      <c r="D64" s="90">
        <v>2.2459016393442623</v>
      </c>
      <c r="E64" s="86">
        <v>0.22950819672131148</v>
      </c>
      <c r="F64" s="86">
        <v>0.28000000000000003</v>
      </c>
      <c r="G64" s="86">
        <v>0.23789473684210527</v>
      </c>
      <c r="H64" s="87">
        <v>10658.646616541353</v>
      </c>
      <c r="I64" s="87">
        <v>-9614.1592920353978</v>
      </c>
      <c r="J64" s="86">
        <v>0.21311475409836064</v>
      </c>
      <c r="K64" s="86">
        <v>9.8360655737704916E-2</v>
      </c>
      <c r="L64" s="86">
        <v>0.29680365296803651</v>
      </c>
      <c r="M64" s="86">
        <v>0.21917808219178081</v>
      </c>
      <c r="N64" s="86">
        <v>0.57692307692307687</v>
      </c>
      <c r="O64" s="86">
        <v>0.375</v>
      </c>
      <c r="P64" s="86">
        <v>0.46616541353383456</v>
      </c>
      <c r="Q64" s="86">
        <v>0.30405405405405406</v>
      </c>
    </row>
    <row r="65" spans="1:17" x14ac:dyDescent="0.4">
      <c r="A65" s="88">
        <v>62</v>
      </c>
      <c r="B65" s="85">
        <v>-492.59999999999991</v>
      </c>
      <c r="C65" s="85">
        <v>-7.945161290322579</v>
      </c>
      <c r="D65" s="90">
        <v>2.2419354838709675</v>
      </c>
      <c r="E65" s="86">
        <v>0.22580645161290322</v>
      </c>
      <c r="F65" s="86">
        <v>0.28041237113402062</v>
      </c>
      <c r="G65" s="86">
        <v>0.23711340206185566</v>
      </c>
      <c r="H65" s="87">
        <v>10600</v>
      </c>
      <c r="I65" s="87">
        <v>-9648.6956521739139</v>
      </c>
      <c r="J65" s="86">
        <v>0.20967741935483872</v>
      </c>
      <c r="K65" s="86">
        <v>9.6774193548387094E-2</v>
      </c>
      <c r="L65" s="86">
        <v>0.29464285714285715</v>
      </c>
      <c r="M65" s="86">
        <v>0.21651785714285715</v>
      </c>
      <c r="N65" s="86">
        <v>0.58333333333333337</v>
      </c>
      <c r="O65" s="86">
        <v>0.38144329896907214</v>
      </c>
      <c r="P65" s="86">
        <v>0.47058823529411764</v>
      </c>
      <c r="Q65" s="86">
        <v>0.30463576158940397</v>
      </c>
    </row>
    <row r="66" spans="1:17" x14ac:dyDescent="0.4">
      <c r="A66" s="88">
        <v>63</v>
      </c>
      <c r="B66" s="85">
        <v>-416.09999999999991</v>
      </c>
      <c r="C66" s="85">
        <v>-6.6047619047619035</v>
      </c>
      <c r="D66" s="90">
        <v>2.2222222222222223</v>
      </c>
      <c r="E66" s="86">
        <v>0.23809523809523808</v>
      </c>
      <c r="F66" s="86">
        <v>0.28973843058350102</v>
      </c>
      <c r="G66" s="86">
        <v>0.23340040241448692</v>
      </c>
      <c r="H66" s="87">
        <v>10589.583333333334</v>
      </c>
      <c r="I66" s="87">
        <v>-9620.689655172413</v>
      </c>
      <c r="J66" s="86">
        <v>0.20634920634920634</v>
      </c>
      <c r="K66" s="86">
        <v>0.12698412698412698</v>
      </c>
      <c r="L66" s="86">
        <v>0.30434782608695654</v>
      </c>
      <c r="M66" s="86">
        <v>0.21304347826086956</v>
      </c>
      <c r="N66" s="86">
        <v>0.6</v>
      </c>
      <c r="O66" s="86">
        <v>0.37755102040816324</v>
      </c>
      <c r="P66" s="86">
        <v>0.46527777777777779</v>
      </c>
      <c r="Q66" s="86">
        <v>0.32278481012658228</v>
      </c>
    </row>
    <row r="67" spans="1:17" x14ac:dyDescent="0.4">
      <c r="A67" s="88">
        <v>64</v>
      </c>
      <c r="B67" s="85">
        <v>-451.89999999999992</v>
      </c>
      <c r="C67" s="85">
        <v>-7.0609374999999988</v>
      </c>
      <c r="D67" s="90">
        <v>2.234375</v>
      </c>
      <c r="E67" s="86">
        <v>0.234375</v>
      </c>
      <c r="F67" s="86">
        <v>0.28827037773359843</v>
      </c>
      <c r="G67" s="86">
        <v>0.23459244532803181</v>
      </c>
      <c r="H67" s="87">
        <v>10552.413793103447</v>
      </c>
      <c r="I67" s="87">
        <v>-9705.0847457627115</v>
      </c>
      <c r="J67" s="86">
        <v>0.21875</v>
      </c>
      <c r="K67" s="86">
        <v>0.125</v>
      </c>
      <c r="L67" s="86">
        <v>0.30472103004291845</v>
      </c>
      <c r="M67" s="86">
        <v>0.21030042918454936</v>
      </c>
      <c r="N67" s="86">
        <v>0.59859154929577463</v>
      </c>
      <c r="O67" s="86">
        <v>0.37755102040816324</v>
      </c>
      <c r="P67" s="86">
        <v>0.46206896551724136</v>
      </c>
      <c r="Q67" s="86">
        <v>0.31874999999999998</v>
      </c>
    </row>
    <row r="68" spans="1:17" x14ac:dyDescent="0.4">
      <c r="A68" s="88">
        <v>65</v>
      </c>
      <c r="B68" s="85">
        <v>-454.09999999999991</v>
      </c>
      <c r="C68" s="85">
        <v>-6.9861538461538446</v>
      </c>
      <c r="D68" s="90">
        <v>2.2307692307692308</v>
      </c>
      <c r="E68" s="86">
        <v>0.23076923076923078</v>
      </c>
      <c r="F68" s="86">
        <v>0.2874015748031496</v>
      </c>
      <c r="G68" s="86">
        <v>0.23425196850393701</v>
      </c>
      <c r="H68" s="87">
        <v>10562.328767123288</v>
      </c>
      <c r="I68" s="87">
        <v>-9650.4201680672268</v>
      </c>
      <c r="J68" s="86">
        <v>0.2153846153846154</v>
      </c>
      <c r="K68" s="86">
        <v>0.12307692307692308</v>
      </c>
      <c r="L68" s="86">
        <v>0.30360934182590232</v>
      </c>
      <c r="M68" s="86">
        <v>0.21019108280254778</v>
      </c>
      <c r="N68" s="86">
        <v>0.59440559440559437</v>
      </c>
      <c r="O68" s="86">
        <v>0.37373737373737376</v>
      </c>
      <c r="P68" s="86">
        <v>0.46575342465753422</v>
      </c>
      <c r="Q68" s="86">
        <v>0.31677018633540371</v>
      </c>
    </row>
    <row r="69" spans="1:17" x14ac:dyDescent="0.4">
      <c r="A69" s="88">
        <v>66</v>
      </c>
      <c r="B69" s="85">
        <v>-470.99999999999989</v>
      </c>
      <c r="C69" s="85">
        <v>-7.1363636363636349</v>
      </c>
      <c r="D69" s="90">
        <v>2.2424242424242422</v>
      </c>
      <c r="E69" s="86">
        <v>0.22727272727272727</v>
      </c>
      <c r="F69" s="86">
        <v>0.28294573643410853</v>
      </c>
      <c r="G69" s="86">
        <v>0.23255813953488372</v>
      </c>
      <c r="H69" s="87">
        <v>10562.328767123288</v>
      </c>
      <c r="I69" s="87">
        <v>-9602.5</v>
      </c>
      <c r="J69" s="86">
        <v>0.21212121212121213</v>
      </c>
      <c r="K69" s="86">
        <v>0.12121212121212122</v>
      </c>
      <c r="L69" s="86">
        <v>0.30062630480167013</v>
      </c>
      <c r="M69" s="86">
        <v>0.21085594989561587</v>
      </c>
      <c r="N69" s="86">
        <v>0.59027777777777779</v>
      </c>
      <c r="O69" s="86">
        <v>0.36633663366336633</v>
      </c>
      <c r="P69" s="86">
        <v>0.46575342465753422</v>
      </c>
      <c r="Q69" s="86">
        <v>0.31288343558282211</v>
      </c>
    </row>
    <row r="70" spans="1:17" x14ac:dyDescent="0.4">
      <c r="A70" s="88">
        <v>67</v>
      </c>
      <c r="B70" s="85">
        <v>-508.39999999999986</v>
      </c>
      <c r="C70" s="85">
        <v>-7.5880597014925355</v>
      </c>
      <c r="D70" s="90">
        <v>2.2537313432835822</v>
      </c>
      <c r="E70" s="86">
        <v>0.22388059701492538</v>
      </c>
      <c r="F70" s="86">
        <v>0.28000000000000003</v>
      </c>
      <c r="G70" s="86">
        <v>0.23428571428571429</v>
      </c>
      <c r="H70" s="87">
        <v>10599.319727891156</v>
      </c>
      <c r="I70" s="87">
        <v>-9550.4065040650403</v>
      </c>
      <c r="J70" s="86">
        <v>0.22388059701492538</v>
      </c>
      <c r="K70" s="86">
        <v>0.11940298507462686</v>
      </c>
      <c r="L70" s="86">
        <v>0.29713114754098363</v>
      </c>
      <c r="M70" s="86">
        <v>0.21106557377049182</v>
      </c>
      <c r="N70" s="86">
        <v>0.59310344827586203</v>
      </c>
      <c r="O70" s="86">
        <v>0.35922330097087379</v>
      </c>
      <c r="P70" s="86">
        <v>0.46938775510204084</v>
      </c>
      <c r="Q70" s="86">
        <v>0.30909090909090908</v>
      </c>
    </row>
    <row r="71" spans="1:17" x14ac:dyDescent="0.4">
      <c r="A71" s="88">
        <v>68</v>
      </c>
      <c r="B71" s="85">
        <v>-418.69999999999987</v>
      </c>
      <c r="C71" s="85">
        <v>-6.1573529411764687</v>
      </c>
      <c r="D71" s="90">
        <v>2.2352941176470589</v>
      </c>
      <c r="E71" s="86">
        <v>0.23529411764705882</v>
      </c>
      <c r="F71" s="86">
        <v>0.28625235404896421</v>
      </c>
      <c r="G71" s="86">
        <v>0.23163841807909605</v>
      </c>
      <c r="H71" s="87">
        <v>10788.157894736842</v>
      </c>
      <c r="I71" s="87">
        <v>-9550.4065040650403</v>
      </c>
      <c r="J71" s="86">
        <v>0.22058823529411764</v>
      </c>
      <c r="K71" s="86">
        <v>0.13235294117647059</v>
      </c>
      <c r="L71" s="86">
        <v>0.29959514170040485</v>
      </c>
      <c r="M71" s="86">
        <v>0.20850202429149797</v>
      </c>
      <c r="N71" s="86">
        <v>0.60135135135135132</v>
      </c>
      <c r="O71" s="86">
        <v>0.35922330097087379</v>
      </c>
      <c r="P71" s="86">
        <v>0.46052631578947367</v>
      </c>
      <c r="Q71" s="86">
        <v>0.32941176470588235</v>
      </c>
    </row>
    <row r="72" spans="1:17" x14ac:dyDescent="0.4">
      <c r="A72" s="88">
        <v>69</v>
      </c>
      <c r="B72" s="85">
        <v>-387.49999999999989</v>
      </c>
      <c r="C72" s="85">
        <v>-5.615942028985506</v>
      </c>
      <c r="D72" s="90">
        <v>2.2173913043478262</v>
      </c>
      <c r="E72" s="86">
        <v>0.24637681159420291</v>
      </c>
      <c r="F72" s="86">
        <v>0.29151291512915128</v>
      </c>
      <c r="G72" s="86">
        <v>0.22878228782287824</v>
      </c>
      <c r="H72" s="87">
        <v>10778.481012658227</v>
      </c>
      <c r="I72" s="87">
        <v>-9570.1612903225814</v>
      </c>
      <c r="J72" s="86">
        <v>0.21739130434782608</v>
      </c>
      <c r="K72" s="86">
        <v>0.13043478260869565</v>
      </c>
      <c r="L72" s="86">
        <v>0.30297029702970296</v>
      </c>
      <c r="M72" s="86">
        <v>0.20594059405940593</v>
      </c>
      <c r="N72" s="86">
        <v>0.6143790849673203</v>
      </c>
      <c r="O72" s="86">
        <v>0.36538461538461536</v>
      </c>
      <c r="P72" s="86">
        <v>0.46202531645569622</v>
      </c>
      <c r="Q72" s="86">
        <v>0.33333333333333331</v>
      </c>
    </row>
    <row r="73" spans="1:17" x14ac:dyDescent="0.4">
      <c r="A73" s="88">
        <v>70</v>
      </c>
      <c r="B73" s="85">
        <v>-347.2999999999999</v>
      </c>
      <c r="C73" s="85">
        <v>-4.96142857142857</v>
      </c>
      <c r="D73" s="90">
        <v>2.2000000000000002</v>
      </c>
      <c r="E73" s="86">
        <v>0.25714285714285712</v>
      </c>
      <c r="F73" s="86">
        <v>0.29690346083788705</v>
      </c>
      <c r="G73" s="86">
        <v>0.22586520947176686</v>
      </c>
      <c r="H73" s="87">
        <v>10755.828220858895</v>
      </c>
      <c r="I73" s="87">
        <v>-9570.1612903225814</v>
      </c>
      <c r="J73" s="86">
        <v>0.21428571428571427</v>
      </c>
      <c r="K73" s="86">
        <v>0.14285714285714285</v>
      </c>
      <c r="L73" s="86">
        <v>0.3046875</v>
      </c>
      <c r="M73" s="86">
        <v>0.205078125</v>
      </c>
      <c r="N73" s="86">
        <v>0.62179487179487181</v>
      </c>
      <c r="O73" s="86">
        <v>0.37142857142857144</v>
      </c>
      <c r="P73" s="86">
        <v>0.46012269938650308</v>
      </c>
      <c r="Q73" s="86">
        <v>0.33333333333333331</v>
      </c>
    </row>
    <row r="74" spans="1:17" x14ac:dyDescent="0.4">
      <c r="A74" s="88">
        <v>71</v>
      </c>
      <c r="B74" s="85">
        <v>-368.2999999999999</v>
      </c>
      <c r="C74" s="85">
        <v>-5.18732394366197</v>
      </c>
      <c r="D74" s="90">
        <v>2.1971830985915495</v>
      </c>
      <c r="E74" s="86">
        <v>0.25352112676056338</v>
      </c>
      <c r="F74" s="86">
        <v>0.29475587703435807</v>
      </c>
      <c r="G74" s="86">
        <v>0.22784810126582278</v>
      </c>
      <c r="H74" s="87">
        <v>10755.828220858895</v>
      </c>
      <c r="I74" s="87">
        <v>-9576.9841269841272</v>
      </c>
      <c r="J74" s="86">
        <v>0.21126760563380281</v>
      </c>
      <c r="K74" s="86">
        <v>0.14084507042253522</v>
      </c>
      <c r="L74" s="86">
        <v>0.30426356589147285</v>
      </c>
      <c r="M74" s="86">
        <v>0.20348837209302326</v>
      </c>
      <c r="N74" s="86">
        <v>0.61783439490445857</v>
      </c>
      <c r="O74" s="86">
        <v>0.37142857142857144</v>
      </c>
      <c r="P74" s="86">
        <v>0.46012269938650308</v>
      </c>
      <c r="Q74" s="86">
        <v>0.33146067415730335</v>
      </c>
    </row>
    <row r="75" spans="1:17" x14ac:dyDescent="0.4">
      <c r="A75" s="88">
        <v>72</v>
      </c>
      <c r="B75" s="85">
        <v>-404.2999999999999</v>
      </c>
      <c r="C75" s="85">
        <v>-5.6152777777777763</v>
      </c>
      <c r="D75" s="90">
        <v>2.2083333333333335</v>
      </c>
      <c r="E75" s="86">
        <v>0.25</v>
      </c>
      <c r="F75" s="86">
        <v>0.29422382671480146</v>
      </c>
      <c r="G75" s="86">
        <v>0.2292418772563177</v>
      </c>
      <c r="H75" s="87">
        <v>10755.828220858895</v>
      </c>
      <c r="I75" s="87">
        <v>-9785.0393700787408</v>
      </c>
      <c r="J75" s="86">
        <v>0.22222222222222221</v>
      </c>
      <c r="K75" s="86">
        <v>0.1388888888888889</v>
      </c>
      <c r="L75" s="86">
        <v>0.30367504835589942</v>
      </c>
      <c r="M75" s="86">
        <v>0.20502901353965183</v>
      </c>
      <c r="N75" s="86">
        <v>0.61783439490445857</v>
      </c>
      <c r="O75" s="86">
        <v>0.36792452830188677</v>
      </c>
      <c r="P75" s="86">
        <v>0.46012269938650308</v>
      </c>
      <c r="Q75" s="86">
        <v>0.33146067415730335</v>
      </c>
    </row>
    <row r="76" spans="1:17" x14ac:dyDescent="0.4">
      <c r="A76" s="88">
        <v>73</v>
      </c>
      <c r="B76" s="85">
        <v>-413.69999999999987</v>
      </c>
      <c r="C76" s="85">
        <v>-5.667123287671231</v>
      </c>
      <c r="D76" s="90">
        <v>2.2054794520547945</v>
      </c>
      <c r="E76" s="86">
        <v>0.24657534246575341</v>
      </c>
      <c r="F76" s="86">
        <v>0.29484902309058614</v>
      </c>
      <c r="G76" s="86">
        <v>0.22912966252220249</v>
      </c>
      <c r="H76" s="87">
        <v>10793.975903614459</v>
      </c>
      <c r="I76" s="87">
        <v>-9834.8837209302328</v>
      </c>
      <c r="J76" s="86">
        <v>0.21917808219178081</v>
      </c>
      <c r="K76" s="86">
        <v>0.13698630136986301</v>
      </c>
      <c r="L76" s="86">
        <v>0.30418250950570341</v>
      </c>
      <c r="M76" s="86">
        <v>0.20532319391634982</v>
      </c>
      <c r="N76" s="86">
        <v>0.625</v>
      </c>
      <c r="O76" s="86">
        <v>0.3611111111111111</v>
      </c>
      <c r="P76" s="86">
        <v>0.46385542168674698</v>
      </c>
      <c r="Q76" s="86">
        <v>0.32777777777777778</v>
      </c>
    </row>
    <row r="77" spans="1:17" x14ac:dyDescent="0.4">
      <c r="A77" s="88">
        <v>74</v>
      </c>
      <c r="B77" s="85">
        <v>-399.19999999999987</v>
      </c>
      <c r="C77" s="85">
        <v>-5.3945945945945928</v>
      </c>
      <c r="D77" s="90">
        <v>2.189189189189189</v>
      </c>
      <c r="E77" s="86">
        <v>0.25675675675675674</v>
      </c>
      <c r="F77" s="86">
        <v>0.29597197898423816</v>
      </c>
      <c r="G77" s="86">
        <v>0.22591943957968477</v>
      </c>
      <c r="H77" s="87">
        <v>10751.479289940828</v>
      </c>
      <c r="I77" s="87">
        <v>-9834.8837209302328</v>
      </c>
      <c r="J77" s="86">
        <v>0.21621621621621623</v>
      </c>
      <c r="K77" s="86">
        <v>0.13513513513513514</v>
      </c>
      <c r="L77" s="86">
        <v>0.30524344569288392</v>
      </c>
      <c r="M77" s="86">
        <v>0.20411985018726592</v>
      </c>
      <c r="N77" s="86">
        <v>0.62576687116564422</v>
      </c>
      <c r="O77" s="86">
        <v>0.3669724770642202</v>
      </c>
      <c r="P77" s="86">
        <v>0.46153846153846156</v>
      </c>
      <c r="Q77" s="86">
        <v>0.32967032967032966</v>
      </c>
    </row>
    <row r="78" spans="1:17" x14ac:dyDescent="0.4">
      <c r="A78" s="88">
        <v>75</v>
      </c>
      <c r="B78" s="85">
        <v>-438.59999999999985</v>
      </c>
      <c r="C78" s="85">
        <v>-5.8479999999999981</v>
      </c>
      <c r="D78" s="90">
        <v>2.2000000000000002</v>
      </c>
      <c r="E78" s="86">
        <v>0.25333333333333335</v>
      </c>
      <c r="F78" s="86">
        <v>0.29411764705882354</v>
      </c>
      <c r="G78" s="86">
        <v>0.22664359861591696</v>
      </c>
      <c r="H78" s="87">
        <v>10718.823529411764</v>
      </c>
      <c r="I78" s="87">
        <v>-9944.2748091603062</v>
      </c>
      <c r="J78" s="86">
        <v>0.22666666666666666</v>
      </c>
      <c r="K78" s="86">
        <v>0.13333333333333333</v>
      </c>
      <c r="L78" s="86">
        <v>0.30868761552680224</v>
      </c>
      <c r="M78" s="86">
        <v>0.20517560073937152</v>
      </c>
      <c r="N78" s="86">
        <v>0.61676646706586824</v>
      </c>
      <c r="O78" s="86">
        <v>0.36036036036036034</v>
      </c>
      <c r="P78" s="86">
        <v>0.45882352941176469</v>
      </c>
      <c r="Q78" s="86">
        <v>0.32608695652173914</v>
      </c>
    </row>
    <row r="79" spans="1:17" x14ac:dyDescent="0.4">
      <c r="A79" s="88">
        <v>76</v>
      </c>
      <c r="B79" s="85">
        <v>-437.19999999999987</v>
      </c>
      <c r="C79" s="85">
        <v>-5.7526315789473665</v>
      </c>
      <c r="D79" s="90">
        <v>2.1973684210526314</v>
      </c>
      <c r="E79" s="86">
        <v>0.25</v>
      </c>
      <c r="F79" s="86">
        <v>0.29761904761904762</v>
      </c>
      <c r="G79" s="86">
        <v>0.22619047619047619</v>
      </c>
      <c r="H79" s="87">
        <v>10608.571428571429</v>
      </c>
      <c r="I79" s="87">
        <v>-9914.2857142857138</v>
      </c>
      <c r="J79" s="86">
        <v>0.22368421052631579</v>
      </c>
      <c r="K79" s="86">
        <v>0.13157894736842105</v>
      </c>
      <c r="L79" s="86">
        <v>0.31034482758620691</v>
      </c>
      <c r="M79" s="86">
        <v>0.20689655172413793</v>
      </c>
      <c r="N79" s="86">
        <v>0.6257309941520468</v>
      </c>
      <c r="O79" s="86">
        <v>0.35964912280701755</v>
      </c>
      <c r="P79" s="86">
        <v>0.45714285714285713</v>
      </c>
      <c r="Q79" s="86">
        <v>0.33333333333333331</v>
      </c>
    </row>
    <row r="80" spans="1:17" x14ac:dyDescent="0.4">
      <c r="A80" s="88">
        <v>77</v>
      </c>
      <c r="B80" s="85">
        <v>-439.99999999999989</v>
      </c>
      <c r="C80" s="85">
        <v>-5.7142857142857126</v>
      </c>
      <c r="D80" s="90">
        <v>2.1948051948051948</v>
      </c>
      <c r="E80" s="86">
        <v>0.24675324675324675</v>
      </c>
      <c r="F80" s="86">
        <v>0.29530201342281881</v>
      </c>
      <c r="G80" s="86">
        <v>0.22483221476510068</v>
      </c>
      <c r="H80" s="87">
        <v>10577.84090909091</v>
      </c>
      <c r="I80" s="87">
        <v>-9855.2238805970155</v>
      </c>
      <c r="J80" s="86">
        <v>0.22077922077922077</v>
      </c>
      <c r="K80" s="86">
        <v>0.12987012987012986</v>
      </c>
      <c r="L80" s="86">
        <v>0.30948121645796062</v>
      </c>
      <c r="M80" s="86">
        <v>0.2075134168157424</v>
      </c>
      <c r="N80" s="86">
        <v>0.62427745664739887</v>
      </c>
      <c r="O80" s="86">
        <v>0.35344827586206895</v>
      </c>
      <c r="P80" s="86">
        <v>0.45454545454545453</v>
      </c>
      <c r="Q80" s="86">
        <v>0.328125</v>
      </c>
    </row>
    <row r="81" spans="1:17" x14ac:dyDescent="0.4">
      <c r="A81" s="88">
        <v>78</v>
      </c>
      <c r="B81" s="85">
        <v>-428.19999999999987</v>
      </c>
      <c r="C81" s="85">
        <v>-5.489743589743588</v>
      </c>
      <c r="D81" s="90">
        <v>2.1794871794871793</v>
      </c>
      <c r="E81" s="86">
        <v>0.25641025641025639</v>
      </c>
      <c r="F81" s="86">
        <v>0.29470198675496689</v>
      </c>
      <c r="G81" s="86">
        <v>0.22682119205298013</v>
      </c>
      <c r="H81" s="87">
        <v>10661.23595505618</v>
      </c>
      <c r="I81" s="87">
        <v>-9823.3576642335775</v>
      </c>
      <c r="J81" s="86">
        <v>0.21794871794871795</v>
      </c>
      <c r="K81" s="86">
        <v>0.12820512820512819</v>
      </c>
      <c r="L81" s="86">
        <v>0.31040564373897706</v>
      </c>
      <c r="M81" s="86">
        <v>0.20987654320987653</v>
      </c>
      <c r="N81" s="86">
        <v>0.61931818181818177</v>
      </c>
      <c r="O81" s="86">
        <v>0.35294117647058826</v>
      </c>
      <c r="P81" s="86">
        <v>0.4606741573033708</v>
      </c>
      <c r="Q81" s="86">
        <v>0.32474226804123713</v>
      </c>
    </row>
    <row r="82" spans="1:17" x14ac:dyDescent="0.4">
      <c r="A82" s="88">
        <v>79</v>
      </c>
      <c r="B82" s="85">
        <v>-443.2999999999999</v>
      </c>
      <c r="C82" s="85">
        <v>-5.61139240506329</v>
      </c>
      <c r="D82" s="90">
        <v>2.1898734177215191</v>
      </c>
      <c r="E82" s="86">
        <v>0.25316455696202533</v>
      </c>
      <c r="F82" s="86">
        <v>0.29411764705882354</v>
      </c>
      <c r="G82" s="86">
        <v>0.22712418300653595</v>
      </c>
      <c r="H82" s="87">
        <v>10603.888888888889</v>
      </c>
      <c r="I82" s="87">
        <v>-9765.4676258992804</v>
      </c>
      <c r="J82" s="86">
        <v>0.21518987341772153</v>
      </c>
      <c r="K82" s="86">
        <v>0.12658227848101267</v>
      </c>
      <c r="L82" s="86">
        <v>0.30608695652173912</v>
      </c>
      <c r="M82" s="86">
        <v>0.20869565217391303</v>
      </c>
      <c r="N82" s="86">
        <v>0.61931818181818177</v>
      </c>
      <c r="O82" s="86">
        <v>0.35833333333333334</v>
      </c>
      <c r="P82" s="86">
        <v>0.46666666666666667</v>
      </c>
      <c r="Q82" s="86">
        <v>0.32487309644670048</v>
      </c>
    </row>
    <row r="83" spans="1:17" x14ac:dyDescent="0.4">
      <c r="A83" s="88">
        <v>80</v>
      </c>
      <c r="B83" s="85">
        <v>-454.99999999999989</v>
      </c>
      <c r="C83" s="85">
        <v>-5.6874999999999982</v>
      </c>
      <c r="D83" s="90">
        <v>2.1875</v>
      </c>
      <c r="E83" s="86">
        <v>0.25</v>
      </c>
      <c r="F83" s="86">
        <v>0.29288025889967639</v>
      </c>
      <c r="G83" s="86">
        <v>0.22491909385113268</v>
      </c>
      <c r="H83" s="87">
        <v>10611.602209944751</v>
      </c>
      <c r="I83" s="87">
        <v>-9765.4676258992804</v>
      </c>
      <c r="J83" s="86">
        <v>0.21249999999999999</v>
      </c>
      <c r="K83" s="86">
        <v>0.125</v>
      </c>
      <c r="L83" s="86">
        <v>0.30636833046471601</v>
      </c>
      <c r="M83" s="86">
        <v>0.20826161790017211</v>
      </c>
      <c r="N83" s="86">
        <v>0.61235955056179781</v>
      </c>
      <c r="O83" s="86">
        <v>0.35537190082644626</v>
      </c>
      <c r="P83" s="86">
        <v>0.46961325966850831</v>
      </c>
      <c r="Q83" s="86">
        <v>0.32500000000000001</v>
      </c>
    </row>
    <row r="84" spans="1:17" x14ac:dyDescent="0.4">
      <c r="A84" s="88">
        <v>81</v>
      </c>
      <c r="B84" s="85">
        <v>-398.59999999999991</v>
      </c>
      <c r="C84" s="85">
        <v>-4.9209876543209869</v>
      </c>
      <c r="D84" s="90">
        <v>2.1728395061728394</v>
      </c>
      <c r="E84" s="86">
        <v>0.25925925925925924</v>
      </c>
      <c r="F84" s="86">
        <v>0.2969502407704655</v>
      </c>
      <c r="G84" s="86">
        <v>0.2231139646869984</v>
      </c>
      <c r="H84" s="87">
        <v>10651.891891891892</v>
      </c>
      <c r="I84" s="87">
        <v>-9765.4676258992804</v>
      </c>
      <c r="J84" s="86">
        <v>0.20987654320987653</v>
      </c>
      <c r="K84" s="86">
        <v>0.13580246913580246</v>
      </c>
      <c r="L84" s="86">
        <v>0.30716723549488056</v>
      </c>
      <c r="M84" s="86">
        <v>0.20989761092150169</v>
      </c>
      <c r="N84" s="86">
        <v>0.6166666666666667</v>
      </c>
      <c r="O84" s="86">
        <v>0.36585365853658536</v>
      </c>
      <c r="P84" s="86">
        <v>0.4702702702702703</v>
      </c>
      <c r="Q84" s="86">
        <v>0.3316831683168317</v>
      </c>
    </row>
    <row r="85" spans="1:17" x14ac:dyDescent="0.4">
      <c r="A85" s="88">
        <v>82</v>
      </c>
      <c r="B85" s="85">
        <v>-353.59999999999991</v>
      </c>
      <c r="C85" s="85">
        <v>-4.312195121951218</v>
      </c>
      <c r="D85" s="90">
        <v>2.1585365853658538</v>
      </c>
      <c r="E85" s="86">
        <v>0.26829268292682928</v>
      </c>
      <c r="F85" s="86">
        <v>0.29665071770334928</v>
      </c>
      <c r="G85" s="86">
        <v>0.22169059011164274</v>
      </c>
      <c r="H85" s="87">
        <v>10852.68817204301</v>
      </c>
      <c r="I85" s="87">
        <v>-9765.4676258992804</v>
      </c>
      <c r="J85" s="86">
        <v>0.2073170731707317</v>
      </c>
      <c r="K85" s="86">
        <v>0.14634146341463414</v>
      </c>
      <c r="L85" s="86">
        <v>0.30847457627118646</v>
      </c>
      <c r="M85" s="86">
        <v>0.20847457627118643</v>
      </c>
      <c r="N85" s="86">
        <v>0.61538461538461542</v>
      </c>
      <c r="O85" s="86">
        <v>0.36585365853658536</v>
      </c>
      <c r="P85" s="86">
        <v>0.4731182795698925</v>
      </c>
      <c r="Q85" s="86">
        <v>0.33497536945812806</v>
      </c>
    </row>
    <row r="86" spans="1:17" x14ac:dyDescent="0.4">
      <c r="A86" s="88">
        <v>83</v>
      </c>
      <c r="B86" s="85">
        <v>-354.2999999999999</v>
      </c>
      <c r="C86" s="85">
        <v>-4.2686746987951798</v>
      </c>
      <c r="D86" s="90">
        <v>2.1566265060240966</v>
      </c>
      <c r="E86" s="86">
        <v>0.26506024096385544</v>
      </c>
      <c r="F86" s="86">
        <v>0.29577464788732394</v>
      </c>
      <c r="G86" s="86">
        <v>0.22065727699530516</v>
      </c>
      <c r="H86" s="87">
        <v>10849.73544973545</v>
      </c>
      <c r="I86" s="87">
        <v>-9724.8226950354601</v>
      </c>
      <c r="J86" s="86">
        <v>0.20481927710843373</v>
      </c>
      <c r="K86" s="86">
        <v>0.14457831325301204</v>
      </c>
      <c r="L86" s="86">
        <v>0.30897009966777411</v>
      </c>
      <c r="M86" s="86">
        <v>0.20764119601328904</v>
      </c>
      <c r="N86" s="86">
        <v>0.60752688172043012</v>
      </c>
      <c r="O86" s="86">
        <v>0.376</v>
      </c>
      <c r="P86" s="86">
        <v>0.46560846560846558</v>
      </c>
      <c r="Q86" s="86">
        <v>0.33816425120772947</v>
      </c>
    </row>
    <row r="87" spans="1:17" x14ac:dyDescent="0.4">
      <c r="A87" s="88">
        <v>84</v>
      </c>
      <c r="B87" s="85">
        <v>-344.19999999999987</v>
      </c>
      <c r="C87" s="85">
        <v>-4.0976190476190464</v>
      </c>
      <c r="D87" s="90">
        <v>2.1547619047619047</v>
      </c>
      <c r="E87" s="86">
        <v>0.26190476190476192</v>
      </c>
      <c r="F87" s="86">
        <v>0.29721362229102166</v>
      </c>
      <c r="G87" s="86">
        <v>0.21826625386996903</v>
      </c>
      <c r="H87" s="87">
        <v>10795.3125</v>
      </c>
      <c r="I87" s="87">
        <v>-9724.8226950354601</v>
      </c>
      <c r="J87" s="86">
        <v>0.20238095238095238</v>
      </c>
      <c r="K87" s="86">
        <v>0.14285714285714285</v>
      </c>
      <c r="L87" s="86">
        <v>0.31198686371100165</v>
      </c>
      <c r="M87" s="86">
        <v>0.20689655172413793</v>
      </c>
      <c r="N87" s="86">
        <v>0.60526315789473684</v>
      </c>
      <c r="O87" s="86">
        <v>0.38095238095238093</v>
      </c>
      <c r="P87" s="86">
        <v>0.46354166666666669</v>
      </c>
      <c r="Q87" s="86">
        <v>0.3349282296650718</v>
      </c>
    </row>
    <row r="88" spans="1:17" x14ac:dyDescent="0.4">
      <c r="A88" s="88">
        <v>85</v>
      </c>
      <c r="B88" s="85">
        <v>-379.99999999999989</v>
      </c>
      <c r="C88" s="85">
        <v>-4.470588235294116</v>
      </c>
      <c r="D88" s="90">
        <v>2.164705882352941</v>
      </c>
      <c r="E88" s="86">
        <v>0.25882352941176473</v>
      </c>
      <c r="F88" s="86">
        <v>0.29555895865237364</v>
      </c>
      <c r="G88" s="86">
        <v>0.21898928024502298</v>
      </c>
      <c r="H88" s="87">
        <v>10822.279792746114</v>
      </c>
      <c r="I88" s="87">
        <v>-9798.6013986013986</v>
      </c>
      <c r="J88" s="86">
        <v>0.21176470588235294</v>
      </c>
      <c r="K88" s="86">
        <v>0.14117647058823529</v>
      </c>
      <c r="L88" s="86">
        <v>0.31168831168831168</v>
      </c>
      <c r="M88" s="86">
        <v>0.20779220779220781</v>
      </c>
      <c r="N88" s="86">
        <v>0.59895833333333337</v>
      </c>
      <c r="O88" s="86">
        <v>0.3828125</v>
      </c>
      <c r="P88" s="86">
        <v>0.46113989637305697</v>
      </c>
      <c r="Q88" s="86">
        <v>0.33175355450236965</v>
      </c>
    </row>
    <row r="89" spans="1:17" x14ac:dyDescent="0.4">
      <c r="A89" s="88">
        <v>86</v>
      </c>
      <c r="B89" s="85">
        <v>-383.7999999999999</v>
      </c>
      <c r="C89" s="85">
        <v>-4.4627906976744178</v>
      </c>
      <c r="D89" s="90">
        <v>2.1744186046511627</v>
      </c>
      <c r="E89" s="86">
        <v>0.2558139534883721</v>
      </c>
      <c r="F89" s="86">
        <v>0.29349470499243568</v>
      </c>
      <c r="G89" s="86">
        <v>0.21936459909228442</v>
      </c>
      <c r="H89" s="87">
        <v>10793.298969072164</v>
      </c>
      <c r="I89" s="87">
        <v>-9739.310344827587</v>
      </c>
      <c r="J89" s="86">
        <v>0.20930232558139536</v>
      </c>
      <c r="K89" s="86">
        <v>0.13953488372093023</v>
      </c>
      <c r="L89" s="86">
        <v>0.3108974358974359</v>
      </c>
      <c r="M89" s="86">
        <v>0.20673076923076922</v>
      </c>
      <c r="N89" s="86">
        <v>0.59793814432989689</v>
      </c>
      <c r="O89" s="86">
        <v>0.37984496124031009</v>
      </c>
      <c r="P89" s="86">
        <v>0.45876288659793812</v>
      </c>
      <c r="Q89" s="86">
        <v>0.32863849765258218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7413A-0922-40EE-AD6F-D7FD44DDA3DE}">
  <sheetPr codeName="Sheet24"/>
  <dimension ref="A1:Q26"/>
  <sheetViews>
    <sheetView workbookViewId="0"/>
  </sheetViews>
  <sheetFormatPr defaultColWidth="10.75" defaultRowHeight="18.75" x14ac:dyDescent="0.4"/>
  <cols>
    <col min="1" max="1" width="10.75" style="88"/>
    <col min="2" max="3" width="10.75" style="85"/>
    <col min="4" max="4" width="10.75" style="90"/>
    <col min="5" max="7" width="10.75" style="86"/>
    <col min="8" max="9" width="10.75" style="87"/>
    <col min="10" max="17" width="10.75" style="86"/>
    <col min="18" max="16384" width="10.75" style="89"/>
  </cols>
  <sheetData>
    <row r="1" spans="1:17" x14ac:dyDescent="0.4">
      <c r="A1" s="89" t="s">
        <v>138</v>
      </c>
      <c r="B1" s="89" t="s">
        <v>138</v>
      </c>
      <c r="C1" s="89" t="s">
        <v>138</v>
      </c>
      <c r="D1" s="90" t="s">
        <v>138</v>
      </c>
      <c r="E1" s="89" t="s">
        <v>138</v>
      </c>
      <c r="F1" s="89" t="s">
        <v>138</v>
      </c>
      <c r="G1" s="89" t="s">
        <v>138</v>
      </c>
      <c r="H1" s="89" t="s">
        <v>138</v>
      </c>
      <c r="I1" s="89" t="s">
        <v>138</v>
      </c>
      <c r="J1" s="89" t="s">
        <v>138</v>
      </c>
      <c r="K1" s="89" t="s">
        <v>138</v>
      </c>
      <c r="L1" s="89" t="s">
        <v>138</v>
      </c>
      <c r="M1" s="89" t="s">
        <v>138</v>
      </c>
      <c r="N1" s="89" t="s">
        <v>138</v>
      </c>
      <c r="O1" s="89" t="s">
        <v>138</v>
      </c>
      <c r="P1" s="89" t="s">
        <v>138</v>
      </c>
      <c r="Q1" s="89" t="s">
        <v>138</v>
      </c>
    </row>
    <row r="2" spans="1:17" x14ac:dyDescent="0.4">
      <c r="A2" s="89" t="s">
        <v>9</v>
      </c>
      <c r="B2" s="89" t="s">
        <v>6</v>
      </c>
      <c r="C2" s="89" t="s">
        <v>7</v>
      </c>
      <c r="D2" s="90" t="s">
        <v>16</v>
      </c>
      <c r="E2" s="89" t="s">
        <v>15</v>
      </c>
      <c r="F2" s="89" t="s">
        <v>167</v>
      </c>
      <c r="G2" s="89" t="s">
        <v>166</v>
      </c>
      <c r="H2" s="89" t="s">
        <v>5</v>
      </c>
      <c r="I2" s="89" t="s">
        <v>17</v>
      </c>
      <c r="J2" s="89" t="s">
        <v>18</v>
      </c>
      <c r="K2" s="89" t="s">
        <v>159</v>
      </c>
      <c r="L2" s="89" t="s">
        <v>129</v>
      </c>
      <c r="M2" s="89" t="s">
        <v>124</v>
      </c>
      <c r="N2" s="89" t="s">
        <v>132</v>
      </c>
      <c r="O2" s="89" t="s">
        <v>168</v>
      </c>
      <c r="P2" s="89" t="s">
        <v>164</v>
      </c>
      <c r="Q2" s="89" t="s">
        <v>149</v>
      </c>
    </row>
    <row r="3" spans="1:17" x14ac:dyDescent="0.4">
      <c r="A3" s="88">
        <v>0</v>
      </c>
      <c r="B3" s="85">
        <v>0</v>
      </c>
    </row>
    <row r="4" spans="1:17" x14ac:dyDescent="0.4">
      <c r="A4" s="88">
        <v>1</v>
      </c>
      <c r="B4" s="85">
        <v>-14.4</v>
      </c>
      <c r="C4" s="85">
        <v>-14.4</v>
      </c>
      <c r="D4" s="90">
        <v>2</v>
      </c>
      <c r="E4" s="86">
        <v>0</v>
      </c>
      <c r="F4" s="86">
        <v>0.1111111111111111</v>
      </c>
      <c r="G4" s="86">
        <v>0.22222222222222221</v>
      </c>
      <c r="H4" s="87">
        <v>16000</v>
      </c>
      <c r="I4" s="87">
        <v>-12850</v>
      </c>
      <c r="J4" s="86">
        <v>0</v>
      </c>
      <c r="K4" s="86">
        <v>0</v>
      </c>
      <c r="P4" s="86">
        <v>1</v>
      </c>
      <c r="Q4" s="86">
        <v>0</v>
      </c>
    </row>
    <row r="5" spans="1:17" x14ac:dyDescent="0.4">
      <c r="A5" s="88">
        <v>2</v>
      </c>
      <c r="B5" s="85">
        <v>37.6</v>
      </c>
      <c r="C5" s="85">
        <v>18.8</v>
      </c>
      <c r="D5" s="90">
        <v>1.5</v>
      </c>
      <c r="E5" s="86">
        <v>0.5</v>
      </c>
      <c r="F5" s="86">
        <v>0.23076923076923078</v>
      </c>
      <c r="G5" s="86">
        <v>0.15384615384615385</v>
      </c>
      <c r="H5" s="87">
        <v>23333.333333333332</v>
      </c>
      <c r="I5" s="87">
        <v>-12850</v>
      </c>
      <c r="J5" s="86">
        <v>0</v>
      </c>
      <c r="K5" s="86">
        <v>0.5</v>
      </c>
      <c r="P5" s="86">
        <v>1</v>
      </c>
      <c r="Q5" s="86">
        <v>0.5</v>
      </c>
    </row>
    <row r="6" spans="1:17" x14ac:dyDescent="0.4">
      <c r="A6" s="88">
        <v>3</v>
      </c>
      <c r="B6" s="85">
        <v>-2.7999999999999972</v>
      </c>
      <c r="C6" s="85">
        <v>-0.93333333333333235</v>
      </c>
      <c r="D6" s="90">
        <v>2</v>
      </c>
      <c r="E6" s="86">
        <v>0.33333333333333331</v>
      </c>
      <c r="F6" s="86">
        <v>0.21739130434782608</v>
      </c>
      <c r="G6" s="86">
        <v>0.21739130434782608</v>
      </c>
      <c r="H6" s="87">
        <v>16800</v>
      </c>
      <c r="I6" s="87">
        <v>-9720</v>
      </c>
      <c r="J6" s="86">
        <v>0.33333333333333331</v>
      </c>
      <c r="K6" s="86">
        <v>0.33333333333333331</v>
      </c>
      <c r="P6" s="86">
        <v>0.8</v>
      </c>
      <c r="Q6" s="86">
        <v>0.42857142857142855</v>
      </c>
    </row>
    <row r="7" spans="1:17" x14ac:dyDescent="0.4">
      <c r="A7" s="88">
        <v>4</v>
      </c>
      <c r="B7" s="85">
        <v>-44.3</v>
      </c>
      <c r="C7" s="85">
        <v>-11.074999999999999</v>
      </c>
      <c r="D7" s="90">
        <v>2.25</v>
      </c>
      <c r="E7" s="86">
        <v>0.25</v>
      </c>
      <c r="F7" s="86">
        <v>0.18518518518518517</v>
      </c>
      <c r="G7" s="86">
        <v>0.25925925925925924</v>
      </c>
      <c r="H7" s="87">
        <v>16800</v>
      </c>
      <c r="I7" s="87">
        <v>-11228.571428571429</v>
      </c>
      <c r="J7" s="86">
        <v>0.5</v>
      </c>
      <c r="K7" s="86">
        <v>0.25</v>
      </c>
      <c r="P7" s="86">
        <v>0.8</v>
      </c>
      <c r="Q7" s="86">
        <v>0.42857142857142855</v>
      </c>
    </row>
    <row r="8" spans="1:17" x14ac:dyDescent="0.4">
      <c r="A8" s="88">
        <v>5</v>
      </c>
      <c r="B8" s="85">
        <v>8.2000000000000028</v>
      </c>
      <c r="C8" s="85">
        <v>1.6400000000000006</v>
      </c>
      <c r="D8" s="90">
        <v>2</v>
      </c>
      <c r="E8" s="86">
        <v>0.4</v>
      </c>
      <c r="F8" s="86">
        <v>0.2857142857142857</v>
      </c>
      <c r="G8" s="86">
        <v>0.22857142857142856</v>
      </c>
      <c r="H8" s="87">
        <v>15800</v>
      </c>
      <c r="I8" s="87">
        <v>-12075</v>
      </c>
      <c r="J8" s="86">
        <v>0.4</v>
      </c>
      <c r="K8" s="86">
        <v>0.4</v>
      </c>
      <c r="P8" s="86">
        <v>0.8</v>
      </c>
      <c r="Q8" s="86">
        <v>0.5</v>
      </c>
    </row>
    <row r="9" spans="1:17" x14ac:dyDescent="0.4">
      <c r="A9" s="88">
        <v>6</v>
      </c>
      <c r="B9" s="85">
        <v>23.200000000000003</v>
      </c>
      <c r="C9" s="85">
        <v>3.8666666666666671</v>
      </c>
      <c r="D9" s="90">
        <v>1.8333333333333333</v>
      </c>
      <c r="E9" s="86">
        <v>0.5</v>
      </c>
      <c r="F9" s="86">
        <v>0.30952380952380953</v>
      </c>
      <c r="G9" s="86">
        <v>0.21428571428571427</v>
      </c>
      <c r="H9" s="87">
        <v>14430.76923076923</v>
      </c>
      <c r="I9" s="87">
        <v>-11022.222222222223</v>
      </c>
      <c r="J9" s="86">
        <v>0.33333333333333331</v>
      </c>
      <c r="K9" s="86">
        <v>0.33333333333333331</v>
      </c>
      <c r="P9" s="86">
        <v>0.69230769230769229</v>
      </c>
      <c r="Q9" s="86">
        <v>0.46666666666666667</v>
      </c>
    </row>
    <row r="10" spans="1:17" x14ac:dyDescent="0.4">
      <c r="A10" s="88">
        <v>7</v>
      </c>
      <c r="B10" s="85">
        <v>40</v>
      </c>
      <c r="C10" s="85">
        <v>5.7142857142857144</v>
      </c>
      <c r="D10" s="90">
        <v>1.7142857142857142</v>
      </c>
      <c r="E10" s="86">
        <v>0.5714285714285714</v>
      </c>
      <c r="F10" s="86">
        <v>0.32</v>
      </c>
      <c r="G10" s="86">
        <v>0.18</v>
      </c>
      <c r="H10" s="87">
        <v>13056.25</v>
      </c>
      <c r="I10" s="87">
        <v>-11022.222222222223</v>
      </c>
      <c r="J10" s="86">
        <v>0.2857142857142857</v>
      </c>
      <c r="K10" s="86">
        <v>0.2857142857142857</v>
      </c>
      <c r="P10" s="86">
        <v>0.625</v>
      </c>
      <c r="Q10" s="86">
        <v>0.42105263157894735</v>
      </c>
    </row>
    <row r="11" spans="1:17" x14ac:dyDescent="0.4">
      <c r="A11" s="88">
        <v>8</v>
      </c>
      <c r="B11" s="85">
        <v>4.2000000000000028</v>
      </c>
      <c r="C11" s="85">
        <v>0.52500000000000036</v>
      </c>
      <c r="D11" s="90">
        <v>1.875</v>
      </c>
      <c r="E11" s="86">
        <v>0.5</v>
      </c>
      <c r="F11" s="86">
        <v>0.28333333333333333</v>
      </c>
      <c r="G11" s="86">
        <v>0.18333333333333332</v>
      </c>
      <c r="H11" s="87">
        <v>12741.176470588236</v>
      </c>
      <c r="I11" s="87">
        <v>-9927.2727272727279</v>
      </c>
      <c r="J11" s="86">
        <v>0.375</v>
      </c>
      <c r="K11" s="86">
        <v>0.25</v>
      </c>
      <c r="P11" s="86">
        <v>0.58823529411764708</v>
      </c>
      <c r="Q11" s="86">
        <v>0.42857142857142855</v>
      </c>
    </row>
    <row r="12" spans="1:17" x14ac:dyDescent="0.4">
      <c r="A12" s="88">
        <v>9</v>
      </c>
      <c r="B12" s="85">
        <v>6.8000000000000025</v>
      </c>
      <c r="C12" s="85">
        <v>0.75555555555555587</v>
      </c>
      <c r="D12" s="90">
        <v>1.8888888888888888</v>
      </c>
      <c r="E12" s="86">
        <v>0.44444444444444442</v>
      </c>
      <c r="F12" s="86">
        <v>0.29508196721311475</v>
      </c>
      <c r="G12" s="86">
        <v>0.18032786885245902</v>
      </c>
      <c r="H12" s="87">
        <v>12177.777777777777</v>
      </c>
      <c r="I12" s="87">
        <v>-9927.2727272727279</v>
      </c>
      <c r="J12" s="86">
        <v>0.33333333333333331</v>
      </c>
      <c r="K12" s="86">
        <v>0.22222222222222221</v>
      </c>
      <c r="P12" s="86">
        <v>0.55555555555555558</v>
      </c>
      <c r="Q12" s="86">
        <v>0.42857142857142855</v>
      </c>
    </row>
    <row r="13" spans="1:17" x14ac:dyDescent="0.4">
      <c r="A13" s="88">
        <v>10</v>
      </c>
      <c r="B13" s="85">
        <v>56.800000000000004</v>
      </c>
      <c r="C13" s="85">
        <v>5.6800000000000006</v>
      </c>
      <c r="D13" s="90">
        <v>1.8</v>
      </c>
      <c r="E13" s="86">
        <v>0.5</v>
      </c>
      <c r="F13" s="86">
        <v>0.33333333333333331</v>
      </c>
      <c r="G13" s="86">
        <v>0.16666666666666666</v>
      </c>
      <c r="H13" s="87">
        <v>12168.181818181818</v>
      </c>
      <c r="I13" s="87">
        <v>-9927.2727272727279</v>
      </c>
      <c r="J13" s="86">
        <v>0.3</v>
      </c>
      <c r="K13" s="86">
        <v>0.3</v>
      </c>
      <c r="P13" s="86">
        <v>0.5</v>
      </c>
      <c r="Q13" s="86">
        <v>0.52</v>
      </c>
    </row>
    <row r="14" spans="1:17" x14ac:dyDescent="0.4">
      <c r="A14" s="88">
        <v>11</v>
      </c>
      <c r="B14" s="85">
        <v>69.300000000000011</v>
      </c>
      <c r="C14" s="85">
        <v>6.3000000000000007</v>
      </c>
      <c r="D14" s="90">
        <v>1.7272727272727273</v>
      </c>
      <c r="E14" s="86">
        <v>0.54545454545454541</v>
      </c>
      <c r="F14" s="86">
        <v>0.34722222222222221</v>
      </c>
      <c r="G14" s="86">
        <v>0.15277777777777779</v>
      </c>
      <c r="H14" s="87">
        <v>11396</v>
      </c>
      <c r="I14" s="87">
        <v>-9927.2727272727279</v>
      </c>
      <c r="J14" s="86">
        <v>0.27272727272727271</v>
      </c>
      <c r="K14" s="86">
        <v>0.27272727272727271</v>
      </c>
      <c r="P14" s="86">
        <v>0.48</v>
      </c>
      <c r="Q14" s="86">
        <v>0.48148148148148145</v>
      </c>
    </row>
    <row r="15" spans="1:17" x14ac:dyDescent="0.4">
      <c r="A15" s="88">
        <v>12</v>
      </c>
      <c r="B15" s="85">
        <v>80.800000000000011</v>
      </c>
      <c r="C15" s="85">
        <v>6.7333333333333343</v>
      </c>
      <c r="D15" s="90">
        <v>1.75</v>
      </c>
      <c r="E15" s="86">
        <v>0.5</v>
      </c>
      <c r="F15" s="86">
        <v>0.34146341463414637</v>
      </c>
      <c r="G15" s="86">
        <v>0.13414634146341464</v>
      </c>
      <c r="H15" s="87">
        <v>10857.142857142857</v>
      </c>
      <c r="I15" s="87">
        <v>-9927.2727272727279</v>
      </c>
      <c r="J15" s="86">
        <v>0.25</v>
      </c>
      <c r="K15" s="86">
        <v>0.25</v>
      </c>
      <c r="P15" s="86">
        <v>0.4642857142857143</v>
      </c>
      <c r="Q15" s="86">
        <v>0.45454545454545453</v>
      </c>
    </row>
    <row r="16" spans="1:17" x14ac:dyDescent="0.4">
      <c r="A16" s="88">
        <v>13</v>
      </c>
      <c r="B16" s="85">
        <v>155.10000000000002</v>
      </c>
      <c r="C16" s="85">
        <v>11.930769230769233</v>
      </c>
      <c r="D16" s="90">
        <v>1.6923076923076923</v>
      </c>
      <c r="E16" s="86">
        <v>0.53846153846153844</v>
      </c>
      <c r="F16" s="86">
        <v>0.36363636363636365</v>
      </c>
      <c r="G16" s="86">
        <v>0.13636363636363635</v>
      </c>
      <c r="H16" s="87">
        <v>11843.75</v>
      </c>
      <c r="I16" s="87">
        <v>-9741.6666666666661</v>
      </c>
      <c r="J16" s="86">
        <v>0.23076923076923078</v>
      </c>
      <c r="K16" s="86">
        <v>0.30769230769230771</v>
      </c>
      <c r="L16" s="86">
        <v>0.33333333333333331</v>
      </c>
      <c r="M16" s="86">
        <v>0.16666666666666666</v>
      </c>
      <c r="N16" s="86">
        <v>1</v>
      </c>
      <c r="O16" s="86">
        <v>1</v>
      </c>
      <c r="P16" s="86">
        <v>0.46875</v>
      </c>
      <c r="Q16" s="86">
        <v>0.51351351351351349</v>
      </c>
    </row>
    <row r="17" spans="1:17" x14ac:dyDescent="0.4">
      <c r="A17" s="88">
        <v>14</v>
      </c>
      <c r="B17" s="85">
        <v>147.10000000000002</v>
      </c>
      <c r="C17" s="85">
        <v>10.507142857142858</v>
      </c>
      <c r="D17" s="90">
        <v>1.7857142857142858</v>
      </c>
      <c r="E17" s="86">
        <v>0.5</v>
      </c>
      <c r="F17" s="86">
        <v>0.34693877551020408</v>
      </c>
      <c r="G17" s="86">
        <v>0.1326530612244898</v>
      </c>
      <c r="H17" s="87">
        <v>11467.64705882353</v>
      </c>
      <c r="I17" s="87">
        <v>-9915.3846153846152</v>
      </c>
      <c r="J17" s="86">
        <v>0.21428571428571427</v>
      </c>
      <c r="K17" s="86">
        <v>0.2857142857142857</v>
      </c>
      <c r="L17" s="86">
        <v>0.25</v>
      </c>
      <c r="M17" s="86">
        <v>0.375</v>
      </c>
      <c r="N17" s="86">
        <v>0.5</v>
      </c>
      <c r="O17" s="86">
        <v>0.33333333333333331</v>
      </c>
      <c r="P17" s="86">
        <v>0.47058823529411764</v>
      </c>
      <c r="Q17" s="86">
        <v>0.5</v>
      </c>
    </row>
    <row r="18" spans="1:17" x14ac:dyDescent="0.4">
      <c r="A18" s="88">
        <v>15</v>
      </c>
      <c r="B18" s="85">
        <v>148.80000000000001</v>
      </c>
      <c r="C18" s="85">
        <v>9.92</v>
      </c>
      <c r="D18" s="90">
        <v>1.8</v>
      </c>
      <c r="E18" s="86">
        <v>0.46666666666666667</v>
      </c>
      <c r="F18" s="86">
        <v>0.33333333333333331</v>
      </c>
      <c r="G18" s="86">
        <v>0.14285714285714285</v>
      </c>
      <c r="H18" s="87">
        <v>11654.285714285714</v>
      </c>
      <c r="I18" s="87">
        <v>-9113.3333333333339</v>
      </c>
      <c r="J18" s="86">
        <v>0.2</v>
      </c>
      <c r="K18" s="86">
        <v>0.26666666666666666</v>
      </c>
      <c r="L18" s="86">
        <v>0.2608695652173913</v>
      </c>
      <c r="M18" s="86">
        <v>0.30434782608695654</v>
      </c>
      <c r="N18" s="86">
        <v>0.5</v>
      </c>
      <c r="O18" s="86">
        <v>0.2857142857142857</v>
      </c>
      <c r="P18" s="86">
        <v>0.45714285714285713</v>
      </c>
      <c r="Q18" s="86">
        <v>0.48837209302325579</v>
      </c>
    </row>
    <row r="19" spans="1:17" x14ac:dyDescent="0.4">
      <c r="A19" s="88">
        <v>16</v>
      </c>
      <c r="B19" s="85">
        <v>152.30000000000001</v>
      </c>
      <c r="C19" s="85">
        <v>9.5187500000000007</v>
      </c>
      <c r="D19" s="90">
        <v>1.8125</v>
      </c>
      <c r="E19" s="86">
        <v>0.4375</v>
      </c>
      <c r="F19" s="86">
        <v>0.33913043478260868</v>
      </c>
      <c r="G19" s="86">
        <v>0.15652173913043479</v>
      </c>
      <c r="H19" s="87">
        <v>11484.615384615385</v>
      </c>
      <c r="I19" s="87">
        <v>-9150</v>
      </c>
      <c r="J19" s="86">
        <v>0.1875</v>
      </c>
      <c r="K19" s="86">
        <v>0.25</v>
      </c>
      <c r="L19" s="86">
        <v>0.30303030303030304</v>
      </c>
      <c r="M19" s="86">
        <v>0.24242424242424243</v>
      </c>
      <c r="N19" s="86">
        <v>0.7</v>
      </c>
      <c r="O19" s="86">
        <v>0.25</v>
      </c>
      <c r="P19" s="86">
        <v>0.48717948717948717</v>
      </c>
      <c r="Q19" s="86">
        <v>0.47826086956521741</v>
      </c>
    </row>
    <row r="20" spans="1:17" x14ac:dyDescent="0.4">
      <c r="A20" s="88">
        <v>17</v>
      </c>
      <c r="B20" s="85">
        <v>178.10000000000002</v>
      </c>
      <c r="C20" s="85">
        <v>10.476470588235296</v>
      </c>
      <c r="D20" s="90">
        <v>1.7647058823529411</v>
      </c>
      <c r="E20" s="86">
        <v>0.47058823529411764</v>
      </c>
      <c r="F20" s="86">
        <v>0.34399999999999997</v>
      </c>
      <c r="G20" s="86">
        <v>0.16</v>
      </c>
      <c r="H20" s="87">
        <v>11341.860465116279</v>
      </c>
      <c r="I20" s="87">
        <v>-8895</v>
      </c>
      <c r="J20" s="86">
        <v>0.17647058823529413</v>
      </c>
      <c r="K20" s="86">
        <v>0.23529411764705882</v>
      </c>
      <c r="L20" s="86">
        <v>0.30232558139534882</v>
      </c>
      <c r="M20" s="86">
        <v>0.27906976744186046</v>
      </c>
      <c r="N20" s="86">
        <v>0.76923076923076927</v>
      </c>
      <c r="O20" s="86">
        <v>0.25</v>
      </c>
      <c r="P20" s="86">
        <v>0.46511627906976744</v>
      </c>
      <c r="Q20" s="86">
        <v>0.47058823529411764</v>
      </c>
    </row>
    <row r="21" spans="1:17" x14ac:dyDescent="0.4">
      <c r="A21" s="88">
        <v>18</v>
      </c>
      <c r="B21" s="85">
        <v>155.00000000000003</v>
      </c>
      <c r="C21" s="85">
        <v>8.6111111111111125</v>
      </c>
      <c r="D21" s="90">
        <v>1.8333333333333333</v>
      </c>
      <c r="E21" s="86">
        <v>0.44444444444444442</v>
      </c>
      <c r="F21" s="86">
        <v>0.33088235294117646</v>
      </c>
      <c r="G21" s="86">
        <v>0.15441176470588236</v>
      </c>
      <c r="H21" s="87">
        <v>11131.111111111111</v>
      </c>
      <c r="I21" s="87">
        <v>-8747.6190476190477</v>
      </c>
      <c r="J21" s="86">
        <v>0.16666666666666666</v>
      </c>
      <c r="K21" s="86">
        <v>0.22222222222222221</v>
      </c>
      <c r="L21" s="86">
        <v>0.33333333333333331</v>
      </c>
      <c r="M21" s="86">
        <v>0.27777777777777779</v>
      </c>
      <c r="N21" s="86">
        <v>0.61111111111111116</v>
      </c>
      <c r="O21" s="86">
        <v>0.2</v>
      </c>
      <c r="P21" s="86">
        <v>0.44444444444444442</v>
      </c>
      <c r="Q21" s="86">
        <v>0.44444444444444442</v>
      </c>
    </row>
    <row r="22" spans="1:17" x14ac:dyDescent="0.4">
      <c r="A22" s="88">
        <v>19</v>
      </c>
      <c r="B22" s="85">
        <v>143.60000000000002</v>
      </c>
      <c r="C22" s="85">
        <v>7.5578947368421066</v>
      </c>
      <c r="D22" s="90">
        <v>1.8421052631578947</v>
      </c>
      <c r="E22" s="86">
        <v>0.42105263157894735</v>
      </c>
      <c r="F22" s="86">
        <v>0.32214765100671139</v>
      </c>
      <c r="G22" s="86">
        <v>0.16107382550335569</v>
      </c>
      <c r="H22" s="87">
        <v>11364.583333333334</v>
      </c>
      <c r="I22" s="87">
        <v>-8883.3333333333339</v>
      </c>
      <c r="J22" s="86">
        <v>0.15789473684210525</v>
      </c>
      <c r="K22" s="86">
        <v>0.21052631578947367</v>
      </c>
      <c r="L22" s="86">
        <v>0.38805970149253732</v>
      </c>
      <c r="M22" s="86">
        <v>0.22388059701492538</v>
      </c>
      <c r="N22" s="86">
        <v>0.53846153846153844</v>
      </c>
      <c r="O22" s="86">
        <v>0.2</v>
      </c>
      <c r="P22" s="86">
        <v>0.4375</v>
      </c>
      <c r="Q22" s="86">
        <v>0.44827586206896552</v>
      </c>
    </row>
    <row r="23" spans="1:17" x14ac:dyDescent="0.4">
      <c r="A23" s="88">
        <v>20</v>
      </c>
      <c r="B23" s="85">
        <v>152.50000000000003</v>
      </c>
      <c r="C23" s="85">
        <v>7.6250000000000018</v>
      </c>
      <c r="D23" s="90">
        <v>1.85</v>
      </c>
      <c r="E23" s="86">
        <v>0.4</v>
      </c>
      <c r="F23" s="86">
        <v>0.31847133757961782</v>
      </c>
      <c r="G23" s="86">
        <v>0.15923566878980891</v>
      </c>
      <c r="H23" s="87">
        <v>11416</v>
      </c>
      <c r="I23" s="87">
        <v>-8760</v>
      </c>
      <c r="J23" s="86">
        <v>0.15</v>
      </c>
      <c r="K23" s="86">
        <v>0.2</v>
      </c>
      <c r="L23" s="86">
        <v>0.36</v>
      </c>
      <c r="M23" s="86">
        <v>0.22666666666666666</v>
      </c>
      <c r="N23" s="86">
        <v>0.55555555555555558</v>
      </c>
      <c r="O23" s="86">
        <v>0.17647058823529413</v>
      </c>
      <c r="P23" s="86">
        <v>0.44</v>
      </c>
      <c r="Q23" s="86">
        <v>0.44262295081967212</v>
      </c>
    </row>
    <row r="24" spans="1:17" x14ac:dyDescent="0.4">
      <c r="A24" s="88">
        <v>21</v>
      </c>
      <c r="B24" s="85">
        <v>138.00000000000003</v>
      </c>
      <c r="C24" s="85">
        <v>6.571428571428573</v>
      </c>
      <c r="D24" s="90">
        <v>1.9047619047619047</v>
      </c>
      <c r="E24" s="86">
        <v>0.38095238095238093</v>
      </c>
      <c r="F24" s="86">
        <v>0.30538922155688625</v>
      </c>
      <c r="G24" s="86">
        <v>0.15568862275449102</v>
      </c>
      <c r="H24" s="87">
        <v>11427.450980392157</v>
      </c>
      <c r="I24" s="87">
        <v>-8730.7692307692305</v>
      </c>
      <c r="J24" s="86">
        <v>0.14285714285714285</v>
      </c>
      <c r="K24" s="86">
        <v>0.19047619047619047</v>
      </c>
      <c r="L24" s="86">
        <v>0.37647058823529411</v>
      </c>
      <c r="M24" s="86">
        <v>0.22352941176470589</v>
      </c>
      <c r="N24" s="86">
        <v>0.5</v>
      </c>
      <c r="O24" s="86">
        <v>0.15789473684210525</v>
      </c>
      <c r="P24" s="86">
        <v>0.45098039215686275</v>
      </c>
      <c r="Q24" s="86">
        <v>0.42424242424242425</v>
      </c>
    </row>
    <row r="25" spans="1:17" x14ac:dyDescent="0.4">
      <c r="A25" s="88">
        <v>22</v>
      </c>
      <c r="B25" s="85">
        <v>101.30000000000003</v>
      </c>
      <c r="C25" s="85">
        <v>4.6045454545454554</v>
      </c>
      <c r="D25" s="90">
        <v>1.9545454545454546</v>
      </c>
      <c r="E25" s="86">
        <v>0.36363636363636365</v>
      </c>
      <c r="F25" s="86">
        <v>0.29142857142857143</v>
      </c>
      <c r="G25" s="86">
        <v>0.1657142857142857</v>
      </c>
      <c r="H25" s="87">
        <v>11427.450980392157</v>
      </c>
      <c r="I25" s="87">
        <v>-8713.7931034482754</v>
      </c>
      <c r="J25" s="86">
        <v>0.18181818181818182</v>
      </c>
      <c r="K25" s="86">
        <v>0.18181818181818182</v>
      </c>
      <c r="L25" s="86">
        <v>0.34408602150537637</v>
      </c>
      <c r="M25" s="86">
        <v>0.22580645161290322</v>
      </c>
      <c r="N25" s="86">
        <v>0.5</v>
      </c>
      <c r="O25" s="86">
        <v>0.14285714285714285</v>
      </c>
      <c r="P25" s="86">
        <v>0.45098039215686275</v>
      </c>
      <c r="Q25" s="86">
        <v>0.41791044776119401</v>
      </c>
    </row>
    <row r="26" spans="1:17" x14ac:dyDescent="0.4">
      <c r="A26" s="88">
        <v>23</v>
      </c>
      <c r="B26" s="85">
        <v>53.800000000000026</v>
      </c>
      <c r="C26" s="85">
        <v>2.3391304347826098</v>
      </c>
      <c r="D26" s="90">
        <v>2</v>
      </c>
      <c r="E26" s="86">
        <v>0.34782608695652173</v>
      </c>
      <c r="F26" s="86">
        <v>0.27868852459016391</v>
      </c>
      <c r="G26" s="86">
        <v>0.16393442622950818</v>
      </c>
      <c r="H26" s="87">
        <v>11427.450980392157</v>
      </c>
      <c r="I26" s="87">
        <v>-9023.3333333333339</v>
      </c>
      <c r="J26" s="86">
        <v>0.21739130434782608</v>
      </c>
      <c r="K26" s="86">
        <v>0.17391304347826086</v>
      </c>
      <c r="L26" s="86">
        <v>0.33663366336633666</v>
      </c>
      <c r="M26" s="86">
        <v>0.22772277227722773</v>
      </c>
      <c r="N26" s="86">
        <v>0.47058823529411764</v>
      </c>
      <c r="O26" s="86">
        <v>0.13043478260869565</v>
      </c>
      <c r="P26" s="86">
        <v>0.45098039215686275</v>
      </c>
      <c r="Q26" s="86">
        <v>0.40579710144927539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F7706-50A4-4DF3-B801-B7A7EED10FDA}">
  <sheetPr codeName="Sheet22"/>
  <dimension ref="A1:Q85"/>
  <sheetViews>
    <sheetView workbookViewId="0"/>
  </sheetViews>
  <sheetFormatPr defaultColWidth="10.75" defaultRowHeight="18.75" x14ac:dyDescent="0.4"/>
  <cols>
    <col min="1" max="1" width="10.75" style="88"/>
    <col min="2" max="3" width="10.75" style="85"/>
    <col min="4" max="4" width="10.75" style="90"/>
    <col min="5" max="7" width="10.75" style="86"/>
    <col min="8" max="9" width="10.75" style="87"/>
    <col min="10" max="17" width="10.75" style="86"/>
    <col min="18" max="16384" width="10.75" style="89"/>
  </cols>
  <sheetData>
    <row r="1" spans="1:17" x14ac:dyDescent="0.4">
      <c r="A1" s="89" t="s">
        <v>137</v>
      </c>
      <c r="B1" s="89" t="s">
        <v>137</v>
      </c>
      <c r="C1" s="89" t="s">
        <v>137</v>
      </c>
      <c r="D1" s="90" t="s">
        <v>137</v>
      </c>
      <c r="E1" s="89" t="s">
        <v>137</v>
      </c>
      <c r="F1" s="89" t="s">
        <v>137</v>
      </c>
      <c r="G1" s="89" t="s">
        <v>137</v>
      </c>
      <c r="H1" s="89" t="s">
        <v>137</v>
      </c>
      <c r="I1" s="89" t="s">
        <v>137</v>
      </c>
      <c r="J1" s="89" t="s">
        <v>137</v>
      </c>
      <c r="K1" s="89" t="s">
        <v>137</v>
      </c>
      <c r="L1" s="89" t="s">
        <v>137</v>
      </c>
      <c r="M1" s="89" t="s">
        <v>137</v>
      </c>
      <c r="N1" s="89" t="s">
        <v>137</v>
      </c>
      <c r="O1" s="89" t="s">
        <v>137</v>
      </c>
      <c r="P1" s="89" t="s">
        <v>137</v>
      </c>
      <c r="Q1" s="89" t="s">
        <v>137</v>
      </c>
    </row>
    <row r="2" spans="1:17" x14ac:dyDescent="0.4">
      <c r="A2" s="89" t="s">
        <v>9</v>
      </c>
      <c r="B2" s="89" t="s">
        <v>6</v>
      </c>
      <c r="C2" s="89" t="s">
        <v>7</v>
      </c>
      <c r="D2" s="90" t="s">
        <v>16</v>
      </c>
      <c r="E2" s="89" t="s">
        <v>15</v>
      </c>
      <c r="F2" s="89" t="s">
        <v>167</v>
      </c>
      <c r="G2" s="89" t="s">
        <v>166</v>
      </c>
      <c r="H2" s="89" t="s">
        <v>5</v>
      </c>
      <c r="I2" s="89" t="s">
        <v>17</v>
      </c>
      <c r="J2" s="89" t="s">
        <v>18</v>
      </c>
      <c r="K2" s="89" t="s">
        <v>159</v>
      </c>
      <c r="L2" s="89" t="s">
        <v>129</v>
      </c>
      <c r="M2" s="89" t="s">
        <v>124</v>
      </c>
      <c r="N2" s="89" t="s">
        <v>132</v>
      </c>
      <c r="O2" s="89" t="s">
        <v>168</v>
      </c>
      <c r="P2" s="89" t="s">
        <v>164</v>
      </c>
      <c r="Q2" s="89" t="s">
        <v>149</v>
      </c>
    </row>
    <row r="3" spans="1:17" x14ac:dyDescent="0.4">
      <c r="A3" s="88">
        <v>0</v>
      </c>
      <c r="B3" s="85">
        <v>0</v>
      </c>
    </row>
    <row r="4" spans="1:17" x14ac:dyDescent="0.4">
      <c r="A4" s="88">
        <v>1</v>
      </c>
      <c r="B4" s="85">
        <v>-36.700000000000003</v>
      </c>
      <c r="C4" s="85">
        <v>-36.700000000000003</v>
      </c>
      <c r="D4" s="90">
        <v>3</v>
      </c>
      <c r="E4" s="86">
        <v>0</v>
      </c>
      <c r="F4" s="86">
        <v>0</v>
      </c>
      <c r="G4" s="86">
        <v>0.42857142857142855</v>
      </c>
      <c r="H4" s="87">
        <v>0</v>
      </c>
      <c r="I4" s="87">
        <v>-12400</v>
      </c>
      <c r="J4" s="86">
        <v>1</v>
      </c>
      <c r="K4" s="86">
        <v>0</v>
      </c>
      <c r="P4" s="86">
        <v>0</v>
      </c>
      <c r="Q4" s="86">
        <v>0</v>
      </c>
    </row>
    <row r="5" spans="1:17" x14ac:dyDescent="0.4">
      <c r="A5" s="88">
        <v>2</v>
      </c>
      <c r="B5" s="85">
        <v>-45.300000000000004</v>
      </c>
      <c r="C5" s="85">
        <v>-22.650000000000002</v>
      </c>
      <c r="D5" s="90">
        <v>2.5</v>
      </c>
      <c r="E5" s="86">
        <v>0</v>
      </c>
      <c r="F5" s="86">
        <v>0.2</v>
      </c>
      <c r="G5" s="86">
        <v>0.2</v>
      </c>
      <c r="H5" s="87">
        <v>12975</v>
      </c>
      <c r="I5" s="87">
        <v>-12300</v>
      </c>
      <c r="J5" s="86">
        <v>0.5</v>
      </c>
      <c r="K5" s="86">
        <v>0</v>
      </c>
      <c r="P5" s="86">
        <v>0.5</v>
      </c>
      <c r="Q5" s="86">
        <v>0.25</v>
      </c>
    </row>
    <row r="6" spans="1:17" x14ac:dyDescent="0.4">
      <c r="A6" s="88">
        <v>3</v>
      </c>
      <c r="B6" s="85">
        <v>-81.7</v>
      </c>
      <c r="C6" s="85">
        <v>-27.233333333333334</v>
      </c>
      <c r="D6" s="90">
        <v>2.6666666666666665</v>
      </c>
      <c r="E6" s="86">
        <v>0</v>
      </c>
      <c r="F6" s="86">
        <v>0.16</v>
      </c>
      <c r="G6" s="86">
        <v>0.2</v>
      </c>
      <c r="H6" s="87">
        <v>12975</v>
      </c>
      <c r="I6" s="87">
        <v>-13440</v>
      </c>
      <c r="J6" s="86">
        <v>0.66666666666666663</v>
      </c>
      <c r="K6" s="86">
        <v>0</v>
      </c>
      <c r="P6" s="86">
        <v>0.5</v>
      </c>
      <c r="Q6" s="86">
        <v>0.25</v>
      </c>
    </row>
    <row r="7" spans="1:17" x14ac:dyDescent="0.4">
      <c r="A7" s="88">
        <v>4</v>
      </c>
      <c r="B7" s="85">
        <v>-114.30000000000001</v>
      </c>
      <c r="C7" s="85">
        <v>-28.575000000000003</v>
      </c>
      <c r="D7" s="90">
        <v>2.75</v>
      </c>
      <c r="E7" s="86">
        <v>0</v>
      </c>
      <c r="F7" s="86">
        <v>0.18421052631578946</v>
      </c>
      <c r="G7" s="86">
        <v>0.18421052631578946</v>
      </c>
      <c r="H7" s="87">
        <v>10257.142857142857</v>
      </c>
      <c r="I7" s="87">
        <v>-13028.571428571429</v>
      </c>
      <c r="J7" s="86">
        <v>0.5</v>
      </c>
      <c r="K7" s="86">
        <v>0</v>
      </c>
      <c r="P7" s="86">
        <v>0.42857142857142855</v>
      </c>
      <c r="Q7" s="86">
        <v>0.33333333333333331</v>
      </c>
    </row>
    <row r="8" spans="1:17" x14ac:dyDescent="0.4">
      <c r="A8" s="88">
        <v>5</v>
      </c>
      <c r="B8" s="85">
        <v>-136.30000000000001</v>
      </c>
      <c r="C8" s="85">
        <v>-27.26</v>
      </c>
      <c r="D8" s="90">
        <v>2.6</v>
      </c>
      <c r="E8" s="86">
        <v>0</v>
      </c>
      <c r="F8" s="86">
        <v>0.20930232558139536</v>
      </c>
      <c r="G8" s="86">
        <v>0.16279069767441862</v>
      </c>
      <c r="H8" s="87">
        <v>9755.5555555555547</v>
      </c>
      <c r="I8" s="87">
        <v>-13028.571428571429</v>
      </c>
      <c r="J8" s="86">
        <v>0.4</v>
      </c>
      <c r="K8" s="86">
        <v>0</v>
      </c>
      <c r="P8" s="86">
        <v>0.33333333333333331</v>
      </c>
      <c r="Q8" s="86">
        <v>0.30769230769230771</v>
      </c>
    </row>
    <row r="9" spans="1:17" x14ac:dyDescent="0.4">
      <c r="A9" s="88">
        <v>6</v>
      </c>
      <c r="B9" s="85">
        <v>-100.80000000000001</v>
      </c>
      <c r="C9" s="85">
        <v>-16.8</v>
      </c>
      <c r="D9" s="90">
        <v>2.3333333333333335</v>
      </c>
      <c r="E9" s="86">
        <v>0.16666666666666666</v>
      </c>
      <c r="F9" s="86">
        <v>0.2391304347826087</v>
      </c>
      <c r="G9" s="86">
        <v>0.15217391304347827</v>
      </c>
      <c r="H9" s="87">
        <v>10709.09090909091</v>
      </c>
      <c r="I9" s="87">
        <v>-13028.571428571429</v>
      </c>
      <c r="J9" s="86">
        <v>0.33333333333333331</v>
      </c>
      <c r="K9" s="86">
        <v>0.16666666666666666</v>
      </c>
      <c r="P9" s="86">
        <v>0.27272727272727271</v>
      </c>
      <c r="Q9" s="86">
        <v>0.375</v>
      </c>
    </row>
    <row r="10" spans="1:17" x14ac:dyDescent="0.4">
      <c r="A10" s="88">
        <v>7</v>
      </c>
      <c r="B10" s="85">
        <v>-106.20000000000002</v>
      </c>
      <c r="C10" s="85">
        <v>-15.171428571428574</v>
      </c>
      <c r="D10" s="90">
        <v>2.4285714285714284</v>
      </c>
      <c r="E10" s="86">
        <v>0.14285714285714285</v>
      </c>
      <c r="F10" s="86">
        <v>0.24074074074074073</v>
      </c>
      <c r="G10" s="86">
        <v>0.12962962962962962</v>
      </c>
      <c r="H10" s="87">
        <v>9738.461538461539</v>
      </c>
      <c r="I10" s="87">
        <v>-13028.571428571429</v>
      </c>
      <c r="J10" s="86">
        <v>0.2857142857142857</v>
      </c>
      <c r="K10" s="86">
        <v>0.14285714285714285</v>
      </c>
      <c r="P10" s="86">
        <v>0.30769230769230771</v>
      </c>
      <c r="Q10" s="86">
        <v>0.4</v>
      </c>
    </row>
    <row r="11" spans="1:17" x14ac:dyDescent="0.4">
      <c r="A11" s="88">
        <v>8</v>
      </c>
      <c r="B11" s="85">
        <v>-52.300000000000018</v>
      </c>
      <c r="C11" s="85">
        <v>-6.5375000000000023</v>
      </c>
      <c r="D11" s="90">
        <v>2.25</v>
      </c>
      <c r="E11" s="86">
        <v>0.25</v>
      </c>
      <c r="F11" s="86">
        <v>0.30508474576271188</v>
      </c>
      <c r="G11" s="86">
        <v>0.11864406779661017</v>
      </c>
      <c r="H11" s="87">
        <v>9694.4444444444453</v>
      </c>
      <c r="I11" s="87">
        <v>-13028.571428571429</v>
      </c>
      <c r="J11" s="86">
        <v>0.25</v>
      </c>
      <c r="K11" s="86">
        <v>0.125</v>
      </c>
      <c r="P11" s="86">
        <v>0.3888888888888889</v>
      </c>
      <c r="Q11" s="86">
        <v>0.5</v>
      </c>
    </row>
    <row r="12" spans="1:17" x14ac:dyDescent="0.4">
      <c r="A12" s="88">
        <v>9</v>
      </c>
      <c r="B12" s="85">
        <v>-53.500000000000021</v>
      </c>
      <c r="C12" s="85">
        <v>-5.9444444444444464</v>
      </c>
      <c r="D12" s="90">
        <v>2.2222222222222223</v>
      </c>
      <c r="E12" s="86">
        <v>0.22222222222222221</v>
      </c>
      <c r="F12" s="86">
        <v>0.2857142857142857</v>
      </c>
      <c r="G12" s="86">
        <v>0.12857142857142856</v>
      </c>
      <c r="H12" s="87">
        <v>9270</v>
      </c>
      <c r="I12" s="87">
        <v>-10777.777777777777</v>
      </c>
      <c r="J12" s="86">
        <v>0.22222222222222221</v>
      </c>
      <c r="K12" s="86">
        <v>0.1111111111111111</v>
      </c>
      <c r="P12" s="86">
        <v>0.35</v>
      </c>
      <c r="Q12" s="86">
        <v>0.48148148148148145</v>
      </c>
    </row>
    <row r="13" spans="1:17" x14ac:dyDescent="0.4">
      <c r="A13" s="88">
        <v>10</v>
      </c>
      <c r="B13" s="85">
        <v>-72.800000000000026</v>
      </c>
      <c r="C13" s="85">
        <v>-7.2800000000000029</v>
      </c>
      <c r="D13" s="90">
        <v>2.2999999999999998</v>
      </c>
      <c r="E13" s="86">
        <v>0.2</v>
      </c>
      <c r="F13" s="86">
        <v>0.27272727272727271</v>
      </c>
      <c r="G13" s="86">
        <v>0.12987012987012986</v>
      </c>
      <c r="H13" s="87">
        <v>9209.5238095238092</v>
      </c>
      <c r="I13" s="87">
        <v>-10900</v>
      </c>
      <c r="J13" s="86">
        <v>0.2</v>
      </c>
      <c r="K13" s="86">
        <v>0.1</v>
      </c>
      <c r="P13" s="86">
        <v>0.33333333333333331</v>
      </c>
      <c r="Q13" s="86">
        <v>0.44827586206896552</v>
      </c>
    </row>
    <row r="14" spans="1:17" x14ac:dyDescent="0.4">
      <c r="A14" s="88">
        <v>11</v>
      </c>
      <c r="B14" s="85">
        <v>-92.100000000000023</v>
      </c>
      <c r="C14" s="85">
        <v>-8.3727272727272748</v>
      </c>
      <c r="D14" s="90">
        <v>2.3636363636363638</v>
      </c>
      <c r="E14" s="86">
        <v>0.18181818181818182</v>
      </c>
      <c r="F14" s="86">
        <v>0.26190476190476192</v>
      </c>
      <c r="G14" s="86">
        <v>0.13095238095238096</v>
      </c>
      <c r="H14" s="87">
        <v>9154.545454545454</v>
      </c>
      <c r="I14" s="87">
        <v>-11000</v>
      </c>
      <c r="J14" s="86">
        <v>0.18181818181818182</v>
      </c>
      <c r="K14" s="86">
        <v>9.0909090909090912E-2</v>
      </c>
      <c r="P14" s="86">
        <v>0.31818181818181818</v>
      </c>
      <c r="Q14" s="86">
        <v>0.41935483870967744</v>
      </c>
    </row>
    <row r="15" spans="1:17" x14ac:dyDescent="0.4">
      <c r="A15" s="88">
        <v>12</v>
      </c>
      <c r="B15" s="85">
        <v>-89.100000000000023</v>
      </c>
      <c r="C15" s="85">
        <v>-7.4250000000000016</v>
      </c>
      <c r="D15" s="90">
        <v>2.3333333333333335</v>
      </c>
      <c r="E15" s="86">
        <v>0.16666666666666666</v>
      </c>
      <c r="F15" s="86">
        <v>0.26881720430107525</v>
      </c>
      <c r="G15" s="86">
        <v>0.11827956989247312</v>
      </c>
      <c r="H15" s="87">
        <v>9096</v>
      </c>
      <c r="I15" s="87">
        <v>-11000</v>
      </c>
      <c r="J15" s="86">
        <v>0.16666666666666666</v>
      </c>
      <c r="K15" s="86">
        <v>8.3333333333333329E-2</v>
      </c>
      <c r="P15" s="86">
        <v>0.36</v>
      </c>
      <c r="Q15" s="86">
        <v>0.42857142857142855</v>
      </c>
    </row>
    <row r="16" spans="1:17" x14ac:dyDescent="0.4">
      <c r="A16" s="88">
        <v>13</v>
      </c>
      <c r="B16" s="85">
        <v>-73.600000000000023</v>
      </c>
      <c r="C16" s="85">
        <v>-5.6615384615384636</v>
      </c>
      <c r="D16" s="90">
        <v>2.2307692307692308</v>
      </c>
      <c r="E16" s="86">
        <v>0.23076923076923078</v>
      </c>
      <c r="F16" s="86">
        <v>0.28846153846153844</v>
      </c>
      <c r="G16" s="86">
        <v>0.13461538461538461</v>
      </c>
      <c r="H16" s="87">
        <v>9176.6666666666661</v>
      </c>
      <c r="I16" s="87">
        <v>-9885.7142857142862</v>
      </c>
      <c r="J16" s="86">
        <v>0.15384615384615385</v>
      </c>
      <c r="K16" s="86">
        <v>7.6923076923076927E-2</v>
      </c>
      <c r="P16" s="86">
        <v>0.36666666666666664</v>
      </c>
      <c r="Q16" s="86">
        <v>0.41025641025641024</v>
      </c>
    </row>
    <row r="17" spans="1:17" x14ac:dyDescent="0.4">
      <c r="A17" s="88">
        <v>14</v>
      </c>
      <c r="B17" s="85">
        <v>-62.500000000000021</v>
      </c>
      <c r="C17" s="85">
        <v>-4.4642857142857162</v>
      </c>
      <c r="D17" s="90">
        <v>2.1428571428571428</v>
      </c>
      <c r="E17" s="86">
        <v>0.2857142857142857</v>
      </c>
      <c r="F17" s="86">
        <v>0.2857142857142857</v>
      </c>
      <c r="G17" s="86">
        <v>0.125</v>
      </c>
      <c r="H17" s="87">
        <v>9184.375</v>
      </c>
      <c r="I17" s="87">
        <v>-9885.7142857142862</v>
      </c>
      <c r="J17" s="86">
        <v>0.14285714285714285</v>
      </c>
      <c r="K17" s="86">
        <v>7.1428571428571425E-2</v>
      </c>
      <c r="P17" s="86">
        <v>0.375</v>
      </c>
      <c r="Q17" s="86">
        <v>0.40476190476190477</v>
      </c>
    </row>
    <row r="18" spans="1:17" x14ac:dyDescent="0.4">
      <c r="A18" s="88">
        <v>15</v>
      </c>
      <c r="B18" s="85">
        <v>-69.700000000000017</v>
      </c>
      <c r="C18" s="85">
        <v>-4.6466666666666674</v>
      </c>
      <c r="D18" s="90">
        <v>2.1333333333333333</v>
      </c>
      <c r="E18" s="86">
        <v>0.26666666666666666</v>
      </c>
      <c r="F18" s="86">
        <v>0.27642276422764228</v>
      </c>
      <c r="G18" s="86">
        <v>0.13821138211382114</v>
      </c>
      <c r="H18" s="87">
        <v>9408.823529411764</v>
      </c>
      <c r="I18" s="87">
        <v>-9505.8823529411766</v>
      </c>
      <c r="J18" s="86">
        <v>0.13333333333333333</v>
      </c>
      <c r="K18" s="86">
        <v>6.6666666666666666E-2</v>
      </c>
      <c r="P18" s="86">
        <v>0.35294117647058826</v>
      </c>
      <c r="Q18" s="86">
        <v>0.4</v>
      </c>
    </row>
    <row r="19" spans="1:17" x14ac:dyDescent="0.4">
      <c r="A19" s="88">
        <v>16</v>
      </c>
      <c r="B19" s="85">
        <v>4.5999999999999801</v>
      </c>
      <c r="C19" s="85">
        <v>0.28749999999999876</v>
      </c>
      <c r="D19" s="90">
        <v>2.0625</v>
      </c>
      <c r="E19" s="86">
        <v>0.3125</v>
      </c>
      <c r="F19" s="86">
        <v>0.2857142857142857</v>
      </c>
      <c r="G19" s="86">
        <v>0.14285714285714285</v>
      </c>
      <c r="H19" s="87">
        <v>10871.052631578947</v>
      </c>
      <c r="I19" s="87">
        <v>-9263.1578947368416</v>
      </c>
      <c r="J19" s="86">
        <v>0.125</v>
      </c>
      <c r="K19" s="86">
        <v>0.125</v>
      </c>
      <c r="P19" s="86">
        <v>0.36842105263157893</v>
      </c>
      <c r="Q19" s="86">
        <v>0.40816326530612246</v>
      </c>
    </row>
    <row r="20" spans="1:17" x14ac:dyDescent="0.4">
      <c r="A20" s="88">
        <v>17</v>
      </c>
      <c r="B20" s="85">
        <v>39.59999999999998</v>
      </c>
      <c r="C20" s="85">
        <v>2.3294117647058812</v>
      </c>
      <c r="D20" s="90">
        <v>2</v>
      </c>
      <c r="E20" s="86">
        <v>0.35294117647058826</v>
      </c>
      <c r="F20" s="86">
        <v>0.2857142857142857</v>
      </c>
      <c r="G20" s="86">
        <v>0.14285714285714285</v>
      </c>
      <c r="H20" s="87">
        <v>10871.052631578947</v>
      </c>
      <c r="I20" s="87">
        <v>-9263.1578947368416</v>
      </c>
      <c r="J20" s="86">
        <v>0.11764705882352941</v>
      </c>
      <c r="K20" s="86">
        <v>0.17647058823529413</v>
      </c>
      <c r="P20" s="86">
        <v>0.36842105263157893</v>
      </c>
      <c r="Q20" s="86">
        <v>0.40816326530612246</v>
      </c>
    </row>
    <row r="21" spans="1:17" x14ac:dyDescent="0.4">
      <c r="A21" s="88">
        <v>18</v>
      </c>
      <c r="B21" s="85">
        <v>39.299999999999983</v>
      </c>
      <c r="C21" s="85">
        <v>2.1833333333333322</v>
      </c>
      <c r="D21" s="90">
        <v>2</v>
      </c>
      <c r="E21" s="86">
        <v>0.33333333333333331</v>
      </c>
      <c r="F21" s="86">
        <v>0.2857142857142857</v>
      </c>
      <c r="G21" s="86">
        <v>0.14285714285714285</v>
      </c>
      <c r="H21" s="87">
        <v>10871.052631578947</v>
      </c>
      <c r="I21" s="87">
        <v>-9263.1578947368416</v>
      </c>
      <c r="J21" s="86">
        <v>0.1111111111111111</v>
      </c>
      <c r="K21" s="86">
        <v>0.16666666666666666</v>
      </c>
      <c r="P21" s="86">
        <v>0.36842105263157893</v>
      </c>
      <c r="Q21" s="86">
        <v>0.40816326530612246</v>
      </c>
    </row>
    <row r="22" spans="1:17" x14ac:dyDescent="0.4">
      <c r="A22" s="88">
        <v>19</v>
      </c>
      <c r="B22" s="85">
        <v>103.29999999999998</v>
      </c>
      <c r="C22" s="85">
        <v>5.4368421052631568</v>
      </c>
      <c r="D22" s="90">
        <v>1.9473684210526316</v>
      </c>
      <c r="E22" s="86">
        <v>0.36842105263157893</v>
      </c>
      <c r="F22" s="86">
        <v>0.3014705882352941</v>
      </c>
      <c r="G22" s="86">
        <v>0.13970588235294118</v>
      </c>
      <c r="H22" s="87">
        <v>11539.024390243903</v>
      </c>
      <c r="I22" s="87">
        <v>-9263.1578947368416</v>
      </c>
      <c r="J22" s="86">
        <v>0.10526315789473684</v>
      </c>
      <c r="K22" s="86">
        <v>0.21052631578947367</v>
      </c>
      <c r="L22" s="86">
        <v>1</v>
      </c>
      <c r="M22" s="86">
        <v>0</v>
      </c>
      <c r="N22" s="86">
        <v>1</v>
      </c>
      <c r="O22" s="86">
        <v>0</v>
      </c>
      <c r="P22" s="86">
        <v>0.3902439024390244</v>
      </c>
      <c r="Q22" s="86">
        <v>0.44230769230769229</v>
      </c>
    </row>
    <row r="23" spans="1:17" x14ac:dyDescent="0.4">
      <c r="A23" s="88">
        <v>20</v>
      </c>
      <c r="B23" s="85">
        <v>106.39999999999998</v>
      </c>
      <c r="C23" s="85">
        <v>5.3199999999999985</v>
      </c>
      <c r="D23" s="90">
        <v>1.95</v>
      </c>
      <c r="E23" s="86">
        <v>0.35</v>
      </c>
      <c r="F23" s="86">
        <v>0.3125</v>
      </c>
      <c r="G23" s="86">
        <v>0.14583333333333334</v>
      </c>
      <c r="H23" s="87">
        <v>11286.666666666666</v>
      </c>
      <c r="I23" s="87">
        <v>-9604.7619047619046</v>
      </c>
      <c r="J23" s="86">
        <v>0.1</v>
      </c>
      <c r="K23" s="86">
        <v>0.2</v>
      </c>
      <c r="L23" s="86">
        <v>0.45454545454545453</v>
      </c>
      <c r="M23" s="86">
        <v>9.0909090909090912E-2</v>
      </c>
      <c r="N23" s="86">
        <v>1</v>
      </c>
      <c r="O23" s="86">
        <v>0</v>
      </c>
      <c r="P23" s="86">
        <v>0.35555555555555557</v>
      </c>
      <c r="Q23" s="86">
        <v>0.42592592592592593</v>
      </c>
    </row>
    <row r="24" spans="1:17" x14ac:dyDescent="0.4">
      <c r="A24" s="88">
        <v>21</v>
      </c>
      <c r="B24" s="85">
        <v>107.59999999999998</v>
      </c>
      <c r="C24" s="85">
        <v>5.1238095238095225</v>
      </c>
      <c r="D24" s="90">
        <v>1.9047619047619047</v>
      </c>
      <c r="E24" s="86">
        <v>0.38095238095238093</v>
      </c>
      <c r="F24" s="86">
        <v>0.31578947368421051</v>
      </c>
      <c r="G24" s="86">
        <v>0.15789473684210525</v>
      </c>
      <c r="H24" s="87">
        <v>11233.333333333334</v>
      </c>
      <c r="I24" s="87">
        <v>-9441.6666666666661</v>
      </c>
      <c r="J24" s="86">
        <v>9.5238095238095233E-2</v>
      </c>
      <c r="K24" s="86">
        <v>0.19047619047619047</v>
      </c>
      <c r="L24" s="86">
        <v>0.47368421052631576</v>
      </c>
      <c r="M24" s="86">
        <v>0.10526315789473684</v>
      </c>
      <c r="N24" s="86">
        <v>0.88888888888888884</v>
      </c>
      <c r="O24" s="86">
        <v>0</v>
      </c>
      <c r="P24" s="86">
        <v>0.375</v>
      </c>
      <c r="Q24" s="86">
        <v>0.42857142857142855</v>
      </c>
    </row>
    <row r="25" spans="1:17" x14ac:dyDescent="0.4">
      <c r="A25" s="88">
        <v>22</v>
      </c>
      <c r="B25" s="85">
        <v>110.39999999999998</v>
      </c>
      <c r="C25" s="85">
        <v>5.0181818181818167</v>
      </c>
      <c r="D25" s="90">
        <v>1.9090909090909092</v>
      </c>
      <c r="E25" s="86">
        <v>0.36363636363636365</v>
      </c>
      <c r="F25" s="86">
        <v>0.31645569620253167</v>
      </c>
      <c r="G25" s="86">
        <v>0.15189873417721519</v>
      </c>
      <c r="H25" s="87">
        <v>11258</v>
      </c>
      <c r="I25" s="87">
        <v>-9441.6666666666661</v>
      </c>
      <c r="J25" s="86">
        <v>9.0909090909090912E-2</v>
      </c>
      <c r="K25" s="86">
        <v>0.18181818181818182</v>
      </c>
      <c r="L25" s="86">
        <v>0.48</v>
      </c>
      <c r="M25" s="86">
        <v>0.12</v>
      </c>
      <c r="N25" s="86">
        <v>0.75</v>
      </c>
      <c r="O25" s="86">
        <v>0.33333333333333331</v>
      </c>
      <c r="P25" s="86">
        <v>0.36</v>
      </c>
      <c r="Q25" s="86">
        <v>0.43103448275862066</v>
      </c>
    </row>
    <row r="26" spans="1:17" x14ac:dyDescent="0.4">
      <c r="A26" s="88">
        <v>23</v>
      </c>
      <c r="B26" s="85">
        <v>154.99999999999997</v>
      </c>
      <c r="C26" s="85">
        <v>6.7391304347826075</v>
      </c>
      <c r="D26" s="90">
        <v>1.8695652173913044</v>
      </c>
      <c r="E26" s="86">
        <v>0.39130434782608697</v>
      </c>
      <c r="F26" s="86">
        <v>0.32727272727272727</v>
      </c>
      <c r="G26" s="86">
        <v>0.15151515151515152</v>
      </c>
      <c r="H26" s="87">
        <v>11462.962962962964</v>
      </c>
      <c r="I26" s="87">
        <v>-9144</v>
      </c>
      <c r="J26" s="86">
        <v>8.6956521739130432E-2</v>
      </c>
      <c r="K26" s="86">
        <v>0.21739130434782608</v>
      </c>
      <c r="L26" s="86">
        <v>0.46875</v>
      </c>
      <c r="M26" s="86">
        <v>0.21875</v>
      </c>
      <c r="N26" s="86">
        <v>0.8</v>
      </c>
      <c r="O26" s="86">
        <v>0.2857142857142857</v>
      </c>
      <c r="P26" s="86">
        <v>0.35185185185185186</v>
      </c>
      <c r="Q26" s="86">
        <v>0.45161290322580644</v>
      </c>
    </row>
    <row r="27" spans="1:17" x14ac:dyDescent="0.4">
      <c r="A27" s="88">
        <v>24</v>
      </c>
      <c r="B27" s="85">
        <v>153.59999999999997</v>
      </c>
      <c r="C27" s="85">
        <v>6.3999999999999986</v>
      </c>
      <c r="D27" s="90">
        <v>1.875</v>
      </c>
      <c r="E27" s="86">
        <v>0.375</v>
      </c>
      <c r="F27" s="86">
        <v>0.31791907514450868</v>
      </c>
      <c r="G27" s="86">
        <v>0.14450867052023122</v>
      </c>
      <c r="H27" s="87">
        <v>11350.90909090909</v>
      </c>
      <c r="I27" s="87">
        <v>-9144</v>
      </c>
      <c r="J27" s="86">
        <v>8.3333333333333329E-2</v>
      </c>
      <c r="K27" s="86">
        <v>0.20833333333333334</v>
      </c>
      <c r="L27" s="86">
        <v>0.42499999999999999</v>
      </c>
      <c r="M27" s="86">
        <v>0.22500000000000001</v>
      </c>
      <c r="N27" s="86">
        <v>0.70588235294117652</v>
      </c>
      <c r="O27" s="86">
        <v>0.22222222222222221</v>
      </c>
      <c r="P27" s="86">
        <v>0.36363636363636365</v>
      </c>
      <c r="Q27" s="86">
        <v>0.4375</v>
      </c>
    </row>
    <row r="28" spans="1:17" x14ac:dyDescent="0.4">
      <c r="A28" s="88">
        <v>25</v>
      </c>
      <c r="B28" s="85">
        <v>113.89999999999996</v>
      </c>
      <c r="C28" s="85">
        <v>4.5559999999999983</v>
      </c>
      <c r="D28" s="90">
        <v>1.92</v>
      </c>
      <c r="E28" s="86">
        <v>0.36</v>
      </c>
      <c r="F28" s="86">
        <v>0.30726256983240224</v>
      </c>
      <c r="G28" s="86">
        <v>0.15083798882681565</v>
      </c>
      <c r="H28" s="87">
        <v>11350.90909090909</v>
      </c>
      <c r="I28" s="87">
        <v>-9500</v>
      </c>
      <c r="J28" s="86">
        <v>0.12</v>
      </c>
      <c r="K28" s="86">
        <v>0.2</v>
      </c>
      <c r="L28" s="86">
        <v>0.43478260869565216</v>
      </c>
      <c r="M28" s="86">
        <v>0.21739130434782608</v>
      </c>
      <c r="N28" s="86">
        <v>0.6</v>
      </c>
      <c r="O28" s="86">
        <v>0.2</v>
      </c>
      <c r="P28" s="86">
        <v>0.36363636363636365</v>
      </c>
      <c r="Q28" s="86">
        <v>0.43076923076923079</v>
      </c>
    </row>
    <row r="29" spans="1:17" x14ac:dyDescent="0.4">
      <c r="A29" s="88">
        <v>26</v>
      </c>
      <c r="B29" s="85">
        <v>98.099999999999966</v>
      </c>
      <c r="C29" s="85">
        <v>3.7730769230769217</v>
      </c>
      <c r="D29" s="90">
        <v>1.9615384615384615</v>
      </c>
      <c r="E29" s="86">
        <v>0.34615384615384615</v>
      </c>
      <c r="F29" s="86">
        <v>0.30270270270270272</v>
      </c>
      <c r="G29" s="86">
        <v>0.14594594594594595</v>
      </c>
      <c r="H29" s="87">
        <v>11241.071428571429</v>
      </c>
      <c r="I29" s="87">
        <v>-9500</v>
      </c>
      <c r="J29" s="86">
        <v>0.11538461538461539</v>
      </c>
      <c r="K29" s="86">
        <v>0.19230769230769232</v>
      </c>
      <c r="L29" s="86">
        <v>0.42307692307692307</v>
      </c>
      <c r="M29" s="86">
        <v>0.19230769230769232</v>
      </c>
      <c r="N29" s="86">
        <v>0.59090909090909094</v>
      </c>
      <c r="O29" s="86">
        <v>0.2</v>
      </c>
      <c r="P29" s="86">
        <v>0.35714285714285715</v>
      </c>
      <c r="Q29" s="86">
        <v>0.41176470588235292</v>
      </c>
    </row>
    <row r="30" spans="1:17" x14ac:dyDescent="0.4">
      <c r="A30" s="88">
        <v>27</v>
      </c>
      <c r="B30" s="85">
        <v>109.39999999999996</v>
      </c>
      <c r="C30" s="85">
        <v>4.0518518518518505</v>
      </c>
      <c r="D30" s="90">
        <v>1.9259259259259258</v>
      </c>
      <c r="E30" s="86">
        <v>0.37037037037037035</v>
      </c>
      <c r="F30" s="86">
        <v>0.30729166666666669</v>
      </c>
      <c r="G30" s="86">
        <v>0.14583333333333334</v>
      </c>
      <c r="H30" s="87">
        <v>11144.06779661017</v>
      </c>
      <c r="I30" s="87">
        <v>-9435.7142857142862</v>
      </c>
      <c r="J30" s="86">
        <v>0.1111111111111111</v>
      </c>
      <c r="K30" s="86">
        <v>0.18518518518518517</v>
      </c>
      <c r="L30" s="86">
        <v>0.40677966101694918</v>
      </c>
      <c r="M30" s="86">
        <v>0.1864406779661017</v>
      </c>
      <c r="N30" s="86">
        <v>0.625</v>
      </c>
      <c r="O30" s="86">
        <v>0.27272727272727271</v>
      </c>
      <c r="P30" s="86">
        <v>0.3559322033898305</v>
      </c>
      <c r="Q30" s="86">
        <v>0.4</v>
      </c>
    </row>
    <row r="31" spans="1:17" x14ac:dyDescent="0.4">
      <c r="A31" s="88">
        <v>28</v>
      </c>
      <c r="B31" s="85">
        <v>65.399999999999963</v>
      </c>
      <c r="C31" s="85">
        <v>2.3357142857142845</v>
      </c>
      <c r="D31" s="90">
        <v>1.9642857142857142</v>
      </c>
      <c r="E31" s="86">
        <v>0.35714285714285715</v>
      </c>
      <c r="F31" s="86">
        <v>0.29949238578680204</v>
      </c>
      <c r="G31" s="86">
        <v>0.15228426395939088</v>
      </c>
      <c r="H31" s="87">
        <v>11144.06779661017</v>
      </c>
      <c r="I31" s="87">
        <v>-9940</v>
      </c>
      <c r="J31" s="86">
        <v>0.14285714285714285</v>
      </c>
      <c r="K31" s="86">
        <v>0.17857142857142858</v>
      </c>
      <c r="L31" s="86">
        <v>0.390625</v>
      </c>
      <c r="M31" s="86">
        <v>0.1875</v>
      </c>
      <c r="N31" s="86">
        <v>0.6</v>
      </c>
      <c r="O31" s="86">
        <v>0.25</v>
      </c>
      <c r="P31" s="86">
        <v>0.3559322033898305</v>
      </c>
      <c r="Q31" s="86">
        <v>0.39436619718309857</v>
      </c>
    </row>
    <row r="32" spans="1:17" x14ac:dyDescent="0.4">
      <c r="A32" s="88">
        <v>29</v>
      </c>
      <c r="B32" s="85">
        <v>24.399999999999963</v>
      </c>
      <c r="C32" s="85">
        <v>0.84137931034482627</v>
      </c>
      <c r="D32" s="90">
        <v>2</v>
      </c>
      <c r="E32" s="86">
        <v>0.34482758620689657</v>
      </c>
      <c r="F32" s="86">
        <v>0.28780487804878047</v>
      </c>
      <c r="G32" s="86">
        <v>0.15609756097560976</v>
      </c>
      <c r="H32" s="87">
        <v>11144.06779661017</v>
      </c>
      <c r="I32" s="87">
        <v>-9881.25</v>
      </c>
      <c r="J32" s="86">
        <v>0.17241379310344829</v>
      </c>
      <c r="K32" s="86">
        <v>0.17241379310344829</v>
      </c>
      <c r="L32" s="86">
        <v>0.3888888888888889</v>
      </c>
      <c r="M32" s="86">
        <v>0.20833333333333334</v>
      </c>
      <c r="N32" s="86">
        <v>0.5357142857142857</v>
      </c>
      <c r="O32" s="86">
        <v>0.2</v>
      </c>
      <c r="P32" s="86">
        <v>0.3559322033898305</v>
      </c>
      <c r="Q32" s="86">
        <v>0.38356164383561642</v>
      </c>
    </row>
    <row r="33" spans="1:17" x14ac:dyDescent="0.4">
      <c r="A33" s="88">
        <v>30</v>
      </c>
      <c r="B33" s="85">
        <v>13.599999999999962</v>
      </c>
      <c r="C33" s="85">
        <v>0.45333333333333209</v>
      </c>
      <c r="D33" s="90">
        <v>2</v>
      </c>
      <c r="E33" s="86">
        <v>0.33333333333333331</v>
      </c>
      <c r="F33" s="86">
        <v>0.28638497652582162</v>
      </c>
      <c r="G33" s="86">
        <v>0.15492957746478872</v>
      </c>
      <c r="H33" s="87">
        <v>10995.081967213115</v>
      </c>
      <c r="I33" s="87">
        <v>-9824.242424242424</v>
      </c>
      <c r="J33" s="86">
        <v>0.16666666666666666</v>
      </c>
      <c r="K33" s="86">
        <v>0.16666666666666666</v>
      </c>
      <c r="L33" s="86">
        <v>0.375</v>
      </c>
      <c r="M33" s="86">
        <v>0.21249999999999999</v>
      </c>
      <c r="N33" s="86">
        <v>0.56666666666666665</v>
      </c>
      <c r="O33" s="86">
        <v>0.17647058823529413</v>
      </c>
      <c r="P33" s="86">
        <v>0.34426229508196721</v>
      </c>
      <c r="Q33" s="86">
        <v>0.36842105263157893</v>
      </c>
    </row>
    <row r="34" spans="1:17" x14ac:dyDescent="0.4">
      <c r="A34" s="88">
        <v>31</v>
      </c>
      <c r="B34" s="85">
        <v>29.19999999999996</v>
      </c>
      <c r="C34" s="85">
        <v>0.94193548387096648</v>
      </c>
      <c r="D34" s="90">
        <v>1.967741935483871</v>
      </c>
      <c r="E34" s="86">
        <v>0.35483870967741937</v>
      </c>
      <c r="F34" s="86">
        <v>0.29411764705882354</v>
      </c>
      <c r="G34" s="86">
        <v>0.15384615384615385</v>
      </c>
      <c r="H34" s="87">
        <v>10943.076923076924</v>
      </c>
      <c r="I34" s="87">
        <v>-9888.2352941176468</v>
      </c>
      <c r="J34" s="86">
        <v>0.16129032258064516</v>
      </c>
      <c r="K34" s="86">
        <v>0.16129032258064516</v>
      </c>
      <c r="L34" s="86">
        <v>0.38636363636363635</v>
      </c>
      <c r="M34" s="86">
        <v>0.20454545454545456</v>
      </c>
      <c r="N34" s="86">
        <v>0.61764705882352944</v>
      </c>
      <c r="O34" s="86">
        <v>0.16666666666666666</v>
      </c>
      <c r="P34" s="86">
        <v>0.35384615384615387</v>
      </c>
      <c r="Q34" s="86">
        <v>0.379746835443038</v>
      </c>
    </row>
    <row r="35" spans="1:17" x14ac:dyDescent="0.4">
      <c r="A35" s="88">
        <v>32</v>
      </c>
      <c r="B35" s="85">
        <v>-14.200000000000038</v>
      </c>
      <c r="C35" s="85">
        <v>-0.4437500000000012</v>
      </c>
      <c r="D35" s="90">
        <v>2</v>
      </c>
      <c r="E35" s="86">
        <v>0.34375</v>
      </c>
      <c r="F35" s="86">
        <v>0.29184549356223177</v>
      </c>
      <c r="G35" s="86">
        <v>0.15879828326180256</v>
      </c>
      <c r="H35" s="87">
        <v>10776.470588235294</v>
      </c>
      <c r="I35" s="87">
        <v>-10167.567567567568</v>
      </c>
      <c r="J35" s="86">
        <v>0.1875</v>
      </c>
      <c r="K35" s="86">
        <v>0.15625</v>
      </c>
      <c r="L35" s="86">
        <v>0.36</v>
      </c>
      <c r="M35" s="86">
        <v>0.21</v>
      </c>
      <c r="N35" s="86">
        <v>0.61111111111111116</v>
      </c>
      <c r="O35" s="86">
        <v>0.23809523809523808</v>
      </c>
      <c r="P35" s="86">
        <v>0.35294117647058826</v>
      </c>
      <c r="Q35" s="86">
        <v>0.37804878048780488</v>
      </c>
    </row>
    <row r="36" spans="1:17" x14ac:dyDescent="0.4">
      <c r="A36" s="88">
        <v>33</v>
      </c>
      <c r="B36" s="85">
        <v>-13.500000000000039</v>
      </c>
      <c r="C36" s="85">
        <v>-0.40909090909091028</v>
      </c>
      <c r="D36" s="90">
        <v>2</v>
      </c>
      <c r="E36" s="86">
        <v>0.33333333333333331</v>
      </c>
      <c r="F36" s="86">
        <v>0.29218106995884774</v>
      </c>
      <c r="G36" s="86">
        <v>0.16049382716049382</v>
      </c>
      <c r="H36" s="87">
        <v>10760.56338028169</v>
      </c>
      <c r="I36" s="87">
        <v>-10005.128205128205</v>
      </c>
      <c r="J36" s="86">
        <v>0.18181818181818182</v>
      </c>
      <c r="K36" s="86">
        <v>0.15151515151515152</v>
      </c>
      <c r="L36" s="86">
        <v>0.35454545454545455</v>
      </c>
      <c r="M36" s="86">
        <v>0.21818181818181817</v>
      </c>
      <c r="N36" s="86">
        <v>0.61538461538461542</v>
      </c>
      <c r="O36" s="86">
        <v>0.25</v>
      </c>
      <c r="P36" s="86">
        <v>0.3380281690140845</v>
      </c>
      <c r="Q36" s="86">
        <v>0.36363636363636365</v>
      </c>
    </row>
    <row r="37" spans="1:17" x14ac:dyDescent="0.4">
      <c r="A37" s="88">
        <v>34</v>
      </c>
      <c r="B37" s="85">
        <v>-1.3000000000000398</v>
      </c>
      <c r="C37" s="85">
        <v>-3.8235294117648227E-2</v>
      </c>
      <c r="D37" s="90">
        <v>1.9705882352941178</v>
      </c>
      <c r="E37" s="86">
        <v>0.35294117647058826</v>
      </c>
      <c r="F37" s="86">
        <v>0.29761904761904762</v>
      </c>
      <c r="G37" s="86">
        <v>0.1626984126984127</v>
      </c>
      <c r="H37" s="87">
        <v>10501.333333333334</v>
      </c>
      <c r="I37" s="87">
        <v>-9770.7317073170725</v>
      </c>
      <c r="J37" s="86">
        <v>0.17647058823529413</v>
      </c>
      <c r="K37" s="86">
        <v>0.14705882352941177</v>
      </c>
      <c r="L37" s="86">
        <v>0.33613445378151263</v>
      </c>
      <c r="M37" s="86">
        <v>0.25210084033613445</v>
      </c>
      <c r="N37" s="86">
        <v>0.625</v>
      </c>
      <c r="O37" s="86">
        <v>0.3</v>
      </c>
      <c r="P37" s="86">
        <v>0.34666666666666668</v>
      </c>
      <c r="Q37" s="86">
        <v>0.36263736263736263</v>
      </c>
    </row>
    <row r="38" spans="1:17" x14ac:dyDescent="0.4">
      <c r="A38" s="88">
        <v>35</v>
      </c>
      <c r="B38" s="85">
        <v>-38.600000000000037</v>
      </c>
      <c r="C38" s="85">
        <v>-1.1028571428571439</v>
      </c>
      <c r="D38" s="90">
        <v>2</v>
      </c>
      <c r="E38" s="86">
        <v>0.34285714285714286</v>
      </c>
      <c r="F38" s="86">
        <v>0.29343629343629346</v>
      </c>
      <c r="G38" s="86">
        <v>0.16602316602316602</v>
      </c>
      <c r="H38" s="87">
        <v>10442.105263157895</v>
      </c>
      <c r="I38" s="87">
        <v>-9904.6511627906984</v>
      </c>
      <c r="J38" s="86">
        <v>0.2</v>
      </c>
      <c r="K38" s="86">
        <v>0.14285714285714285</v>
      </c>
      <c r="L38" s="86">
        <v>0.33333333333333331</v>
      </c>
      <c r="M38" s="86">
        <v>0.26190476190476192</v>
      </c>
      <c r="N38" s="86">
        <v>0.59523809523809523</v>
      </c>
      <c r="O38" s="86">
        <v>0.30303030303030304</v>
      </c>
      <c r="P38" s="86">
        <v>0.35526315789473684</v>
      </c>
      <c r="Q38" s="86">
        <v>0.36559139784946237</v>
      </c>
    </row>
    <row r="39" spans="1:17" x14ac:dyDescent="0.4">
      <c r="A39" s="88">
        <v>36</v>
      </c>
      <c r="B39" s="85">
        <v>10.399999999999963</v>
      </c>
      <c r="C39" s="85">
        <v>0.28888888888888786</v>
      </c>
      <c r="D39" s="90">
        <v>1.9722222222222223</v>
      </c>
      <c r="E39" s="86">
        <v>0.3611111111111111</v>
      </c>
      <c r="F39" s="86">
        <v>0.29770992366412213</v>
      </c>
      <c r="G39" s="86">
        <v>0.16412213740458015</v>
      </c>
      <c r="H39" s="87">
        <v>10789.74358974359</v>
      </c>
      <c r="I39" s="87">
        <v>-9904.6511627906984</v>
      </c>
      <c r="J39" s="86">
        <v>0.19444444444444445</v>
      </c>
      <c r="K39" s="86">
        <v>0.16666666666666666</v>
      </c>
      <c r="L39" s="86">
        <v>0.34108527131782945</v>
      </c>
      <c r="M39" s="86">
        <v>0.2558139534883721</v>
      </c>
      <c r="N39" s="86">
        <v>0.61363636363636365</v>
      </c>
      <c r="O39" s="86">
        <v>0.30303030303030304</v>
      </c>
      <c r="P39" s="86">
        <v>0.37179487179487181</v>
      </c>
      <c r="Q39" s="86">
        <v>0.375</v>
      </c>
    </row>
    <row r="40" spans="1:17" x14ac:dyDescent="0.4">
      <c r="A40" s="88">
        <v>37</v>
      </c>
      <c r="B40" s="85">
        <v>-3.4000000000000377</v>
      </c>
      <c r="C40" s="85">
        <v>-9.189189189189291E-2</v>
      </c>
      <c r="D40" s="90">
        <v>2</v>
      </c>
      <c r="E40" s="86">
        <v>0.35135135135135137</v>
      </c>
      <c r="F40" s="86">
        <v>0.29368029739776952</v>
      </c>
      <c r="G40" s="86">
        <v>0.16728624535315986</v>
      </c>
      <c r="H40" s="87">
        <v>10754.430379746835</v>
      </c>
      <c r="I40" s="87">
        <v>-9820</v>
      </c>
      <c r="J40" s="86">
        <v>0.1891891891891892</v>
      </c>
      <c r="K40" s="86">
        <v>0.16216216216216217</v>
      </c>
      <c r="L40" s="86">
        <v>0.33823529411764708</v>
      </c>
      <c r="M40" s="86">
        <v>0.25735294117647056</v>
      </c>
      <c r="N40" s="86">
        <v>0.58695652173913049</v>
      </c>
      <c r="O40" s="86">
        <v>0.31428571428571428</v>
      </c>
      <c r="P40" s="86">
        <v>0.379746835443038</v>
      </c>
      <c r="Q40" s="86">
        <v>0.36734693877551022</v>
      </c>
    </row>
    <row r="41" spans="1:17" x14ac:dyDescent="0.4">
      <c r="A41" s="88">
        <v>38</v>
      </c>
      <c r="B41" s="85">
        <v>37.599999999999966</v>
      </c>
      <c r="C41" s="85">
        <v>0.98947368421052539</v>
      </c>
      <c r="D41" s="90">
        <v>1.9736842105263157</v>
      </c>
      <c r="E41" s="86">
        <v>0.36842105263157893</v>
      </c>
      <c r="F41" s="86">
        <v>0.30324909747292417</v>
      </c>
      <c r="G41" s="86">
        <v>0.16245487364620939</v>
      </c>
      <c r="H41" s="87">
        <v>10626.190476190477</v>
      </c>
      <c r="I41" s="87">
        <v>-9820</v>
      </c>
      <c r="J41" s="86">
        <v>0.18421052631578946</v>
      </c>
      <c r="K41" s="86">
        <v>0.18421052631578946</v>
      </c>
      <c r="L41" s="86">
        <v>0.34722222222222221</v>
      </c>
      <c r="M41" s="86">
        <v>0.2638888888888889</v>
      </c>
      <c r="N41" s="86">
        <v>0.6</v>
      </c>
      <c r="O41" s="86">
        <v>0.34210526315789475</v>
      </c>
      <c r="P41" s="86">
        <v>0.41666666666666669</v>
      </c>
      <c r="Q41" s="86">
        <v>0.38461538461538464</v>
      </c>
    </row>
    <row r="42" spans="1:17" x14ac:dyDescent="0.4">
      <c r="A42" s="88">
        <v>39</v>
      </c>
      <c r="B42" s="85">
        <v>34.199999999999967</v>
      </c>
      <c r="C42" s="85">
        <v>0.87692307692307614</v>
      </c>
      <c r="D42" s="90">
        <v>1.9743589743589745</v>
      </c>
      <c r="E42" s="86">
        <v>0.35897435897435898</v>
      </c>
      <c r="F42" s="86">
        <v>0.30313588850174217</v>
      </c>
      <c r="G42" s="86">
        <v>0.16376306620209058</v>
      </c>
      <c r="H42" s="87">
        <v>10626.436781609196</v>
      </c>
      <c r="I42" s="87">
        <v>-9759.5744680851058</v>
      </c>
      <c r="J42" s="86">
        <v>0.17948717948717949</v>
      </c>
      <c r="K42" s="86">
        <v>0.17948717948717949</v>
      </c>
      <c r="L42" s="86">
        <v>0.33766233766233766</v>
      </c>
      <c r="M42" s="86">
        <v>0.26623376623376621</v>
      </c>
      <c r="N42" s="86">
        <v>0.59615384615384615</v>
      </c>
      <c r="O42" s="86">
        <v>0.36585365853658536</v>
      </c>
      <c r="P42" s="86">
        <v>0.41379310344827586</v>
      </c>
      <c r="Q42" s="86">
        <v>0.3867924528301887</v>
      </c>
    </row>
    <row r="43" spans="1:17" x14ac:dyDescent="0.4">
      <c r="A43" s="88">
        <v>40</v>
      </c>
      <c r="B43" s="85">
        <v>105.79999999999995</v>
      </c>
      <c r="C43" s="85">
        <v>2.6449999999999987</v>
      </c>
      <c r="D43" s="90">
        <v>1.95</v>
      </c>
      <c r="E43" s="86">
        <v>0.375</v>
      </c>
      <c r="F43" s="86">
        <v>0.31058020477815701</v>
      </c>
      <c r="G43" s="86">
        <v>0.16040955631399317</v>
      </c>
      <c r="H43" s="87">
        <v>10902.197802197803</v>
      </c>
      <c r="I43" s="87">
        <v>-9759.5744680851058</v>
      </c>
      <c r="J43" s="86">
        <v>0.17499999999999999</v>
      </c>
      <c r="K43" s="86">
        <v>0.2</v>
      </c>
      <c r="L43" s="86">
        <v>0.33750000000000002</v>
      </c>
      <c r="M43" s="86">
        <v>0.26250000000000001</v>
      </c>
      <c r="N43" s="86">
        <v>0.61111111111111116</v>
      </c>
      <c r="O43" s="86">
        <v>0.38095238095238093</v>
      </c>
      <c r="P43" s="86">
        <v>0.42857142857142855</v>
      </c>
      <c r="Q43" s="86">
        <v>0.4</v>
      </c>
    </row>
    <row r="44" spans="1:17" x14ac:dyDescent="0.4">
      <c r="A44" s="88">
        <v>41</v>
      </c>
      <c r="B44" s="85">
        <v>137.29999999999995</v>
      </c>
      <c r="C44" s="85">
        <v>3.348780487804877</v>
      </c>
      <c r="D44" s="90">
        <v>1.9268292682926829</v>
      </c>
      <c r="E44" s="86">
        <v>0.3902439024390244</v>
      </c>
      <c r="F44" s="86">
        <v>0.31208053691275167</v>
      </c>
      <c r="G44" s="86">
        <v>0.15771812080536912</v>
      </c>
      <c r="H44" s="87">
        <v>11054.838709677419</v>
      </c>
      <c r="I44" s="87">
        <v>-9759.5744680851058</v>
      </c>
      <c r="J44" s="86">
        <v>0.17073170731707318</v>
      </c>
      <c r="K44" s="86">
        <v>0.1951219512195122</v>
      </c>
      <c r="L44" s="86">
        <v>0.34545454545454546</v>
      </c>
      <c r="M44" s="86">
        <v>0.25454545454545452</v>
      </c>
      <c r="N44" s="86">
        <v>0.61403508771929827</v>
      </c>
      <c r="O44" s="86">
        <v>0.38095238095238093</v>
      </c>
      <c r="P44" s="86">
        <v>0.43010752688172044</v>
      </c>
      <c r="Q44" s="86">
        <v>0.40707964601769914</v>
      </c>
    </row>
    <row r="45" spans="1:17" x14ac:dyDescent="0.4">
      <c r="A45" s="88">
        <v>42</v>
      </c>
      <c r="B45" s="85">
        <v>172.69999999999996</v>
      </c>
      <c r="C45" s="85">
        <v>4.1119047619047606</v>
      </c>
      <c r="D45" s="90">
        <v>1.9047619047619047</v>
      </c>
      <c r="E45" s="86">
        <v>0.40476190476190477</v>
      </c>
      <c r="F45" s="86">
        <v>0.31189710610932475</v>
      </c>
      <c r="G45" s="86">
        <v>0.15434083601286175</v>
      </c>
      <c r="H45" s="87">
        <v>11194.845360824742</v>
      </c>
      <c r="I45" s="87">
        <v>-10056.25</v>
      </c>
      <c r="J45" s="86">
        <v>0.16666666666666666</v>
      </c>
      <c r="K45" s="86">
        <v>0.21428571428571427</v>
      </c>
      <c r="L45" s="86">
        <v>0.33707865168539325</v>
      </c>
      <c r="M45" s="86">
        <v>0.25842696629213485</v>
      </c>
      <c r="N45" s="86">
        <v>0.6</v>
      </c>
      <c r="O45" s="86">
        <v>0.39130434782608697</v>
      </c>
      <c r="P45" s="86">
        <v>0.42268041237113402</v>
      </c>
      <c r="Q45" s="86">
        <v>0.41880341880341881</v>
      </c>
    </row>
    <row r="46" spans="1:17" x14ac:dyDescent="0.4">
      <c r="A46" s="88">
        <v>43</v>
      </c>
      <c r="B46" s="85">
        <v>184.19999999999996</v>
      </c>
      <c r="C46" s="85">
        <v>4.2837209302325574</v>
      </c>
      <c r="D46" s="90">
        <v>1.8837209302325582</v>
      </c>
      <c r="E46" s="86">
        <v>0.41860465116279072</v>
      </c>
      <c r="F46" s="86">
        <v>0.3125</v>
      </c>
      <c r="G46" s="86">
        <v>0.15312500000000001</v>
      </c>
      <c r="H46" s="87">
        <v>11179</v>
      </c>
      <c r="I46" s="87">
        <v>-9891.8367346938776</v>
      </c>
      <c r="J46" s="86">
        <v>0.16279069767441862</v>
      </c>
      <c r="K46" s="86">
        <v>0.20930232558139536</v>
      </c>
      <c r="L46" s="86">
        <v>0.33689839572192515</v>
      </c>
      <c r="M46" s="86">
        <v>0.24598930481283424</v>
      </c>
      <c r="N46" s="86">
        <v>0.61904761904761907</v>
      </c>
      <c r="O46" s="86">
        <v>0.39130434782608697</v>
      </c>
      <c r="P46" s="86">
        <v>0.42</v>
      </c>
      <c r="Q46" s="86">
        <v>0.41666666666666669</v>
      </c>
    </row>
    <row r="47" spans="1:17" x14ac:dyDescent="0.4">
      <c r="A47" s="88">
        <v>44</v>
      </c>
      <c r="B47" s="85">
        <v>193.29999999999995</v>
      </c>
      <c r="C47" s="85">
        <v>4.3931818181818167</v>
      </c>
      <c r="D47" s="90">
        <v>1.8863636363636365</v>
      </c>
      <c r="E47" s="86">
        <v>0.40909090909090912</v>
      </c>
      <c r="F47" s="86">
        <v>0.31419939577039274</v>
      </c>
      <c r="G47" s="86">
        <v>0.15709969788519637</v>
      </c>
      <c r="H47" s="87">
        <v>11229.807692307691</v>
      </c>
      <c r="I47" s="87">
        <v>-9665.3846153846152</v>
      </c>
      <c r="J47" s="86">
        <v>0.15909090909090909</v>
      </c>
      <c r="K47" s="86">
        <v>0.20454545454545456</v>
      </c>
      <c r="L47" s="86">
        <v>0.3383838383838384</v>
      </c>
      <c r="M47" s="86">
        <v>0.25252525252525254</v>
      </c>
      <c r="N47" s="86">
        <v>0.61194029850746268</v>
      </c>
      <c r="O47" s="86">
        <v>0.38</v>
      </c>
      <c r="P47" s="86">
        <v>0.40384615384615385</v>
      </c>
      <c r="Q47" s="86">
        <v>0.41935483870967744</v>
      </c>
    </row>
    <row r="48" spans="1:17" x14ac:dyDescent="0.4">
      <c r="A48" s="88">
        <v>45</v>
      </c>
      <c r="B48" s="85">
        <v>144.89999999999995</v>
      </c>
      <c r="C48" s="85">
        <v>3.2199999999999989</v>
      </c>
      <c r="D48" s="90">
        <v>1.9111111111111112</v>
      </c>
      <c r="E48" s="86">
        <v>0.4</v>
      </c>
      <c r="F48" s="86">
        <v>0.31065088757396447</v>
      </c>
      <c r="G48" s="86">
        <v>0.16272189349112426</v>
      </c>
      <c r="H48" s="87">
        <v>11142.857142857143</v>
      </c>
      <c r="I48" s="87">
        <v>-9829.0909090909099</v>
      </c>
      <c r="J48" s="86">
        <v>0.17777777777777778</v>
      </c>
      <c r="K48" s="86">
        <v>0.2</v>
      </c>
      <c r="L48" s="86">
        <v>0.33658536585365856</v>
      </c>
      <c r="M48" s="86">
        <v>0.24390243902439024</v>
      </c>
      <c r="N48" s="86">
        <v>0.59420289855072461</v>
      </c>
      <c r="O48" s="86">
        <v>0.38</v>
      </c>
      <c r="P48" s="86">
        <v>0.40952380952380951</v>
      </c>
      <c r="Q48" s="86">
        <v>0.41599999999999998</v>
      </c>
    </row>
    <row r="49" spans="1:17" x14ac:dyDescent="0.4">
      <c r="A49" s="88">
        <v>46</v>
      </c>
      <c r="B49" s="85">
        <v>189.79999999999995</v>
      </c>
      <c r="C49" s="85">
        <v>4.1260869565217382</v>
      </c>
      <c r="D49" s="90">
        <v>1.8913043478260869</v>
      </c>
      <c r="E49" s="86">
        <v>0.41304347826086957</v>
      </c>
      <c r="F49" s="86">
        <v>0.3188405797101449</v>
      </c>
      <c r="G49" s="86">
        <v>0.15942028985507245</v>
      </c>
      <c r="H49" s="87">
        <v>11029.09090909091</v>
      </c>
      <c r="I49" s="87">
        <v>-9829.0909090909099</v>
      </c>
      <c r="J49" s="86">
        <v>0.17391304347826086</v>
      </c>
      <c r="K49" s="86">
        <v>0.21739130434782608</v>
      </c>
      <c r="L49" s="86">
        <v>0.34433962264150941</v>
      </c>
      <c r="M49" s="86">
        <v>0.24056603773584906</v>
      </c>
      <c r="N49" s="86">
        <v>0.61643835616438358</v>
      </c>
      <c r="O49" s="86">
        <v>0.39215686274509803</v>
      </c>
      <c r="P49" s="86">
        <v>0.40909090909090912</v>
      </c>
      <c r="Q49" s="86">
        <v>0.41860465116279072</v>
      </c>
    </row>
    <row r="50" spans="1:17" x14ac:dyDescent="0.4">
      <c r="A50" s="88">
        <v>47</v>
      </c>
      <c r="B50" s="85">
        <v>199.69999999999996</v>
      </c>
      <c r="C50" s="85">
        <v>4.2489361702127653</v>
      </c>
      <c r="D50" s="90">
        <v>1.8936170212765957</v>
      </c>
      <c r="E50" s="86">
        <v>0.40425531914893614</v>
      </c>
      <c r="F50" s="86">
        <v>0.32011331444759206</v>
      </c>
      <c r="G50" s="86">
        <v>0.16147308781869688</v>
      </c>
      <c r="H50" s="87">
        <v>11019.469026548673</v>
      </c>
      <c r="I50" s="87">
        <v>-9740.3508771929828</v>
      </c>
      <c r="J50" s="86">
        <v>0.1702127659574468</v>
      </c>
      <c r="K50" s="86">
        <v>0.21276595744680851</v>
      </c>
      <c r="L50" s="86">
        <v>0.35</v>
      </c>
      <c r="M50" s="86">
        <v>0.23181818181818181</v>
      </c>
      <c r="N50" s="86">
        <v>0.62337662337662336</v>
      </c>
      <c r="O50" s="86">
        <v>0.39215686274509803</v>
      </c>
      <c r="P50" s="86">
        <v>0.41592920353982299</v>
      </c>
      <c r="Q50" s="86">
        <v>0.41221374045801529</v>
      </c>
    </row>
    <row r="51" spans="1:17" x14ac:dyDescent="0.4">
      <c r="A51" s="88">
        <v>48</v>
      </c>
      <c r="B51" s="85">
        <v>179.69999999999996</v>
      </c>
      <c r="C51" s="85">
        <v>3.743749999999999</v>
      </c>
      <c r="D51" s="90">
        <v>1.9166666666666667</v>
      </c>
      <c r="E51" s="86">
        <v>0.39583333333333331</v>
      </c>
      <c r="F51" s="86">
        <v>0.31955922865013775</v>
      </c>
      <c r="G51" s="86">
        <v>0.16253443526170799</v>
      </c>
      <c r="H51" s="87">
        <v>10915.51724137931</v>
      </c>
      <c r="I51" s="87">
        <v>-9850.8474576271183</v>
      </c>
      <c r="J51" s="86">
        <v>0.16666666666666666</v>
      </c>
      <c r="K51" s="86">
        <v>0.20833333333333334</v>
      </c>
      <c r="L51" s="86">
        <v>0.34782608695652173</v>
      </c>
      <c r="M51" s="86">
        <v>0.23043478260869565</v>
      </c>
      <c r="N51" s="86">
        <v>0.625</v>
      </c>
      <c r="O51" s="86">
        <v>0.39622641509433965</v>
      </c>
      <c r="P51" s="86">
        <v>0.41379310344827586</v>
      </c>
      <c r="Q51" s="86">
        <v>0.41044776119402987</v>
      </c>
    </row>
    <row r="52" spans="1:17" x14ac:dyDescent="0.4">
      <c r="A52" s="88">
        <v>49</v>
      </c>
      <c r="B52" s="85">
        <v>174.79999999999995</v>
      </c>
      <c r="C52" s="85">
        <v>3.5673469387755095</v>
      </c>
      <c r="D52" s="90">
        <v>1.9183673469387754</v>
      </c>
      <c r="E52" s="86">
        <v>0.38775510204081631</v>
      </c>
      <c r="F52" s="86">
        <v>0.31989247311827956</v>
      </c>
      <c r="G52" s="86">
        <v>0.16129032258064516</v>
      </c>
      <c r="H52" s="87">
        <v>10842.857142857143</v>
      </c>
      <c r="I52" s="87">
        <v>-9886.6666666666661</v>
      </c>
      <c r="J52" s="86">
        <v>0.16326530612244897</v>
      </c>
      <c r="K52" s="86">
        <v>0.20408163265306123</v>
      </c>
      <c r="L52" s="86">
        <v>0.34728033472803349</v>
      </c>
      <c r="M52" s="86">
        <v>0.2384937238493724</v>
      </c>
      <c r="N52" s="86">
        <v>0.61445783132530118</v>
      </c>
      <c r="O52" s="86">
        <v>0.40350877192982454</v>
      </c>
      <c r="P52" s="86">
        <v>0.40336134453781514</v>
      </c>
      <c r="Q52" s="86">
        <v>0.40875912408759124</v>
      </c>
    </row>
    <row r="53" spans="1:17" x14ac:dyDescent="0.4">
      <c r="A53" s="88">
        <v>50</v>
      </c>
      <c r="B53" s="85">
        <v>192.59999999999997</v>
      </c>
      <c r="C53" s="85">
        <v>3.8519999999999994</v>
      </c>
      <c r="D53" s="90">
        <v>1.9</v>
      </c>
      <c r="E53" s="86">
        <v>0.4</v>
      </c>
      <c r="F53" s="86">
        <v>0.31853785900783288</v>
      </c>
      <c r="G53" s="86">
        <v>0.16187989556135771</v>
      </c>
      <c r="H53" s="87">
        <v>10903.27868852459</v>
      </c>
      <c r="I53" s="87">
        <v>-9738.7096774193542</v>
      </c>
      <c r="J53" s="86">
        <v>0.16</v>
      </c>
      <c r="K53" s="86">
        <v>0.2</v>
      </c>
      <c r="L53" s="86">
        <v>0.34399999999999997</v>
      </c>
      <c r="M53" s="86">
        <v>0.23599999999999999</v>
      </c>
      <c r="N53" s="86">
        <v>0.61627906976744184</v>
      </c>
      <c r="O53" s="86">
        <v>0.38983050847457629</v>
      </c>
      <c r="P53" s="86">
        <v>0.40163934426229508</v>
      </c>
      <c r="Q53" s="86">
        <v>0.40425531914893614</v>
      </c>
    </row>
    <row r="54" spans="1:17" x14ac:dyDescent="0.4">
      <c r="A54" s="88">
        <v>51</v>
      </c>
      <c r="B54" s="85">
        <v>166.19999999999996</v>
      </c>
      <c r="C54" s="85">
        <v>3.2588235294117638</v>
      </c>
      <c r="D54" s="90">
        <v>1.9215686274509804</v>
      </c>
      <c r="E54" s="86">
        <v>0.39215686274509803</v>
      </c>
      <c r="F54" s="86">
        <v>0.31282051282051282</v>
      </c>
      <c r="G54" s="86">
        <v>0.1641025641025641</v>
      </c>
      <c r="H54" s="87">
        <v>10903.27868852459</v>
      </c>
      <c r="I54" s="87">
        <v>-9809.375</v>
      </c>
      <c r="J54" s="86">
        <v>0.15686274509803921</v>
      </c>
      <c r="K54" s="86">
        <v>0.19607843137254902</v>
      </c>
      <c r="L54" s="86">
        <v>0.33852140077821014</v>
      </c>
      <c r="M54" s="86">
        <v>0.23346303501945526</v>
      </c>
      <c r="N54" s="86">
        <v>0.60919540229885061</v>
      </c>
      <c r="O54" s="86">
        <v>0.38333333333333336</v>
      </c>
      <c r="P54" s="86">
        <v>0.40163934426229508</v>
      </c>
      <c r="Q54" s="86">
        <v>0.39860139860139859</v>
      </c>
    </row>
    <row r="55" spans="1:17" x14ac:dyDescent="0.4">
      <c r="A55" s="88">
        <v>52</v>
      </c>
      <c r="B55" s="85">
        <v>176.69999999999996</v>
      </c>
      <c r="C55" s="85">
        <v>3.3980769230769221</v>
      </c>
      <c r="D55" s="90">
        <v>1.9038461538461537</v>
      </c>
      <c r="E55" s="86">
        <v>0.40384615384615385</v>
      </c>
      <c r="F55" s="86">
        <v>0.31155778894472363</v>
      </c>
      <c r="G55" s="86">
        <v>0.16582914572864321</v>
      </c>
      <c r="H55" s="87">
        <v>10945.161290322581</v>
      </c>
      <c r="I55" s="87">
        <v>-9754.545454545454</v>
      </c>
      <c r="J55" s="86">
        <v>0.15384615384615385</v>
      </c>
      <c r="K55" s="86">
        <v>0.19230769230769232</v>
      </c>
      <c r="L55" s="86">
        <v>0.33962264150943394</v>
      </c>
      <c r="M55" s="86">
        <v>0.23018867924528302</v>
      </c>
      <c r="N55" s="86">
        <v>0.61111111111111116</v>
      </c>
      <c r="O55" s="86">
        <v>0.37704918032786883</v>
      </c>
      <c r="P55" s="86">
        <v>0.41129032258064518</v>
      </c>
      <c r="Q55" s="86">
        <v>0.39726027397260272</v>
      </c>
    </row>
    <row r="56" spans="1:17" x14ac:dyDescent="0.4">
      <c r="A56" s="88">
        <v>53</v>
      </c>
      <c r="B56" s="85">
        <v>176.29999999999995</v>
      </c>
      <c r="C56" s="85">
        <v>3.3264150943396218</v>
      </c>
      <c r="D56" s="90">
        <v>1.9056603773584906</v>
      </c>
      <c r="E56" s="86">
        <v>0.39622641509433965</v>
      </c>
      <c r="F56" s="86">
        <v>0.31773399014778325</v>
      </c>
      <c r="G56" s="86">
        <v>0.16748768472906403</v>
      </c>
      <c r="H56" s="87">
        <v>10773.643410852714</v>
      </c>
      <c r="I56" s="87">
        <v>-9908.823529411764</v>
      </c>
      <c r="J56" s="86">
        <v>0.15094339622641509</v>
      </c>
      <c r="K56" s="86">
        <v>0.18867924528301888</v>
      </c>
      <c r="L56" s="86">
        <v>0.33699633699633702</v>
      </c>
      <c r="M56" s="86">
        <v>0.23809523809523808</v>
      </c>
      <c r="N56" s="86">
        <v>0.61956521739130432</v>
      </c>
      <c r="O56" s="86">
        <v>0.38461538461538464</v>
      </c>
      <c r="P56" s="86">
        <v>0.41085271317829458</v>
      </c>
      <c r="Q56" s="86">
        <v>0.39597315436241609</v>
      </c>
    </row>
    <row r="57" spans="1:17" x14ac:dyDescent="0.4">
      <c r="A57" s="88">
        <v>54</v>
      </c>
      <c r="B57" s="85">
        <v>194.39999999999995</v>
      </c>
      <c r="C57" s="85">
        <v>3.5999999999999992</v>
      </c>
      <c r="D57" s="90">
        <v>1.8888888888888888</v>
      </c>
      <c r="E57" s="86">
        <v>0.40740740740740738</v>
      </c>
      <c r="F57" s="86">
        <v>0.31971153846153844</v>
      </c>
      <c r="G57" s="86">
        <v>0.16346153846153846</v>
      </c>
      <c r="H57" s="87">
        <v>10638.345864661655</v>
      </c>
      <c r="I57" s="87">
        <v>-9908.823529411764</v>
      </c>
      <c r="J57" s="86">
        <v>0.14814814814814814</v>
      </c>
      <c r="K57" s="86">
        <v>0.18518518518518517</v>
      </c>
      <c r="L57" s="86">
        <v>0.33922261484098942</v>
      </c>
      <c r="M57" s="86">
        <v>0.22968197879858657</v>
      </c>
      <c r="N57" s="86">
        <v>0.63541666666666663</v>
      </c>
      <c r="O57" s="86">
        <v>0.38461538461538464</v>
      </c>
      <c r="P57" s="86">
        <v>0.40601503759398494</v>
      </c>
      <c r="Q57" s="86">
        <v>0.39215686274509803</v>
      </c>
    </row>
    <row r="58" spans="1:17" x14ac:dyDescent="0.4">
      <c r="A58" s="88">
        <v>55</v>
      </c>
      <c r="B58" s="85">
        <v>217.19999999999996</v>
      </c>
      <c r="C58" s="85">
        <v>3.9490909090909083</v>
      </c>
      <c r="D58" s="90">
        <v>1.8727272727272728</v>
      </c>
      <c r="E58" s="86">
        <v>0.41818181818181815</v>
      </c>
      <c r="F58" s="86">
        <v>0.32380952380952382</v>
      </c>
      <c r="G58" s="86">
        <v>0.16190476190476191</v>
      </c>
      <c r="H58" s="87">
        <v>10549.264705882353</v>
      </c>
      <c r="I58" s="87">
        <v>-9908.823529411764</v>
      </c>
      <c r="J58" s="86">
        <v>0.14545454545454545</v>
      </c>
      <c r="K58" s="86">
        <v>0.2</v>
      </c>
      <c r="L58" s="86">
        <v>0.34146341463414637</v>
      </c>
      <c r="M58" s="86">
        <v>0.2264808362369338</v>
      </c>
      <c r="N58" s="86">
        <v>0.6428571428571429</v>
      </c>
      <c r="O58" s="86">
        <v>0.38461538461538464</v>
      </c>
      <c r="P58" s="86">
        <v>0.40441176470588236</v>
      </c>
      <c r="Q58" s="86">
        <v>0.39743589743589741</v>
      </c>
    </row>
    <row r="59" spans="1:17" x14ac:dyDescent="0.4">
      <c r="A59" s="88">
        <v>56</v>
      </c>
      <c r="B59" s="85">
        <v>204.39999999999995</v>
      </c>
      <c r="C59" s="85">
        <v>3.649999999999999</v>
      </c>
      <c r="D59" s="90">
        <v>1.8928571428571428</v>
      </c>
      <c r="E59" s="86">
        <v>0.4107142857142857</v>
      </c>
      <c r="F59" s="86">
        <v>0.32084309133489464</v>
      </c>
      <c r="G59" s="86">
        <v>0.16393442622950818</v>
      </c>
      <c r="H59" s="87">
        <v>10559.854014598541</v>
      </c>
      <c r="I59" s="87">
        <v>-9737.1428571428569</v>
      </c>
      <c r="J59" s="86">
        <v>0.14285714285714285</v>
      </c>
      <c r="K59" s="86">
        <v>0.19642857142857142</v>
      </c>
      <c r="L59" s="86">
        <v>0.33333333333333331</v>
      </c>
      <c r="M59" s="86">
        <v>0.22448979591836735</v>
      </c>
      <c r="N59" s="86">
        <v>0.6428571428571429</v>
      </c>
      <c r="O59" s="86">
        <v>0.39393939393939392</v>
      </c>
      <c r="P59" s="86">
        <v>0.40145985401459855</v>
      </c>
      <c r="Q59" s="86">
        <v>0.39240506329113922</v>
      </c>
    </row>
    <row r="60" spans="1:17" x14ac:dyDescent="0.4">
      <c r="A60" s="88">
        <v>57</v>
      </c>
      <c r="B60" s="85">
        <v>240.39999999999995</v>
      </c>
      <c r="C60" s="85">
        <v>4.2175438596491217</v>
      </c>
      <c r="D60" s="90">
        <v>1.8771929824561404</v>
      </c>
      <c r="E60" s="86">
        <v>0.42105263157894735</v>
      </c>
      <c r="F60" s="86">
        <v>0.32242990654205606</v>
      </c>
      <c r="G60" s="86">
        <v>0.16355140186915887</v>
      </c>
      <c r="H60" s="87">
        <v>10744.202898550724</v>
      </c>
      <c r="I60" s="87">
        <v>-9737.1428571428569</v>
      </c>
      <c r="J60" s="86">
        <v>0.14035087719298245</v>
      </c>
      <c r="K60" s="86">
        <v>0.21052631578947367</v>
      </c>
      <c r="L60" s="86">
        <v>0.33559322033898303</v>
      </c>
      <c r="M60" s="86">
        <v>0.22372881355932203</v>
      </c>
      <c r="N60" s="86">
        <v>0.64646464646464652</v>
      </c>
      <c r="O60" s="86">
        <v>0.39393939393939392</v>
      </c>
      <c r="P60" s="86">
        <v>0.39855072463768115</v>
      </c>
      <c r="Q60" s="86">
        <v>0.39622641509433965</v>
      </c>
    </row>
    <row r="61" spans="1:17" x14ac:dyDescent="0.4">
      <c r="A61" s="88">
        <v>58</v>
      </c>
      <c r="B61" s="85">
        <v>191.29999999999995</v>
      </c>
      <c r="C61" s="85">
        <v>3.2982758620689649</v>
      </c>
      <c r="D61" s="90">
        <v>1.896551724137931</v>
      </c>
      <c r="E61" s="86">
        <v>0.41379310344827586</v>
      </c>
      <c r="F61" s="86">
        <v>0.3180778032036613</v>
      </c>
      <c r="G61" s="86">
        <v>0.16018306636155608</v>
      </c>
      <c r="H61" s="87">
        <v>10681.294964028777</v>
      </c>
      <c r="I61" s="87">
        <v>-9737.1428571428569</v>
      </c>
      <c r="J61" s="86">
        <v>0.15517241379310345</v>
      </c>
      <c r="K61" s="86">
        <v>0.20689655172413793</v>
      </c>
      <c r="L61" s="86">
        <v>0.33223684210526316</v>
      </c>
      <c r="M61" s="86">
        <v>0.22368421052631579</v>
      </c>
      <c r="N61" s="86">
        <v>0.63366336633663367</v>
      </c>
      <c r="O61" s="86">
        <v>0.39705882352941174</v>
      </c>
      <c r="P61" s="86">
        <v>0.39568345323741005</v>
      </c>
      <c r="Q61" s="86">
        <v>0.39130434782608697</v>
      </c>
    </row>
    <row r="62" spans="1:17" x14ac:dyDescent="0.4">
      <c r="A62" s="88">
        <v>59</v>
      </c>
      <c r="B62" s="85">
        <v>188.69999999999996</v>
      </c>
      <c r="C62" s="85">
        <v>3.1983050847457619</v>
      </c>
      <c r="D62" s="90">
        <v>1.8983050847457628</v>
      </c>
      <c r="E62" s="86">
        <v>0.40677966101694918</v>
      </c>
      <c r="F62" s="86">
        <v>0.31838565022421522</v>
      </c>
      <c r="G62" s="86">
        <v>0.16367713004484305</v>
      </c>
      <c r="H62" s="87">
        <v>10575.352112676057</v>
      </c>
      <c r="I62" s="87">
        <v>-9626.0273972602736</v>
      </c>
      <c r="J62" s="86">
        <v>0.15254237288135594</v>
      </c>
      <c r="K62" s="86">
        <v>0.20338983050847459</v>
      </c>
      <c r="L62" s="86">
        <v>0.33546325878594252</v>
      </c>
      <c r="M62" s="86">
        <v>0.22044728434504793</v>
      </c>
      <c r="N62" s="86">
        <v>0.62857142857142856</v>
      </c>
      <c r="O62" s="86">
        <v>0.39130434782608697</v>
      </c>
      <c r="P62" s="86">
        <v>0.39436619718309857</v>
      </c>
      <c r="Q62" s="86">
        <v>0.3902439024390244</v>
      </c>
    </row>
    <row r="63" spans="1:17" x14ac:dyDescent="0.4">
      <c r="A63" s="88">
        <v>60</v>
      </c>
      <c r="B63" s="85">
        <v>201.19999999999996</v>
      </c>
      <c r="C63" s="85">
        <v>3.3533333333333326</v>
      </c>
      <c r="D63" s="90">
        <v>1.8833333333333333</v>
      </c>
      <c r="E63" s="86">
        <v>0.41666666666666669</v>
      </c>
      <c r="F63" s="86">
        <v>0.3208791208791209</v>
      </c>
      <c r="G63" s="86">
        <v>0.16043956043956045</v>
      </c>
      <c r="H63" s="87">
        <v>10532.191780821919</v>
      </c>
      <c r="I63" s="87">
        <v>-9626.0273972602736</v>
      </c>
      <c r="J63" s="86">
        <v>0.15</v>
      </c>
      <c r="K63" s="86">
        <v>0.2</v>
      </c>
      <c r="L63" s="86">
        <v>0.32919254658385094</v>
      </c>
      <c r="M63" s="86">
        <v>0.2267080745341615</v>
      </c>
      <c r="N63" s="86">
        <v>0.63207547169811318</v>
      </c>
      <c r="O63" s="86">
        <v>0.38356164383561642</v>
      </c>
      <c r="P63" s="86">
        <v>0.4041095890410959</v>
      </c>
      <c r="Q63" s="86">
        <v>0.38554216867469882</v>
      </c>
    </row>
    <row r="64" spans="1:17" x14ac:dyDescent="0.4">
      <c r="A64" s="88">
        <v>61</v>
      </c>
      <c r="B64" s="85">
        <v>213.49999999999997</v>
      </c>
      <c r="C64" s="85">
        <v>3.4999999999999996</v>
      </c>
      <c r="D64" s="90">
        <v>1.8852459016393444</v>
      </c>
      <c r="E64" s="86">
        <v>0.4098360655737705</v>
      </c>
      <c r="F64" s="86">
        <v>0.32034632034632032</v>
      </c>
      <c r="G64" s="86">
        <v>0.16017316017316016</v>
      </c>
      <c r="H64" s="87">
        <v>10552.027027027027</v>
      </c>
      <c r="I64" s="87">
        <v>-9566.2162162162167</v>
      </c>
      <c r="J64" s="86">
        <v>0.14754098360655737</v>
      </c>
      <c r="K64" s="86">
        <v>0.19672131147540983</v>
      </c>
      <c r="L64" s="86">
        <v>0.32826747720364741</v>
      </c>
      <c r="M64" s="86">
        <v>0.22492401215805471</v>
      </c>
      <c r="N64" s="86">
        <v>0.62962962962962965</v>
      </c>
      <c r="O64" s="86">
        <v>0.39189189189189189</v>
      </c>
      <c r="P64" s="86">
        <v>0.40540540540540543</v>
      </c>
      <c r="Q64" s="86">
        <v>0.38095238095238093</v>
      </c>
    </row>
    <row r="65" spans="1:17" x14ac:dyDescent="0.4">
      <c r="A65" s="88">
        <v>62</v>
      </c>
      <c r="B65" s="85">
        <v>214.39999999999998</v>
      </c>
      <c r="C65" s="85">
        <v>3.4580645161290318</v>
      </c>
      <c r="D65" s="90">
        <v>1.8870967741935485</v>
      </c>
      <c r="E65" s="86">
        <v>0.40322580645161288</v>
      </c>
      <c r="F65" s="86">
        <v>0.32203389830508472</v>
      </c>
      <c r="G65" s="86">
        <v>0.16313559322033899</v>
      </c>
      <c r="H65" s="87">
        <v>10509.868421052632</v>
      </c>
      <c r="I65" s="87">
        <v>-9594.8051948051943</v>
      </c>
      <c r="J65" s="86">
        <v>0.14516129032258066</v>
      </c>
      <c r="K65" s="86">
        <v>0.19354838709677419</v>
      </c>
      <c r="L65" s="86">
        <v>0.3303834808259587</v>
      </c>
      <c r="M65" s="86">
        <v>0.22418879056047197</v>
      </c>
      <c r="N65" s="86">
        <v>0.6428571428571429</v>
      </c>
      <c r="O65" s="86">
        <v>0.38157894736842107</v>
      </c>
      <c r="P65" s="86">
        <v>0.40789473684210525</v>
      </c>
      <c r="Q65" s="86">
        <v>0.37790697674418605</v>
      </c>
    </row>
    <row r="66" spans="1:17" x14ac:dyDescent="0.4">
      <c r="A66" s="88">
        <v>63</v>
      </c>
      <c r="B66" s="85">
        <v>210.59999999999997</v>
      </c>
      <c r="C66" s="85">
        <v>3.3428571428571425</v>
      </c>
      <c r="D66" s="90">
        <v>1.8888888888888888</v>
      </c>
      <c r="E66" s="86">
        <v>0.3968253968253968</v>
      </c>
      <c r="F66" s="86">
        <v>0.32291666666666669</v>
      </c>
      <c r="G66" s="86">
        <v>0.16250000000000001</v>
      </c>
      <c r="H66" s="87">
        <v>10500.645161290322</v>
      </c>
      <c r="I66" s="87">
        <v>-9508.9743589743593</v>
      </c>
      <c r="J66" s="86">
        <v>0.14285714285714285</v>
      </c>
      <c r="K66" s="86">
        <v>0.19047619047619047</v>
      </c>
      <c r="L66" s="86">
        <v>0.32853025936599423</v>
      </c>
      <c r="M66" s="86">
        <v>0.22478386167146974</v>
      </c>
      <c r="N66" s="86">
        <v>0.64035087719298245</v>
      </c>
      <c r="O66" s="86">
        <v>0.37179487179487181</v>
      </c>
      <c r="P66" s="86">
        <v>0.41935483870967744</v>
      </c>
      <c r="Q66" s="86">
        <v>0.37356321839080459</v>
      </c>
    </row>
    <row r="67" spans="1:17" x14ac:dyDescent="0.4">
      <c r="A67" s="88">
        <v>64</v>
      </c>
      <c r="B67" s="85">
        <v>198.69999999999996</v>
      </c>
      <c r="C67" s="85">
        <v>3.1046874999999994</v>
      </c>
      <c r="D67" s="90">
        <v>1.890625</v>
      </c>
      <c r="E67" s="86">
        <v>0.390625</v>
      </c>
      <c r="F67" s="86">
        <v>0.32310838445807771</v>
      </c>
      <c r="G67" s="86">
        <v>0.16155419222903886</v>
      </c>
      <c r="H67" s="87">
        <v>10441.139240506329</v>
      </c>
      <c r="I67" s="87">
        <v>-9489.8734177215192</v>
      </c>
      <c r="J67" s="86">
        <v>0.140625</v>
      </c>
      <c r="K67" s="86">
        <v>0.1875</v>
      </c>
      <c r="L67" s="86">
        <v>0.3342696629213483</v>
      </c>
      <c r="M67" s="86">
        <v>0.2247191011235955</v>
      </c>
      <c r="N67" s="86">
        <v>0.63025210084033612</v>
      </c>
      <c r="O67" s="86">
        <v>0.375</v>
      </c>
      <c r="P67" s="86">
        <v>0.43037974683544306</v>
      </c>
      <c r="Q67" s="86">
        <v>0.3672316384180791</v>
      </c>
    </row>
    <row r="68" spans="1:17" x14ac:dyDescent="0.4">
      <c r="A68" s="88">
        <v>65</v>
      </c>
      <c r="B68" s="85">
        <v>181.19999999999996</v>
      </c>
      <c r="C68" s="85">
        <v>2.787692307692307</v>
      </c>
      <c r="D68" s="90">
        <v>1.9076923076923078</v>
      </c>
      <c r="E68" s="86">
        <v>0.38461538461538464</v>
      </c>
      <c r="F68" s="86">
        <v>0.31991951710261568</v>
      </c>
      <c r="G68" s="86">
        <v>0.15895372233400401</v>
      </c>
      <c r="H68" s="87">
        <v>10388.050314465409</v>
      </c>
      <c r="I68" s="87">
        <v>-9489.8734177215192</v>
      </c>
      <c r="J68" s="86">
        <v>0.13846153846153847</v>
      </c>
      <c r="K68" s="86">
        <v>0.18461538461538463</v>
      </c>
      <c r="L68" s="86">
        <v>0.3324175824175824</v>
      </c>
      <c r="M68" s="86">
        <v>0.23076923076923078</v>
      </c>
      <c r="N68" s="86">
        <v>0.6198347107438017</v>
      </c>
      <c r="O68" s="86">
        <v>0.36904761904761907</v>
      </c>
      <c r="P68" s="86">
        <v>0.42767295597484278</v>
      </c>
      <c r="Q68" s="86">
        <v>0.36312849162011174</v>
      </c>
    </row>
    <row r="69" spans="1:17" x14ac:dyDescent="0.4">
      <c r="A69" s="88">
        <v>66</v>
      </c>
      <c r="B69" s="85">
        <v>188.49999999999997</v>
      </c>
      <c r="C69" s="85">
        <v>2.8560606060606055</v>
      </c>
      <c r="D69" s="90">
        <v>1.893939393939394</v>
      </c>
      <c r="E69" s="86">
        <v>0.39393939393939392</v>
      </c>
      <c r="F69" s="86">
        <v>0.32405566600397612</v>
      </c>
      <c r="G69" s="86">
        <v>0.15705765407554673</v>
      </c>
      <c r="H69" s="87">
        <v>10243.558282208589</v>
      </c>
      <c r="I69" s="87">
        <v>-9489.8734177215192</v>
      </c>
      <c r="J69" s="86">
        <v>0.13636363636363635</v>
      </c>
      <c r="K69" s="86">
        <v>0.18181818181818182</v>
      </c>
      <c r="L69" s="86">
        <v>0.33243243243243242</v>
      </c>
      <c r="M69" s="86">
        <v>0.23243243243243245</v>
      </c>
      <c r="N69" s="86">
        <v>0.62601626016260159</v>
      </c>
      <c r="O69" s="86">
        <v>0.38372093023255816</v>
      </c>
      <c r="P69" s="86">
        <v>0.41717791411042943</v>
      </c>
      <c r="Q69" s="86">
        <v>0.35911602209944754</v>
      </c>
    </row>
    <row r="70" spans="1:17" x14ac:dyDescent="0.4">
      <c r="A70" s="88">
        <v>67</v>
      </c>
      <c r="B70" s="85">
        <v>183.89999999999998</v>
      </c>
      <c r="C70" s="85">
        <v>2.7447761194029847</v>
      </c>
      <c r="D70" s="90">
        <v>1.9104477611940298</v>
      </c>
      <c r="E70" s="86">
        <v>0.38805970149253732</v>
      </c>
      <c r="F70" s="86">
        <v>0.32485322896281799</v>
      </c>
      <c r="G70" s="86">
        <v>0.15851272015655576</v>
      </c>
      <c r="H70" s="87">
        <v>10227.10843373494</v>
      </c>
      <c r="I70" s="87">
        <v>-9435.8024691358023</v>
      </c>
      <c r="J70" s="86">
        <v>0.13432835820895522</v>
      </c>
      <c r="K70" s="86">
        <v>0.17910447761194029</v>
      </c>
      <c r="L70" s="86">
        <v>0.33333333333333331</v>
      </c>
      <c r="M70" s="86">
        <v>0.23280423280423279</v>
      </c>
      <c r="N70" s="86">
        <v>0.62698412698412698</v>
      </c>
      <c r="O70" s="86">
        <v>0.38636363636363635</v>
      </c>
      <c r="P70" s="86">
        <v>0.42168674698795183</v>
      </c>
      <c r="Q70" s="86">
        <v>0.3551912568306011</v>
      </c>
    </row>
    <row r="71" spans="1:17" x14ac:dyDescent="0.4">
      <c r="A71" s="88">
        <v>68</v>
      </c>
      <c r="B71" s="85">
        <v>197.99999999999997</v>
      </c>
      <c r="C71" s="85">
        <v>2.9117647058823524</v>
      </c>
      <c r="D71" s="90">
        <v>1.911764705882353</v>
      </c>
      <c r="E71" s="86">
        <v>0.38235294117647056</v>
      </c>
      <c r="F71" s="86">
        <v>0.32495164410058025</v>
      </c>
      <c r="G71" s="86">
        <v>0.15667311411992263</v>
      </c>
      <c r="H71" s="87">
        <v>10189.285714285714</v>
      </c>
      <c r="I71" s="87">
        <v>-9435.8024691358023</v>
      </c>
      <c r="J71" s="86">
        <v>0.13235294117647059</v>
      </c>
      <c r="K71" s="86">
        <v>0.17647058823529413</v>
      </c>
      <c r="L71" s="86">
        <v>0.328125</v>
      </c>
      <c r="M71" s="86">
        <v>0.234375</v>
      </c>
      <c r="N71" s="86">
        <v>0.62698412698412698</v>
      </c>
      <c r="O71" s="86">
        <v>0.4</v>
      </c>
      <c r="P71" s="86">
        <v>0.42857142857142855</v>
      </c>
      <c r="Q71" s="86">
        <v>0.35326086956521741</v>
      </c>
    </row>
    <row r="72" spans="1:17" x14ac:dyDescent="0.4">
      <c r="A72" s="88">
        <v>69</v>
      </c>
      <c r="B72" s="85">
        <v>159.49999999999997</v>
      </c>
      <c r="C72" s="85">
        <v>2.3115942028985503</v>
      </c>
      <c r="D72" s="90">
        <v>1.9275362318840579</v>
      </c>
      <c r="E72" s="86">
        <v>0.37681159420289856</v>
      </c>
      <c r="F72" s="86">
        <v>0.32183908045977011</v>
      </c>
      <c r="G72" s="86">
        <v>0.15900383141762453</v>
      </c>
      <c r="H72" s="87">
        <v>10189.285714285714</v>
      </c>
      <c r="I72" s="87">
        <v>-9569.87951807229</v>
      </c>
      <c r="J72" s="86">
        <v>0.14492753623188406</v>
      </c>
      <c r="K72" s="86">
        <v>0.17391304347826086</v>
      </c>
      <c r="L72" s="86">
        <v>0.32647814910025708</v>
      </c>
      <c r="M72" s="86">
        <v>0.23393316195372751</v>
      </c>
      <c r="N72" s="86">
        <v>0.62204724409448819</v>
      </c>
      <c r="O72" s="86">
        <v>0.39560439560439559</v>
      </c>
      <c r="P72" s="86">
        <v>0.42857142857142855</v>
      </c>
      <c r="Q72" s="86">
        <v>0.35135135135135137</v>
      </c>
    </row>
    <row r="73" spans="1:17" x14ac:dyDescent="0.4">
      <c r="A73" s="88">
        <v>70</v>
      </c>
      <c r="B73" s="85">
        <v>168.39999999999998</v>
      </c>
      <c r="C73" s="85">
        <v>2.4057142857142852</v>
      </c>
      <c r="D73" s="90">
        <v>1.9142857142857144</v>
      </c>
      <c r="E73" s="86">
        <v>0.38571428571428573</v>
      </c>
      <c r="F73" s="86">
        <v>0.32075471698113206</v>
      </c>
      <c r="G73" s="86">
        <v>0.15849056603773584</v>
      </c>
      <c r="H73" s="87">
        <v>10186.470588235294</v>
      </c>
      <c r="I73" s="87">
        <v>-9467.8571428571431</v>
      </c>
      <c r="J73" s="86">
        <v>0.14285714285714285</v>
      </c>
      <c r="K73" s="86">
        <v>0.17142857142857143</v>
      </c>
      <c r="L73" s="86">
        <v>0.32241813602015112</v>
      </c>
      <c r="M73" s="86">
        <v>0.23425692695214106</v>
      </c>
      <c r="N73" s="86">
        <v>0.625</v>
      </c>
      <c r="O73" s="86">
        <v>0.39784946236559138</v>
      </c>
      <c r="P73" s="86">
        <v>0.42352941176470588</v>
      </c>
      <c r="Q73" s="86">
        <v>0.34759358288770054</v>
      </c>
    </row>
    <row r="74" spans="1:17" x14ac:dyDescent="0.4">
      <c r="A74" s="88">
        <v>71</v>
      </c>
      <c r="B74" s="85">
        <v>198.09999999999997</v>
      </c>
      <c r="C74" s="85">
        <v>2.7901408450704221</v>
      </c>
      <c r="D74" s="90">
        <v>1.9014084507042253</v>
      </c>
      <c r="E74" s="86">
        <v>0.39436619718309857</v>
      </c>
      <c r="F74" s="86">
        <v>0.32282003710575141</v>
      </c>
      <c r="G74" s="86">
        <v>0.15584415584415584</v>
      </c>
      <c r="H74" s="87">
        <v>10212.068965517241</v>
      </c>
      <c r="I74" s="87">
        <v>-9467.8571428571431</v>
      </c>
      <c r="J74" s="86">
        <v>0.14084507042253522</v>
      </c>
      <c r="K74" s="86">
        <v>0.18309859154929578</v>
      </c>
      <c r="L74" s="86">
        <v>0.32758620689655171</v>
      </c>
      <c r="M74" s="86">
        <v>0.23399014778325122</v>
      </c>
      <c r="N74" s="86">
        <v>0.62406015037593987</v>
      </c>
      <c r="O74" s="86">
        <v>0.38947368421052631</v>
      </c>
      <c r="P74" s="86">
        <v>0.43103448275862066</v>
      </c>
      <c r="Q74" s="86">
        <v>0.34554973821989526</v>
      </c>
    </row>
    <row r="75" spans="1:17" x14ac:dyDescent="0.4">
      <c r="A75" s="88">
        <v>72</v>
      </c>
      <c r="B75" s="85">
        <v>177.39999999999998</v>
      </c>
      <c r="C75" s="85">
        <v>2.4638888888888886</v>
      </c>
      <c r="D75" s="90">
        <v>1.9027777777777777</v>
      </c>
      <c r="E75" s="86">
        <v>0.3888888888888889</v>
      </c>
      <c r="F75" s="86">
        <v>0.31926605504587158</v>
      </c>
      <c r="G75" s="86">
        <v>0.15596330275229359</v>
      </c>
      <c r="H75" s="87">
        <v>10212.068965517241</v>
      </c>
      <c r="I75" s="87">
        <v>-9447.0588235294126</v>
      </c>
      <c r="J75" s="86">
        <v>0.1388888888888889</v>
      </c>
      <c r="K75" s="86">
        <v>0.18055555555555555</v>
      </c>
      <c r="L75" s="86">
        <v>0.32524271844660196</v>
      </c>
      <c r="M75" s="86">
        <v>0.2354368932038835</v>
      </c>
      <c r="N75" s="86">
        <v>0.61940298507462688</v>
      </c>
      <c r="O75" s="86">
        <v>0.38144329896907214</v>
      </c>
      <c r="P75" s="86">
        <v>0.43103448275862066</v>
      </c>
      <c r="Q75" s="86">
        <v>0.34375</v>
      </c>
    </row>
    <row r="76" spans="1:17" x14ac:dyDescent="0.4">
      <c r="A76" s="88">
        <v>73</v>
      </c>
      <c r="B76" s="85">
        <v>139.39999999999998</v>
      </c>
      <c r="C76" s="85">
        <v>1.90958904109589</v>
      </c>
      <c r="D76" s="90">
        <v>1.9178082191780821</v>
      </c>
      <c r="E76" s="86">
        <v>0.38356164383561642</v>
      </c>
      <c r="F76" s="86">
        <v>0.31693989071038253</v>
      </c>
      <c r="G76" s="86">
        <v>0.15846994535519127</v>
      </c>
      <c r="H76" s="87">
        <v>10212.068965517241</v>
      </c>
      <c r="I76" s="87">
        <v>-9643.6781609195405</v>
      </c>
      <c r="J76" s="86">
        <v>0.15068493150684931</v>
      </c>
      <c r="K76" s="86">
        <v>0.17808219178082191</v>
      </c>
      <c r="L76" s="86">
        <v>0.32451923076923078</v>
      </c>
      <c r="M76" s="86">
        <v>0.23557692307692307</v>
      </c>
      <c r="N76" s="86">
        <v>0.61481481481481481</v>
      </c>
      <c r="O76" s="86">
        <v>0.37755102040816324</v>
      </c>
      <c r="P76" s="86">
        <v>0.43103448275862066</v>
      </c>
      <c r="Q76" s="86">
        <v>0.34196891191709844</v>
      </c>
    </row>
    <row r="77" spans="1:17" x14ac:dyDescent="0.4">
      <c r="A77" s="88">
        <v>74</v>
      </c>
      <c r="B77" s="85">
        <v>175.39999999999998</v>
      </c>
      <c r="C77" s="85">
        <v>2.3702702702702698</v>
      </c>
      <c r="D77" s="90">
        <v>1.9054054054054055</v>
      </c>
      <c r="E77" s="86">
        <v>0.39189189189189189</v>
      </c>
      <c r="F77" s="86">
        <v>0.31818181818181818</v>
      </c>
      <c r="G77" s="86">
        <v>0.15818181818181817</v>
      </c>
      <c r="H77" s="87">
        <v>10359.428571428571</v>
      </c>
      <c r="I77" s="87">
        <v>-9643.6781609195405</v>
      </c>
      <c r="J77" s="86">
        <v>0.14864864864864866</v>
      </c>
      <c r="K77" s="86">
        <v>0.1891891891891892</v>
      </c>
      <c r="L77" s="86">
        <v>0.32613908872901681</v>
      </c>
      <c r="M77" s="86">
        <v>0.23501199040767387</v>
      </c>
      <c r="N77" s="86">
        <v>0.61764705882352944</v>
      </c>
      <c r="O77" s="86">
        <v>0.37755102040816324</v>
      </c>
      <c r="P77" s="86">
        <v>0.42857142857142855</v>
      </c>
      <c r="Q77" s="86">
        <v>0.34536082474226804</v>
      </c>
    </row>
    <row r="78" spans="1:17" x14ac:dyDescent="0.4">
      <c r="A78" s="88">
        <v>75</v>
      </c>
      <c r="B78" s="85">
        <v>205.29999999999998</v>
      </c>
      <c r="C78" s="85">
        <v>2.737333333333333</v>
      </c>
      <c r="D78" s="90">
        <v>1.8933333333333333</v>
      </c>
      <c r="E78" s="86">
        <v>0.4</v>
      </c>
      <c r="F78" s="86">
        <v>0.32200357781753131</v>
      </c>
      <c r="G78" s="86">
        <v>0.15742397137745975</v>
      </c>
      <c r="H78" s="87">
        <v>10382.777777777777</v>
      </c>
      <c r="I78" s="87">
        <v>-9563.636363636364</v>
      </c>
      <c r="J78" s="86">
        <v>0.14666666666666667</v>
      </c>
      <c r="K78" s="86">
        <v>0.18666666666666668</v>
      </c>
      <c r="L78" s="86">
        <v>0.32629107981220656</v>
      </c>
      <c r="M78" s="86">
        <v>0.23708920187793428</v>
      </c>
      <c r="N78" s="86">
        <v>0.62589928057553956</v>
      </c>
      <c r="O78" s="86">
        <v>0.38613861386138615</v>
      </c>
      <c r="P78" s="86">
        <v>0.43888888888888888</v>
      </c>
      <c r="Q78" s="86">
        <v>0.34848484848484851</v>
      </c>
    </row>
    <row r="79" spans="1:17" x14ac:dyDescent="0.4">
      <c r="A79" s="88">
        <v>76</v>
      </c>
      <c r="B79" s="85">
        <v>228.79999999999998</v>
      </c>
      <c r="C79" s="85">
        <v>3.0105263157894733</v>
      </c>
      <c r="D79" s="90">
        <v>1.881578947368421</v>
      </c>
      <c r="E79" s="86">
        <v>0.40789473684210525</v>
      </c>
      <c r="F79" s="86">
        <v>0.32155477031802121</v>
      </c>
      <c r="G79" s="86">
        <v>0.15901060070671377</v>
      </c>
      <c r="H79" s="87">
        <v>10473.626373626374</v>
      </c>
      <c r="I79" s="87">
        <v>-9444.4444444444453</v>
      </c>
      <c r="J79" s="86">
        <v>0.14473684210526316</v>
      </c>
      <c r="K79" s="86">
        <v>0.19736842105263158</v>
      </c>
      <c r="L79" s="86">
        <v>0.32563510392609701</v>
      </c>
      <c r="M79" s="86">
        <v>0.24018475750577367</v>
      </c>
      <c r="N79" s="86">
        <v>0.62411347517730498</v>
      </c>
      <c r="O79" s="86">
        <v>0.375</v>
      </c>
      <c r="P79" s="86">
        <v>0.43956043956043955</v>
      </c>
      <c r="Q79" s="86">
        <v>0.34499999999999997</v>
      </c>
    </row>
    <row r="80" spans="1:17" x14ac:dyDescent="0.4">
      <c r="A80" s="88">
        <v>77</v>
      </c>
      <c r="B80" s="85">
        <v>222.99999999999997</v>
      </c>
      <c r="C80" s="85">
        <v>2.8961038961038956</v>
      </c>
      <c r="D80" s="90">
        <v>1.8961038961038961</v>
      </c>
      <c r="E80" s="86">
        <v>0.40259740259740262</v>
      </c>
      <c r="F80" s="86">
        <v>0.32118055555555558</v>
      </c>
      <c r="G80" s="86">
        <v>0.1579861111111111</v>
      </c>
      <c r="H80" s="87">
        <v>10432.972972972973</v>
      </c>
      <c r="I80" s="87">
        <v>-9425.2747252747249</v>
      </c>
      <c r="J80" s="86">
        <v>0.14285714285714285</v>
      </c>
      <c r="K80" s="86">
        <v>0.19480519480519481</v>
      </c>
      <c r="L80" s="86">
        <v>0.31828442437923249</v>
      </c>
      <c r="M80" s="86">
        <v>0.24153498871331827</v>
      </c>
      <c r="N80" s="86">
        <v>0.62411347517730498</v>
      </c>
      <c r="O80" s="86">
        <v>0.38317757009345793</v>
      </c>
      <c r="P80" s="86">
        <v>0.43243243243243246</v>
      </c>
      <c r="Q80" s="86">
        <v>0.34158415841584161</v>
      </c>
    </row>
    <row r="81" spans="1:17" x14ac:dyDescent="0.4">
      <c r="A81" s="88">
        <v>78</v>
      </c>
      <c r="B81" s="85">
        <v>219.99999999999997</v>
      </c>
      <c r="C81" s="85">
        <v>2.8205128205128203</v>
      </c>
      <c r="D81" s="90">
        <v>1.8974358974358974</v>
      </c>
      <c r="E81" s="86">
        <v>0.39743589743589741</v>
      </c>
      <c r="F81" s="86">
        <v>0.32068965517241377</v>
      </c>
      <c r="G81" s="86">
        <v>0.15689655172413794</v>
      </c>
      <c r="H81" s="87">
        <v>10505.913978494624</v>
      </c>
      <c r="I81" s="87">
        <v>-9425.2747252747249</v>
      </c>
      <c r="J81" s="86">
        <v>0.14102564102564102</v>
      </c>
      <c r="K81" s="86">
        <v>0.19230769230769232</v>
      </c>
      <c r="L81" s="86">
        <v>0.31767337807606266</v>
      </c>
      <c r="M81" s="86">
        <v>0.24161073825503357</v>
      </c>
      <c r="N81" s="86">
        <v>0.61971830985915488</v>
      </c>
      <c r="O81" s="86">
        <v>0.3888888888888889</v>
      </c>
      <c r="P81" s="86">
        <v>0.43010752688172044</v>
      </c>
      <c r="Q81" s="86">
        <v>0.34313725490196079</v>
      </c>
    </row>
    <row r="82" spans="1:17" x14ac:dyDescent="0.4">
      <c r="A82" s="88">
        <v>79</v>
      </c>
      <c r="B82" s="85">
        <v>213.29999999999998</v>
      </c>
      <c r="C82" s="85">
        <v>2.6999999999999997</v>
      </c>
      <c r="D82" s="90">
        <v>1.9113924050632911</v>
      </c>
      <c r="E82" s="86">
        <v>0.39240506329113922</v>
      </c>
      <c r="F82" s="86">
        <v>0.31856899488926749</v>
      </c>
      <c r="G82" s="86">
        <v>0.16013628620102216</v>
      </c>
      <c r="H82" s="87">
        <v>10535.294117647059</v>
      </c>
      <c r="I82" s="87">
        <v>-9275.5319148936178</v>
      </c>
      <c r="J82" s="86">
        <v>0.13924050632911392</v>
      </c>
      <c r="K82" s="86">
        <v>0.189873417721519</v>
      </c>
      <c r="L82" s="86">
        <v>0.31277533039647576</v>
      </c>
      <c r="M82" s="86">
        <v>0.24008810572687225</v>
      </c>
      <c r="N82" s="86">
        <v>0.61971830985915488</v>
      </c>
      <c r="O82" s="86">
        <v>0.38532110091743121</v>
      </c>
      <c r="P82" s="86">
        <v>0.43315508021390375</v>
      </c>
      <c r="Q82" s="86">
        <v>0.33980582524271846</v>
      </c>
    </row>
    <row r="83" spans="1:17" x14ac:dyDescent="0.4">
      <c r="A83" s="88">
        <v>80</v>
      </c>
      <c r="B83" s="85">
        <v>192.99999999999997</v>
      </c>
      <c r="C83" s="85">
        <v>2.4124999999999996</v>
      </c>
      <c r="D83" s="90">
        <v>1.925</v>
      </c>
      <c r="E83" s="86">
        <v>0.38750000000000001</v>
      </c>
      <c r="F83" s="86">
        <v>0.31481481481481483</v>
      </c>
      <c r="G83" s="86">
        <v>0.15993265993265993</v>
      </c>
      <c r="H83" s="87">
        <v>10535.294117647059</v>
      </c>
      <c r="I83" s="87">
        <v>-9262.105263157895</v>
      </c>
      <c r="J83" s="86">
        <v>0.13750000000000001</v>
      </c>
      <c r="K83" s="86">
        <v>0.1875</v>
      </c>
      <c r="L83" s="86">
        <v>0.31019522776572667</v>
      </c>
      <c r="M83" s="86">
        <v>0.24078091106290672</v>
      </c>
      <c r="N83" s="86">
        <v>0.61538461538461542</v>
      </c>
      <c r="O83" s="86">
        <v>0.3783783783783784</v>
      </c>
      <c r="P83" s="86">
        <v>0.43315508021390375</v>
      </c>
      <c r="Q83" s="86">
        <v>0.3349282296650718</v>
      </c>
    </row>
    <row r="84" spans="1:17" x14ac:dyDescent="0.4">
      <c r="A84" s="88">
        <v>81</v>
      </c>
      <c r="B84" s="85">
        <v>220.49999999999997</v>
      </c>
      <c r="C84" s="85">
        <v>2.7222222222222219</v>
      </c>
      <c r="D84" s="90">
        <v>1.9135802469135803</v>
      </c>
      <c r="E84" s="86">
        <v>0.39506172839506171</v>
      </c>
      <c r="F84" s="86">
        <v>0.31613976705490848</v>
      </c>
      <c r="G84" s="86">
        <v>0.16139767054908485</v>
      </c>
      <c r="H84" s="87">
        <v>10621.578947368422</v>
      </c>
      <c r="I84" s="87">
        <v>-9269.0721649484531</v>
      </c>
      <c r="J84" s="86">
        <v>0.13580246913580246</v>
      </c>
      <c r="K84" s="86">
        <v>0.19753086419753085</v>
      </c>
      <c r="L84" s="86">
        <v>0.31196581196581197</v>
      </c>
      <c r="M84" s="86">
        <v>0.23931623931623933</v>
      </c>
      <c r="N84" s="86">
        <v>0.62328767123287676</v>
      </c>
      <c r="O84" s="86">
        <v>0.375</v>
      </c>
      <c r="P84" s="86">
        <v>0.43684210526315792</v>
      </c>
      <c r="Q84" s="86">
        <v>0.33649289099526064</v>
      </c>
    </row>
    <row r="85" spans="1:17" x14ac:dyDescent="0.4">
      <c r="A85" s="88">
        <v>82</v>
      </c>
      <c r="B85" s="85">
        <v>226.19999999999996</v>
      </c>
      <c r="C85" s="85">
        <v>2.758536585365853</v>
      </c>
      <c r="D85" s="90">
        <v>1.9024390243902438</v>
      </c>
      <c r="E85" s="86">
        <v>0.40243902439024393</v>
      </c>
      <c r="F85" s="86">
        <v>0.31691297208538588</v>
      </c>
      <c r="G85" s="86">
        <v>0.1625615763546798</v>
      </c>
      <c r="H85" s="87">
        <v>10520.725388601037</v>
      </c>
      <c r="I85" s="87">
        <v>-9255.5555555555547</v>
      </c>
      <c r="J85" s="86">
        <v>0.13414634146341464</v>
      </c>
      <c r="K85" s="86">
        <v>0.1951219512195122</v>
      </c>
      <c r="L85" s="86">
        <v>0.31512605042016806</v>
      </c>
      <c r="M85" s="86">
        <v>0.23949579831932774</v>
      </c>
      <c r="N85" s="86">
        <v>0.62</v>
      </c>
      <c r="O85" s="86">
        <v>0.37719298245614036</v>
      </c>
      <c r="P85" s="86">
        <v>0.43523316062176165</v>
      </c>
      <c r="Q85" s="86">
        <v>0.3364485981308411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02168-C4F1-4E84-A85F-A9E76BE046C4}">
  <sheetPr codeName="Sheet20"/>
  <dimension ref="A1:Q57"/>
  <sheetViews>
    <sheetView workbookViewId="0"/>
  </sheetViews>
  <sheetFormatPr defaultColWidth="10.75" defaultRowHeight="18.75" x14ac:dyDescent="0.4"/>
  <cols>
    <col min="1" max="1" width="10.75" style="88"/>
    <col min="2" max="3" width="10.75" style="85"/>
    <col min="4" max="4" width="10.75" style="90"/>
    <col min="5" max="7" width="10.75" style="86"/>
    <col min="8" max="9" width="10.75" style="87"/>
    <col min="10" max="17" width="10.75" style="86"/>
    <col min="18" max="16384" width="10.75" style="89"/>
  </cols>
  <sheetData>
    <row r="1" spans="1:17" x14ac:dyDescent="0.4">
      <c r="A1" s="89" t="s">
        <v>136</v>
      </c>
      <c r="B1" s="89" t="s">
        <v>136</v>
      </c>
      <c r="C1" s="89" t="s">
        <v>136</v>
      </c>
      <c r="D1" s="90" t="s">
        <v>136</v>
      </c>
      <c r="E1" s="89" t="s">
        <v>136</v>
      </c>
      <c r="F1" s="89" t="s">
        <v>136</v>
      </c>
      <c r="G1" s="89" t="s">
        <v>136</v>
      </c>
      <c r="H1" s="89" t="s">
        <v>136</v>
      </c>
      <c r="I1" s="89" t="s">
        <v>136</v>
      </c>
      <c r="J1" s="89" t="s">
        <v>136</v>
      </c>
      <c r="K1" s="89" t="s">
        <v>136</v>
      </c>
      <c r="L1" s="89" t="s">
        <v>136</v>
      </c>
      <c r="M1" s="89" t="s">
        <v>136</v>
      </c>
      <c r="N1" s="89" t="s">
        <v>136</v>
      </c>
      <c r="O1" s="89" t="s">
        <v>136</v>
      </c>
      <c r="P1" s="89" t="s">
        <v>136</v>
      </c>
      <c r="Q1" s="89" t="s">
        <v>136</v>
      </c>
    </row>
    <row r="2" spans="1:17" x14ac:dyDescent="0.4">
      <c r="A2" s="89" t="s">
        <v>9</v>
      </c>
      <c r="B2" s="89" t="s">
        <v>6</v>
      </c>
      <c r="C2" s="89" t="s">
        <v>7</v>
      </c>
      <c r="D2" s="90" t="s">
        <v>16</v>
      </c>
      <c r="E2" s="89" t="s">
        <v>15</v>
      </c>
      <c r="F2" s="89" t="s">
        <v>167</v>
      </c>
      <c r="G2" s="89" t="s">
        <v>166</v>
      </c>
      <c r="H2" s="89" t="s">
        <v>5</v>
      </c>
      <c r="I2" s="89" t="s">
        <v>17</v>
      </c>
      <c r="J2" s="89" t="s">
        <v>18</v>
      </c>
      <c r="K2" s="89" t="s">
        <v>159</v>
      </c>
      <c r="L2" s="89" t="s">
        <v>129</v>
      </c>
      <c r="M2" s="89" t="s">
        <v>124</v>
      </c>
      <c r="N2" s="89" t="s">
        <v>132</v>
      </c>
      <c r="O2" s="89" t="s">
        <v>168</v>
      </c>
      <c r="P2" s="89" t="s">
        <v>164</v>
      </c>
      <c r="Q2" s="89" t="s">
        <v>149</v>
      </c>
    </row>
    <row r="3" spans="1:17" x14ac:dyDescent="0.4">
      <c r="A3" s="88">
        <v>0</v>
      </c>
      <c r="B3" s="85">
        <v>0</v>
      </c>
    </row>
    <row r="4" spans="1:17" x14ac:dyDescent="0.4">
      <c r="A4" s="88">
        <v>1</v>
      </c>
      <c r="B4" s="85">
        <v>68.2</v>
      </c>
      <c r="C4" s="85">
        <v>68.2</v>
      </c>
      <c r="D4" s="90">
        <v>1</v>
      </c>
      <c r="E4" s="86">
        <v>1</v>
      </c>
      <c r="F4" s="86">
        <v>0.5714285714285714</v>
      </c>
      <c r="G4" s="86">
        <v>0</v>
      </c>
      <c r="H4" s="87">
        <v>15300</v>
      </c>
      <c r="I4" s="87">
        <v>0</v>
      </c>
      <c r="J4" s="86">
        <v>0</v>
      </c>
      <c r="K4" s="86">
        <v>1</v>
      </c>
      <c r="P4" s="86">
        <v>0</v>
      </c>
      <c r="Q4" s="86">
        <v>1</v>
      </c>
    </row>
    <row r="5" spans="1:17" x14ac:dyDescent="0.4">
      <c r="A5" s="88">
        <v>2</v>
      </c>
      <c r="B5" s="85">
        <v>58.5</v>
      </c>
      <c r="C5" s="85">
        <v>29.25</v>
      </c>
      <c r="D5" s="90">
        <v>2</v>
      </c>
      <c r="E5" s="86">
        <v>0.5</v>
      </c>
      <c r="F5" s="86">
        <v>0.3</v>
      </c>
      <c r="G5" s="86">
        <v>0.15</v>
      </c>
      <c r="H5" s="87">
        <v>17533.333333333332</v>
      </c>
      <c r="I5" s="87">
        <v>-5733.333333333333</v>
      </c>
      <c r="J5" s="86">
        <v>0</v>
      </c>
      <c r="K5" s="86">
        <v>0.5</v>
      </c>
      <c r="P5" s="86">
        <v>0.33333333333333331</v>
      </c>
      <c r="Q5" s="86">
        <v>0.5</v>
      </c>
    </row>
    <row r="6" spans="1:17" x14ac:dyDescent="0.4">
      <c r="A6" s="88">
        <v>3</v>
      </c>
      <c r="B6" s="85">
        <v>82.1</v>
      </c>
      <c r="C6" s="85">
        <v>27.366666666666664</v>
      </c>
      <c r="D6" s="90">
        <v>1.6666666666666667</v>
      </c>
      <c r="E6" s="86">
        <v>0.66666666666666663</v>
      </c>
      <c r="F6" s="86">
        <v>0.32</v>
      </c>
      <c r="G6" s="86">
        <v>0.12</v>
      </c>
      <c r="H6" s="87">
        <v>16400</v>
      </c>
      <c r="I6" s="87">
        <v>-5733.333333333333</v>
      </c>
      <c r="J6" s="86">
        <v>0</v>
      </c>
      <c r="K6" s="86">
        <v>0.66666666666666663</v>
      </c>
      <c r="P6" s="86">
        <v>0.375</v>
      </c>
      <c r="Q6" s="86">
        <v>0.6</v>
      </c>
    </row>
    <row r="7" spans="1:17" x14ac:dyDescent="0.4">
      <c r="A7" s="88">
        <v>4</v>
      </c>
      <c r="B7" s="85">
        <v>57.699999999999996</v>
      </c>
      <c r="C7" s="85">
        <v>14.424999999999999</v>
      </c>
      <c r="D7" s="90">
        <v>1.75</v>
      </c>
      <c r="E7" s="86">
        <v>0.5</v>
      </c>
      <c r="F7" s="86">
        <v>0.28947368421052633</v>
      </c>
      <c r="G7" s="86">
        <v>0.21052631578947367</v>
      </c>
      <c r="H7" s="87">
        <v>14372.727272727272</v>
      </c>
      <c r="I7" s="87">
        <v>-7337.5</v>
      </c>
      <c r="J7" s="86">
        <v>0</v>
      </c>
      <c r="K7" s="86">
        <v>0.5</v>
      </c>
      <c r="P7" s="86">
        <v>0.45454545454545453</v>
      </c>
      <c r="Q7" s="86">
        <v>0.6</v>
      </c>
    </row>
    <row r="8" spans="1:17" x14ac:dyDescent="0.4">
      <c r="A8" s="88">
        <v>5</v>
      </c>
      <c r="B8" s="85">
        <v>123.69999999999999</v>
      </c>
      <c r="C8" s="85">
        <v>24.74</v>
      </c>
      <c r="D8" s="90">
        <v>1.6</v>
      </c>
      <c r="E8" s="86">
        <v>0.6</v>
      </c>
      <c r="F8" s="86">
        <v>0.32558139534883723</v>
      </c>
      <c r="G8" s="86">
        <v>0.20930232558139536</v>
      </c>
      <c r="H8" s="87">
        <v>16721.428571428572</v>
      </c>
      <c r="I8" s="87">
        <v>-7411.1111111111113</v>
      </c>
      <c r="J8" s="86">
        <v>0</v>
      </c>
      <c r="K8" s="86">
        <v>0.6</v>
      </c>
      <c r="P8" s="86">
        <v>0.5</v>
      </c>
      <c r="Q8" s="86">
        <v>0.61538461538461542</v>
      </c>
    </row>
    <row r="9" spans="1:17" x14ac:dyDescent="0.4">
      <c r="A9" s="88">
        <v>6</v>
      </c>
      <c r="B9" s="85">
        <v>125.19999999999999</v>
      </c>
      <c r="C9" s="85">
        <v>20.866666666666664</v>
      </c>
      <c r="D9" s="90">
        <v>1.6666666666666667</v>
      </c>
      <c r="E9" s="86">
        <v>0.5</v>
      </c>
      <c r="F9" s="86">
        <v>0.30434782608695654</v>
      </c>
      <c r="G9" s="86">
        <v>0.19565217391304349</v>
      </c>
      <c r="H9" s="87">
        <v>16721.428571428572</v>
      </c>
      <c r="I9" s="87">
        <v>-7411.1111111111113</v>
      </c>
      <c r="J9" s="86">
        <v>0</v>
      </c>
      <c r="K9" s="86">
        <v>0.5</v>
      </c>
      <c r="P9" s="86">
        <v>0.5</v>
      </c>
      <c r="Q9" s="86">
        <v>0.61538461538461542</v>
      </c>
    </row>
    <row r="10" spans="1:17" x14ac:dyDescent="0.4">
      <c r="A10" s="88">
        <v>7</v>
      </c>
      <c r="B10" s="85">
        <v>129</v>
      </c>
      <c r="C10" s="85">
        <v>18.428571428571427</v>
      </c>
      <c r="D10" s="90">
        <v>1.5714285714285714</v>
      </c>
      <c r="E10" s="86">
        <v>0.5714285714285714</v>
      </c>
      <c r="F10" s="86">
        <v>0.33333333333333331</v>
      </c>
      <c r="G10" s="86">
        <v>0.18518518518518517</v>
      </c>
      <c r="H10" s="87">
        <v>14777.777777777777</v>
      </c>
      <c r="I10" s="87">
        <v>-8270</v>
      </c>
      <c r="J10" s="86">
        <v>0</v>
      </c>
      <c r="K10" s="86">
        <v>0.42857142857142855</v>
      </c>
      <c r="P10" s="86">
        <v>0.55555555555555558</v>
      </c>
      <c r="Q10" s="86">
        <v>0.66666666666666663</v>
      </c>
    </row>
    <row r="11" spans="1:17" x14ac:dyDescent="0.4">
      <c r="A11" s="88">
        <v>8</v>
      </c>
      <c r="B11" s="85">
        <v>96.5</v>
      </c>
      <c r="C11" s="85">
        <v>12.0625</v>
      </c>
      <c r="D11" s="90">
        <v>1.75</v>
      </c>
      <c r="E11" s="86">
        <v>0.5</v>
      </c>
      <c r="F11" s="86">
        <v>0.30508474576271188</v>
      </c>
      <c r="G11" s="86">
        <v>0.1864406779661017</v>
      </c>
      <c r="H11" s="87">
        <v>14777.777777777777</v>
      </c>
      <c r="I11" s="87">
        <v>-8609.0909090909099</v>
      </c>
      <c r="J11" s="86">
        <v>0</v>
      </c>
      <c r="K11" s="86">
        <v>0.375</v>
      </c>
      <c r="P11" s="86">
        <v>0.55555555555555558</v>
      </c>
      <c r="Q11" s="86">
        <v>0.625</v>
      </c>
    </row>
    <row r="12" spans="1:17" x14ac:dyDescent="0.4">
      <c r="A12" s="88">
        <v>9</v>
      </c>
      <c r="B12" s="85">
        <v>82.8</v>
      </c>
      <c r="C12" s="85">
        <v>9.1999999999999993</v>
      </c>
      <c r="D12" s="90">
        <v>1.8888888888888888</v>
      </c>
      <c r="E12" s="86">
        <v>0.44444444444444442</v>
      </c>
      <c r="F12" s="86">
        <v>0.2857142857142857</v>
      </c>
      <c r="G12" s="86">
        <v>0.21428571428571427</v>
      </c>
      <c r="H12" s="87">
        <v>14005</v>
      </c>
      <c r="I12" s="87">
        <v>-7466.666666666667</v>
      </c>
      <c r="J12" s="86">
        <v>0</v>
      </c>
      <c r="K12" s="86">
        <v>0.33333333333333331</v>
      </c>
      <c r="P12" s="86">
        <v>0.55000000000000004</v>
      </c>
      <c r="Q12" s="86">
        <v>0.57894736842105265</v>
      </c>
    </row>
    <row r="13" spans="1:17" x14ac:dyDescent="0.4">
      <c r="A13" s="88">
        <v>10</v>
      </c>
      <c r="B13" s="85">
        <v>110.5</v>
      </c>
      <c r="C13" s="85">
        <v>11.05</v>
      </c>
      <c r="D13" s="90">
        <v>1.8</v>
      </c>
      <c r="E13" s="86">
        <v>0.5</v>
      </c>
      <c r="F13" s="86">
        <v>0.29870129870129869</v>
      </c>
      <c r="G13" s="86">
        <v>0.20779220779220781</v>
      </c>
      <c r="H13" s="87">
        <v>14004.347826086956</v>
      </c>
      <c r="I13" s="87">
        <v>-7125</v>
      </c>
      <c r="J13" s="86">
        <v>0</v>
      </c>
      <c r="K13" s="86">
        <v>0.3</v>
      </c>
      <c r="P13" s="86">
        <v>0.52173913043478259</v>
      </c>
      <c r="Q13" s="86">
        <v>0.54545454545454541</v>
      </c>
    </row>
    <row r="14" spans="1:17" x14ac:dyDescent="0.4">
      <c r="A14" s="88">
        <v>11</v>
      </c>
      <c r="B14" s="85">
        <v>138.19999999999999</v>
      </c>
      <c r="C14" s="85">
        <v>12.563636363636363</v>
      </c>
      <c r="D14" s="90">
        <v>1.7272727272727273</v>
      </c>
      <c r="E14" s="86">
        <v>0.54545454545454541</v>
      </c>
      <c r="F14" s="86">
        <v>0.30952380952380953</v>
      </c>
      <c r="G14" s="86">
        <v>0.20238095238095238</v>
      </c>
      <c r="H14" s="87">
        <v>14003.846153846154</v>
      </c>
      <c r="I14" s="87">
        <v>-6823.5294117647063</v>
      </c>
      <c r="J14" s="86">
        <v>0</v>
      </c>
      <c r="K14" s="86">
        <v>0.27272727272727271</v>
      </c>
      <c r="P14" s="86">
        <v>0.5</v>
      </c>
      <c r="Q14" s="86">
        <v>0.52</v>
      </c>
    </row>
    <row r="15" spans="1:17" x14ac:dyDescent="0.4">
      <c r="A15" s="88">
        <v>12</v>
      </c>
      <c r="B15" s="85">
        <v>99.299999999999983</v>
      </c>
      <c r="C15" s="85">
        <v>8.2749999999999986</v>
      </c>
      <c r="D15" s="90">
        <v>1.8333333333333333</v>
      </c>
      <c r="E15" s="86">
        <v>0.5</v>
      </c>
      <c r="F15" s="86">
        <v>0.29032258064516131</v>
      </c>
      <c r="G15" s="86">
        <v>0.21505376344086022</v>
      </c>
      <c r="H15" s="87">
        <v>13562.962962962964</v>
      </c>
      <c r="I15" s="87">
        <v>-7280</v>
      </c>
      <c r="J15" s="86">
        <v>8.3333333333333329E-2</v>
      </c>
      <c r="K15" s="86">
        <v>0.25</v>
      </c>
      <c r="P15" s="86">
        <v>0.51851851851851849</v>
      </c>
      <c r="Q15" s="86">
        <v>0.5</v>
      </c>
    </row>
    <row r="16" spans="1:17" x14ac:dyDescent="0.4">
      <c r="A16" s="88">
        <v>13</v>
      </c>
      <c r="B16" s="85">
        <v>61.299999999999983</v>
      </c>
      <c r="C16" s="85">
        <v>4.7153846153846137</v>
      </c>
      <c r="D16" s="90">
        <v>1.9230769230769231</v>
      </c>
      <c r="E16" s="86">
        <v>0.46153846153846156</v>
      </c>
      <c r="F16" s="86">
        <v>0.27835051546391754</v>
      </c>
      <c r="G16" s="86">
        <v>0.21649484536082475</v>
      </c>
      <c r="H16" s="87">
        <v>13562.962962962964</v>
      </c>
      <c r="I16" s="87">
        <v>-7504.7619047619046</v>
      </c>
      <c r="J16" s="86">
        <v>0.15384615384615385</v>
      </c>
      <c r="K16" s="86">
        <v>0.23076923076923078</v>
      </c>
      <c r="P16" s="86">
        <v>0.51851851851851849</v>
      </c>
      <c r="Q16" s="86">
        <v>0.5</v>
      </c>
    </row>
    <row r="17" spans="1:17" x14ac:dyDescent="0.4">
      <c r="A17" s="88">
        <v>14</v>
      </c>
      <c r="B17" s="85">
        <v>40.999999999999986</v>
      </c>
      <c r="C17" s="85">
        <v>2.9285714285714275</v>
      </c>
      <c r="D17" s="90">
        <v>1.9285714285714286</v>
      </c>
      <c r="E17" s="86">
        <v>0.42857142857142855</v>
      </c>
      <c r="F17" s="86">
        <v>0.28037383177570091</v>
      </c>
      <c r="G17" s="86">
        <v>0.21495327102803738</v>
      </c>
      <c r="H17" s="87">
        <v>13046.666666666666</v>
      </c>
      <c r="I17" s="87">
        <v>-7460.869565217391</v>
      </c>
      <c r="J17" s="86">
        <v>0.14285714285714285</v>
      </c>
      <c r="K17" s="86">
        <v>0.21428571428571427</v>
      </c>
      <c r="P17" s="86">
        <v>0.46666666666666667</v>
      </c>
      <c r="Q17" s="86">
        <v>0.5</v>
      </c>
    </row>
    <row r="18" spans="1:17" x14ac:dyDescent="0.4">
      <c r="A18" s="88">
        <v>15</v>
      </c>
      <c r="B18" s="85">
        <v>32.499999999999986</v>
      </c>
      <c r="C18" s="85">
        <v>2.1666666666666656</v>
      </c>
      <c r="D18" s="90">
        <v>1.9333333333333333</v>
      </c>
      <c r="E18" s="86">
        <v>0.4</v>
      </c>
      <c r="F18" s="86">
        <v>0.27027027027027029</v>
      </c>
      <c r="G18" s="86">
        <v>0.2072072072072072</v>
      </c>
      <c r="H18" s="87">
        <v>13046.666666666666</v>
      </c>
      <c r="I18" s="87">
        <v>-7460.869565217391</v>
      </c>
      <c r="J18" s="86">
        <v>0.13333333333333333</v>
      </c>
      <c r="K18" s="86">
        <v>0.2</v>
      </c>
      <c r="P18" s="86">
        <v>0.46666666666666667</v>
      </c>
      <c r="Q18" s="86">
        <v>0.5</v>
      </c>
    </row>
    <row r="19" spans="1:17" x14ac:dyDescent="0.4">
      <c r="A19" s="88">
        <v>16</v>
      </c>
      <c r="B19" s="85">
        <v>-6.0000000000000142</v>
      </c>
      <c r="C19" s="85">
        <v>-0.37500000000000089</v>
      </c>
      <c r="D19" s="90">
        <v>2</v>
      </c>
      <c r="E19" s="86">
        <v>0.375</v>
      </c>
      <c r="F19" s="86">
        <v>0.26050420168067229</v>
      </c>
      <c r="G19" s="86">
        <v>0.20168067226890757</v>
      </c>
      <c r="H19" s="87">
        <v>12883.870967741936</v>
      </c>
      <c r="I19" s="87">
        <v>-7650</v>
      </c>
      <c r="J19" s="86">
        <v>0.1875</v>
      </c>
      <c r="K19" s="86">
        <v>0.1875</v>
      </c>
      <c r="P19" s="86">
        <v>0.45161290322580644</v>
      </c>
      <c r="Q19" s="86">
        <v>0.48275862068965519</v>
      </c>
    </row>
    <row r="20" spans="1:17" x14ac:dyDescent="0.4">
      <c r="A20" s="88">
        <v>17</v>
      </c>
      <c r="B20" s="85">
        <v>-17.600000000000016</v>
      </c>
      <c r="C20" s="85">
        <v>-1.0352941176470598</v>
      </c>
      <c r="D20" s="90">
        <v>2.0588235294117645</v>
      </c>
      <c r="E20" s="86">
        <v>0.35294117647058826</v>
      </c>
      <c r="F20" s="86">
        <v>0.26190476190476192</v>
      </c>
      <c r="G20" s="86">
        <v>0.21428571428571427</v>
      </c>
      <c r="H20" s="87">
        <v>12709.09090909091</v>
      </c>
      <c r="I20" s="87">
        <v>-7896.2962962962965</v>
      </c>
      <c r="J20" s="86">
        <v>0.17647058823529413</v>
      </c>
      <c r="K20" s="86">
        <v>0.17647058823529413</v>
      </c>
      <c r="P20" s="86">
        <v>0.48484848484848486</v>
      </c>
      <c r="Q20" s="86">
        <v>0.45161290322580644</v>
      </c>
    </row>
    <row r="21" spans="1:17" x14ac:dyDescent="0.4">
      <c r="A21" s="88">
        <v>18</v>
      </c>
      <c r="B21" s="85">
        <v>-17.300000000000015</v>
      </c>
      <c r="C21" s="85">
        <v>-0.96111111111111192</v>
      </c>
      <c r="D21" s="90">
        <v>2.0555555555555554</v>
      </c>
      <c r="E21" s="86">
        <v>0.33333333333333331</v>
      </c>
      <c r="F21" s="86">
        <v>0.26119402985074625</v>
      </c>
      <c r="G21" s="86">
        <v>0.21641791044776118</v>
      </c>
      <c r="H21" s="87">
        <v>12360</v>
      </c>
      <c r="I21" s="87">
        <v>-7486.2068965517237</v>
      </c>
      <c r="J21" s="86">
        <v>0.16666666666666666</v>
      </c>
      <c r="K21" s="86">
        <v>0.16666666666666666</v>
      </c>
      <c r="P21" s="86">
        <v>0.45714285714285713</v>
      </c>
      <c r="Q21" s="86">
        <v>0.42424242424242425</v>
      </c>
    </row>
    <row r="22" spans="1:17" x14ac:dyDescent="0.4">
      <c r="A22" s="88">
        <v>19</v>
      </c>
      <c r="B22" s="85">
        <v>-2.6000000000000156</v>
      </c>
      <c r="C22" s="85">
        <v>-0.13684210526315871</v>
      </c>
      <c r="D22" s="90">
        <v>2.0526315789473686</v>
      </c>
      <c r="E22" s="86">
        <v>0.31578947368421051</v>
      </c>
      <c r="F22" s="86">
        <v>0.27777777777777779</v>
      </c>
      <c r="G22" s="86">
        <v>0.2013888888888889</v>
      </c>
      <c r="H22" s="87">
        <v>11707.5</v>
      </c>
      <c r="I22" s="87">
        <v>-7486.2068965517237</v>
      </c>
      <c r="J22" s="86">
        <v>0.15789473684210525</v>
      </c>
      <c r="K22" s="86">
        <v>0.15789473684210525</v>
      </c>
      <c r="P22" s="86">
        <v>0.45</v>
      </c>
      <c r="Q22" s="86">
        <v>0.44736842105263158</v>
      </c>
    </row>
    <row r="23" spans="1:17" x14ac:dyDescent="0.4">
      <c r="A23" s="88">
        <v>20</v>
      </c>
      <c r="B23" s="85">
        <v>45.399999999999984</v>
      </c>
      <c r="C23" s="85">
        <v>2.2699999999999991</v>
      </c>
      <c r="D23" s="90">
        <v>2</v>
      </c>
      <c r="E23" s="86">
        <v>0.35</v>
      </c>
      <c r="F23" s="86">
        <v>0.28275862068965518</v>
      </c>
      <c r="G23" s="86">
        <v>0.2</v>
      </c>
      <c r="H23" s="87">
        <v>12592.682926829268</v>
      </c>
      <c r="I23" s="87">
        <v>-7486.2068965517237</v>
      </c>
      <c r="J23" s="86">
        <v>0.15</v>
      </c>
      <c r="K23" s="86">
        <v>0.2</v>
      </c>
      <c r="P23" s="86">
        <v>0.43902439024390244</v>
      </c>
      <c r="Q23" s="86">
        <v>0.46153846153846156</v>
      </c>
    </row>
    <row r="24" spans="1:17" x14ac:dyDescent="0.4">
      <c r="A24" s="88">
        <v>21</v>
      </c>
      <c r="B24" s="85">
        <v>3.5999999999999872</v>
      </c>
      <c r="C24" s="85">
        <v>0.17142857142857082</v>
      </c>
      <c r="D24" s="90">
        <v>2.0476190476190474</v>
      </c>
      <c r="E24" s="86">
        <v>0.33333333333333331</v>
      </c>
      <c r="F24" s="86">
        <v>0.27333333333333332</v>
      </c>
      <c r="G24" s="86">
        <v>0.20666666666666667</v>
      </c>
      <c r="H24" s="87">
        <v>12592.682926829268</v>
      </c>
      <c r="I24" s="87">
        <v>-7738.7096774193551</v>
      </c>
      <c r="J24" s="86">
        <v>0.19047619047619047</v>
      </c>
      <c r="K24" s="86">
        <v>0.19047619047619047</v>
      </c>
      <c r="P24" s="86">
        <v>0.43902439024390244</v>
      </c>
      <c r="Q24" s="86">
        <v>0.45</v>
      </c>
    </row>
    <row r="25" spans="1:17" x14ac:dyDescent="0.4">
      <c r="A25" s="88">
        <v>22</v>
      </c>
      <c r="B25" s="85">
        <v>-1.9000000000000128</v>
      </c>
      <c r="C25" s="85">
        <v>-8.6363636363636948E-2</v>
      </c>
      <c r="D25" s="90">
        <v>2.0454545454545454</v>
      </c>
      <c r="E25" s="86">
        <v>0.31818181818181818</v>
      </c>
      <c r="F25" s="86">
        <v>0.27564102564102566</v>
      </c>
      <c r="G25" s="86">
        <v>0.20512820512820512</v>
      </c>
      <c r="H25" s="87">
        <v>12193.023255813954</v>
      </c>
      <c r="I25" s="87">
        <v>-7746.875</v>
      </c>
      <c r="J25" s="86">
        <v>0.18181818181818182</v>
      </c>
      <c r="K25" s="86">
        <v>0.18181818181818182</v>
      </c>
      <c r="P25" s="86">
        <v>0.44186046511627908</v>
      </c>
      <c r="Q25" s="86">
        <v>0.42857142857142855</v>
      </c>
    </row>
    <row r="26" spans="1:17" x14ac:dyDescent="0.4">
      <c r="A26" s="88">
        <v>23</v>
      </c>
      <c r="B26" s="85">
        <v>22.999999999999986</v>
      </c>
      <c r="C26" s="85">
        <v>0.99999999999999933</v>
      </c>
      <c r="D26" s="90">
        <v>2</v>
      </c>
      <c r="E26" s="86">
        <v>0.34782608695652173</v>
      </c>
      <c r="F26" s="86">
        <v>0.28915662650602408</v>
      </c>
      <c r="G26" s="86">
        <v>0.20481927710843373</v>
      </c>
      <c r="H26" s="87">
        <v>11587.5</v>
      </c>
      <c r="I26" s="87">
        <v>-7482.3529411764703</v>
      </c>
      <c r="J26" s="86">
        <v>0.17391304347826086</v>
      </c>
      <c r="K26" s="86">
        <v>0.21739130434782608</v>
      </c>
      <c r="P26" s="86">
        <v>0.45833333333333331</v>
      </c>
      <c r="Q26" s="86">
        <v>0.43181818181818182</v>
      </c>
    </row>
    <row r="27" spans="1:17" x14ac:dyDescent="0.4">
      <c r="A27" s="88">
        <v>24</v>
      </c>
      <c r="B27" s="85">
        <v>9.0999999999999854</v>
      </c>
      <c r="C27" s="85">
        <v>0.37916666666666604</v>
      </c>
      <c r="D27" s="90">
        <v>2.0416666666666665</v>
      </c>
      <c r="E27" s="86">
        <v>0.33333333333333331</v>
      </c>
      <c r="F27" s="86">
        <v>0.29378531073446329</v>
      </c>
      <c r="G27" s="86">
        <v>0.21468926553672316</v>
      </c>
      <c r="H27" s="87">
        <v>11465.384615384615</v>
      </c>
      <c r="I27" s="87">
        <v>-8139.4736842105267</v>
      </c>
      <c r="J27" s="86">
        <v>0.16666666666666666</v>
      </c>
      <c r="K27" s="86">
        <v>0.20833333333333334</v>
      </c>
      <c r="P27" s="86">
        <v>0.46153846153846156</v>
      </c>
      <c r="Q27" s="86">
        <v>0.4375</v>
      </c>
    </row>
    <row r="28" spans="1:17" x14ac:dyDescent="0.4">
      <c r="A28" s="88">
        <v>25</v>
      </c>
      <c r="B28" s="85">
        <v>0.79999999999998472</v>
      </c>
      <c r="C28" s="85">
        <v>3.199999999999939E-2</v>
      </c>
      <c r="D28" s="90">
        <v>2.04</v>
      </c>
      <c r="E28" s="86">
        <v>0.32</v>
      </c>
      <c r="F28" s="86">
        <v>0.28877005347593582</v>
      </c>
      <c r="G28" s="86">
        <v>0.20855614973262032</v>
      </c>
      <c r="H28" s="87">
        <v>11300</v>
      </c>
      <c r="I28" s="87">
        <v>-7964.1025641025644</v>
      </c>
      <c r="J28" s="86">
        <v>0.16</v>
      </c>
      <c r="K28" s="86">
        <v>0.2</v>
      </c>
      <c r="P28" s="86">
        <v>0.44444444444444442</v>
      </c>
      <c r="Q28" s="86">
        <v>0.44897959183673469</v>
      </c>
    </row>
    <row r="29" spans="1:17" x14ac:dyDescent="0.4">
      <c r="A29" s="88">
        <v>26</v>
      </c>
      <c r="B29" s="85">
        <v>-10.200000000000015</v>
      </c>
      <c r="C29" s="85">
        <v>-0.39230769230769291</v>
      </c>
      <c r="D29" s="90">
        <v>2.0769230769230771</v>
      </c>
      <c r="E29" s="86">
        <v>0.30769230769230771</v>
      </c>
      <c r="F29" s="86">
        <v>0.28497409326424872</v>
      </c>
      <c r="G29" s="86">
        <v>0.20725388601036268</v>
      </c>
      <c r="H29" s="87">
        <v>11240</v>
      </c>
      <c r="I29" s="87">
        <v>-7862.5</v>
      </c>
      <c r="J29" s="86">
        <v>0.15384615384615385</v>
      </c>
      <c r="K29" s="86">
        <v>0.19230769230769232</v>
      </c>
      <c r="L29" s="86">
        <v>0</v>
      </c>
      <c r="M29" s="86">
        <v>0.33333333333333331</v>
      </c>
      <c r="N29" s="86">
        <v>0</v>
      </c>
      <c r="O29" s="86">
        <v>0.5</v>
      </c>
      <c r="P29" s="86">
        <v>0.43636363636363634</v>
      </c>
      <c r="Q29" s="86">
        <v>0.43137254901960786</v>
      </c>
    </row>
    <row r="30" spans="1:17" x14ac:dyDescent="0.4">
      <c r="A30" s="88">
        <v>27</v>
      </c>
      <c r="B30" s="85">
        <v>-32.100000000000016</v>
      </c>
      <c r="C30" s="85">
        <v>-1.1888888888888896</v>
      </c>
      <c r="D30" s="90">
        <v>2.074074074074074</v>
      </c>
      <c r="E30" s="86">
        <v>0.29629629629629628</v>
      </c>
      <c r="F30" s="86">
        <v>0.28292682926829266</v>
      </c>
      <c r="G30" s="86">
        <v>0.20487804878048779</v>
      </c>
      <c r="H30" s="87">
        <v>11032.758620689656</v>
      </c>
      <c r="I30" s="87">
        <v>-7897.6190476190477</v>
      </c>
      <c r="J30" s="86">
        <v>0.14814814814814814</v>
      </c>
      <c r="K30" s="86">
        <v>0.18518518518518517</v>
      </c>
      <c r="L30" s="86">
        <v>0.1111111111111111</v>
      </c>
      <c r="M30" s="86">
        <v>0.33333333333333331</v>
      </c>
      <c r="N30" s="86">
        <v>0.5</v>
      </c>
      <c r="O30" s="86">
        <v>0.5</v>
      </c>
      <c r="P30" s="86">
        <v>0.44827586206896552</v>
      </c>
      <c r="Q30" s="86">
        <v>0.43636363636363634</v>
      </c>
    </row>
    <row r="31" spans="1:17" x14ac:dyDescent="0.4">
      <c r="A31" s="88">
        <v>28</v>
      </c>
      <c r="B31" s="85">
        <v>-26.000000000000014</v>
      </c>
      <c r="C31" s="85">
        <v>-0.92857142857142905</v>
      </c>
      <c r="D31" s="90">
        <v>2.0714285714285716</v>
      </c>
      <c r="E31" s="86">
        <v>0.2857142857142857</v>
      </c>
      <c r="F31" s="86">
        <v>0.28440366972477066</v>
      </c>
      <c r="G31" s="86">
        <v>0.20642201834862386</v>
      </c>
      <c r="H31" s="87">
        <v>10732.258064516129</v>
      </c>
      <c r="I31" s="87">
        <v>-7546.666666666667</v>
      </c>
      <c r="J31" s="86">
        <v>0.14285714285714285</v>
      </c>
      <c r="K31" s="86">
        <v>0.17857142857142858</v>
      </c>
      <c r="L31" s="86">
        <v>0.16129032258064516</v>
      </c>
      <c r="M31" s="86">
        <v>0.35483870967741937</v>
      </c>
      <c r="N31" s="86">
        <v>0.4</v>
      </c>
      <c r="O31" s="86">
        <v>0.45454545454545453</v>
      </c>
      <c r="P31" s="86">
        <v>0.45161290322580644</v>
      </c>
      <c r="Q31" s="86">
        <v>0.44067796610169491</v>
      </c>
    </row>
    <row r="32" spans="1:17" x14ac:dyDescent="0.4">
      <c r="A32" s="88">
        <v>29</v>
      </c>
      <c r="B32" s="85">
        <v>-25.400000000000013</v>
      </c>
      <c r="C32" s="85">
        <v>-0.87586206896551766</v>
      </c>
      <c r="D32" s="90">
        <v>2.0689655172413794</v>
      </c>
      <c r="E32" s="86">
        <v>0.27586206896551724</v>
      </c>
      <c r="F32" s="86">
        <v>0.28761061946902655</v>
      </c>
      <c r="G32" s="86">
        <v>0.21238938053097345</v>
      </c>
      <c r="H32" s="87">
        <v>10493.846153846154</v>
      </c>
      <c r="I32" s="87">
        <v>-7431.25</v>
      </c>
      <c r="J32" s="86">
        <v>0.13793103448275862</v>
      </c>
      <c r="K32" s="86">
        <v>0.17241379310344829</v>
      </c>
      <c r="L32" s="86">
        <v>0.15384615384615385</v>
      </c>
      <c r="M32" s="86">
        <v>0.38461538461538464</v>
      </c>
      <c r="N32" s="86">
        <v>0.5</v>
      </c>
      <c r="O32" s="86">
        <v>0.46666666666666667</v>
      </c>
      <c r="P32" s="86">
        <v>0.44615384615384618</v>
      </c>
      <c r="Q32" s="86">
        <v>0.44444444444444442</v>
      </c>
    </row>
    <row r="33" spans="1:17" x14ac:dyDescent="0.4">
      <c r="A33" s="88">
        <v>30</v>
      </c>
      <c r="B33" s="85">
        <v>14.79999999999999</v>
      </c>
      <c r="C33" s="85">
        <v>0.49333333333333301</v>
      </c>
      <c r="D33" s="90">
        <v>2.0333333333333332</v>
      </c>
      <c r="E33" s="86">
        <v>0.3</v>
      </c>
      <c r="F33" s="86">
        <v>0.29411764705882354</v>
      </c>
      <c r="G33" s="86">
        <v>0.20168067226890757</v>
      </c>
      <c r="H33" s="87">
        <v>10570</v>
      </c>
      <c r="I33" s="87">
        <v>-7431.25</v>
      </c>
      <c r="J33" s="86">
        <v>0.13333333333333333</v>
      </c>
      <c r="K33" s="86">
        <v>0.2</v>
      </c>
      <c r="L33" s="86">
        <v>0.17647058823529413</v>
      </c>
      <c r="M33" s="86">
        <v>0.37254901960784315</v>
      </c>
      <c r="N33" s="86">
        <v>0.44444444444444442</v>
      </c>
      <c r="O33" s="86">
        <v>0.47368421052631576</v>
      </c>
      <c r="P33" s="86">
        <v>0.42857142857142855</v>
      </c>
      <c r="Q33" s="86">
        <v>0.44285714285714284</v>
      </c>
    </row>
    <row r="34" spans="1:17" x14ac:dyDescent="0.4">
      <c r="A34" s="88">
        <v>31</v>
      </c>
      <c r="B34" s="85">
        <v>-20.900000000000013</v>
      </c>
      <c r="C34" s="85">
        <v>-0.67419354838709722</v>
      </c>
      <c r="D34" s="90">
        <v>2.064516129032258</v>
      </c>
      <c r="E34" s="86">
        <v>0.29032258064516131</v>
      </c>
      <c r="F34" s="86">
        <v>0.29098360655737704</v>
      </c>
      <c r="G34" s="86">
        <v>0.20491803278688525</v>
      </c>
      <c r="H34" s="87">
        <v>10450.704225352112</v>
      </c>
      <c r="I34" s="87">
        <v>-7610</v>
      </c>
      <c r="J34" s="86">
        <v>0.16129032258064516</v>
      </c>
      <c r="K34" s="86">
        <v>0.19354838709677419</v>
      </c>
      <c r="L34" s="86">
        <v>0.21052631578947367</v>
      </c>
      <c r="M34" s="86">
        <v>0.35087719298245612</v>
      </c>
      <c r="N34" s="86">
        <v>0.33333333333333331</v>
      </c>
      <c r="O34" s="86">
        <v>0.45</v>
      </c>
      <c r="P34" s="86">
        <v>0.43661971830985913</v>
      </c>
      <c r="Q34" s="86">
        <v>0.43661971830985913</v>
      </c>
    </row>
    <row r="35" spans="1:17" x14ac:dyDescent="0.4">
      <c r="A35" s="88">
        <v>32</v>
      </c>
      <c r="B35" s="85">
        <v>-36.900000000000013</v>
      </c>
      <c r="C35" s="85">
        <v>-1.1531250000000004</v>
      </c>
      <c r="D35" s="90">
        <v>2.09375</v>
      </c>
      <c r="E35" s="86">
        <v>0.28125</v>
      </c>
      <c r="F35" s="86">
        <v>0.28458498023715417</v>
      </c>
      <c r="G35" s="86">
        <v>0.20158102766798419</v>
      </c>
      <c r="H35" s="87">
        <v>10377.777777777777</v>
      </c>
      <c r="I35" s="87">
        <v>-7611.7647058823532</v>
      </c>
      <c r="J35" s="86">
        <v>0.15625</v>
      </c>
      <c r="K35" s="86">
        <v>0.1875</v>
      </c>
      <c r="L35" s="86">
        <v>0.19696969696969696</v>
      </c>
      <c r="M35" s="86">
        <v>0.30303030303030304</v>
      </c>
      <c r="N35" s="86">
        <v>0.38461538461538464</v>
      </c>
      <c r="O35" s="86">
        <v>0.45</v>
      </c>
      <c r="P35" s="86">
        <v>0.43055555555555558</v>
      </c>
      <c r="Q35" s="86">
        <v>0.42465753424657532</v>
      </c>
    </row>
    <row r="36" spans="1:17" x14ac:dyDescent="0.4">
      <c r="A36" s="88">
        <v>33</v>
      </c>
      <c r="B36" s="85">
        <v>-42.70000000000001</v>
      </c>
      <c r="C36" s="85">
        <v>-1.2939393939393942</v>
      </c>
      <c r="D36" s="90">
        <v>2.0909090909090908</v>
      </c>
      <c r="E36" s="86">
        <v>0.27272727272727271</v>
      </c>
      <c r="F36" s="86">
        <v>0.2846153846153846</v>
      </c>
      <c r="G36" s="86">
        <v>0.2</v>
      </c>
      <c r="H36" s="87">
        <v>10331.081081081082</v>
      </c>
      <c r="I36" s="87">
        <v>-7650</v>
      </c>
      <c r="J36" s="86">
        <v>0.15151515151515152</v>
      </c>
      <c r="K36" s="86">
        <v>0.18181818181818182</v>
      </c>
      <c r="L36" s="86">
        <v>0.20547945205479451</v>
      </c>
      <c r="M36" s="86">
        <v>0.28767123287671231</v>
      </c>
      <c r="N36" s="86">
        <v>0.4</v>
      </c>
      <c r="O36" s="86">
        <v>0.42857142857142855</v>
      </c>
      <c r="P36" s="86">
        <v>0.41891891891891891</v>
      </c>
      <c r="Q36" s="86">
        <v>0.42465753424657532</v>
      </c>
    </row>
    <row r="37" spans="1:17" x14ac:dyDescent="0.4">
      <c r="A37" s="88">
        <v>34</v>
      </c>
      <c r="B37" s="85">
        <v>-94.600000000000009</v>
      </c>
      <c r="C37" s="85">
        <v>-2.7823529411764709</v>
      </c>
      <c r="D37" s="90">
        <v>2.1176470588235294</v>
      </c>
      <c r="E37" s="86">
        <v>0.26470588235294118</v>
      </c>
      <c r="F37" s="86">
        <v>0.27985074626865669</v>
      </c>
      <c r="G37" s="86">
        <v>0.20149253731343283</v>
      </c>
      <c r="H37" s="87">
        <v>10300</v>
      </c>
      <c r="I37" s="87">
        <v>-8144.4444444444443</v>
      </c>
      <c r="J37" s="86">
        <v>0.17647058823529413</v>
      </c>
      <c r="K37" s="86">
        <v>0.17647058823529413</v>
      </c>
      <c r="L37" s="86">
        <v>0.19753086419753085</v>
      </c>
      <c r="M37" s="86">
        <v>0.27160493827160492</v>
      </c>
      <c r="N37" s="86">
        <v>0.375</v>
      </c>
      <c r="O37" s="86">
        <v>0.40909090909090912</v>
      </c>
      <c r="P37" s="86">
        <v>0.41333333333333333</v>
      </c>
      <c r="Q37" s="86">
        <v>0.41891891891891891</v>
      </c>
    </row>
    <row r="38" spans="1:17" x14ac:dyDescent="0.4">
      <c r="A38" s="88">
        <v>35</v>
      </c>
      <c r="B38" s="85">
        <v>-106.60000000000001</v>
      </c>
      <c r="C38" s="85">
        <v>-3.0457142857142858</v>
      </c>
      <c r="D38" s="90">
        <v>2.1142857142857143</v>
      </c>
      <c r="E38" s="86">
        <v>0.25714285714285712</v>
      </c>
      <c r="F38" s="86">
        <v>0.28102189781021897</v>
      </c>
      <c r="G38" s="86">
        <v>0.20072992700729927</v>
      </c>
      <c r="H38" s="87">
        <v>10240.25974025974</v>
      </c>
      <c r="I38" s="87">
        <v>-8287.2727272727279</v>
      </c>
      <c r="J38" s="86">
        <v>0.17142857142857143</v>
      </c>
      <c r="K38" s="86">
        <v>0.17142857142857143</v>
      </c>
      <c r="L38" s="86">
        <v>0.19540229885057472</v>
      </c>
      <c r="M38" s="86">
        <v>0.28735632183908044</v>
      </c>
      <c r="N38" s="86">
        <v>0.41176470588235292</v>
      </c>
      <c r="O38" s="86">
        <v>0.4</v>
      </c>
      <c r="P38" s="86">
        <v>0.40259740259740262</v>
      </c>
      <c r="Q38" s="86">
        <v>0.41333333333333333</v>
      </c>
    </row>
    <row r="39" spans="1:17" x14ac:dyDescent="0.4">
      <c r="A39" s="88">
        <v>36</v>
      </c>
      <c r="B39" s="85">
        <v>-73.200000000000017</v>
      </c>
      <c r="C39" s="85">
        <v>-2.0333333333333337</v>
      </c>
      <c r="D39" s="90">
        <v>2.0833333333333335</v>
      </c>
      <c r="E39" s="86">
        <v>0.27777777777777779</v>
      </c>
      <c r="F39" s="86">
        <v>0.28825622775800713</v>
      </c>
      <c r="G39" s="86">
        <v>0.19572953736654805</v>
      </c>
      <c r="H39" s="87">
        <v>10156.790123456791</v>
      </c>
      <c r="I39" s="87">
        <v>-8287.2727272727279</v>
      </c>
      <c r="J39" s="86">
        <v>0.16666666666666666</v>
      </c>
      <c r="K39" s="86">
        <v>0.19444444444444445</v>
      </c>
      <c r="L39" s="86">
        <v>0.22340425531914893</v>
      </c>
      <c r="M39" s="86">
        <v>0.2978723404255319</v>
      </c>
      <c r="N39" s="86">
        <v>0.42857142857142855</v>
      </c>
      <c r="O39" s="86">
        <v>0.42857142857142855</v>
      </c>
      <c r="P39" s="86">
        <v>0.41975308641975306</v>
      </c>
      <c r="Q39" s="86">
        <v>0.43037974683544306</v>
      </c>
    </row>
    <row r="40" spans="1:17" x14ac:dyDescent="0.4">
      <c r="A40" s="88">
        <v>37</v>
      </c>
      <c r="B40" s="85">
        <v>-78.800000000000011</v>
      </c>
      <c r="C40" s="85">
        <v>-2.1297297297297302</v>
      </c>
      <c r="D40" s="90">
        <v>2.0810810810810811</v>
      </c>
      <c r="E40" s="86">
        <v>0.27027027027027029</v>
      </c>
      <c r="F40" s="86">
        <v>0.29166666666666669</v>
      </c>
      <c r="G40" s="86">
        <v>0.19444444444444445</v>
      </c>
      <c r="H40" s="87">
        <v>9900</v>
      </c>
      <c r="I40" s="87">
        <v>-8175</v>
      </c>
      <c r="J40" s="86">
        <v>0.16216216216216217</v>
      </c>
      <c r="K40" s="86">
        <v>0.1891891891891892</v>
      </c>
      <c r="L40" s="86">
        <v>0.22772277227722773</v>
      </c>
      <c r="M40" s="86">
        <v>0.30693069306930693</v>
      </c>
      <c r="N40" s="86">
        <v>0.39130434782608697</v>
      </c>
      <c r="O40" s="86">
        <v>0.4838709677419355</v>
      </c>
      <c r="P40" s="86">
        <v>0.41666666666666669</v>
      </c>
      <c r="Q40" s="86">
        <v>0.43209876543209874</v>
      </c>
    </row>
    <row r="41" spans="1:17" x14ac:dyDescent="0.4">
      <c r="A41" s="88">
        <v>38</v>
      </c>
      <c r="B41" s="85">
        <v>-105.80000000000001</v>
      </c>
      <c r="C41" s="85">
        <v>-2.7842105263157899</v>
      </c>
      <c r="D41" s="90">
        <v>2.1052631578947367</v>
      </c>
      <c r="E41" s="86">
        <v>0.26315789473684209</v>
      </c>
      <c r="F41" s="86">
        <v>0.28378378378378377</v>
      </c>
      <c r="G41" s="86">
        <v>0.19256756756756757</v>
      </c>
      <c r="H41" s="87">
        <v>9900</v>
      </c>
      <c r="I41" s="87">
        <v>-8242.105263157895</v>
      </c>
      <c r="J41" s="86">
        <v>0.15789473684210525</v>
      </c>
      <c r="K41" s="86">
        <v>0.18421052631578946</v>
      </c>
      <c r="L41" s="86">
        <v>0.21100917431192662</v>
      </c>
      <c r="M41" s="86">
        <v>0.31192660550458717</v>
      </c>
      <c r="N41" s="86">
        <v>0.39130434782608697</v>
      </c>
      <c r="O41" s="86">
        <v>0.44117647058823528</v>
      </c>
      <c r="P41" s="86">
        <v>0.41666666666666669</v>
      </c>
      <c r="Q41" s="86">
        <v>0.42168674698795183</v>
      </c>
    </row>
    <row r="42" spans="1:17" x14ac:dyDescent="0.4">
      <c r="A42" s="88">
        <v>39</v>
      </c>
      <c r="B42" s="85">
        <v>-100.60000000000001</v>
      </c>
      <c r="C42" s="85">
        <v>-2.5794871794871796</v>
      </c>
      <c r="D42" s="90">
        <v>2.1025641025641026</v>
      </c>
      <c r="E42" s="86">
        <v>0.25641025641025639</v>
      </c>
      <c r="F42" s="86">
        <v>0.28333333333333333</v>
      </c>
      <c r="G42" s="86">
        <v>0.19</v>
      </c>
      <c r="H42" s="87">
        <v>9844.7058823529405</v>
      </c>
      <c r="I42" s="87">
        <v>-8242.105263157895</v>
      </c>
      <c r="J42" s="86">
        <v>0.15384615384615385</v>
      </c>
      <c r="K42" s="86">
        <v>0.17948717948717949</v>
      </c>
      <c r="L42" s="86">
        <v>0.21238938053097345</v>
      </c>
      <c r="M42" s="86">
        <v>0.30973451327433627</v>
      </c>
      <c r="N42" s="86">
        <v>0.41666666666666669</v>
      </c>
      <c r="O42" s="86">
        <v>0.42857142857142855</v>
      </c>
      <c r="P42" s="86">
        <v>0.41176470588235292</v>
      </c>
      <c r="Q42" s="86">
        <v>0.41666666666666669</v>
      </c>
    </row>
    <row r="43" spans="1:17" x14ac:dyDescent="0.4">
      <c r="A43" s="88">
        <v>40</v>
      </c>
      <c r="B43" s="85">
        <v>-108.30000000000001</v>
      </c>
      <c r="C43" s="85">
        <v>-2.7075000000000005</v>
      </c>
      <c r="D43" s="90">
        <v>2.1</v>
      </c>
      <c r="E43" s="86">
        <v>0.25</v>
      </c>
      <c r="F43" s="86">
        <v>0.28013029315960913</v>
      </c>
      <c r="G43" s="86">
        <v>0.1986970684039088</v>
      </c>
      <c r="H43" s="87">
        <v>9869.7674418604656</v>
      </c>
      <c r="I43" s="87">
        <v>-8024.5901639344265</v>
      </c>
      <c r="J43" s="86">
        <v>0.15</v>
      </c>
      <c r="K43" s="86">
        <v>0.17499999999999999</v>
      </c>
      <c r="L43" s="86">
        <v>0.21666666666666667</v>
      </c>
      <c r="M43" s="86">
        <v>0.31666666666666665</v>
      </c>
      <c r="N43" s="86">
        <v>0.38461538461538464</v>
      </c>
      <c r="O43" s="86">
        <v>0.42105263157894735</v>
      </c>
      <c r="P43" s="86">
        <v>0.40697674418604651</v>
      </c>
      <c r="Q43" s="86">
        <v>0.40697674418604651</v>
      </c>
    </row>
    <row r="44" spans="1:17" x14ac:dyDescent="0.4">
      <c r="A44" s="88">
        <v>41</v>
      </c>
      <c r="B44" s="85">
        <v>-123.30000000000001</v>
      </c>
      <c r="C44" s="85">
        <v>-3.0073170731707322</v>
      </c>
      <c r="D44" s="90">
        <v>2.0975609756097562</v>
      </c>
      <c r="E44" s="86">
        <v>0.24390243902439024</v>
      </c>
      <c r="F44" s="86">
        <v>0.27388535031847133</v>
      </c>
      <c r="G44" s="86">
        <v>0.19745222929936307</v>
      </c>
      <c r="H44" s="87">
        <v>9869.7674418604656</v>
      </c>
      <c r="I44" s="87">
        <v>-8088.7096774193551</v>
      </c>
      <c r="J44" s="86">
        <v>0.14634146341463414</v>
      </c>
      <c r="K44" s="86">
        <v>0.17073170731707318</v>
      </c>
      <c r="L44" s="86">
        <v>0.20472440944881889</v>
      </c>
      <c r="M44" s="86">
        <v>0.30708661417322836</v>
      </c>
      <c r="N44" s="86">
        <v>0.38461538461538464</v>
      </c>
      <c r="O44" s="86">
        <v>0.41025641025641024</v>
      </c>
      <c r="P44" s="86">
        <v>0.40697674418604651</v>
      </c>
      <c r="Q44" s="86">
        <v>0.39325842696629215</v>
      </c>
    </row>
    <row r="45" spans="1:17" x14ac:dyDescent="0.4">
      <c r="A45" s="88">
        <v>42</v>
      </c>
      <c r="B45" s="85">
        <v>-173.9</v>
      </c>
      <c r="C45" s="85">
        <v>-4.1404761904761909</v>
      </c>
      <c r="D45" s="90">
        <v>2.1190476190476191</v>
      </c>
      <c r="E45" s="86">
        <v>0.23809523809523808</v>
      </c>
      <c r="F45" s="86">
        <v>0.26708074534161491</v>
      </c>
      <c r="G45" s="86">
        <v>0.20186335403726707</v>
      </c>
      <c r="H45" s="87">
        <v>9869.7674418604656</v>
      </c>
      <c r="I45" s="87">
        <v>-8132.3076923076924</v>
      </c>
      <c r="J45" s="86">
        <v>0.16666666666666666</v>
      </c>
      <c r="K45" s="86">
        <v>0.16666666666666666</v>
      </c>
      <c r="L45" s="86">
        <v>0.21481481481481482</v>
      </c>
      <c r="M45" s="86">
        <v>0.3037037037037037</v>
      </c>
      <c r="N45" s="86">
        <v>0.34482758620689657</v>
      </c>
      <c r="O45" s="86">
        <v>0.3902439024390244</v>
      </c>
      <c r="P45" s="86">
        <v>0.40697674418604651</v>
      </c>
      <c r="Q45" s="86">
        <v>0.38461538461538464</v>
      </c>
    </row>
    <row r="46" spans="1:17" x14ac:dyDescent="0.4">
      <c r="A46" s="88">
        <v>43</v>
      </c>
      <c r="B46" s="85">
        <v>-169.1</v>
      </c>
      <c r="C46" s="85">
        <v>-3.9325581395348834</v>
      </c>
      <c r="D46" s="90">
        <v>2.1162790697674421</v>
      </c>
      <c r="E46" s="86">
        <v>0.23255813953488372</v>
      </c>
      <c r="F46" s="86">
        <v>0.26506024096385544</v>
      </c>
      <c r="G46" s="86">
        <v>0.19879518072289157</v>
      </c>
      <c r="H46" s="87">
        <v>9872.7272727272721</v>
      </c>
      <c r="I46" s="87">
        <v>-8125.757575757576</v>
      </c>
      <c r="J46" s="86">
        <v>0.16279069767441862</v>
      </c>
      <c r="K46" s="86">
        <v>0.16279069767441862</v>
      </c>
      <c r="L46" s="86">
        <v>0.21379310344827587</v>
      </c>
      <c r="M46" s="86">
        <v>0.30344827586206896</v>
      </c>
      <c r="N46" s="86">
        <v>0.35483870967741937</v>
      </c>
      <c r="O46" s="86">
        <v>0.38636363636363635</v>
      </c>
      <c r="P46" s="86">
        <v>0.39772727272727271</v>
      </c>
      <c r="Q46" s="86">
        <v>0.37634408602150538</v>
      </c>
    </row>
    <row r="47" spans="1:17" x14ac:dyDescent="0.4">
      <c r="A47" s="88">
        <v>44</v>
      </c>
      <c r="B47" s="85">
        <v>-214.6</v>
      </c>
      <c r="C47" s="85">
        <v>-4.877272727272727</v>
      </c>
      <c r="D47" s="90">
        <v>2.1363636363636362</v>
      </c>
      <c r="E47" s="86">
        <v>0.22727272727272727</v>
      </c>
      <c r="F47" s="86">
        <v>0.26331360946745563</v>
      </c>
      <c r="G47" s="86">
        <v>0.20118343195266272</v>
      </c>
      <c r="H47" s="87">
        <v>9896.6292134831456</v>
      </c>
      <c r="I47" s="87">
        <v>-8327.9411764705874</v>
      </c>
      <c r="J47" s="86">
        <v>0.18181818181818182</v>
      </c>
      <c r="K47" s="86">
        <v>0.15909090909090909</v>
      </c>
      <c r="L47" s="86">
        <v>0.2251655629139073</v>
      </c>
      <c r="M47" s="86">
        <v>0.29139072847682118</v>
      </c>
      <c r="N47" s="86">
        <v>0.35294117647058826</v>
      </c>
      <c r="O47" s="86">
        <v>0.38636363636363635</v>
      </c>
      <c r="P47" s="86">
        <v>0.4044943820224719</v>
      </c>
      <c r="Q47" s="86">
        <v>0.36842105263157893</v>
      </c>
    </row>
    <row r="48" spans="1:17" x14ac:dyDescent="0.4">
      <c r="A48" s="88">
        <v>45</v>
      </c>
      <c r="B48" s="85">
        <v>-215.7</v>
      </c>
      <c r="C48" s="85">
        <v>-4.793333333333333</v>
      </c>
      <c r="D48" s="90">
        <v>2.1333333333333333</v>
      </c>
      <c r="E48" s="86">
        <v>0.22222222222222221</v>
      </c>
      <c r="F48" s="86">
        <v>0.26074498567335241</v>
      </c>
      <c r="G48" s="86">
        <v>0.20057306590257878</v>
      </c>
      <c r="H48" s="87">
        <v>9834.0659340659349</v>
      </c>
      <c r="I48" s="87">
        <v>-8302.8571428571431</v>
      </c>
      <c r="J48" s="86">
        <v>0.17777777777777778</v>
      </c>
      <c r="K48" s="86">
        <v>0.15555555555555556</v>
      </c>
      <c r="L48" s="86">
        <v>0.22839506172839505</v>
      </c>
      <c r="M48" s="86">
        <v>0.2839506172839506</v>
      </c>
      <c r="N48" s="86">
        <v>0.35135135135135137</v>
      </c>
      <c r="O48" s="86">
        <v>0.39130434782608697</v>
      </c>
      <c r="P48" s="86">
        <v>0.4175824175824176</v>
      </c>
      <c r="Q48" s="86">
        <v>0.36734693877551022</v>
      </c>
    </row>
    <row r="49" spans="1:17" x14ac:dyDescent="0.4">
      <c r="A49" s="88">
        <v>46</v>
      </c>
      <c r="B49" s="85">
        <v>-252.89999999999998</v>
      </c>
      <c r="C49" s="85">
        <v>-5.497826086956521</v>
      </c>
      <c r="D49" s="90">
        <v>2.152173913043478</v>
      </c>
      <c r="E49" s="86">
        <v>0.21739130434782608</v>
      </c>
      <c r="F49" s="86">
        <v>0.25706214689265539</v>
      </c>
      <c r="G49" s="86">
        <v>0.20338983050847459</v>
      </c>
      <c r="H49" s="87">
        <v>9834.0659340659349</v>
      </c>
      <c r="I49" s="87">
        <v>-8572.2222222222226</v>
      </c>
      <c r="J49" s="86">
        <v>0.19565217391304349</v>
      </c>
      <c r="K49" s="86">
        <v>0.15217391304347827</v>
      </c>
      <c r="L49" s="86">
        <v>0.22754491017964071</v>
      </c>
      <c r="M49" s="86">
        <v>0.28143712574850299</v>
      </c>
      <c r="N49" s="86">
        <v>0.34210526315789475</v>
      </c>
      <c r="O49" s="86">
        <v>0.38297872340425532</v>
      </c>
      <c r="P49" s="86">
        <v>0.4175824175824176</v>
      </c>
      <c r="Q49" s="86">
        <v>0.36</v>
      </c>
    </row>
    <row r="50" spans="1:17" x14ac:dyDescent="0.4">
      <c r="A50" s="88">
        <v>47</v>
      </c>
      <c r="B50" s="85">
        <v>-294.2</v>
      </c>
      <c r="C50" s="85">
        <v>-6.2595744680851064</v>
      </c>
      <c r="D50" s="90">
        <v>2.1702127659574466</v>
      </c>
      <c r="E50" s="86">
        <v>0.21276595744680851</v>
      </c>
      <c r="F50" s="86">
        <v>0.2541436464088398</v>
      </c>
      <c r="G50" s="86">
        <v>0.20718232044198895</v>
      </c>
      <c r="H50" s="87">
        <v>9814.1304347826081</v>
      </c>
      <c r="I50" s="87">
        <v>-8580</v>
      </c>
      <c r="J50" s="86">
        <v>0.21276595744680851</v>
      </c>
      <c r="K50" s="86">
        <v>0.14893617021276595</v>
      </c>
      <c r="L50" s="86">
        <v>0.22285714285714286</v>
      </c>
      <c r="M50" s="86">
        <v>0.28000000000000003</v>
      </c>
      <c r="N50" s="86">
        <v>0.35897435897435898</v>
      </c>
      <c r="O50" s="86">
        <v>0.36734693877551022</v>
      </c>
      <c r="P50" s="86">
        <v>0.42391304347826086</v>
      </c>
      <c r="Q50" s="86">
        <v>0.35643564356435642</v>
      </c>
    </row>
    <row r="51" spans="1:17" x14ac:dyDescent="0.4">
      <c r="A51" s="88">
        <v>48</v>
      </c>
      <c r="B51" s="85">
        <v>-298.39999999999998</v>
      </c>
      <c r="C51" s="85">
        <v>-6.2166666666666659</v>
      </c>
      <c r="D51" s="90">
        <v>2.1875</v>
      </c>
      <c r="E51" s="86">
        <v>0.20833333333333334</v>
      </c>
      <c r="F51" s="86">
        <v>0.25336927223719674</v>
      </c>
      <c r="G51" s="86">
        <v>0.20485175202156333</v>
      </c>
      <c r="H51" s="87">
        <v>9722.3404255319147</v>
      </c>
      <c r="I51" s="87">
        <v>-8509.21052631579</v>
      </c>
      <c r="J51" s="86">
        <v>0.20833333333333334</v>
      </c>
      <c r="K51" s="86">
        <v>0.14583333333333334</v>
      </c>
      <c r="L51" s="86">
        <v>0.22826086956521738</v>
      </c>
      <c r="M51" s="86">
        <v>0.27717391304347827</v>
      </c>
      <c r="N51" s="86">
        <v>0.35714285714285715</v>
      </c>
      <c r="O51" s="86">
        <v>0.37254901960784315</v>
      </c>
      <c r="P51" s="86">
        <v>0.42553191489361702</v>
      </c>
      <c r="Q51" s="86">
        <v>0.35576923076923078</v>
      </c>
    </row>
    <row r="52" spans="1:17" x14ac:dyDescent="0.4">
      <c r="A52" s="88">
        <v>49</v>
      </c>
      <c r="B52" s="85">
        <v>-358.7</v>
      </c>
      <c r="C52" s="85">
        <v>-7.3204081632653057</v>
      </c>
      <c r="D52" s="90">
        <v>2.204081632653061</v>
      </c>
      <c r="E52" s="86">
        <v>0.20408163265306123</v>
      </c>
      <c r="F52" s="86">
        <v>0.25198938992042441</v>
      </c>
      <c r="G52" s="86">
        <v>0.20689655172413793</v>
      </c>
      <c r="H52" s="87">
        <v>9701.0526315789466</v>
      </c>
      <c r="I52" s="87">
        <v>-9008.9743589743593</v>
      </c>
      <c r="J52" s="86">
        <v>0.22448979591836735</v>
      </c>
      <c r="K52" s="86">
        <v>0.14285714285714285</v>
      </c>
      <c r="L52" s="86">
        <v>0.22631578947368422</v>
      </c>
      <c r="M52" s="86">
        <v>0.27368421052631581</v>
      </c>
      <c r="N52" s="86">
        <v>0.37209302325581395</v>
      </c>
      <c r="O52" s="86">
        <v>0.36538461538461536</v>
      </c>
      <c r="P52" s="86">
        <v>0.42105263157894735</v>
      </c>
      <c r="Q52" s="86">
        <v>0.35849056603773582</v>
      </c>
    </row>
    <row r="53" spans="1:17" x14ac:dyDescent="0.4">
      <c r="A53" s="88">
        <v>50</v>
      </c>
      <c r="B53" s="85">
        <v>-374.59999999999997</v>
      </c>
      <c r="C53" s="85">
        <v>-7.4919999999999991</v>
      </c>
      <c r="D53" s="90">
        <v>2.2200000000000002</v>
      </c>
      <c r="E53" s="86">
        <v>0.2</v>
      </c>
      <c r="F53" s="86">
        <v>0.25454545454545452</v>
      </c>
      <c r="G53" s="86">
        <v>0.20259740259740261</v>
      </c>
      <c r="H53" s="87">
        <v>9637.7551020408155</v>
      </c>
      <c r="I53" s="87">
        <v>-9008.9743589743593</v>
      </c>
      <c r="J53" s="86">
        <v>0.22</v>
      </c>
      <c r="K53" s="86">
        <v>0.14000000000000001</v>
      </c>
      <c r="L53" s="86">
        <v>0.22222222222222221</v>
      </c>
      <c r="M53" s="86">
        <v>0.27777777777777779</v>
      </c>
      <c r="N53" s="86">
        <v>0.38636363636363635</v>
      </c>
      <c r="O53" s="86">
        <v>0.38181818181818183</v>
      </c>
      <c r="P53" s="86">
        <v>0.42857142857142855</v>
      </c>
      <c r="Q53" s="86">
        <v>0.3577981651376147</v>
      </c>
    </row>
    <row r="54" spans="1:17" x14ac:dyDescent="0.4">
      <c r="A54" s="88">
        <v>51</v>
      </c>
      <c r="B54" s="85">
        <v>-368.59999999999997</v>
      </c>
      <c r="C54" s="85">
        <v>-7.2274509803921561</v>
      </c>
      <c r="D54" s="90">
        <v>2.1960784313725492</v>
      </c>
      <c r="E54" s="86">
        <v>0.21568627450980393</v>
      </c>
      <c r="F54" s="86">
        <v>0.25569620253164554</v>
      </c>
      <c r="G54" s="86">
        <v>0.19746835443037974</v>
      </c>
      <c r="H54" s="87">
        <v>9569.3069306930702</v>
      </c>
      <c r="I54" s="87">
        <v>-9008.9743589743593</v>
      </c>
      <c r="J54" s="86">
        <v>0.21568627450980393</v>
      </c>
      <c r="K54" s="86">
        <v>0.13725490196078433</v>
      </c>
      <c r="L54" s="86">
        <v>0.23076923076923078</v>
      </c>
      <c r="M54" s="86">
        <v>0.27403846153846156</v>
      </c>
      <c r="N54" s="86">
        <v>0.41666666666666669</v>
      </c>
      <c r="O54" s="86">
        <v>0.36842105263157893</v>
      </c>
      <c r="P54" s="86">
        <v>0.43564356435643564</v>
      </c>
      <c r="Q54" s="86">
        <v>0.35714285714285715</v>
      </c>
    </row>
    <row r="55" spans="1:17" x14ac:dyDescent="0.4">
      <c r="A55" s="88">
        <v>52</v>
      </c>
      <c r="B55" s="85">
        <v>-389.59999999999997</v>
      </c>
      <c r="C55" s="85">
        <v>-7.4923076923076914</v>
      </c>
      <c r="D55" s="90">
        <v>2.2115384615384617</v>
      </c>
      <c r="E55" s="86">
        <v>0.21153846153846154</v>
      </c>
      <c r="F55" s="86">
        <v>0.25679012345679014</v>
      </c>
      <c r="G55" s="86">
        <v>0.2</v>
      </c>
      <c r="H55" s="87">
        <v>9467.3076923076915</v>
      </c>
      <c r="I55" s="87">
        <v>-9117.2839506172841</v>
      </c>
      <c r="J55" s="86">
        <v>0.21153846153846154</v>
      </c>
      <c r="K55" s="86">
        <v>0.13461538461538461</v>
      </c>
      <c r="L55" s="86">
        <v>0.23853211009174313</v>
      </c>
      <c r="M55" s="86">
        <v>0.27064220183486237</v>
      </c>
      <c r="N55" s="86">
        <v>0.40384615384615385</v>
      </c>
      <c r="O55" s="86">
        <v>0.3728813559322034</v>
      </c>
      <c r="P55" s="86">
        <v>0.44230769230769229</v>
      </c>
      <c r="Q55" s="86">
        <v>0.35087719298245612</v>
      </c>
    </row>
    <row r="56" spans="1:17" x14ac:dyDescent="0.4">
      <c r="A56" s="88">
        <v>53</v>
      </c>
      <c r="B56" s="85">
        <v>-393.59999999999997</v>
      </c>
      <c r="C56" s="85">
        <v>-7.4264150943396219</v>
      </c>
      <c r="D56" s="90">
        <v>2.2075471698113209</v>
      </c>
      <c r="E56" s="86">
        <v>0.20754716981132076</v>
      </c>
      <c r="F56" s="86">
        <v>0.25485436893203883</v>
      </c>
      <c r="G56" s="86">
        <v>0.19660194174757281</v>
      </c>
      <c r="H56" s="87">
        <v>9434.2857142857138</v>
      </c>
      <c r="I56" s="87">
        <v>-9117.2839506172841</v>
      </c>
      <c r="J56" s="86">
        <v>0.20754716981132076</v>
      </c>
      <c r="K56" s="86">
        <v>0.13207547169811321</v>
      </c>
      <c r="L56" s="86">
        <v>0.24</v>
      </c>
      <c r="M56" s="86">
        <v>0.27111111111111114</v>
      </c>
      <c r="N56" s="86">
        <v>0.3888888888888889</v>
      </c>
      <c r="O56" s="86">
        <v>0.37704918032786883</v>
      </c>
      <c r="P56" s="86">
        <v>0.44761904761904764</v>
      </c>
      <c r="Q56" s="86">
        <v>0.3504273504273504</v>
      </c>
    </row>
    <row r="57" spans="1:17" x14ac:dyDescent="0.4">
      <c r="A57" s="88">
        <v>54</v>
      </c>
      <c r="B57" s="85">
        <v>-423.99999999999994</v>
      </c>
      <c r="C57" s="85">
        <v>-7.8518518518518512</v>
      </c>
      <c r="D57" s="90">
        <v>2.2222222222222223</v>
      </c>
      <c r="E57" s="86">
        <v>0.20370370370370369</v>
      </c>
      <c r="F57" s="86">
        <v>0.25707547169811323</v>
      </c>
      <c r="G57" s="86">
        <v>0.19811320754716982</v>
      </c>
      <c r="H57" s="87">
        <v>9361.4678899082573</v>
      </c>
      <c r="I57" s="87">
        <v>-9384.5238095238092</v>
      </c>
      <c r="J57" s="86">
        <v>0.20370370370370369</v>
      </c>
      <c r="K57" s="86">
        <v>0.12962962962962962</v>
      </c>
      <c r="L57" s="86">
        <v>0.24050632911392406</v>
      </c>
      <c r="M57" s="86">
        <v>0.27004219409282698</v>
      </c>
      <c r="N57" s="86">
        <v>0.40350877192982454</v>
      </c>
      <c r="O57" s="86">
        <v>0.375</v>
      </c>
      <c r="P57" s="86">
        <v>0.44954128440366975</v>
      </c>
      <c r="Q57" s="86">
        <v>0.35537190082644626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9B799-0551-4ECF-A537-04FE476D0FC0}">
  <sheetPr codeName="Sheet18"/>
  <dimension ref="A1:Q8"/>
  <sheetViews>
    <sheetView workbookViewId="0"/>
  </sheetViews>
  <sheetFormatPr defaultColWidth="10.75" defaultRowHeight="18.75" x14ac:dyDescent="0.4"/>
  <cols>
    <col min="1" max="1" width="10.75" style="88"/>
    <col min="2" max="3" width="10.75" style="85"/>
    <col min="4" max="4" width="10.75" style="90"/>
    <col min="5" max="7" width="10.75" style="86"/>
    <col min="8" max="9" width="10.75" style="87"/>
    <col min="10" max="17" width="10.75" style="86"/>
    <col min="18" max="16384" width="10.75" style="89"/>
  </cols>
  <sheetData>
    <row r="1" spans="1:17" x14ac:dyDescent="0.4">
      <c r="A1" s="89" t="s">
        <v>175</v>
      </c>
      <c r="B1" s="89" t="s">
        <v>175</v>
      </c>
      <c r="C1" s="89" t="s">
        <v>175</v>
      </c>
      <c r="D1" s="90" t="s">
        <v>175</v>
      </c>
      <c r="E1" s="89" t="s">
        <v>175</v>
      </c>
      <c r="F1" s="89" t="s">
        <v>175</v>
      </c>
      <c r="G1" s="89" t="s">
        <v>175</v>
      </c>
      <c r="H1" s="89" t="s">
        <v>175</v>
      </c>
      <c r="I1" s="89" t="s">
        <v>175</v>
      </c>
      <c r="J1" s="89" t="s">
        <v>175</v>
      </c>
      <c r="K1" s="89" t="s">
        <v>175</v>
      </c>
      <c r="L1" s="89" t="s">
        <v>175</v>
      </c>
      <c r="M1" s="89" t="s">
        <v>175</v>
      </c>
      <c r="N1" s="89" t="s">
        <v>175</v>
      </c>
      <c r="O1" s="89" t="s">
        <v>175</v>
      </c>
      <c r="P1" s="89" t="s">
        <v>175</v>
      </c>
      <c r="Q1" s="89" t="s">
        <v>175</v>
      </c>
    </row>
    <row r="2" spans="1:17" x14ac:dyDescent="0.4">
      <c r="A2" s="89" t="s">
        <v>9</v>
      </c>
      <c r="B2" s="89" t="s">
        <v>6</v>
      </c>
      <c r="C2" s="89" t="s">
        <v>7</v>
      </c>
      <c r="D2" s="90" t="s">
        <v>16</v>
      </c>
      <c r="E2" s="89" t="s">
        <v>15</v>
      </c>
      <c r="F2" s="89" t="s">
        <v>167</v>
      </c>
      <c r="G2" s="89" t="s">
        <v>166</v>
      </c>
      <c r="H2" s="89" t="s">
        <v>5</v>
      </c>
      <c r="I2" s="89" t="s">
        <v>17</v>
      </c>
      <c r="J2" s="89" t="s">
        <v>18</v>
      </c>
      <c r="K2" s="89" t="s">
        <v>159</v>
      </c>
      <c r="L2" s="89" t="s">
        <v>129</v>
      </c>
      <c r="M2" s="89" t="s">
        <v>124</v>
      </c>
      <c r="N2" s="89" t="s">
        <v>132</v>
      </c>
      <c r="O2" s="89" t="s">
        <v>168</v>
      </c>
      <c r="P2" s="89" t="s">
        <v>164</v>
      </c>
      <c r="Q2" s="89" t="s">
        <v>149</v>
      </c>
    </row>
    <row r="3" spans="1:17" x14ac:dyDescent="0.4">
      <c r="A3" s="88">
        <v>0</v>
      </c>
      <c r="B3" s="85">
        <v>0</v>
      </c>
    </row>
    <row r="4" spans="1:17" x14ac:dyDescent="0.4">
      <c r="A4" s="88">
        <v>1</v>
      </c>
      <c r="B4" s="85">
        <v>-40.700000000000003</v>
      </c>
      <c r="C4" s="85">
        <v>-40.700000000000003</v>
      </c>
      <c r="D4" s="90">
        <v>2</v>
      </c>
      <c r="E4" s="86">
        <v>0</v>
      </c>
      <c r="F4" s="86">
        <v>0.16666666666666666</v>
      </c>
      <c r="G4" s="86">
        <v>0.33333333333333331</v>
      </c>
      <c r="H4" s="87">
        <v>1300</v>
      </c>
      <c r="I4" s="87">
        <v>-8500</v>
      </c>
      <c r="J4" s="86">
        <v>1</v>
      </c>
      <c r="K4" s="86">
        <v>0</v>
      </c>
      <c r="P4" s="86">
        <v>0</v>
      </c>
      <c r="Q4" s="86">
        <v>0</v>
      </c>
    </row>
    <row r="5" spans="1:17" x14ac:dyDescent="0.4">
      <c r="A5" s="88">
        <v>2</v>
      </c>
      <c r="B5" s="85">
        <v>-81.7</v>
      </c>
      <c r="C5" s="85">
        <v>-40.85</v>
      </c>
      <c r="D5" s="90">
        <v>2.5</v>
      </c>
      <c r="E5" s="86">
        <v>0</v>
      </c>
      <c r="F5" s="86">
        <v>0.22222222222222221</v>
      </c>
      <c r="G5" s="86">
        <v>0.44444444444444442</v>
      </c>
      <c r="H5" s="87">
        <v>1650</v>
      </c>
      <c r="I5" s="87">
        <v>-15250</v>
      </c>
      <c r="J5" s="86">
        <v>1</v>
      </c>
      <c r="K5" s="86">
        <v>0</v>
      </c>
      <c r="L5" s="86">
        <v>0</v>
      </c>
      <c r="M5" s="86">
        <v>0.33333333333333331</v>
      </c>
      <c r="N5" s="86">
        <v>0</v>
      </c>
      <c r="O5" s="86">
        <v>1</v>
      </c>
      <c r="P5" s="86">
        <v>0</v>
      </c>
      <c r="Q5" s="86">
        <v>0</v>
      </c>
    </row>
    <row r="6" spans="1:17" x14ac:dyDescent="0.4">
      <c r="A6" s="88">
        <v>3</v>
      </c>
      <c r="B6" s="85">
        <v>-88.9</v>
      </c>
      <c r="C6" s="85">
        <v>-29.633333333333336</v>
      </c>
      <c r="D6" s="90">
        <v>2.3333333333333335</v>
      </c>
      <c r="E6" s="86">
        <v>0</v>
      </c>
      <c r="F6" s="86">
        <v>0.22727272727272727</v>
      </c>
      <c r="G6" s="86">
        <v>0.27272727272727271</v>
      </c>
      <c r="H6" s="87">
        <v>6100</v>
      </c>
      <c r="I6" s="87">
        <v>-12650</v>
      </c>
      <c r="J6" s="86">
        <v>0.66666666666666663</v>
      </c>
      <c r="K6" s="86">
        <v>0</v>
      </c>
      <c r="L6" s="86">
        <v>0.25</v>
      </c>
      <c r="M6" s="86">
        <v>0.25</v>
      </c>
      <c r="N6" s="86">
        <v>0.75</v>
      </c>
      <c r="O6" s="86">
        <v>0.25</v>
      </c>
      <c r="P6" s="86">
        <v>0.4</v>
      </c>
      <c r="Q6" s="86">
        <v>0.2</v>
      </c>
    </row>
    <row r="7" spans="1:17" x14ac:dyDescent="0.4">
      <c r="A7" s="88">
        <v>4</v>
      </c>
      <c r="B7" s="85">
        <v>-109.2</v>
      </c>
      <c r="C7" s="85">
        <v>-27.3</v>
      </c>
      <c r="D7" s="90">
        <v>2.5</v>
      </c>
      <c r="E7" s="86">
        <v>0</v>
      </c>
      <c r="F7" s="86">
        <v>0.21875</v>
      </c>
      <c r="G7" s="86">
        <v>0.25</v>
      </c>
      <c r="H7" s="87">
        <v>7171.4285714285716</v>
      </c>
      <c r="I7" s="87">
        <v>-12487.5</v>
      </c>
      <c r="J7" s="86">
        <v>0.5</v>
      </c>
      <c r="K7" s="86">
        <v>0</v>
      </c>
      <c r="L7" s="86">
        <v>0.23076923076923078</v>
      </c>
      <c r="M7" s="86">
        <v>0.19230769230769232</v>
      </c>
      <c r="N7" s="86">
        <v>0.83333333333333337</v>
      </c>
      <c r="O7" s="86">
        <v>0.2</v>
      </c>
      <c r="P7" s="86">
        <v>0.2857142857142857</v>
      </c>
      <c r="Q7" s="86">
        <v>0.33333333333333331</v>
      </c>
    </row>
    <row r="8" spans="1:17" x14ac:dyDescent="0.4">
      <c r="A8" s="88">
        <v>5</v>
      </c>
      <c r="B8" s="85">
        <v>-86.4</v>
      </c>
      <c r="C8" s="85">
        <v>-17.28</v>
      </c>
      <c r="D8" s="90">
        <v>2.2000000000000002</v>
      </c>
      <c r="E8" s="86">
        <v>0.2</v>
      </c>
      <c r="F8" s="86">
        <v>0.27027027027027029</v>
      </c>
      <c r="G8" s="86">
        <v>0.21621621621621623</v>
      </c>
      <c r="H8" s="87">
        <v>7100</v>
      </c>
      <c r="I8" s="87">
        <v>-12487.5</v>
      </c>
      <c r="J8" s="86">
        <v>0.4</v>
      </c>
      <c r="K8" s="86">
        <v>0.2</v>
      </c>
      <c r="L8" s="86">
        <v>0.25806451612903225</v>
      </c>
      <c r="M8" s="86">
        <v>0.16129032258064516</v>
      </c>
      <c r="N8" s="86">
        <v>0.75</v>
      </c>
      <c r="O8" s="86">
        <v>0.2</v>
      </c>
      <c r="P8" s="86">
        <v>0.3</v>
      </c>
      <c r="Q8" s="86">
        <v>0.46153846153846156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14E1D-8643-4A35-B6CC-BD8F93C09CD2}">
  <sheetPr codeName="Sheet16"/>
  <dimension ref="A1:Q60"/>
  <sheetViews>
    <sheetView workbookViewId="0"/>
  </sheetViews>
  <sheetFormatPr defaultColWidth="10.75" defaultRowHeight="18.75" x14ac:dyDescent="0.4"/>
  <cols>
    <col min="1" max="1" width="10.75" style="88"/>
    <col min="2" max="3" width="10.75" style="85"/>
    <col min="4" max="4" width="10.75" style="90"/>
    <col min="5" max="7" width="10.75" style="86"/>
    <col min="8" max="9" width="10.75" style="87"/>
    <col min="10" max="17" width="10.75" style="86"/>
    <col min="18" max="16384" width="10.75" style="89"/>
  </cols>
  <sheetData>
    <row r="1" spans="1:17" x14ac:dyDescent="0.4">
      <c r="A1" s="89" t="s">
        <v>135</v>
      </c>
      <c r="B1" s="89" t="s">
        <v>135</v>
      </c>
      <c r="C1" s="89" t="s">
        <v>135</v>
      </c>
      <c r="D1" s="90" t="s">
        <v>135</v>
      </c>
      <c r="E1" s="89" t="s">
        <v>135</v>
      </c>
      <c r="F1" s="89" t="s">
        <v>135</v>
      </c>
      <c r="G1" s="89" t="s">
        <v>135</v>
      </c>
      <c r="H1" s="89" t="s">
        <v>135</v>
      </c>
      <c r="I1" s="89" t="s">
        <v>135</v>
      </c>
      <c r="J1" s="89" t="s">
        <v>135</v>
      </c>
      <c r="K1" s="89" t="s">
        <v>135</v>
      </c>
      <c r="L1" s="89" t="s">
        <v>135</v>
      </c>
      <c r="M1" s="89" t="s">
        <v>135</v>
      </c>
      <c r="N1" s="89" t="s">
        <v>135</v>
      </c>
      <c r="O1" s="89" t="s">
        <v>135</v>
      </c>
      <c r="P1" s="89" t="s">
        <v>135</v>
      </c>
      <c r="Q1" s="89" t="s">
        <v>135</v>
      </c>
    </row>
    <row r="2" spans="1:17" x14ac:dyDescent="0.4">
      <c r="A2" s="89" t="s">
        <v>9</v>
      </c>
      <c r="B2" s="89" t="s">
        <v>6</v>
      </c>
      <c r="C2" s="89" t="s">
        <v>7</v>
      </c>
      <c r="D2" s="90" t="s">
        <v>16</v>
      </c>
      <c r="E2" s="89" t="s">
        <v>15</v>
      </c>
      <c r="F2" s="89" t="s">
        <v>167</v>
      </c>
      <c r="G2" s="89" t="s">
        <v>166</v>
      </c>
      <c r="H2" s="89" t="s">
        <v>5</v>
      </c>
      <c r="I2" s="89" t="s">
        <v>17</v>
      </c>
      <c r="J2" s="89" t="s">
        <v>18</v>
      </c>
      <c r="K2" s="89" t="s">
        <v>159</v>
      </c>
      <c r="L2" s="89" t="s">
        <v>129</v>
      </c>
      <c r="M2" s="89" t="s">
        <v>124</v>
      </c>
      <c r="N2" s="89" t="s">
        <v>132</v>
      </c>
      <c r="O2" s="89" t="s">
        <v>168</v>
      </c>
      <c r="P2" s="89" t="s">
        <v>164</v>
      </c>
      <c r="Q2" s="89" t="s">
        <v>149</v>
      </c>
    </row>
    <row r="3" spans="1:17" x14ac:dyDescent="0.4">
      <c r="A3" s="88">
        <v>0</v>
      </c>
      <c r="B3" s="85">
        <v>0</v>
      </c>
    </row>
    <row r="4" spans="1:17" x14ac:dyDescent="0.4">
      <c r="A4" s="88">
        <v>1</v>
      </c>
      <c r="B4" s="85">
        <v>-39.9</v>
      </c>
      <c r="C4" s="85">
        <v>-39.9</v>
      </c>
      <c r="D4" s="90">
        <v>3</v>
      </c>
      <c r="E4" s="86">
        <v>0</v>
      </c>
      <c r="F4" s="86">
        <v>0</v>
      </c>
      <c r="G4" s="86">
        <v>0.66666666666666663</v>
      </c>
      <c r="H4" s="87">
        <v>0</v>
      </c>
      <c r="I4" s="87">
        <v>0</v>
      </c>
      <c r="J4" s="86">
        <v>1</v>
      </c>
      <c r="K4" s="86">
        <v>0</v>
      </c>
      <c r="P4" s="86">
        <v>0</v>
      </c>
      <c r="Q4" s="86">
        <v>0</v>
      </c>
    </row>
    <row r="5" spans="1:17" x14ac:dyDescent="0.4">
      <c r="A5" s="88">
        <v>2</v>
      </c>
      <c r="B5" s="85">
        <v>-13.2</v>
      </c>
      <c r="C5" s="85">
        <v>-6.6</v>
      </c>
      <c r="D5" s="90">
        <v>2</v>
      </c>
      <c r="E5" s="86">
        <v>0.5</v>
      </c>
      <c r="F5" s="86">
        <v>0.25</v>
      </c>
      <c r="G5" s="86">
        <v>0.25</v>
      </c>
      <c r="H5" s="87">
        <v>16000</v>
      </c>
      <c r="I5" s="87">
        <v>0</v>
      </c>
      <c r="J5" s="86">
        <v>0.5</v>
      </c>
      <c r="K5" s="86">
        <v>0.5</v>
      </c>
      <c r="P5" s="86">
        <v>0</v>
      </c>
      <c r="Q5" s="86">
        <v>0.5</v>
      </c>
    </row>
    <row r="6" spans="1:17" x14ac:dyDescent="0.4">
      <c r="A6" s="88">
        <v>3</v>
      </c>
      <c r="B6" s="85">
        <v>-57.7</v>
      </c>
      <c r="C6" s="85">
        <v>-19.233333333333334</v>
      </c>
      <c r="D6" s="90">
        <v>2.3333333333333335</v>
      </c>
      <c r="E6" s="86">
        <v>0.33333333333333331</v>
      </c>
      <c r="F6" s="86">
        <v>0.14285714285714285</v>
      </c>
      <c r="G6" s="86">
        <v>0.21428571428571427</v>
      </c>
      <c r="H6" s="87">
        <v>16000</v>
      </c>
      <c r="I6" s="87">
        <v>-6000</v>
      </c>
      <c r="J6" s="86">
        <v>0.66666666666666663</v>
      </c>
      <c r="K6" s="86">
        <v>0.33333333333333331</v>
      </c>
      <c r="P6" s="86">
        <v>0</v>
      </c>
      <c r="Q6" s="86">
        <v>0.33333333333333331</v>
      </c>
    </row>
    <row r="7" spans="1:17" x14ac:dyDescent="0.4">
      <c r="A7" s="88">
        <v>4</v>
      </c>
      <c r="B7" s="85">
        <v>-53.7</v>
      </c>
      <c r="C7" s="85">
        <v>-13.425000000000001</v>
      </c>
      <c r="D7" s="90">
        <v>2.25</v>
      </c>
      <c r="E7" s="86">
        <v>0.25</v>
      </c>
      <c r="F7" s="86">
        <v>0.2857142857142857</v>
      </c>
      <c r="G7" s="86">
        <v>0.19047619047619047</v>
      </c>
      <c r="H7" s="87">
        <v>9666.6666666666661</v>
      </c>
      <c r="I7" s="87">
        <v>-9000</v>
      </c>
      <c r="J7" s="86">
        <v>0.5</v>
      </c>
      <c r="K7" s="86">
        <v>0.25</v>
      </c>
      <c r="P7" s="86">
        <v>0.16666666666666666</v>
      </c>
      <c r="Q7" s="86">
        <v>0.25</v>
      </c>
    </row>
    <row r="8" spans="1:17" x14ac:dyDescent="0.4">
      <c r="A8" s="88">
        <v>5</v>
      </c>
      <c r="B8" s="85">
        <v>-45.7</v>
      </c>
      <c r="C8" s="85">
        <v>-9.14</v>
      </c>
      <c r="D8" s="90">
        <v>2.2000000000000002</v>
      </c>
      <c r="E8" s="86">
        <v>0.2</v>
      </c>
      <c r="F8" s="86">
        <v>0.30434782608695654</v>
      </c>
      <c r="G8" s="86">
        <v>0.17391304347826086</v>
      </c>
      <c r="H8" s="87">
        <v>9428.5714285714294</v>
      </c>
      <c r="I8" s="87">
        <v>-9000</v>
      </c>
      <c r="J8" s="86">
        <v>0.4</v>
      </c>
      <c r="K8" s="86">
        <v>0.2</v>
      </c>
      <c r="P8" s="86">
        <v>0.14285714285714285</v>
      </c>
      <c r="Q8" s="86">
        <v>0.25</v>
      </c>
    </row>
    <row r="9" spans="1:17" x14ac:dyDescent="0.4">
      <c r="A9" s="88">
        <v>6</v>
      </c>
      <c r="B9" s="85">
        <v>-50.6</v>
      </c>
      <c r="C9" s="85">
        <v>-8.4333333333333336</v>
      </c>
      <c r="D9" s="90">
        <v>2.1666666666666665</v>
      </c>
      <c r="E9" s="86">
        <v>0.16666666666666666</v>
      </c>
      <c r="F9" s="86">
        <v>0.3</v>
      </c>
      <c r="G9" s="86">
        <v>0.2</v>
      </c>
      <c r="H9" s="87">
        <v>8333.3333333333339</v>
      </c>
      <c r="I9" s="87">
        <v>-7816.666666666667</v>
      </c>
      <c r="J9" s="86">
        <v>0.33333333333333331</v>
      </c>
      <c r="K9" s="86">
        <v>0.16666666666666666</v>
      </c>
      <c r="P9" s="86">
        <v>0.1111111111111111</v>
      </c>
      <c r="Q9" s="86">
        <v>0.16666666666666666</v>
      </c>
    </row>
    <row r="10" spans="1:17" x14ac:dyDescent="0.4">
      <c r="A10" s="88">
        <v>7</v>
      </c>
      <c r="B10" s="85">
        <v>-47.6</v>
      </c>
      <c r="C10" s="85">
        <v>-6.8</v>
      </c>
      <c r="D10" s="90">
        <v>2.1428571428571428</v>
      </c>
      <c r="E10" s="86">
        <v>0.14285714285714285</v>
      </c>
      <c r="F10" s="86">
        <v>0.28947368421052633</v>
      </c>
      <c r="G10" s="86">
        <v>0.18421052631578946</v>
      </c>
      <c r="H10" s="87">
        <v>7909.090909090909</v>
      </c>
      <c r="I10" s="87">
        <v>-8414.2857142857138</v>
      </c>
      <c r="J10" s="86">
        <v>0.2857142857142857</v>
      </c>
      <c r="K10" s="86">
        <v>0.14285714285714285</v>
      </c>
      <c r="P10" s="86">
        <v>0.27272727272727271</v>
      </c>
      <c r="Q10" s="86">
        <v>0.1</v>
      </c>
    </row>
    <row r="11" spans="1:17" x14ac:dyDescent="0.4">
      <c r="A11" s="88">
        <v>8</v>
      </c>
      <c r="B11" s="85">
        <v>-59.1</v>
      </c>
      <c r="C11" s="85">
        <v>-7.3875000000000002</v>
      </c>
      <c r="D11" s="90">
        <v>2.125</v>
      </c>
      <c r="E11" s="86">
        <v>0.125</v>
      </c>
      <c r="F11" s="86">
        <v>0.2608695652173913</v>
      </c>
      <c r="G11" s="86">
        <v>0.17391304347826086</v>
      </c>
      <c r="H11" s="87">
        <v>7916.666666666667</v>
      </c>
      <c r="I11" s="87">
        <v>-9612.5</v>
      </c>
      <c r="J11" s="86">
        <v>0.25</v>
      </c>
      <c r="K11" s="86">
        <v>0.125</v>
      </c>
      <c r="P11" s="86">
        <v>0.25</v>
      </c>
      <c r="Q11" s="86">
        <v>8.3333333333333329E-2</v>
      </c>
    </row>
    <row r="12" spans="1:17" x14ac:dyDescent="0.4">
      <c r="A12" s="88">
        <v>9</v>
      </c>
      <c r="B12" s="85">
        <v>-77.900000000000006</v>
      </c>
      <c r="C12" s="85">
        <v>-8.6555555555555568</v>
      </c>
      <c r="D12" s="90">
        <v>2.1111111111111112</v>
      </c>
      <c r="E12" s="86">
        <v>0.1111111111111111</v>
      </c>
      <c r="F12" s="86">
        <v>0.27777777777777779</v>
      </c>
      <c r="G12" s="86">
        <v>0.16666666666666666</v>
      </c>
      <c r="H12" s="87">
        <v>7473.333333333333</v>
      </c>
      <c r="I12" s="87">
        <v>-11211.111111111111</v>
      </c>
      <c r="J12" s="86">
        <v>0.22222222222222221</v>
      </c>
      <c r="K12" s="86">
        <v>0.1111111111111111</v>
      </c>
      <c r="P12" s="86">
        <v>0.26666666666666666</v>
      </c>
      <c r="Q12" s="86">
        <v>7.6923076923076927E-2</v>
      </c>
    </row>
    <row r="13" spans="1:17" x14ac:dyDescent="0.4">
      <c r="A13" s="88">
        <v>10</v>
      </c>
      <c r="B13" s="85">
        <v>-78.900000000000006</v>
      </c>
      <c r="C13" s="85">
        <v>-7.8900000000000006</v>
      </c>
      <c r="D13" s="90">
        <v>2.1</v>
      </c>
      <c r="E13" s="86">
        <v>0.1</v>
      </c>
      <c r="F13" s="86">
        <v>0.29032258064516131</v>
      </c>
      <c r="G13" s="86">
        <v>0.17741935483870969</v>
      </c>
      <c r="H13" s="87">
        <v>7616.666666666667</v>
      </c>
      <c r="I13" s="87">
        <v>-11354.545454545454</v>
      </c>
      <c r="J13" s="86">
        <v>0.2</v>
      </c>
      <c r="K13" s="86">
        <v>0.1</v>
      </c>
      <c r="P13" s="86">
        <v>0.27777777777777779</v>
      </c>
      <c r="Q13" s="86">
        <v>6.6666666666666666E-2</v>
      </c>
    </row>
    <row r="14" spans="1:17" x14ac:dyDescent="0.4">
      <c r="A14" s="88">
        <v>11</v>
      </c>
      <c r="B14" s="85">
        <v>-88.9</v>
      </c>
      <c r="C14" s="85">
        <v>-8.081818181818182</v>
      </c>
      <c r="D14" s="90">
        <v>2.0909090909090908</v>
      </c>
      <c r="E14" s="86">
        <v>9.0909090909090912E-2</v>
      </c>
      <c r="F14" s="86">
        <v>0.2878787878787879</v>
      </c>
      <c r="G14" s="86">
        <v>0.16666666666666666</v>
      </c>
      <c r="H14" s="87">
        <v>7847.3684210526317</v>
      </c>
      <c r="I14" s="87">
        <v>-11354.545454545454</v>
      </c>
      <c r="J14" s="86">
        <v>0.18181818181818182</v>
      </c>
      <c r="K14" s="86">
        <v>9.0909090909090912E-2</v>
      </c>
      <c r="P14" s="86">
        <v>0.26315789473684209</v>
      </c>
      <c r="Q14" s="86">
        <v>0.11764705882352941</v>
      </c>
    </row>
    <row r="15" spans="1:17" x14ac:dyDescent="0.4">
      <c r="A15" s="88">
        <v>12</v>
      </c>
      <c r="B15" s="85">
        <v>-23.5</v>
      </c>
      <c r="C15" s="85">
        <v>-1.9583333333333333</v>
      </c>
      <c r="D15" s="90">
        <v>2</v>
      </c>
      <c r="E15" s="86">
        <v>0.16666666666666666</v>
      </c>
      <c r="F15" s="86">
        <v>0.35064935064935066</v>
      </c>
      <c r="G15" s="86">
        <v>0.16883116883116883</v>
      </c>
      <c r="H15" s="87">
        <v>8444.4444444444453</v>
      </c>
      <c r="I15" s="87">
        <v>-11146.153846153846</v>
      </c>
      <c r="J15" s="86">
        <v>0.16666666666666666</v>
      </c>
      <c r="K15" s="86">
        <v>0.16666666666666666</v>
      </c>
      <c r="P15" s="86">
        <v>0.22222222222222221</v>
      </c>
      <c r="Q15" s="86">
        <v>0.30434782608695654</v>
      </c>
    </row>
    <row r="16" spans="1:17" x14ac:dyDescent="0.4">
      <c r="A16" s="88">
        <v>13</v>
      </c>
      <c r="B16" s="85">
        <v>-12.4</v>
      </c>
      <c r="C16" s="85">
        <v>-0.9538461538461539</v>
      </c>
      <c r="D16" s="90">
        <v>2</v>
      </c>
      <c r="E16" s="86">
        <v>0.15384615384615385</v>
      </c>
      <c r="F16" s="86">
        <v>0.35294117647058826</v>
      </c>
      <c r="G16" s="86">
        <v>0.15294117647058825</v>
      </c>
      <c r="H16" s="87">
        <v>8453.3333333333339</v>
      </c>
      <c r="I16" s="87">
        <v>-11146.153846153846</v>
      </c>
      <c r="J16" s="86">
        <v>0.15384615384615385</v>
      </c>
      <c r="K16" s="86">
        <v>0.15384615384615385</v>
      </c>
      <c r="P16" s="86">
        <v>0.26666666666666666</v>
      </c>
      <c r="Q16" s="86">
        <v>0.29629629629629628</v>
      </c>
    </row>
    <row r="17" spans="1:17" x14ac:dyDescent="0.4">
      <c r="A17" s="88">
        <v>14</v>
      </c>
      <c r="B17" s="85">
        <v>38.6</v>
      </c>
      <c r="C17" s="85">
        <v>2.7571428571428571</v>
      </c>
      <c r="D17" s="90">
        <v>1.9285714285714286</v>
      </c>
      <c r="E17" s="86">
        <v>0.21428571428571427</v>
      </c>
      <c r="F17" s="86">
        <v>0.3707865168539326</v>
      </c>
      <c r="G17" s="86">
        <v>0.14606741573033707</v>
      </c>
      <c r="H17" s="87">
        <v>9200</v>
      </c>
      <c r="I17" s="87">
        <v>-11146.153846153846</v>
      </c>
      <c r="J17" s="86">
        <v>0.14285714285714285</v>
      </c>
      <c r="K17" s="86">
        <v>0.21428571428571427</v>
      </c>
      <c r="P17" s="86">
        <v>0.27272727272727271</v>
      </c>
      <c r="Q17" s="86">
        <v>0.33333333333333331</v>
      </c>
    </row>
    <row r="18" spans="1:17" x14ac:dyDescent="0.4">
      <c r="A18" s="88">
        <v>15</v>
      </c>
      <c r="B18" s="85">
        <v>55.8</v>
      </c>
      <c r="C18" s="85">
        <v>3.7199999999999998</v>
      </c>
      <c r="D18" s="90">
        <v>1.8666666666666667</v>
      </c>
      <c r="E18" s="86">
        <v>0.26666666666666666</v>
      </c>
      <c r="F18" s="86">
        <v>0.38775510204081631</v>
      </c>
      <c r="G18" s="86">
        <v>0.15306122448979592</v>
      </c>
      <c r="H18" s="87">
        <v>9410.5263157894733</v>
      </c>
      <c r="I18" s="87">
        <v>-11646.666666666666</v>
      </c>
      <c r="J18" s="86">
        <v>0.13333333333333333</v>
      </c>
      <c r="K18" s="86">
        <v>0.2</v>
      </c>
      <c r="P18" s="86">
        <v>0.34210526315789475</v>
      </c>
      <c r="Q18" s="86">
        <v>0.36363636363636365</v>
      </c>
    </row>
    <row r="19" spans="1:17" x14ac:dyDescent="0.4">
      <c r="A19" s="88">
        <v>16</v>
      </c>
      <c r="B19" s="85">
        <v>40.299999999999997</v>
      </c>
      <c r="C19" s="85">
        <v>2.5187499999999998</v>
      </c>
      <c r="D19" s="90">
        <v>1.9375</v>
      </c>
      <c r="E19" s="86">
        <v>0.25</v>
      </c>
      <c r="F19" s="86">
        <v>0.3867924528301887</v>
      </c>
      <c r="G19" s="86">
        <v>0.16981132075471697</v>
      </c>
      <c r="H19" s="87">
        <v>9051.2195121951227</v>
      </c>
      <c r="I19" s="87">
        <v>-10983.333333333334</v>
      </c>
      <c r="J19" s="86">
        <v>0.125</v>
      </c>
      <c r="K19" s="86">
        <v>0.1875</v>
      </c>
      <c r="P19" s="86">
        <v>0.36585365853658536</v>
      </c>
      <c r="Q19" s="86">
        <v>0.34285714285714286</v>
      </c>
    </row>
    <row r="20" spans="1:17" x14ac:dyDescent="0.4">
      <c r="A20" s="88">
        <v>17</v>
      </c>
      <c r="B20" s="85">
        <v>15.799999999999997</v>
      </c>
      <c r="C20" s="85">
        <v>0.92941176470588216</v>
      </c>
      <c r="D20" s="90">
        <v>1.9411764705882353</v>
      </c>
      <c r="E20" s="86">
        <v>0.23529411764705882</v>
      </c>
      <c r="F20" s="86">
        <v>0.3783783783783784</v>
      </c>
      <c r="G20" s="86">
        <v>0.16216216216216217</v>
      </c>
      <c r="H20" s="87">
        <v>9026.1904761904771</v>
      </c>
      <c r="I20" s="87">
        <v>-10983.333333333334</v>
      </c>
      <c r="J20" s="86">
        <v>0.11764705882352941</v>
      </c>
      <c r="K20" s="86">
        <v>0.17647058823529413</v>
      </c>
      <c r="P20" s="86">
        <v>0.38095238095238093</v>
      </c>
      <c r="Q20" s="86">
        <v>0.33333333333333331</v>
      </c>
    </row>
    <row r="21" spans="1:17" x14ac:dyDescent="0.4">
      <c r="A21" s="88">
        <v>18</v>
      </c>
      <c r="B21" s="85">
        <v>-25.700000000000003</v>
      </c>
      <c r="C21" s="85">
        <v>-1.427777777777778</v>
      </c>
      <c r="D21" s="90">
        <v>2</v>
      </c>
      <c r="E21" s="86">
        <v>0.22222222222222221</v>
      </c>
      <c r="F21" s="86">
        <v>0.36134453781512604</v>
      </c>
      <c r="G21" s="86">
        <v>0.15966386554621848</v>
      </c>
      <c r="H21" s="87">
        <v>9002.3255813953492</v>
      </c>
      <c r="I21" s="87">
        <v>-10826.315789473685</v>
      </c>
      <c r="J21" s="86">
        <v>0.16666666666666666</v>
      </c>
      <c r="K21" s="86">
        <v>0.16666666666666666</v>
      </c>
      <c r="P21" s="86">
        <v>0.37209302325581395</v>
      </c>
      <c r="Q21" s="86">
        <v>0.31578947368421051</v>
      </c>
    </row>
    <row r="22" spans="1:17" x14ac:dyDescent="0.4">
      <c r="A22" s="88">
        <v>19</v>
      </c>
      <c r="B22" s="85">
        <v>-17.700000000000003</v>
      </c>
      <c r="C22" s="85">
        <v>-0.93157894736842117</v>
      </c>
      <c r="D22" s="90">
        <v>2</v>
      </c>
      <c r="E22" s="86">
        <v>0.21052631578947367</v>
      </c>
      <c r="F22" s="86">
        <v>0.35483870967741937</v>
      </c>
      <c r="G22" s="86">
        <v>0.15322580645161291</v>
      </c>
      <c r="H22" s="87">
        <v>8979.545454545454</v>
      </c>
      <c r="I22" s="87">
        <v>-10826.315789473685</v>
      </c>
      <c r="J22" s="86">
        <v>0.15789473684210525</v>
      </c>
      <c r="K22" s="86">
        <v>0.15789473684210525</v>
      </c>
      <c r="P22" s="86">
        <v>0.38636363636363635</v>
      </c>
      <c r="Q22" s="86">
        <v>0.3</v>
      </c>
    </row>
    <row r="23" spans="1:17" x14ac:dyDescent="0.4">
      <c r="A23" s="88">
        <v>20</v>
      </c>
      <c r="B23" s="85">
        <v>7.4999999999999964</v>
      </c>
      <c r="C23" s="85">
        <v>0.37499999999999983</v>
      </c>
      <c r="D23" s="90">
        <v>1.95</v>
      </c>
      <c r="E23" s="86">
        <v>0.25</v>
      </c>
      <c r="F23" s="86">
        <v>0.36496350364963503</v>
      </c>
      <c r="G23" s="86">
        <v>0.15328467153284672</v>
      </c>
      <c r="H23" s="87">
        <v>8946</v>
      </c>
      <c r="I23" s="87">
        <v>-10747.619047619048</v>
      </c>
      <c r="J23" s="86">
        <v>0.15</v>
      </c>
      <c r="K23" s="86">
        <v>0.15</v>
      </c>
      <c r="P23" s="86">
        <v>0.38</v>
      </c>
      <c r="Q23" s="86">
        <v>0.33333333333333331</v>
      </c>
    </row>
    <row r="24" spans="1:17" x14ac:dyDescent="0.4">
      <c r="A24" s="88">
        <v>21</v>
      </c>
      <c r="B24" s="85">
        <v>69.8</v>
      </c>
      <c r="C24" s="85">
        <v>3.3238095238095235</v>
      </c>
      <c r="D24" s="90">
        <v>1.9047619047619047</v>
      </c>
      <c r="E24" s="86">
        <v>0.2857142857142857</v>
      </c>
      <c r="F24" s="86">
        <v>0.38194444444444442</v>
      </c>
      <c r="G24" s="86">
        <v>0.14583333333333334</v>
      </c>
      <c r="H24" s="87">
        <v>9296.363636363636</v>
      </c>
      <c r="I24" s="87">
        <v>-10747.619047619048</v>
      </c>
      <c r="J24" s="86">
        <v>0.14285714285714285</v>
      </c>
      <c r="K24" s="86">
        <v>0.14285714285714285</v>
      </c>
      <c r="P24" s="86">
        <v>0.41818181818181815</v>
      </c>
      <c r="Q24" s="86">
        <v>0.33333333333333331</v>
      </c>
    </row>
    <row r="25" spans="1:17" x14ac:dyDescent="0.4">
      <c r="A25" s="88">
        <v>22</v>
      </c>
      <c r="B25" s="85">
        <v>78.399999999999991</v>
      </c>
      <c r="C25" s="85">
        <v>3.563636363636363</v>
      </c>
      <c r="D25" s="90">
        <v>1.9090909090909092</v>
      </c>
      <c r="E25" s="86">
        <v>0.27272727272727271</v>
      </c>
      <c r="F25" s="86">
        <v>0.37748344370860926</v>
      </c>
      <c r="G25" s="86">
        <v>0.14569536423841059</v>
      </c>
      <c r="H25" s="87">
        <v>9307.0175438596489</v>
      </c>
      <c r="I25" s="87">
        <v>-10377.272727272728</v>
      </c>
      <c r="J25" s="86">
        <v>0.13636363636363635</v>
      </c>
      <c r="K25" s="86">
        <v>0.13636363636363635</v>
      </c>
      <c r="P25" s="86">
        <v>0.43859649122807015</v>
      </c>
      <c r="Q25" s="86">
        <v>0.33333333333333331</v>
      </c>
    </row>
    <row r="26" spans="1:17" x14ac:dyDescent="0.4">
      <c r="A26" s="88">
        <v>23</v>
      </c>
      <c r="B26" s="85">
        <v>93.199999999999989</v>
      </c>
      <c r="C26" s="85">
        <v>4.052173913043478</v>
      </c>
      <c r="D26" s="90">
        <v>1.8695652173913044</v>
      </c>
      <c r="E26" s="86">
        <v>0.30434782608695654</v>
      </c>
      <c r="F26" s="86">
        <v>0.37888198757763975</v>
      </c>
      <c r="G26" s="86">
        <v>0.15527950310559005</v>
      </c>
      <c r="H26" s="87">
        <v>9503.2786885245896</v>
      </c>
      <c r="I26" s="87">
        <v>-10348</v>
      </c>
      <c r="J26" s="86">
        <v>0.13043478260869565</v>
      </c>
      <c r="K26" s="86">
        <v>0.13043478260869565</v>
      </c>
      <c r="P26" s="86">
        <v>0.42622950819672129</v>
      </c>
      <c r="Q26" s="86">
        <v>0.32142857142857145</v>
      </c>
    </row>
    <row r="27" spans="1:17" x14ac:dyDescent="0.4">
      <c r="A27" s="88">
        <v>24</v>
      </c>
      <c r="B27" s="85">
        <v>49.29999999999999</v>
      </c>
      <c r="C27" s="85">
        <v>2.0541666666666663</v>
      </c>
      <c r="D27" s="90">
        <v>1.9166666666666667</v>
      </c>
      <c r="E27" s="86">
        <v>0.29166666666666669</v>
      </c>
      <c r="F27" s="86">
        <v>0.36904761904761907</v>
      </c>
      <c r="G27" s="86">
        <v>0.16071428571428573</v>
      </c>
      <c r="H27" s="87">
        <v>9479.032258064517</v>
      </c>
      <c r="I27" s="87">
        <v>-10755.555555555555</v>
      </c>
      <c r="J27" s="86">
        <v>0.16666666666666666</v>
      </c>
      <c r="K27" s="86">
        <v>0.125</v>
      </c>
      <c r="P27" s="86">
        <v>0.41935483870967744</v>
      </c>
      <c r="Q27" s="86">
        <v>0.31578947368421051</v>
      </c>
    </row>
    <row r="28" spans="1:17" x14ac:dyDescent="0.4">
      <c r="A28" s="88">
        <v>25</v>
      </c>
      <c r="B28" s="85">
        <v>58.79999999999999</v>
      </c>
      <c r="C28" s="85">
        <v>2.3519999999999994</v>
      </c>
      <c r="D28" s="90">
        <v>1.88</v>
      </c>
      <c r="E28" s="86">
        <v>0.32</v>
      </c>
      <c r="F28" s="86">
        <v>0.36571428571428571</v>
      </c>
      <c r="G28" s="86">
        <v>0.15428571428571428</v>
      </c>
      <c r="H28" s="87">
        <v>9401.5625</v>
      </c>
      <c r="I28" s="87">
        <v>-10755.555555555555</v>
      </c>
      <c r="J28" s="86">
        <v>0.16</v>
      </c>
      <c r="K28" s="86">
        <v>0.12</v>
      </c>
      <c r="P28" s="86">
        <v>0.4375</v>
      </c>
      <c r="Q28" s="86">
        <v>0.31666666666666665</v>
      </c>
    </row>
    <row r="29" spans="1:17" x14ac:dyDescent="0.4">
      <c r="A29" s="88">
        <v>26</v>
      </c>
      <c r="B29" s="85">
        <v>141.79999999999998</v>
      </c>
      <c r="C29" s="85">
        <v>5.4538461538461531</v>
      </c>
      <c r="D29" s="90">
        <v>1.8461538461538463</v>
      </c>
      <c r="E29" s="86">
        <v>0.34615384615384615</v>
      </c>
      <c r="F29" s="86">
        <v>0.37912087912087911</v>
      </c>
      <c r="G29" s="86">
        <v>0.14835164835164835</v>
      </c>
      <c r="H29" s="87">
        <v>9850.7246376811599</v>
      </c>
      <c r="I29" s="87">
        <v>-10755.555555555555</v>
      </c>
      <c r="J29" s="86">
        <v>0.15384615384615385</v>
      </c>
      <c r="K29" s="86">
        <v>0.15384615384615385</v>
      </c>
      <c r="P29" s="86">
        <v>0.44927536231884058</v>
      </c>
      <c r="Q29" s="86">
        <v>0.34375</v>
      </c>
    </row>
    <row r="30" spans="1:17" x14ac:dyDescent="0.4">
      <c r="A30" s="88">
        <v>27</v>
      </c>
      <c r="B30" s="85">
        <v>162.79999999999998</v>
      </c>
      <c r="C30" s="85">
        <v>6.0296296296296292</v>
      </c>
      <c r="D30" s="90">
        <v>1.8148148148148149</v>
      </c>
      <c r="E30" s="86">
        <v>0.37037037037037035</v>
      </c>
      <c r="F30" s="86">
        <v>0.37765957446808512</v>
      </c>
      <c r="G30" s="86">
        <v>0.14361702127659576</v>
      </c>
      <c r="H30" s="87">
        <v>9995.7746478873232</v>
      </c>
      <c r="I30" s="87">
        <v>-10755.555555555555</v>
      </c>
      <c r="J30" s="86">
        <v>0.14814814814814814</v>
      </c>
      <c r="K30" s="86">
        <v>0.18518518518518517</v>
      </c>
      <c r="P30" s="86">
        <v>0.45070422535211269</v>
      </c>
      <c r="Q30" s="86">
        <v>0.35294117647058826</v>
      </c>
    </row>
    <row r="31" spans="1:17" x14ac:dyDescent="0.4">
      <c r="A31" s="88">
        <v>28</v>
      </c>
      <c r="B31" s="85">
        <v>174.7</v>
      </c>
      <c r="C31" s="85">
        <v>6.2392857142857139</v>
      </c>
      <c r="D31" s="90">
        <v>1.7857142857142858</v>
      </c>
      <c r="E31" s="86">
        <v>0.39285714285714285</v>
      </c>
      <c r="F31" s="86">
        <v>0.37435897435897436</v>
      </c>
      <c r="G31" s="86">
        <v>0.13846153846153847</v>
      </c>
      <c r="H31" s="87">
        <v>9919.17808219178</v>
      </c>
      <c r="I31" s="87">
        <v>-10755.555555555555</v>
      </c>
      <c r="J31" s="86">
        <v>0.14285714285714285</v>
      </c>
      <c r="K31" s="86">
        <v>0.17857142857142858</v>
      </c>
      <c r="P31" s="86">
        <v>0.43835616438356162</v>
      </c>
      <c r="Q31" s="86">
        <v>0.34285714285714286</v>
      </c>
    </row>
    <row r="32" spans="1:17" x14ac:dyDescent="0.4">
      <c r="A32" s="88">
        <v>29</v>
      </c>
      <c r="B32" s="85">
        <v>205</v>
      </c>
      <c r="C32" s="85">
        <v>7.068965517241379</v>
      </c>
      <c r="D32" s="90">
        <v>1.7586206896551724</v>
      </c>
      <c r="E32" s="86">
        <v>0.41379310344827586</v>
      </c>
      <c r="F32" s="86">
        <v>0.38308457711442784</v>
      </c>
      <c r="G32" s="86">
        <v>0.13930348258706468</v>
      </c>
      <c r="H32" s="87">
        <v>9866.2337662337668</v>
      </c>
      <c r="I32" s="87">
        <v>-10417.857142857143</v>
      </c>
      <c r="J32" s="86">
        <v>0.13793103448275862</v>
      </c>
      <c r="K32" s="86">
        <v>0.20689655172413793</v>
      </c>
      <c r="P32" s="86">
        <v>0.41558441558441561</v>
      </c>
      <c r="Q32" s="86">
        <v>0.34246575342465752</v>
      </c>
    </row>
    <row r="33" spans="1:17" x14ac:dyDescent="0.4">
      <c r="A33" s="88">
        <v>30</v>
      </c>
      <c r="B33" s="85">
        <v>198.5</v>
      </c>
      <c r="C33" s="85">
        <v>6.6166666666666663</v>
      </c>
      <c r="D33" s="90">
        <v>1.7666666666666666</v>
      </c>
      <c r="E33" s="86">
        <v>0.4</v>
      </c>
      <c r="F33" s="86">
        <v>0.37745098039215685</v>
      </c>
      <c r="G33" s="86">
        <v>0.13725490196078433</v>
      </c>
      <c r="H33" s="87">
        <v>9866.2337662337668</v>
      </c>
      <c r="I33" s="87">
        <v>-10417.857142857143</v>
      </c>
      <c r="J33" s="86">
        <v>0.13333333333333333</v>
      </c>
      <c r="K33" s="86">
        <v>0.2</v>
      </c>
      <c r="P33" s="86">
        <v>0.41558441558441561</v>
      </c>
      <c r="Q33" s="86">
        <v>0.34246575342465752</v>
      </c>
    </row>
    <row r="34" spans="1:17" x14ac:dyDescent="0.4">
      <c r="A34" s="88">
        <v>31</v>
      </c>
      <c r="B34" s="85">
        <v>186.9</v>
      </c>
      <c r="C34" s="85">
        <v>6.0290322580645164</v>
      </c>
      <c r="D34" s="90">
        <v>1.8064516129032258</v>
      </c>
      <c r="E34" s="86">
        <v>0.38709677419354838</v>
      </c>
      <c r="F34" s="86">
        <v>0.3644859813084112</v>
      </c>
      <c r="G34" s="86">
        <v>0.14018691588785046</v>
      </c>
      <c r="H34" s="87">
        <v>9766.6666666666661</v>
      </c>
      <c r="I34" s="87">
        <v>-9963.3333333333339</v>
      </c>
      <c r="J34" s="86">
        <v>0.12903225806451613</v>
      </c>
      <c r="K34" s="86">
        <v>0.19354838709677419</v>
      </c>
      <c r="P34" s="86">
        <v>0.42307692307692307</v>
      </c>
      <c r="Q34" s="86">
        <v>0.33333333333333331</v>
      </c>
    </row>
    <row r="35" spans="1:17" x14ac:dyDescent="0.4">
      <c r="A35" s="88">
        <v>32</v>
      </c>
      <c r="B35" s="85">
        <v>204.4</v>
      </c>
      <c r="C35" s="85">
        <v>6.3875000000000002</v>
      </c>
      <c r="D35" s="90">
        <v>1.8125</v>
      </c>
      <c r="E35" s="86">
        <v>0.375</v>
      </c>
      <c r="F35" s="86">
        <v>0.36486486486486486</v>
      </c>
      <c r="G35" s="86">
        <v>0.14864864864864866</v>
      </c>
      <c r="H35" s="87">
        <v>9870.3703703703704</v>
      </c>
      <c r="I35" s="87">
        <v>-9639.3939393939399</v>
      </c>
      <c r="J35" s="86">
        <v>0.125</v>
      </c>
      <c r="K35" s="86">
        <v>0.1875</v>
      </c>
      <c r="P35" s="86">
        <v>0.41975308641975306</v>
      </c>
      <c r="Q35" s="86">
        <v>0.34177215189873417</v>
      </c>
    </row>
    <row r="36" spans="1:17" x14ac:dyDescent="0.4">
      <c r="A36" s="88">
        <v>33</v>
      </c>
      <c r="B36" s="85">
        <v>245.4</v>
      </c>
      <c r="C36" s="85">
        <v>7.4363636363636365</v>
      </c>
      <c r="D36" s="90">
        <v>1.7878787878787878</v>
      </c>
      <c r="E36" s="86">
        <v>0.39393939393939392</v>
      </c>
      <c r="F36" s="86">
        <v>0.36956521739130432</v>
      </c>
      <c r="G36" s="86">
        <v>0.14347826086956522</v>
      </c>
      <c r="H36" s="87">
        <v>9888.2352941176468</v>
      </c>
      <c r="I36" s="87">
        <v>-9639.3939393939399</v>
      </c>
      <c r="J36" s="86">
        <v>0.12121212121212122</v>
      </c>
      <c r="K36" s="86">
        <v>0.21212121212121213</v>
      </c>
      <c r="P36" s="86">
        <v>0.43529411764705883</v>
      </c>
      <c r="Q36" s="86">
        <v>0.35365853658536583</v>
      </c>
    </row>
    <row r="37" spans="1:17" x14ac:dyDescent="0.4">
      <c r="A37" s="88">
        <v>34</v>
      </c>
      <c r="B37" s="85">
        <v>234.9</v>
      </c>
      <c r="C37" s="85">
        <v>6.908823529411765</v>
      </c>
      <c r="D37" s="90">
        <v>1.7941176470588236</v>
      </c>
      <c r="E37" s="86">
        <v>0.38235294117647056</v>
      </c>
      <c r="F37" s="86">
        <v>0.36554621848739494</v>
      </c>
      <c r="G37" s="86">
        <v>0.13865546218487396</v>
      </c>
      <c r="H37" s="87">
        <v>9844.8275862068967</v>
      </c>
      <c r="I37" s="87">
        <v>-9639.3939393939399</v>
      </c>
      <c r="J37" s="86">
        <v>0.11764705882352941</v>
      </c>
      <c r="K37" s="86">
        <v>0.20588235294117646</v>
      </c>
      <c r="P37" s="86">
        <v>0.43678160919540232</v>
      </c>
      <c r="Q37" s="86">
        <v>0.3411764705882353</v>
      </c>
    </row>
    <row r="38" spans="1:17" x14ac:dyDescent="0.4">
      <c r="A38" s="88">
        <v>35</v>
      </c>
      <c r="B38" s="85">
        <v>188.9</v>
      </c>
      <c r="C38" s="85">
        <v>5.3971428571428577</v>
      </c>
      <c r="D38" s="90">
        <v>1.8285714285714285</v>
      </c>
      <c r="E38" s="86">
        <v>0.37142857142857144</v>
      </c>
      <c r="F38" s="86">
        <v>0.35510204081632651</v>
      </c>
      <c r="G38" s="86">
        <v>0.13877551020408163</v>
      </c>
      <c r="H38" s="87">
        <v>9844.8275862068967</v>
      </c>
      <c r="I38" s="87">
        <v>-10061.764705882353</v>
      </c>
      <c r="J38" s="86">
        <v>0.14285714285714285</v>
      </c>
      <c r="K38" s="86">
        <v>0.2</v>
      </c>
      <c r="L38" s="86">
        <v>0.14285714285714285</v>
      </c>
      <c r="M38" s="86">
        <v>0.42857142857142855</v>
      </c>
      <c r="N38" s="86">
        <v>0</v>
      </c>
      <c r="O38" s="86">
        <v>0</v>
      </c>
      <c r="P38" s="86">
        <v>0.43678160919540232</v>
      </c>
      <c r="Q38" s="86">
        <v>0.33333333333333331</v>
      </c>
    </row>
    <row r="39" spans="1:17" x14ac:dyDescent="0.4">
      <c r="A39" s="88">
        <v>36</v>
      </c>
      <c r="B39" s="85">
        <v>236</v>
      </c>
      <c r="C39" s="85">
        <v>6.5555555555555554</v>
      </c>
      <c r="D39" s="90">
        <v>1.8055555555555556</v>
      </c>
      <c r="E39" s="86">
        <v>0.3888888888888889</v>
      </c>
      <c r="F39" s="86">
        <v>0.36254980079681276</v>
      </c>
      <c r="G39" s="86">
        <v>0.1394422310756972</v>
      </c>
      <c r="H39" s="87">
        <v>9908.7912087912082</v>
      </c>
      <c r="I39" s="87">
        <v>-9820</v>
      </c>
      <c r="J39" s="86">
        <v>0.1388888888888889</v>
      </c>
      <c r="K39" s="86">
        <v>0.22222222222222221</v>
      </c>
      <c r="L39" s="86">
        <v>0.30769230769230771</v>
      </c>
      <c r="M39" s="86">
        <v>0.38461538461538464</v>
      </c>
      <c r="N39" s="86">
        <v>0.5</v>
      </c>
      <c r="O39" s="86">
        <v>0.2</v>
      </c>
      <c r="P39" s="86">
        <v>0.43956043956043955</v>
      </c>
      <c r="Q39" s="86">
        <v>0.35164835164835168</v>
      </c>
    </row>
    <row r="40" spans="1:17" x14ac:dyDescent="0.4">
      <c r="A40" s="88">
        <v>37</v>
      </c>
      <c r="B40" s="85">
        <v>250.8</v>
      </c>
      <c r="C40" s="85">
        <v>6.7783783783783784</v>
      </c>
      <c r="D40" s="90">
        <v>1.8108108108108107</v>
      </c>
      <c r="E40" s="86">
        <v>0.3783783783783784</v>
      </c>
      <c r="F40" s="86">
        <v>0.36679536679536678</v>
      </c>
      <c r="G40" s="86">
        <v>0.138996138996139</v>
      </c>
      <c r="H40" s="87">
        <v>9667.3684210526317</v>
      </c>
      <c r="I40" s="87">
        <v>-9613.8888888888887</v>
      </c>
      <c r="J40" s="86">
        <v>0.13513513513513514</v>
      </c>
      <c r="K40" s="86">
        <v>0.21621621621621623</v>
      </c>
      <c r="L40" s="86">
        <v>0.23809523809523808</v>
      </c>
      <c r="M40" s="86">
        <v>0.38095238095238093</v>
      </c>
      <c r="N40" s="86">
        <v>0.4</v>
      </c>
      <c r="O40" s="86">
        <v>0.375</v>
      </c>
      <c r="P40" s="86">
        <v>0.45263157894736844</v>
      </c>
      <c r="Q40" s="86">
        <v>0.35789473684210527</v>
      </c>
    </row>
    <row r="41" spans="1:17" x14ac:dyDescent="0.4">
      <c r="A41" s="88">
        <v>38</v>
      </c>
      <c r="B41" s="85">
        <v>232.60000000000002</v>
      </c>
      <c r="C41" s="85">
        <v>6.121052631578948</v>
      </c>
      <c r="D41" s="90">
        <v>1.8421052631578947</v>
      </c>
      <c r="E41" s="86">
        <v>0.36842105263157893</v>
      </c>
      <c r="F41" s="86">
        <v>0.3595505617977528</v>
      </c>
      <c r="G41" s="86">
        <v>0.1348314606741573</v>
      </c>
      <c r="H41" s="87">
        <v>9691.6666666666661</v>
      </c>
      <c r="I41" s="87">
        <v>-9613.8888888888887</v>
      </c>
      <c r="J41" s="86">
        <v>0.13157894736842105</v>
      </c>
      <c r="K41" s="86">
        <v>0.21052631578947367</v>
      </c>
      <c r="L41" s="86">
        <v>0.20689655172413793</v>
      </c>
      <c r="M41" s="86">
        <v>0.37931034482758619</v>
      </c>
      <c r="N41" s="86">
        <v>0.33333333333333331</v>
      </c>
      <c r="O41" s="86">
        <v>0.36363636363636365</v>
      </c>
      <c r="P41" s="86">
        <v>0.45833333333333331</v>
      </c>
      <c r="Q41" s="86">
        <v>0.35051546391752575</v>
      </c>
    </row>
    <row r="42" spans="1:17" x14ac:dyDescent="0.4">
      <c r="A42" s="88">
        <v>39</v>
      </c>
      <c r="B42" s="85">
        <v>233.00000000000003</v>
      </c>
      <c r="C42" s="85">
        <v>5.9743589743589753</v>
      </c>
      <c r="D42" s="90">
        <v>1.8461538461538463</v>
      </c>
      <c r="E42" s="86">
        <v>0.35897435897435898</v>
      </c>
      <c r="F42" s="86">
        <v>0.35793357933579334</v>
      </c>
      <c r="G42" s="86">
        <v>0.13284132841328414</v>
      </c>
      <c r="H42" s="87">
        <v>9631.9587628865975</v>
      </c>
      <c r="I42" s="87">
        <v>-9613.8888888888887</v>
      </c>
      <c r="J42" s="86">
        <v>0.12820512820512819</v>
      </c>
      <c r="K42" s="86">
        <v>0.20512820512820512</v>
      </c>
      <c r="L42" s="86">
        <v>0.21212121212121213</v>
      </c>
      <c r="M42" s="86">
        <v>0.33333333333333331</v>
      </c>
      <c r="N42" s="86">
        <v>0.42857142857142855</v>
      </c>
      <c r="O42" s="86">
        <v>0.36363636363636365</v>
      </c>
      <c r="P42" s="86">
        <v>0.45360824742268041</v>
      </c>
      <c r="Q42" s="86">
        <v>0.34693877551020408</v>
      </c>
    </row>
    <row r="43" spans="1:17" x14ac:dyDescent="0.4">
      <c r="A43" s="88">
        <v>40</v>
      </c>
      <c r="B43" s="85">
        <v>236.10000000000002</v>
      </c>
      <c r="C43" s="85">
        <v>5.9025000000000007</v>
      </c>
      <c r="D43" s="90">
        <v>1.85</v>
      </c>
      <c r="E43" s="86">
        <v>0.35</v>
      </c>
      <c r="F43" s="86">
        <v>0.352112676056338</v>
      </c>
      <c r="G43" s="86">
        <v>0.14084507042253522</v>
      </c>
      <c r="H43" s="87">
        <v>9943</v>
      </c>
      <c r="I43" s="87">
        <v>-9747.5</v>
      </c>
      <c r="J43" s="86">
        <v>0.125</v>
      </c>
      <c r="K43" s="86">
        <v>0.2</v>
      </c>
      <c r="L43" s="86">
        <v>0.17391304347826086</v>
      </c>
      <c r="M43" s="86">
        <v>0.34782608695652173</v>
      </c>
      <c r="N43" s="86">
        <v>0.5</v>
      </c>
      <c r="O43" s="86">
        <v>0.375</v>
      </c>
      <c r="P43" s="86">
        <v>0.47</v>
      </c>
      <c r="Q43" s="86">
        <v>0.35294117647058826</v>
      </c>
    </row>
    <row r="44" spans="1:17" x14ac:dyDescent="0.4">
      <c r="A44" s="88">
        <v>41</v>
      </c>
      <c r="B44" s="85">
        <v>234.10000000000002</v>
      </c>
      <c r="C44" s="85">
        <v>5.7097560975609758</v>
      </c>
      <c r="D44" s="90">
        <v>1.8536585365853659</v>
      </c>
      <c r="E44" s="86">
        <v>0.34146341463414637</v>
      </c>
      <c r="F44" s="86">
        <v>0.34843205574912894</v>
      </c>
      <c r="G44" s="86">
        <v>0.14285714285714285</v>
      </c>
      <c r="H44" s="87">
        <v>9943</v>
      </c>
      <c r="I44" s="87">
        <v>-9558.5365853658532</v>
      </c>
      <c r="J44" s="86">
        <v>0.12195121951219512</v>
      </c>
      <c r="K44" s="86">
        <v>0.1951219512195122</v>
      </c>
      <c r="L44" s="86">
        <v>0.16326530612244897</v>
      </c>
      <c r="M44" s="86">
        <v>0.34693877551020408</v>
      </c>
      <c r="N44" s="86">
        <v>0.5</v>
      </c>
      <c r="O44" s="86">
        <v>0.35294117647058826</v>
      </c>
      <c r="P44" s="86">
        <v>0.47</v>
      </c>
      <c r="Q44" s="86">
        <v>0.34951456310679613</v>
      </c>
    </row>
    <row r="45" spans="1:17" x14ac:dyDescent="0.4">
      <c r="A45" s="88">
        <v>42</v>
      </c>
      <c r="B45" s="85">
        <v>255.3</v>
      </c>
      <c r="C45" s="85">
        <v>6.0785714285714292</v>
      </c>
      <c r="D45" s="90">
        <v>1.8333333333333333</v>
      </c>
      <c r="E45" s="86">
        <v>0.35714285714285715</v>
      </c>
      <c r="F45" s="86">
        <v>0.35</v>
      </c>
      <c r="G45" s="86">
        <v>0.14333333333333334</v>
      </c>
      <c r="H45" s="87">
        <v>9973.3333333333339</v>
      </c>
      <c r="I45" s="87">
        <v>-9420.9302325581393</v>
      </c>
      <c r="J45" s="86">
        <v>0.11904761904761904</v>
      </c>
      <c r="K45" s="86">
        <v>0.19047619047619047</v>
      </c>
      <c r="L45" s="86">
        <v>0.20967741935483872</v>
      </c>
      <c r="M45" s="86">
        <v>0.32258064516129031</v>
      </c>
      <c r="N45" s="86">
        <v>0.53846153846153844</v>
      </c>
      <c r="O45" s="86">
        <v>0.35</v>
      </c>
      <c r="P45" s="86">
        <v>0.47619047619047616</v>
      </c>
      <c r="Q45" s="86">
        <v>0.3577981651376147</v>
      </c>
    </row>
    <row r="46" spans="1:17" x14ac:dyDescent="0.4">
      <c r="A46" s="88">
        <v>43</v>
      </c>
      <c r="B46" s="85">
        <v>288.10000000000002</v>
      </c>
      <c r="C46" s="85">
        <v>6.7</v>
      </c>
      <c r="D46" s="90">
        <v>1.8139534883720929</v>
      </c>
      <c r="E46" s="86">
        <v>0.37209302325581395</v>
      </c>
      <c r="F46" s="86">
        <v>0.35526315789473684</v>
      </c>
      <c r="G46" s="86">
        <v>0.14144736842105263</v>
      </c>
      <c r="H46" s="87">
        <v>9990.7407407407409</v>
      </c>
      <c r="I46" s="87">
        <v>-9420.9302325581393</v>
      </c>
      <c r="J46" s="86">
        <v>0.11627906976744186</v>
      </c>
      <c r="K46" s="86">
        <v>0.20930232558139536</v>
      </c>
      <c r="L46" s="86">
        <v>0.21212121212121213</v>
      </c>
      <c r="M46" s="86">
        <v>0.34848484848484851</v>
      </c>
      <c r="N46" s="86">
        <v>0.5714285714285714</v>
      </c>
      <c r="O46" s="86">
        <v>0.39130434782608697</v>
      </c>
      <c r="P46" s="86">
        <v>0.46296296296296297</v>
      </c>
      <c r="Q46" s="86">
        <v>0.36936936936936937</v>
      </c>
    </row>
    <row r="47" spans="1:17" x14ac:dyDescent="0.4">
      <c r="A47" s="88">
        <v>44</v>
      </c>
      <c r="B47" s="85">
        <v>279.3</v>
      </c>
      <c r="C47" s="85">
        <v>6.3477272727272727</v>
      </c>
      <c r="D47" s="90">
        <v>1.8409090909090908</v>
      </c>
      <c r="E47" s="86">
        <v>0.36363636363636365</v>
      </c>
      <c r="F47" s="86">
        <v>0.3536977491961415</v>
      </c>
      <c r="G47" s="86">
        <v>0.14790996784565916</v>
      </c>
      <c r="H47" s="87">
        <v>9917.2727272727279</v>
      </c>
      <c r="I47" s="87">
        <v>-9213.04347826087</v>
      </c>
      <c r="J47" s="86">
        <v>0.11363636363636363</v>
      </c>
      <c r="K47" s="86">
        <v>0.20454545454545456</v>
      </c>
      <c r="L47" s="86">
        <v>0.20547945205479451</v>
      </c>
      <c r="M47" s="86">
        <v>0.35616438356164382</v>
      </c>
      <c r="N47" s="86">
        <v>0.53333333333333333</v>
      </c>
      <c r="O47" s="86">
        <v>0.38461538461538464</v>
      </c>
      <c r="P47" s="86">
        <v>0.45454545454545453</v>
      </c>
      <c r="Q47" s="86">
        <v>0.36283185840707965</v>
      </c>
    </row>
    <row r="48" spans="1:17" x14ac:dyDescent="0.4">
      <c r="A48" s="88">
        <v>45</v>
      </c>
      <c r="B48" s="85">
        <v>248.10000000000002</v>
      </c>
      <c r="C48" s="85">
        <v>5.5133333333333336</v>
      </c>
      <c r="D48" s="90">
        <v>1.8666666666666667</v>
      </c>
      <c r="E48" s="86">
        <v>0.35555555555555557</v>
      </c>
      <c r="F48" s="86">
        <v>0.35015772870662459</v>
      </c>
      <c r="G48" s="86">
        <v>0.15457413249211358</v>
      </c>
      <c r="H48" s="87">
        <v>9851.3513513513517</v>
      </c>
      <c r="I48" s="87">
        <v>-9134.6938775510207</v>
      </c>
      <c r="J48" s="86">
        <v>0.1111111111111111</v>
      </c>
      <c r="K48" s="86">
        <v>0.2</v>
      </c>
      <c r="L48" s="86">
        <v>0.20253164556962025</v>
      </c>
      <c r="M48" s="86">
        <v>0.35443037974683544</v>
      </c>
      <c r="N48" s="86">
        <v>0.5625</v>
      </c>
      <c r="O48" s="86">
        <v>0.35714285714285715</v>
      </c>
      <c r="P48" s="86">
        <v>0.45045045045045046</v>
      </c>
      <c r="Q48" s="86">
        <v>0.35652173913043478</v>
      </c>
    </row>
    <row r="49" spans="1:17" x14ac:dyDescent="0.4">
      <c r="A49" s="88">
        <v>46</v>
      </c>
      <c r="B49" s="85">
        <v>212.60000000000002</v>
      </c>
      <c r="C49" s="85">
        <v>4.6217391304347828</v>
      </c>
      <c r="D49" s="90">
        <v>1.8913043478260869</v>
      </c>
      <c r="E49" s="86">
        <v>0.34782608695652173</v>
      </c>
      <c r="F49" s="86">
        <v>0.34153846153846151</v>
      </c>
      <c r="G49" s="86">
        <v>0.16</v>
      </c>
      <c r="H49" s="87">
        <v>9851.3513513513517</v>
      </c>
      <c r="I49" s="87">
        <v>-8665.3846153846152</v>
      </c>
      <c r="J49" s="86">
        <v>0.13043478260869565</v>
      </c>
      <c r="K49" s="86">
        <v>0.19565217391304349</v>
      </c>
      <c r="L49" s="86">
        <v>0.18390804597701149</v>
      </c>
      <c r="M49" s="86">
        <v>0.34482758620689657</v>
      </c>
      <c r="N49" s="86">
        <v>0.5625</v>
      </c>
      <c r="O49" s="86">
        <v>0.33333333333333331</v>
      </c>
      <c r="P49" s="86">
        <v>0.45045045045045046</v>
      </c>
      <c r="Q49" s="86">
        <v>0.3504273504273504</v>
      </c>
    </row>
    <row r="50" spans="1:17" x14ac:dyDescent="0.4">
      <c r="A50" s="88">
        <v>47</v>
      </c>
      <c r="B50" s="85">
        <v>191.90000000000003</v>
      </c>
      <c r="C50" s="85">
        <v>4.0829787234042563</v>
      </c>
      <c r="D50" s="90">
        <v>1.9148936170212767</v>
      </c>
      <c r="E50" s="86">
        <v>0.34042553191489361</v>
      </c>
      <c r="F50" s="86">
        <v>0.34234234234234234</v>
      </c>
      <c r="G50" s="86">
        <v>0.15615615615615616</v>
      </c>
      <c r="H50" s="87">
        <v>9757.0175438596489</v>
      </c>
      <c r="I50" s="87">
        <v>-8665.3846153846152</v>
      </c>
      <c r="J50" s="86">
        <v>0.1276595744680851</v>
      </c>
      <c r="K50" s="86">
        <v>0.19148936170212766</v>
      </c>
      <c r="L50" s="86">
        <v>0.17894736842105263</v>
      </c>
      <c r="M50" s="86">
        <v>0.33684210526315789</v>
      </c>
      <c r="N50" s="86">
        <v>0.58823529411764708</v>
      </c>
      <c r="O50" s="86">
        <v>0.375</v>
      </c>
      <c r="P50" s="86">
        <v>0.43859649122807015</v>
      </c>
      <c r="Q50" s="86">
        <v>0.35</v>
      </c>
    </row>
    <row r="51" spans="1:17" x14ac:dyDescent="0.4">
      <c r="A51" s="88">
        <v>48</v>
      </c>
      <c r="B51" s="85">
        <v>213.70000000000005</v>
      </c>
      <c r="C51" s="85">
        <v>4.4520833333333343</v>
      </c>
      <c r="D51" s="90">
        <v>1.8958333333333333</v>
      </c>
      <c r="E51" s="86">
        <v>0.35416666666666669</v>
      </c>
      <c r="F51" s="86">
        <v>0.35276967930029157</v>
      </c>
      <c r="G51" s="86">
        <v>0.15451895043731778</v>
      </c>
      <c r="H51" s="87">
        <v>9616.5289256198339</v>
      </c>
      <c r="I51" s="87">
        <v>-8954.7169811320746</v>
      </c>
      <c r="J51" s="86">
        <v>0.125</v>
      </c>
      <c r="K51" s="86">
        <v>0.1875</v>
      </c>
      <c r="L51" s="86">
        <v>0.20952380952380953</v>
      </c>
      <c r="M51" s="86">
        <v>0.32380952380952382</v>
      </c>
      <c r="N51" s="86">
        <v>0.68181818181818177</v>
      </c>
      <c r="O51" s="86">
        <v>0.38235294117647056</v>
      </c>
      <c r="P51" s="86">
        <v>0.42148760330578511</v>
      </c>
      <c r="Q51" s="86">
        <v>0.36</v>
      </c>
    </row>
    <row r="52" spans="1:17" x14ac:dyDescent="0.4">
      <c r="A52" s="88">
        <v>49</v>
      </c>
      <c r="B52" s="85">
        <v>210.90000000000003</v>
      </c>
      <c r="C52" s="85">
        <v>4.3040816326530615</v>
      </c>
      <c r="D52" s="90">
        <v>1.8979591836734695</v>
      </c>
      <c r="E52" s="86">
        <v>0.34693877551020408</v>
      </c>
      <c r="F52" s="86">
        <v>0.35142857142857142</v>
      </c>
      <c r="G52" s="86">
        <v>0.16</v>
      </c>
      <c r="H52" s="87">
        <v>9687.8048780487807</v>
      </c>
      <c r="I52" s="87">
        <v>-9007.1428571428569</v>
      </c>
      <c r="J52" s="86">
        <v>0.12244897959183673</v>
      </c>
      <c r="K52" s="86">
        <v>0.18367346938775511</v>
      </c>
      <c r="L52" s="86">
        <v>0.22321428571428573</v>
      </c>
      <c r="M52" s="86">
        <v>0.33035714285714285</v>
      </c>
      <c r="N52" s="86">
        <v>0.68</v>
      </c>
      <c r="O52" s="86">
        <v>0.35135135135135137</v>
      </c>
      <c r="P52" s="86">
        <v>0.43089430894308944</v>
      </c>
      <c r="Q52" s="86">
        <v>0.359375</v>
      </c>
    </row>
    <row r="53" spans="1:17" x14ac:dyDescent="0.4">
      <c r="A53" s="88">
        <v>50</v>
      </c>
      <c r="B53" s="85">
        <v>210.90000000000003</v>
      </c>
      <c r="C53" s="85">
        <v>4.2180000000000009</v>
      </c>
      <c r="D53" s="90">
        <v>1.9</v>
      </c>
      <c r="E53" s="86">
        <v>0.34</v>
      </c>
      <c r="F53" s="86">
        <v>0.3504273504273504</v>
      </c>
      <c r="G53" s="86">
        <v>0.15954415954415954</v>
      </c>
      <c r="H53" s="87">
        <v>9687.8048780487807</v>
      </c>
      <c r="I53" s="87">
        <v>-9007.1428571428569</v>
      </c>
      <c r="J53" s="86">
        <v>0.12</v>
      </c>
      <c r="K53" s="86">
        <v>0.18</v>
      </c>
      <c r="L53" s="86">
        <v>0.22123893805309736</v>
      </c>
      <c r="M53" s="86">
        <v>0.32743362831858408</v>
      </c>
      <c r="N53" s="86">
        <v>0.68</v>
      </c>
      <c r="O53" s="86">
        <v>0.35135135135135137</v>
      </c>
      <c r="P53" s="86">
        <v>0.43089430894308944</v>
      </c>
      <c r="Q53" s="86">
        <v>0.359375</v>
      </c>
    </row>
    <row r="54" spans="1:17" x14ac:dyDescent="0.4">
      <c r="A54" s="88">
        <v>51</v>
      </c>
      <c r="B54" s="85">
        <v>289.60000000000002</v>
      </c>
      <c r="C54" s="85">
        <v>5.6784313725490199</v>
      </c>
      <c r="D54" s="90">
        <v>1.8823529411764706</v>
      </c>
      <c r="E54" s="86">
        <v>0.35294117647058826</v>
      </c>
      <c r="F54" s="86">
        <v>0.35833333333333334</v>
      </c>
      <c r="G54" s="86">
        <v>0.15833333333333333</v>
      </c>
      <c r="H54" s="87">
        <v>9901.5503875968989</v>
      </c>
      <c r="I54" s="87">
        <v>-8884.21052631579</v>
      </c>
      <c r="J54" s="86">
        <v>0.11764705882352941</v>
      </c>
      <c r="K54" s="86">
        <v>0.19607843137254902</v>
      </c>
      <c r="L54" s="86">
        <v>0.22131147540983606</v>
      </c>
      <c r="M54" s="86">
        <v>0.31147540983606559</v>
      </c>
      <c r="N54" s="86">
        <v>0.66666666666666663</v>
      </c>
      <c r="O54" s="86">
        <v>0.36842105263157893</v>
      </c>
      <c r="P54" s="86">
        <v>0.4573643410852713</v>
      </c>
      <c r="Q54" s="86">
        <v>0.37593984962406013</v>
      </c>
    </row>
    <row r="55" spans="1:17" x14ac:dyDescent="0.4">
      <c r="A55" s="88">
        <v>52</v>
      </c>
      <c r="B55" s="85">
        <v>316.10000000000002</v>
      </c>
      <c r="C55" s="85">
        <v>6.078846153846154</v>
      </c>
      <c r="D55" s="90">
        <v>1.8653846153846154</v>
      </c>
      <c r="E55" s="86">
        <v>0.36538461538461536</v>
      </c>
      <c r="F55" s="86">
        <v>0.36043360433604338</v>
      </c>
      <c r="G55" s="86">
        <v>0.15989159891598917</v>
      </c>
      <c r="H55" s="87">
        <v>10024.812030075187</v>
      </c>
      <c r="I55" s="87">
        <v>-9023.7288135593226</v>
      </c>
      <c r="J55" s="86">
        <v>0.11538461538461539</v>
      </c>
      <c r="K55" s="86">
        <v>0.19230769230769232</v>
      </c>
      <c r="L55" s="86">
        <v>0.22900763358778625</v>
      </c>
      <c r="M55" s="86">
        <v>0.29770992366412213</v>
      </c>
      <c r="N55" s="86">
        <v>0.66666666666666663</v>
      </c>
      <c r="O55" s="86">
        <v>0.38461538461538464</v>
      </c>
      <c r="P55" s="86">
        <v>0.46616541353383456</v>
      </c>
      <c r="Q55" s="86">
        <v>0.375</v>
      </c>
    </row>
    <row r="56" spans="1:17" x14ac:dyDescent="0.4">
      <c r="A56" s="88">
        <v>53</v>
      </c>
      <c r="B56" s="85">
        <v>265.60000000000002</v>
      </c>
      <c r="C56" s="85">
        <v>5.0113207547169818</v>
      </c>
      <c r="D56" s="90">
        <v>1.8867924528301887</v>
      </c>
      <c r="E56" s="86">
        <v>0.35849056603773582</v>
      </c>
      <c r="F56" s="86">
        <v>0.35561497326203206</v>
      </c>
      <c r="G56" s="86">
        <v>0.16042780748663102</v>
      </c>
      <c r="H56" s="87">
        <v>10024.812030075187</v>
      </c>
      <c r="I56" s="87">
        <v>-9273.3333333333339</v>
      </c>
      <c r="J56" s="86">
        <v>0.13207547169811321</v>
      </c>
      <c r="K56" s="86">
        <v>0.18867924528301888</v>
      </c>
      <c r="L56" s="86">
        <v>0.22058823529411764</v>
      </c>
      <c r="M56" s="86">
        <v>0.3014705882352941</v>
      </c>
      <c r="N56" s="86">
        <v>0.66666666666666663</v>
      </c>
      <c r="O56" s="86">
        <v>0.36585365853658536</v>
      </c>
      <c r="P56" s="86">
        <v>0.46616541353383456</v>
      </c>
      <c r="Q56" s="86">
        <v>0.36956521739130432</v>
      </c>
    </row>
    <row r="57" spans="1:17" x14ac:dyDescent="0.4">
      <c r="A57" s="88">
        <v>54</v>
      </c>
      <c r="B57" s="85">
        <v>250.50000000000003</v>
      </c>
      <c r="C57" s="85">
        <v>4.6388888888888893</v>
      </c>
      <c r="D57" s="90">
        <v>1.8888888888888888</v>
      </c>
      <c r="E57" s="86">
        <v>0.35185185185185186</v>
      </c>
      <c r="F57" s="86">
        <v>0.35584415584415585</v>
      </c>
      <c r="G57" s="86">
        <v>0.15844155844155844</v>
      </c>
      <c r="H57" s="87">
        <v>9855.4744525547449</v>
      </c>
      <c r="I57" s="87">
        <v>-9145.9016393442616</v>
      </c>
      <c r="J57" s="86">
        <v>0.12962962962962962</v>
      </c>
      <c r="K57" s="86">
        <v>0.18518518518518517</v>
      </c>
      <c r="L57" s="86">
        <v>0.22448979591836735</v>
      </c>
      <c r="M57" s="86">
        <v>0.32653061224489793</v>
      </c>
      <c r="N57" s="86">
        <v>0.66666666666666663</v>
      </c>
      <c r="O57" s="86">
        <v>0.35416666666666669</v>
      </c>
      <c r="P57" s="86">
        <v>0.45985401459854014</v>
      </c>
      <c r="Q57" s="86">
        <v>0.37323943661971831</v>
      </c>
    </row>
    <row r="58" spans="1:17" x14ac:dyDescent="0.4">
      <c r="A58" s="88">
        <v>55</v>
      </c>
      <c r="B58" s="85">
        <v>266.40000000000003</v>
      </c>
      <c r="C58" s="85">
        <v>4.8436363636363646</v>
      </c>
      <c r="D58" s="90">
        <v>1.8909090909090909</v>
      </c>
      <c r="E58" s="86">
        <v>0.34545454545454546</v>
      </c>
      <c r="F58" s="86">
        <v>0.35969387755102039</v>
      </c>
      <c r="G58" s="86">
        <v>0.15561224489795919</v>
      </c>
      <c r="H58" s="87">
        <v>9708.510638297872</v>
      </c>
      <c r="I58" s="87">
        <v>-9145.9016393442616</v>
      </c>
      <c r="J58" s="86">
        <v>0.12727272727272726</v>
      </c>
      <c r="K58" s="86">
        <v>0.18181818181818182</v>
      </c>
      <c r="L58" s="86">
        <v>0.23376623376623376</v>
      </c>
      <c r="M58" s="86">
        <v>0.32467532467532467</v>
      </c>
      <c r="N58" s="86">
        <v>0.63888888888888884</v>
      </c>
      <c r="O58" s="86">
        <v>0.38</v>
      </c>
      <c r="P58" s="86">
        <v>0.46099290780141844</v>
      </c>
      <c r="Q58" s="86">
        <v>0.3724137931034483</v>
      </c>
    </row>
    <row r="59" spans="1:17" x14ac:dyDescent="0.4">
      <c r="A59" s="88">
        <v>56</v>
      </c>
      <c r="B59" s="85">
        <v>270.8</v>
      </c>
      <c r="C59" s="85">
        <v>4.8357142857142863</v>
      </c>
      <c r="D59" s="90">
        <v>1.875</v>
      </c>
      <c r="E59" s="86">
        <v>0.35714285714285715</v>
      </c>
      <c r="F59" s="86">
        <v>0.35572139303482586</v>
      </c>
      <c r="G59" s="86">
        <v>0.15920398009950248</v>
      </c>
      <c r="H59" s="87">
        <v>9810.4895104895113</v>
      </c>
      <c r="I59" s="87">
        <v>-9007.8125</v>
      </c>
      <c r="J59" s="86">
        <v>0.125</v>
      </c>
      <c r="K59" s="86">
        <v>0.17857142857142858</v>
      </c>
      <c r="L59" s="86">
        <v>0.23170731707317074</v>
      </c>
      <c r="M59" s="86">
        <v>0.31707317073170732</v>
      </c>
      <c r="N59" s="86">
        <v>0.63157894736842102</v>
      </c>
      <c r="O59" s="86">
        <v>0.38461538461538464</v>
      </c>
      <c r="P59" s="86">
        <v>0.46853146853146854</v>
      </c>
      <c r="Q59" s="86">
        <v>0.3716216216216216</v>
      </c>
    </row>
    <row r="60" spans="1:17" x14ac:dyDescent="0.4">
      <c r="A60" s="88">
        <v>57</v>
      </c>
      <c r="B60" s="85">
        <v>257.3</v>
      </c>
      <c r="C60" s="85">
        <v>4.5140350877192983</v>
      </c>
      <c r="D60" s="90">
        <v>1.8771929824561404</v>
      </c>
      <c r="E60" s="86">
        <v>0.35087719298245612</v>
      </c>
      <c r="F60" s="86">
        <v>0.35121951219512193</v>
      </c>
      <c r="G60" s="86">
        <v>0.15609756097560976</v>
      </c>
      <c r="H60" s="87">
        <v>9825.6944444444453</v>
      </c>
      <c r="I60" s="87">
        <v>-9007.8125</v>
      </c>
      <c r="J60" s="86">
        <v>0.12280701754385964</v>
      </c>
      <c r="K60" s="86">
        <v>0.17543859649122806</v>
      </c>
      <c r="L60" s="86">
        <v>0.22674418604651161</v>
      </c>
      <c r="M60" s="86">
        <v>0.31976744186046513</v>
      </c>
      <c r="N60" s="86">
        <v>0.61538461538461542</v>
      </c>
      <c r="O60" s="86">
        <v>0.38181818181818183</v>
      </c>
      <c r="P60" s="86">
        <v>0.46527777777777779</v>
      </c>
      <c r="Q60" s="86">
        <v>0.37086092715231789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413FD-6D5C-419C-B316-2E67AA9826F1}">
  <sheetPr codeName="Sheet14"/>
  <dimension ref="A1:Q114"/>
  <sheetViews>
    <sheetView workbookViewId="0"/>
  </sheetViews>
  <sheetFormatPr defaultColWidth="10.75" defaultRowHeight="18.75" x14ac:dyDescent="0.4"/>
  <cols>
    <col min="1" max="1" width="10.75" style="88"/>
    <col min="2" max="3" width="10.75" style="85"/>
    <col min="4" max="4" width="10.75" style="90"/>
    <col min="5" max="7" width="10.75" style="86"/>
    <col min="8" max="9" width="10.75" style="87"/>
    <col min="10" max="17" width="10.75" style="86"/>
    <col min="18" max="16384" width="10.75" style="89"/>
  </cols>
  <sheetData>
    <row r="1" spans="1:17" x14ac:dyDescent="0.4">
      <c r="A1" s="89" t="s">
        <v>134</v>
      </c>
      <c r="B1" s="89" t="s">
        <v>134</v>
      </c>
      <c r="C1" s="89" t="s">
        <v>134</v>
      </c>
      <c r="D1" s="90" t="s">
        <v>134</v>
      </c>
      <c r="E1" s="89" t="s">
        <v>134</v>
      </c>
      <c r="F1" s="89" t="s">
        <v>134</v>
      </c>
      <c r="G1" s="89" t="s">
        <v>134</v>
      </c>
      <c r="H1" s="89" t="s">
        <v>134</v>
      </c>
      <c r="I1" s="89" t="s">
        <v>134</v>
      </c>
      <c r="J1" s="89" t="s">
        <v>134</v>
      </c>
      <c r="K1" s="89" t="s">
        <v>134</v>
      </c>
      <c r="L1" s="89" t="s">
        <v>134</v>
      </c>
      <c r="M1" s="89" t="s">
        <v>134</v>
      </c>
      <c r="N1" s="89" t="s">
        <v>134</v>
      </c>
      <c r="O1" s="89" t="s">
        <v>134</v>
      </c>
      <c r="P1" s="89" t="s">
        <v>134</v>
      </c>
      <c r="Q1" s="89" t="s">
        <v>134</v>
      </c>
    </row>
    <row r="2" spans="1:17" x14ac:dyDescent="0.4">
      <c r="A2" s="89" t="s">
        <v>9</v>
      </c>
      <c r="B2" s="89" t="s">
        <v>6</v>
      </c>
      <c r="C2" s="89" t="s">
        <v>7</v>
      </c>
      <c r="D2" s="90" t="s">
        <v>16</v>
      </c>
      <c r="E2" s="89" t="s">
        <v>15</v>
      </c>
      <c r="F2" s="89" t="s">
        <v>167</v>
      </c>
      <c r="G2" s="89" t="s">
        <v>166</v>
      </c>
      <c r="H2" s="89" t="s">
        <v>5</v>
      </c>
      <c r="I2" s="89" t="s">
        <v>17</v>
      </c>
      <c r="J2" s="89" t="s">
        <v>18</v>
      </c>
      <c r="K2" s="89" t="s">
        <v>159</v>
      </c>
      <c r="L2" s="89" t="s">
        <v>129</v>
      </c>
      <c r="M2" s="89" t="s">
        <v>124</v>
      </c>
      <c r="N2" s="89" t="s">
        <v>132</v>
      </c>
      <c r="O2" s="89" t="s">
        <v>168</v>
      </c>
      <c r="P2" s="89" t="s">
        <v>164</v>
      </c>
      <c r="Q2" s="89" t="s">
        <v>149</v>
      </c>
    </row>
    <row r="3" spans="1:17" x14ac:dyDescent="0.4">
      <c r="A3" s="88">
        <v>0</v>
      </c>
      <c r="B3" s="85">
        <v>0</v>
      </c>
    </row>
    <row r="4" spans="1:17" x14ac:dyDescent="0.4">
      <c r="A4" s="88">
        <v>1</v>
      </c>
      <c r="B4" s="85">
        <v>40.9</v>
      </c>
      <c r="C4" s="85">
        <v>40.9</v>
      </c>
      <c r="D4" s="90">
        <v>1</v>
      </c>
      <c r="E4" s="86">
        <v>1</v>
      </c>
      <c r="F4" s="86">
        <v>1</v>
      </c>
      <c r="G4" s="86">
        <v>0</v>
      </c>
      <c r="H4" s="87">
        <v>6966.666666666667</v>
      </c>
      <c r="I4" s="87">
        <v>0</v>
      </c>
      <c r="J4" s="86">
        <v>0</v>
      </c>
      <c r="K4" s="86">
        <v>1</v>
      </c>
      <c r="P4" s="86">
        <v>0.33333333333333331</v>
      </c>
      <c r="Q4" s="86">
        <v>1</v>
      </c>
    </row>
    <row r="5" spans="1:17" x14ac:dyDescent="0.4">
      <c r="A5" s="88">
        <v>2</v>
      </c>
      <c r="B5" s="85">
        <v>-0.89999999999999858</v>
      </c>
      <c r="C5" s="85">
        <v>-0.44999999999999929</v>
      </c>
      <c r="D5" s="90">
        <v>2</v>
      </c>
      <c r="E5" s="86">
        <v>0.5</v>
      </c>
      <c r="F5" s="86">
        <v>0.375</v>
      </c>
      <c r="G5" s="86">
        <v>0.25</v>
      </c>
      <c r="H5" s="87">
        <v>6966.666666666667</v>
      </c>
      <c r="I5" s="87">
        <v>-16000</v>
      </c>
      <c r="J5" s="86">
        <v>0.5</v>
      </c>
      <c r="K5" s="86">
        <v>0.5</v>
      </c>
      <c r="P5" s="86">
        <v>0.33333333333333331</v>
      </c>
      <c r="Q5" s="86">
        <v>0.6</v>
      </c>
    </row>
    <row r="6" spans="1:17" x14ac:dyDescent="0.4">
      <c r="A6" s="88">
        <v>3</v>
      </c>
      <c r="B6" s="85">
        <v>-36.4</v>
      </c>
      <c r="C6" s="85">
        <v>-12.133333333333333</v>
      </c>
      <c r="D6" s="90">
        <v>2.3333333333333335</v>
      </c>
      <c r="E6" s="86">
        <v>0.33333333333333331</v>
      </c>
      <c r="F6" s="86">
        <v>0.2</v>
      </c>
      <c r="G6" s="86">
        <v>0.33333333333333331</v>
      </c>
      <c r="H6" s="87">
        <v>6966.666666666667</v>
      </c>
      <c r="I6" s="87">
        <v>-12000</v>
      </c>
      <c r="J6" s="86">
        <v>0.66666666666666663</v>
      </c>
      <c r="K6" s="86">
        <v>0.33333333333333331</v>
      </c>
      <c r="P6" s="86">
        <v>0.33333333333333331</v>
      </c>
      <c r="Q6" s="86">
        <v>0.42857142857142855</v>
      </c>
    </row>
    <row r="7" spans="1:17" x14ac:dyDescent="0.4">
      <c r="A7" s="88">
        <v>4</v>
      </c>
      <c r="B7" s="85">
        <v>3.6000000000000014</v>
      </c>
      <c r="C7" s="85">
        <v>0.90000000000000036</v>
      </c>
      <c r="D7" s="90">
        <v>2</v>
      </c>
      <c r="E7" s="86">
        <v>0.5</v>
      </c>
      <c r="F7" s="86">
        <v>0.23529411764705882</v>
      </c>
      <c r="G7" s="86">
        <v>0.35294117647058826</v>
      </c>
      <c r="H7" s="87">
        <v>17225</v>
      </c>
      <c r="I7" s="87">
        <v>-11333.333333333334</v>
      </c>
      <c r="J7" s="86">
        <v>0.5</v>
      </c>
      <c r="K7" s="86">
        <v>0.5</v>
      </c>
      <c r="P7" s="86">
        <v>0.25</v>
      </c>
      <c r="Q7" s="86">
        <v>0.5</v>
      </c>
    </row>
    <row r="8" spans="1:17" x14ac:dyDescent="0.4">
      <c r="A8" s="88">
        <v>5</v>
      </c>
      <c r="B8" s="85">
        <v>14.600000000000001</v>
      </c>
      <c r="C8" s="85">
        <v>2.9200000000000004</v>
      </c>
      <c r="D8" s="90">
        <v>1.8</v>
      </c>
      <c r="E8" s="86">
        <v>0.6</v>
      </c>
      <c r="F8" s="86">
        <v>0.25</v>
      </c>
      <c r="G8" s="86">
        <v>0.25</v>
      </c>
      <c r="H8" s="87">
        <v>14150</v>
      </c>
      <c r="I8" s="87">
        <v>-11333.333333333334</v>
      </c>
      <c r="J8" s="86">
        <v>0.4</v>
      </c>
      <c r="K8" s="86">
        <v>0.4</v>
      </c>
      <c r="P8" s="86">
        <v>0.16666666666666666</v>
      </c>
      <c r="Q8" s="86">
        <v>0.4</v>
      </c>
    </row>
    <row r="9" spans="1:17" x14ac:dyDescent="0.4">
      <c r="A9" s="88">
        <v>6</v>
      </c>
      <c r="B9" s="85">
        <v>47.6</v>
      </c>
      <c r="C9" s="85">
        <v>7.9333333333333336</v>
      </c>
      <c r="D9" s="90">
        <v>1.6666666666666667</v>
      </c>
      <c r="E9" s="86">
        <v>0.66666666666666663</v>
      </c>
      <c r="F9" s="86">
        <v>0.28125</v>
      </c>
      <c r="G9" s="86">
        <v>0.1875</v>
      </c>
      <c r="H9" s="87">
        <v>13877.777777777777</v>
      </c>
      <c r="I9" s="87">
        <v>-11333.333333333334</v>
      </c>
      <c r="J9" s="86">
        <v>0.33333333333333331</v>
      </c>
      <c r="K9" s="86">
        <v>0.5</v>
      </c>
      <c r="P9" s="86">
        <v>0.1111111111111111</v>
      </c>
      <c r="Q9" s="86">
        <v>0.33333333333333331</v>
      </c>
    </row>
    <row r="10" spans="1:17" x14ac:dyDescent="0.4">
      <c r="A10" s="88">
        <v>7</v>
      </c>
      <c r="B10" s="85">
        <v>100.1</v>
      </c>
      <c r="C10" s="85">
        <v>14.299999999999999</v>
      </c>
      <c r="D10" s="90">
        <v>1.5714285714285714</v>
      </c>
      <c r="E10" s="86">
        <v>0.7142857142857143</v>
      </c>
      <c r="F10" s="86">
        <v>0.32500000000000001</v>
      </c>
      <c r="G10" s="86">
        <v>0.15</v>
      </c>
      <c r="H10" s="87">
        <v>13146.153846153846</v>
      </c>
      <c r="I10" s="87">
        <v>-11333.333333333334</v>
      </c>
      <c r="J10" s="86">
        <v>0.2857142857142857</v>
      </c>
      <c r="K10" s="86">
        <v>0.5714285714285714</v>
      </c>
      <c r="P10" s="86">
        <v>0.15384615384615385</v>
      </c>
      <c r="Q10" s="86">
        <v>0.375</v>
      </c>
    </row>
    <row r="11" spans="1:17" x14ac:dyDescent="0.4">
      <c r="A11" s="88">
        <v>8</v>
      </c>
      <c r="B11" s="85">
        <v>60.199999999999996</v>
      </c>
      <c r="C11" s="85">
        <v>7.5249999999999995</v>
      </c>
      <c r="D11" s="90">
        <v>1.75</v>
      </c>
      <c r="E11" s="86">
        <v>0.625</v>
      </c>
      <c r="F11" s="86">
        <v>0.29411764705882354</v>
      </c>
      <c r="G11" s="86">
        <v>0.21568627450980393</v>
      </c>
      <c r="H11" s="87">
        <v>12726.666666666666</v>
      </c>
      <c r="I11" s="87">
        <v>-10536.363636363636</v>
      </c>
      <c r="J11" s="86">
        <v>0.375</v>
      </c>
      <c r="K11" s="86">
        <v>0.5</v>
      </c>
      <c r="P11" s="86">
        <v>0.13333333333333333</v>
      </c>
      <c r="Q11" s="86">
        <v>0.35</v>
      </c>
    </row>
    <row r="12" spans="1:17" x14ac:dyDescent="0.4">
      <c r="A12" s="88">
        <v>9</v>
      </c>
      <c r="B12" s="85">
        <v>24.4</v>
      </c>
      <c r="C12" s="85">
        <v>2.7111111111111108</v>
      </c>
      <c r="D12" s="90">
        <v>1.8888888888888888</v>
      </c>
      <c r="E12" s="86">
        <v>0.55555555555555558</v>
      </c>
      <c r="F12" s="86">
        <v>0.25423728813559321</v>
      </c>
      <c r="G12" s="86">
        <v>0.20338983050847459</v>
      </c>
      <c r="H12" s="87">
        <v>12726.666666666666</v>
      </c>
      <c r="I12" s="87">
        <v>-10325</v>
      </c>
      <c r="J12" s="86">
        <v>0.44444444444444442</v>
      </c>
      <c r="K12" s="86">
        <v>0.44444444444444442</v>
      </c>
      <c r="P12" s="86">
        <v>0.13333333333333333</v>
      </c>
      <c r="Q12" s="86">
        <v>0.33333333333333331</v>
      </c>
    </row>
    <row r="13" spans="1:17" x14ac:dyDescent="0.4">
      <c r="A13" s="88">
        <v>10</v>
      </c>
      <c r="B13" s="85">
        <v>-20.100000000000001</v>
      </c>
      <c r="C13" s="85">
        <v>-2.0100000000000002</v>
      </c>
      <c r="D13" s="90">
        <v>2</v>
      </c>
      <c r="E13" s="86">
        <v>0.5</v>
      </c>
      <c r="F13" s="86">
        <v>0.23809523809523808</v>
      </c>
      <c r="G13" s="86">
        <v>0.22222222222222221</v>
      </c>
      <c r="H13" s="87">
        <v>12726.666666666666</v>
      </c>
      <c r="I13" s="87">
        <v>-11135.714285714286</v>
      </c>
      <c r="J13" s="86">
        <v>0.5</v>
      </c>
      <c r="K13" s="86">
        <v>0.4</v>
      </c>
      <c r="P13" s="86">
        <v>0.13333333333333333</v>
      </c>
      <c r="Q13" s="86">
        <v>0.31818181818181818</v>
      </c>
    </row>
    <row r="14" spans="1:17" x14ac:dyDescent="0.4">
      <c r="A14" s="88">
        <v>11</v>
      </c>
      <c r="B14" s="85">
        <v>-3.6000000000000014</v>
      </c>
      <c r="C14" s="85">
        <v>-0.32727272727272738</v>
      </c>
      <c r="D14" s="90">
        <v>2</v>
      </c>
      <c r="E14" s="86">
        <v>0.45454545454545453</v>
      </c>
      <c r="F14" s="86">
        <v>0.2361111111111111</v>
      </c>
      <c r="G14" s="86">
        <v>0.20833333333333334</v>
      </c>
      <c r="H14" s="87">
        <v>14523.529411764706</v>
      </c>
      <c r="I14" s="87">
        <v>-11593.333333333334</v>
      </c>
      <c r="J14" s="86">
        <v>0.45454545454545453</v>
      </c>
      <c r="K14" s="86">
        <v>0.36363636363636365</v>
      </c>
      <c r="P14" s="86">
        <v>0.17647058823529413</v>
      </c>
      <c r="Q14" s="86">
        <v>0.28000000000000003</v>
      </c>
    </row>
    <row r="15" spans="1:17" x14ac:dyDescent="0.4">
      <c r="A15" s="88">
        <v>12</v>
      </c>
      <c r="B15" s="85">
        <v>-12.000000000000002</v>
      </c>
      <c r="C15" s="85">
        <v>-1.0000000000000002</v>
      </c>
      <c r="D15" s="90">
        <v>2</v>
      </c>
      <c r="E15" s="86">
        <v>0.41666666666666669</v>
      </c>
      <c r="F15" s="86">
        <v>0.22500000000000001</v>
      </c>
      <c r="G15" s="86">
        <v>0.21249999999999999</v>
      </c>
      <c r="H15" s="87">
        <v>14383.333333333334</v>
      </c>
      <c r="I15" s="87">
        <v>-11405.882352941177</v>
      </c>
      <c r="J15" s="86">
        <v>0.41666666666666669</v>
      </c>
      <c r="K15" s="86">
        <v>0.33333333333333331</v>
      </c>
      <c r="P15" s="86">
        <v>0.16666666666666666</v>
      </c>
      <c r="Q15" s="86">
        <v>0.25</v>
      </c>
    </row>
    <row r="16" spans="1:17" x14ac:dyDescent="0.4">
      <c r="A16" s="88">
        <v>13</v>
      </c>
      <c r="B16" s="85">
        <v>49.5</v>
      </c>
      <c r="C16" s="85">
        <v>3.8076923076923075</v>
      </c>
      <c r="D16" s="90">
        <v>1.9230769230769231</v>
      </c>
      <c r="E16" s="86">
        <v>0.46153846153846156</v>
      </c>
      <c r="F16" s="86">
        <v>0.23529411764705882</v>
      </c>
      <c r="G16" s="86">
        <v>0.2</v>
      </c>
      <c r="H16" s="87">
        <v>16145</v>
      </c>
      <c r="I16" s="87">
        <v>-11405.882352941177</v>
      </c>
      <c r="J16" s="86">
        <v>0.38461538461538464</v>
      </c>
      <c r="K16" s="86">
        <v>0.38461538461538464</v>
      </c>
      <c r="P16" s="86">
        <v>0.25</v>
      </c>
      <c r="Q16" s="86">
        <v>0.25806451612903225</v>
      </c>
    </row>
    <row r="17" spans="1:17" x14ac:dyDescent="0.4">
      <c r="A17" s="88">
        <v>14</v>
      </c>
      <c r="B17" s="85">
        <v>33</v>
      </c>
      <c r="C17" s="85">
        <v>2.3571428571428572</v>
      </c>
      <c r="D17" s="90">
        <v>1.9285714285714286</v>
      </c>
      <c r="E17" s="86">
        <v>0.42857142857142855</v>
      </c>
      <c r="F17" s="86">
        <v>0.24731182795698925</v>
      </c>
      <c r="G17" s="86">
        <v>0.20430107526881722</v>
      </c>
      <c r="H17" s="87">
        <v>15430.434782608696</v>
      </c>
      <c r="I17" s="87">
        <v>-11889.473684210527</v>
      </c>
      <c r="J17" s="86">
        <v>0.35714285714285715</v>
      </c>
      <c r="K17" s="86">
        <v>0.35714285714285715</v>
      </c>
      <c r="P17" s="86">
        <v>0.30434782608695654</v>
      </c>
      <c r="Q17" s="86">
        <v>0.29411764705882354</v>
      </c>
    </row>
    <row r="18" spans="1:17" x14ac:dyDescent="0.4">
      <c r="A18" s="88">
        <v>15</v>
      </c>
      <c r="B18" s="85">
        <v>38.5</v>
      </c>
      <c r="C18" s="85">
        <v>2.5666666666666669</v>
      </c>
      <c r="D18" s="90">
        <v>1.8666666666666667</v>
      </c>
      <c r="E18" s="86">
        <v>0.46666666666666667</v>
      </c>
      <c r="F18" s="86">
        <v>0.24509803921568626</v>
      </c>
      <c r="G18" s="86">
        <v>0.18627450980392157</v>
      </c>
      <c r="H18" s="87">
        <v>15316</v>
      </c>
      <c r="I18" s="87">
        <v>-11889.473684210527</v>
      </c>
      <c r="J18" s="86">
        <v>0.33333333333333331</v>
      </c>
      <c r="K18" s="86">
        <v>0.33333333333333331</v>
      </c>
      <c r="P18" s="86">
        <v>0.32</v>
      </c>
      <c r="Q18" s="86">
        <v>0.30555555555555558</v>
      </c>
    </row>
    <row r="19" spans="1:17" x14ac:dyDescent="0.4">
      <c r="A19" s="88">
        <v>16</v>
      </c>
      <c r="B19" s="85">
        <v>14.600000000000001</v>
      </c>
      <c r="C19" s="85">
        <v>0.91250000000000009</v>
      </c>
      <c r="D19" s="90">
        <v>1.9375</v>
      </c>
      <c r="E19" s="86">
        <v>0.4375</v>
      </c>
      <c r="F19" s="86">
        <v>0.23008849557522124</v>
      </c>
      <c r="G19" s="86">
        <v>0.18584070796460178</v>
      </c>
      <c r="H19" s="87">
        <v>15034.615384615385</v>
      </c>
      <c r="I19" s="87">
        <v>-11704.761904761905</v>
      </c>
      <c r="J19" s="86">
        <v>0.3125</v>
      </c>
      <c r="K19" s="86">
        <v>0.3125</v>
      </c>
      <c r="P19" s="86">
        <v>0.34615384615384615</v>
      </c>
      <c r="Q19" s="86">
        <v>0.28947368421052633</v>
      </c>
    </row>
    <row r="20" spans="1:17" x14ac:dyDescent="0.4">
      <c r="A20" s="88">
        <v>17</v>
      </c>
      <c r="B20" s="85">
        <v>13.900000000000002</v>
      </c>
      <c r="C20" s="85">
        <v>0.8176470588235295</v>
      </c>
      <c r="D20" s="90">
        <v>1.9411764705882353</v>
      </c>
      <c r="E20" s="86">
        <v>0.41176470588235292</v>
      </c>
      <c r="F20" s="86">
        <v>0.23966942148760331</v>
      </c>
      <c r="G20" s="86">
        <v>0.20661157024793389</v>
      </c>
      <c r="H20" s="87">
        <v>14686.206896551725</v>
      </c>
      <c r="I20" s="87">
        <v>-10780</v>
      </c>
      <c r="J20" s="86">
        <v>0.29411764705882354</v>
      </c>
      <c r="K20" s="86">
        <v>0.29411764705882354</v>
      </c>
      <c r="P20" s="86">
        <v>0.37931034482758619</v>
      </c>
      <c r="Q20" s="86">
        <v>0.29268292682926828</v>
      </c>
    </row>
    <row r="21" spans="1:17" x14ac:dyDescent="0.4">
      <c r="A21" s="88">
        <v>18</v>
      </c>
      <c r="B21" s="85">
        <v>-21.999999999999996</v>
      </c>
      <c r="C21" s="85">
        <v>-1.2222222222222221</v>
      </c>
      <c r="D21" s="90">
        <v>2</v>
      </c>
      <c r="E21" s="86">
        <v>0.3888888888888889</v>
      </c>
      <c r="F21" s="86">
        <v>0.23015873015873015</v>
      </c>
      <c r="G21" s="86">
        <v>0.23015873015873015</v>
      </c>
      <c r="H21" s="87">
        <v>14686.206896551725</v>
      </c>
      <c r="I21" s="87">
        <v>-10427.586206896553</v>
      </c>
      <c r="J21" s="86">
        <v>0.33333333333333331</v>
      </c>
      <c r="K21" s="86">
        <v>0.27777777777777779</v>
      </c>
      <c r="P21" s="86">
        <v>0.37931034482758619</v>
      </c>
      <c r="Q21" s="86">
        <v>0.2857142857142857</v>
      </c>
    </row>
    <row r="22" spans="1:17" x14ac:dyDescent="0.4">
      <c r="A22" s="88">
        <v>19</v>
      </c>
      <c r="B22" s="85">
        <v>-26.699999999999996</v>
      </c>
      <c r="C22" s="85">
        <v>-1.4052631578947365</v>
      </c>
      <c r="D22" s="90">
        <v>2</v>
      </c>
      <c r="E22" s="86">
        <v>0.36842105263157893</v>
      </c>
      <c r="F22" s="86">
        <v>0.23021582733812951</v>
      </c>
      <c r="G22" s="86">
        <v>0.23021582733812951</v>
      </c>
      <c r="H22" s="87">
        <v>14121.875</v>
      </c>
      <c r="I22" s="87">
        <v>-9940.625</v>
      </c>
      <c r="J22" s="86">
        <v>0.31578947368421051</v>
      </c>
      <c r="K22" s="86">
        <v>0.26315789473684209</v>
      </c>
      <c r="P22" s="86">
        <v>0.375</v>
      </c>
      <c r="Q22" s="86">
        <v>0.27272727272727271</v>
      </c>
    </row>
    <row r="23" spans="1:17" x14ac:dyDescent="0.4">
      <c r="A23" s="88">
        <v>20</v>
      </c>
      <c r="B23" s="85">
        <v>-57.899999999999991</v>
      </c>
      <c r="C23" s="85">
        <v>-2.8949999999999996</v>
      </c>
      <c r="D23" s="90">
        <v>2.0499999999999998</v>
      </c>
      <c r="E23" s="86">
        <v>0.35</v>
      </c>
      <c r="F23" s="86">
        <v>0.22602739726027396</v>
      </c>
      <c r="G23" s="86">
        <v>0.22602739726027396</v>
      </c>
      <c r="H23" s="87">
        <v>13778.787878787878</v>
      </c>
      <c r="I23" s="87">
        <v>-9881.818181818182</v>
      </c>
      <c r="J23" s="86">
        <v>0.3</v>
      </c>
      <c r="K23" s="86">
        <v>0.25</v>
      </c>
      <c r="P23" s="86">
        <v>0.39393939393939392</v>
      </c>
      <c r="Q23" s="86">
        <v>0.2608695652173913</v>
      </c>
    </row>
    <row r="24" spans="1:17" x14ac:dyDescent="0.4">
      <c r="A24" s="88">
        <v>21</v>
      </c>
      <c r="B24" s="85">
        <v>-82.699999999999989</v>
      </c>
      <c r="C24" s="85">
        <v>-3.9380952380952374</v>
      </c>
      <c r="D24" s="90">
        <v>2.0952380952380953</v>
      </c>
      <c r="E24" s="86">
        <v>0.33333333333333331</v>
      </c>
      <c r="F24" s="86">
        <v>0.21568627450980393</v>
      </c>
      <c r="G24" s="86">
        <v>0.22875816993464052</v>
      </c>
      <c r="H24" s="87">
        <v>13778.787878787878</v>
      </c>
      <c r="I24" s="87">
        <v>-9540</v>
      </c>
      <c r="J24" s="86">
        <v>0.2857142857142857</v>
      </c>
      <c r="K24" s="86">
        <v>0.23809523809523808</v>
      </c>
      <c r="P24" s="86">
        <v>0.39393939393939392</v>
      </c>
      <c r="Q24" s="86">
        <v>0.25</v>
      </c>
    </row>
    <row r="25" spans="1:17" x14ac:dyDescent="0.4">
      <c r="A25" s="88">
        <v>22</v>
      </c>
      <c r="B25" s="85">
        <v>-94.6</v>
      </c>
      <c r="C25" s="85">
        <v>-4.3</v>
      </c>
      <c r="D25" s="90">
        <v>2.1363636363636362</v>
      </c>
      <c r="E25" s="86">
        <v>0.31818181818181818</v>
      </c>
      <c r="F25" s="86">
        <v>0.21472392638036811</v>
      </c>
      <c r="G25" s="86">
        <v>0.22085889570552147</v>
      </c>
      <c r="H25" s="87">
        <v>13402.857142857143</v>
      </c>
      <c r="I25" s="87">
        <v>-9311.1111111111113</v>
      </c>
      <c r="J25" s="86">
        <v>0.27272727272727271</v>
      </c>
      <c r="K25" s="86">
        <v>0.22727272727272727</v>
      </c>
      <c r="P25" s="86">
        <v>0.37142857142857144</v>
      </c>
      <c r="Q25" s="86">
        <v>0.26923076923076922</v>
      </c>
    </row>
    <row r="26" spans="1:17" x14ac:dyDescent="0.4">
      <c r="A26" s="88">
        <v>23</v>
      </c>
      <c r="B26" s="85">
        <v>-111.3</v>
      </c>
      <c r="C26" s="85">
        <v>-4.839130434782609</v>
      </c>
      <c r="D26" s="90">
        <v>2.1739130434782608</v>
      </c>
      <c r="E26" s="86">
        <v>0.30434782608695654</v>
      </c>
      <c r="F26" s="86">
        <v>0.21142857142857144</v>
      </c>
      <c r="G26" s="86">
        <v>0.21142857142857144</v>
      </c>
      <c r="H26" s="87">
        <v>13045.945945945947</v>
      </c>
      <c r="I26" s="87">
        <v>-9383.7837837837833</v>
      </c>
      <c r="J26" s="86">
        <v>0.2608695652173913</v>
      </c>
      <c r="K26" s="86">
        <v>0.21739130434782608</v>
      </c>
      <c r="P26" s="86">
        <v>0.3783783783783784</v>
      </c>
      <c r="Q26" s="86">
        <v>0.27272727272727271</v>
      </c>
    </row>
    <row r="27" spans="1:17" x14ac:dyDescent="0.4">
      <c r="A27" s="88">
        <v>24</v>
      </c>
      <c r="B27" s="85">
        <v>-68.099999999999994</v>
      </c>
      <c r="C27" s="85">
        <v>-2.8374999999999999</v>
      </c>
      <c r="D27" s="90">
        <v>2.125</v>
      </c>
      <c r="E27" s="86">
        <v>0.33333333333333331</v>
      </c>
      <c r="F27" s="86">
        <v>0.21978021978021978</v>
      </c>
      <c r="G27" s="86">
        <v>0.2087912087912088</v>
      </c>
      <c r="H27" s="87">
        <v>13160</v>
      </c>
      <c r="I27" s="87">
        <v>-9189.4736842105267</v>
      </c>
      <c r="J27" s="86">
        <v>0.25</v>
      </c>
      <c r="K27" s="86">
        <v>0.25</v>
      </c>
      <c r="P27" s="86">
        <v>0.4</v>
      </c>
      <c r="Q27" s="86">
        <v>0.31034482758620691</v>
      </c>
    </row>
    <row r="28" spans="1:17" x14ac:dyDescent="0.4">
      <c r="A28" s="88">
        <v>25</v>
      </c>
      <c r="B28" s="85">
        <v>-70.899999999999991</v>
      </c>
      <c r="C28" s="85">
        <v>-2.8359999999999999</v>
      </c>
      <c r="D28" s="90">
        <v>2.12</v>
      </c>
      <c r="E28" s="86">
        <v>0.32</v>
      </c>
      <c r="F28" s="86">
        <v>0.22222222222222221</v>
      </c>
      <c r="G28" s="86">
        <v>0.20634920634920634</v>
      </c>
      <c r="H28" s="87">
        <v>12942.857142857143</v>
      </c>
      <c r="I28" s="87">
        <v>-9158.9743589743593</v>
      </c>
      <c r="J28" s="86">
        <v>0.24</v>
      </c>
      <c r="K28" s="86">
        <v>0.24</v>
      </c>
      <c r="P28" s="86">
        <v>0.38095238095238093</v>
      </c>
      <c r="Q28" s="86">
        <v>0.3</v>
      </c>
    </row>
    <row r="29" spans="1:17" x14ac:dyDescent="0.4">
      <c r="A29" s="88">
        <v>26</v>
      </c>
      <c r="B29" s="85">
        <v>-125.89999999999999</v>
      </c>
      <c r="C29" s="85">
        <v>-4.842307692307692</v>
      </c>
      <c r="D29" s="90">
        <v>2.1538461538461537</v>
      </c>
      <c r="E29" s="86">
        <v>0.30769230769230771</v>
      </c>
      <c r="F29" s="86">
        <v>0.21938775510204081</v>
      </c>
      <c r="G29" s="86">
        <v>0.20918367346938777</v>
      </c>
      <c r="H29" s="87">
        <v>12920.930232558139</v>
      </c>
      <c r="I29" s="87">
        <v>-9687.8048780487807</v>
      </c>
      <c r="J29" s="86">
        <v>0.26923076923076922</v>
      </c>
      <c r="K29" s="86">
        <v>0.23076923076923078</v>
      </c>
      <c r="P29" s="86">
        <v>0.37209302325581395</v>
      </c>
      <c r="Q29" s="86">
        <v>0.29032258064516131</v>
      </c>
    </row>
    <row r="30" spans="1:17" x14ac:dyDescent="0.4">
      <c r="A30" s="88">
        <v>27</v>
      </c>
      <c r="B30" s="85">
        <v>-163.6</v>
      </c>
      <c r="C30" s="85">
        <v>-6.0592592592592593</v>
      </c>
      <c r="D30" s="90">
        <v>2.1851851851851851</v>
      </c>
      <c r="E30" s="86">
        <v>0.29629629629629628</v>
      </c>
      <c r="F30" s="86">
        <v>0.21782178217821782</v>
      </c>
      <c r="G30" s="86">
        <v>0.21287128712871287</v>
      </c>
      <c r="H30" s="87">
        <v>12809.09090909091</v>
      </c>
      <c r="I30" s="87">
        <v>-10055.813953488372</v>
      </c>
      <c r="J30" s="86">
        <v>0.29629629629629628</v>
      </c>
      <c r="K30" s="86">
        <v>0.22222222222222221</v>
      </c>
      <c r="P30" s="86">
        <v>0.38636363636363635</v>
      </c>
      <c r="Q30" s="86">
        <v>0.2857142857142857</v>
      </c>
    </row>
    <row r="31" spans="1:17" x14ac:dyDescent="0.4">
      <c r="A31" s="88">
        <v>28</v>
      </c>
      <c r="B31" s="85">
        <v>-169.5</v>
      </c>
      <c r="C31" s="85">
        <v>-6.0535714285714288</v>
      </c>
      <c r="D31" s="90">
        <v>2.1785714285714284</v>
      </c>
      <c r="E31" s="86">
        <v>0.2857142857142857</v>
      </c>
      <c r="F31" s="86">
        <v>0.21531100478468901</v>
      </c>
      <c r="G31" s="86">
        <v>0.21531100478468901</v>
      </c>
      <c r="H31" s="87">
        <v>12702.222222222223</v>
      </c>
      <c r="I31" s="87">
        <v>-9928.8888888888887</v>
      </c>
      <c r="J31" s="86">
        <v>0.2857142857142857</v>
      </c>
      <c r="K31" s="86">
        <v>0.21428571428571427</v>
      </c>
      <c r="P31" s="86">
        <v>0.4</v>
      </c>
      <c r="Q31" s="86">
        <v>0.27692307692307694</v>
      </c>
    </row>
    <row r="32" spans="1:17" x14ac:dyDescent="0.4">
      <c r="A32" s="88">
        <v>29</v>
      </c>
      <c r="B32" s="85">
        <v>-163.30000000000001</v>
      </c>
      <c r="C32" s="85">
        <v>-5.6310344827586212</v>
      </c>
      <c r="D32" s="90">
        <v>2.1724137931034484</v>
      </c>
      <c r="E32" s="86">
        <v>0.27586206896551724</v>
      </c>
      <c r="F32" s="86">
        <v>0.22018348623853212</v>
      </c>
      <c r="G32" s="86">
        <v>0.21559633027522937</v>
      </c>
      <c r="H32" s="87">
        <v>12641.666666666666</v>
      </c>
      <c r="I32" s="87">
        <v>-9846.8085106382987</v>
      </c>
      <c r="J32" s="86">
        <v>0.27586206896551724</v>
      </c>
      <c r="K32" s="86">
        <v>0.20689655172413793</v>
      </c>
      <c r="P32" s="86">
        <v>0.39583333333333331</v>
      </c>
      <c r="Q32" s="86">
        <v>0.28985507246376813</v>
      </c>
    </row>
    <row r="33" spans="1:17" x14ac:dyDescent="0.4">
      <c r="A33" s="88">
        <v>30</v>
      </c>
      <c r="B33" s="85">
        <v>-209.4</v>
      </c>
      <c r="C33" s="85">
        <v>-6.98</v>
      </c>
      <c r="D33" s="90">
        <v>2.2000000000000002</v>
      </c>
      <c r="E33" s="86">
        <v>0.26666666666666666</v>
      </c>
      <c r="F33" s="86">
        <v>0.21428571428571427</v>
      </c>
      <c r="G33" s="86">
        <v>0.22767857142857142</v>
      </c>
      <c r="H33" s="87">
        <v>12641.666666666666</v>
      </c>
      <c r="I33" s="87">
        <v>-10007.843137254902</v>
      </c>
      <c r="J33" s="86">
        <v>0.3</v>
      </c>
      <c r="K33" s="86">
        <v>0.2</v>
      </c>
      <c r="P33" s="86">
        <v>0.39583333333333331</v>
      </c>
      <c r="Q33" s="86">
        <v>0.2857142857142857</v>
      </c>
    </row>
    <row r="34" spans="1:17" x14ac:dyDescent="0.4">
      <c r="A34" s="88">
        <v>31</v>
      </c>
      <c r="B34" s="85">
        <v>-259.89999999999998</v>
      </c>
      <c r="C34" s="85">
        <v>-8.3838709677419345</v>
      </c>
      <c r="D34" s="90">
        <v>2.225806451612903</v>
      </c>
      <c r="E34" s="86">
        <v>0.25806451612903225</v>
      </c>
      <c r="F34" s="86">
        <v>0.21145374449339208</v>
      </c>
      <c r="G34" s="86">
        <v>0.23348017621145375</v>
      </c>
      <c r="H34" s="87">
        <v>12641.666666666666</v>
      </c>
      <c r="I34" s="87">
        <v>-10422.641509433963</v>
      </c>
      <c r="J34" s="86">
        <v>0.32258064516129031</v>
      </c>
      <c r="K34" s="86">
        <v>0.19354838709677419</v>
      </c>
      <c r="P34" s="86">
        <v>0.39583333333333331</v>
      </c>
      <c r="Q34" s="86">
        <v>0.2857142857142857</v>
      </c>
    </row>
    <row r="35" spans="1:17" x14ac:dyDescent="0.4">
      <c r="A35" s="88">
        <v>32</v>
      </c>
      <c r="B35" s="85">
        <v>-253.59999999999997</v>
      </c>
      <c r="C35" s="85">
        <v>-7.9249999999999989</v>
      </c>
      <c r="D35" s="90">
        <v>2.1875</v>
      </c>
      <c r="E35" s="86">
        <v>0.28125</v>
      </c>
      <c r="F35" s="86">
        <v>0.22362869198312235</v>
      </c>
      <c r="G35" s="86">
        <v>0.2320675105485232</v>
      </c>
      <c r="H35" s="87">
        <v>12209.433962264151</v>
      </c>
      <c r="I35" s="87">
        <v>-10661.818181818182</v>
      </c>
      <c r="J35" s="86">
        <v>0.3125</v>
      </c>
      <c r="K35" s="86">
        <v>0.1875</v>
      </c>
      <c r="P35" s="86">
        <v>0.37735849056603776</v>
      </c>
      <c r="Q35" s="86">
        <v>0.29729729729729731</v>
      </c>
    </row>
    <row r="36" spans="1:17" x14ac:dyDescent="0.4">
      <c r="A36" s="88">
        <v>33</v>
      </c>
      <c r="B36" s="85">
        <v>-234.89999999999998</v>
      </c>
      <c r="C36" s="85">
        <v>-7.1181818181818173</v>
      </c>
      <c r="D36" s="90">
        <v>2.1515151515151514</v>
      </c>
      <c r="E36" s="86">
        <v>0.30303030303030304</v>
      </c>
      <c r="F36" s="86">
        <v>0.23265306122448978</v>
      </c>
      <c r="G36" s="86">
        <v>0.22857142857142856</v>
      </c>
      <c r="H36" s="87">
        <v>11900</v>
      </c>
      <c r="I36" s="87">
        <v>-10614.285714285714</v>
      </c>
      <c r="J36" s="86">
        <v>0.30303030303030304</v>
      </c>
      <c r="K36" s="86">
        <v>0.21212121212121213</v>
      </c>
      <c r="P36" s="86">
        <v>0.35087719298245612</v>
      </c>
      <c r="Q36" s="86">
        <v>0.30263157894736842</v>
      </c>
    </row>
    <row r="37" spans="1:17" x14ac:dyDescent="0.4">
      <c r="A37" s="88">
        <v>34</v>
      </c>
      <c r="B37" s="85">
        <v>-229.79999999999998</v>
      </c>
      <c r="C37" s="85">
        <v>-6.7588235294117638</v>
      </c>
      <c r="D37" s="90">
        <v>2.1470588235294117</v>
      </c>
      <c r="E37" s="86">
        <v>0.29411764705882354</v>
      </c>
      <c r="F37" s="86">
        <v>0.233201581027668</v>
      </c>
      <c r="G37" s="86">
        <v>0.22529644268774704</v>
      </c>
      <c r="H37" s="87">
        <v>11891.525423728814</v>
      </c>
      <c r="I37" s="87">
        <v>-10478.947368421053</v>
      </c>
      <c r="J37" s="86">
        <v>0.29411764705882354</v>
      </c>
      <c r="K37" s="86">
        <v>0.20588235294117646</v>
      </c>
      <c r="P37" s="86">
        <v>0.3559322033898305</v>
      </c>
      <c r="Q37" s="86">
        <v>0.3</v>
      </c>
    </row>
    <row r="38" spans="1:17" x14ac:dyDescent="0.4">
      <c r="A38" s="88">
        <v>35</v>
      </c>
      <c r="B38" s="85">
        <v>-254.29999999999998</v>
      </c>
      <c r="C38" s="85">
        <v>-7.2657142857142851</v>
      </c>
      <c r="D38" s="90">
        <v>2.1714285714285713</v>
      </c>
      <c r="E38" s="86">
        <v>0.2857142857142857</v>
      </c>
      <c r="F38" s="86">
        <v>0.23371647509578544</v>
      </c>
      <c r="G38" s="86">
        <v>0.22605363984674329</v>
      </c>
      <c r="H38" s="87">
        <v>11927.868852459016</v>
      </c>
      <c r="I38" s="87">
        <v>-10666.101694915254</v>
      </c>
      <c r="J38" s="86">
        <v>0.2857142857142857</v>
      </c>
      <c r="K38" s="86">
        <v>0.2</v>
      </c>
      <c r="P38" s="86">
        <v>0.37704918032786883</v>
      </c>
      <c r="Q38" s="86">
        <v>0.30120481927710846</v>
      </c>
    </row>
    <row r="39" spans="1:17" x14ac:dyDescent="0.4">
      <c r="A39" s="88">
        <v>36</v>
      </c>
      <c r="B39" s="85">
        <v>-204.29999999999998</v>
      </c>
      <c r="C39" s="85">
        <v>-5.6749999999999998</v>
      </c>
      <c r="D39" s="90">
        <v>2.1388888888888888</v>
      </c>
      <c r="E39" s="86">
        <v>0.30555555555555558</v>
      </c>
      <c r="F39" s="86">
        <v>0.23371647509578544</v>
      </c>
      <c r="G39" s="86">
        <v>0.22605363984674329</v>
      </c>
      <c r="H39" s="87">
        <v>11927.868852459016</v>
      </c>
      <c r="I39" s="87">
        <v>-10666.101694915254</v>
      </c>
      <c r="J39" s="86">
        <v>0.27777777777777779</v>
      </c>
      <c r="K39" s="86">
        <v>0.22222222222222221</v>
      </c>
      <c r="P39" s="86">
        <v>0.37704918032786883</v>
      </c>
      <c r="Q39" s="86">
        <v>0.30120481927710846</v>
      </c>
    </row>
    <row r="40" spans="1:17" x14ac:dyDescent="0.4">
      <c r="A40" s="88">
        <v>37</v>
      </c>
      <c r="B40" s="85">
        <v>-249.29999999999998</v>
      </c>
      <c r="C40" s="85">
        <v>-6.7378378378378372</v>
      </c>
      <c r="D40" s="90">
        <v>2.1621621621621623</v>
      </c>
      <c r="E40" s="86">
        <v>0.29729729729729731</v>
      </c>
      <c r="F40" s="86">
        <v>0.23106060606060605</v>
      </c>
      <c r="G40" s="86">
        <v>0.22727272727272727</v>
      </c>
      <c r="H40" s="87">
        <v>11927.868852459016</v>
      </c>
      <c r="I40" s="87">
        <v>-10888.333333333334</v>
      </c>
      <c r="J40" s="86">
        <v>0.29729729729729731</v>
      </c>
      <c r="K40" s="86">
        <v>0.21621621621621623</v>
      </c>
      <c r="L40" s="86">
        <v>0.33333333333333331</v>
      </c>
      <c r="M40" s="86">
        <v>0.33333333333333331</v>
      </c>
      <c r="N40" s="86">
        <v>0</v>
      </c>
      <c r="O40" s="86">
        <v>0</v>
      </c>
      <c r="P40" s="86">
        <v>0.37704918032786883</v>
      </c>
      <c r="Q40" s="86">
        <v>0.30120481927710846</v>
      </c>
    </row>
    <row r="41" spans="1:17" x14ac:dyDescent="0.4">
      <c r="A41" s="88">
        <v>38</v>
      </c>
      <c r="B41" s="85">
        <v>-242.49999999999997</v>
      </c>
      <c r="C41" s="85">
        <v>-6.3815789473684204</v>
      </c>
      <c r="D41" s="90">
        <v>2.1315789473684212</v>
      </c>
      <c r="E41" s="86">
        <v>0.31578947368421051</v>
      </c>
      <c r="F41" s="86">
        <v>0.23161764705882354</v>
      </c>
      <c r="G41" s="86">
        <v>0.22426470588235295</v>
      </c>
      <c r="H41" s="87">
        <v>11803.174603174602</v>
      </c>
      <c r="I41" s="87">
        <v>-10795.081967213115</v>
      </c>
      <c r="J41" s="86">
        <v>0.28947368421052633</v>
      </c>
      <c r="K41" s="86">
        <v>0.21052631578947367</v>
      </c>
      <c r="L41" s="86">
        <v>0.45454545454545453</v>
      </c>
      <c r="M41" s="86">
        <v>0.18181818181818182</v>
      </c>
      <c r="N41" s="86">
        <v>0.4</v>
      </c>
      <c r="O41" s="86">
        <v>0</v>
      </c>
      <c r="P41" s="86">
        <v>0.3968253968253968</v>
      </c>
      <c r="Q41" s="86">
        <v>0.29411764705882354</v>
      </c>
    </row>
    <row r="42" spans="1:17" x14ac:dyDescent="0.4">
      <c r="A42" s="88">
        <v>39</v>
      </c>
      <c r="B42" s="85">
        <v>-244.59999999999997</v>
      </c>
      <c r="C42" s="85">
        <v>-6.2717948717948708</v>
      </c>
      <c r="D42" s="90">
        <v>2.1538461538461537</v>
      </c>
      <c r="E42" s="86">
        <v>0.30769230769230771</v>
      </c>
      <c r="F42" s="86">
        <v>0.23214285714285715</v>
      </c>
      <c r="G42" s="86">
        <v>0.21785714285714286</v>
      </c>
      <c r="H42" s="87">
        <v>11643.076923076924</v>
      </c>
      <c r="I42" s="87">
        <v>-10795.081967213115</v>
      </c>
      <c r="J42" s="86">
        <v>0.28205128205128205</v>
      </c>
      <c r="K42" s="86">
        <v>0.20512820512820512</v>
      </c>
      <c r="L42" s="86">
        <v>0.42105263157894735</v>
      </c>
      <c r="M42" s="86">
        <v>0.15789473684210525</v>
      </c>
      <c r="N42" s="86">
        <v>0.375</v>
      </c>
      <c r="O42" s="86">
        <v>0.33333333333333331</v>
      </c>
      <c r="P42" s="86">
        <v>0.4</v>
      </c>
      <c r="Q42" s="86">
        <v>0.28735632183908044</v>
      </c>
    </row>
    <row r="43" spans="1:17" x14ac:dyDescent="0.4">
      <c r="A43" s="88">
        <v>40</v>
      </c>
      <c r="B43" s="85">
        <v>-279.7</v>
      </c>
      <c r="C43" s="85">
        <v>-6.9924999999999997</v>
      </c>
      <c r="D43" s="90">
        <v>2.1749999999999998</v>
      </c>
      <c r="E43" s="86">
        <v>0.3</v>
      </c>
      <c r="F43" s="86">
        <v>0.22727272727272727</v>
      </c>
      <c r="G43" s="86">
        <v>0.22377622377622378</v>
      </c>
      <c r="H43" s="87">
        <v>11643.076923076924</v>
      </c>
      <c r="I43" s="87">
        <v>-10690.625</v>
      </c>
      <c r="J43" s="86">
        <v>0.3</v>
      </c>
      <c r="K43" s="86">
        <v>0.2</v>
      </c>
      <c r="L43" s="86">
        <v>0.32</v>
      </c>
      <c r="M43" s="86">
        <v>0.16</v>
      </c>
      <c r="N43" s="86">
        <v>0.375</v>
      </c>
      <c r="O43" s="86">
        <v>0.25</v>
      </c>
      <c r="P43" s="86">
        <v>0.4</v>
      </c>
      <c r="Q43" s="86">
        <v>0.2808988764044944</v>
      </c>
    </row>
    <row r="44" spans="1:17" x14ac:dyDescent="0.4">
      <c r="A44" s="88">
        <v>41</v>
      </c>
      <c r="B44" s="85">
        <v>-320.09999999999997</v>
      </c>
      <c r="C44" s="85">
        <v>-7.8073170731707311</v>
      </c>
      <c r="D44" s="90">
        <v>2.1951219512195124</v>
      </c>
      <c r="E44" s="86">
        <v>0.29268292682926828</v>
      </c>
      <c r="F44" s="86">
        <v>0.22413793103448276</v>
      </c>
      <c r="G44" s="86">
        <v>0.23103448275862068</v>
      </c>
      <c r="H44" s="87">
        <v>11643.076923076924</v>
      </c>
      <c r="I44" s="87">
        <v>-10688.059701492537</v>
      </c>
      <c r="J44" s="86">
        <v>0.31707317073170732</v>
      </c>
      <c r="K44" s="86">
        <v>0.1951219512195122</v>
      </c>
      <c r="L44" s="86">
        <v>0.27586206896551724</v>
      </c>
      <c r="M44" s="86">
        <v>0.13793103448275862</v>
      </c>
      <c r="N44" s="86">
        <v>0.375</v>
      </c>
      <c r="O44" s="86">
        <v>0.25</v>
      </c>
      <c r="P44" s="86">
        <v>0.4</v>
      </c>
      <c r="Q44" s="86">
        <v>0.27777777777777779</v>
      </c>
    </row>
    <row r="45" spans="1:17" x14ac:dyDescent="0.4">
      <c r="A45" s="88">
        <v>42</v>
      </c>
      <c r="B45" s="85">
        <v>-314.29999999999995</v>
      </c>
      <c r="C45" s="85">
        <v>-7.4833333333333325</v>
      </c>
      <c r="D45" s="90">
        <v>2.1666666666666665</v>
      </c>
      <c r="E45" s="86">
        <v>0.30952380952380953</v>
      </c>
      <c r="F45" s="86">
        <v>0.22635135135135134</v>
      </c>
      <c r="G45" s="86">
        <v>0.22635135135135134</v>
      </c>
      <c r="H45" s="87">
        <v>11474.626865671642</v>
      </c>
      <c r="I45" s="87">
        <v>-10688.059701492537</v>
      </c>
      <c r="J45" s="86">
        <v>0.30952380952380953</v>
      </c>
      <c r="K45" s="86">
        <v>0.19047619047619047</v>
      </c>
      <c r="L45" s="86">
        <v>0.31428571428571428</v>
      </c>
      <c r="M45" s="86">
        <v>0.11428571428571428</v>
      </c>
      <c r="N45" s="86">
        <v>0.45454545454545453</v>
      </c>
      <c r="O45" s="86">
        <v>0.25</v>
      </c>
      <c r="P45" s="86">
        <v>0.41791044776119401</v>
      </c>
      <c r="Q45" s="86">
        <v>0.27173913043478259</v>
      </c>
    </row>
    <row r="46" spans="1:17" x14ac:dyDescent="0.4">
      <c r="A46" s="88">
        <v>43</v>
      </c>
      <c r="B46" s="85">
        <v>-284.79999999999995</v>
      </c>
      <c r="C46" s="85">
        <v>-6.6232558139534872</v>
      </c>
      <c r="D46" s="90">
        <v>2.13953488372093</v>
      </c>
      <c r="E46" s="86">
        <v>0.32558139534883723</v>
      </c>
      <c r="F46" s="86">
        <v>0.23178807947019867</v>
      </c>
      <c r="G46" s="86">
        <v>0.2251655629139073</v>
      </c>
      <c r="H46" s="87">
        <v>11782.857142857143</v>
      </c>
      <c r="I46" s="87">
        <v>-10707.35294117647</v>
      </c>
      <c r="J46" s="86">
        <v>0.30232558139534882</v>
      </c>
      <c r="K46" s="86">
        <v>0.18604651162790697</v>
      </c>
      <c r="L46" s="86">
        <v>0.31707317073170732</v>
      </c>
      <c r="M46" s="86">
        <v>0.14634146341463414</v>
      </c>
      <c r="N46" s="86">
        <v>0.53846153846153844</v>
      </c>
      <c r="O46" s="86">
        <v>0.16666666666666666</v>
      </c>
      <c r="P46" s="86">
        <v>0.44285714285714284</v>
      </c>
      <c r="Q46" s="86">
        <v>0.26881720430107525</v>
      </c>
    </row>
    <row r="47" spans="1:17" x14ac:dyDescent="0.4">
      <c r="A47" s="88">
        <v>44</v>
      </c>
      <c r="B47" s="85">
        <v>-239.89999999999995</v>
      </c>
      <c r="C47" s="85">
        <v>-5.4522727272727263</v>
      </c>
      <c r="D47" s="90">
        <v>2.1136363636363638</v>
      </c>
      <c r="E47" s="86">
        <v>0.34090909090909088</v>
      </c>
      <c r="F47" s="86">
        <v>0.24203821656050956</v>
      </c>
      <c r="G47" s="86">
        <v>0.21974522292993631</v>
      </c>
      <c r="H47" s="87">
        <v>11715.78947368421</v>
      </c>
      <c r="I47" s="87">
        <v>-10663.768115942028</v>
      </c>
      <c r="J47" s="86">
        <v>0.29545454545454547</v>
      </c>
      <c r="K47" s="86">
        <v>0.18181818181818182</v>
      </c>
      <c r="L47" s="86">
        <v>0.28301886792452829</v>
      </c>
      <c r="M47" s="86">
        <v>0.16981132075471697</v>
      </c>
      <c r="N47" s="86">
        <v>0.6</v>
      </c>
      <c r="O47" s="86">
        <v>0.33333333333333331</v>
      </c>
      <c r="P47" s="86">
        <v>0.44736842105263158</v>
      </c>
      <c r="Q47" s="86">
        <v>0.2857142857142857</v>
      </c>
    </row>
    <row r="48" spans="1:17" x14ac:dyDescent="0.4">
      <c r="A48" s="88">
        <v>45</v>
      </c>
      <c r="B48" s="85">
        <v>-256.29999999999995</v>
      </c>
      <c r="C48" s="85">
        <v>-5.6955555555555542</v>
      </c>
      <c r="D48" s="90">
        <v>2.1333333333333333</v>
      </c>
      <c r="E48" s="86">
        <v>0.33333333333333331</v>
      </c>
      <c r="F48" s="86">
        <v>0.23987538940809969</v>
      </c>
      <c r="G48" s="86">
        <v>0.22118380062305296</v>
      </c>
      <c r="H48" s="87">
        <v>11719.480519480519</v>
      </c>
      <c r="I48" s="87">
        <v>-10587.323943661971</v>
      </c>
      <c r="J48" s="86">
        <v>0.28888888888888886</v>
      </c>
      <c r="K48" s="86">
        <v>0.17777777777777778</v>
      </c>
      <c r="L48" s="86">
        <v>0.3</v>
      </c>
      <c r="M48" s="86">
        <v>0.16666666666666666</v>
      </c>
      <c r="N48" s="86">
        <v>0.55555555555555558</v>
      </c>
      <c r="O48" s="86">
        <v>0.3</v>
      </c>
      <c r="P48" s="86">
        <v>0.45454545454545453</v>
      </c>
      <c r="Q48" s="86">
        <v>0.28000000000000003</v>
      </c>
    </row>
    <row r="49" spans="1:17" x14ac:dyDescent="0.4">
      <c r="A49" s="88">
        <v>46</v>
      </c>
      <c r="B49" s="85">
        <v>-280.59999999999997</v>
      </c>
      <c r="C49" s="85">
        <v>-6.1</v>
      </c>
      <c r="D49" s="90">
        <v>2.1304347826086958</v>
      </c>
      <c r="E49" s="86">
        <v>0.32608695652173914</v>
      </c>
      <c r="F49" s="86">
        <v>0.24233128834355827</v>
      </c>
      <c r="G49" s="86">
        <v>0.21779141104294478</v>
      </c>
      <c r="H49" s="87">
        <v>11564.556962025317</v>
      </c>
      <c r="I49" s="87">
        <v>-10587.323943661971</v>
      </c>
      <c r="J49" s="86">
        <v>0.28260869565217389</v>
      </c>
      <c r="K49" s="86">
        <v>0.17391304347826086</v>
      </c>
      <c r="L49" s="86">
        <v>0.30769230769230771</v>
      </c>
      <c r="M49" s="86">
        <v>0.18461538461538463</v>
      </c>
      <c r="N49" s="86">
        <v>0.6</v>
      </c>
      <c r="O49" s="86">
        <v>0.25</v>
      </c>
      <c r="P49" s="86">
        <v>0.45569620253164556</v>
      </c>
      <c r="Q49" s="86">
        <v>0.27722772277227725</v>
      </c>
    </row>
    <row r="50" spans="1:17" x14ac:dyDescent="0.4">
      <c r="A50" s="88">
        <v>47</v>
      </c>
      <c r="B50" s="85">
        <v>-264.59999999999997</v>
      </c>
      <c r="C50" s="85">
        <v>-5.6297872340425528</v>
      </c>
      <c r="D50" s="90">
        <v>2.1063829787234041</v>
      </c>
      <c r="E50" s="86">
        <v>0.34042553191489361</v>
      </c>
      <c r="F50" s="86">
        <v>0.24705882352941178</v>
      </c>
      <c r="G50" s="86">
        <v>0.21764705882352942</v>
      </c>
      <c r="H50" s="87">
        <v>11459.523809523809</v>
      </c>
      <c r="I50" s="87">
        <v>-10590.54054054054</v>
      </c>
      <c r="J50" s="86">
        <v>0.27659574468085107</v>
      </c>
      <c r="K50" s="86">
        <v>0.1702127659574468</v>
      </c>
      <c r="L50" s="86">
        <v>0.30379746835443039</v>
      </c>
      <c r="M50" s="86">
        <v>0.21518987341772153</v>
      </c>
      <c r="N50" s="86">
        <v>0.58333333333333337</v>
      </c>
      <c r="O50" s="86">
        <v>0.29411764705882354</v>
      </c>
      <c r="P50" s="86">
        <v>0.4642857142857143</v>
      </c>
      <c r="Q50" s="86">
        <v>0.28301886792452829</v>
      </c>
    </row>
    <row r="51" spans="1:17" x14ac:dyDescent="0.4">
      <c r="A51" s="88">
        <v>48</v>
      </c>
      <c r="B51" s="85">
        <v>-288.79999999999995</v>
      </c>
      <c r="C51" s="85">
        <v>-6.0166666666666657</v>
      </c>
      <c r="D51" s="90">
        <v>2.125</v>
      </c>
      <c r="E51" s="86">
        <v>0.33333333333333331</v>
      </c>
      <c r="F51" s="86">
        <v>0.2442528735632184</v>
      </c>
      <c r="G51" s="86">
        <v>0.22126436781609196</v>
      </c>
      <c r="H51" s="87">
        <v>11371.764705882353</v>
      </c>
      <c r="I51" s="87">
        <v>-10436.363636363636</v>
      </c>
      <c r="J51" s="86">
        <v>0.27083333333333331</v>
      </c>
      <c r="K51" s="86">
        <v>0.16666666666666666</v>
      </c>
      <c r="L51" s="86">
        <v>0.31034482758620691</v>
      </c>
      <c r="M51" s="86">
        <v>0.22988505747126436</v>
      </c>
      <c r="N51" s="86">
        <v>0.55555555555555558</v>
      </c>
      <c r="O51" s="86">
        <v>0.25</v>
      </c>
      <c r="P51" s="86">
        <v>0.47058823529411764</v>
      </c>
      <c r="Q51" s="86">
        <v>0.27777777777777779</v>
      </c>
    </row>
    <row r="52" spans="1:17" x14ac:dyDescent="0.4">
      <c r="A52" s="88">
        <v>49</v>
      </c>
      <c r="B52" s="85">
        <v>-282.99999999999994</v>
      </c>
      <c r="C52" s="85">
        <v>-5.7755102040816313</v>
      </c>
      <c r="D52" s="90">
        <v>2.1224489795918369</v>
      </c>
      <c r="E52" s="86">
        <v>0.32653061224489793</v>
      </c>
      <c r="F52" s="86">
        <v>0.2443820224719101</v>
      </c>
      <c r="G52" s="86">
        <v>0.22191011235955055</v>
      </c>
      <c r="H52" s="87">
        <v>11522.988505747126</v>
      </c>
      <c r="I52" s="87">
        <v>-10356.962025316456</v>
      </c>
      <c r="J52" s="86">
        <v>0.26530612244897961</v>
      </c>
      <c r="K52" s="86">
        <v>0.16326530612244897</v>
      </c>
      <c r="L52" s="86">
        <v>0.28421052631578947</v>
      </c>
      <c r="M52" s="86">
        <v>0.23157894736842105</v>
      </c>
      <c r="N52" s="86">
        <v>0.55555555555555558</v>
      </c>
      <c r="O52" s="86">
        <v>0.31818181818181818</v>
      </c>
      <c r="P52" s="86">
        <v>0.47126436781609193</v>
      </c>
      <c r="Q52" s="86">
        <v>0.27272727272727271</v>
      </c>
    </row>
    <row r="53" spans="1:17" x14ac:dyDescent="0.4">
      <c r="A53" s="88">
        <v>50</v>
      </c>
      <c r="B53" s="85">
        <v>-287.09999999999997</v>
      </c>
      <c r="C53" s="85">
        <v>-5.7419999999999991</v>
      </c>
      <c r="D53" s="90">
        <v>2.14</v>
      </c>
      <c r="E53" s="86">
        <v>0.32</v>
      </c>
      <c r="F53" s="86">
        <v>0.2445054945054945</v>
      </c>
      <c r="G53" s="86">
        <v>0.21978021978021978</v>
      </c>
      <c r="H53" s="87">
        <v>11397.752808988764</v>
      </c>
      <c r="I53" s="87">
        <v>-10377.5</v>
      </c>
      <c r="J53" s="86">
        <v>0.26</v>
      </c>
      <c r="K53" s="86">
        <v>0.16</v>
      </c>
      <c r="L53" s="86">
        <v>0.27184466019417475</v>
      </c>
      <c r="M53" s="86">
        <v>0.22330097087378642</v>
      </c>
      <c r="N53" s="86">
        <v>0.5714285714285714</v>
      </c>
      <c r="O53" s="86">
        <v>0.34782608695652173</v>
      </c>
      <c r="P53" s="86">
        <v>0.4606741573033708</v>
      </c>
      <c r="Q53" s="86">
        <v>0.26785714285714285</v>
      </c>
    </row>
    <row r="54" spans="1:17" x14ac:dyDescent="0.4">
      <c r="A54" s="88">
        <v>51</v>
      </c>
      <c r="B54" s="85">
        <v>-269.59999999999997</v>
      </c>
      <c r="C54" s="85">
        <v>-5.2862745098039206</v>
      </c>
      <c r="D54" s="90">
        <v>2.1372549019607843</v>
      </c>
      <c r="E54" s="86">
        <v>0.31372549019607843</v>
      </c>
      <c r="F54" s="86">
        <v>0.24258760107816713</v>
      </c>
      <c r="G54" s="86">
        <v>0.215633423180593</v>
      </c>
      <c r="H54" s="87">
        <v>11471.111111111111</v>
      </c>
      <c r="I54" s="87">
        <v>-10377.5</v>
      </c>
      <c r="J54" s="86">
        <v>0.25490196078431371</v>
      </c>
      <c r="K54" s="86">
        <v>0.15686274509803921</v>
      </c>
      <c r="L54" s="86">
        <v>0.2818181818181818</v>
      </c>
      <c r="M54" s="86">
        <v>0.22727272727272727</v>
      </c>
      <c r="N54" s="86">
        <v>0.54838709677419351</v>
      </c>
      <c r="O54" s="86">
        <v>0.32</v>
      </c>
      <c r="P54" s="86">
        <v>0.45555555555555555</v>
      </c>
      <c r="Q54" s="86">
        <v>0.27192982456140352</v>
      </c>
    </row>
    <row r="55" spans="1:17" x14ac:dyDescent="0.4">
      <c r="A55" s="88">
        <v>52</v>
      </c>
      <c r="B55" s="85">
        <v>-308.09999999999997</v>
      </c>
      <c r="C55" s="85">
        <v>-5.9249999999999989</v>
      </c>
      <c r="D55" s="90">
        <v>2.1538461538461537</v>
      </c>
      <c r="E55" s="86">
        <v>0.30769230769230771</v>
      </c>
      <c r="F55" s="86">
        <v>0.23684210526315788</v>
      </c>
      <c r="G55" s="86">
        <v>0.2131578947368421</v>
      </c>
      <c r="H55" s="87">
        <v>11471.111111111111</v>
      </c>
      <c r="I55" s="87">
        <v>-10397.530864197532</v>
      </c>
      <c r="J55" s="86">
        <v>0.26923076923076922</v>
      </c>
      <c r="K55" s="86">
        <v>0.15384615384615385</v>
      </c>
      <c r="L55" s="86">
        <v>0.27731092436974791</v>
      </c>
      <c r="M55" s="86">
        <v>0.21848739495798319</v>
      </c>
      <c r="N55" s="86">
        <v>0.51515151515151514</v>
      </c>
      <c r="O55" s="86">
        <v>0.30769230769230771</v>
      </c>
      <c r="P55" s="86">
        <v>0.45555555555555555</v>
      </c>
      <c r="Q55" s="86">
        <v>0.26724137931034481</v>
      </c>
    </row>
    <row r="56" spans="1:17" x14ac:dyDescent="0.4">
      <c r="A56" s="88">
        <v>53</v>
      </c>
      <c r="B56" s="85">
        <v>-336.49999999999994</v>
      </c>
      <c r="C56" s="85">
        <v>-6.3490566037735841</v>
      </c>
      <c r="D56" s="90">
        <v>2.1698113207547172</v>
      </c>
      <c r="E56" s="86">
        <v>0.30188679245283018</v>
      </c>
      <c r="F56" s="86">
        <v>0.23969072164948454</v>
      </c>
      <c r="G56" s="86">
        <v>0.21134020618556701</v>
      </c>
      <c r="H56" s="87">
        <v>11188.172043010753</v>
      </c>
      <c r="I56" s="87">
        <v>-10417.073170731708</v>
      </c>
      <c r="J56" s="86">
        <v>0.26415094339622641</v>
      </c>
      <c r="K56" s="86">
        <v>0.15094339622641509</v>
      </c>
      <c r="L56" s="86">
        <v>0.27559055118110237</v>
      </c>
      <c r="M56" s="86">
        <v>0.22047244094488189</v>
      </c>
      <c r="N56" s="86">
        <v>0.54285714285714282</v>
      </c>
      <c r="O56" s="86">
        <v>0.32142857142857145</v>
      </c>
      <c r="P56" s="86">
        <v>0.44086021505376344</v>
      </c>
      <c r="Q56" s="86">
        <v>0.26890756302521007</v>
      </c>
    </row>
    <row r="57" spans="1:17" x14ac:dyDescent="0.4">
      <c r="A57" s="88">
        <v>54</v>
      </c>
      <c r="B57" s="85">
        <v>-378.89999999999992</v>
      </c>
      <c r="C57" s="85">
        <v>-7.0166666666666648</v>
      </c>
      <c r="D57" s="90">
        <v>2.1851851851851851</v>
      </c>
      <c r="E57" s="86">
        <v>0.29629629629629628</v>
      </c>
      <c r="F57" s="86">
        <v>0.23558897243107768</v>
      </c>
      <c r="G57" s="86">
        <v>0.21303258145363407</v>
      </c>
      <c r="H57" s="87">
        <v>11196.808510638299</v>
      </c>
      <c r="I57" s="87">
        <v>-10448.235294117647</v>
      </c>
      <c r="J57" s="86">
        <v>0.27777777777777779</v>
      </c>
      <c r="K57" s="86">
        <v>0.14814814814814814</v>
      </c>
      <c r="L57" s="86">
        <v>0.28985507246376813</v>
      </c>
      <c r="M57" s="86">
        <v>0.20289855072463769</v>
      </c>
      <c r="N57" s="86">
        <v>0.5</v>
      </c>
      <c r="O57" s="86">
        <v>0.32142857142857145</v>
      </c>
      <c r="P57" s="86">
        <v>0.43617021276595747</v>
      </c>
      <c r="Q57" s="86">
        <v>0.26446280991735538</v>
      </c>
    </row>
    <row r="58" spans="1:17" x14ac:dyDescent="0.4">
      <c r="A58" s="88">
        <v>55</v>
      </c>
      <c r="B58" s="85">
        <v>-364.2999999999999</v>
      </c>
      <c r="C58" s="85">
        <v>-6.6236363636363622</v>
      </c>
      <c r="D58" s="90">
        <v>2.1818181818181817</v>
      </c>
      <c r="E58" s="86">
        <v>0.29090909090909089</v>
      </c>
      <c r="F58" s="86">
        <v>0.23456790123456789</v>
      </c>
      <c r="G58" s="86">
        <v>0.21234567901234569</v>
      </c>
      <c r="H58" s="87">
        <v>11331.578947368422</v>
      </c>
      <c r="I58" s="87">
        <v>-10356.976744186046</v>
      </c>
      <c r="J58" s="86">
        <v>0.27272727272727271</v>
      </c>
      <c r="K58" s="86">
        <v>0.14545454545454545</v>
      </c>
      <c r="L58" s="86">
        <v>0.28472222222222221</v>
      </c>
      <c r="M58" s="86">
        <v>0.2013888888888889</v>
      </c>
      <c r="N58" s="86">
        <v>0.51219512195121952</v>
      </c>
      <c r="O58" s="86">
        <v>0.31034482758620691</v>
      </c>
      <c r="P58" s="86">
        <v>0.44210526315789472</v>
      </c>
      <c r="Q58" s="86">
        <v>0.26229508196721313</v>
      </c>
    </row>
    <row r="59" spans="1:17" x14ac:dyDescent="0.4">
      <c r="A59" s="88">
        <v>56</v>
      </c>
      <c r="B59" s="85">
        <v>-316.2999999999999</v>
      </c>
      <c r="C59" s="85">
        <v>-5.6482142857142836</v>
      </c>
      <c r="D59" s="90">
        <v>2.1607142857142856</v>
      </c>
      <c r="E59" s="86">
        <v>0.30357142857142855</v>
      </c>
      <c r="F59" s="86">
        <v>0.23373493975903614</v>
      </c>
      <c r="G59" s="86">
        <v>0.20963855421686747</v>
      </c>
      <c r="H59" s="87">
        <v>11551.546391752578</v>
      </c>
      <c r="I59" s="87">
        <v>-10249.425287356322</v>
      </c>
      <c r="J59" s="86">
        <v>0.26785714285714285</v>
      </c>
      <c r="K59" s="86">
        <v>0.16071428571428573</v>
      </c>
      <c r="L59" s="86">
        <v>0.27272727272727271</v>
      </c>
      <c r="M59" s="86">
        <v>0.18831168831168832</v>
      </c>
      <c r="N59" s="86">
        <v>0.52380952380952384</v>
      </c>
      <c r="O59" s="86">
        <v>0.31034482758620691</v>
      </c>
      <c r="P59" s="86">
        <v>0.44329896907216493</v>
      </c>
      <c r="Q59" s="86">
        <v>0.2661290322580645</v>
      </c>
    </row>
    <row r="60" spans="1:17" x14ac:dyDescent="0.4">
      <c r="A60" s="88">
        <v>57</v>
      </c>
      <c r="B60" s="85">
        <v>-312.49999999999989</v>
      </c>
      <c r="C60" s="85">
        <v>-5.4824561403508749</v>
      </c>
      <c r="D60" s="90">
        <v>2.1578947368421053</v>
      </c>
      <c r="E60" s="86">
        <v>0.2982456140350877</v>
      </c>
      <c r="F60" s="86">
        <v>0.23584905660377359</v>
      </c>
      <c r="G60" s="86">
        <v>0.2099056603773585</v>
      </c>
      <c r="H60" s="87">
        <v>11489</v>
      </c>
      <c r="I60" s="87">
        <v>-10121.348314606741</v>
      </c>
      <c r="J60" s="86">
        <v>0.26315789473684209</v>
      </c>
      <c r="K60" s="86">
        <v>0.15789473684210525</v>
      </c>
      <c r="L60" s="86">
        <v>0.26993865030674846</v>
      </c>
      <c r="M60" s="86">
        <v>0.19018404907975461</v>
      </c>
      <c r="N60" s="86">
        <v>0.54545454545454541</v>
      </c>
      <c r="O60" s="86">
        <v>0.29032258064516131</v>
      </c>
      <c r="P60" s="86">
        <v>0.44</v>
      </c>
      <c r="Q60" s="86">
        <v>0.2734375</v>
      </c>
    </row>
    <row r="61" spans="1:17" x14ac:dyDescent="0.4">
      <c r="A61" s="88">
        <v>58</v>
      </c>
      <c r="B61" s="85">
        <v>-254.59999999999988</v>
      </c>
      <c r="C61" s="85">
        <v>-4.3896551724137911</v>
      </c>
      <c r="D61" s="90">
        <v>2.1379310344827585</v>
      </c>
      <c r="E61" s="86">
        <v>0.31034482758620691</v>
      </c>
      <c r="F61" s="86">
        <v>0.24305555555555555</v>
      </c>
      <c r="G61" s="86">
        <v>0.21064814814814814</v>
      </c>
      <c r="H61" s="87">
        <v>11605.714285714286</v>
      </c>
      <c r="I61" s="87">
        <v>-10029.670329670329</v>
      </c>
      <c r="J61" s="86">
        <v>0.25862068965517243</v>
      </c>
      <c r="K61" s="86">
        <v>0.17241379310344829</v>
      </c>
      <c r="L61" s="86">
        <v>0.2807017543859649</v>
      </c>
      <c r="M61" s="86">
        <v>0.19298245614035087</v>
      </c>
      <c r="N61" s="86">
        <v>0.5625</v>
      </c>
      <c r="O61" s="86">
        <v>0.33333333333333331</v>
      </c>
      <c r="P61" s="86">
        <v>0.43809523809523809</v>
      </c>
      <c r="Q61" s="86">
        <v>0.29545454545454547</v>
      </c>
    </row>
    <row r="62" spans="1:17" x14ac:dyDescent="0.4">
      <c r="A62" s="88">
        <v>59</v>
      </c>
      <c r="B62" s="85">
        <v>-205.09999999999988</v>
      </c>
      <c r="C62" s="85">
        <v>-3.4762711864406759</v>
      </c>
      <c r="D62" s="90">
        <v>2.1186440677966103</v>
      </c>
      <c r="E62" s="86">
        <v>0.32203389830508472</v>
      </c>
      <c r="F62" s="86">
        <v>0.24657534246575341</v>
      </c>
      <c r="G62" s="86">
        <v>0.20776255707762556</v>
      </c>
      <c r="H62" s="87">
        <v>11709.259259259259</v>
      </c>
      <c r="I62" s="87">
        <v>-10029.670329670329</v>
      </c>
      <c r="J62" s="86">
        <v>0.25423728813559321</v>
      </c>
      <c r="K62" s="86">
        <v>0.1864406779661017</v>
      </c>
      <c r="L62" s="86">
        <v>0.2824858757062147</v>
      </c>
      <c r="M62" s="86">
        <v>0.19209039548022599</v>
      </c>
      <c r="N62" s="86">
        <v>0.56000000000000005</v>
      </c>
      <c r="O62" s="86">
        <v>0.35294117647058826</v>
      </c>
      <c r="P62" s="86">
        <v>0.44444444444444442</v>
      </c>
      <c r="Q62" s="86">
        <v>0.3014705882352941</v>
      </c>
    </row>
    <row r="63" spans="1:17" x14ac:dyDescent="0.4">
      <c r="A63" s="88">
        <v>60</v>
      </c>
      <c r="B63" s="85">
        <v>-214.59999999999988</v>
      </c>
      <c r="C63" s="85">
        <v>-3.5766666666666649</v>
      </c>
      <c r="D63" s="90">
        <v>2.1166666666666667</v>
      </c>
      <c r="E63" s="86">
        <v>0.31666666666666665</v>
      </c>
      <c r="F63" s="86">
        <v>0.2471655328798186</v>
      </c>
      <c r="G63" s="86">
        <v>0.20634920634920634</v>
      </c>
      <c r="H63" s="87">
        <v>11711.926605504586</v>
      </c>
      <c r="I63" s="87">
        <v>-10029.670329670329</v>
      </c>
      <c r="J63" s="86">
        <v>0.25</v>
      </c>
      <c r="K63" s="86">
        <v>0.18333333333333332</v>
      </c>
      <c r="L63" s="86">
        <v>0.28333333333333333</v>
      </c>
      <c r="M63" s="86">
        <v>0.19444444444444445</v>
      </c>
      <c r="N63" s="86">
        <v>0.56862745098039214</v>
      </c>
      <c r="O63" s="86">
        <v>0.34285714285714286</v>
      </c>
      <c r="P63" s="86">
        <v>0.44036697247706424</v>
      </c>
      <c r="Q63" s="86">
        <v>0.3014705882352941</v>
      </c>
    </row>
    <row r="64" spans="1:17" x14ac:dyDescent="0.4">
      <c r="A64" s="88">
        <v>61</v>
      </c>
      <c r="B64" s="85">
        <v>-211.89999999999989</v>
      </c>
      <c r="C64" s="85">
        <v>-3.4737704918032768</v>
      </c>
      <c r="D64" s="90">
        <v>2.1147540983606556</v>
      </c>
      <c r="E64" s="86">
        <v>0.31147540983606559</v>
      </c>
      <c r="F64" s="86">
        <v>0.24553571428571427</v>
      </c>
      <c r="G64" s="86">
        <v>0.203125</v>
      </c>
      <c r="H64" s="87">
        <v>11678.181818181818</v>
      </c>
      <c r="I64" s="87">
        <v>-10029.670329670329</v>
      </c>
      <c r="J64" s="86">
        <v>0.24590163934426229</v>
      </c>
      <c r="K64" s="86">
        <v>0.18032786885245902</v>
      </c>
      <c r="L64" s="86">
        <v>0.27807486631016043</v>
      </c>
      <c r="M64" s="86">
        <v>0.18716577540106952</v>
      </c>
      <c r="N64" s="86">
        <v>0.57692307692307687</v>
      </c>
      <c r="O64" s="86">
        <v>0.34285714285714286</v>
      </c>
      <c r="P64" s="86">
        <v>0.43636363636363634</v>
      </c>
      <c r="Q64" s="86">
        <v>0.29496402877697842</v>
      </c>
    </row>
    <row r="65" spans="1:17" x14ac:dyDescent="0.4">
      <c r="A65" s="88">
        <v>62</v>
      </c>
      <c r="B65" s="85">
        <v>-250.89999999999989</v>
      </c>
      <c r="C65" s="85">
        <v>-4.0467741935483854</v>
      </c>
      <c r="D65" s="90">
        <v>2.129032258064516</v>
      </c>
      <c r="E65" s="86">
        <v>0.30645161290322581</v>
      </c>
      <c r="F65" s="86">
        <v>0.2412280701754386</v>
      </c>
      <c r="G65" s="86">
        <v>0.19956140350877194</v>
      </c>
      <c r="H65" s="87">
        <v>11678.181818181818</v>
      </c>
      <c r="I65" s="87">
        <v>-10029.670329670329</v>
      </c>
      <c r="J65" s="86">
        <v>0.25806451612903225</v>
      </c>
      <c r="K65" s="86">
        <v>0.17741935483870969</v>
      </c>
      <c r="L65" s="86">
        <v>0.27692307692307694</v>
      </c>
      <c r="M65" s="86">
        <v>0.17948717948717949</v>
      </c>
      <c r="N65" s="86">
        <v>0.55555555555555558</v>
      </c>
      <c r="O65" s="86">
        <v>0.34285714285714286</v>
      </c>
      <c r="P65" s="86">
        <v>0.43636363636363634</v>
      </c>
      <c r="Q65" s="86">
        <v>0.29285714285714287</v>
      </c>
    </row>
    <row r="66" spans="1:17" x14ac:dyDescent="0.4">
      <c r="A66" s="88">
        <v>63</v>
      </c>
      <c r="B66" s="85">
        <v>-290.99999999999989</v>
      </c>
      <c r="C66" s="85">
        <v>-4.6190476190476168</v>
      </c>
      <c r="D66" s="90">
        <v>2.1428571428571428</v>
      </c>
      <c r="E66" s="86">
        <v>0.30158730158730157</v>
      </c>
      <c r="F66" s="86">
        <v>0.23819742489270387</v>
      </c>
      <c r="G66" s="86">
        <v>0.20171673819742489</v>
      </c>
      <c r="H66" s="87">
        <v>11681.081081081082</v>
      </c>
      <c r="I66" s="87">
        <v>-10120.212765957447</v>
      </c>
      <c r="J66" s="86">
        <v>0.26984126984126983</v>
      </c>
      <c r="K66" s="86">
        <v>0.17460317460317459</v>
      </c>
      <c r="L66" s="86">
        <v>0.2780487804878049</v>
      </c>
      <c r="M66" s="86">
        <v>0.17073170731707318</v>
      </c>
      <c r="N66" s="86">
        <v>0.54385964912280704</v>
      </c>
      <c r="O66" s="86">
        <v>0.34285714285714286</v>
      </c>
      <c r="P66" s="86">
        <v>0.43243243243243246</v>
      </c>
      <c r="Q66" s="86">
        <v>0.29078014184397161</v>
      </c>
    </row>
    <row r="67" spans="1:17" x14ac:dyDescent="0.4">
      <c r="A67" s="88">
        <v>64</v>
      </c>
      <c r="B67" s="85">
        <v>-356.99999999999989</v>
      </c>
      <c r="C67" s="85">
        <v>-5.5781249999999982</v>
      </c>
      <c r="D67" s="90">
        <v>2.15625</v>
      </c>
      <c r="E67" s="86">
        <v>0.296875</v>
      </c>
      <c r="F67" s="86">
        <v>0.23516949152542374</v>
      </c>
      <c r="G67" s="86">
        <v>0.20338983050847459</v>
      </c>
      <c r="H67" s="87">
        <v>11681.081081081082</v>
      </c>
      <c r="I67" s="87">
        <v>-10338.541666666666</v>
      </c>
      <c r="J67" s="86">
        <v>0.28125</v>
      </c>
      <c r="K67" s="86">
        <v>0.171875</v>
      </c>
      <c r="L67" s="86">
        <v>0.28436018957345971</v>
      </c>
      <c r="M67" s="86">
        <v>0.16587677725118483</v>
      </c>
      <c r="N67" s="86">
        <v>0.51666666666666672</v>
      </c>
      <c r="O67" s="86">
        <v>0.34285714285714286</v>
      </c>
      <c r="P67" s="86">
        <v>0.43243243243243246</v>
      </c>
      <c r="Q67" s="86">
        <v>0.28873239436619719</v>
      </c>
    </row>
    <row r="68" spans="1:17" x14ac:dyDescent="0.4">
      <c r="A68" s="88">
        <v>65</v>
      </c>
      <c r="B68" s="85">
        <v>-381.09999999999991</v>
      </c>
      <c r="C68" s="85">
        <v>-5.863076923076922</v>
      </c>
      <c r="D68" s="90">
        <v>2.1692307692307691</v>
      </c>
      <c r="E68" s="86">
        <v>0.29230769230769232</v>
      </c>
      <c r="F68" s="86">
        <v>0.23480083857442349</v>
      </c>
      <c r="G68" s="86">
        <v>0.20335429769392033</v>
      </c>
      <c r="H68" s="87">
        <v>11633.928571428571</v>
      </c>
      <c r="I68" s="87">
        <v>-10417.525773195875</v>
      </c>
      <c r="J68" s="86">
        <v>0.27692307692307694</v>
      </c>
      <c r="K68" s="86">
        <v>0.16923076923076924</v>
      </c>
      <c r="L68" s="86">
        <v>0.28240740740740738</v>
      </c>
      <c r="M68" s="86">
        <v>0.16666666666666666</v>
      </c>
      <c r="N68" s="86">
        <v>0.50819672131147542</v>
      </c>
      <c r="O68" s="86">
        <v>0.33333333333333331</v>
      </c>
      <c r="P68" s="86">
        <v>0.42857142857142855</v>
      </c>
      <c r="Q68" s="86">
        <v>0.28671328671328672</v>
      </c>
    </row>
    <row r="69" spans="1:17" x14ac:dyDescent="0.4">
      <c r="A69" s="88">
        <v>66</v>
      </c>
      <c r="B69" s="85">
        <v>-378.49999999999989</v>
      </c>
      <c r="C69" s="85">
        <v>-5.7348484848484835</v>
      </c>
      <c r="D69" s="90">
        <v>2.1666666666666665</v>
      </c>
      <c r="E69" s="86">
        <v>0.2878787878787879</v>
      </c>
      <c r="F69" s="86">
        <v>0.23673469387755103</v>
      </c>
      <c r="G69" s="86">
        <v>0.20408163265306123</v>
      </c>
      <c r="H69" s="87">
        <v>11612.931034482759</v>
      </c>
      <c r="I69" s="87">
        <v>-10461</v>
      </c>
      <c r="J69" s="86">
        <v>0.27272727272727271</v>
      </c>
      <c r="K69" s="86">
        <v>0.16666666666666666</v>
      </c>
      <c r="L69" s="86">
        <v>0.29257641921397382</v>
      </c>
      <c r="M69" s="86">
        <v>0.16593886462882096</v>
      </c>
      <c r="N69" s="86">
        <v>0.5074626865671642</v>
      </c>
      <c r="O69" s="86">
        <v>0.31578947368421051</v>
      </c>
      <c r="P69" s="86">
        <v>0.42241379310344829</v>
      </c>
      <c r="Q69" s="86">
        <v>0.29530201342281881</v>
      </c>
    </row>
    <row r="70" spans="1:17" x14ac:dyDescent="0.4">
      <c r="A70" s="88">
        <v>67</v>
      </c>
      <c r="B70" s="85">
        <v>-371.19999999999987</v>
      </c>
      <c r="C70" s="85">
        <v>-5.5402985074626843</v>
      </c>
      <c r="D70" s="90">
        <v>2.1641791044776117</v>
      </c>
      <c r="E70" s="86">
        <v>0.28358208955223879</v>
      </c>
      <c r="F70" s="86">
        <v>0.23847695390781562</v>
      </c>
      <c r="G70" s="86">
        <v>0.20240480961923848</v>
      </c>
      <c r="H70" s="87">
        <v>11570.588235294117</v>
      </c>
      <c r="I70" s="87">
        <v>-10476.237623762376</v>
      </c>
      <c r="J70" s="86">
        <v>0.26865671641791045</v>
      </c>
      <c r="K70" s="86">
        <v>0.16417910447761194</v>
      </c>
      <c r="L70" s="86">
        <v>0.28991596638655465</v>
      </c>
      <c r="M70" s="86">
        <v>0.1638655462184874</v>
      </c>
      <c r="N70" s="86">
        <v>0.52173913043478259</v>
      </c>
      <c r="O70" s="86">
        <v>0.33333333333333331</v>
      </c>
      <c r="P70" s="86">
        <v>0.42857142857142855</v>
      </c>
      <c r="Q70" s="86">
        <v>0.29605263157894735</v>
      </c>
    </row>
    <row r="71" spans="1:17" x14ac:dyDescent="0.4">
      <c r="A71" s="88">
        <v>68</v>
      </c>
      <c r="B71" s="85">
        <v>-407.2999999999999</v>
      </c>
      <c r="C71" s="85">
        <v>-5.9897058823529399</v>
      </c>
      <c r="D71" s="90">
        <v>2.1764705882352939</v>
      </c>
      <c r="E71" s="86">
        <v>0.27941176470588236</v>
      </c>
      <c r="F71" s="86">
        <v>0.23921568627450981</v>
      </c>
      <c r="G71" s="86">
        <v>0.20392156862745098</v>
      </c>
      <c r="H71" s="87">
        <v>11481.967213114754</v>
      </c>
      <c r="I71" s="87">
        <v>-10577.884615384615</v>
      </c>
      <c r="J71" s="86">
        <v>0.27941176470588236</v>
      </c>
      <c r="K71" s="86">
        <v>0.16176470588235295</v>
      </c>
      <c r="L71" s="86">
        <v>0.28514056224899598</v>
      </c>
      <c r="M71" s="86">
        <v>0.1606425702811245</v>
      </c>
      <c r="N71" s="86">
        <v>0.52112676056338025</v>
      </c>
      <c r="O71" s="86">
        <v>0.35</v>
      </c>
      <c r="P71" s="86">
        <v>0.41803278688524592</v>
      </c>
      <c r="Q71" s="86">
        <v>0.29677419354838708</v>
      </c>
    </row>
    <row r="72" spans="1:17" x14ac:dyDescent="0.4">
      <c r="A72" s="88">
        <v>69</v>
      </c>
      <c r="B72" s="85">
        <v>-412.49999999999989</v>
      </c>
      <c r="C72" s="85">
        <v>-5.978260869565216</v>
      </c>
      <c r="D72" s="90">
        <v>2.1739130434782608</v>
      </c>
      <c r="E72" s="86">
        <v>0.27536231884057971</v>
      </c>
      <c r="F72" s="86">
        <v>0.24177949709864605</v>
      </c>
      <c r="G72" s="86">
        <v>0.20309477756286268</v>
      </c>
      <c r="H72" s="87">
        <v>11540.8</v>
      </c>
      <c r="I72" s="87">
        <v>-10629.523809523809</v>
      </c>
      <c r="J72" s="86">
        <v>0.27536231884057971</v>
      </c>
      <c r="K72" s="86">
        <v>0.15942028985507245</v>
      </c>
      <c r="L72" s="86">
        <v>0.2890625</v>
      </c>
      <c r="M72" s="86">
        <v>0.16015625</v>
      </c>
      <c r="N72" s="86">
        <v>0.54054054054054057</v>
      </c>
      <c r="O72" s="86">
        <v>0.34146341463414637</v>
      </c>
      <c r="P72" s="86">
        <v>0.41599999999999998</v>
      </c>
      <c r="Q72" s="86">
        <v>0.30379746835443039</v>
      </c>
    </row>
    <row r="73" spans="1:17" x14ac:dyDescent="0.4">
      <c r="A73" s="88">
        <v>70</v>
      </c>
      <c r="B73" s="85">
        <v>-379.49999999999989</v>
      </c>
      <c r="C73" s="85">
        <v>-5.4214285714285699</v>
      </c>
      <c r="D73" s="90">
        <v>2.157142857142857</v>
      </c>
      <c r="E73" s="86">
        <v>0.2857142857142857</v>
      </c>
      <c r="F73" s="86">
        <v>0.24423076923076922</v>
      </c>
      <c r="G73" s="86">
        <v>0.20192307692307693</v>
      </c>
      <c r="H73" s="87">
        <v>11611.023622047243</v>
      </c>
      <c r="I73" s="87">
        <v>-10629.523809523809</v>
      </c>
      <c r="J73" s="86">
        <v>0.27142857142857141</v>
      </c>
      <c r="K73" s="86">
        <v>0.17142857142857143</v>
      </c>
      <c r="L73" s="86">
        <v>0.29343629343629346</v>
      </c>
      <c r="M73" s="86">
        <v>0.15830115830115829</v>
      </c>
      <c r="N73" s="86">
        <v>0.55263157894736847</v>
      </c>
      <c r="O73" s="86">
        <v>0.34146341463414637</v>
      </c>
      <c r="P73" s="86">
        <v>0.41732283464566927</v>
      </c>
      <c r="Q73" s="86">
        <v>0.3081761006289308</v>
      </c>
    </row>
    <row r="74" spans="1:17" x14ac:dyDescent="0.4">
      <c r="A74" s="88">
        <v>71</v>
      </c>
      <c r="B74" s="85">
        <v>-374.2999999999999</v>
      </c>
      <c r="C74" s="85">
        <v>-5.2718309859154919</v>
      </c>
      <c r="D74" s="90">
        <v>2.1549295774647885</v>
      </c>
      <c r="E74" s="86">
        <v>0.28169014084507044</v>
      </c>
      <c r="F74" s="86">
        <v>0.24621212121212122</v>
      </c>
      <c r="G74" s="86">
        <v>0.20075757575757575</v>
      </c>
      <c r="H74" s="87">
        <v>11506.153846153846</v>
      </c>
      <c r="I74" s="87">
        <v>-10642.452830188678</v>
      </c>
      <c r="J74" s="86">
        <v>0.26760563380281688</v>
      </c>
      <c r="K74" s="86">
        <v>0.16901408450704225</v>
      </c>
      <c r="L74" s="86">
        <v>0.29588014981273408</v>
      </c>
      <c r="M74" s="86">
        <v>0.15355805243445692</v>
      </c>
      <c r="N74" s="86">
        <v>0.54430379746835444</v>
      </c>
      <c r="O74" s="86">
        <v>0.34146341463414637</v>
      </c>
      <c r="P74" s="86">
        <v>0.41538461538461541</v>
      </c>
      <c r="Q74" s="86">
        <v>0.30434782608695654</v>
      </c>
    </row>
    <row r="75" spans="1:17" x14ac:dyDescent="0.4">
      <c r="A75" s="88">
        <v>72</v>
      </c>
      <c r="B75" s="85">
        <v>-409.7999999999999</v>
      </c>
      <c r="C75" s="85">
        <v>-5.6916666666666655</v>
      </c>
      <c r="D75" s="90">
        <v>2.1666666666666665</v>
      </c>
      <c r="E75" s="86">
        <v>0.27777777777777779</v>
      </c>
      <c r="F75" s="86">
        <v>0.24344569288389514</v>
      </c>
      <c r="G75" s="86">
        <v>0.19850187265917604</v>
      </c>
      <c r="H75" s="87">
        <v>11506.153846153846</v>
      </c>
      <c r="I75" s="87">
        <v>-10642.452830188678</v>
      </c>
      <c r="J75" s="86">
        <v>0.27777777777777779</v>
      </c>
      <c r="K75" s="86">
        <v>0.16666666666666666</v>
      </c>
      <c r="L75" s="86">
        <v>0.29304029304029305</v>
      </c>
      <c r="M75" s="86">
        <v>0.15018315018315018</v>
      </c>
      <c r="N75" s="86">
        <v>0.53749999999999998</v>
      </c>
      <c r="O75" s="86">
        <v>0.34146341463414637</v>
      </c>
      <c r="P75" s="86">
        <v>0.41538461538461541</v>
      </c>
      <c r="Q75" s="86">
        <v>0.30246913580246915</v>
      </c>
    </row>
    <row r="76" spans="1:17" x14ac:dyDescent="0.4">
      <c r="A76" s="88">
        <v>73</v>
      </c>
      <c r="B76" s="85">
        <v>-393.59999999999991</v>
      </c>
      <c r="C76" s="85">
        <v>-5.3917808219178074</v>
      </c>
      <c r="D76" s="90">
        <v>2.1506849315068495</v>
      </c>
      <c r="E76" s="86">
        <v>0.28767123287671231</v>
      </c>
      <c r="F76" s="86">
        <v>0.24862888482632542</v>
      </c>
      <c r="G76" s="86">
        <v>0.19561243144424131</v>
      </c>
      <c r="H76" s="87">
        <v>11420.588235294117</v>
      </c>
      <c r="I76" s="87">
        <v>-10570.093457943925</v>
      </c>
      <c r="J76" s="86">
        <v>0.27397260273972601</v>
      </c>
      <c r="K76" s="86">
        <v>0.16438356164383561</v>
      </c>
      <c r="L76" s="86">
        <v>0.29020979020979021</v>
      </c>
      <c r="M76" s="86">
        <v>0.16783216783216784</v>
      </c>
      <c r="N76" s="86">
        <v>0.55421686746987953</v>
      </c>
      <c r="O76" s="86">
        <v>0.35416666666666669</v>
      </c>
      <c r="P76" s="86">
        <v>0.40441176470588236</v>
      </c>
      <c r="Q76" s="86">
        <v>0.31137724550898205</v>
      </c>
    </row>
    <row r="77" spans="1:17" x14ac:dyDescent="0.4">
      <c r="A77" s="88">
        <v>74</v>
      </c>
      <c r="B77" s="85">
        <v>-399.49999999999989</v>
      </c>
      <c r="C77" s="85">
        <v>-5.3986486486486474</v>
      </c>
      <c r="D77" s="90">
        <v>2.1486486486486487</v>
      </c>
      <c r="E77" s="86">
        <v>0.28378378378378377</v>
      </c>
      <c r="F77" s="86">
        <v>0.24954792043399637</v>
      </c>
      <c r="G77" s="86">
        <v>0.19529837251356238</v>
      </c>
      <c r="H77" s="87">
        <v>11302.898550724638</v>
      </c>
      <c r="I77" s="87">
        <v>-10583.333333333334</v>
      </c>
      <c r="J77" s="86">
        <v>0.27027027027027029</v>
      </c>
      <c r="K77" s="86">
        <v>0.16216216216216217</v>
      </c>
      <c r="L77" s="86">
        <v>0.2910958904109589</v>
      </c>
      <c r="M77" s="86">
        <v>0.16438356164383561</v>
      </c>
      <c r="N77" s="86">
        <v>0.55294117647058827</v>
      </c>
      <c r="O77" s="86">
        <v>0.35416666666666669</v>
      </c>
      <c r="P77" s="86">
        <v>0.40579710144927539</v>
      </c>
      <c r="Q77" s="86">
        <v>0.30769230769230771</v>
      </c>
    </row>
    <row r="78" spans="1:17" x14ac:dyDescent="0.4">
      <c r="A78" s="88">
        <v>75</v>
      </c>
      <c r="B78" s="85">
        <v>-419.69999999999987</v>
      </c>
      <c r="C78" s="85">
        <v>-5.5959999999999983</v>
      </c>
      <c r="D78" s="90">
        <v>2.16</v>
      </c>
      <c r="E78" s="86">
        <v>0.28000000000000003</v>
      </c>
      <c r="F78" s="86">
        <v>0.24822695035460993</v>
      </c>
      <c r="G78" s="86">
        <v>0.19858156028368795</v>
      </c>
      <c r="H78" s="87">
        <v>11298.571428571429</v>
      </c>
      <c r="I78" s="87">
        <v>-10466.071428571429</v>
      </c>
      <c r="J78" s="86">
        <v>0.26666666666666666</v>
      </c>
      <c r="K78" s="86">
        <v>0.16</v>
      </c>
      <c r="L78" s="86">
        <v>0.28382838283828382</v>
      </c>
      <c r="M78" s="86">
        <v>0.16831683168316833</v>
      </c>
      <c r="N78" s="86">
        <v>0.54651162790697672</v>
      </c>
      <c r="O78" s="86">
        <v>0.37254901960784315</v>
      </c>
      <c r="P78" s="86">
        <v>0.40714285714285714</v>
      </c>
      <c r="Q78" s="86">
        <v>0.30813953488372092</v>
      </c>
    </row>
    <row r="79" spans="1:17" x14ac:dyDescent="0.4">
      <c r="A79" s="88">
        <v>76</v>
      </c>
      <c r="B79" s="85">
        <v>-369.69999999999987</v>
      </c>
      <c r="C79" s="85">
        <v>-4.864473684210525</v>
      </c>
      <c r="D79" s="90">
        <v>2.1447368421052633</v>
      </c>
      <c r="E79" s="86">
        <v>0.28947368421052633</v>
      </c>
      <c r="F79" s="86">
        <v>0.25088339222614842</v>
      </c>
      <c r="G79" s="86">
        <v>0.19787985865724381</v>
      </c>
      <c r="H79" s="87">
        <v>11477.464788732394</v>
      </c>
      <c r="I79" s="87">
        <v>-10466.071428571429</v>
      </c>
      <c r="J79" s="86">
        <v>0.26315789473684209</v>
      </c>
      <c r="K79" s="86">
        <v>0.15789473684210525</v>
      </c>
      <c r="L79" s="86">
        <v>0.28852459016393445</v>
      </c>
      <c r="M79" s="86">
        <v>0.16721311475409836</v>
      </c>
      <c r="N79" s="86">
        <v>0.55681818181818177</v>
      </c>
      <c r="O79" s="86">
        <v>0.37254901960784315</v>
      </c>
      <c r="P79" s="86">
        <v>0.40845070422535212</v>
      </c>
      <c r="Q79" s="86">
        <v>0.31609195402298851</v>
      </c>
    </row>
    <row r="80" spans="1:17" x14ac:dyDescent="0.4">
      <c r="A80" s="88">
        <v>77</v>
      </c>
      <c r="B80" s="85">
        <v>-381.7999999999999</v>
      </c>
      <c r="C80" s="85">
        <v>-4.9584415584415575</v>
      </c>
      <c r="D80" s="90">
        <v>2.1558441558441559</v>
      </c>
      <c r="E80" s="86">
        <v>0.2857142857142857</v>
      </c>
      <c r="F80" s="86">
        <v>0.2513089005235602</v>
      </c>
      <c r="G80" s="86">
        <v>0.19720767888307156</v>
      </c>
      <c r="H80" s="87">
        <v>11400.694444444445</v>
      </c>
      <c r="I80" s="87">
        <v>-10444.247787610619</v>
      </c>
      <c r="J80" s="86">
        <v>0.25974025974025972</v>
      </c>
      <c r="K80" s="86">
        <v>0.15584415584415584</v>
      </c>
      <c r="L80" s="86">
        <v>0.28525641025641024</v>
      </c>
      <c r="M80" s="86">
        <v>0.16987179487179488</v>
      </c>
      <c r="N80" s="86">
        <v>0.5617977528089888</v>
      </c>
      <c r="O80" s="86">
        <v>0.37735849056603776</v>
      </c>
      <c r="P80" s="86">
        <v>0.40972222222222221</v>
      </c>
      <c r="Q80" s="86">
        <v>0.3125</v>
      </c>
    </row>
    <row r="81" spans="1:17" x14ac:dyDescent="0.4">
      <c r="A81" s="88">
        <v>78</v>
      </c>
      <c r="B81" s="85">
        <v>-365.99999999999989</v>
      </c>
      <c r="C81" s="85">
        <v>-4.6923076923076907</v>
      </c>
      <c r="D81" s="90">
        <v>2.141025641025641</v>
      </c>
      <c r="E81" s="86">
        <v>0.29487179487179488</v>
      </c>
      <c r="F81" s="86">
        <v>0.25429553264604809</v>
      </c>
      <c r="G81" s="86">
        <v>0.19759450171821305</v>
      </c>
      <c r="H81" s="87">
        <v>11415.54054054054</v>
      </c>
      <c r="I81" s="87">
        <v>-10471.304347826086</v>
      </c>
      <c r="J81" s="86">
        <v>0.25641025641025639</v>
      </c>
      <c r="K81" s="86">
        <v>0.15384615384615385</v>
      </c>
      <c r="L81" s="86">
        <v>0.28660436137071649</v>
      </c>
      <c r="M81" s="86">
        <v>0.17445482866043613</v>
      </c>
      <c r="N81" s="86">
        <v>0.55434782608695654</v>
      </c>
      <c r="O81" s="86">
        <v>0.39285714285714285</v>
      </c>
      <c r="P81" s="86">
        <v>0.40540540540540543</v>
      </c>
      <c r="Q81" s="86">
        <v>0.31111111111111112</v>
      </c>
    </row>
    <row r="82" spans="1:17" x14ac:dyDescent="0.4">
      <c r="A82" s="88">
        <v>79</v>
      </c>
      <c r="B82" s="85">
        <v>-383.99999999999989</v>
      </c>
      <c r="C82" s="85">
        <v>-4.8607594936708844</v>
      </c>
      <c r="D82" s="90">
        <v>2.1392405063291138</v>
      </c>
      <c r="E82" s="86">
        <v>0.29113924050632911</v>
      </c>
      <c r="F82" s="86">
        <v>0.25510204081632654</v>
      </c>
      <c r="G82" s="86">
        <v>0.19897959183673469</v>
      </c>
      <c r="H82" s="87">
        <v>11396.666666666666</v>
      </c>
      <c r="I82" s="87">
        <v>-10582.905982905982</v>
      </c>
      <c r="J82" s="86">
        <v>0.25316455696202533</v>
      </c>
      <c r="K82" s="86">
        <v>0.15189873417721519</v>
      </c>
      <c r="L82" s="86">
        <v>0.29051987767584098</v>
      </c>
      <c r="M82" s="86">
        <v>0.1743119266055046</v>
      </c>
      <c r="N82" s="86">
        <v>0.5368421052631579</v>
      </c>
      <c r="O82" s="86">
        <v>0.40350877192982454</v>
      </c>
      <c r="P82" s="86">
        <v>0.40666666666666668</v>
      </c>
      <c r="Q82" s="86">
        <v>0.30939226519337015</v>
      </c>
    </row>
    <row r="83" spans="1:17" x14ac:dyDescent="0.4">
      <c r="A83" s="88">
        <v>80</v>
      </c>
      <c r="B83" s="85">
        <v>-390.7999999999999</v>
      </c>
      <c r="C83" s="85">
        <v>-4.8849999999999989</v>
      </c>
      <c r="D83" s="90">
        <v>2.1375000000000002</v>
      </c>
      <c r="E83" s="86">
        <v>0.28749999999999998</v>
      </c>
      <c r="F83" s="86">
        <v>0.25460636515912899</v>
      </c>
      <c r="G83" s="86">
        <v>0.19597989949748743</v>
      </c>
      <c r="H83" s="87">
        <v>11359.868421052632</v>
      </c>
      <c r="I83" s="87">
        <v>-10582.905982905982</v>
      </c>
      <c r="J83" s="86">
        <v>0.25</v>
      </c>
      <c r="K83" s="86">
        <v>0.15</v>
      </c>
      <c r="L83" s="86">
        <v>0.28869047619047616</v>
      </c>
      <c r="M83" s="86">
        <v>0.17261904761904762</v>
      </c>
      <c r="N83" s="86">
        <v>0.54639175257731953</v>
      </c>
      <c r="O83" s="86">
        <v>0.39655172413793105</v>
      </c>
      <c r="P83" s="86">
        <v>0.40131578947368424</v>
      </c>
      <c r="Q83" s="86">
        <v>0.30601092896174864</v>
      </c>
    </row>
    <row r="84" spans="1:17" x14ac:dyDescent="0.4">
      <c r="A84" s="88">
        <v>81</v>
      </c>
      <c r="B84" s="85">
        <v>-378.99999999999989</v>
      </c>
      <c r="C84" s="85">
        <v>-4.6790123456790109</v>
      </c>
      <c r="D84" s="90">
        <v>2.1234567901234569</v>
      </c>
      <c r="E84" s="86">
        <v>0.29629629629629628</v>
      </c>
      <c r="F84" s="86">
        <v>0.25535420098846789</v>
      </c>
      <c r="G84" s="86">
        <v>0.19769357495881384</v>
      </c>
      <c r="H84" s="87">
        <v>11410.967741935483</v>
      </c>
      <c r="I84" s="87">
        <v>-10470</v>
      </c>
      <c r="J84" s="86">
        <v>0.24691358024691357</v>
      </c>
      <c r="K84" s="86">
        <v>0.14814814814814814</v>
      </c>
      <c r="L84" s="86">
        <v>0.28901734104046245</v>
      </c>
      <c r="M84" s="86">
        <v>0.17341040462427745</v>
      </c>
      <c r="N84" s="86">
        <v>0.55000000000000004</v>
      </c>
      <c r="O84" s="86">
        <v>0.4</v>
      </c>
      <c r="P84" s="86">
        <v>0.4</v>
      </c>
      <c r="Q84" s="86">
        <v>0.31382978723404253</v>
      </c>
    </row>
    <row r="85" spans="1:17" x14ac:dyDescent="0.4">
      <c r="A85" s="88">
        <v>82</v>
      </c>
      <c r="B85" s="85">
        <v>-398.59999999999991</v>
      </c>
      <c r="C85" s="85">
        <v>-4.8609756097560961</v>
      </c>
      <c r="D85" s="90">
        <v>2.1341463414634148</v>
      </c>
      <c r="E85" s="86">
        <v>0.29268292682926828</v>
      </c>
      <c r="F85" s="86">
        <v>0.25324675324675322</v>
      </c>
      <c r="G85" s="86">
        <v>0.19967532467532467</v>
      </c>
      <c r="H85" s="87">
        <v>11389.102564102564</v>
      </c>
      <c r="I85" s="87">
        <v>-10410.569105691056</v>
      </c>
      <c r="J85" s="86">
        <v>0.24390243902439024</v>
      </c>
      <c r="K85" s="86">
        <v>0.14634146341463414</v>
      </c>
      <c r="L85" s="86">
        <v>0.28732394366197184</v>
      </c>
      <c r="M85" s="86">
        <v>0.17746478873239438</v>
      </c>
      <c r="N85" s="86">
        <v>0.5490196078431373</v>
      </c>
      <c r="O85" s="86">
        <v>0.38095238095238093</v>
      </c>
      <c r="P85" s="86">
        <v>0.40384615384615385</v>
      </c>
      <c r="Q85" s="86">
        <v>0.30729166666666669</v>
      </c>
    </row>
    <row r="86" spans="1:17" x14ac:dyDescent="0.4">
      <c r="A86" s="88">
        <v>83</v>
      </c>
      <c r="B86" s="85">
        <v>-397.39999999999992</v>
      </c>
      <c r="C86" s="85">
        <v>-4.7879518072289144</v>
      </c>
      <c r="D86" s="90">
        <v>2.1325301204819276</v>
      </c>
      <c r="E86" s="86">
        <v>0.28915662650602408</v>
      </c>
      <c r="F86" s="86">
        <v>0.25440000000000002</v>
      </c>
      <c r="G86" s="86">
        <v>0.19839999999999999</v>
      </c>
      <c r="H86" s="87">
        <v>11395.59748427673</v>
      </c>
      <c r="I86" s="87">
        <v>-10391.129032258064</v>
      </c>
      <c r="J86" s="86">
        <v>0.24096385542168675</v>
      </c>
      <c r="K86" s="86">
        <v>0.14457831325301204</v>
      </c>
      <c r="L86" s="86">
        <v>0.28846153846153844</v>
      </c>
      <c r="M86" s="86">
        <v>0.18131868131868131</v>
      </c>
      <c r="N86" s="86">
        <v>0.55238095238095242</v>
      </c>
      <c r="O86" s="86">
        <v>0.37878787878787878</v>
      </c>
      <c r="P86" s="86">
        <v>0.40251572327044027</v>
      </c>
      <c r="Q86" s="86">
        <v>0.30412371134020616</v>
      </c>
    </row>
    <row r="87" spans="1:17" x14ac:dyDescent="0.4">
      <c r="A87" s="88">
        <v>84</v>
      </c>
      <c r="B87" s="85">
        <v>-371.89999999999992</v>
      </c>
      <c r="C87" s="85">
        <v>-4.4273809523809513</v>
      </c>
      <c r="D87" s="90">
        <v>2.1190476190476191</v>
      </c>
      <c r="E87" s="86">
        <v>0.29761904761904762</v>
      </c>
      <c r="F87" s="86">
        <v>0.25555555555555554</v>
      </c>
      <c r="G87" s="86">
        <v>0.19682539682539682</v>
      </c>
      <c r="H87" s="87">
        <v>11440.372670807454</v>
      </c>
      <c r="I87" s="87">
        <v>-10391.129032258064</v>
      </c>
      <c r="J87" s="86">
        <v>0.23809523809523808</v>
      </c>
      <c r="K87" s="86">
        <v>0.15476190476190477</v>
      </c>
      <c r="L87" s="86">
        <v>0.2872628726287263</v>
      </c>
      <c r="M87" s="86">
        <v>0.18157181571815717</v>
      </c>
      <c r="N87" s="86">
        <v>0.55660377358490565</v>
      </c>
      <c r="O87" s="86">
        <v>0.38805970149253732</v>
      </c>
      <c r="P87" s="86">
        <v>0.40372670807453415</v>
      </c>
      <c r="Q87" s="86">
        <v>0.30612244897959184</v>
      </c>
    </row>
    <row r="88" spans="1:17" x14ac:dyDescent="0.4">
      <c r="A88" s="88">
        <v>85</v>
      </c>
      <c r="B88" s="85">
        <v>-409.89999999999992</v>
      </c>
      <c r="C88" s="85">
        <v>-4.8223529411764696</v>
      </c>
      <c r="D88" s="90">
        <v>2.1294117647058823</v>
      </c>
      <c r="E88" s="86">
        <v>0.29411764705882354</v>
      </c>
      <c r="F88" s="86">
        <v>0.25354330708661416</v>
      </c>
      <c r="G88" s="86">
        <v>0.19685039370078741</v>
      </c>
      <c r="H88" s="87">
        <v>11440.372670807454</v>
      </c>
      <c r="I88" s="87">
        <v>-10404</v>
      </c>
      <c r="J88" s="86">
        <v>0.24705882352941178</v>
      </c>
      <c r="K88" s="86">
        <v>0.15294117647058825</v>
      </c>
      <c r="L88" s="86">
        <v>0.28342245989304815</v>
      </c>
      <c r="M88" s="86">
        <v>0.17914438502673796</v>
      </c>
      <c r="N88" s="86">
        <v>0.55660377358490565</v>
      </c>
      <c r="O88" s="86">
        <v>0.38805970149253732</v>
      </c>
      <c r="P88" s="86">
        <v>0.40372670807453415</v>
      </c>
      <c r="Q88" s="86">
        <v>0.30612244897959184</v>
      </c>
    </row>
    <row r="89" spans="1:17" x14ac:dyDescent="0.4">
      <c r="A89" s="88">
        <v>86</v>
      </c>
      <c r="B89" s="85">
        <v>-386.39999999999992</v>
      </c>
      <c r="C89" s="85">
        <v>-4.4930232558139522</v>
      </c>
      <c r="D89" s="90">
        <v>2.1279069767441858</v>
      </c>
      <c r="E89" s="86">
        <v>0.29069767441860467</v>
      </c>
      <c r="F89" s="86">
        <v>0.25349922239502332</v>
      </c>
      <c r="G89" s="86">
        <v>0.19595645412130638</v>
      </c>
      <c r="H89" s="87">
        <v>11508.588957055215</v>
      </c>
      <c r="I89" s="87">
        <v>-10384.920634920634</v>
      </c>
      <c r="J89" s="86">
        <v>0.2441860465116279</v>
      </c>
      <c r="K89" s="86">
        <v>0.15116279069767441</v>
      </c>
      <c r="L89" s="86">
        <v>0.2879581151832461</v>
      </c>
      <c r="M89" s="86">
        <v>0.17801047120418848</v>
      </c>
      <c r="N89" s="86">
        <v>0.55454545454545456</v>
      </c>
      <c r="O89" s="86">
        <v>0.38235294117647056</v>
      </c>
      <c r="P89" s="86">
        <v>0.41104294478527609</v>
      </c>
      <c r="Q89" s="86">
        <v>0.30499999999999999</v>
      </c>
    </row>
    <row r="90" spans="1:17" x14ac:dyDescent="0.4">
      <c r="A90" s="88">
        <v>87</v>
      </c>
      <c r="B90" s="85">
        <v>-360.69999999999993</v>
      </c>
      <c r="C90" s="85">
        <v>-4.145977011494252</v>
      </c>
      <c r="D90" s="90">
        <v>2.1149425287356323</v>
      </c>
      <c r="E90" s="86">
        <v>0.2988505747126437</v>
      </c>
      <c r="F90" s="86">
        <v>0.25613496932515339</v>
      </c>
      <c r="G90" s="86">
        <v>0.19325153374233128</v>
      </c>
      <c r="H90" s="87">
        <v>11431.736526946108</v>
      </c>
      <c r="I90" s="87">
        <v>-10384.920634920634</v>
      </c>
      <c r="J90" s="86">
        <v>0.2413793103448276</v>
      </c>
      <c r="K90" s="86">
        <v>0.14942528735632185</v>
      </c>
      <c r="L90" s="86">
        <v>0.28900255754475701</v>
      </c>
      <c r="M90" s="86">
        <v>0.17902813299232737</v>
      </c>
      <c r="N90" s="86">
        <v>0.5663716814159292</v>
      </c>
      <c r="O90" s="86">
        <v>0.38571428571428573</v>
      </c>
      <c r="P90" s="86">
        <v>0.41916167664670656</v>
      </c>
      <c r="Q90" s="86">
        <v>0.30882352941176472</v>
      </c>
    </row>
    <row r="91" spans="1:17" x14ac:dyDescent="0.4">
      <c r="A91" s="88">
        <v>88</v>
      </c>
      <c r="B91" s="85">
        <v>-377.49999999999994</v>
      </c>
      <c r="C91" s="85">
        <v>-4.2897727272727266</v>
      </c>
      <c r="D91" s="90">
        <v>2.125</v>
      </c>
      <c r="E91" s="86">
        <v>0.29545454545454547</v>
      </c>
      <c r="F91" s="86">
        <v>0.25679758308157102</v>
      </c>
      <c r="G91" s="86">
        <v>0.19637462235649547</v>
      </c>
      <c r="H91" s="87">
        <v>11335.294117647059</v>
      </c>
      <c r="I91" s="87">
        <v>-10336.153846153846</v>
      </c>
      <c r="J91" s="86">
        <v>0.23863636363636365</v>
      </c>
      <c r="K91" s="86">
        <v>0.14772727272727273</v>
      </c>
      <c r="L91" s="86">
        <v>0.28678304239401498</v>
      </c>
      <c r="M91" s="86">
        <v>0.18453865336658354</v>
      </c>
      <c r="N91" s="86">
        <v>0.57391304347826089</v>
      </c>
      <c r="O91" s="86">
        <v>0.3783783783783784</v>
      </c>
      <c r="P91" s="86">
        <v>0.41764705882352943</v>
      </c>
      <c r="Q91" s="86">
        <v>0.3125</v>
      </c>
    </row>
    <row r="92" spans="1:17" x14ac:dyDescent="0.4">
      <c r="A92" s="88">
        <v>89</v>
      </c>
      <c r="B92" s="85">
        <v>-410.29999999999995</v>
      </c>
      <c r="C92" s="85">
        <v>-4.6101123595505609</v>
      </c>
      <c r="D92" s="90">
        <v>2.1348314606741572</v>
      </c>
      <c r="E92" s="86">
        <v>0.29213483146067415</v>
      </c>
      <c r="F92" s="86">
        <v>0.25297619047619047</v>
      </c>
      <c r="G92" s="86">
        <v>0.19940476190476192</v>
      </c>
      <c r="H92" s="87">
        <v>11335.294117647059</v>
      </c>
      <c r="I92" s="87">
        <v>-10171.641791044776</v>
      </c>
      <c r="J92" s="86">
        <v>0.23595505617977527</v>
      </c>
      <c r="K92" s="86">
        <v>0.14606741573033707</v>
      </c>
      <c r="L92" s="86">
        <v>0.28223844282238442</v>
      </c>
      <c r="M92" s="86">
        <v>0.18734793187347931</v>
      </c>
      <c r="N92" s="86">
        <v>0.56896551724137934</v>
      </c>
      <c r="O92" s="86">
        <v>0.36363636363636365</v>
      </c>
      <c r="P92" s="86">
        <v>0.41764705882352943</v>
      </c>
      <c r="Q92" s="86">
        <v>0.30952380952380953</v>
      </c>
    </row>
    <row r="93" spans="1:17" x14ac:dyDescent="0.4">
      <c r="A93" s="88">
        <v>90</v>
      </c>
      <c r="B93" s="85">
        <v>-405.79999999999995</v>
      </c>
      <c r="C93" s="85">
        <v>-4.5088888888888885</v>
      </c>
      <c r="D93" s="90">
        <v>2.1333333333333333</v>
      </c>
      <c r="E93" s="86">
        <v>0.28888888888888886</v>
      </c>
      <c r="F93" s="86">
        <v>0.25221238938053098</v>
      </c>
      <c r="G93" s="86">
        <v>0.19764011799410031</v>
      </c>
      <c r="H93" s="87">
        <v>11374.269005847953</v>
      </c>
      <c r="I93" s="87">
        <v>-10171.641791044776</v>
      </c>
      <c r="J93" s="86">
        <v>0.23333333333333334</v>
      </c>
      <c r="K93" s="86">
        <v>0.14444444444444443</v>
      </c>
      <c r="L93" s="86">
        <v>0.28297362110311752</v>
      </c>
      <c r="M93" s="86">
        <v>0.18465227817745802</v>
      </c>
      <c r="N93" s="86">
        <v>0.56779661016949157</v>
      </c>
      <c r="O93" s="86">
        <v>0.36363636363636365</v>
      </c>
      <c r="P93" s="86">
        <v>0.41520467836257308</v>
      </c>
      <c r="Q93" s="86">
        <v>0.30985915492957744</v>
      </c>
    </row>
    <row r="94" spans="1:17" x14ac:dyDescent="0.4">
      <c r="A94" s="88">
        <v>91</v>
      </c>
      <c r="B94" s="85">
        <v>-395.29999999999995</v>
      </c>
      <c r="C94" s="85">
        <v>-4.3439560439560436</v>
      </c>
      <c r="D94" s="90">
        <v>2.1318681318681318</v>
      </c>
      <c r="E94" s="86">
        <v>0.2857142857142857</v>
      </c>
      <c r="F94" s="86">
        <v>0.25329428989751096</v>
      </c>
      <c r="G94" s="86">
        <v>0.19619326500732065</v>
      </c>
      <c r="H94" s="87">
        <v>11335.260115606936</v>
      </c>
      <c r="I94" s="87">
        <v>-10171.641791044776</v>
      </c>
      <c r="J94" s="86">
        <v>0.23076923076923078</v>
      </c>
      <c r="K94" s="86">
        <v>0.14285714285714285</v>
      </c>
      <c r="L94" s="86">
        <v>0.28199052132701424</v>
      </c>
      <c r="M94" s="86">
        <v>0.19194312796208532</v>
      </c>
      <c r="N94" s="86">
        <v>0.56302521008403361</v>
      </c>
      <c r="O94" s="86">
        <v>0.37037037037037035</v>
      </c>
      <c r="P94" s="86">
        <v>0.41618497109826591</v>
      </c>
      <c r="Q94" s="86">
        <v>0.31018518518518517</v>
      </c>
    </row>
    <row r="95" spans="1:17" x14ac:dyDescent="0.4">
      <c r="A95" s="88">
        <v>92</v>
      </c>
      <c r="B95" s="85">
        <v>-365.49999999999994</v>
      </c>
      <c r="C95" s="85">
        <v>-3.9728260869565211</v>
      </c>
      <c r="D95" s="90">
        <v>2.1195652173913042</v>
      </c>
      <c r="E95" s="86">
        <v>0.29347826086956524</v>
      </c>
      <c r="F95" s="86">
        <v>0.25362318840579712</v>
      </c>
      <c r="G95" s="86">
        <v>0.19565217391304349</v>
      </c>
      <c r="H95" s="87">
        <v>11418.285714285714</v>
      </c>
      <c r="I95" s="87">
        <v>-10125.185185185184</v>
      </c>
      <c r="J95" s="86">
        <v>0.22826086956521738</v>
      </c>
      <c r="K95" s="86">
        <v>0.14130434782608695</v>
      </c>
      <c r="L95" s="86">
        <v>0.28205128205128205</v>
      </c>
      <c r="M95" s="86">
        <v>0.1888111888111888</v>
      </c>
      <c r="N95" s="86">
        <v>0.57024793388429751</v>
      </c>
      <c r="O95" s="86">
        <v>0.37037037037037035</v>
      </c>
      <c r="P95" s="86">
        <v>0.41142857142857142</v>
      </c>
      <c r="Q95" s="86">
        <v>0.30733944954128439</v>
      </c>
    </row>
    <row r="96" spans="1:17" x14ac:dyDescent="0.4">
      <c r="A96" s="88">
        <v>93</v>
      </c>
      <c r="B96" s="85">
        <v>-401.99999999999994</v>
      </c>
      <c r="C96" s="85">
        <v>-4.32258064516129</v>
      </c>
      <c r="D96" s="90">
        <v>2.129032258064516</v>
      </c>
      <c r="E96" s="86">
        <v>0.29032258064516131</v>
      </c>
      <c r="F96" s="86">
        <v>0.24964336661911554</v>
      </c>
      <c r="G96" s="86">
        <v>0.19828815977175462</v>
      </c>
      <c r="H96" s="87">
        <v>11418.285714285714</v>
      </c>
      <c r="I96" s="87">
        <v>-9941.0071942446048</v>
      </c>
      <c r="J96" s="86">
        <v>0.23655913978494625</v>
      </c>
      <c r="K96" s="86">
        <v>0.13978494623655913</v>
      </c>
      <c r="L96" s="86">
        <v>0.27954545454545454</v>
      </c>
      <c r="M96" s="86">
        <v>0.18863636363636363</v>
      </c>
      <c r="N96" s="86">
        <v>0.56097560975609762</v>
      </c>
      <c r="O96" s="86">
        <v>0.36144578313253012</v>
      </c>
      <c r="P96" s="86">
        <v>0.41142857142857142</v>
      </c>
      <c r="Q96" s="86">
        <v>0.30593607305936071</v>
      </c>
    </row>
    <row r="97" spans="1:17" x14ac:dyDescent="0.4">
      <c r="A97" s="88">
        <v>94</v>
      </c>
      <c r="B97" s="85">
        <v>-372.59999999999997</v>
      </c>
      <c r="C97" s="85">
        <v>-3.963829787234042</v>
      </c>
      <c r="D97" s="90">
        <v>2.1170212765957448</v>
      </c>
      <c r="E97" s="86">
        <v>0.2978723404255319</v>
      </c>
      <c r="F97" s="86">
        <v>0.25212464589235128</v>
      </c>
      <c r="G97" s="86">
        <v>0.19688385269121814</v>
      </c>
      <c r="H97" s="87">
        <v>11391.011235955057</v>
      </c>
      <c r="I97" s="87">
        <v>-9941.0071942446048</v>
      </c>
      <c r="J97" s="86">
        <v>0.23404255319148937</v>
      </c>
      <c r="K97" s="86">
        <v>0.14893617021276595</v>
      </c>
      <c r="L97" s="86">
        <v>0.27640449438202247</v>
      </c>
      <c r="M97" s="86">
        <v>0.19101123595505617</v>
      </c>
      <c r="N97" s="86">
        <v>0.56097560975609762</v>
      </c>
      <c r="O97" s="86">
        <v>0.36470588235294116</v>
      </c>
      <c r="P97" s="86">
        <v>0.4101123595505618</v>
      </c>
      <c r="Q97" s="86">
        <v>0.30769230769230771</v>
      </c>
    </row>
    <row r="98" spans="1:17" x14ac:dyDescent="0.4">
      <c r="A98" s="88">
        <v>95</v>
      </c>
      <c r="B98" s="85">
        <v>-399.4</v>
      </c>
      <c r="C98" s="85">
        <v>-4.204210526315789</v>
      </c>
      <c r="D98" s="90">
        <v>2.1157894736842104</v>
      </c>
      <c r="E98" s="86">
        <v>0.29473684210526313</v>
      </c>
      <c r="F98" s="86">
        <v>0.25070028011204482</v>
      </c>
      <c r="G98" s="86">
        <v>0.19467787114845939</v>
      </c>
      <c r="H98" s="87">
        <v>11356.424581005587</v>
      </c>
      <c r="I98" s="87">
        <v>-9941.0071942446048</v>
      </c>
      <c r="J98" s="86">
        <v>0.23157894736842105</v>
      </c>
      <c r="K98" s="86">
        <v>0.14736842105263157</v>
      </c>
      <c r="L98" s="86">
        <v>0.27814569536423839</v>
      </c>
      <c r="M98" s="86">
        <v>0.18984547461368653</v>
      </c>
      <c r="N98" s="86">
        <v>0.55555555555555558</v>
      </c>
      <c r="O98" s="86">
        <v>0.36046511627906974</v>
      </c>
      <c r="P98" s="86">
        <v>0.40782122905027934</v>
      </c>
      <c r="Q98" s="86">
        <v>0.30630630630630629</v>
      </c>
    </row>
    <row r="99" spans="1:17" x14ac:dyDescent="0.4">
      <c r="A99" s="88">
        <v>96</v>
      </c>
      <c r="B99" s="85">
        <v>-381</v>
      </c>
      <c r="C99" s="85">
        <v>-3.96875</v>
      </c>
      <c r="D99" s="90">
        <v>2.1041666666666665</v>
      </c>
      <c r="E99" s="86">
        <v>0.30208333333333331</v>
      </c>
      <c r="F99" s="86">
        <v>0.2544951590594744</v>
      </c>
      <c r="G99" s="86">
        <v>0.19502074688796681</v>
      </c>
      <c r="H99" s="87">
        <v>11308.152173913044</v>
      </c>
      <c r="I99" s="87">
        <v>-10026.950354609929</v>
      </c>
      <c r="J99" s="86">
        <v>0.22916666666666666</v>
      </c>
      <c r="K99" s="86">
        <v>0.14583333333333334</v>
      </c>
      <c r="L99" s="86">
        <v>0.2813852813852814</v>
      </c>
      <c r="M99" s="86">
        <v>0.18831168831168832</v>
      </c>
      <c r="N99" s="86">
        <v>0.56153846153846154</v>
      </c>
      <c r="O99" s="86">
        <v>0.36781609195402298</v>
      </c>
      <c r="P99" s="86">
        <v>0.40760869565217389</v>
      </c>
      <c r="Q99" s="86">
        <v>0.30530973451327431</v>
      </c>
    </row>
    <row r="100" spans="1:17" x14ac:dyDescent="0.4">
      <c r="A100" s="88">
        <v>97</v>
      </c>
      <c r="B100" s="85">
        <v>-393.5</v>
      </c>
      <c r="C100" s="85">
        <v>-4.0567010309278349</v>
      </c>
      <c r="D100" s="90">
        <v>2.1030927835051547</v>
      </c>
      <c r="E100" s="86">
        <v>0.29896907216494845</v>
      </c>
      <c r="F100" s="86">
        <v>0.25546448087431695</v>
      </c>
      <c r="G100" s="86">
        <v>0.1953551912568306</v>
      </c>
      <c r="H100" s="87">
        <v>11308.55614973262</v>
      </c>
      <c r="I100" s="87">
        <v>-10082.517482517482</v>
      </c>
      <c r="J100" s="86">
        <v>0.22680412371134021</v>
      </c>
      <c r="K100" s="86">
        <v>0.14432989690721648</v>
      </c>
      <c r="L100" s="86">
        <v>0.28025477707006369</v>
      </c>
      <c r="M100" s="86">
        <v>0.18683651804670912</v>
      </c>
      <c r="N100" s="86">
        <v>0.56818181818181823</v>
      </c>
      <c r="O100" s="86">
        <v>0.375</v>
      </c>
      <c r="P100" s="86">
        <v>0.40641711229946526</v>
      </c>
      <c r="Q100" s="86">
        <v>0.3056768558951965</v>
      </c>
    </row>
    <row r="101" spans="1:17" x14ac:dyDescent="0.4">
      <c r="A101" s="88">
        <v>98</v>
      </c>
      <c r="B101" s="85">
        <v>-333</v>
      </c>
      <c r="C101" s="85">
        <v>-3.3979591836734695</v>
      </c>
      <c r="D101" s="90">
        <v>2.0918367346938775</v>
      </c>
      <c r="E101" s="86">
        <v>0.30612244897959184</v>
      </c>
      <c r="F101" s="86">
        <v>0.25780189959294436</v>
      </c>
      <c r="G101" s="86">
        <v>0.19402985074626866</v>
      </c>
      <c r="H101" s="87">
        <v>11466.842105263158</v>
      </c>
      <c r="I101" s="87">
        <v>-10082.517482517482</v>
      </c>
      <c r="J101" s="86">
        <v>0.22448979591836735</v>
      </c>
      <c r="K101" s="86">
        <v>0.15306122448979592</v>
      </c>
      <c r="L101" s="86">
        <v>0.28361344537815125</v>
      </c>
      <c r="M101" s="86">
        <v>0.18907563025210083</v>
      </c>
      <c r="N101" s="86">
        <v>0.57037037037037042</v>
      </c>
      <c r="O101" s="86">
        <v>0.37777777777777777</v>
      </c>
      <c r="P101" s="86">
        <v>0.41052631578947368</v>
      </c>
      <c r="Q101" s="86">
        <v>0.30869565217391304</v>
      </c>
    </row>
    <row r="102" spans="1:17" x14ac:dyDescent="0.4">
      <c r="A102" s="88">
        <v>99</v>
      </c>
      <c r="B102" s="85">
        <v>-362.5</v>
      </c>
      <c r="C102" s="85">
        <v>-3.6616161616161618</v>
      </c>
      <c r="D102" s="90">
        <v>2.1010101010101012</v>
      </c>
      <c r="E102" s="86">
        <v>0.30303030303030304</v>
      </c>
      <c r="F102" s="86">
        <v>0.25534759358288772</v>
      </c>
      <c r="G102" s="86">
        <v>0.19385026737967914</v>
      </c>
      <c r="H102" s="87">
        <v>11448.69109947644</v>
      </c>
      <c r="I102" s="87">
        <v>-10051.724137931034</v>
      </c>
      <c r="J102" s="86">
        <v>0.22222222222222221</v>
      </c>
      <c r="K102" s="86">
        <v>0.15151515151515152</v>
      </c>
      <c r="L102" s="86">
        <v>0.28747433264887062</v>
      </c>
      <c r="M102" s="86">
        <v>0.18480492813141683</v>
      </c>
      <c r="N102" s="86">
        <v>0.55714285714285716</v>
      </c>
      <c r="O102" s="86">
        <v>0.37777777777777777</v>
      </c>
      <c r="P102" s="86">
        <v>0.41361256544502617</v>
      </c>
      <c r="Q102" s="86">
        <v>0.30603448275862066</v>
      </c>
    </row>
    <row r="103" spans="1:17" x14ac:dyDescent="0.4">
      <c r="A103" s="88">
        <v>100</v>
      </c>
      <c r="B103" s="85">
        <v>-376.4</v>
      </c>
      <c r="C103" s="85">
        <v>-3.7639999999999998</v>
      </c>
      <c r="D103" s="90">
        <v>2.11</v>
      </c>
      <c r="E103" s="86">
        <v>0.3</v>
      </c>
      <c r="F103" s="86">
        <v>0.25562913907284768</v>
      </c>
      <c r="G103" s="86">
        <v>0.19470198675496689</v>
      </c>
      <c r="H103" s="87">
        <v>11454.40414507772</v>
      </c>
      <c r="I103" s="87">
        <v>-10104.761904761905</v>
      </c>
      <c r="J103" s="86">
        <v>0.22</v>
      </c>
      <c r="K103" s="86">
        <v>0.15</v>
      </c>
      <c r="L103" s="86">
        <v>0.2834008097165992</v>
      </c>
      <c r="M103" s="86">
        <v>0.19028340080971659</v>
      </c>
      <c r="N103" s="86">
        <v>0.55714285714285716</v>
      </c>
      <c r="O103" s="86">
        <v>0.38297872340425532</v>
      </c>
      <c r="P103" s="86">
        <v>0.40932642487046633</v>
      </c>
      <c r="Q103" s="86">
        <v>0.30638297872340425</v>
      </c>
    </row>
    <row r="104" spans="1:17" x14ac:dyDescent="0.4">
      <c r="A104" s="88">
        <v>101</v>
      </c>
      <c r="B104" s="85">
        <v>-374.7</v>
      </c>
      <c r="C104" s="85">
        <v>-3.7099009900990096</v>
      </c>
      <c r="D104" s="90">
        <v>2.108910891089109</v>
      </c>
      <c r="E104" s="86">
        <v>0.29702970297029702</v>
      </c>
      <c r="F104" s="86">
        <v>0.25654450261780104</v>
      </c>
      <c r="G104" s="86">
        <v>0.1950261780104712</v>
      </c>
      <c r="H104" s="87">
        <v>11472.959183673469</v>
      </c>
      <c r="I104" s="87">
        <v>-10061.744966442953</v>
      </c>
      <c r="J104" s="86">
        <v>0.21782178217821782</v>
      </c>
      <c r="K104" s="86">
        <v>0.14851485148514851</v>
      </c>
      <c r="L104" s="86">
        <v>0.28628230616302186</v>
      </c>
      <c r="M104" s="86">
        <v>0.18886679920477137</v>
      </c>
      <c r="N104" s="86">
        <v>0.5625</v>
      </c>
      <c r="O104" s="86">
        <v>0.37894736842105264</v>
      </c>
      <c r="P104" s="86">
        <v>0.41836734693877553</v>
      </c>
      <c r="Q104" s="86">
        <v>0.30962343096234307</v>
      </c>
    </row>
    <row r="105" spans="1:17" x14ac:dyDescent="0.4">
      <c r="A105" s="88">
        <v>102</v>
      </c>
      <c r="B105" s="85">
        <v>-401.4</v>
      </c>
      <c r="C105" s="85">
        <v>-3.9352941176470586</v>
      </c>
      <c r="D105" s="90">
        <v>2.1176470588235294</v>
      </c>
      <c r="E105" s="86">
        <v>0.29411764705882354</v>
      </c>
      <c r="F105" s="86">
        <v>0.25551232166018156</v>
      </c>
      <c r="G105" s="86">
        <v>0.19584954604409857</v>
      </c>
      <c r="H105" s="87">
        <v>11441.116751269035</v>
      </c>
      <c r="I105" s="87">
        <v>-10015.8940397351</v>
      </c>
      <c r="J105" s="86">
        <v>0.21568627450980393</v>
      </c>
      <c r="K105" s="86">
        <v>0.14705882352941177</v>
      </c>
      <c r="L105" s="86">
        <v>0.28627450980392155</v>
      </c>
      <c r="M105" s="86">
        <v>0.18823529411764706</v>
      </c>
      <c r="N105" s="86">
        <v>0.56164383561643838</v>
      </c>
      <c r="O105" s="86">
        <v>0.375</v>
      </c>
      <c r="P105" s="86">
        <v>0.41624365482233505</v>
      </c>
      <c r="Q105" s="86">
        <v>0.30705394190871371</v>
      </c>
    </row>
    <row r="106" spans="1:17" x14ac:dyDescent="0.4">
      <c r="A106" s="88">
        <v>103</v>
      </c>
      <c r="B106" s="85">
        <v>-426.9</v>
      </c>
      <c r="C106" s="85">
        <v>-4.1446601941747572</v>
      </c>
      <c r="D106" s="90">
        <v>2.1262135922330097</v>
      </c>
      <c r="E106" s="86">
        <v>0.29126213592233008</v>
      </c>
      <c r="F106" s="86">
        <v>0.25578406169665807</v>
      </c>
      <c r="G106" s="86">
        <v>0.19794344473007713</v>
      </c>
      <c r="H106" s="87">
        <v>11392.462311557789</v>
      </c>
      <c r="I106" s="87">
        <v>-10016.883116883117</v>
      </c>
      <c r="J106" s="86">
        <v>0.21359223300970873</v>
      </c>
      <c r="K106" s="86">
        <v>0.14563106796116504</v>
      </c>
      <c r="L106" s="86">
        <v>0.28820116054158607</v>
      </c>
      <c r="M106" s="86">
        <v>0.18762088974854932</v>
      </c>
      <c r="N106" s="86">
        <v>0.56375838926174493</v>
      </c>
      <c r="O106" s="86">
        <v>0.37113402061855671</v>
      </c>
      <c r="P106" s="86">
        <v>0.41708542713567837</v>
      </c>
      <c r="Q106" s="86">
        <v>0.30452674897119342</v>
      </c>
    </row>
    <row r="107" spans="1:17" x14ac:dyDescent="0.4">
      <c r="A107" s="88">
        <v>104</v>
      </c>
      <c r="B107" s="85">
        <v>-436.4</v>
      </c>
      <c r="C107" s="85">
        <v>-4.1961538461538463</v>
      </c>
      <c r="D107" s="90">
        <v>2.1346153846153846</v>
      </c>
      <c r="E107" s="86">
        <v>0.28846153846153844</v>
      </c>
      <c r="F107" s="86">
        <v>0.25507614213197971</v>
      </c>
      <c r="G107" s="86">
        <v>0.1967005076142132</v>
      </c>
      <c r="H107" s="87">
        <v>11378.606965174129</v>
      </c>
      <c r="I107" s="87">
        <v>-10029.677419354839</v>
      </c>
      <c r="J107" s="86">
        <v>0.21153846153846154</v>
      </c>
      <c r="K107" s="86">
        <v>0.14423076923076922</v>
      </c>
      <c r="L107" s="86">
        <v>0.2884250474383302</v>
      </c>
      <c r="M107" s="86">
        <v>0.1859582542694497</v>
      </c>
      <c r="N107" s="86">
        <v>0.55921052631578949</v>
      </c>
      <c r="O107" s="86">
        <v>0.37755102040816324</v>
      </c>
      <c r="P107" s="86">
        <v>0.41293532338308458</v>
      </c>
      <c r="Q107" s="86">
        <v>0.30364372469635625</v>
      </c>
    </row>
    <row r="108" spans="1:17" x14ac:dyDescent="0.4">
      <c r="A108" s="88">
        <v>105</v>
      </c>
      <c r="B108" s="85">
        <v>-425.59999999999997</v>
      </c>
      <c r="C108" s="85">
        <v>-4.0533333333333328</v>
      </c>
      <c r="D108" s="90">
        <v>2.1333333333333333</v>
      </c>
      <c r="E108" s="86">
        <v>0.2857142857142857</v>
      </c>
      <c r="F108" s="86">
        <v>0.2565707133917397</v>
      </c>
      <c r="G108" s="86">
        <v>0.19524405506883605</v>
      </c>
      <c r="H108" s="87">
        <v>11311.707317073171</v>
      </c>
      <c r="I108" s="87">
        <v>-10016.666666666666</v>
      </c>
      <c r="J108" s="86">
        <v>0.20952380952380953</v>
      </c>
      <c r="K108" s="86">
        <v>0.14285714285714285</v>
      </c>
      <c r="L108" s="86">
        <v>0.2899628252788104</v>
      </c>
      <c r="M108" s="86">
        <v>0.18401486988847585</v>
      </c>
      <c r="N108" s="86">
        <v>0.55769230769230771</v>
      </c>
      <c r="O108" s="86">
        <v>0.38383838383838381</v>
      </c>
      <c r="P108" s="86">
        <v>0.40975609756097559</v>
      </c>
      <c r="Q108" s="86">
        <v>0.30830039525691699</v>
      </c>
    </row>
    <row r="109" spans="1:17" x14ac:dyDescent="0.4">
      <c r="A109" s="88">
        <v>106</v>
      </c>
      <c r="B109" s="85">
        <v>-438.49999999999994</v>
      </c>
      <c r="C109" s="85">
        <v>-4.1367924528301883</v>
      </c>
      <c r="D109" s="90">
        <v>2.141509433962264</v>
      </c>
      <c r="E109" s="86">
        <v>0.28301886792452829</v>
      </c>
      <c r="F109" s="86">
        <v>0.25738916256157635</v>
      </c>
      <c r="G109" s="86">
        <v>0.19458128078817735</v>
      </c>
      <c r="H109" s="87">
        <v>11244.497607655503</v>
      </c>
      <c r="I109" s="87">
        <v>-10058.227848101265</v>
      </c>
      <c r="J109" s="86">
        <v>0.20754716981132076</v>
      </c>
      <c r="K109" s="86">
        <v>0.14150943396226415</v>
      </c>
      <c r="L109" s="86">
        <v>0.29401088929219599</v>
      </c>
      <c r="M109" s="86">
        <v>0.18148820326678766</v>
      </c>
      <c r="N109" s="86">
        <v>0.55555555555555558</v>
      </c>
      <c r="O109" s="86">
        <v>0.38</v>
      </c>
      <c r="P109" s="86">
        <v>0.41626794258373206</v>
      </c>
      <c r="Q109" s="86">
        <v>0.31007751937984496</v>
      </c>
    </row>
    <row r="110" spans="1:17" x14ac:dyDescent="0.4">
      <c r="A110" s="88">
        <v>107</v>
      </c>
      <c r="B110" s="85">
        <v>-433.59999999999997</v>
      </c>
      <c r="C110" s="85">
        <v>-4.0523364485981306</v>
      </c>
      <c r="D110" s="90">
        <v>2.1401869158878504</v>
      </c>
      <c r="E110" s="86">
        <v>0.28037383177570091</v>
      </c>
      <c r="F110" s="86">
        <v>0.25672371638141811</v>
      </c>
      <c r="G110" s="86">
        <v>0.19559902200488999</v>
      </c>
      <c r="H110" s="87">
        <v>11267.142857142857</v>
      </c>
      <c r="I110" s="87">
        <v>-9988.75</v>
      </c>
      <c r="J110" s="86">
        <v>0.20560747663551401</v>
      </c>
      <c r="K110" s="86">
        <v>0.14018691588785046</v>
      </c>
      <c r="L110" s="86">
        <v>0.29443447037701975</v>
      </c>
      <c r="M110" s="86">
        <v>0.18312387791741472</v>
      </c>
      <c r="N110" s="86">
        <v>0.55487804878048785</v>
      </c>
      <c r="O110" s="86">
        <v>0.37254901960784315</v>
      </c>
      <c r="P110" s="86">
        <v>0.41904761904761906</v>
      </c>
      <c r="Q110" s="86">
        <v>0.30769230769230771</v>
      </c>
    </row>
    <row r="111" spans="1:17" x14ac:dyDescent="0.4">
      <c r="A111" s="88">
        <v>108</v>
      </c>
      <c r="B111" s="85">
        <v>-426.99999999999994</v>
      </c>
      <c r="C111" s="85">
        <v>-3.9537037037037033</v>
      </c>
      <c r="D111" s="90">
        <v>2.1296296296296298</v>
      </c>
      <c r="E111" s="86">
        <v>0.28703703703703703</v>
      </c>
      <c r="F111" s="86">
        <v>0.25786924939467315</v>
      </c>
      <c r="G111" s="86">
        <v>0.19491525423728814</v>
      </c>
      <c r="H111" s="87">
        <v>11252.112676056338</v>
      </c>
      <c r="I111" s="87">
        <v>-9976.3975155279495</v>
      </c>
      <c r="J111" s="86">
        <v>0.20370370370370369</v>
      </c>
      <c r="K111" s="86">
        <v>0.1388888888888889</v>
      </c>
      <c r="L111" s="86">
        <v>0.2938053097345133</v>
      </c>
      <c r="M111" s="86">
        <v>0.18230088495575222</v>
      </c>
      <c r="N111" s="86">
        <v>0.56024096385542166</v>
      </c>
      <c r="O111" s="86">
        <v>0.37864077669902912</v>
      </c>
      <c r="P111" s="86">
        <v>0.41784037558685444</v>
      </c>
      <c r="Q111" s="86">
        <v>0.30798479087452474</v>
      </c>
    </row>
    <row r="112" spans="1:17" x14ac:dyDescent="0.4">
      <c r="A112" s="88">
        <v>109</v>
      </c>
      <c r="B112" s="85">
        <v>-462.89999999999992</v>
      </c>
      <c r="C112" s="85">
        <v>-4.2467889908256877</v>
      </c>
      <c r="D112" s="90">
        <v>2.1284403669724772</v>
      </c>
      <c r="E112" s="86">
        <v>0.28440366972477066</v>
      </c>
      <c r="F112" s="86">
        <v>0.25656324582338902</v>
      </c>
      <c r="G112" s="86">
        <v>0.19570405727923629</v>
      </c>
      <c r="H112" s="87">
        <v>11211.627906976744</v>
      </c>
      <c r="I112" s="87">
        <v>-9938.414634146342</v>
      </c>
      <c r="J112" s="86">
        <v>0.21100917431192662</v>
      </c>
      <c r="K112" s="86">
        <v>0.13761467889908258</v>
      </c>
      <c r="L112" s="86">
        <v>0.29116117850953205</v>
      </c>
      <c r="M112" s="86">
        <v>0.17850953206239167</v>
      </c>
      <c r="N112" s="86">
        <v>0.56547619047619047</v>
      </c>
      <c r="O112" s="86">
        <v>0.37864077669902912</v>
      </c>
      <c r="P112" s="86">
        <v>0.42325581395348838</v>
      </c>
      <c r="Q112" s="86">
        <v>0.31086142322097376</v>
      </c>
    </row>
    <row r="113" spans="1:17" x14ac:dyDescent="0.4">
      <c r="A113" s="88">
        <v>110</v>
      </c>
      <c r="B113" s="85">
        <v>-486.2999999999999</v>
      </c>
      <c r="C113" s="85">
        <v>-4.42090909090909</v>
      </c>
      <c r="D113" s="90">
        <v>2.1363636363636362</v>
      </c>
      <c r="E113" s="86">
        <v>0.2818181818181818</v>
      </c>
      <c r="F113" s="86">
        <v>0.25650118203309691</v>
      </c>
      <c r="G113" s="86">
        <v>0.19739952718676124</v>
      </c>
      <c r="H113" s="87">
        <v>11147.926267281106</v>
      </c>
      <c r="I113" s="87">
        <v>-9810.7784431137716</v>
      </c>
      <c r="J113" s="86">
        <v>0.20909090909090908</v>
      </c>
      <c r="K113" s="86">
        <v>0.13636363636363635</v>
      </c>
      <c r="L113" s="86">
        <v>0.29059829059829062</v>
      </c>
      <c r="M113" s="86">
        <v>0.17777777777777778</v>
      </c>
      <c r="N113" s="86">
        <v>0.56470588235294117</v>
      </c>
      <c r="O113" s="86">
        <v>0.38461538461538464</v>
      </c>
      <c r="P113" s="86">
        <v>0.42396313364055299</v>
      </c>
      <c r="Q113" s="86">
        <v>0.31111111111111112</v>
      </c>
    </row>
    <row r="114" spans="1:17" x14ac:dyDescent="0.4">
      <c r="A114" s="88">
        <v>111</v>
      </c>
      <c r="B114" s="85">
        <v>-468.39999999999992</v>
      </c>
      <c r="C114" s="85">
        <v>-4.2198198198198194</v>
      </c>
      <c r="D114" s="90">
        <v>2.1261261261261262</v>
      </c>
      <c r="E114" s="86">
        <v>0.28828828828828829</v>
      </c>
      <c r="F114" s="86">
        <v>0.2570093457943925</v>
      </c>
      <c r="G114" s="86">
        <v>0.19626168224299065</v>
      </c>
      <c r="H114" s="87">
        <v>11140.90909090909</v>
      </c>
      <c r="I114" s="87">
        <v>-9800</v>
      </c>
      <c r="J114" s="86">
        <v>0.2072072072072072</v>
      </c>
      <c r="K114" s="86">
        <v>0.13513513513513514</v>
      </c>
      <c r="L114" s="86">
        <v>0.29075630252100843</v>
      </c>
      <c r="M114" s="86">
        <v>0.17815126050420169</v>
      </c>
      <c r="N114" s="86">
        <v>0.56647398843930641</v>
      </c>
      <c r="O114" s="86">
        <v>0.3867924528301887</v>
      </c>
      <c r="P114" s="86">
        <v>0.42272727272727273</v>
      </c>
      <c r="Q114" s="86">
        <v>0.30882352941176472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0BBBE-47E6-4D41-A27B-3F8B5CD6C9C8}">
  <sheetPr codeName="Sheet12"/>
  <dimension ref="A1:Q6"/>
  <sheetViews>
    <sheetView workbookViewId="0"/>
  </sheetViews>
  <sheetFormatPr defaultColWidth="10.75" defaultRowHeight="18.75" x14ac:dyDescent="0.4"/>
  <cols>
    <col min="1" max="1" width="10.75" style="88"/>
    <col min="2" max="3" width="10.75" style="85"/>
    <col min="4" max="4" width="10.75" style="90"/>
    <col min="5" max="7" width="10.75" style="86"/>
    <col min="8" max="9" width="10.75" style="87"/>
    <col min="10" max="17" width="10.75" style="86"/>
    <col min="18" max="16384" width="10.75" style="89"/>
  </cols>
  <sheetData>
    <row r="1" spans="1:17" x14ac:dyDescent="0.4">
      <c r="A1" s="89" t="s">
        <v>171</v>
      </c>
      <c r="B1" s="89" t="s">
        <v>171</v>
      </c>
      <c r="C1" s="89" t="s">
        <v>171</v>
      </c>
      <c r="D1" s="90" t="s">
        <v>171</v>
      </c>
      <c r="E1" s="89" t="s">
        <v>171</v>
      </c>
      <c r="F1" s="89" t="s">
        <v>171</v>
      </c>
      <c r="G1" s="89" t="s">
        <v>171</v>
      </c>
      <c r="H1" s="89" t="s">
        <v>171</v>
      </c>
      <c r="I1" s="89" t="s">
        <v>171</v>
      </c>
      <c r="J1" s="89" t="s">
        <v>171</v>
      </c>
      <c r="K1" s="89" t="s">
        <v>171</v>
      </c>
      <c r="L1" s="89" t="s">
        <v>171</v>
      </c>
      <c r="M1" s="89" t="s">
        <v>171</v>
      </c>
      <c r="N1" s="89" t="s">
        <v>171</v>
      </c>
      <c r="O1" s="89" t="s">
        <v>171</v>
      </c>
      <c r="P1" s="89" t="s">
        <v>171</v>
      </c>
      <c r="Q1" s="89" t="s">
        <v>171</v>
      </c>
    </row>
    <row r="2" spans="1:17" x14ac:dyDescent="0.4">
      <c r="A2" s="89" t="s">
        <v>9</v>
      </c>
      <c r="B2" s="89" t="s">
        <v>6</v>
      </c>
      <c r="C2" s="89" t="s">
        <v>7</v>
      </c>
      <c r="D2" s="90" t="s">
        <v>16</v>
      </c>
      <c r="E2" s="89" t="s">
        <v>15</v>
      </c>
      <c r="F2" s="89" t="s">
        <v>167</v>
      </c>
      <c r="G2" s="89" t="s">
        <v>166</v>
      </c>
      <c r="H2" s="89" t="s">
        <v>5</v>
      </c>
      <c r="I2" s="89" t="s">
        <v>17</v>
      </c>
      <c r="J2" s="89" t="s">
        <v>18</v>
      </c>
      <c r="K2" s="89" t="s">
        <v>159</v>
      </c>
      <c r="L2" s="89" t="s">
        <v>129</v>
      </c>
      <c r="M2" s="89" t="s">
        <v>124</v>
      </c>
      <c r="N2" s="89" t="s">
        <v>132</v>
      </c>
      <c r="O2" s="89" t="s">
        <v>168</v>
      </c>
      <c r="P2" s="89" t="s">
        <v>164</v>
      </c>
      <c r="Q2" s="89" t="s">
        <v>149</v>
      </c>
    </row>
    <row r="3" spans="1:17" x14ac:dyDescent="0.4">
      <c r="A3" s="88">
        <v>0</v>
      </c>
      <c r="B3" s="85">
        <v>0</v>
      </c>
    </row>
    <row r="4" spans="1:17" x14ac:dyDescent="0.4">
      <c r="A4" s="88">
        <v>1</v>
      </c>
      <c r="B4" s="85">
        <v>7</v>
      </c>
      <c r="C4" s="85">
        <v>7</v>
      </c>
      <c r="D4" s="90">
        <v>2</v>
      </c>
      <c r="E4" s="86">
        <v>0</v>
      </c>
      <c r="F4" s="86">
        <v>0.4</v>
      </c>
      <c r="G4" s="86">
        <v>0.2</v>
      </c>
      <c r="H4" s="87">
        <v>8000</v>
      </c>
      <c r="I4" s="87">
        <v>-12000</v>
      </c>
      <c r="J4" s="86">
        <v>0</v>
      </c>
      <c r="K4" s="86">
        <v>0</v>
      </c>
      <c r="P4" s="86">
        <v>0</v>
      </c>
      <c r="Q4" s="86">
        <v>0</v>
      </c>
    </row>
    <row r="5" spans="1:17" x14ac:dyDescent="0.4">
      <c r="A5" s="88">
        <v>2</v>
      </c>
      <c r="B5" s="85">
        <v>-24.5</v>
      </c>
      <c r="C5" s="85">
        <v>-12.25</v>
      </c>
      <c r="D5" s="90">
        <v>2.5</v>
      </c>
      <c r="E5" s="86">
        <v>0</v>
      </c>
      <c r="F5" s="86">
        <v>0.2857142857142857</v>
      </c>
      <c r="G5" s="86">
        <v>0.2857142857142857</v>
      </c>
      <c r="H5" s="87">
        <v>8000</v>
      </c>
      <c r="I5" s="87">
        <v>-12000</v>
      </c>
      <c r="J5" s="86">
        <v>0</v>
      </c>
      <c r="K5" s="86">
        <v>0</v>
      </c>
      <c r="L5" s="86">
        <v>0.5</v>
      </c>
      <c r="M5" s="86">
        <v>0</v>
      </c>
      <c r="N5" s="86">
        <v>0</v>
      </c>
      <c r="O5" s="86">
        <v>0</v>
      </c>
      <c r="P5" s="86">
        <v>0</v>
      </c>
      <c r="Q5" s="86">
        <v>0</v>
      </c>
    </row>
    <row r="6" spans="1:17" x14ac:dyDescent="0.4">
      <c r="A6" s="88">
        <v>3</v>
      </c>
      <c r="B6" s="85">
        <v>-26.5</v>
      </c>
      <c r="C6" s="85">
        <v>-8.8333333333333339</v>
      </c>
      <c r="D6" s="90">
        <v>2.3333333333333335</v>
      </c>
      <c r="E6" s="86">
        <v>0</v>
      </c>
      <c r="F6" s="86">
        <v>0.1875</v>
      </c>
      <c r="G6" s="86">
        <v>0.125</v>
      </c>
      <c r="H6" s="87">
        <v>8000</v>
      </c>
      <c r="I6" s="87">
        <v>-12000</v>
      </c>
      <c r="J6" s="86">
        <v>0</v>
      </c>
      <c r="K6" s="86">
        <v>0</v>
      </c>
      <c r="L6" s="86">
        <v>0.45454545454545453</v>
      </c>
      <c r="M6" s="86">
        <v>0</v>
      </c>
      <c r="N6" s="86">
        <v>0.2</v>
      </c>
      <c r="O6" s="86">
        <v>0</v>
      </c>
      <c r="P6" s="86">
        <v>0</v>
      </c>
      <c r="Q6" s="86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0F297-690F-4C2F-B1E6-F6E5805D8391}">
  <sheetPr codeName="Sheet10"/>
  <dimension ref="A1:Q7"/>
  <sheetViews>
    <sheetView workbookViewId="0"/>
  </sheetViews>
  <sheetFormatPr defaultColWidth="10.75" defaultRowHeight="18.75" x14ac:dyDescent="0.4"/>
  <cols>
    <col min="1" max="1" width="10.75" style="88"/>
    <col min="2" max="3" width="10.75" style="85"/>
    <col min="4" max="4" width="10.75" style="90"/>
    <col min="5" max="7" width="10.75" style="86"/>
    <col min="8" max="9" width="10.75" style="87"/>
    <col min="10" max="17" width="10.75" style="86"/>
    <col min="18" max="16384" width="10.75" style="89"/>
  </cols>
  <sheetData>
    <row r="1" spans="1:17" x14ac:dyDescent="0.4">
      <c r="A1" s="89" t="s">
        <v>170</v>
      </c>
      <c r="B1" s="89" t="s">
        <v>170</v>
      </c>
      <c r="C1" s="89" t="s">
        <v>170</v>
      </c>
      <c r="D1" s="90" t="s">
        <v>170</v>
      </c>
      <c r="E1" s="89" t="s">
        <v>170</v>
      </c>
      <c r="F1" s="89" t="s">
        <v>170</v>
      </c>
      <c r="G1" s="89" t="s">
        <v>170</v>
      </c>
      <c r="H1" s="89" t="s">
        <v>170</v>
      </c>
      <c r="I1" s="89" t="s">
        <v>170</v>
      </c>
      <c r="J1" s="89" t="s">
        <v>170</v>
      </c>
      <c r="K1" s="89" t="s">
        <v>170</v>
      </c>
      <c r="L1" s="89" t="s">
        <v>170</v>
      </c>
      <c r="M1" s="89" t="s">
        <v>170</v>
      </c>
      <c r="N1" s="89" t="s">
        <v>170</v>
      </c>
      <c r="O1" s="89" t="s">
        <v>170</v>
      </c>
      <c r="P1" s="89" t="s">
        <v>170</v>
      </c>
      <c r="Q1" s="89" t="s">
        <v>170</v>
      </c>
    </row>
    <row r="2" spans="1:17" x14ac:dyDescent="0.4">
      <c r="A2" s="89" t="s">
        <v>9</v>
      </c>
      <c r="B2" s="89" t="s">
        <v>6</v>
      </c>
      <c r="C2" s="89" t="s">
        <v>7</v>
      </c>
      <c r="D2" s="90" t="s">
        <v>16</v>
      </c>
      <c r="E2" s="89" t="s">
        <v>15</v>
      </c>
      <c r="F2" s="89" t="s">
        <v>167</v>
      </c>
      <c r="G2" s="89" t="s">
        <v>166</v>
      </c>
      <c r="H2" s="89" t="s">
        <v>5</v>
      </c>
      <c r="I2" s="89" t="s">
        <v>17</v>
      </c>
      <c r="J2" s="89" t="s">
        <v>18</v>
      </c>
      <c r="K2" s="89" t="s">
        <v>159</v>
      </c>
      <c r="L2" s="89" t="s">
        <v>129</v>
      </c>
      <c r="M2" s="89" t="s">
        <v>124</v>
      </c>
      <c r="N2" s="89" t="s">
        <v>132</v>
      </c>
      <c r="O2" s="89" t="s">
        <v>168</v>
      </c>
      <c r="P2" s="89" t="s">
        <v>164</v>
      </c>
      <c r="Q2" s="89" t="s">
        <v>149</v>
      </c>
    </row>
    <row r="3" spans="1:17" x14ac:dyDescent="0.4">
      <c r="A3" s="88">
        <v>0</v>
      </c>
      <c r="B3" s="85">
        <v>0</v>
      </c>
    </row>
    <row r="4" spans="1:17" x14ac:dyDescent="0.4">
      <c r="A4" s="88">
        <v>1</v>
      </c>
      <c r="B4" s="85">
        <v>-22</v>
      </c>
      <c r="C4" s="85">
        <v>-22</v>
      </c>
      <c r="D4" s="90">
        <v>3</v>
      </c>
      <c r="E4" s="86">
        <v>0</v>
      </c>
      <c r="F4" s="86">
        <v>0</v>
      </c>
      <c r="G4" s="86">
        <v>0.6</v>
      </c>
      <c r="H4" s="87">
        <v>0</v>
      </c>
      <c r="I4" s="87">
        <v>-7000</v>
      </c>
      <c r="J4" s="86">
        <v>0</v>
      </c>
      <c r="K4" s="86">
        <v>0</v>
      </c>
      <c r="P4" s="86">
        <v>0</v>
      </c>
      <c r="Q4" s="86">
        <v>0</v>
      </c>
    </row>
    <row r="5" spans="1:17" x14ac:dyDescent="0.4">
      <c r="A5" s="88">
        <v>2</v>
      </c>
      <c r="B5" s="85">
        <v>-60.4</v>
      </c>
      <c r="C5" s="85">
        <v>-30.2</v>
      </c>
      <c r="D5" s="90">
        <v>3</v>
      </c>
      <c r="E5" s="86">
        <v>0</v>
      </c>
      <c r="F5" s="86">
        <v>7.6923076923076927E-2</v>
      </c>
      <c r="G5" s="86">
        <v>0.38461538461538464</v>
      </c>
      <c r="H5" s="87">
        <v>7800</v>
      </c>
      <c r="I5" s="87">
        <v>-10040</v>
      </c>
      <c r="J5" s="86">
        <v>0.5</v>
      </c>
      <c r="K5" s="86">
        <v>0</v>
      </c>
      <c r="P5" s="86">
        <v>1</v>
      </c>
      <c r="Q5" s="86">
        <v>0</v>
      </c>
    </row>
    <row r="6" spans="1:17" x14ac:dyDescent="0.4">
      <c r="A6" s="88">
        <v>3</v>
      </c>
      <c r="B6" s="85">
        <v>-85.6</v>
      </c>
      <c r="C6" s="85">
        <v>-28.533333333333331</v>
      </c>
      <c r="D6" s="90">
        <v>3</v>
      </c>
      <c r="E6" s="86">
        <v>0</v>
      </c>
      <c r="F6" s="86">
        <v>4.7619047619047616E-2</v>
      </c>
      <c r="G6" s="86">
        <v>0.38095238095238093</v>
      </c>
      <c r="H6" s="87">
        <v>7800</v>
      </c>
      <c r="I6" s="87">
        <v>-7800</v>
      </c>
      <c r="J6" s="86">
        <v>0.33333333333333331</v>
      </c>
      <c r="K6" s="86">
        <v>0</v>
      </c>
      <c r="P6" s="86">
        <v>1</v>
      </c>
      <c r="Q6" s="86">
        <v>0</v>
      </c>
    </row>
    <row r="7" spans="1:17" x14ac:dyDescent="0.4">
      <c r="A7" s="88">
        <v>4</v>
      </c>
      <c r="B7" s="85">
        <v>-132.1</v>
      </c>
      <c r="C7" s="85">
        <v>-33.024999999999999</v>
      </c>
      <c r="D7" s="90">
        <v>3</v>
      </c>
      <c r="E7" s="86">
        <v>0</v>
      </c>
      <c r="F7" s="86">
        <v>0.04</v>
      </c>
      <c r="G7" s="86">
        <v>0.4</v>
      </c>
      <c r="H7" s="87">
        <v>7800</v>
      </c>
      <c r="I7" s="87">
        <v>-8240</v>
      </c>
      <c r="J7" s="86">
        <v>0.5</v>
      </c>
      <c r="K7" s="86">
        <v>0</v>
      </c>
      <c r="P7" s="86">
        <v>1</v>
      </c>
      <c r="Q7" s="86">
        <v>0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37344-3E8C-4F9B-90B4-8898D4833863}">
  <sheetPr codeName="Sheet8"/>
  <dimension ref="A1:Q192"/>
  <sheetViews>
    <sheetView workbookViewId="0"/>
  </sheetViews>
  <sheetFormatPr defaultColWidth="10.75" defaultRowHeight="18.75" x14ac:dyDescent="0.4"/>
  <cols>
    <col min="1" max="1" width="10.75" style="88"/>
    <col min="2" max="3" width="10.75" style="85"/>
    <col min="4" max="4" width="10.75" style="90"/>
    <col min="5" max="7" width="10.75" style="86"/>
    <col min="8" max="9" width="10.75" style="87"/>
    <col min="10" max="17" width="10.75" style="86"/>
    <col min="18" max="16384" width="10.75" style="89"/>
  </cols>
  <sheetData>
    <row r="1" spans="1:17" x14ac:dyDescent="0.4">
      <c r="A1" s="89" t="s">
        <v>133</v>
      </c>
      <c r="B1" s="89" t="s">
        <v>133</v>
      </c>
      <c r="C1" s="89" t="s">
        <v>133</v>
      </c>
      <c r="D1" s="90" t="s">
        <v>133</v>
      </c>
      <c r="E1" s="89" t="s">
        <v>133</v>
      </c>
      <c r="F1" s="89" t="s">
        <v>133</v>
      </c>
      <c r="G1" s="89" t="s">
        <v>133</v>
      </c>
      <c r="H1" s="89" t="s">
        <v>133</v>
      </c>
      <c r="I1" s="89" t="s">
        <v>133</v>
      </c>
      <c r="J1" s="89" t="s">
        <v>133</v>
      </c>
      <c r="K1" s="89" t="s">
        <v>133</v>
      </c>
      <c r="L1" s="89" t="s">
        <v>133</v>
      </c>
      <c r="M1" s="89" t="s">
        <v>133</v>
      </c>
      <c r="N1" s="89" t="s">
        <v>133</v>
      </c>
      <c r="O1" s="89" t="s">
        <v>133</v>
      </c>
      <c r="P1" s="89" t="s">
        <v>133</v>
      </c>
      <c r="Q1" s="89" t="s">
        <v>133</v>
      </c>
    </row>
    <row r="2" spans="1:17" x14ac:dyDescent="0.4">
      <c r="A2" s="89" t="s">
        <v>9</v>
      </c>
      <c r="B2" s="89" t="s">
        <v>6</v>
      </c>
      <c r="C2" s="89" t="s">
        <v>7</v>
      </c>
      <c r="D2" s="90" t="s">
        <v>16</v>
      </c>
      <c r="E2" s="89" t="s">
        <v>15</v>
      </c>
      <c r="F2" s="89" t="s">
        <v>167</v>
      </c>
      <c r="G2" s="89" t="s">
        <v>166</v>
      </c>
      <c r="H2" s="89" t="s">
        <v>5</v>
      </c>
      <c r="I2" s="89" t="s">
        <v>17</v>
      </c>
      <c r="J2" s="89" t="s">
        <v>18</v>
      </c>
      <c r="K2" s="89" t="s">
        <v>159</v>
      </c>
      <c r="L2" s="89" t="s">
        <v>129</v>
      </c>
      <c r="M2" s="89" t="s">
        <v>124</v>
      </c>
      <c r="N2" s="89" t="s">
        <v>132</v>
      </c>
      <c r="O2" s="89" t="s">
        <v>168</v>
      </c>
      <c r="P2" s="89" t="s">
        <v>164</v>
      </c>
      <c r="Q2" s="89" t="s">
        <v>149</v>
      </c>
    </row>
    <row r="3" spans="1:17" x14ac:dyDescent="0.4">
      <c r="A3" s="88">
        <v>0</v>
      </c>
      <c r="B3" s="85">
        <v>0</v>
      </c>
    </row>
    <row r="4" spans="1:17" x14ac:dyDescent="0.4">
      <c r="A4" s="88">
        <v>1</v>
      </c>
      <c r="B4" s="85">
        <v>15</v>
      </c>
      <c r="C4" s="85">
        <v>15</v>
      </c>
      <c r="D4" s="90">
        <v>1</v>
      </c>
      <c r="E4" s="86">
        <v>1</v>
      </c>
      <c r="F4" s="86">
        <v>0.6</v>
      </c>
      <c r="G4" s="86">
        <v>0.2</v>
      </c>
      <c r="H4" s="87">
        <v>8333.3333333333339</v>
      </c>
      <c r="I4" s="87">
        <v>-8000</v>
      </c>
      <c r="J4" s="86">
        <v>0</v>
      </c>
      <c r="K4" s="86">
        <v>0</v>
      </c>
      <c r="P4" s="86">
        <v>0</v>
      </c>
      <c r="Q4" s="86">
        <v>0.66666666666666663</v>
      </c>
    </row>
    <row r="5" spans="1:17" x14ac:dyDescent="0.4">
      <c r="A5" s="88">
        <v>2</v>
      </c>
      <c r="B5" s="85">
        <v>14</v>
      </c>
      <c r="C5" s="85">
        <v>7</v>
      </c>
      <c r="D5" s="90">
        <v>1.5</v>
      </c>
      <c r="E5" s="86">
        <v>0.5</v>
      </c>
      <c r="F5" s="86">
        <v>0.5</v>
      </c>
      <c r="G5" s="86">
        <v>0.125</v>
      </c>
      <c r="H5" s="87">
        <v>8250</v>
      </c>
      <c r="I5" s="87">
        <v>-8000</v>
      </c>
      <c r="J5" s="86">
        <v>0</v>
      </c>
      <c r="K5" s="86">
        <v>0</v>
      </c>
      <c r="P5" s="86">
        <v>0</v>
      </c>
      <c r="Q5" s="86">
        <v>0.66666666666666663</v>
      </c>
    </row>
    <row r="6" spans="1:17" x14ac:dyDescent="0.4">
      <c r="A6" s="88">
        <v>3</v>
      </c>
      <c r="B6" s="85">
        <v>29.1</v>
      </c>
      <c r="C6" s="85">
        <v>9.7000000000000011</v>
      </c>
      <c r="D6" s="90">
        <v>1.6666666666666667</v>
      </c>
      <c r="E6" s="86">
        <v>0.33333333333333331</v>
      </c>
      <c r="F6" s="86">
        <v>0.53846153846153844</v>
      </c>
      <c r="G6" s="86">
        <v>0.15384615384615385</v>
      </c>
      <c r="H6" s="87">
        <v>7871.4285714285716</v>
      </c>
      <c r="I6" s="87">
        <v>-8000</v>
      </c>
      <c r="J6" s="86">
        <v>0</v>
      </c>
      <c r="K6" s="86">
        <v>0</v>
      </c>
      <c r="P6" s="86">
        <v>0.2857142857142857</v>
      </c>
      <c r="Q6" s="86">
        <v>0.5</v>
      </c>
    </row>
    <row r="7" spans="1:17" x14ac:dyDescent="0.4">
      <c r="A7" s="88">
        <v>4</v>
      </c>
      <c r="B7" s="85">
        <v>114.30000000000001</v>
      </c>
      <c r="C7" s="85">
        <v>28.575000000000003</v>
      </c>
      <c r="D7" s="90">
        <v>1.5</v>
      </c>
      <c r="E7" s="86">
        <v>0.5</v>
      </c>
      <c r="F7" s="86">
        <v>0.57894736842105265</v>
      </c>
      <c r="G7" s="86">
        <v>0.15789473684210525</v>
      </c>
      <c r="H7" s="87">
        <v>12554.545454545454</v>
      </c>
      <c r="I7" s="87">
        <v>-5766.666666666667</v>
      </c>
      <c r="J7" s="86">
        <v>0</v>
      </c>
      <c r="K7" s="86">
        <v>0.5</v>
      </c>
      <c r="P7" s="86">
        <v>0.27272727272727271</v>
      </c>
      <c r="Q7" s="86">
        <v>0.5</v>
      </c>
    </row>
    <row r="8" spans="1:17" x14ac:dyDescent="0.4">
      <c r="A8" s="88">
        <v>5</v>
      </c>
      <c r="B8" s="85">
        <v>145.80000000000001</v>
      </c>
      <c r="C8" s="85">
        <v>29.160000000000004</v>
      </c>
      <c r="D8" s="90">
        <v>1.4</v>
      </c>
      <c r="E8" s="86">
        <v>0.6</v>
      </c>
      <c r="F8" s="86">
        <v>0.53846153846153844</v>
      </c>
      <c r="G8" s="86">
        <v>0.15384615384615385</v>
      </c>
      <c r="H8" s="87">
        <v>13007.142857142857</v>
      </c>
      <c r="I8" s="87">
        <v>-6325</v>
      </c>
      <c r="J8" s="86">
        <v>0</v>
      </c>
      <c r="K8" s="86">
        <v>0.6</v>
      </c>
      <c r="P8" s="86">
        <v>0.2857142857142857</v>
      </c>
      <c r="Q8" s="86">
        <v>0.5</v>
      </c>
    </row>
    <row r="9" spans="1:17" x14ac:dyDescent="0.4">
      <c r="A9" s="88">
        <v>6</v>
      </c>
      <c r="B9" s="85">
        <v>97.800000000000011</v>
      </c>
      <c r="C9" s="85">
        <v>16.3</v>
      </c>
      <c r="D9" s="90">
        <v>1.6666666666666667</v>
      </c>
      <c r="E9" s="86">
        <v>0.5</v>
      </c>
      <c r="F9" s="86">
        <v>0.5</v>
      </c>
      <c r="G9" s="86">
        <v>0.17857142857142858</v>
      </c>
      <c r="H9" s="87">
        <v>13007.142857142857</v>
      </c>
      <c r="I9" s="87">
        <v>-14660</v>
      </c>
      <c r="J9" s="86">
        <v>0.16666666666666666</v>
      </c>
      <c r="K9" s="86">
        <v>0.5</v>
      </c>
      <c r="P9" s="86">
        <v>0.2857142857142857</v>
      </c>
      <c r="Q9" s="86">
        <v>0.46153846153846156</v>
      </c>
    </row>
    <row r="10" spans="1:17" x14ac:dyDescent="0.4">
      <c r="A10" s="88">
        <v>7</v>
      </c>
      <c r="B10" s="85">
        <v>91.700000000000017</v>
      </c>
      <c r="C10" s="85">
        <v>13.100000000000003</v>
      </c>
      <c r="D10" s="90">
        <v>1.8571428571428572</v>
      </c>
      <c r="E10" s="86">
        <v>0.42857142857142855</v>
      </c>
      <c r="F10" s="86">
        <v>0.48571428571428571</v>
      </c>
      <c r="G10" s="86">
        <v>0.25714285714285712</v>
      </c>
      <c r="H10" s="87">
        <v>11823.529411764706</v>
      </c>
      <c r="I10" s="87">
        <v>-10922.222222222223</v>
      </c>
      <c r="J10" s="86">
        <v>0.14285714285714285</v>
      </c>
      <c r="K10" s="86">
        <v>0.42857142857142855</v>
      </c>
      <c r="P10" s="86">
        <v>0.29411764705882354</v>
      </c>
      <c r="Q10" s="86">
        <v>0.4375</v>
      </c>
    </row>
    <row r="11" spans="1:17" x14ac:dyDescent="0.4">
      <c r="A11" s="88">
        <v>8</v>
      </c>
      <c r="B11" s="85">
        <v>55.700000000000017</v>
      </c>
      <c r="C11" s="85">
        <v>6.9625000000000021</v>
      </c>
      <c r="D11" s="90">
        <v>2</v>
      </c>
      <c r="E11" s="86">
        <v>0.375</v>
      </c>
      <c r="F11" s="86">
        <v>0.41860465116279072</v>
      </c>
      <c r="G11" s="86">
        <v>0.27906976744186046</v>
      </c>
      <c r="H11" s="87">
        <v>11833.333333333334</v>
      </c>
      <c r="I11" s="87">
        <v>-11525</v>
      </c>
      <c r="J11" s="86">
        <v>0.25</v>
      </c>
      <c r="K11" s="86">
        <v>0.375</v>
      </c>
      <c r="P11" s="86">
        <v>0.27777777777777779</v>
      </c>
      <c r="Q11" s="86">
        <v>0.3888888888888889</v>
      </c>
    </row>
    <row r="12" spans="1:17" x14ac:dyDescent="0.4">
      <c r="A12" s="88">
        <v>9</v>
      </c>
      <c r="B12" s="85">
        <v>14.700000000000017</v>
      </c>
      <c r="C12" s="85">
        <v>1.6333333333333353</v>
      </c>
      <c r="D12" s="90">
        <v>2.1111111111111112</v>
      </c>
      <c r="E12" s="86">
        <v>0.33333333333333331</v>
      </c>
      <c r="F12" s="86">
        <v>0.35294117647058826</v>
      </c>
      <c r="G12" s="86">
        <v>0.29411764705882354</v>
      </c>
      <c r="H12" s="87">
        <v>11833.333333333334</v>
      </c>
      <c r="I12" s="87">
        <v>-11086.666666666666</v>
      </c>
      <c r="J12" s="86">
        <v>0.33333333333333331</v>
      </c>
      <c r="K12" s="86">
        <v>0.33333333333333331</v>
      </c>
      <c r="P12" s="86">
        <v>0.27777777777777779</v>
      </c>
      <c r="Q12" s="86">
        <v>0.35</v>
      </c>
    </row>
    <row r="13" spans="1:17" x14ac:dyDescent="0.4">
      <c r="A13" s="88">
        <v>10</v>
      </c>
      <c r="B13" s="85">
        <v>-16.799999999999983</v>
      </c>
      <c r="C13" s="85">
        <v>-1.6799999999999984</v>
      </c>
      <c r="D13" s="90">
        <v>2.1</v>
      </c>
      <c r="E13" s="86">
        <v>0.3</v>
      </c>
      <c r="F13" s="86">
        <v>0.31034482758620691</v>
      </c>
      <c r="G13" s="86">
        <v>0.27586206896551724</v>
      </c>
      <c r="H13" s="87">
        <v>11833.333333333334</v>
      </c>
      <c r="I13" s="87">
        <v>-11893.75</v>
      </c>
      <c r="J13" s="86">
        <v>0.3</v>
      </c>
      <c r="K13" s="86">
        <v>0.3</v>
      </c>
      <c r="P13" s="86">
        <v>0.27777777777777779</v>
      </c>
      <c r="Q13" s="86">
        <v>0.33333333333333331</v>
      </c>
    </row>
    <row r="14" spans="1:17" x14ac:dyDescent="0.4">
      <c r="A14" s="88">
        <v>11</v>
      </c>
      <c r="B14" s="85">
        <v>1.5000000000000178</v>
      </c>
      <c r="C14" s="85">
        <v>0.13636363636363799</v>
      </c>
      <c r="D14" s="90">
        <v>2</v>
      </c>
      <c r="E14" s="86">
        <v>0.36363636363636365</v>
      </c>
      <c r="F14" s="86">
        <v>0.3380281690140845</v>
      </c>
      <c r="G14" s="86">
        <v>0.23943661971830985</v>
      </c>
      <c r="H14" s="87">
        <v>11679.166666666666</v>
      </c>
      <c r="I14" s="87">
        <v>-11900</v>
      </c>
      <c r="J14" s="86">
        <v>0.27272727272727271</v>
      </c>
      <c r="K14" s="86">
        <v>0.27272727272727271</v>
      </c>
      <c r="P14" s="86">
        <v>0.33333333333333331</v>
      </c>
      <c r="Q14" s="86">
        <v>0.39285714285714285</v>
      </c>
    </row>
    <row r="15" spans="1:17" x14ac:dyDescent="0.4">
      <c r="A15" s="88">
        <v>12</v>
      </c>
      <c r="B15" s="85">
        <v>14.300000000000018</v>
      </c>
      <c r="C15" s="85">
        <v>1.1916666666666682</v>
      </c>
      <c r="D15" s="90">
        <v>2</v>
      </c>
      <c r="E15" s="86">
        <v>0.33333333333333331</v>
      </c>
      <c r="F15" s="86">
        <v>0.35526315789473684</v>
      </c>
      <c r="G15" s="86">
        <v>0.23684210526315788</v>
      </c>
      <c r="H15" s="87">
        <v>11374.074074074075</v>
      </c>
      <c r="I15" s="87">
        <v>-11350</v>
      </c>
      <c r="J15" s="86">
        <v>0.25</v>
      </c>
      <c r="K15" s="86">
        <v>0.25</v>
      </c>
      <c r="P15" s="86">
        <v>0.37037037037037035</v>
      </c>
      <c r="Q15" s="86">
        <v>0.4375</v>
      </c>
    </row>
    <row r="16" spans="1:17" x14ac:dyDescent="0.4">
      <c r="A16" s="88">
        <v>13</v>
      </c>
      <c r="B16" s="85">
        <v>71.300000000000011</v>
      </c>
      <c r="C16" s="85">
        <v>5.4846153846153856</v>
      </c>
      <c r="D16" s="90">
        <v>1.9230769230769231</v>
      </c>
      <c r="E16" s="86">
        <v>0.38461538461538464</v>
      </c>
      <c r="F16" s="86">
        <v>0.3707865168539326</v>
      </c>
      <c r="G16" s="86">
        <v>0.21348314606741572</v>
      </c>
      <c r="H16" s="87">
        <v>11115.151515151516</v>
      </c>
      <c r="I16" s="87">
        <v>-10905.263157894737</v>
      </c>
      <c r="J16" s="86">
        <v>0.23076923076923078</v>
      </c>
      <c r="K16" s="86">
        <v>0.23076923076923078</v>
      </c>
      <c r="P16" s="86">
        <v>0.33333333333333331</v>
      </c>
      <c r="Q16" s="86">
        <v>0.44444444444444442</v>
      </c>
    </row>
    <row r="17" spans="1:17" x14ac:dyDescent="0.4">
      <c r="A17" s="88">
        <v>14</v>
      </c>
      <c r="B17" s="85">
        <v>27.300000000000011</v>
      </c>
      <c r="C17" s="85">
        <v>1.9500000000000008</v>
      </c>
      <c r="D17" s="90">
        <v>2</v>
      </c>
      <c r="E17" s="86">
        <v>0.35714285714285715</v>
      </c>
      <c r="F17" s="86">
        <v>0.35106382978723405</v>
      </c>
      <c r="G17" s="86">
        <v>0.21276595744680851</v>
      </c>
      <c r="H17" s="87">
        <v>11115.151515151516</v>
      </c>
      <c r="I17" s="87">
        <v>-10760</v>
      </c>
      <c r="J17" s="86">
        <v>0.2857142857142857</v>
      </c>
      <c r="K17" s="86">
        <v>0.21428571428571427</v>
      </c>
      <c r="P17" s="86">
        <v>0.33333333333333331</v>
      </c>
      <c r="Q17" s="86">
        <v>0.43243243243243246</v>
      </c>
    </row>
    <row r="18" spans="1:17" x14ac:dyDescent="0.4">
      <c r="A18" s="88">
        <v>15</v>
      </c>
      <c r="B18" s="85">
        <v>-9.6999999999999886</v>
      </c>
      <c r="C18" s="85">
        <v>-0.64666666666666595</v>
      </c>
      <c r="D18" s="90">
        <v>2.0666666666666669</v>
      </c>
      <c r="E18" s="86">
        <v>0.33333333333333331</v>
      </c>
      <c r="F18" s="86">
        <v>0.34020618556701032</v>
      </c>
      <c r="G18" s="86">
        <v>0.22680412371134021</v>
      </c>
      <c r="H18" s="87">
        <v>11115.151515151516</v>
      </c>
      <c r="I18" s="87">
        <v>-11145.454545454546</v>
      </c>
      <c r="J18" s="86">
        <v>0.33333333333333331</v>
      </c>
      <c r="K18" s="86">
        <v>0.2</v>
      </c>
      <c r="P18" s="86">
        <v>0.33333333333333331</v>
      </c>
      <c r="Q18" s="86">
        <v>0.43243243243243246</v>
      </c>
    </row>
    <row r="19" spans="1:17" x14ac:dyDescent="0.4">
      <c r="A19" s="88">
        <v>16</v>
      </c>
      <c r="B19" s="85">
        <v>-8.099999999999989</v>
      </c>
      <c r="C19" s="85">
        <v>-0.50624999999999931</v>
      </c>
      <c r="D19" s="90">
        <v>2.0625</v>
      </c>
      <c r="E19" s="86">
        <v>0.3125</v>
      </c>
      <c r="F19" s="86">
        <v>0.33333333333333331</v>
      </c>
      <c r="G19" s="86">
        <v>0.22857142857142856</v>
      </c>
      <c r="H19" s="87">
        <v>11017.142857142857</v>
      </c>
      <c r="I19" s="87">
        <v>-10620.833333333334</v>
      </c>
      <c r="J19" s="86">
        <v>0.3125</v>
      </c>
      <c r="K19" s="86">
        <v>0.1875</v>
      </c>
      <c r="P19" s="86">
        <v>0.34285714285714286</v>
      </c>
      <c r="Q19" s="86">
        <v>0.41025641025641024</v>
      </c>
    </row>
    <row r="20" spans="1:17" x14ac:dyDescent="0.4">
      <c r="A20" s="88">
        <v>17</v>
      </c>
      <c r="B20" s="85">
        <v>-29.499999999999986</v>
      </c>
      <c r="C20" s="85">
        <v>-1.735294117647058</v>
      </c>
      <c r="D20" s="90">
        <v>2.0588235294117645</v>
      </c>
      <c r="E20" s="86">
        <v>0.29411764705882354</v>
      </c>
      <c r="F20" s="86">
        <v>0.31818181818181818</v>
      </c>
      <c r="G20" s="86">
        <v>0.22727272727272727</v>
      </c>
      <c r="H20" s="87">
        <v>11017.142857142857</v>
      </c>
      <c r="I20" s="87">
        <v>-10352</v>
      </c>
      <c r="J20" s="86">
        <v>0.29411764705882354</v>
      </c>
      <c r="K20" s="86">
        <v>0.17647058823529413</v>
      </c>
      <c r="P20" s="86">
        <v>0.34285714285714286</v>
      </c>
      <c r="Q20" s="86">
        <v>0.41025641025641024</v>
      </c>
    </row>
    <row r="21" spans="1:17" x14ac:dyDescent="0.4">
      <c r="A21" s="88">
        <v>18</v>
      </c>
      <c r="B21" s="85">
        <v>-14.599999999999985</v>
      </c>
      <c r="C21" s="85">
        <v>-0.81111111111111034</v>
      </c>
      <c r="D21" s="90">
        <v>2</v>
      </c>
      <c r="E21" s="86">
        <v>0.33333333333333331</v>
      </c>
      <c r="F21" s="86">
        <v>0.33884297520661155</v>
      </c>
      <c r="G21" s="86">
        <v>0.2231404958677686</v>
      </c>
      <c r="H21" s="87">
        <v>10065.853658536585</v>
      </c>
      <c r="I21" s="87">
        <v>-10137.037037037036</v>
      </c>
      <c r="J21" s="86">
        <v>0.27777777777777779</v>
      </c>
      <c r="K21" s="86">
        <v>0.16666666666666666</v>
      </c>
      <c r="P21" s="86">
        <v>0.31707317073170732</v>
      </c>
      <c r="Q21" s="86">
        <v>0.45454545454545453</v>
      </c>
    </row>
    <row r="22" spans="1:17" x14ac:dyDescent="0.4">
      <c r="A22" s="88">
        <v>19</v>
      </c>
      <c r="B22" s="85">
        <v>42.600000000000016</v>
      </c>
      <c r="C22" s="85">
        <v>2.2421052631578955</v>
      </c>
      <c r="D22" s="90">
        <v>1.9473684210526316</v>
      </c>
      <c r="E22" s="86">
        <v>0.36842105263157893</v>
      </c>
      <c r="F22" s="86">
        <v>0.35658914728682173</v>
      </c>
      <c r="G22" s="86">
        <v>0.21705426356589147</v>
      </c>
      <c r="H22" s="87">
        <v>10450</v>
      </c>
      <c r="I22" s="87">
        <v>-9914.2857142857138</v>
      </c>
      <c r="J22" s="86">
        <v>0.26315789473684209</v>
      </c>
      <c r="K22" s="86">
        <v>0.21052631578947367</v>
      </c>
      <c r="P22" s="86">
        <v>0.32608695652173914</v>
      </c>
      <c r="Q22" s="86">
        <v>0.47916666666666669</v>
      </c>
    </row>
    <row r="23" spans="1:17" x14ac:dyDescent="0.4">
      <c r="A23" s="88">
        <v>20</v>
      </c>
      <c r="B23" s="85">
        <v>68.800000000000011</v>
      </c>
      <c r="C23" s="85">
        <v>3.4400000000000004</v>
      </c>
      <c r="D23" s="90">
        <v>1.9</v>
      </c>
      <c r="E23" s="86">
        <v>0.4</v>
      </c>
      <c r="F23" s="86">
        <v>0.36496350364963503</v>
      </c>
      <c r="G23" s="86">
        <v>0.20437956204379562</v>
      </c>
      <c r="H23" s="87">
        <v>10318</v>
      </c>
      <c r="I23" s="87">
        <v>-9914.2857142857138</v>
      </c>
      <c r="J23" s="86">
        <v>0.25</v>
      </c>
      <c r="K23" s="86">
        <v>0.2</v>
      </c>
      <c r="P23" s="86">
        <v>0.32</v>
      </c>
      <c r="Q23" s="86">
        <v>0.46153846153846156</v>
      </c>
    </row>
    <row r="24" spans="1:17" x14ac:dyDescent="0.4">
      <c r="A24" s="88">
        <v>21</v>
      </c>
      <c r="B24" s="85">
        <v>125.30000000000001</v>
      </c>
      <c r="C24" s="85">
        <v>5.9666666666666668</v>
      </c>
      <c r="D24" s="90">
        <v>1.8571428571428572</v>
      </c>
      <c r="E24" s="86">
        <v>0.42857142857142855</v>
      </c>
      <c r="F24" s="86">
        <v>0.36879432624113473</v>
      </c>
      <c r="G24" s="86">
        <v>0.19858156028368795</v>
      </c>
      <c r="H24" s="87">
        <v>10998.076923076924</v>
      </c>
      <c r="I24" s="87">
        <v>-9914.2857142857138</v>
      </c>
      <c r="J24" s="86">
        <v>0.23809523809523808</v>
      </c>
      <c r="K24" s="86">
        <v>0.23809523809523808</v>
      </c>
      <c r="P24" s="86">
        <v>0.32692307692307693</v>
      </c>
      <c r="Q24" s="86">
        <v>0.47169811320754718</v>
      </c>
    </row>
    <row r="25" spans="1:17" x14ac:dyDescent="0.4">
      <c r="A25" s="88">
        <v>22</v>
      </c>
      <c r="B25" s="85">
        <v>99.800000000000011</v>
      </c>
      <c r="C25" s="85">
        <v>4.536363636363637</v>
      </c>
      <c r="D25" s="90">
        <v>1.8636363636363635</v>
      </c>
      <c r="E25" s="86">
        <v>0.40909090909090912</v>
      </c>
      <c r="F25" s="86">
        <v>0.34210526315789475</v>
      </c>
      <c r="G25" s="86">
        <v>0.19736842105263158</v>
      </c>
      <c r="H25" s="87">
        <v>10998.076923076924</v>
      </c>
      <c r="I25" s="87">
        <v>-9686.6666666666661</v>
      </c>
      <c r="J25" s="86">
        <v>0.22727272727272727</v>
      </c>
      <c r="K25" s="86">
        <v>0.22727272727272727</v>
      </c>
      <c r="P25" s="86">
        <v>0.32692307692307693</v>
      </c>
      <c r="Q25" s="86">
        <v>0.46296296296296297</v>
      </c>
    </row>
    <row r="26" spans="1:17" x14ac:dyDescent="0.4">
      <c r="A26" s="88">
        <v>23</v>
      </c>
      <c r="B26" s="85">
        <v>124.50000000000001</v>
      </c>
      <c r="C26" s="85">
        <v>5.4130434782608701</v>
      </c>
      <c r="D26" s="90">
        <v>1.826086956521739</v>
      </c>
      <c r="E26" s="86">
        <v>0.43478260869565216</v>
      </c>
      <c r="F26" s="86">
        <v>0.34375</v>
      </c>
      <c r="G26" s="86">
        <v>0.1875</v>
      </c>
      <c r="H26" s="87">
        <v>10943.636363636364</v>
      </c>
      <c r="I26" s="87">
        <v>-9686.6666666666661</v>
      </c>
      <c r="J26" s="86">
        <v>0.21739130434782608</v>
      </c>
      <c r="K26" s="86">
        <v>0.2608695652173913</v>
      </c>
      <c r="P26" s="86">
        <v>0.36363636363636365</v>
      </c>
      <c r="Q26" s="86">
        <v>0.45614035087719296</v>
      </c>
    </row>
    <row r="27" spans="1:17" x14ac:dyDescent="0.4">
      <c r="A27" s="88">
        <v>24</v>
      </c>
      <c r="B27" s="85">
        <v>118.00000000000001</v>
      </c>
      <c r="C27" s="85">
        <v>4.916666666666667</v>
      </c>
      <c r="D27" s="90">
        <v>1.8333333333333333</v>
      </c>
      <c r="E27" s="86">
        <v>0.41666666666666669</v>
      </c>
      <c r="F27" s="86">
        <v>0.34146341463414637</v>
      </c>
      <c r="G27" s="86">
        <v>0.18902439024390244</v>
      </c>
      <c r="H27" s="87">
        <v>10891.071428571429</v>
      </c>
      <c r="I27" s="87">
        <v>-9632.2580645161288</v>
      </c>
      <c r="J27" s="86">
        <v>0.20833333333333334</v>
      </c>
      <c r="K27" s="86">
        <v>0.25</v>
      </c>
      <c r="P27" s="86">
        <v>0.35714285714285715</v>
      </c>
      <c r="Q27" s="86">
        <v>0.45614035087719296</v>
      </c>
    </row>
    <row r="28" spans="1:17" x14ac:dyDescent="0.4">
      <c r="A28" s="88">
        <v>25</v>
      </c>
      <c r="B28" s="85">
        <v>84.300000000000011</v>
      </c>
      <c r="C28" s="85">
        <v>3.3720000000000003</v>
      </c>
      <c r="D28" s="90">
        <v>1.88</v>
      </c>
      <c r="E28" s="86">
        <v>0.4</v>
      </c>
      <c r="F28" s="86">
        <v>0.32947976878612717</v>
      </c>
      <c r="G28" s="86">
        <v>0.1791907514450867</v>
      </c>
      <c r="H28" s="87">
        <v>10801.754385964912</v>
      </c>
      <c r="I28" s="87">
        <v>-9632.2580645161288</v>
      </c>
      <c r="J28" s="86">
        <v>0.2</v>
      </c>
      <c r="K28" s="86">
        <v>0.24</v>
      </c>
      <c r="P28" s="86">
        <v>0.35087719298245612</v>
      </c>
      <c r="Q28" s="86">
        <v>0.45</v>
      </c>
    </row>
    <row r="29" spans="1:17" x14ac:dyDescent="0.4">
      <c r="A29" s="88">
        <v>26</v>
      </c>
      <c r="B29" s="85">
        <v>108.20000000000002</v>
      </c>
      <c r="C29" s="85">
        <v>4.1615384615384619</v>
      </c>
      <c r="D29" s="90">
        <v>1.8461538461538463</v>
      </c>
      <c r="E29" s="86">
        <v>0.42307692307692307</v>
      </c>
      <c r="F29" s="86">
        <v>0.33149171270718231</v>
      </c>
      <c r="G29" s="86">
        <v>0.17127071823204421</v>
      </c>
      <c r="H29" s="87">
        <v>10645</v>
      </c>
      <c r="I29" s="87">
        <v>-9632.2580645161288</v>
      </c>
      <c r="J29" s="86">
        <v>0.19230769230769232</v>
      </c>
      <c r="K29" s="86">
        <v>0.23076923076923078</v>
      </c>
      <c r="P29" s="86">
        <v>0.33333333333333331</v>
      </c>
      <c r="Q29" s="86">
        <v>0.46031746031746029</v>
      </c>
    </row>
    <row r="30" spans="1:17" x14ac:dyDescent="0.4">
      <c r="A30" s="88">
        <v>27</v>
      </c>
      <c r="B30" s="85">
        <v>71.200000000000017</v>
      </c>
      <c r="C30" s="85">
        <v>2.6370370370370377</v>
      </c>
      <c r="D30" s="90">
        <v>1.8888888888888888</v>
      </c>
      <c r="E30" s="86">
        <v>0.40740740740740738</v>
      </c>
      <c r="F30" s="86">
        <v>0.32258064516129031</v>
      </c>
      <c r="G30" s="86">
        <v>0.16666666666666666</v>
      </c>
      <c r="H30" s="87">
        <v>10645</v>
      </c>
      <c r="I30" s="87">
        <v>-9632.2580645161288</v>
      </c>
      <c r="J30" s="86">
        <v>0.22222222222222221</v>
      </c>
      <c r="K30" s="86">
        <v>0.22222222222222221</v>
      </c>
      <c r="P30" s="86">
        <v>0.33333333333333331</v>
      </c>
      <c r="Q30" s="86">
        <v>0.453125</v>
      </c>
    </row>
    <row r="31" spans="1:17" x14ac:dyDescent="0.4">
      <c r="A31" s="88">
        <v>28</v>
      </c>
      <c r="B31" s="85">
        <v>129.20000000000002</v>
      </c>
      <c r="C31" s="85">
        <v>4.6142857142857148</v>
      </c>
      <c r="D31" s="90">
        <v>1.8571428571428572</v>
      </c>
      <c r="E31" s="86">
        <v>0.42857142857142855</v>
      </c>
      <c r="F31" s="86">
        <v>0.32989690721649484</v>
      </c>
      <c r="G31" s="86">
        <v>0.16494845360824742</v>
      </c>
      <c r="H31" s="87">
        <v>11167.1875</v>
      </c>
      <c r="I31" s="87">
        <v>-9706.25</v>
      </c>
      <c r="J31" s="86">
        <v>0.21428571428571427</v>
      </c>
      <c r="K31" s="86">
        <v>0.25</v>
      </c>
      <c r="P31" s="86">
        <v>0.34375</v>
      </c>
      <c r="Q31" s="86">
        <v>0.46268656716417911</v>
      </c>
    </row>
    <row r="32" spans="1:17" x14ac:dyDescent="0.4">
      <c r="A32" s="88">
        <v>29</v>
      </c>
      <c r="B32" s="85">
        <v>120.80000000000001</v>
      </c>
      <c r="C32" s="85">
        <v>4.1655172413793107</v>
      </c>
      <c r="D32" s="90">
        <v>1.8620689655172413</v>
      </c>
      <c r="E32" s="86">
        <v>0.41379310344827586</v>
      </c>
      <c r="F32" s="86">
        <v>0.33333333333333331</v>
      </c>
      <c r="G32" s="86">
        <v>0.1691542288557214</v>
      </c>
      <c r="H32" s="87">
        <v>10967.164179104477</v>
      </c>
      <c r="I32" s="87">
        <v>-9900</v>
      </c>
      <c r="J32" s="86">
        <v>0.20689655172413793</v>
      </c>
      <c r="K32" s="86">
        <v>0.2413793103448276</v>
      </c>
      <c r="P32" s="86">
        <v>0.35820895522388058</v>
      </c>
      <c r="Q32" s="86">
        <v>0.44927536231884058</v>
      </c>
    </row>
    <row r="33" spans="1:17" x14ac:dyDescent="0.4">
      <c r="A33" s="88">
        <v>30</v>
      </c>
      <c r="B33" s="85">
        <v>112.4</v>
      </c>
      <c r="C33" s="85">
        <v>3.746666666666667</v>
      </c>
      <c r="D33" s="90">
        <v>1.8666666666666667</v>
      </c>
      <c r="E33" s="86">
        <v>0.4</v>
      </c>
      <c r="F33" s="86">
        <v>0.33653846153846156</v>
      </c>
      <c r="G33" s="86">
        <v>0.17307692307692307</v>
      </c>
      <c r="H33" s="87">
        <v>10784.285714285714</v>
      </c>
      <c r="I33" s="87">
        <v>-10072.222222222223</v>
      </c>
      <c r="J33" s="86">
        <v>0.2</v>
      </c>
      <c r="K33" s="86">
        <v>0.23333333333333334</v>
      </c>
      <c r="P33" s="86">
        <v>0.37142857142857144</v>
      </c>
      <c r="Q33" s="86">
        <v>0.43661971830985913</v>
      </c>
    </row>
    <row r="34" spans="1:17" x14ac:dyDescent="0.4">
      <c r="A34" s="88">
        <v>31</v>
      </c>
      <c r="B34" s="85">
        <v>165.7</v>
      </c>
      <c r="C34" s="85">
        <v>5.3451612903225802</v>
      </c>
      <c r="D34" s="90">
        <v>1.8387096774193548</v>
      </c>
      <c r="E34" s="86">
        <v>0.41935483870967744</v>
      </c>
      <c r="F34" s="86">
        <v>0.35023041474654376</v>
      </c>
      <c r="G34" s="86">
        <v>0.16589861751152074</v>
      </c>
      <c r="H34" s="87">
        <v>10763.157894736842</v>
      </c>
      <c r="I34" s="87">
        <v>-10072.222222222223</v>
      </c>
      <c r="J34" s="86">
        <v>0.19354838709677419</v>
      </c>
      <c r="K34" s="86">
        <v>0.25806451612903225</v>
      </c>
      <c r="P34" s="86">
        <v>0.35526315789473684</v>
      </c>
      <c r="Q34" s="86">
        <v>0.44871794871794873</v>
      </c>
    </row>
    <row r="35" spans="1:17" x14ac:dyDescent="0.4">
      <c r="A35" s="88">
        <v>32</v>
      </c>
      <c r="B35" s="85">
        <v>151.69999999999999</v>
      </c>
      <c r="C35" s="85">
        <v>4.7406249999999996</v>
      </c>
      <c r="D35" s="90">
        <v>1.84375</v>
      </c>
      <c r="E35" s="86">
        <v>0.40625</v>
      </c>
      <c r="F35" s="86">
        <v>0.34841628959276016</v>
      </c>
      <c r="G35" s="86">
        <v>0.16289592760180996</v>
      </c>
      <c r="H35" s="87">
        <v>10779.220779220779</v>
      </c>
      <c r="I35" s="87">
        <v>-10072.222222222223</v>
      </c>
      <c r="J35" s="86">
        <v>0.1875</v>
      </c>
      <c r="K35" s="86">
        <v>0.25</v>
      </c>
      <c r="P35" s="86">
        <v>0.35064935064935066</v>
      </c>
      <c r="Q35" s="86">
        <v>0.45569620253164556</v>
      </c>
    </row>
    <row r="36" spans="1:17" x14ac:dyDescent="0.4">
      <c r="A36" s="88">
        <v>33</v>
      </c>
      <c r="B36" s="85">
        <v>212.39999999999998</v>
      </c>
      <c r="C36" s="85">
        <v>6.4363636363636356</v>
      </c>
      <c r="D36" s="90">
        <v>1.8181818181818181</v>
      </c>
      <c r="E36" s="86">
        <v>0.42424242424242425</v>
      </c>
      <c r="F36" s="86">
        <v>0.354978354978355</v>
      </c>
      <c r="G36" s="86">
        <v>0.16017316017316016</v>
      </c>
      <c r="H36" s="87">
        <v>10986.585365853658</v>
      </c>
      <c r="I36" s="87">
        <v>-9940.54054054054</v>
      </c>
      <c r="J36" s="86">
        <v>0.18181818181818182</v>
      </c>
      <c r="K36" s="86">
        <v>0.27272727272727271</v>
      </c>
      <c r="P36" s="86">
        <v>0.36585365853658536</v>
      </c>
      <c r="Q36" s="86">
        <v>0.47619047619047616</v>
      </c>
    </row>
    <row r="37" spans="1:17" x14ac:dyDescent="0.4">
      <c r="A37" s="88">
        <v>34</v>
      </c>
      <c r="B37" s="85">
        <v>262.39999999999998</v>
      </c>
      <c r="C37" s="85">
        <v>7.7176470588235286</v>
      </c>
      <c r="D37" s="90">
        <v>1.7941176470588236</v>
      </c>
      <c r="E37" s="86">
        <v>0.44117647058823528</v>
      </c>
      <c r="F37" s="86">
        <v>0.36170212765957449</v>
      </c>
      <c r="G37" s="86">
        <v>0.1574468085106383</v>
      </c>
      <c r="H37" s="87">
        <v>11092.941176470587</v>
      </c>
      <c r="I37" s="87">
        <v>-9940.54054054054</v>
      </c>
      <c r="J37" s="86">
        <v>0.17647058823529413</v>
      </c>
      <c r="K37" s="86">
        <v>0.29411764705882354</v>
      </c>
      <c r="P37" s="86">
        <v>0.36470588235294116</v>
      </c>
      <c r="Q37" s="86">
        <v>0.48863636363636365</v>
      </c>
    </row>
    <row r="38" spans="1:17" x14ac:dyDescent="0.4">
      <c r="A38" s="88">
        <v>35</v>
      </c>
      <c r="B38" s="85">
        <v>248.39999999999998</v>
      </c>
      <c r="C38" s="85">
        <v>7.0971428571428561</v>
      </c>
      <c r="D38" s="90">
        <v>1.8</v>
      </c>
      <c r="E38" s="86">
        <v>0.42857142857142855</v>
      </c>
      <c r="F38" s="86">
        <v>0.35802469135802467</v>
      </c>
      <c r="G38" s="86">
        <v>0.15637860082304528</v>
      </c>
      <c r="H38" s="87">
        <v>11136.781609195403</v>
      </c>
      <c r="I38" s="87">
        <v>-9889.4736842105267</v>
      </c>
      <c r="J38" s="86">
        <v>0.17142857142857143</v>
      </c>
      <c r="K38" s="86">
        <v>0.2857142857142857</v>
      </c>
      <c r="P38" s="86">
        <v>0.36781609195402298</v>
      </c>
      <c r="Q38" s="86">
        <v>0.48888888888888887</v>
      </c>
    </row>
    <row r="39" spans="1:17" x14ac:dyDescent="0.4">
      <c r="A39" s="88">
        <v>36</v>
      </c>
      <c r="B39" s="85">
        <v>244.99999999999997</v>
      </c>
      <c r="C39" s="85">
        <v>6.8055555555555545</v>
      </c>
      <c r="D39" s="90">
        <v>1.8055555555555556</v>
      </c>
      <c r="E39" s="86">
        <v>0.41666666666666669</v>
      </c>
      <c r="F39" s="86">
        <v>0.35599999999999998</v>
      </c>
      <c r="G39" s="86">
        <v>0.152</v>
      </c>
      <c r="H39" s="87">
        <v>11005.617977528091</v>
      </c>
      <c r="I39" s="87">
        <v>-9889.4736842105267</v>
      </c>
      <c r="J39" s="86">
        <v>0.16666666666666666</v>
      </c>
      <c r="K39" s="86">
        <v>0.27777777777777779</v>
      </c>
      <c r="P39" s="86">
        <v>0.3595505617977528</v>
      </c>
      <c r="Q39" s="86">
        <v>0.47826086956521741</v>
      </c>
    </row>
    <row r="40" spans="1:17" x14ac:dyDescent="0.4">
      <c r="A40" s="88">
        <v>37</v>
      </c>
      <c r="B40" s="85">
        <v>227.89999999999998</v>
      </c>
      <c r="C40" s="85">
        <v>6.1594594594594589</v>
      </c>
      <c r="D40" s="90">
        <v>1.8378378378378379</v>
      </c>
      <c r="E40" s="86">
        <v>0.40540540540540543</v>
      </c>
      <c r="F40" s="86">
        <v>0.35271317829457366</v>
      </c>
      <c r="G40" s="86">
        <v>0.15891472868217055</v>
      </c>
      <c r="H40" s="87">
        <v>10924.175824175823</v>
      </c>
      <c r="I40" s="87">
        <v>-9682.9268292682918</v>
      </c>
      <c r="J40" s="86">
        <v>0.16216216216216217</v>
      </c>
      <c r="K40" s="86">
        <v>0.27027027027027029</v>
      </c>
      <c r="P40" s="86">
        <v>0.36263736263736263</v>
      </c>
      <c r="Q40" s="86">
        <v>0.46808510638297873</v>
      </c>
    </row>
    <row r="41" spans="1:17" x14ac:dyDescent="0.4">
      <c r="A41" s="88">
        <v>38</v>
      </c>
      <c r="B41" s="85">
        <v>248.99999999999997</v>
      </c>
      <c r="C41" s="85">
        <v>6.5526315789473673</v>
      </c>
      <c r="D41" s="90">
        <v>1.8157894736842106</v>
      </c>
      <c r="E41" s="86">
        <v>0.42105263157894735</v>
      </c>
      <c r="F41" s="86">
        <v>0.35447761194029853</v>
      </c>
      <c r="G41" s="86">
        <v>0.16044776119402984</v>
      </c>
      <c r="H41" s="87">
        <v>10927.368421052632</v>
      </c>
      <c r="I41" s="87">
        <v>-9590.6976744186049</v>
      </c>
      <c r="J41" s="86">
        <v>0.15789473684210525</v>
      </c>
      <c r="K41" s="86">
        <v>0.28947368421052633</v>
      </c>
      <c r="P41" s="86">
        <v>0.38947368421052631</v>
      </c>
      <c r="Q41" s="86">
        <v>0.46391752577319589</v>
      </c>
    </row>
    <row r="42" spans="1:17" x14ac:dyDescent="0.4">
      <c r="A42" s="88">
        <v>39</v>
      </c>
      <c r="B42" s="85">
        <v>198.39999999999998</v>
      </c>
      <c r="C42" s="85">
        <v>5.0871794871794869</v>
      </c>
      <c r="D42" s="90">
        <v>1.8461538461538463</v>
      </c>
      <c r="E42" s="86">
        <v>0.41025641025641024</v>
      </c>
      <c r="F42" s="86">
        <v>0.35315985130111527</v>
      </c>
      <c r="G42" s="86">
        <v>0.16356877323420074</v>
      </c>
      <c r="H42" s="87">
        <v>10927.368421052632</v>
      </c>
      <c r="I42" s="87">
        <v>-10522.727272727272</v>
      </c>
      <c r="J42" s="86">
        <v>0.17948717948717949</v>
      </c>
      <c r="K42" s="86">
        <v>0.28205128205128205</v>
      </c>
      <c r="P42" s="86">
        <v>0.38947368421052631</v>
      </c>
      <c r="Q42" s="86">
        <v>0.46391752577319589</v>
      </c>
    </row>
    <row r="43" spans="1:17" x14ac:dyDescent="0.4">
      <c r="A43" s="88">
        <v>40</v>
      </c>
      <c r="B43" s="85">
        <v>190.2</v>
      </c>
      <c r="C43" s="85">
        <v>4.7549999999999999</v>
      </c>
      <c r="D43" s="90">
        <v>1.85</v>
      </c>
      <c r="E43" s="86">
        <v>0.4</v>
      </c>
      <c r="F43" s="86">
        <v>0.35036496350364965</v>
      </c>
      <c r="G43" s="86">
        <v>0.16423357664233576</v>
      </c>
      <c r="H43" s="87">
        <v>10938.541666666666</v>
      </c>
      <c r="I43" s="87">
        <v>-10460</v>
      </c>
      <c r="J43" s="86">
        <v>0.17499999999999999</v>
      </c>
      <c r="K43" s="86">
        <v>0.27500000000000002</v>
      </c>
      <c r="P43" s="86">
        <v>0.39583333333333331</v>
      </c>
      <c r="Q43" s="86">
        <v>0.46391752577319589</v>
      </c>
    </row>
    <row r="44" spans="1:17" x14ac:dyDescent="0.4">
      <c r="A44" s="88">
        <v>41</v>
      </c>
      <c r="B44" s="85">
        <v>183.2</v>
      </c>
      <c r="C44" s="85">
        <v>4.4682926829268288</v>
      </c>
      <c r="D44" s="90">
        <v>1.8780487804878048</v>
      </c>
      <c r="E44" s="86">
        <v>0.3902439024390244</v>
      </c>
      <c r="F44" s="86">
        <v>0.34642857142857142</v>
      </c>
      <c r="G44" s="86">
        <v>0.16785714285714284</v>
      </c>
      <c r="H44" s="87">
        <v>10908.247422680412</v>
      </c>
      <c r="I44" s="87">
        <v>-10295.744680851063</v>
      </c>
      <c r="J44" s="86">
        <v>0.17073170731707318</v>
      </c>
      <c r="K44" s="86">
        <v>0.26829268292682928</v>
      </c>
      <c r="P44" s="86">
        <v>0.40206185567010311</v>
      </c>
      <c r="Q44" s="86">
        <v>0.45454545454545453</v>
      </c>
    </row>
    <row r="45" spans="1:17" x14ac:dyDescent="0.4">
      <c r="A45" s="88">
        <v>42</v>
      </c>
      <c r="B45" s="85">
        <v>146.79999999999998</v>
      </c>
      <c r="C45" s="85">
        <v>3.4952380952380948</v>
      </c>
      <c r="D45" s="90">
        <v>1.9047619047619047</v>
      </c>
      <c r="E45" s="86">
        <v>0.38095238095238093</v>
      </c>
      <c r="F45" s="86">
        <v>0.33793103448275863</v>
      </c>
      <c r="G45" s="86">
        <v>0.17241379310344829</v>
      </c>
      <c r="H45" s="87">
        <v>10850</v>
      </c>
      <c r="I45" s="87">
        <v>-10108</v>
      </c>
      <c r="J45" s="86">
        <v>0.19047619047619047</v>
      </c>
      <c r="K45" s="86">
        <v>0.26190476190476192</v>
      </c>
      <c r="P45" s="86">
        <v>0.39795918367346939</v>
      </c>
      <c r="Q45" s="86">
        <v>0.44554455445544555</v>
      </c>
    </row>
    <row r="46" spans="1:17" x14ac:dyDescent="0.4">
      <c r="A46" s="88">
        <v>43</v>
      </c>
      <c r="B46" s="85">
        <v>138.29999999999998</v>
      </c>
      <c r="C46" s="85">
        <v>3.2162790697674413</v>
      </c>
      <c r="D46" s="90">
        <v>1.930232558139535</v>
      </c>
      <c r="E46" s="86">
        <v>0.37209302325581395</v>
      </c>
      <c r="F46" s="86">
        <v>0.33779264214046822</v>
      </c>
      <c r="G46" s="86">
        <v>0.17391304347826086</v>
      </c>
      <c r="H46" s="87">
        <v>10804.950495049505</v>
      </c>
      <c r="I46" s="87">
        <v>-10103.846153846154</v>
      </c>
      <c r="J46" s="86">
        <v>0.18604651162790697</v>
      </c>
      <c r="K46" s="86">
        <v>0.2558139534883721</v>
      </c>
      <c r="P46" s="86">
        <v>0.41584158415841582</v>
      </c>
      <c r="Q46" s="86">
        <v>0.43269230769230771</v>
      </c>
    </row>
    <row r="47" spans="1:17" x14ac:dyDescent="0.4">
      <c r="A47" s="88">
        <v>44</v>
      </c>
      <c r="B47" s="85">
        <v>146.69999999999999</v>
      </c>
      <c r="C47" s="85">
        <v>3.334090909090909</v>
      </c>
      <c r="D47" s="90">
        <v>1.9318181818181819</v>
      </c>
      <c r="E47" s="86">
        <v>0.36363636363636365</v>
      </c>
      <c r="F47" s="86">
        <v>0.33870967741935482</v>
      </c>
      <c r="G47" s="86">
        <v>0.17096774193548386</v>
      </c>
      <c r="H47" s="87">
        <v>10673.333333333334</v>
      </c>
      <c r="I47" s="87">
        <v>-10064.150943396226</v>
      </c>
      <c r="J47" s="86">
        <v>0.18181818181818182</v>
      </c>
      <c r="K47" s="86">
        <v>0.25</v>
      </c>
      <c r="P47" s="86">
        <v>0.40952380952380951</v>
      </c>
      <c r="Q47" s="86">
        <v>0.44036697247706424</v>
      </c>
    </row>
    <row r="48" spans="1:17" x14ac:dyDescent="0.4">
      <c r="A48" s="88">
        <v>45</v>
      </c>
      <c r="B48" s="85">
        <v>136.29999999999998</v>
      </c>
      <c r="C48" s="85">
        <v>3.0288888888888885</v>
      </c>
      <c r="D48" s="90">
        <v>1.9555555555555555</v>
      </c>
      <c r="E48" s="86">
        <v>0.35555555555555557</v>
      </c>
      <c r="F48" s="86">
        <v>0.33962264150943394</v>
      </c>
      <c r="G48" s="86">
        <v>0.16981132075471697</v>
      </c>
      <c r="H48" s="87">
        <v>10572.222222222223</v>
      </c>
      <c r="I48" s="87">
        <v>-10174.074074074075</v>
      </c>
      <c r="J48" s="86">
        <v>0.17777777777777778</v>
      </c>
      <c r="K48" s="86">
        <v>0.24444444444444444</v>
      </c>
      <c r="P48" s="86">
        <v>0.39814814814814814</v>
      </c>
      <c r="Q48" s="86">
        <v>0.43243243243243246</v>
      </c>
    </row>
    <row r="49" spans="1:17" x14ac:dyDescent="0.4">
      <c r="A49" s="88">
        <v>46</v>
      </c>
      <c r="B49" s="85">
        <v>164.2</v>
      </c>
      <c r="C49" s="85">
        <v>3.5695652173913039</v>
      </c>
      <c r="D49" s="90">
        <v>1.9347826086956521</v>
      </c>
      <c r="E49" s="86">
        <v>0.36956521739130432</v>
      </c>
      <c r="F49" s="86">
        <v>0.34674922600619196</v>
      </c>
      <c r="G49" s="86">
        <v>0.16718266253869968</v>
      </c>
      <c r="H49" s="87">
        <v>10488.392857142857</v>
      </c>
      <c r="I49" s="87">
        <v>-10174.074074074075</v>
      </c>
      <c r="J49" s="86">
        <v>0.17391304347826086</v>
      </c>
      <c r="K49" s="86">
        <v>0.2608695652173913</v>
      </c>
      <c r="P49" s="86">
        <v>0.38392857142857145</v>
      </c>
      <c r="Q49" s="86">
        <v>0.4336283185840708</v>
      </c>
    </row>
    <row r="50" spans="1:17" x14ac:dyDescent="0.4">
      <c r="A50" s="88">
        <v>47</v>
      </c>
      <c r="B50" s="85">
        <v>143.69999999999999</v>
      </c>
      <c r="C50" s="85">
        <v>3.0574468085106381</v>
      </c>
      <c r="D50" s="90">
        <v>1.9574468085106382</v>
      </c>
      <c r="E50" s="86">
        <v>0.36170212765957449</v>
      </c>
      <c r="F50" s="86">
        <v>0.34226190476190477</v>
      </c>
      <c r="G50" s="86">
        <v>0.16666666666666666</v>
      </c>
      <c r="H50" s="87">
        <v>10401.739130434782</v>
      </c>
      <c r="I50" s="87">
        <v>-9989.2857142857138</v>
      </c>
      <c r="J50" s="86">
        <v>0.1702127659574468</v>
      </c>
      <c r="K50" s="86">
        <v>0.25531914893617019</v>
      </c>
      <c r="P50" s="86">
        <v>0.38260869565217392</v>
      </c>
      <c r="Q50" s="86">
        <v>0.43103448275862066</v>
      </c>
    </row>
    <row r="51" spans="1:17" x14ac:dyDescent="0.4">
      <c r="A51" s="88">
        <v>48</v>
      </c>
      <c r="B51" s="85">
        <v>112.6</v>
      </c>
      <c r="C51" s="85">
        <v>2.3458333333333332</v>
      </c>
      <c r="D51" s="90">
        <v>1.9583333333333333</v>
      </c>
      <c r="E51" s="86">
        <v>0.35416666666666669</v>
      </c>
      <c r="F51" s="86">
        <v>0.33819241982507287</v>
      </c>
      <c r="G51" s="86">
        <v>0.16618075801749271</v>
      </c>
      <c r="H51" s="87">
        <v>10381.034482758621</v>
      </c>
      <c r="I51" s="87">
        <v>-10094.736842105263</v>
      </c>
      <c r="J51" s="86">
        <v>0.16666666666666666</v>
      </c>
      <c r="K51" s="86">
        <v>0.25</v>
      </c>
      <c r="P51" s="86">
        <v>0.37931034482758619</v>
      </c>
      <c r="Q51" s="86">
        <v>0.42372881355932202</v>
      </c>
    </row>
    <row r="52" spans="1:17" x14ac:dyDescent="0.4">
      <c r="A52" s="88">
        <v>49</v>
      </c>
      <c r="B52" s="85">
        <v>128.79999999999998</v>
      </c>
      <c r="C52" s="85">
        <v>2.6285714285714281</v>
      </c>
      <c r="D52" s="90">
        <v>1.9387755102040816</v>
      </c>
      <c r="E52" s="86">
        <v>0.36734693877551022</v>
      </c>
      <c r="F52" s="86">
        <v>0.34285714285714286</v>
      </c>
      <c r="G52" s="86">
        <v>0.16285714285714287</v>
      </c>
      <c r="H52" s="87">
        <v>10221.666666666666</v>
      </c>
      <c r="I52" s="87">
        <v>-10094.736842105263</v>
      </c>
      <c r="J52" s="86">
        <v>0.16326530612244897</v>
      </c>
      <c r="K52" s="86">
        <v>0.24489795918367346</v>
      </c>
      <c r="P52" s="86">
        <v>0.375</v>
      </c>
      <c r="Q52" s="86">
        <v>0.42499999999999999</v>
      </c>
    </row>
    <row r="53" spans="1:17" x14ac:dyDescent="0.4">
      <c r="A53" s="88">
        <v>50</v>
      </c>
      <c r="B53" s="85">
        <v>123.89999999999998</v>
      </c>
      <c r="C53" s="85">
        <v>2.4779999999999998</v>
      </c>
      <c r="D53" s="90">
        <v>1.94</v>
      </c>
      <c r="E53" s="86">
        <v>0.36</v>
      </c>
      <c r="F53" s="86">
        <v>0.33888888888888891</v>
      </c>
      <c r="G53" s="86">
        <v>0.16388888888888889</v>
      </c>
      <c r="H53" s="87">
        <v>10332.786885245901</v>
      </c>
      <c r="I53" s="87">
        <v>-10022.033898305084</v>
      </c>
      <c r="J53" s="86">
        <v>0.16</v>
      </c>
      <c r="K53" s="86">
        <v>0.24</v>
      </c>
      <c r="P53" s="86">
        <v>0.37704918032786883</v>
      </c>
      <c r="Q53" s="86">
        <v>0.41935483870967744</v>
      </c>
    </row>
    <row r="54" spans="1:17" x14ac:dyDescent="0.4">
      <c r="A54" s="88">
        <v>51</v>
      </c>
      <c r="B54" s="85">
        <v>136.69999999999999</v>
      </c>
      <c r="C54" s="85">
        <v>2.6803921568627449</v>
      </c>
      <c r="D54" s="90">
        <v>1.9215686274509804</v>
      </c>
      <c r="E54" s="86">
        <v>0.37254901960784315</v>
      </c>
      <c r="F54" s="86">
        <v>0.34139784946236557</v>
      </c>
      <c r="G54" s="86">
        <v>0.16935483870967741</v>
      </c>
      <c r="H54" s="87">
        <v>10377.165354330709</v>
      </c>
      <c r="I54" s="87">
        <v>-9939.6825396825388</v>
      </c>
      <c r="J54" s="86">
        <v>0.15686274509803921</v>
      </c>
      <c r="K54" s="86">
        <v>0.23529411764705882</v>
      </c>
      <c r="P54" s="86">
        <v>0.37795275590551181</v>
      </c>
      <c r="Q54" s="86">
        <v>0.4263565891472868</v>
      </c>
    </row>
    <row r="55" spans="1:17" x14ac:dyDescent="0.4">
      <c r="A55" s="88">
        <v>52</v>
      </c>
      <c r="B55" s="85">
        <v>137.39999999999998</v>
      </c>
      <c r="C55" s="85">
        <v>2.6423076923076918</v>
      </c>
      <c r="D55" s="90">
        <v>1.9230769230769231</v>
      </c>
      <c r="E55" s="86">
        <v>0.36538461538461536</v>
      </c>
      <c r="F55" s="86">
        <v>0.34300791556728233</v>
      </c>
      <c r="G55" s="86">
        <v>0.16886543535620052</v>
      </c>
      <c r="H55" s="87">
        <v>10346.923076923076</v>
      </c>
      <c r="I55" s="87">
        <v>-9909.375</v>
      </c>
      <c r="J55" s="86">
        <v>0.15384615384615385</v>
      </c>
      <c r="K55" s="86">
        <v>0.23076923076923078</v>
      </c>
      <c r="P55" s="86">
        <v>0.37692307692307692</v>
      </c>
      <c r="Q55" s="86">
        <v>0.43181818181818182</v>
      </c>
    </row>
    <row r="56" spans="1:17" x14ac:dyDescent="0.4">
      <c r="A56" s="88">
        <v>53</v>
      </c>
      <c r="B56" s="85">
        <v>130.69999999999999</v>
      </c>
      <c r="C56" s="85">
        <v>2.4660377358490564</v>
      </c>
      <c r="D56" s="90">
        <v>1.9433962264150944</v>
      </c>
      <c r="E56" s="86">
        <v>0.35849056603773582</v>
      </c>
      <c r="F56" s="86">
        <v>0.34196891191709844</v>
      </c>
      <c r="G56" s="86">
        <v>0.17098445595854922</v>
      </c>
      <c r="H56" s="87">
        <v>10311.363636363636</v>
      </c>
      <c r="I56" s="87">
        <v>-9869.69696969697</v>
      </c>
      <c r="J56" s="86">
        <v>0.15094339622641509</v>
      </c>
      <c r="K56" s="86">
        <v>0.22641509433962265</v>
      </c>
      <c r="P56" s="86">
        <v>0.37878787878787878</v>
      </c>
      <c r="Q56" s="86">
        <v>0.42537313432835822</v>
      </c>
    </row>
    <row r="57" spans="1:17" x14ac:dyDescent="0.4">
      <c r="A57" s="88">
        <v>54</v>
      </c>
      <c r="B57" s="85">
        <v>102.69999999999999</v>
      </c>
      <c r="C57" s="85">
        <v>1.9018518518518517</v>
      </c>
      <c r="D57" s="90">
        <v>1.9444444444444444</v>
      </c>
      <c r="E57" s="86">
        <v>0.35185185185185186</v>
      </c>
      <c r="F57" s="86">
        <v>0.33842239185750639</v>
      </c>
      <c r="G57" s="86">
        <v>0.17302798982188294</v>
      </c>
      <c r="H57" s="87">
        <v>10354.135338345865</v>
      </c>
      <c r="I57" s="87">
        <v>-9932.3529411764703</v>
      </c>
      <c r="J57" s="86">
        <v>0.14814814814814814</v>
      </c>
      <c r="K57" s="86">
        <v>0.22222222222222221</v>
      </c>
      <c r="P57" s="86">
        <v>0.37593984962406013</v>
      </c>
      <c r="Q57" s="86">
        <v>0.42222222222222222</v>
      </c>
    </row>
    <row r="58" spans="1:17" x14ac:dyDescent="0.4">
      <c r="A58" s="88">
        <v>55</v>
      </c>
      <c r="B58" s="85">
        <v>119.39999999999999</v>
      </c>
      <c r="C58" s="85">
        <v>2.1709090909090909</v>
      </c>
      <c r="D58" s="90">
        <v>1.9454545454545455</v>
      </c>
      <c r="E58" s="86">
        <v>0.34545454545454546</v>
      </c>
      <c r="F58" s="86">
        <v>0.34085213032581452</v>
      </c>
      <c r="G58" s="86">
        <v>0.17042606516290726</v>
      </c>
      <c r="H58" s="87">
        <v>10340.441176470587</v>
      </c>
      <c r="I58" s="87">
        <v>-9932.3529411764703</v>
      </c>
      <c r="J58" s="86">
        <v>0.14545454545454545</v>
      </c>
      <c r="K58" s="86">
        <v>0.21818181818181817</v>
      </c>
      <c r="P58" s="86">
        <v>0.375</v>
      </c>
      <c r="Q58" s="86">
        <v>0.41911764705882354</v>
      </c>
    </row>
    <row r="59" spans="1:17" x14ac:dyDescent="0.4">
      <c r="A59" s="88">
        <v>56</v>
      </c>
      <c r="B59" s="85">
        <v>112.39999999999999</v>
      </c>
      <c r="C59" s="85">
        <v>2.0071428571428571</v>
      </c>
      <c r="D59" s="90">
        <v>1.9642857142857142</v>
      </c>
      <c r="E59" s="86">
        <v>0.3392857142857143</v>
      </c>
      <c r="F59" s="86">
        <v>0.33497536945812806</v>
      </c>
      <c r="G59" s="86">
        <v>0.16748768472906403</v>
      </c>
      <c r="H59" s="87">
        <v>10340.441176470587</v>
      </c>
      <c r="I59" s="87">
        <v>-9932.3529411764703</v>
      </c>
      <c r="J59" s="86">
        <v>0.14285714285714285</v>
      </c>
      <c r="K59" s="86">
        <v>0.21428571428571427</v>
      </c>
      <c r="P59" s="86">
        <v>0.375</v>
      </c>
      <c r="Q59" s="86">
        <v>0.41007194244604317</v>
      </c>
    </row>
    <row r="60" spans="1:17" x14ac:dyDescent="0.4">
      <c r="A60" s="88">
        <v>57</v>
      </c>
      <c r="B60" s="85">
        <v>144</v>
      </c>
      <c r="C60" s="85">
        <v>2.5263157894736841</v>
      </c>
      <c r="D60" s="90">
        <v>1.9473684210526316</v>
      </c>
      <c r="E60" s="86">
        <v>0.35087719298245612</v>
      </c>
      <c r="F60" s="86">
        <v>0.33975903614457831</v>
      </c>
      <c r="G60" s="86">
        <v>0.16626506024096385</v>
      </c>
      <c r="H60" s="87">
        <v>10385.106382978724</v>
      </c>
      <c r="I60" s="87">
        <v>-10049.27536231884</v>
      </c>
      <c r="J60" s="86">
        <v>0.14035087719298245</v>
      </c>
      <c r="K60" s="86">
        <v>0.22807017543859648</v>
      </c>
      <c r="P60" s="86">
        <v>0.37588652482269502</v>
      </c>
      <c r="Q60" s="86">
        <v>0.41549295774647887</v>
      </c>
    </row>
    <row r="61" spans="1:17" x14ac:dyDescent="0.4">
      <c r="A61" s="88">
        <v>58</v>
      </c>
      <c r="B61" s="85">
        <v>159.80000000000001</v>
      </c>
      <c r="C61" s="85">
        <v>2.7551724137931037</v>
      </c>
      <c r="D61" s="90">
        <v>1.9482758620689655</v>
      </c>
      <c r="E61" s="86">
        <v>0.34482758620689657</v>
      </c>
      <c r="F61" s="86">
        <v>0.33966745843230406</v>
      </c>
      <c r="G61" s="86">
        <v>0.16389548693586697</v>
      </c>
      <c r="H61" s="87">
        <v>10332.867132867133</v>
      </c>
      <c r="I61" s="87">
        <v>-10049.27536231884</v>
      </c>
      <c r="J61" s="86">
        <v>0.13793103448275862</v>
      </c>
      <c r="K61" s="86">
        <v>0.22413793103448276</v>
      </c>
      <c r="P61" s="86">
        <v>0.37062937062937062</v>
      </c>
      <c r="Q61" s="86">
        <v>0.41666666666666669</v>
      </c>
    </row>
    <row r="62" spans="1:17" x14ac:dyDescent="0.4">
      <c r="A62" s="88">
        <v>59</v>
      </c>
      <c r="B62" s="85">
        <v>216.8</v>
      </c>
      <c r="C62" s="85">
        <v>3.6745762711864409</v>
      </c>
      <c r="D62" s="90">
        <v>1.9322033898305084</v>
      </c>
      <c r="E62" s="86">
        <v>0.3559322033898305</v>
      </c>
      <c r="F62" s="86">
        <v>0.34433962264150941</v>
      </c>
      <c r="G62" s="86">
        <v>0.16273584905660377</v>
      </c>
      <c r="H62" s="87">
        <v>10490.410958904109</v>
      </c>
      <c r="I62" s="87">
        <v>-10049.27536231884</v>
      </c>
      <c r="J62" s="86">
        <v>0.13559322033898305</v>
      </c>
      <c r="K62" s="86">
        <v>0.23728813559322035</v>
      </c>
      <c r="P62" s="86">
        <v>0.36986301369863012</v>
      </c>
      <c r="Q62" s="86">
        <v>0.42857142857142855</v>
      </c>
    </row>
    <row r="63" spans="1:17" x14ac:dyDescent="0.4">
      <c r="A63" s="88">
        <v>60</v>
      </c>
      <c r="B63" s="85">
        <v>222.10000000000002</v>
      </c>
      <c r="C63" s="85">
        <v>3.7016666666666671</v>
      </c>
      <c r="D63" s="90">
        <v>1.9333333333333333</v>
      </c>
      <c r="E63" s="86">
        <v>0.35</v>
      </c>
      <c r="F63" s="86">
        <v>0.34562211981566821</v>
      </c>
      <c r="G63" s="86">
        <v>0.16589861751152074</v>
      </c>
      <c r="H63" s="87">
        <v>10458.666666666666</v>
      </c>
      <c r="I63" s="87">
        <v>-10006.944444444445</v>
      </c>
      <c r="J63" s="86">
        <v>0.13333333333333333</v>
      </c>
      <c r="K63" s="86">
        <v>0.23333333333333334</v>
      </c>
      <c r="P63" s="86">
        <v>0.36666666666666664</v>
      </c>
      <c r="Q63" s="86">
        <v>0.43046357615894038</v>
      </c>
    </row>
    <row r="64" spans="1:17" x14ac:dyDescent="0.4">
      <c r="A64" s="88">
        <v>61</v>
      </c>
      <c r="B64" s="85">
        <v>176.00000000000003</v>
      </c>
      <c r="C64" s="85">
        <v>2.8852459016393448</v>
      </c>
      <c r="D64" s="90">
        <v>1.9508196721311475</v>
      </c>
      <c r="E64" s="86">
        <v>0.34426229508196721</v>
      </c>
      <c r="F64" s="86">
        <v>0.33936651583710409</v>
      </c>
      <c r="G64" s="86">
        <v>0.16515837104072398</v>
      </c>
      <c r="H64" s="87">
        <v>10458.666666666666</v>
      </c>
      <c r="I64" s="87">
        <v>-10116.438356164384</v>
      </c>
      <c r="J64" s="86">
        <v>0.14754098360655737</v>
      </c>
      <c r="K64" s="86">
        <v>0.22950819672131148</v>
      </c>
      <c r="P64" s="86">
        <v>0.36666666666666664</v>
      </c>
      <c r="Q64" s="86">
        <v>0.42763157894736842</v>
      </c>
    </row>
    <row r="65" spans="1:17" x14ac:dyDescent="0.4">
      <c r="A65" s="88">
        <v>62</v>
      </c>
      <c r="B65" s="85">
        <v>197.10000000000002</v>
      </c>
      <c r="C65" s="85">
        <v>3.1790322580645163</v>
      </c>
      <c r="D65" s="90">
        <v>1.935483870967742</v>
      </c>
      <c r="E65" s="86">
        <v>0.35483870967741937</v>
      </c>
      <c r="F65" s="86">
        <v>0.34216335540838855</v>
      </c>
      <c r="G65" s="86">
        <v>0.16335540838852097</v>
      </c>
      <c r="H65" s="87">
        <v>10380</v>
      </c>
      <c r="I65" s="87">
        <v>-10087.837837837838</v>
      </c>
      <c r="J65" s="86">
        <v>0.14516129032258066</v>
      </c>
      <c r="K65" s="86">
        <v>0.22580645161290322</v>
      </c>
      <c r="P65" s="86">
        <v>0.36129032258064514</v>
      </c>
      <c r="Q65" s="86">
        <v>0.42948717948717946</v>
      </c>
    </row>
    <row r="66" spans="1:17" x14ac:dyDescent="0.4">
      <c r="A66" s="88">
        <v>63</v>
      </c>
      <c r="B66" s="85">
        <v>131.10000000000002</v>
      </c>
      <c r="C66" s="85">
        <v>2.0809523809523811</v>
      </c>
      <c r="D66" s="90">
        <v>1.9523809523809523</v>
      </c>
      <c r="E66" s="86">
        <v>0.34920634920634919</v>
      </c>
      <c r="F66" s="86">
        <v>0.3434125269978402</v>
      </c>
      <c r="G66" s="86">
        <v>0.16846652267818574</v>
      </c>
      <c r="H66" s="87">
        <v>10293.08176100629</v>
      </c>
      <c r="I66" s="87">
        <v>-10637.179487179486</v>
      </c>
      <c r="J66" s="86">
        <v>0.15873015873015872</v>
      </c>
      <c r="K66" s="86">
        <v>0.22222222222222221</v>
      </c>
      <c r="P66" s="86">
        <v>0.35849056603773582</v>
      </c>
      <c r="Q66" s="86">
        <v>0.43478260869565216</v>
      </c>
    </row>
    <row r="67" spans="1:17" x14ac:dyDescent="0.4">
      <c r="A67" s="88">
        <v>64</v>
      </c>
      <c r="B67" s="85">
        <v>126.10000000000002</v>
      </c>
      <c r="C67" s="85">
        <v>1.9703125000000004</v>
      </c>
      <c r="D67" s="90">
        <v>1.953125</v>
      </c>
      <c r="E67" s="86">
        <v>0.34375</v>
      </c>
      <c r="F67" s="86">
        <v>0.3434125269978402</v>
      </c>
      <c r="G67" s="86">
        <v>0.16846652267818574</v>
      </c>
      <c r="H67" s="87">
        <v>10293.08176100629</v>
      </c>
      <c r="I67" s="87">
        <v>-10637.179487179486</v>
      </c>
      <c r="J67" s="86">
        <v>0.15625</v>
      </c>
      <c r="K67" s="86">
        <v>0.21875</v>
      </c>
      <c r="P67" s="86">
        <v>0.35849056603773582</v>
      </c>
      <c r="Q67" s="86">
        <v>0.43478260869565216</v>
      </c>
    </row>
    <row r="68" spans="1:17" x14ac:dyDescent="0.4">
      <c r="A68" s="88">
        <v>65</v>
      </c>
      <c r="B68" s="85">
        <v>127.10000000000002</v>
      </c>
      <c r="C68" s="85">
        <v>1.9553846153846157</v>
      </c>
      <c r="D68" s="90">
        <v>1.9538461538461538</v>
      </c>
      <c r="E68" s="86">
        <v>0.33846153846153848</v>
      </c>
      <c r="F68" s="86">
        <v>0.3434125269978402</v>
      </c>
      <c r="G68" s="86">
        <v>0.16846652267818574</v>
      </c>
      <c r="H68" s="87">
        <v>10293.08176100629</v>
      </c>
      <c r="I68" s="87">
        <v>-10637.179487179486</v>
      </c>
      <c r="J68" s="86">
        <v>0.15384615384615385</v>
      </c>
      <c r="K68" s="86">
        <v>0.2153846153846154</v>
      </c>
      <c r="P68" s="86">
        <v>0.35849056603773582</v>
      </c>
      <c r="Q68" s="86">
        <v>0.43478260869565216</v>
      </c>
    </row>
    <row r="69" spans="1:17" x14ac:dyDescent="0.4">
      <c r="A69" s="88">
        <v>66</v>
      </c>
      <c r="B69" s="85">
        <v>158.70000000000002</v>
      </c>
      <c r="C69" s="85">
        <v>2.4045454545454548</v>
      </c>
      <c r="D69" s="90">
        <v>1.9393939393939394</v>
      </c>
      <c r="E69" s="86">
        <v>0.34848484848484851</v>
      </c>
      <c r="F69" s="86">
        <v>0.3434125269978402</v>
      </c>
      <c r="G69" s="86">
        <v>0.16846652267818574</v>
      </c>
      <c r="H69" s="87">
        <v>10293.08176100629</v>
      </c>
      <c r="I69" s="87">
        <v>-10637.179487179486</v>
      </c>
      <c r="J69" s="86">
        <v>0.15151515151515152</v>
      </c>
      <c r="K69" s="86">
        <v>0.21212121212121213</v>
      </c>
      <c r="P69" s="86">
        <v>0.35849056603773582</v>
      </c>
      <c r="Q69" s="86">
        <v>0.43478260869565216</v>
      </c>
    </row>
    <row r="70" spans="1:17" x14ac:dyDescent="0.4">
      <c r="A70" s="88">
        <v>67</v>
      </c>
      <c r="B70" s="85">
        <v>139.70000000000002</v>
      </c>
      <c r="C70" s="85">
        <v>2.0850746268656719</v>
      </c>
      <c r="D70" s="90">
        <v>1.9402985074626866</v>
      </c>
      <c r="E70" s="86">
        <v>0.34328358208955223</v>
      </c>
      <c r="F70" s="86">
        <v>0.34120171673819744</v>
      </c>
      <c r="G70" s="86">
        <v>0.16738197424892703</v>
      </c>
      <c r="H70" s="87">
        <v>10293.08176100629</v>
      </c>
      <c r="I70" s="87">
        <v>-10637.179487179486</v>
      </c>
      <c r="J70" s="86">
        <v>0.14925373134328357</v>
      </c>
      <c r="K70" s="86">
        <v>0.20895522388059701</v>
      </c>
      <c r="L70" s="86">
        <v>0</v>
      </c>
      <c r="M70" s="86">
        <v>0</v>
      </c>
      <c r="N70" s="86">
        <v>0</v>
      </c>
      <c r="O70" s="86">
        <v>0</v>
      </c>
      <c r="P70" s="86">
        <v>0.35849056603773582</v>
      </c>
      <c r="Q70" s="86">
        <v>0.43478260869565216</v>
      </c>
    </row>
    <row r="71" spans="1:17" x14ac:dyDescent="0.4">
      <c r="A71" s="88">
        <v>68</v>
      </c>
      <c r="B71" s="85">
        <v>129.80000000000001</v>
      </c>
      <c r="C71" s="85">
        <v>1.9088235294117648</v>
      </c>
      <c r="D71" s="90">
        <v>1.9558823529411764</v>
      </c>
      <c r="E71" s="86">
        <v>0.33823529411764708</v>
      </c>
      <c r="F71" s="86">
        <v>0.33966244725738398</v>
      </c>
      <c r="G71" s="86">
        <v>0.17088607594936708</v>
      </c>
      <c r="H71" s="87">
        <v>10324.844720496894</v>
      </c>
      <c r="I71" s="87">
        <v>-10608.641975308641</v>
      </c>
      <c r="J71" s="86">
        <v>0.14705882352941177</v>
      </c>
      <c r="K71" s="86">
        <v>0.20588235294117646</v>
      </c>
      <c r="L71" s="86">
        <v>0.18181818181818182</v>
      </c>
      <c r="M71" s="86">
        <v>0.27272727272727271</v>
      </c>
      <c r="N71" s="86">
        <v>0.5</v>
      </c>
      <c r="O71" s="86">
        <v>0.33333333333333331</v>
      </c>
      <c r="P71" s="86">
        <v>0.35403726708074534</v>
      </c>
      <c r="Q71" s="86">
        <v>0.43636363636363634</v>
      </c>
    </row>
    <row r="72" spans="1:17" x14ac:dyDescent="0.4">
      <c r="A72" s="88">
        <v>69</v>
      </c>
      <c r="B72" s="85">
        <v>130.70000000000002</v>
      </c>
      <c r="C72" s="85">
        <v>1.8942028985507249</v>
      </c>
      <c r="D72" s="90">
        <v>1.9565217391304348</v>
      </c>
      <c r="E72" s="86">
        <v>0.33333333333333331</v>
      </c>
      <c r="F72" s="86">
        <v>0.34024896265560167</v>
      </c>
      <c r="G72" s="86">
        <v>0.17012448132780084</v>
      </c>
      <c r="H72" s="87">
        <v>10275.609756097561</v>
      </c>
      <c r="I72" s="87">
        <v>-10576.829268292682</v>
      </c>
      <c r="J72" s="86">
        <v>0.14492753623188406</v>
      </c>
      <c r="K72" s="86">
        <v>0.20289855072463769</v>
      </c>
      <c r="L72" s="86">
        <v>0.15789473684210525</v>
      </c>
      <c r="M72" s="86">
        <v>0.26315789473684209</v>
      </c>
      <c r="N72" s="86">
        <v>0.66666666666666663</v>
      </c>
      <c r="O72" s="86">
        <v>0.4</v>
      </c>
      <c r="P72" s="86">
        <v>0.35365853658536583</v>
      </c>
      <c r="Q72" s="86">
        <v>0.43786982248520712</v>
      </c>
    </row>
    <row r="73" spans="1:17" x14ac:dyDescent="0.4">
      <c r="A73" s="88">
        <v>70</v>
      </c>
      <c r="B73" s="85">
        <v>163</v>
      </c>
      <c r="C73" s="85">
        <v>2.3285714285714287</v>
      </c>
      <c r="D73" s="90">
        <v>1.9428571428571428</v>
      </c>
      <c r="E73" s="86">
        <v>0.34285714285714286</v>
      </c>
      <c r="F73" s="86">
        <v>0.34221311475409838</v>
      </c>
      <c r="G73" s="86">
        <v>0.16803278688524589</v>
      </c>
      <c r="H73" s="87">
        <v>10245.508982035928</v>
      </c>
      <c r="I73" s="87">
        <v>-10576.829268292682</v>
      </c>
      <c r="J73" s="86">
        <v>0.14285714285714285</v>
      </c>
      <c r="K73" s="86">
        <v>0.21428571428571427</v>
      </c>
      <c r="L73" s="86">
        <v>0.2</v>
      </c>
      <c r="M73" s="86">
        <v>0.28000000000000003</v>
      </c>
      <c r="N73" s="86">
        <v>0.8</v>
      </c>
      <c r="O73" s="86">
        <v>0.42857142857142855</v>
      </c>
      <c r="P73" s="86">
        <v>0.3592814371257485</v>
      </c>
      <c r="Q73" s="86">
        <v>0.43859649122807015</v>
      </c>
    </row>
    <row r="74" spans="1:17" x14ac:dyDescent="0.4">
      <c r="A74" s="88">
        <v>71</v>
      </c>
      <c r="B74" s="85">
        <v>191.4</v>
      </c>
      <c r="C74" s="85">
        <v>2.6957746478873239</v>
      </c>
      <c r="D74" s="90">
        <v>1.9295774647887325</v>
      </c>
      <c r="E74" s="86">
        <v>0.352112676056338</v>
      </c>
      <c r="F74" s="86">
        <v>0.34274193548387094</v>
      </c>
      <c r="G74" s="86">
        <v>0.16733870967741934</v>
      </c>
      <c r="H74" s="87">
        <v>10312.35294117647</v>
      </c>
      <c r="I74" s="87">
        <v>-10593.975903614459</v>
      </c>
      <c r="J74" s="86">
        <v>0.14084507042253522</v>
      </c>
      <c r="K74" s="86">
        <v>0.21126760563380281</v>
      </c>
      <c r="L74" s="86">
        <v>0.21212121212121213</v>
      </c>
      <c r="M74" s="86">
        <v>0.33333333333333331</v>
      </c>
      <c r="N74" s="86">
        <v>0.8571428571428571</v>
      </c>
      <c r="O74" s="86">
        <v>0.36363636363636365</v>
      </c>
      <c r="P74" s="86">
        <v>0.36470588235294116</v>
      </c>
      <c r="Q74" s="86">
        <v>0.43352601156069365</v>
      </c>
    </row>
    <row r="75" spans="1:17" x14ac:dyDescent="0.4">
      <c r="A75" s="88">
        <v>72</v>
      </c>
      <c r="B75" s="85">
        <v>184</v>
      </c>
      <c r="C75" s="85">
        <v>2.5555555555555554</v>
      </c>
      <c r="D75" s="90">
        <v>1.9305555555555556</v>
      </c>
      <c r="E75" s="86">
        <v>0.34722222222222221</v>
      </c>
      <c r="F75" s="86">
        <v>0.34063745019920316</v>
      </c>
      <c r="G75" s="86">
        <v>0.16533864541832669</v>
      </c>
      <c r="H75" s="87">
        <v>10261.403508771929</v>
      </c>
      <c r="I75" s="87">
        <v>-10593.975903614459</v>
      </c>
      <c r="J75" s="86">
        <v>0.1388888888888889</v>
      </c>
      <c r="K75" s="86">
        <v>0.20833333333333334</v>
      </c>
      <c r="L75" s="86">
        <v>0.20512820512820512</v>
      </c>
      <c r="M75" s="86">
        <v>0.30769230769230771</v>
      </c>
      <c r="N75" s="86">
        <v>0.875</v>
      </c>
      <c r="O75" s="86">
        <v>0.33333333333333331</v>
      </c>
      <c r="P75" s="86">
        <v>0.36257309941520466</v>
      </c>
      <c r="Q75" s="86">
        <v>0.43103448275862066</v>
      </c>
    </row>
    <row r="76" spans="1:17" x14ac:dyDescent="0.4">
      <c r="A76" s="88">
        <v>73</v>
      </c>
      <c r="B76" s="85">
        <v>202.3</v>
      </c>
      <c r="C76" s="85">
        <v>2.7712328767123289</v>
      </c>
      <c r="D76" s="90">
        <v>1.9178082191780821</v>
      </c>
      <c r="E76" s="86">
        <v>0.35616438356164382</v>
      </c>
      <c r="F76" s="86">
        <v>0.3411764705882353</v>
      </c>
      <c r="G76" s="86">
        <v>0.16274509803921569</v>
      </c>
      <c r="H76" s="87">
        <v>10236.206896551725</v>
      </c>
      <c r="I76" s="87">
        <v>-10593.975903614459</v>
      </c>
      <c r="J76" s="86">
        <v>0.13698630136986301</v>
      </c>
      <c r="K76" s="86">
        <v>0.20547945205479451</v>
      </c>
      <c r="L76" s="86">
        <v>0.21276595744680851</v>
      </c>
      <c r="M76" s="86">
        <v>0.31914893617021278</v>
      </c>
      <c r="N76" s="86">
        <v>0.8</v>
      </c>
      <c r="O76" s="86">
        <v>0.4</v>
      </c>
      <c r="P76" s="86">
        <v>0.35632183908045978</v>
      </c>
      <c r="Q76" s="86">
        <v>0.43181818181818182</v>
      </c>
    </row>
    <row r="77" spans="1:17" x14ac:dyDescent="0.4">
      <c r="A77" s="88">
        <v>74</v>
      </c>
      <c r="B77" s="85">
        <v>188.4</v>
      </c>
      <c r="C77" s="85">
        <v>2.5459459459459461</v>
      </c>
      <c r="D77" s="90">
        <v>1.9189189189189189</v>
      </c>
      <c r="E77" s="86">
        <v>0.35135135135135137</v>
      </c>
      <c r="F77" s="86">
        <v>0.34362934362934361</v>
      </c>
      <c r="G77" s="86">
        <v>0.16023166023166024</v>
      </c>
      <c r="H77" s="87">
        <v>10105.056179775282</v>
      </c>
      <c r="I77" s="87">
        <v>-10593.975903614459</v>
      </c>
      <c r="J77" s="86">
        <v>0.13513513513513514</v>
      </c>
      <c r="K77" s="86">
        <v>0.20270270270270271</v>
      </c>
      <c r="L77" s="86">
        <v>0.21818181818181817</v>
      </c>
      <c r="M77" s="86">
        <v>0.32727272727272727</v>
      </c>
      <c r="N77" s="86">
        <v>0.75</v>
      </c>
      <c r="O77" s="86">
        <v>0.5</v>
      </c>
      <c r="P77" s="86">
        <v>0.3595505617977528</v>
      </c>
      <c r="Q77" s="86">
        <v>0.42777777777777776</v>
      </c>
    </row>
    <row r="78" spans="1:17" x14ac:dyDescent="0.4">
      <c r="A78" s="88">
        <v>75</v>
      </c>
      <c r="B78" s="85">
        <v>228.4</v>
      </c>
      <c r="C78" s="85">
        <v>3.0453333333333332</v>
      </c>
      <c r="D78" s="90">
        <v>1.9066666666666667</v>
      </c>
      <c r="E78" s="86">
        <v>0.36</v>
      </c>
      <c r="F78" s="86">
        <v>0.34674329501915707</v>
      </c>
      <c r="G78" s="86">
        <v>0.15900383141762453</v>
      </c>
      <c r="H78" s="87">
        <v>10158.563535911602</v>
      </c>
      <c r="I78" s="87">
        <v>-10593.975903614459</v>
      </c>
      <c r="J78" s="86">
        <v>0.13333333333333333</v>
      </c>
      <c r="K78" s="86">
        <v>0.21333333333333335</v>
      </c>
      <c r="L78" s="86">
        <v>0.23728813559322035</v>
      </c>
      <c r="M78" s="86">
        <v>0.32203389830508472</v>
      </c>
      <c r="N78" s="86">
        <v>0.7857142857142857</v>
      </c>
      <c r="O78" s="86">
        <v>0.52631578947368418</v>
      </c>
      <c r="P78" s="86">
        <v>0.35911602209944754</v>
      </c>
      <c r="Q78" s="86">
        <v>0.42857142857142855</v>
      </c>
    </row>
    <row r="79" spans="1:17" x14ac:dyDescent="0.4">
      <c r="A79" s="88">
        <v>76</v>
      </c>
      <c r="B79" s="85">
        <v>233.6</v>
      </c>
      <c r="C79" s="85">
        <v>3.0736842105263156</v>
      </c>
      <c r="D79" s="90">
        <v>1.9078947368421053</v>
      </c>
      <c r="E79" s="86">
        <v>0.35526315789473684</v>
      </c>
      <c r="F79" s="86">
        <v>0.34848484848484851</v>
      </c>
      <c r="G79" s="86">
        <v>0.15909090909090909</v>
      </c>
      <c r="H79" s="87">
        <v>10094.565217391304</v>
      </c>
      <c r="I79" s="87">
        <v>-10563.095238095239</v>
      </c>
      <c r="J79" s="86">
        <v>0.13157894736842105</v>
      </c>
      <c r="K79" s="86">
        <v>0.21052631578947367</v>
      </c>
      <c r="L79" s="86">
        <v>0.26153846153846155</v>
      </c>
      <c r="M79" s="86">
        <v>0.30769230769230771</v>
      </c>
      <c r="N79" s="86">
        <v>0.76470588235294112</v>
      </c>
      <c r="O79" s="86">
        <v>0.5</v>
      </c>
      <c r="P79" s="86">
        <v>0.3641304347826087</v>
      </c>
      <c r="Q79" s="86">
        <v>0.42391304347826086</v>
      </c>
    </row>
    <row r="80" spans="1:17" x14ac:dyDescent="0.4">
      <c r="A80" s="88">
        <v>77</v>
      </c>
      <c r="B80" s="85">
        <v>219.9</v>
      </c>
      <c r="C80" s="85">
        <v>2.8558441558441561</v>
      </c>
      <c r="D80" s="90">
        <v>1.9090909090909092</v>
      </c>
      <c r="E80" s="86">
        <v>0.35064935064935066</v>
      </c>
      <c r="F80" s="86">
        <v>0.34644194756554308</v>
      </c>
      <c r="G80" s="86">
        <v>0.15917602996254682</v>
      </c>
      <c r="H80" s="87">
        <v>10104.864864864865</v>
      </c>
      <c r="I80" s="87">
        <v>-10500</v>
      </c>
      <c r="J80" s="86">
        <v>0.12987012987012986</v>
      </c>
      <c r="K80" s="86">
        <v>0.20779220779220781</v>
      </c>
      <c r="L80" s="86">
        <v>0.25352112676056338</v>
      </c>
      <c r="M80" s="86">
        <v>0.29577464788732394</v>
      </c>
      <c r="N80" s="86">
        <v>0.77777777777777779</v>
      </c>
      <c r="O80" s="86">
        <v>0.47619047619047616</v>
      </c>
      <c r="P80" s="86">
        <v>0.36216216216216218</v>
      </c>
      <c r="Q80" s="86">
        <v>0.41935483870967744</v>
      </c>
    </row>
    <row r="81" spans="1:17" x14ac:dyDescent="0.4">
      <c r="A81" s="88">
        <v>78</v>
      </c>
      <c r="B81" s="85">
        <v>225</v>
      </c>
      <c r="C81" s="85">
        <v>2.8846153846153846</v>
      </c>
      <c r="D81" s="90">
        <v>1.9102564102564104</v>
      </c>
      <c r="E81" s="86">
        <v>0.34615384615384615</v>
      </c>
      <c r="F81" s="86">
        <v>0.34750462107208874</v>
      </c>
      <c r="G81" s="86">
        <v>0.15896487985212571</v>
      </c>
      <c r="H81" s="87">
        <v>10069.148936170213</v>
      </c>
      <c r="I81" s="87">
        <v>-10470.930232558139</v>
      </c>
      <c r="J81" s="86">
        <v>0.12820512820512819</v>
      </c>
      <c r="K81" s="86">
        <v>0.20512820512820512</v>
      </c>
      <c r="L81" s="86">
        <v>0.28205128205128205</v>
      </c>
      <c r="M81" s="86">
        <v>0.29487179487179488</v>
      </c>
      <c r="N81" s="86">
        <v>0.77272727272727271</v>
      </c>
      <c r="O81" s="86">
        <v>0.43478260869565216</v>
      </c>
      <c r="P81" s="86">
        <v>0.36170212765957449</v>
      </c>
      <c r="Q81" s="86">
        <v>0.41798941798941797</v>
      </c>
    </row>
    <row r="82" spans="1:17" x14ac:dyDescent="0.4">
      <c r="A82" s="88">
        <v>79</v>
      </c>
      <c r="B82" s="85">
        <v>256.89999999999998</v>
      </c>
      <c r="C82" s="85">
        <v>3.2518987341772148</v>
      </c>
      <c r="D82" s="90">
        <v>1.8987341772151898</v>
      </c>
      <c r="E82" s="86">
        <v>0.35443037974683544</v>
      </c>
      <c r="F82" s="86">
        <v>0.34837545126353792</v>
      </c>
      <c r="G82" s="86">
        <v>0.15703971119133575</v>
      </c>
      <c r="H82" s="87">
        <v>9982.3834196891185</v>
      </c>
      <c r="I82" s="87">
        <v>-10395.402298850575</v>
      </c>
      <c r="J82" s="86">
        <v>0.12658227848101267</v>
      </c>
      <c r="K82" s="86">
        <v>0.21518987341772153</v>
      </c>
      <c r="L82" s="86">
        <v>0.25274725274725274</v>
      </c>
      <c r="M82" s="86">
        <v>0.30769230769230771</v>
      </c>
      <c r="N82" s="86">
        <v>0.78260869565217395</v>
      </c>
      <c r="O82" s="86">
        <v>0.42857142857142855</v>
      </c>
      <c r="P82" s="86">
        <v>0.35233160621761656</v>
      </c>
      <c r="Q82" s="86">
        <v>0.41538461538461541</v>
      </c>
    </row>
    <row r="83" spans="1:17" x14ac:dyDescent="0.4">
      <c r="A83" s="88">
        <v>80</v>
      </c>
      <c r="B83" s="85">
        <v>296.89999999999998</v>
      </c>
      <c r="C83" s="85">
        <v>3.7112499999999997</v>
      </c>
      <c r="D83" s="90">
        <v>1.8875</v>
      </c>
      <c r="E83" s="86">
        <v>0.36249999999999999</v>
      </c>
      <c r="F83" s="86">
        <v>0.35062611806797855</v>
      </c>
      <c r="G83" s="86">
        <v>0.15563506261180679</v>
      </c>
      <c r="H83" s="87">
        <v>10064.285714285714</v>
      </c>
      <c r="I83" s="87">
        <v>-10395.402298850575</v>
      </c>
      <c r="J83" s="86">
        <v>0.125</v>
      </c>
      <c r="K83" s="86">
        <v>0.22500000000000001</v>
      </c>
      <c r="L83" s="86">
        <v>0.27083333333333331</v>
      </c>
      <c r="M83" s="86">
        <v>0.29166666666666669</v>
      </c>
      <c r="N83" s="86">
        <v>0.76923076923076927</v>
      </c>
      <c r="O83" s="86">
        <v>0.42857142857142855</v>
      </c>
      <c r="P83" s="86">
        <v>0.34693877551020408</v>
      </c>
      <c r="Q83" s="86">
        <v>0.41836734693877553</v>
      </c>
    </row>
    <row r="84" spans="1:17" x14ac:dyDescent="0.4">
      <c r="A84" s="88">
        <v>81</v>
      </c>
      <c r="B84" s="85">
        <v>319.39999999999998</v>
      </c>
      <c r="C84" s="85">
        <v>3.9432098765432095</v>
      </c>
      <c r="D84" s="90">
        <v>1.8765432098765431</v>
      </c>
      <c r="E84" s="86">
        <v>0.37037037037037035</v>
      </c>
      <c r="F84" s="86">
        <v>0.35449735449735448</v>
      </c>
      <c r="G84" s="86">
        <v>0.15343915343915343</v>
      </c>
      <c r="H84" s="87">
        <v>9985.5721393034819</v>
      </c>
      <c r="I84" s="87">
        <v>-10395.402298850575</v>
      </c>
      <c r="J84" s="86">
        <v>0.12345679012345678</v>
      </c>
      <c r="K84" s="86">
        <v>0.23456790123456789</v>
      </c>
      <c r="L84" s="86">
        <v>0.25961538461538464</v>
      </c>
      <c r="M84" s="86">
        <v>0.28846153846153844</v>
      </c>
      <c r="N84" s="86">
        <v>0.77777777777777779</v>
      </c>
      <c r="O84" s="86">
        <v>0.46666666666666667</v>
      </c>
      <c r="P84" s="86">
        <v>0.34825870646766172</v>
      </c>
      <c r="Q84" s="86">
        <v>0.4228855721393035</v>
      </c>
    </row>
    <row r="85" spans="1:17" x14ac:dyDescent="0.4">
      <c r="A85" s="88">
        <v>82</v>
      </c>
      <c r="B85" s="85">
        <v>350.9</v>
      </c>
      <c r="C85" s="85">
        <v>4.2792682926829269</v>
      </c>
      <c r="D85" s="90">
        <v>1.8658536585365855</v>
      </c>
      <c r="E85" s="86">
        <v>0.37804878048780488</v>
      </c>
      <c r="F85" s="86">
        <v>0.35478260869565215</v>
      </c>
      <c r="G85" s="86">
        <v>0.15130434782608695</v>
      </c>
      <c r="H85" s="87">
        <v>9975.9803921568619</v>
      </c>
      <c r="I85" s="87">
        <v>-10395.402298850575</v>
      </c>
      <c r="J85" s="86">
        <v>0.12195121951219512</v>
      </c>
      <c r="K85" s="86">
        <v>0.23170731707317074</v>
      </c>
      <c r="L85" s="86">
        <v>0.25892857142857145</v>
      </c>
      <c r="M85" s="86">
        <v>0.2767857142857143</v>
      </c>
      <c r="N85" s="86">
        <v>0.75862068965517238</v>
      </c>
      <c r="O85" s="86">
        <v>0.45161290322580644</v>
      </c>
      <c r="P85" s="86">
        <v>0.35784313725490197</v>
      </c>
      <c r="Q85" s="86">
        <v>0.41871921182266009</v>
      </c>
    </row>
    <row r="86" spans="1:17" x14ac:dyDescent="0.4">
      <c r="A86" s="88">
        <v>83</v>
      </c>
      <c r="B86" s="85">
        <v>410.7</v>
      </c>
      <c r="C86" s="85">
        <v>4.9481927710843374</v>
      </c>
      <c r="D86" s="90">
        <v>1.8554216867469879</v>
      </c>
      <c r="E86" s="86">
        <v>0.38554216867469882</v>
      </c>
      <c r="F86" s="86">
        <v>0.35517241379310344</v>
      </c>
      <c r="G86" s="86">
        <v>0.15172413793103448</v>
      </c>
      <c r="H86" s="87">
        <v>10248.058252427185</v>
      </c>
      <c r="I86" s="87">
        <v>-10313.636363636364</v>
      </c>
      <c r="J86" s="86">
        <v>0.12048192771084337</v>
      </c>
      <c r="K86" s="86">
        <v>0.24096385542168675</v>
      </c>
      <c r="L86" s="86">
        <v>0.26495726495726496</v>
      </c>
      <c r="M86" s="86">
        <v>0.26495726495726496</v>
      </c>
      <c r="N86" s="86">
        <v>0.74193548387096775</v>
      </c>
      <c r="O86" s="86">
        <v>0.45161290322580644</v>
      </c>
      <c r="P86" s="86">
        <v>0.36407766990291263</v>
      </c>
      <c r="Q86" s="86">
        <v>0.41666666666666669</v>
      </c>
    </row>
    <row r="87" spans="1:17" x14ac:dyDescent="0.4">
      <c r="A87" s="88">
        <v>84</v>
      </c>
      <c r="B87" s="85">
        <v>421.8</v>
      </c>
      <c r="C87" s="85">
        <v>5.0214285714285714</v>
      </c>
      <c r="D87" s="90">
        <v>1.8571428571428572</v>
      </c>
      <c r="E87" s="86">
        <v>0.38095238095238093</v>
      </c>
      <c r="F87" s="86">
        <v>0.35690235690235689</v>
      </c>
      <c r="G87" s="86">
        <v>0.1531986531986532</v>
      </c>
      <c r="H87" s="87">
        <v>10209.905660377359</v>
      </c>
      <c r="I87" s="87">
        <v>-10281.318681318682</v>
      </c>
      <c r="J87" s="86">
        <v>0.11904761904761904</v>
      </c>
      <c r="K87" s="86">
        <v>0.23809523809523808</v>
      </c>
      <c r="L87" s="86">
        <v>0.27480916030534353</v>
      </c>
      <c r="M87" s="86">
        <v>0.25190839694656486</v>
      </c>
      <c r="N87" s="86">
        <v>0.75</v>
      </c>
      <c r="O87" s="86">
        <v>0.45454545454545453</v>
      </c>
      <c r="P87" s="86">
        <v>0.35849056603773582</v>
      </c>
      <c r="Q87" s="86">
        <v>0.4238095238095238</v>
      </c>
    </row>
    <row r="88" spans="1:17" x14ac:dyDescent="0.4">
      <c r="A88" s="88">
        <v>85</v>
      </c>
      <c r="B88" s="85">
        <v>423.40000000000003</v>
      </c>
      <c r="C88" s="85">
        <v>4.9811764705882355</v>
      </c>
      <c r="D88" s="90">
        <v>1.8588235294117648</v>
      </c>
      <c r="E88" s="86">
        <v>0.37647058823529411</v>
      </c>
      <c r="F88" s="86">
        <v>0.35548172757475083</v>
      </c>
      <c r="G88" s="86">
        <v>0.15116279069767441</v>
      </c>
      <c r="H88" s="87">
        <v>10170.093457943925</v>
      </c>
      <c r="I88" s="87">
        <v>-10281.318681318682</v>
      </c>
      <c r="J88" s="86">
        <v>0.11764705882352941</v>
      </c>
      <c r="K88" s="86">
        <v>0.23529411764705882</v>
      </c>
      <c r="L88" s="86">
        <v>0.28776978417266186</v>
      </c>
      <c r="M88" s="86">
        <v>0.2446043165467626</v>
      </c>
      <c r="N88" s="86">
        <v>0.72499999999999998</v>
      </c>
      <c r="O88" s="86">
        <v>0.44117647058823528</v>
      </c>
      <c r="P88" s="86">
        <v>0.35514018691588783</v>
      </c>
      <c r="Q88" s="86">
        <v>0.42056074766355139</v>
      </c>
    </row>
    <row r="89" spans="1:17" x14ac:dyDescent="0.4">
      <c r="A89" s="88">
        <v>86</v>
      </c>
      <c r="B89" s="85">
        <v>402.00000000000006</v>
      </c>
      <c r="C89" s="85">
        <v>4.6744186046511631</v>
      </c>
      <c r="D89" s="90">
        <v>1.8720930232558139</v>
      </c>
      <c r="E89" s="86">
        <v>0.37209302325581395</v>
      </c>
      <c r="F89" s="86">
        <v>0.35409836065573769</v>
      </c>
      <c r="G89" s="86">
        <v>0.15081967213114755</v>
      </c>
      <c r="H89" s="87">
        <v>10159.259259259259</v>
      </c>
      <c r="I89" s="87">
        <v>-10211.95652173913</v>
      </c>
      <c r="J89" s="86">
        <v>0.11627906976744186</v>
      </c>
      <c r="K89" s="86">
        <v>0.23255813953488372</v>
      </c>
      <c r="L89" s="86">
        <v>0.29251700680272108</v>
      </c>
      <c r="M89" s="86">
        <v>0.23129251700680273</v>
      </c>
      <c r="N89" s="86">
        <v>0.72093023255813948</v>
      </c>
      <c r="O89" s="86">
        <v>0.44117647058823528</v>
      </c>
      <c r="P89" s="86">
        <v>0.35648148148148145</v>
      </c>
      <c r="Q89" s="86">
        <v>0.41935483870967744</v>
      </c>
    </row>
    <row r="90" spans="1:17" x14ac:dyDescent="0.4">
      <c r="A90" s="88">
        <v>87</v>
      </c>
      <c r="B90" s="85">
        <v>405.50000000000006</v>
      </c>
      <c r="C90" s="85">
        <v>4.6609195402298855</v>
      </c>
      <c r="D90" s="90">
        <v>1.8620689655172413</v>
      </c>
      <c r="E90" s="86">
        <v>0.37931034482758619</v>
      </c>
      <c r="F90" s="86">
        <v>0.35436893203883496</v>
      </c>
      <c r="G90" s="86">
        <v>0.15372168284789645</v>
      </c>
      <c r="H90" s="87">
        <v>10135.159817351598</v>
      </c>
      <c r="I90" s="87">
        <v>-10065.263157894737</v>
      </c>
      <c r="J90" s="86">
        <v>0.11494252873563218</v>
      </c>
      <c r="K90" s="86">
        <v>0.22988505747126436</v>
      </c>
      <c r="L90" s="86">
        <v>0.29032258064516131</v>
      </c>
      <c r="M90" s="86">
        <v>0.23225806451612904</v>
      </c>
      <c r="N90" s="86">
        <v>0.71111111111111114</v>
      </c>
      <c r="O90" s="86">
        <v>0.47222222222222221</v>
      </c>
      <c r="P90" s="86">
        <v>0.35159817351598172</v>
      </c>
      <c r="Q90" s="86">
        <v>0.41552511415525112</v>
      </c>
    </row>
    <row r="91" spans="1:17" x14ac:dyDescent="0.4">
      <c r="A91" s="88">
        <v>88</v>
      </c>
      <c r="B91" s="85">
        <v>360.00000000000006</v>
      </c>
      <c r="C91" s="85">
        <v>4.0909090909090917</v>
      </c>
      <c r="D91" s="90">
        <v>1.875</v>
      </c>
      <c r="E91" s="86">
        <v>0.375</v>
      </c>
      <c r="F91" s="86">
        <v>0.35360000000000003</v>
      </c>
      <c r="G91" s="86">
        <v>0.15840000000000001</v>
      </c>
      <c r="H91" s="87">
        <v>10093.212669683258</v>
      </c>
      <c r="I91" s="87">
        <v>-10224.242424242424</v>
      </c>
      <c r="J91" s="86">
        <v>0.125</v>
      </c>
      <c r="K91" s="86">
        <v>0.22727272727272727</v>
      </c>
      <c r="L91" s="86">
        <v>0.29012345679012347</v>
      </c>
      <c r="M91" s="86">
        <v>0.23456790123456789</v>
      </c>
      <c r="N91" s="86">
        <v>0.7021276595744681</v>
      </c>
      <c r="O91" s="86">
        <v>0.47368421052631576</v>
      </c>
      <c r="P91" s="86">
        <v>0.35294117647058826</v>
      </c>
      <c r="Q91" s="86">
        <v>0.4144144144144144</v>
      </c>
    </row>
    <row r="92" spans="1:17" x14ac:dyDescent="0.4">
      <c r="A92" s="88">
        <v>89</v>
      </c>
      <c r="B92" s="85">
        <v>359.40000000000003</v>
      </c>
      <c r="C92" s="85">
        <v>4.0382022471910117</v>
      </c>
      <c r="D92" s="90">
        <v>1.8764044943820224</v>
      </c>
      <c r="E92" s="86">
        <v>0.3707865168539326</v>
      </c>
      <c r="F92" s="86">
        <v>0.35488958990536279</v>
      </c>
      <c r="G92" s="86">
        <v>0.15930599369085174</v>
      </c>
      <c r="H92" s="87">
        <v>10042.222222222223</v>
      </c>
      <c r="I92" s="87">
        <v>-10110.891089108911</v>
      </c>
      <c r="J92" s="86">
        <v>0.12359550561797752</v>
      </c>
      <c r="K92" s="86">
        <v>0.2247191011235955</v>
      </c>
      <c r="L92" s="86">
        <v>0.29239766081871343</v>
      </c>
      <c r="M92" s="86">
        <v>0.23391812865497075</v>
      </c>
      <c r="N92" s="86">
        <v>0.72</v>
      </c>
      <c r="O92" s="86">
        <v>0.47499999999999998</v>
      </c>
      <c r="P92" s="86">
        <v>0.3511111111111111</v>
      </c>
      <c r="Q92" s="86">
        <v>0.4177777777777778</v>
      </c>
    </row>
    <row r="93" spans="1:17" x14ac:dyDescent="0.4">
      <c r="A93" s="88">
        <v>90</v>
      </c>
      <c r="B93" s="85">
        <v>385.8</v>
      </c>
      <c r="C93" s="85">
        <v>4.2866666666666671</v>
      </c>
      <c r="D93" s="90">
        <v>1.8666666666666667</v>
      </c>
      <c r="E93" s="86">
        <v>0.37777777777777777</v>
      </c>
      <c r="F93" s="86">
        <v>0.35358255451713394</v>
      </c>
      <c r="G93" s="86">
        <v>0.16043613707165108</v>
      </c>
      <c r="H93" s="87">
        <v>10129.955947136565</v>
      </c>
      <c r="I93" s="87">
        <v>-9973.786407766991</v>
      </c>
      <c r="J93" s="86">
        <v>0.12222222222222222</v>
      </c>
      <c r="K93" s="86">
        <v>0.22222222222222221</v>
      </c>
      <c r="L93" s="86">
        <v>0.29050279329608941</v>
      </c>
      <c r="M93" s="86">
        <v>0.22346368715083798</v>
      </c>
      <c r="N93" s="86">
        <v>0.73076923076923073</v>
      </c>
      <c r="O93" s="86">
        <v>0.47499999999999998</v>
      </c>
      <c r="P93" s="86">
        <v>0.35682819383259912</v>
      </c>
      <c r="Q93" s="86">
        <v>0.41409691629955947</v>
      </c>
    </row>
    <row r="94" spans="1:17" x14ac:dyDescent="0.4">
      <c r="A94" s="88">
        <v>91</v>
      </c>
      <c r="B94" s="85">
        <v>395.5</v>
      </c>
      <c r="C94" s="85">
        <v>4.3461538461538458</v>
      </c>
      <c r="D94" s="90">
        <v>1.8681318681318682</v>
      </c>
      <c r="E94" s="86">
        <v>0.37362637362637363</v>
      </c>
      <c r="F94" s="86">
        <v>0.35375191424196017</v>
      </c>
      <c r="G94" s="86">
        <v>0.15926493108728942</v>
      </c>
      <c r="H94" s="87">
        <v>10057.142857142857</v>
      </c>
      <c r="I94" s="87">
        <v>-9993.2692307692305</v>
      </c>
      <c r="J94" s="86">
        <v>0.12087912087912088</v>
      </c>
      <c r="K94" s="86">
        <v>0.21978021978021978</v>
      </c>
      <c r="L94" s="86">
        <v>0.28421052631578947</v>
      </c>
      <c r="M94" s="86">
        <v>0.23157894736842105</v>
      </c>
      <c r="N94" s="86">
        <v>0.7407407407407407</v>
      </c>
      <c r="O94" s="86">
        <v>0.45454545454545453</v>
      </c>
      <c r="P94" s="86">
        <v>0.354978354978355</v>
      </c>
      <c r="Q94" s="86">
        <v>0.41739130434782606</v>
      </c>
    </row>
    <row r="95" spans="1:17" x14ac:dyDescent="0.4">
      <c r="A95" s="88">
        <v>92</v>
      </c>
      <c r="B95" s="85">
        <v>416.6</v>
      </c>
      <c r="C95" s="85">
        <v>4.5282608695652176</v>
      </c>
      <c r="D95" s="90">
        <v>1.8586956521739131</v>
      </c>
      <c r="E95" s="86">
        <v>0.38043478260869568</v>
      </c>
      <c r="F95" s="86">
        <v>0.3566009104704097</v>
      </c>
      <c r="G95" s="86">
        <v>0.15781487101669195</v>
      </c>
      <c r="H95" s="87">
        <v>10032.340425531915</v>
      </c>
      <c r="I95" s="87">
        <v>-9993.2692307692305</v>
      </c>
      <c r="J95" s="86">
        <v>0.11956521739130435</v>
      </c>
      <c r="K95" s="86">
        <v>0.22826086956521738</v>
      </c>
      <c r="L95" s="86">
        <v>0.29081632653061223</v>
      </c>
      <c r="M95" s="86">
        <v>0.23469387755102042</v>
      </c>
      <c r="N95" s="86">
        <v>0.75438596491228072</v>
      </c>
      <c r="O95" s="86">
        <v>0.45652173913043476</v>
      </c>
      <c r="P95" s="86">
        <v>0.35319148936170214</v>
      </c>
      <c r="Q95" s="86">
        <v>0.41880341880341881</v>
      </c>
    </row>
    <row r="96" spans="1:17" x14ac:dyDescent="0.4">
      <c r="A96" s="88">
        <v>93</v>
      </c>
      <c r="B96" s="85">
        <v>459.70000000000005</v>
      </c>
      <c r="C96" s="85">
        <v>4.9430107526881724</v>
      </c>
      <c r="D96" s="90">
        <v>1.8494623655913978</v>
      </c>
      <c r="E96" s="86">
        <v>0.38709677419354838</v>
      </c>
      <c r="F96" s="86">
        <v>0.35885885885885888</v>
      </c>
      <c r="G96" s="86">
        <v>0.15615615615615616</v>
      </c>
      <c r="H96" s="87">
        <v>10038.493723849373</v>
      </c>
      <c r="I96" s="87">
        <v>-9993.2692307692305</v>
      </c>
      <c r="J96" s="86">
        <v>0.11827956989247312</v>
      </c>
      <c r="K96" s="86">
        <v>0.23655913978494625</v>
      </c>
      <c r="L96" s="86">
        <v>0.29556650246305421</v>
      </c>
      <c r="M96" s="86">
        <v>0.23645320197044334</v>
      </c>
      <c r="N96" s="86">
        <v>0.75</v>
      </c>
      <c r="O96" s="86">
        <v>0.47916666666666669</v>
      </c>
      <c r="P96" s="86">
        <v>0.35564853556485354</v>
      </c>
      <c r="Q96" s="86">
        <v>0.42259414225941422</v>
      </c>
    </row>
    <row r="97" spans="1:17" x14ac:dyDescent="0.4">
      <c r="A97" s="88">
        <v>94</v>
      </c>
      <c r="B97" s="85">
        <v>453.70000000000005</v>
      </c>
      <c r="C97" s="85">
        <v>4.8265957446808514</v>
      </c>
      <c r="D97" s="90">
        <v>1.8510638297872339</v>
      </c>
      <c r="E97" s="86">
        <v>0.38297872340425532</v>
      </c>
      <c r="F97" s="86">
        <v>0.35756676557863504</v>
      </c>
      <c r="G97" s="86">
        <v>0.15578635014836795</v>
      </c>
      <c r="H97" s="87">
        <v>10003.734439834025</v>
      </c>
      <c r="I97" s="87">
        <v>-9971.4285714285706</v>
      </c>
      <c r="J97" s="86">
        <v>0.11702127659574468</v>
      </c>
      <c r="K97" s="86">
        <v>0.23404255319148937</v>
      </c>
      <c r="L97" s="86">
        <v>0.29383886255924169</v>
      </c>
      <c r="M97" s="86">
        <v>0.22748815165876776</v>
      </c>
      <c r="N97" s="86">
        <v>0.74193548387096775</v>
      </c>
      <c r="O97" s="86">
        <v>0.47916666666666669</v>
      </c>
      <c r="P97" s="86">
        <v>0.35684647302904565</v>
      </c>
      <c r="Q97" s="86">
        <v>0.42561983471074383</v>
      </c>
    </row>
    <row r="98" spans="1:17" x14ac:dyDescent="0.4">
      <c r="A98" s="88">
        <v>95</v>
      </c>
      <c r="B98" s="85">
        <v>416.20000000000005</v>
      </c>
      <c r="C98" s="85">
        <v>4.3810526315789478</v>
      </c>
      <c r="D98" s="90">
        <v>1.8631578947368421</v>
      </c>
      <c r="E98" s="86">
        <v>0.37894736842105264</v>
      </c>
      <c r="F98" s="86">
        <v>0.35441176470588237</v>
      </c>
      <c r="G98" s="86">
        <v>0.15735294117647058</v>
      </c>
      <c r="H98" s="87">
        <v>10003.734439834025</v>
      </c>
      <c r="I98" s="87">
        <v>-9934.5794392523367</v>
      </c>
      <c r="J98" s="86">
        <v>0.12631578947368421</v>
      </c>
      <c r="K98" s="86">
        <v>0.23157894736842105</v>
      </c>
      <c r="L98" s="86">
        <v>0.29032258064516131</v>
      </c>
      <c r="M98" s="86">
        <v>0.22580645161290322</v>
      </c>
      <c r="N98" s="86">
        <v>0.73015873015873012</v>
      </c>
      <c r="O98" s="86">
        <v>0.46938775510204084</v>
      </c>
      <c r="P98" s="86">
        <v>0.35684647302904565</v>
      </c>
      <c r="Q98" s="86">
        <v>0.42386831275720166</v>
      </c>
    </row>
    <row r="99" spans="1:17" x14ac:dyDescent="0.4">
      <c r="A99" s="88">
        <v>96</v>
      </c>
      <c r="B99" s="85">
        <v>376.70000000000005</v>
      </c>
      <c r="C99" s="85">
        <v>3.9239583333333337</v>
      </c>
      <c r="D99" s="90">
        <v>1.875</v>
      </c>
      <c r="E99" s="86">
        <v>0.375</v>
      </c>
      <c r="F99" s="86">
        <v>0.3528550512445095</v>
      </c>
      <c r="G99" s="86">
        <v>0.15812591508052709</v>
      </c>
      <c r="H99" s="87">
        <v>10003.734439834025</v>
      </c>
      <c r="I99" s="87">
        <v>-9953.7037037037044</v>
      </c>
      <c r="J99" s="86">
        <v>0.13541666666666666</v>
      </c>
      <c r="K99" s="86">
        <v>0.22916666666666666</v>
      </c>
      <c r="L99" s="86">
        <v>0.29090909090909089</v>
      </c>
      <c r="M99" s="86">
        <v>0.22272727272727272</v>
      </c>
      <c r="N99" s="86">
        <v>0.71875</v>
      </c>
      <c r="O99" s="86">
        <v>0.46938775510204084</v>
      </c>
      <c r="P99" s="86">
        <v>0.35684647302904565</v>
      </c>
      <c r="Q99" s="86">
        <v>0.42386831275720166</v>
      </c>
    </row>
    <row r="100" spans="1:17" x14ac:dyDescent="0.4">
      <c r="A100" s="88">
        <v>97</v>
      </c>
      <c r="B100" s="85">
        <v>387.80000000000007</v>
      </c>
      <c r="C100" s="85">
        <v>3.9979381443298978</v>
      </c>
      <c r="D100" s="90">
        <v>1.865979381443299</v>
      </c>
      <c r="E100" s="86">
        <v>0.38144329896907214</v>
      </c>
      <c r="F100" s="86">
        <v>0.35507246376811596</v>
      </c>
      <c r="G100" s="86">
        <v>0.15797101449275364</v>
      </c>
      <c r="H100" s="87">
        <v>9930.6122448979586</v>
      </c>
      <c r="I100" s="87">
        <v>-9935.779816513761</v>
      </c>
      <c r="J100" s="86">
        <v>0.13402061855670103</v>
      </c>
      <c r="K100" s="86">
        <v>0.22680412371134021</v>
      </c>
      <c r="L100" s="86">
        <v>0.29515418502202645</v>
      </c>
      <c r="M100" s="86">
        <v>0.22466960352422907</v>
      </c>
      <c r="N100" s="86">
        <v>0.71641791044776115</v>
      </c>
      <c r="O100" s="86">
        <v>0.47058823529411764</v>
      </c>
      <c r="P100" s="86">
        <v>0.35918367346938773</v>
      </c>
      <c r="Q100" s="86">
        <v>0.42040816326530611</v>
      </c>
    </row>
    <row r="101" spans="1:17" x14ac:dyDescent="0.4">
      <c r="A101" s="88">
        <v>98</v>
      </c>
      <c r="B101" s="85">
        <v>385.80000000000007</v>
      </c>
      <c r="C101" s="85">
        <v>3.9367346938775518</v>
      </c>
      <c r="D101" s="90">
        <v>1.8673469387755102</v>
      </c>
      <c r="E101" s="86">
        <v>0.37755102040816324</v>
      </c>
      <c r="F101" s="86">
        <v>0.35386819484240689</v>
      </c>
      <c r="G101" s="86">
        <v>0.15616045845272206</v>
      </c>
      <c r="H101" s="87">
        <v>9931.1740890688252</v>
      </c>
      <c r="I101" s="87">
        <v>-9935.779816513761</v>
      </c>
      <c r="J101" s="86">
        <v>0.1326530612244898</v>
      </c>
      <c r="K101" s="86">
        <v>0.22448979591836735</v>
      </c>
      <c r="L101" s="86">
        <v>0.2978723404255319</v>
      </c>
      <c r="M101" s="86">
        <v>0.21702127659574469</v>
      </c>
      <c r="N101" s="86">
        <v>0.7142857142857143</v>
      </c>
      <c r="O101" s="86">
        <v>0.47058823529411764</v>
      </c>
      <c r="P101" s="86">
        <v>0.36437246963562753</v>
      </c>
      <c r="Q101" s="86">
        <v>0.41869918699186992</v>
      </c>
    </row>
    <row r="102" spans="1:17" x14ac:dyDescent="0.4">
      <c r="A102" s="88">
        <v>99</v>
      </c>
      <c r="B102" s="85">
        <v>429.30000000000007</v>
      </c>
      <c r="C102" s="85">
        <v>4.3363636363636369</v>
      </c>
      <c r="D102" s="90">
        <v>1.8585858585858586</v>
      </c>
      <c r="E102" s="86">
        <v>0.38383838383838381</v>
      </c>
      <c r="F102" s="86">
        <v>0.35875706214689268</v>
      </c>
      <c r="G102" s="86">
        <v>0.15677966101694915</v>
      </c>
      <c r="H102" s="87">
        <v>9883.4645669291331</v>
      </c>
      <c r="I102" s="87">
        <v>-9900</v>
      </c>
      <c r="J102" s="86">
        <v>0.13131313131313133</v>
      </c>
      <c r="K102" s="86">
        <v>0.23232323232323232</v>
      </c>
      <c r="L102" s="86">
        <v>0.29795918367346941</v>
      </c>
      <c r="M102" s="86">
        <v>0.22448979591836735</v>
      </c>
      <c r="N102" s="86">
        <v>0.71232876712328763</v>
      </c>
      <c r="O102" s="86">
        <v>0.49090909090909091</v>
      </c>
      <c r="P102" s="86">
        <v>0.36220472440944884</v>
      </c>
      <c r="Q102" s="86">
        <v>0.43083003952569171</v>
      </c>
    </row>
    <row r="103" spans="1:17" x14ac:dyDescent="0.4">
      <c r="A103" s="88">
        <v>100</v>
      </c>
      <c r="B103" s="85">
        <v>423.70000000000005</v>
      </c>
      <c r="C103" s="85">
        <v>4.2370000000000001</v>
      </c>
      <c r="D103" s="90">
        <v>1.86</v>
      </c>
      <c r="E103" s="86">
        <v>0.38</v>
      </c>
      <c r="F103" s="86">
        <v>0.35854341736694678</v>
      </c>
      <c r="G103" s="86">
        <v>0.15546218487394958</v>
      </c>
      <c r="H103" s="87">
        <v>9857.8125</v>
      </c>
      <c r="I103" s="87">
        <v>-9900</v>
      </c>
      <c r="J103" s="86">
        <v>0.13</v>
      </c>
      <c r="K103" s="86">
        <v>0.23</v>
      </c>
      <c r="L103" s="86">
        <v>0.30278884462151395</v>
      </c>
      <c r="M103" s="86">
        <v>0.21912350597609562</v>
      </c>
      <c r="N103" s="86">
        <v>0.71052631578947367</v>
      </c>
      <c r="O103" s="86">
        <v>0.49090909090909091</v>
      </c>
      <c r="P103" s="86">
        <v>0.36328125</v>
      </c>
      <c r="Q103" s="86">
        <v>0.42913385826771655</v>
      </c>
    </row>
    <row r="104" spans="1:17" x14ac:dyDescent="0.4">
      <c r="A104" s="88">
        <v>101</v>
      </c>
      <c r="B104" s="85">
        <v>416.30000000000007</v>
      </c>
      <c r="C104" s="85">
        <v>4.1217821782178223</v>
      </c>
      <c r="D104" s="90">
        <v>1.8613861386138615</v>
      </c>
      <c r="E104" s="86">
        <v>0.37623762376237624</v>
      </c>
      <c r="F104" s="86">
        <v>0.35744089012517383</v>
      </c>
      <c r="G104" s="86">
        <v>0.15577190542420027</v>
      </c>
      <c r="H104" s="87">
        <v>9850.5836575875492</v>
      </c>
      <c r="I104" s="87">
        <v>-9868.75</v>
      </c>
      <c r="J104" s="86">
        <v>0.12871287128712872</v>
      </c>
      <c r="K104" s="86">
        <v>0.22772277227722773</v>
      </c>
      <c r="L104" s="86">
        <v>0.30078125</v>
      </c>
      <c r="M104" s="86">
        <v>0.21875</v>
      </c>
      <c r="N104" s="86">
        <v>0.7142857142857143</v>
      </c>
      <c r="O104" s="86">
        <v>0.48214285714285715</v>
      </c>
      <c r="P104" s="86">
        <v>0.36575875486381321</v>
      </c>
      <c r="Q104" s="86">
        <v>0.42745098039215684</v>
      </c>
    </row>
    <row r="105" spans="1:17" x14ac:dyDescent="0.4">
      <c r="A105" s="88">
        <v>102</v>
      </c>
      <c r="B105" s="85">
        <v>378.30000000000007</v>
      </c>
      <c r="C105" s="85">
        <v>3.7088235294117653</v>
      </c>
      <c r="D105" s="90">
        <v>1.8725490196078431</v>
      </c>
      <c r="E105" s="86">
        <v>0.37254901960784315</v>
      </c>
      <c r="F105" s="86">
        <v>0.3551912568306011</v>
      </c>
      <c r="G105" s="86">
        <v>0.1598360655737705</v>
      </c>
      <c r="H105" s="87">
        <v>9896.9230769230762</v>
      </c>
      <c r="I105" s="87">
        <v>-10042.735042735043</v>
      </c>
      <c r="J105" s="86">
        <v>0.13725490196078433</v>
      </c>
      <c r="K105" s="86">
        <v>0.22549019607843138</v>
      </c>
      <c r="L105" s="86">
        <v>0.29368029739776952</v>
      </c>
      <c r="M105" s="86">
        <v>0.21561338289962825</v>
      </c>
      <c r="N105" s="86">
        <v>0.70886075949367089</v>
      </c>
      <c r="O105" s="86">
        <v>0.46551724137931033</v>
      </c>
      <c r="P105" s="86">
        <v>0.36153846153846153</v>
      </c>
      <c r="Q105" s="86">
        <v>0.43023255813953487</v>
      </c>
    </row>
    <row r="106" spans="1:17" x14ac:dyDescent="0.4">
      <c r="A106" s="88">
        <v>103</v>
      </c>
      <c r="B106" s="85">
        <v>359.50000000000006</v>
      </c>
      <c r="C106" s="85">
        <v>3.4902912621359228</v>
      </c>
      <c r="D106" s="90">
        <v>1.883495145631068</v>
      </c>
      <c r="E106" s="86">
        <v>0.36893203883495146</v>
      </c>
      <c r="F106" s="86">
        <v>0.35492577597840758</v>
      </c>
      <c r="G106" s="86">
        <v>0.16059379217273953</v>
      </c>
      <c r="H106" s="87">
        <v>9829.6577946768066</v>
      </c>
      <c r="I106" s="87">
        <v>-9989.9159663865539</v>
      </c>
      <c r="J106" s="86">
        <v>0.13592233009708737</v>
      </c>
      <c r="K106" s="86">
        <v>0.22330097087378642</v>
      </c>
      <c r="L106" s="86">
        <v>0.29496402877697842</v>
      </c>
      <c r="M106" s="86">
        <v>0.21582733812949639</v>
      </c>
      <c r="N106" s="86">
        <v>0.70731707317073167</v>
      </c>
      <c r="O106" s="86">
        <v>0.45</v>
      </c>
      <c r="P106" s="86">
        <v>0.36501901140684412</v>
      </c>
      <c r="Q106" s="86">
        <v>0.42911877394636017</v>
      </c>
    </row>
    <row r="107" spans="1:17" x14ac:dyDescent="0.4">
      <c r="A107" s="88">
        <v>104</v>
      </c>
      <c r="B107" s="85">
        <v>386.50000000000006</v>
      </c>
      <c r="C107" s="85">
        <v>3.7163461538461542</v>
      </c>
      <c r="D107" s="90">
        <v>1.875</v>
      </c>
      <c r="E107" s="86">
        <v>0.375</v>
      </c>
      <c r="F107" s="86">
        <v>0.35372340425531917</v>
      </c>
      <c r="G107" s="86">
        <v>0.16090425531914893</v>
      </c>
      <c r="H107" s="87">
        <v>9861.6541353383454</v>
      </c>
      <c r="I107" s="87">
        <v>-9957.0247933884293</v>
      </c>
      <c r="J107" s="86">
        <v>0.13461538461538461</v>
      </c>
      <c r="K107" s="86">
        <v>0.23076923076923078</v>
      </c>
      <c r="L107" s="86">
        <v>0.28719723183391005</v>
      </c>
      <c r="M107" s="86">
        <v>0.2179930795847751</v>
      </c>
      <c r="N107" s="86">
        <v>0.6987951807228916</v>
      </c>
      <c r="O107" s="86">
        <v>0.44444444444444442</v>
      </c>
      <c r="P107" s="86">
        <v>0.36842105263157893</v>
      </c>
      <c r="Q107" s="86">
        <v>0.43018867924528303</v>
      </c>
    </row>
    <row r="108" spans="1:17" x14ac:dyDescent="0.4">
      <c r="A108" s="88">
        <v>105</v>
      </c>
      <c r="B108" s="85">
        <v>431.10000000000008</v>
      </c>
      <c r="C108" s="85">
        <v>4.1057142857142868</v>
      </c>
      <c r="D108" s="90">
        <v>1.8666666666666667</v>
      </c>
      <c r="E108" s="86">
        <v>0.38095238095238093</v>
      </c>
      <c r="F108" s="86">
        <v>0.35441370223978919</v>
      </c>
      <c r="G108" s="86">
        <v>0.15942028985507245</v>
      </c>
      <c r="H108" s="87">
        <v>9907.806691449814</v>
      </c>
      <c r="I108" s="87">
        <v>-9957.0247933884293</v>
      </c>
      <c r="J108" s="86">
        <v>0.13333333333333333</v>
      </c>
      <c r="K108" s="86">
        <v>0.23809523809523808</v>
      </c>
      <c r="L108" s="86">
        <v>0.28716216216216217</v>
      </c>
      <c r="M108" s="86">
        <v>0.2195945945945946</v>
      </c>
      <c r="N108" s="86">
        <v>0.70588235294117652</v>
      </c>
      <c r="O108" s="86">
        <v>0.44615384615384618</v>
      </c>
      <c r="P108" s="86">
        <v>0.37174721189591076</v>
      </c>
      <c r="Q108" s="86">
        <v>0.43071161048689138</v>
      </c>
    </row>
    <row r="109" spans="1:17" x14ac:dyDescent="0.4">
      <c r="A109" s="88">
        <v>106</v>
      </c>
      <c r="B109" s="85">
        <v>438.10000000000008</v>
      </c>
      <c r="C109" s="85">
        <v>4.1330188679245294</v>
      </c>
      <c r="D109" s="90">
        <v>1.8679245283018868</v>
      </c>
      <c r="E109" s="86">
        <v>0.37735849056603776</v>
      </c>
      <c r="F109" s="86">
        <v>0.3543307086614173</v>
      </c>
      <c r="G109" s="86">
        <v>0.15879265091863518</v>
      </c>
      <c r="H109" s="87">
        <v>9915.5555555555547</v>
      </c>
      <c r="I109" s="87">
        <v>-9957.0247933884293</v>
      </c>
      <c r="J109" s="86">
        <v>0.13207547169811321</v>
      </c>
      <c r="K109" s="86">
        <v>0.23584905660377359</v>
      </c>
      <c r="L109" s="86">
        <v>0.28428093645484948</v>
      </c>
      <c r="M109" s="86">
        <v>0.21739130434782608</v>
      </c>
      <c r="N109" s="86">
        <v>0.70588235294117652</v>
      </c>
      <c r="O109" s="86">
        <v>0.44615384615384618</v>
      </c>
      <c r="P109" s="86">
        <v>0.37037037037037035</v>
      </c>
      <c r="Q109" s="86">
        <v>0.42910447761194032</v>
      </c>
    </row>
    <row r="110" spans="1:17" x14ac:dyDescent="0.4">
      <c r="A110" s="88">
        <v>107</v>
      </c>
      <c r="B110" s="85">
        <v>426.80000000000007</v>
      </c>
      <c r="C110" s="85">
        <v>3.9887850467289727</v>
      </c>
      <c r="D110" s="90">
        <v>1.8785046728971964</v>
      </c>
      <c r="E110" s="86">
        <v>0.37383177570093457</v>
      </c>
      <c r="F110" s="86">
        <v>0.35324675324675325</v>
      </c>
      <c r="G110" s="86">
        <v>0.15974025974025974</v>
      </c>
      <c r="H110" s="87">
        <v>9893.3823529411766</v>
      </c>
      <c r="I110" s="87">
        <v>-9913.8211382113823</v>
      </c>
      <c r="J110" s="86">
        <v>0.13084112149532709</v>
      </c>
      <c r="K110" s="86">
        <v>0.23364485981308411</v>
      </c>
      <c r="L110" s="86">
        <v>0.28338762214983715</v>
      </c>
      <c r="M110" s="86">
        <v>0.21824104234527689</v>
      </c>
      <c r="N110" s="86">
        <v>0.70114942528735635</v>
      </c>
      <c r="O110" s="86">
        <v>0.44776119402985076</v>
      </c>
      <c r="P110" s="86">
        <v>0.36764705882352944</v>
      </c>
      <c r="Q110" s="86">
        <v>0.4280442804428044</v>
      </c>
    </row>
    <row r="111" spans="1:17" x14ac:dyDescent="0.4">
      <c r="A111" s="88">
        <v>108</v>
      </c>
      <c r="B111" s="85">
        <v>411.30000000000007</v>
      </c>
      <c r="C111" s="85">
        <v>3.808333333333334</v>
      </c>
      <c r="D111" s="90">
        <v>1.8796296296296295</v>
      </c>
      <c r="E111" s="86">
        <v>0.37037037037037035</v>
      </c>
      <c r="F111" s="86">
        <v>0.35309278350515466</v>
      </c>
      <c r="G111" s="86">
        <v>0.15979381443298968</v>
      </c>
      <c r="H111" s="87">
        <v>9894.1605839416061</v>
      </c>
      <c r="I111" s="87">
        <v>-9930.645161290322</v>
      </c>
      <c r="J111" s="86">
        <v>0.12962962962962962</v>
      </c>
      <c r="K111" s="86">
        <v>0.23148148148148148</v>
      </c>
      <c r="L111" s="86">
        <v>0.28115015974440893</v>
      </c>
      <c r="M111" s="86">
        <v>0.21725239616613418</v>
      </c>
      <c r="N111" s="86">
        <v>0.70454545454545459</v>
      </c>
      <c r="O111" s="86">
        <v>0.45588235294117646</v>
      </c>
      <c r="P111" s="86">
        <v>0.37226277372262773</v>
      </c>
      <c r="Q111" s="86">
        <v>0.4264705882352941</v>
      </c>
    </row>
    <row r="112" spans="1:17" x14ac:dyDescent="0.4">
      <c r="A112" s="88">
        <v>109</v>
      </c>
      <c r="B112" s="85">
        <v>392.00000000000006</v>
      </c>
      <c r="C112" s="85">
        <v>3.5963302752293584</v>
      </c>
      <c r="D112" s="90">
        <v>1.8899082568807339</v>
      </c>
      <c r="E112" s="86">
        <v>0.3669724770642202</v>
      </c>
      <c r="F112" s="86">
        <v>0.35234474017743977</v>
      </c>
      <c r="G112" s="86">
        <v>0.15842839036755388</v>
      </c>
      <c r="H112" s="87">
        <v>9841.7266187050354</v>
      </c>
      <c r="I112" s="87">
        <v>-9947.2000000000007</v>
      </c>
      <c r="J112" s="86">
        <v>0.12844036697247707</v>
      </c>
      <c r="K112" s="86">
        <v>0.22935779816513763</v>
      </c>
      <c r="L112" s="86">
        <v>0.2822085889570552</v>
      </c>
      <c r="M112" s="86">
        <v>0.21779141104294478</v>
      </c>
      <c r="N112" s="86">
        <v>0.70652173913043481</v>
      </c>
      <c r="O112" s="86">
        <v>0.45070422535211269</v>
      </c>
      <c r="P112" s="86">
        <v>0.37769784172661869</v>
      </c>
      <c r="Q112" s="86">
        <v>0.42753623188405798</v>
      </c>
    </row>
    <row r="113" spans="1:17" x14ac:dyDescent="0.4">
      <c r="A113" s="88">
        <v>110</v>
      </c>
      <c r="B113" s="85">
        <v>416.00000000000006</v>
      </c>
      <c r="C113" s="85">
        <v>3.7818181818181822</v>
      </c>
      <c r="D113" s="90">
        <v>1.8818181818181818</v>
      </c>
      <c r="E113" s="86">
        <v>0.37272727272727274</v>
      </c>
      <c r="F113" s="86">
        <v>0.35345911949685532</v>
      </c>
      <c r="G113" s="86">
        <v>0.15723270440251572</v>
      </c>
      <c r="H113" s="87">
        <v>9822.0640569395018</v>
      </c>
      <c r="I113" s="87">
        <v>-9947.2000000000007</v>
      </c>
      <c r="J113" s="86">
        <v>0.12727272727272726</v>
      </c>
      <c r="K113" s="86">
        <v>0.22727272727272727</v>
      </c>
      <c r="L113" s="86">
        <v>0.28313253012048195</v>
      </c>
      <c r="M113" s="86">
        <v>0.22289156626506024</v>
      </c>
      <c r="N113" s="86">
        <v>0.71276595744680848</v>
      </c>
      <c r="O113" s="86">
        <v>0.44594594594594594</v>
      </c>
      <c r="P113" s="86">
        <v>0.37722419928825623</v>
      </c>
      <c r="Q113" s="86">
        <v>0.42805755395683454</v>
      </c>
    </row>
    <row r="114" spans="1:17" x14ac:dyDescent="0.4">
      <c r="A114" s="88">
        <v>111</v>
      </c>
      <c r="B114" s="85">
        <v>435.50000000000006</v>
      </c>
      <c r="C114" s="85">
        <v>3.923423423423424</v>
      </c>
      <c r="D114" s="90">
        <v>1.8738738738738738</v>
      </c>
      <c r="E114" s="86">
        <v>0.3783783783783784</v>
      </c>
      <c r="F114" s="86">
        <v>0.35411471321695759</v>
      </c>
      <c r="G114" s="86">
        <v>0.15586034912718205</v>
      </c>
      <c r="H114" s="87">
        <v>9816.9014084507035</v>
      </c>
      <c r="I114" s="87">
        <v>-9947.2000000000007</v>
      </c>
      <c r="J114" s="86">
        <v>0.12612612612612611</v>
      </c>
      <c r="K114" s="86">
        <v>0.22522522522522523</v>
      </c>
      <c r="L114" s="86">
        <v>0.28613569321533922</v>
      </c>
      <c r="M114" s="86">
        <v>0.22123893805309736</v>
      </c>
      <c r="N114" s="86">
        <v>0.72164948453608246</v>
      </c>
      <c r="O114" s="86">
        <v>0.44</v>
      </c>
      <c r="P114" s="86">
        <v>0.38028169014084506</v>
      </c>
      <c r="Q114" s="86">
        <v>0.42348754448398579</v>
      </c>
    </row>
    <row r="115" spans="1:17" x14ac:dyDescent="0.4">
      <c r="A115" s="88">
        <v>112</v>
      </c>
      <c r="B115" s="85">
        <v>430.10000000000008</v>
      </c>
      <c r="C115" s="85">
        <v>3.8401785714285723</v>
      </c>
      <c r="D115" s="90">
        <v>1.875</v>
      </c>
      <c r="E115" s="86">
        <v>0.375</v>
      </c>
      <c r="F115" s="86">
        <v>0.35265104808877928</v>
      </c>
      <c r="G115" s="86">
        <v>0.15659679408138102</v>
      </c>
      <c r="H115" s="87">
        <v>9832.1678321678319</v>
      </c>
      <c r="I115" s="87">
        <v>-9915.748031496063</v>
      </c>
      <c r="J115" s="86">
        <v>0.125</v>
      </c>
      <c r="K115" s="86">
        <v>0.22321428571428573</v>
      </c>
      <c r="L115" s="86">
        <v>0.28735632183908044</v>
      </c>
      <c r="M115" s="86">
        <v>0.21551724137931033</v>
      </c>
      <c r="N115" s="86">
        <v>0.72</v>
      </c>
      <c r="O115" s="86">
        <v>0.44</v>
      </c>
      <c r="P115" s="86">
        <v>0.38111888111888109</v>
      </c>
      <c r="Q115" s="86">
        <v>0.4204946996466431</v>
      </c>
    </row>
    <row r="116" spans="1:17" x14ac:dyDescent="0.4">
      <c r="A116" s="88">
        <v>113</v>
      </c>
      <c r="B116" s="85">
        <v>486.10000000000008</v>
      </c>
      <c r="C116" s="85">
        <v>4.3017699115044259</v>
      </c>
      <c r="D116" s="90">
        <v>1.8672566371681416</v>
      </c>
      <c r="E116" s="86">
        <v>0.38053097345132741</v>
      </c>
      <c r="F116" s="86">
        <v>0.3537331701346389</v>
      </c>
      <c r="G116" s="86">
        <v>0.1554467564259486</v>
      </c>
      <c r="H116" s="87">
        <v>9916.9550173010375</v>
      </c>
      <c r="I116" s="87">
        <v>-9915.748031496063</v>
      </c>
      <c r="J116" s="86">
        <v>0.12389380530973451</v>
      </c>
      <c r="K116" s="86">
        <v>0.23008849557522124</v>
      </c>
      <c r="L116" s="86">
        <v>0.28813559322033899</v>
      </c>
      <c r="M116" s="86">
        <v>0.2175141242937853</v>
      </c>
      <c r="N116" s="86">
        <v>0.71568627450980393</v>
      </c>
      <c r="O116" s="86">
        <v>0.45454545454545453</v>
      </c>
      <c r="P116" s="86">
        <v>0.37716262975778547</v>
      </c>
      <c r="Q116" s="86">
        <v>0.42508710801393729</v>
      </c>
    </row>
    <row r="117" spans="1:17" x14ac:dyDescent="0.4">
      <c r="A117" s="88">
        <v>114</v>
      </c>
      <c r="B117" s="85">
        <v>503.2000000000001</v>
      </c>
      <c r="C117" s="85">
        <v>4.4140350877192995</v>
      </c>
      <c r="D117" s="90">
        <v>1.8596491228070176</v>
      </c>
      <c r="E117" s="86">
        <v>0.38596491228070173</v>
      </c>
      <c r="F117" s="86">
        <v>0.35393939393939394</v>
      </c>
      <c r="G117" s="86">
        <v>0.15515151515151515</v>
      </c>
      <c r="H117" s="87">
        <v>9906.1643835616433</v>
      </c>
      <c r="I117" s="87">
        <v>-9900.78125</v>
      </c>
      <c r="J117" s="86">
        <v>0.12280701754385964</v>
      </c>
      <c r="K117" s="86">
        <v>0.22807017543859648</v>
      </c>
      <c r="L117" s="86">
        <v>0.29005524861878451</v>
      </c>
      <c r="M117" s="86">
        <v>0.21546961325966851</v>
      </c>
      <c r="N117" s="86">
        <v>0.70476190476190481</v>
      </c>
      <c r="O117" s="86">
        <v>0.46153846153846156</v>
      </c>
      <c r="P117" s="86">
        <v>0.37328767123287671</v>
      </c>
      <c r="Q117" s="86">
        <v>0.42268041237113402</v>
      </c>
    </row>
    <row r="118" spans="1:17" x14ac:dyDescent="0.4">
      <c r="A118" s="88">
        <v>115</v>
      </c>
      <c r="B118" s="85">
        <v>465.2000000000001</v>
      </c>
      <c r="C118" s="85">
        <v>4.045217391304349</v>
      </c>
      <c r="D118" s="90">
        <v>1.8695652173913044</v>
      </c>
      <c r="E118" s="86">
        <v>0.38260869565217392</v>
      </c>
      <c r="F118" s="86">
        <v>0.35223160434258144</v>
      </c>
      <c r="G118" s="86">
        <v>0.15922798552472858</v>
      </c>
      <c r="H118" s="87">
        <v>9906.1643835616433</v>
      </c>
      <c r="I118" s="87">
        <v>-9881.060606060606</v>
      </c>
      <c r="J118" s="86">
        <v>0.13043478260869565</v>
      </c>
      <c r="K118" s="86">
        <v>0.22608695652173913</v>
      </c>
      <c r="L118" s="86">
        <v>0.28688524590163933</v>
      </c>
      <c r="M118" s="86">
        <v>0.21311475409836064</v>
      </c>
      <c r="N118" s="86">
        <v>0.70476190476190481</v>
      </c>
      <c r="O118" s="86">
        <v>0.46153846153846156</v>
      </c>
      <c r="P118" s="86">
        <v>0.37328767123287671</v>
      </c>
      <c r="Q118" s="86">
        <v>0.42123287671232879</v>
      </c>
    </row>
    <row r="119" spans="1:17" x14ac:dyDescent="0.4">
      <c r="A119" s="88">
        <v>116</v>
      </c>
      <c r="B119" s="85">
        <v>481.7000000000001</v>
      </c>
      <c r="C119" s="85">
        <v>4.1525862068965527</v>
      </c>
      <c r="D119" s="90">
        <v>1.8620689655172413</v>
      </c>
      <c r="E119" s="86">
        <v>0.38793103448275862</v>
      </c>
      <c r="F119" s="86">
        <v>0.35406698564593303</v>
      </c>
      <c r="G119" s="86">
        <v>0.15789473684210525</v>
      </c>
      <c r="H119" s="87">
        <v>9821.2837837837833</v>
      </c>
      <c r="I119" s="87">
        <v>-9881.060606060606</v>
      </c>
      <c r="J119" s="86">
        <v>0.12931034482758622</v>
      </c>
      <c r="K119" s="86">
        <v>0.22413793103448276</v>
      </c>
      <c r="L119" s="86">
        <v>0.28418230563002683</v>
      </c>
      <c r="M119" s="86">
        <v>0.21179624664879357</v>
      </c>
      <c r="N119" s="86">
        <v>0.70754716981132071</v>
      </c>
      <c r="O119" s="86">
        <v>0.46835443037974683</v>
      </c>
      <c r="P119" s="86">
        <v>0.36824324324324326</v>
      </c>
      <c r="Q119" s="86">
        <v>0.42033898305084744</v>
      </c>
    </row>
    <row r="120" spans="1:17" x14ac:dyDescent="0.4">
      <c r="A120" s="88">
        <v>117</v>
      </c>
      <c r="B120" s="85">
        <v>497.00000000000011</v>
      </c>
      <c r="C120" s="85">
        <v>4.2478632478632488</v>
      </c>
      <c r="D120" s="90">
        <v>1.8547008547008548</v>
      </c>
      <c r="E120" s="86">
        <v>0.39316239316239315</v>
      </c>
      <c r="F120" s="86">
        <v>0.35384615384615387</v>
      </c>
      <c r="G120" s="86">
        <v>0.15739644970414202</v>
      </c>
      <c r="H120" s="87">
        <v>9856.5217391304341</v>
      </c>
      <c r="I120" s="87">
        <v>-9845.8646616541355</v>
      </c>
      <c r="J120" s="86">
        <v>0.12820512820512819</v>
      </c>
      <c r="K120" s="86">
        <v>0.22222222222222221</v>
      </c>
      <c r="L120" s="86">
        <v>0.2879581151832461</v>
      </c>
      <c r="M120" s="86">
        <v>0.20942408376963351</v>
      </c>
      <c r="N120" s="86">
        <v>0.70909090909090911</v>
      </c>
      <c r="O120" s="86">
        <v>0.46250000000000002</v>
      </c>
      <c r="P120" s="86">
        <v>0.36454849498327757</v>
      </c>
      <c r="Q120" s="86">
        <v>0.41806020066889632</v>
      </c>
    </row>
    <row r="121" spans="1:17" x14ac:dyDescent="0.4">
      <c r="A121" s="88">
        <v>118</v>
      </c>
      <c r="B121" s="85">
        <v>508.60000000000014</v>
      </c>
      <c r="C121" s="85">
        <v>4.3101694915254249</v>
      </c>
      <c r="D121" s="90">
        <v>1.8559322033898304</v>
      </c>
      <c r="E121" s="86">
        <v>0.38983050847457629</v>
      </c>
      <c r="F121" s="86">
        <v>0.35370152761457108</v>
      </c>
      <c r="G121" s="86">
        <v>0.15746180963572268</v>
      </c>
      <c r="H121" s="87">
        <v>9852.8239202657805</v>
      </c>
      <c r="I121" s="87">
        <v>-9832.0895522388055</v>
      </c>
      <c r="J121" s="86">
        <v>0.1271186440677966</v>
      </c>
      <c r="K121" s="86">
        <v>0.22033898305084745</v>
      </c>
      <c r="L121" s="86">
        <v>0.28865979381443296</v>
      </c>
      <c r="M121" s="86">
        <v>0.20876288659793815</v>
      </c>
      <c r="N121" s="86">
        <v>0.7142857142857143</v>
      </c>
      <c r="O121" s="86">
        <v>0.4567901234567901</v>
      </c>
      <c r="P121" s="86">
        <v>0.36544850498338871</v>
      </c>
      <c r="Q121" s="86">
        <v>0.41528239202657807</v>
      </c>
    </row>
    <row r="122" spans="1:17" x14ac:dyDescent="0.4">
      <c r="A122" s="88">
        <v>119</v>
      </c>
      <c r="B122" s="85">
        <v>525.50000000000011</v>
      </c>
      <c r="C122" s="85">
        <v>4.415966386554623</v>
      </c>
      <c r="D122" s="90">
        <v>1.8487394957983194</v>
      </c>
      <c r="E122" s="86">
        <v>0.3949579831932773</v>
      </c>
      <c r="F122" s="86">
        <v>0.35232558139534886</v>
      </c>
      <c r="G122" s="86">
        <v>0.1558139534883721</v>
      </c>
      <c r="H122" s="87">
        <v>9916.1716171617154</v>
      </c>
      <c r="I122" s="87">
        <v>-9832.0895522388055</v>
      </c>
      <c r="J122" s="86">
        <v>0.12605042016806722</v>
      </c>
      <c r="K122" s="86">
        <v>0.21848739495798319</v>
      </c>
      <c r="L122" s="86">
        <v>0.2871536523929471</v>
      </c>
      <c r="M122" s="86">
        <v>0.20906801007556675</v>
      </c>
      <c r="N122" s="86">
        <v>0.71052631578947367</v>
      </c>
      <c r="O122" s="86">
        <v>0.44578313253012047</v>
      </c>
      <c r="P122" s="86">
        <v>0.36633663366336633</v>
      </c>
      <c r="Q122" s="86">
        <v>0.41776315789473684</v>
      </c>
    </row>
    <row r="123" spans="1:17" x14ac:dyDescent="0.4">
      <c r="A123" s="88">
        <v>120</v>
      </c>
      <c r="B123" s="85">
        <v>488.00000000000011</v>
      </c>
      <c r="C123" s="85">
        <v>4.0666666666666673</v>
      </c>
      <c r="D123" s="90">
        <v>1.8583333333333334</v>
      </c>
      <c r="E123" s="86">
        <v>0.39166666666666666</v>
      </c>
      <c r="F123" s="86">
        <v>0.35028901734104045</v>
      </c>
      <c r="G123" s="86">
        <v>0.15722543352601157</v>
      </c>
      <c r="H123" s="87">
        <v>9916.1716171617154</v>
      </c>
      <c r="I123" s="87">
        <v>-9863.9705882352937</v>
      </c>
      <c r="J123" s="86">
        <v>0.13333333333333333</v>
      </c>
      <c r="K123" s="86">
        <v>0.21666666666666667</v>
      </c>
      <c r="L123" s="86">
        <v>0.28358208955223879</v>
      </c>
      <c r="M123" s="86">
        <v>0.20895522388059701</v>
      </c>
      <c r="N123" s="86">
        <v>0.71052631578947367</v>
      </c>
      <c r="O123" s="86">
        <v>0.44047619047619047</v>
      </c>
      <c r="P123" s="86">
        <v>0.36633663366336633</v>
      </c>
      <c r="Q123" s="86">
        <v>0.4163934426229508</v>
      </c>
    </row>
    <row r="124" spans="1:17" x14ac:dyDescent="0.4">
      <c r="A124" s="88">
        <v>121</v>
      </c>
      <c r="B124" s="85">
        <v>526.50000000000011</v>
      </c>
      <c r="C124" s="85">
        <v>4.3512396694214885</v>
      </c>
      <c r="D124" s="90">
        <v>1.8512396694214877</v>
      </c>
      <c r="E124" s="86">
        <v>0.39669421487603307</v>
      </c>
      <c r="F124" s="86">
        <v>0.35287356321839081</v>
      </c>
      <c r="G124" s="86">
        <v>0.15632183908045977</v>
      </c>
      <c r="H124" s="87">
        <v>9923.7785016286653</v>
      </c>
      <c r="I124" s="87">
        <v>-9863.9705882352937</v>
      </c>
      <c r="J124" s="86">
        <v>0.13223140495867769</v>
      </c>
      <c r="K124" s="86">
        <v>0.2231404958677686</v>
      </c>
      <c r="L124" s="86">
        <v>0.28501228501228504</v>
      </c>
      <c r="M124" s="86">
        <v>0.20638820638820637</v>
      </c>
      <c r="N124" s="86">
        <v>0.71551724137931039</v>
      </c>
      <c r="O124" s="86">
        <v>0.44047619047619047</v>
      </c>
      <c r="P124" s="86">
        <v>0.36807817589576547</v>
      </c>
      <c r="Q124" s="86">
        <v>0.42071197411003236</v>
      </c>
    </row>
    <row r="125" spans="1:17" x14ac:dyDescent="0.4">
      <c r="A125" s="88">
        <v>122</v>
      </c>
      <c r="B125" s="85">
        <v>480.00000000000011</v>
      </c>
      <c r="C125" s="85">
        <v>3.9344262295081975</v>
      </c>
      <c r="D125" s="90">
        <v>1.860655737704918</v>
      </c>
      <c r="E125" s="86">
        <v>0.39344262295081966</v>
      </c>
      <c r="F125" s="86">
        <v>0.35125858123569792</v>
      </c>
      <c r="G125" s="86">
        <v>0.15789473684210525</v>
      </c>
      <c r="H125" s="87">
        <v>9923.7785016286653</v>
      </c>
      <c r="I125" s="87">
        <v>-9996.3768115942021</v>
      </c>
      <c r="J125" s="86">
        <v>0.13934426229508196</v>
      </c>
      <c r="K125" s="86">
        <v>0.22131147540983606</v>
      </c>
      <c r="L125" s="86">
        <v>0.28467153284671531</v>
      </c>
      <c r="M125" s="86">
        <v>0.20681265206812652</v>
      </c>
      <c r="N125" s="86">
        <v>0.70940170940170943</v>
      </c>
      <c r="O125" s="86">
        <v>0.43529411764705883</v>
      </c>
      <c r="P125" s="86">
        <v>0.36807817589576547</v>
      </c>
      <c r="Q125" s="86">
        <v>0.42071197411003236</v>
      </c>
    </row>
    <row r="126" spans="1:17" x14ac:dyDescent="0.4">
      <c r="A126" s="88">
        <v>123</v>
      </c>
      <c r="B126" s="85">
        <v>493.2000000000001</v>
      </c>
      <c r="C126" s="85">
        <v>4.0097560975609765</v>
      </c>
      <c r="D126" s="90">
        <v>1.8536585365853659</v>
      </c>
      <c r="E126" s="86">
        <v>0.3983739837398374</v>
      </c>
      <c r="F126" s="86">
        <v>0.34954751131221717</v>
      </c>
      <c r="G126" s="86">
        <v>0.16063348416289594</v>
      </c>
      <c r="H126" s="87">
        <v>10001.941747572815</v>
      </c>
      <c r="I126" s="87">
        <v>-9878.8732394366198</v>
      </c>
      <c r="J126" s="86">
        <v>0.13821138211382114</v>
      </c>
      <c r="K126" s="86">
        <v>0.21951219512195122</v>
      </c>
      <c r="L126" s="86">
        <v>0.28503562945368172</v>
      </c>
      <c r="M126" s="86">
        <v>0.20902612826603326</v>
      </c>
      <c r="N126" s="86">
        <v>0.69166666666666665</v>
      </c>
      <c r="O126" s="86">
        <v>0.43181818181818182</v>
      </c>
      <c r="P126" s="86">
        <v>0.36893203883495146</v>
      </c>
      <c r="Q126" s="86">
        <v>0.41987179487179488</v>
      </c>
    </row>
    <row r="127" spans="1:17" x14ac:dyDescent="0.4">
      <c r="A127" s="88">
        <v>124</v>
      </c>
      <c r="B127" s="85">
        <v>473.7000000000001</v>
      </c>
      <c r="C127" s="85">
        <v>3.8201612903225817</v>
      </c>
      <c r="D127" s="90">
        <v>1.8629032258064515</v>
      </c>
      <c r="E127" s="86">
        <v>0.39516129032258063</v>
      </c>
      <c r="F127" s="86">
        <v>0.34636871508379891</v>
      </c>
      <c r="G127" s="86">
        <v>0.16089385474860335</v>
      </c>
      <c r="H127" s="87">
        <v>9995.4838709677424</v>
      </c>
      <c r="I127" s="87">
        <v>-9804.1666666666661</v>
      </c>
      <c r="J127" s="86">
        <v>0.13709677419354838</v>
      </c>
      <c r="K127" s="86">
        <v>0.21774193548387097</v>
      </c>
      <c r="L127" s="86">
        <v>0.28472222222222221</v>
      </c>
      <c r="M127" s="86">
        <v>0.20833333333333334</v>
      </c>
      <c r="N127" s="86">
        <v>0.68292682926829273</v>
      </c>
      <c r="O127" s="86">
        <v>0.42222222222222222</v>
      </c>
      <c r="P127" s="86">
        <v>0.36774193548387096</v>
      </c>
      <c r="Q127" s="86">
        <v>0.41719745222929938</v>
      </c>
    </row>
    <row r="128" spans="1:17" x14ac:dyDescent="0.4">
      <c r="A128" s="88">
        <v>125</v>
      </c>
      <c r="B128" s="85">
        <v>515.10000000000014</v>
      </c>
      <c r="C128" s="85">
        <v>4.1208000000000009</v>
      </c>
      <c r="D128" s="90">
        <v>1.8560000000000001</v>
      </c>
      <c r="E128" s="86">
        <v>0.4</v>
      </c>
      <c r="F128" s="86">
        <v>0.34811529933481156</v>
      </c>
      <c r="G128" s="86">
        <v>0.15964523281596452</v>
      </c>
      <c r="H128" s="87">
        <v>10003.184713375796</v>
      </c>
      <c r="I128" s="87">
        <v>-9804.1666666666661</v>
      </c>
      <c r="J128" s="86">
        <v>0.13600000000000001</v>
      </c>
      <c r="K128" s="86">
        <v>0.216</v>
      </c>
      <c r="L128" s="86">
        <v>0.2847380410022779</v>
      </c>
      <c r="M128" s="86">
        <v>0.20956719817767655</v>
      </c>
      <c r="N128" s="86">
        <v>0.68</v>
      </c>
      <c r="O128" s="86">
        <v>0.43478260869565216</v>
      </c>
      <c r="P128" s="86">
        <v>0.36624203821656048</v>
      </c>
      <c r="Q128" s="86">
        <v>0.41772151898734178</v>
      </c>
    </row>
    <row r="129" spans="1:17" x14ac:dyDescent="0.4">
      <c r="A129" s="88">
        <v>126</v>
      </c>
      <c r="B129" s="85">
        <v>542.20000000000016</v>
      </c>
      <c r="C129" s="85">
        <v>4.3031746031746048</v>
      </c>
      <c r="D129" s="90">
        <v>1.8492063492063493</v>
      </c>
      <c r="E129" s="86">
        <v>0.40476190476190477</v>
      </c>
      <c r="F129" s="86">
        <v>0.35054945054945053</v>
      </c>
      <c r="G129" s="86">
        <v>0.15824175824175823</v>
      </c>
      <c r="H129" s="87">
        <v>9981.5047021943574</v>
      </c>
      <c r="I129" s="87">
        <v>-9804.1666666666661</v>
      </c>
      <c r="J129" s="86">
        <v>0.13492063492063491</v>
      </c>
      <c r="K129" s="86">
        <v>0.22222222222222221</v>
      </c>
      <c r="L129" s="86">
        <v>0.28635346756152125</v>
      </c>
      <c r="M129" s="86">
        <v>0.21252796420581654</v>
      </c>
      <c r="N129" s="86">
        <v>0.6796875</v>
      </c>
      <c r="O129" s="86">
        <v>0.45263157894736844</v>
      </c>
      <c r="P129" s="86">
        <v>0.36363636363636365</v>
      </c>
      <c r="Q129" s="86">
        <v>0.41823899371069184</v>
      </c>
    </row>
    <row r="130" spans="1:17" x14ac:dyDescent="0.4">
      <c r="A130" s="88">
        <v>127</v>
      </c>
      <c r="B130" s="85">
        <v>550.70000000000016</v>
      </c>
      <c r="C130" s="85">
        <v>4.3362204724409459</v>
      </c>
      <c r="D130" s="90">
        <v>1.8503937007874016</v>
      </c>
      <c r="E130" s="86">
        <v>0.40157480314960631</v>
      </c>
      <c r="F130" s="86">
        <v>0.35146898803046789</v>
      </c>
      <c r="G130" s="86">
        <v>0.15669205658324264</v>
      </c>
      <c r="H130" s="87">
        <v>9932.1981424148598</v>
      </c>
      <c r="I130" s="87">
        <v>-9804.1666666666661</v>
      </c>
      <c r="J130" s="86">
        <v>0.13385826771653545</v>
      </c>
      <c r="K130" s="86">
        <v>0.22047244094488189</v>
      </c>
      <c r="L130" s="86">
        <v>0.28289473684210525</v>
      </c>
      <c r="M130" s="86">
        <v>0.21710526315789475</v>
      </c>
      <c r="N130" s="86">
        <v>0.68217054263565891</v>
      </c>
      <c r="O130" s="86">
        <v>0.46464646464646464</v>
      </c>
      <c r="P130" s="86">
        <v>0.36842105263157893</v>
      </c>
      <c r="Q130" s="86">
        <v>0.4174454828660436</v>
      </c>
    </row>
    <row r="131" spans="1:17" x14ac:dyDescent="0.4">
      <c r="A131" s="88">
        <v>128</v>
      </c>
      <c r="B131" s="85">
        <v>594.00000000000011</v>
      </c>
      <c r="C131" s="85">
        <v>4.6406250000000009</v>
      </c>
      <c r="D131" s="90">
        <v>1.84375</v>
      </c>
      <c r="E131" s="86">
        <v>0.40625</v>
      </c>
      <c r="F131" s="86">
        <v>0.35382955771305286</v>
      </c>
      <c r="G131" s="86">
        <v>0.15641855447680691</v>
      </c>
      <c r="H131" s="87">
        <v>9936.2804878048773</v>
      </c>
      <c r="I131" s="87">
        <v>-9772.4137931034475</v>
      </c>
      <c r="J131" s="86">
        <v>0.1328125</v>
      </c>
      <c r="K131" s="86">
        <v>0.2265625</v>
      </c>
      <c r="L131" s="86">
        <v>0.28232758620689657</v>
      </c>
      <c r="M131" s="86">
        <v>0.21982758620689655</v>
      </c>
      <c r="N131" s="86">
        <v>0.68702290076335881</v>
      </c>
      <c r="O131" s="86">
        <v>0.48039215686274511</v>
      </c>
      <c r="P131" s="86">
        <v>0.36890243902439024</v>
      </c>
      <c r="Q131" s="86">
        <v>0.41975308641975306</v>
      </c>
    </row>
    <row r="132" spans="1:17" x14ac:dyDescent="0.4">
      <c r="A132" s="88">
        <v>129</v>
      </c>
      <c r="B132" s="85">
        <v>620.00000000000011</v>
      </c>
      <c r="C132" s="85">
        <v>4.8062015503875974</v>
      </c>
      <c r="D132" s="90">
        <v>1.8372093023255813</v>
      </c>
      <c r="E132" s="86">
        <v>0.41085271317829458</v>
      </c>
      <c r="F132" s="86">
        <v>0.35294117647058826</v>
      </c>
      <c r="G132" s="86">
        <v>0.15508021390374332</v>
      </c>
      <c r="H132" s="87">
        <v>10009.39393939394</v>
      </c>
      <c r="I132" s="87">
        <v>-9772.4137931034475</v>
      </c>
      <c r="J132" s="86">
        <v>0.13178294573643412</v>
      </c>
      <c r="K132" s="86">
        <v>0.22480620155038761</v>
      </c>
      <c r="L132" s="86">
        <v>0.28177966101694918</v>
      </c>
      <c r="M132" s="86">
        <v>0.22033898305084745</v>
      </c>
      <c r="N132" s="86">
        <v>0.69172932330827064</v>
      </c>
      <c r="O132" s="86">
        <v>0.47115384615384615</v>
      </c>
      <c r="P132" s="86">
        <v>0.37272727272727274</v>
      </c>
      <c r="Q132" s="86">
        <v>0.41717791411042943</v>
      </c>
    </row>
    <row r="133" spans="1:17" x14ac:dyDescent="0.4">
      <c r="A133" s="88">
        <v>130</v>
      </c>
      <c r="B133" s="85">
        <v>631.00000000000011</v>
      </c>
      <c r="C133" s="85">
        <v>4.8538461538461544</v>
      </c>
      <c r="D133" s="90">
        <v>1.8384615384615384</v>
      </c>
      <c r="E133" s="86">
        <v>0.40769230769230769</v>
      </c>
      <c r="F133" s="86">
        <v>0.35132275132275131</v>
      </c>
      <c r="G133" s="86">
        <v>0.15555555555555556</v>
      </c>
      <c r="H133" s="87">
        <v>10045.481927710844</v>
      </c>
      <c r="I133" s="87">
        <v>-9734.6938775510207</v>
      </c>
      <c r="J133" s="86">
        <v>0.13076923076923078</v>
      </c>
      <c r="K133" s="86">
        <v>0.22307692307692309</v>
      </c>
      <c r="L133" s="86">
        <v>0.28215767634854771</v>
      </c>
      <c r="M133" s="86">
        <v>0.22199170124481327</v>
      </c>
      <c r="N133" s="86">
        <v>0.68382352941176472</v>
      </c>
      <c r="O133" s="86">
        <v>0.46728971962616822</v>
      </c>
      <c r="P133" s="86">
        <v>0.37349397590361444</v>
      </c>
      <c r="Q133" s="86">
        <v>0.41337386018237082</v>
      </c>
    </row>
    <row r="134" spans="1:17" x14ac:dyDescent="0.4">
      <c r="A134" s="88">
        <v>131</v>
      </c>
      <c r="B134" s="85">
        <v>672.00000000000011</v>
      </c>
      <c r="C134" s="85">
        <v>5.1297709923664128</v>
      </c>
      <c r="D134" s="90">
        <v>1.83206106870229</v>
      </c>
      <c r="E134" s="86">
        <v>0.41221374045801529</v>
      </c>
      <c r="F134" s="86">
        <v>0.35226077812828599</v>
      </c>
      <c r="G134" s="86">
        <v>0.15457413249211358</v>
      </c>
      <c r="H134" s="87">
        <v>10098.805970149253</v>
      </c>
      <c r="I134" s="87">
        <v>-9734.6938775510207</v>
      </c>
      <c r="J134" s="86">
        <v>0.12977099236641221</v>
      </c>
      <c r="K134" s="86">
        <v>0.22900763358778625</v>
      </c>
      <c r="L134" s="86">
        <v>0.28688524590163933</v>
      </c>
      <c r="M134" s="86">
        <v>0.22131147540983606</v>
      </c>
      <c r="N134" s="86">
        <v>0.6785714285714286</v>
      </c>
      <c r="O134" s="86">
        <v>0.47222222222222221</v>
      </c>
      <c r="P134" s="86">
        <v>0.37611940298507462</v>
      </c>
      <c r="Q134" s="86">
        <v>0.41212121212121211</v>
      </c>
    </row>
    <row r="135" spans="1:17" x14ac:dyDescent="0.4">
      <c r="A135" s="88">
        <v>132</v>
      </c>
      <c r="B135" s="85">
        <v>652.20000000000016</v>
      </c>
      <c r="C135" s="85">
        <v>4.9409090909090922</v>
      </c>
      <c r="D135" s="90">
        <v>1.8409090909090908</v>
      </c>
      <c r="E135" s="86">
        <v>0.40909090909090912</v>
      </c>
      <c r="F135" s="86">
        <v>0.35073068893528186</v>
      </c>
      <c r="G135" s="86">
        <v>0.15657620041753653</v>
      </c>
      <c r="H135" s="87">
        <v>10080.357142857143</v>
      </c>
      <c r="I135" s="87">
        <v>-9681.3333333333339</v>
      </c>
      <c r="J135" s="86">
        <v>0.12878787878787878</v>
      </c>
      <c r="K135" s="86">
        <v>0.22727272727272727</v>
      </c>
      <c r="L135" s="86">
        <v>0.28282828282828282</v>
      </c>
      <c r="M135" s="86">
        <v>0.22222222222222221</v>
      </c>
      <c r="N135" s="86">
        <v>0.6785714285714286</v>
      </c>
      <c r="O135" s="86">
        <v>0.47272727272727272</v>
      </c>
      <c r="P135" s="86">
        <v>0.375</v>
      </c>
      <c r="Q135" s="86">
        <v>0.40840840840840842</v>
      </c>
    </row>
    <row r="136" spans="1:17" x14ac:dyDescent="0.4">
      <c r="A136" s="88">
        <v>133</v>
      </c>
      <c r="B136" s="85">
        <v>689.80000000000018</v>
      </c>
      <c r="C136" s="85">
        <v>5.1864661654135356</v>
      </c>
      <c r="D136" s="90">
        <v>1.8345864661654134</v>
      </c>
      <c r="E136" s="86">
        <v>0.41353383458646614</v>
      </c>
      <c r="F136" s="86">
        <v>0.35500515995872034</v>
      </c>
      <c r="G136" s="86">
        <v>0.15479876160990713</v>
      </c>
      <c r="H136" s="87">
        <v>9948.8372093023263</v>
      </c>
      <c r="I136" s="87">
        <v>-9681.3333333333339</v>
      </c>
      <c r="J136" s="86">
        <v>0.12781954887218044</v>
      </c>
      <c r="K136" s="86">
        <v>0.23308270676691728</v>
      </c>
      <c r="L136" s="86">
        <v>0.28063241106719367</v>
      </c>
      <c r="M136" s="86">
        <v>0.22332015810276679</v>
      </c>
      <c r="N136" s="86">
        <v>0.676056338028169</v>
      </c>
      <c r="O136" s="86">
        <v>0.48672566371681414</v>
      </c>
      <c r="P136" s="86">
        <v>0.37209302325581395</v>
      </c>
      <c r="Q136" s="86">
        <v>0.41764705882352943</v>
      </c>
    </row>
    <row r="137" spans="1:17" x14ac:dyDescent="0.4">
      <c r="A137" s="88">
        <v>134</v>
      </c>
      <c r="B137" s="85">
        <v>697.60000000000014</v>
      </c>
      <c r="C137" s="85">
        <v>5.2059701492537327</v>
      </c>
      <c r="D137" s="90">
        <v>1.835820895522388</v>
      </c>
      <c r="E137" s="86">
        <v>0.41044776119402987</v>
      </c>
      <c r="F137" s="86">
        <v>0.35420944558521561</v>
      </c>
      <c r="G137" s="86">
        <v>0.15503080082135523</v>
      </c>
      <c r="H137" s="87">
        <v>9954.782608695652</v>
      </c>
      <c r="I137" s="87">
        <v>-9634.4370860927156</v>
      </c>
      <c r="J137" s="86">
        <v>0.12686567164179105</v>
      </c>
      <c r="K137" s="86">
        <v>0.23134328358208955</v>
      </c>
      <c r="L137" s="86">
        <v>0.28375733855185908</v>
      </c>
      <c r="M137" s="86">
        <v>0.22309197651663404</v>
      </c>
      <c r="N137" s="86">
        <v>0.66896551724137931</v>
      </c>
      <c r="O137" s="86">
        <v>0.48245614035087719</v>
      </c>
      <c r="P137" s="86">
        <v>0.37101449275362319</v>
      </c>
      <c r="Q137" s="86">
        <v>0.41642228739002934</v>
      </c>
    </row>
    <row r="138" spans="1:17" x14ac:dyDescent="0.4">
      <c r="A138" s="88">
        <v>135</v>
      </c>
      <c r="B138" s="85">
        <v>765.70000000000016</v>
      </c>
      <c r="C138" s="85">
        <v>5.6718518518518533</v>
      </c>
      <c r="D138" s="90">
        <v>1.8296296296296297</v>
      </c>
      <c r="E138" s="86">
        <v>0.4148148148148148</v>
      </c>
      <c r="F138" s="86">
        <v>0.3574338085539715</v>
      </c>
      <c r="G138" s="86">
        <v>0.15376782077393075</v>
      </c>
      <c r="H138" s="87">
        <v>9981.4814814814818</v>
      </c>
      <c r="I138" s="87">
        <v>-9634.4370860927156</v>
      </c>
      <c r="J138" s="86">
        <v>0.12592592592592591</v>
      </c>
      <c r="K138" s="86">
        <v>0.23703703703703705</v>
      </c>
      <c r="L138" s="86">
        <v>0.28709055876685935</v>
      </c>
      <c r="M138" s="86">
        <v>0.22157996146435452</v>
      </c>
      <c r="N138" s="86">
        <v>0.67785234899328861</v>
      </c>
      <c r="O138" s="86">
        <v>0.48695652173913045</v>
      </c>
      <c r="P138" s="86">
        <v>0.37321937321937321</v>
      </c>
      <c r="Q138" s="86">
        <v>0.4207492795389049</v>
      </c>
    </row>
    <row r="139" spans="1:17" x14ac:dyDescent="0.4">
      <c r="A139" s="88">
        <v>136</v>
      </c>
      <c r="B139" s="85">
        <v>770.9000000000002</v>
      </c>
      <c r="C139" s="85">
        <v>5.6683823529411779</v>
      </c>
      <c r="D139" s="90">
        <v>1.8308823529411764</v>
      </c>
      <c r="E139" s="86">
        <v>0.41176470588235292</v>
      </c>
      <c r="F139" s="86">
        <v>0.35822401614530774</v>
      </c>
      <c r="G139" s="86">
        <v>0.15237134207870837</v>
      </c>
      <c r="H139" s="87">
        <v>9925.9154929577471</v>
      </c>
      <c r="I139" s="87">
        <v>-9634.4370860927156</v>
      </c>
      <c r="J139" s="86">
        <v>0.125</v>
      </c>
      <c r="K139" s="86">
        <v>0.23529411764705882</v>
      </c>
      <c r="L139" s="86">
        <v>0.28977272727272729</v>
      </c>
      <c r="M139" s="86">
        <v>0.2196969696969697</v>
      </c>
      <c r="N139" s="86">
        <v>0.6797385620915033</v>
      </c>
      <c r="O139" s="86">
        <v>0.48275862068965519</v>
      </c>
      <c r="P139" s="86">
        <v>0.37183098591549296</v>
      </c>
      <c r="Q139" s="86">
        <v>0.42</v>
      </c>
    </row>
    <row r="140" spans="1:17" x14ac:dyDescent="0.4">
      <c r="A140" s="88">
        <v>137</v>
      </c>
      <c r="B140" s="85">
        <v>787.10000000000025</v>
      </c>
      <c r="C140" s="85">
        <v>5.7452554744525566</v>
      </c>
      <c r="D140" s="90">
        <v>1.8248175182481752</v>
      </c>
      <c r="E140" s="86">
        <v>0.41605839416058393</v>
      </c>
      <c r="F140" s="86">
        <v>0.35799999999999998</v>
      </c>
      <c r="G140" s="86">
        <v>0.153</v>
      </c>
      <c r="H140" s="87">
        <v>9914.8044692737421</v>
      </c>
      <c r="I140" s="87">
        <v>-9554.9019607843129</v>
      </c>
      <c r="J140" s="86">
        <v>0.12408759124087591</v>
      </c>
      <c r="K140" s="86">
        <v>0.23357664233576642</v>
      </c>
      <c r="L140" s="86">
        <v>0.29422718808193671</v>
      </c>
      <c r="M140" s="86">
        <v>0.21601489757914338</v>
      </c>
      <c r="N140" s="86">
        <v>0.67088607594936711</v>
      </c>
      <c r="O140" s="86">
        <v>0.48275862068965519</v>
      </c>
      <c r="P140" s="86">
        <v>0.37150837988826818</v>
      </c>
      <c r="Q140" s="86">
        <v>0.41807909604519772</v>
      </c>
    </row>
    <row r="141" spans="1:17" x14ac:dyDescent="0.4">
      <c r="A141" s="88">
        <v>138</v>
      </c>
      <c r="B141" s="85">
        <v>811.3000000000003</v>
      </c>
      <c r="C141" s="85">
        <v>5.8789855072463792</v>
      </c>
      <c r="D141" s="90">
        <v>1.818840579710145</v>
      </c>
      <c r="E141" s="86">
        <v>0.42028985507246375</v>
      </c>
      <c r="F141" s="86">
        <v>0.35770750988142291</v>
      </c>
      <c r="G141" s="86">
        <v>0.15118577075098813</v>
      </c>
      <c r="H141" s="87">
        <v>9930.9392265193364</v>
      </c>
      <c r="I141" s="87">
        <v>-9554.9019607843129</v>
      </c>
      <c r="J141" s="86">
        <v>0.12318840579710146</v>
      </c>
      <c r="K141" s="86">
        <v>0.2318840579710145</v>
      </c>
      <c r="L141" s="86">
        <v>0.29326047358834245</v>
      </c>
      <c r="M141" s="86">
        <v>0.21493624772313297</v>
      </c>
      <c r="N141" s="86">
        <v>0.67080745341614911</v>
      </c>
      <c r="O141" s="86">
        <v>0.48305084745762711</v>
      </c>
      <c r="P141" s="86">
        <v>0.37016574585635359</v>
      </c>
      <c r="Q141" s="86">
        <v>0.4178272980501393</v>
      </c>
    </row>
    <row r="142" spans="1:17" x14ac:dyDescent="0.4">
      <c r="A142" s="88">
        <v>139</v>
      </c>
      <c r="B142" s="85">
        <v>831.90000000000032</v>
      </c>
      <c r="C142" s="85">
        <v>5.9848920863309374</v>
      </c>
      <c r="D142" s="90">
        <v>1.8201438848920863</v>
      </c>
      <c r="E142" s="86">
        <v>0.41726618705035973</v>
      </c>
      <c r="F142" s="86">
        <v>0.35819430814524045</v>
      </c>
      <c r="G142" s="86">
        <v>0.15014720314033367</v>
      </c>
      <c r="H142" s="87">
        <v>9913.9726027397264</v>
      </c>
      <c r="I142" s="87">
        <v>-9554.9019607843129</v>
      </c>
      <c r="J142" s="86">
        <v>0.1223021582733813</v>
      </c>
      <c r="K142" s="86">
        <v>0.23021582733812951</v>
      </c>
      <c r="L142" s="86">
        <v>0.29316546762589929</v>
      </c>
      <c r="M142" s="86">
        <v>0.21762589928057555</v>
      </c>
      <c r="N142" s="86">
        <v>0.66871165644171782</v>
      </c>
      <c r="O142" s="86">
        <v>0.48760330578512395</v>
      </c>
      <c r="P142" s="86">
        <v>0.36712328767123287</v>
      </c>
      <c r="Q142" s="86">
        <v>0.41988950276243092</v>
      </c>
    </row>
    <row r="143" spans="1:17" x14ac:dyDescent="0.4">
      <c r="A143" s="88">
        <v>140</v>
      </c>
      <c r="B143" s="85">
        <v>839.20000000000027</v>
      </c>
      <c r="C143" s="85">
        <v>5.9942857142857164</v>
      </c>
      <c r="D143" s="90">
        <v>1.8214285714285714</v>
      </c>
      <c r="E143" s="86">
        <v>0.41428571428571431</v>
      </c>
      <c r="F143" s="86">
        <v>0.35700389105058367</v>
      </c>
      <c r="G143" s="86">
        <v>0.14883268482490272</v>
      </c>
      <c r="H143" s="87">
        <v>9896.1852861035422</v>
      </c>
      <c r="I143" s="87">
        <v>-9554.9019607843129</v>
      </c>
      <c r="J143" s="86">
        <v>0.12142857142857143</v>
      </c>
      <c r="K143" s="86">
        <v>0.22857142857142856</v>
      </c>
      <c r="L143" s="86">
        <v>0.29203539823008851</v>
      </c>
      <c r="M143" s="86">
        <v>0.21592920353982301</v>
      </c>
      <c r="N143" s="86">
        <v>0.67272727272727273</v>
      </c>
      <c r="O143" s="86">
        <v>0.48360655737704916</v>
      </c>
      <c r="P143" s="86">
        <v>0.36784741144414168</v>
      </c>
      <c r="Q143" s="86">
        <v>0.4175824175824176</v>
      </c>
    </row>
    <row r="144" spans="1:17" x14ac:dyDescent="0.4">
      <c r="A144" s="88">
        <v>141</v>
      </c>
      <c r="B144" s="85">
        <v>844.00000000000023</v>
      </c>
      <c r="C144" s="85">
        <v>5.9858156028368814</v>
      </c>
      <c r="D144" s="90">
        <v>1.822695035460993</v>
      </c>
      <c r="E144" s="86">
        <v>0.41134751773049644</v>
      </c>
      <c r="F144" s="86">
        <v>0.35803657362848895</v>
      </c>
      <c r="G144" s="86">
        <v>0.14918190567853706</v>
      </c>
      <c r="H144" s="87">
        <v>9874.1935483870966</v>
      </c>
      <c r="I144" s="87">
        <v>-9560.645161290322</v>
      </c>
      <c r="J144" s="86">
        <v>0.12056737588652482</v>
      </c>
      <c r="K144" s="86">
        <v>0.22695035460992907</v>
      </c>
      <c r="L144" s="86">
        <v>0.296875</v>
      </c>
      <c r="M144" s="86">
        <v>0.2170138888888889</v>
      </c>
      <c r="N144" s="86">
        <v>0.67251461988304095</v>
      </c>
      <c r="O144" s="86">
        <v>0.47199999999999998</v>
      </c>
      <c r="P144" s="86">
        <v>0.37365591397849462</v>
      </c>
      <c r="Q144" s="86">
        <v>0.41847826086956524</v>
      </c>
    </row>
    <row r="145" spans="1:17" x14ac:dyDescent="0.4">
      <c r="A145" s="88">
        <v>142</v>
      </c>
      <c r="B145" s="85">
        <v>848.10000000000025</v>
      </c>
      <c r="C145" s="85">
        <v>5.9725352112676076</v>
      </c>
      <c r="D145" s="90">
        <v>1.823943661971831</v>
      </c>
      <c r="E145" s="86">
        <v>0.40845070422535212</v>
      </c>
      <c r="F145" s="86">
        <v>0.35782442748091603</v>
      </c>
      <c r="G145" s="86">
        <v>0.14790076335877864</v>
      </c>
      <c r="H145" s="87">
        <v>9856.5333333333328</v>
      </c>
      <c r="I145" s="87">
        <v>-9560.645161290322</v>
      </c>
      <c r="J145" s="86">
        <v>0.11971830985915492</v>
      </c>
      <c r="K145" s="86">
        <v>0.22535211267605634</v>
      </c>
      <c r="L145" s="86">
        <v>0.29401709401709403</v>
      </c>
      <c r="M145" s="86">
        <v>0.22222222222222221</v>
      </c>
      <c r="N145" s="86">
        <v>0.66860465116279066</v>
      </c>
      <c r="O145" s="86">
        <v>0.46923076923076923</v>
      </c>
      <c r="P145" s="86">
        <v>0.37333333333333335</v>
      </c>
      <c r="Q145" s="86">
        <v>0.41778975741239893</v>
      </c>
    </row>
    <row r="146" spans="1:17" x14ac:dyDescent="0.4">
      <c r="A146" s="88">
        <v>143</v>
      </c>
      <c r="B146" s="85">
        <v>836.10000000000025</v>
      </c>
      <c r="C146" s="85">
        <v>5.8468531468531486</v>
      </c>
      <c r="D146" s="90">
        <v>1.8321678321678321</v>
      </c>
      <c r="E146" s="86">
        <v>0.40559440559440557</v>
      </c>
      <c r="F146" s="86">
        <v>0.35700757575757575</v>
      </c>
      <c r="G146" s="86">
        <v>0.14772727272727273</v>
      </c>
      <c r="H146" s="87">
        <v>9857.2944297082231</v>
      </c>
      <c r="I146" s="87">
        <v>-9614.7435897435898</v>
      </c>
      <c r="J146" s="86">
        <v>0.11888111888111888</v>
      </c>
      <c r="K146" s="86">
        <v>0.22377622377622378</v>
      </c>
      <c r="L146" s="86">
        <v>0.29342327150084319</v>
      </c>
      <c r="M146" s="86">
        <v>0.22259696458684655</v>
      </c>
      <c r="N146" s="86">
        <v>0.66666666666666663</v>
      </c>
      <c r="O146" s="86">
        <v>0.46969696969696972</v>
      </c>
      <c r="P146" s="86">
        <v>0.37400530503978779</v>
      </c>
      <c r="Q146" s="86">
        <v>0.41554959785522788</v>
      </c>
    </row>
    <row r="147" spans="1:17" x14ac:dyDescent="0.4">
      <c r="A147" s="88">
        <v>144</v>
      </c>
      <c r="B147" s="85">
        <v>848.60000000000025</v>
      </c>
      <c r="C147" s="85">
        <v>5.8930555555555575</v>
      </c>
      <c r="D147" s="90">
        <v>1.8263888888888888</v>
      </c>
      <c r="E147" s="86">
        <v>0.40972222222222221</v>
      </c>
      <c r="F147" s="86">
        <v>0.35620300751879697</v>
      </c>
      <c r="G147" s="86">
        <v>0.14755639097744361</v>
      </c>
      <c r="H147" s="87">
        <v>9884.4327176781007</v>
      </c>
      <c r="I147" s="87">
        <v>-9604.4585987261144</v>
      </c>
      <c r="J147" s="86">
        <v>0.11805555555555555</v>
      </c>
      <c r="K147" s="86">
        <v>0.22222222222222221</v>
      </c>
      <c r="L147" s="86">
        <v>0.28951747088186358</v>
      </c>
      <c r="M147" s="86">
        <v>0.22296173044925124</v>
      </c>
      <c r="N147" s="86">
        <v>0.66666666666666663</v>
      </c>
      <c r="O147" s="86">
        <v>0.47014925373134331</v>
      </c>
      <c r="P147" s="86">
        <v>0.37203166226912932</v>
      </c>
      <c r="Q147" s="86">
        <v>0.41489361702127658</v>
      </c>
    </row>
    <row r="148" spans="1:17" x14ac:dyDescent="0.4">
      <c r="A148" s="88">
        <v>145</v>
      </c>
      <c r="B148" s="85">
        <v>835.70000000000027</v>
      </c>
      <c r="C148" s="85">
        <v>5.7634482758620704</v>
      </c>
      <c r="D148" s="90">
        <v>1.8344827586206895</v>
      </c>
      <c r="E148" s="86">
        <v>0.40689655172413791</v>
      </c>
      <c r="F148" s="86">
        <v>0.3538175046554935</v>
      </c>
      <c r="G148" s="86">
        <v>0.148975791433892</v>
      </c>
      <c r="H148" s="87">
        <v>9905.78947368421</v>
      </c>
      <c r="I148" s="87">
        <v>-9548.75</v>
      </c>
      <c r="J148" s="86">
        <v>0.11724137931034483</v>
      </c>
      <c r="K148" s="86">
        <v>0.22068965517241379</v>
      </c>
      <c r="L148" s="86">
        <v>0.28641571194762683</v>
      </c>
      <c r="M148" s="86">
        <v>0.22422258592471359</v>
      </c>
      <c r="N148" s="86">
        <v>0.66285714285714281</v>
      </c>
      <c r="O148" s="86">
        <v>0.46715328467153283</v>
      </c>
      <c r="P148" s="86">
        <v>0.37105263157894736</v>
      </c>
      <c r="Q148" s="86">
        <v>0.41424802110817943</v>
      </c>
    </row>
    <row r="149" spans="1:17" x14ac:dyDescent="0.4">
      <c r="A149" s="88">
        <v>146</v>
      </c>
      <c r="B149" s="85">
        <v>851.3000000000003</v>
      </c>
      <c r="C149" s="85">
        <v>5.8308219178082208</v>
      </c>
      <c r="D149" s="90">
        <v>1.8356164383561644</v>
      </c>
      <c r="E149" s="86">
        <v>0.4041095890410959</v>
      </c>
      <c r="F149" s="86">
        <v>0.35435992578849723</v>
      </c>
      <c r="G149" s="86">
        <v>0.14935064935064934</v>
      </c>
      <c r="H149" s="87">
        <v>9916.7539267015709</v>
      </c>
      <c r="I149" s="87">
        <v>-9513.6645962732928</v>
      </c>
      <c r="J149" s="86">
        <v>0.11643835616438356</v>
      </c>
      <c r="K149" s="86">
        <v>0.21917808219178081</v>
      </c>
      <c r="L149" s="86">
        <v>0.28780487804878047</v>
      </c>
      <c r="M149" s="86">
        <v>0.22439024390243903</v>
      </c>
      <c r="N149" s="86">
        <v>0.66101694915254239</v>
      </c>
      <c r="O149" s="86">
        <v>0.47101449275362317</v>
      </c>
      <c r="P149" s="86">
        <v>0.36910994764397903</v>
      </c>
      <c r="Q149" s="86">
        <v>0.41578947368421054</v>
      </c>
    </row>
    <row r="150" spans="1:17" x14ac:dyDescent="0.4">
      <c r="A150" s="88">
        <v>147</v>
      </c>
      <c r="B150" s="85">
        <v>866.90000000000032</v>
      </c>
      <c r="C150" s="85">
        <v>5.8972789115646282</v>
      </c>
      <c r="D150" s="90">
        <v>1.8299319727891157</v>
      </c>
      <c r="E150" s="86">
        <v>0.40816326530612246</v>
      </c>
      <c r="F150" s="86">
        <v>0.35576036866359445</v>
      </c>
      <c r="G150" s="86">
        <v>0.14838709677419354</v>
      </c>
      <c r="H150" s="87">
        <v>9880.3108808290162</v>
      </c>
      <c r="I150" s="87">
        <v>-9513.6645962732928</v>
      </c>
      <c r="J150" s="86">
        <v>0.11564625850340136</v>
      </c>
      <c r="K150" s="86">
        <v>0.21768707482993196</v>
      </c>
      <c r="L150" s="86">
        <v>0.2861736334405145</v>
      </c>
      <c r="M150" s="86">
        <v>0.22990353697749197</v>
      </c>
      <c r="N150" s="86">
        <v>0.6629213483146067</v>
      </c>
      <c r="O150" s="86">
        <v>0.47552447552447552</v>
      </c>
      <c r="P150" s="86">
        <v>0.36528497409326427</v>
      </c>
      <c r="Q150" s="86">
        <v>0.41623036649214662</v>
      </c>
    </row>
    <row r="151" spans="1:17" x14ac:dyDescent="0.4">
      <c r="A151" s="88">
        <v>148</v>
      </c>
      <c r="B151" s="85">
        <v>830.90000000000032</v>
      </c>
      <c r="C151" s="85">
        <v>5.6141891891891911</v>
      </c>
      <c r="D151" s="90">
        <v>1.8378378378378379</v>
      </c>
      <c r="E151" s="86">
        <v>0.40540540540540543</v>
      </c>
      <c r="F151" s="86">
        <v>0.35543278084714547</v>
      </c>
      <c r="G151" s="86">
        <v>0.14917127071823205</v>
      </c>
      <c r="H151" s="87">
        <v>9880.3108808290162</v>
      </c>
      <c r="I151" s="87">
        <v>-9677.1604938271612</v>
      </c>
      <c r="J151" s="86">
        <v>0.12162162162162163</v>
      </c>
      <c r="K151" s="86">
        <v>0.21621621621621623</v>
      </c>
      <c r="L151" s="86">
        <v>0.2857142857142857</v>
      </c>
      <c r="M151" s="86">
        <v>0.22953451043338685</v>
      </c>
      <c r="N151" s="86">
        <v>0.6629213483146067</v>
      </c>
      <c r="O151" s="86">
        <v>0.47552447552447552</v>
      </c>
      <c r="P151" s="86">
        <v>0.36528497409326427</v>
      </c>
      <c r="Q151" s="86">
        <v>0.41623036649214662</v>
      </c>
    </row>
    <row r="152" spans="1:17" x14ac:dyDescent="0.4">
      <c r="A152" s="88">
        <v>149</v>
      </c>
      <c r="B152" s="85">
        <v>801.3000000000003</v>
      </c>
      <c r="C152" s="85">
        <v>5.377852348993291</v>
      </c>
      <c r="D152" s="90">
        <v>1.8389261744966443</v>
      </c>
      <c r="E152" s="86">
        <v>0.40268456375838924</v>
      </c>
      <c r="F152" s="86">
        <v>0.35433789954337902</v>
      </c>
      <c r="G152" s="86">
        <v>0.14794520547945206</v>
      </c>
      <c r="H152" s="87">
        <v>9857.7319587628863</v>
      </c>
      <c r="I152" s="87">
        <v>-9677.1604938271612</v>
      </c>
      <c r="J152" s="86">
        <v>0.12080536912751678</v>
      </c>
      <c r="K152" s="86">
        <v>0.21476510067114093</v>
      </c>
      <c r="L152" s="86">
        <v>0.2848101265822785</v>
      </c>
      <c r="M152" s="86">
        <v>0.23259493670886075</v>
      </c>
      <c r="N152" s="86">
        <v>0.66111111111111109</v>
      </c>
      <c r="O152" s="86">
        <v>0.46938775510204084</v>
      </c>
      <c r="P152" s="86">
        <v>0.36855670103092786</v>
      </c>
      <c r="Q152" s="86">
        <v>0.41666666666666669</v>
      </c>
    </row>
    <row r="153" spans="1:17" x14ac:dyDescent="0.4">
      <c r="A153" s="88">
        <v>150</v>
      </c>
      <c r="B153" s="85">
        <v>808.10000000000025</v>
      </c>
      <c r="C153" s="85">
        <v>5.3873333333333351</v>
      </c>
      <c r="D153" s="90">
        <v>1.8333333333333333</v>
      </c>
      <c r="E153" s="86">
        <v>0.40666666666666668</v>
      </c>
      <c r="F153" s="86">
        <v>0.35507246376811596</v>
      </c>
      <c r="G153" s="86">
        <v>0.14855072463768115</v>
      </c>
      <c r="H153" s="87">
        <v>9821.1734693877552</v>
      </c>
      <c r="I153" s="87">
        <v>-9643.292682926829</v>
      </c>
      <c r="J153" s="86">
        <v>0.12</v>
      </c>
      <c r="K153" s="86">
        <v>0.21333333333333335</v>
      </c>
      <c r="L153" s="86">
        <v>0.28705148205928238</v>
      </c>
      <c r="M153" s="86">
        <v>0.23244929797191888</v>
      </c>
      <c r="N153" s="86">
        <v>0.65760869565217395</v>
      </c>
      <c r="O153" s="86">
        <v>0.47651006711409394</v>
      </c>
      <c r="P153" s="86">
        <v>0.36734693877551022</v>
      </c>
      <c r="Q153" s="86">
        <v>0.41602067183462532</v>
      </c>
    </row>
    <row r="154" spans="1:17" x14ac:dyDescent="0.4">
      <c r="A154" s="88">
        <v>151</v>
      </c>
      <c r="B154" s="85">
        <v>794.10000000000025</v>
      </c>
      <c r="C154" s="85">
        <v>5.2589403973509947</v>
      </c>
      <c r="D154" s="90">
        <v>1.8410596026490067</v>
      </c>
      <c r="E154" s="86">
        <v>0.40397350993377484</v>
      </c>
      <c r="F154" s="86">
        <v>0.35399820305480684</v>
      </c>
      <c r="G154" s="86">
        <v>0.14824797843665768</v>
      </c>
      <c r="H154" s="87">
        <v>9822.081218274112</v>
      </c>
      <c r="I154" s="87">
        <v>-9657.575757575758</v>
      </c>
      <c r="J154" s="86">
        <v>0.11920529801324503</v>
      </c>
      <c r="K154" s="86">
        <v>0.2119205298013245</v>
      </c>
      <c r="L154" s="86">
        <v>0.2846153846153846</v>
      </c>
      <c r="M154" s="86">
        <v>0.23692307692307693</v>
      </c>
      <c r="N154" s="86">
        <v>0.6594594594594595</v>
      </c>
      <c r="O154" s="86">
        <v>0.46753246753246752</v>
      </c>
      <c r="P154" s="86">
        <v>0.36548223350253806</v>
      </c>
      <c r="Q154" s="86">
        <v>0.41538461538461541</v>
      </c>
    </row>
    <row r="155" spans="1:17" x14ac:dyDescent="0.4">
      <c r="A155" s="88">
        <v>152</v>
      </c>
      <c r="B155" s="85">
        <v>784.10000000000025</v>
      </c>
      <c r="C155" s="85">
        <v>5.1585526315789494</v>
      </c>
      <c r="D155" s="90">
        <v>1.8421052631578947</v>
      </c>
      <c r="E155" s="86">
        <v>0.40131578947368424</v>
      </c>
      <c r="F155" s="86">
        <v>0.35330948121645794</v>
      </c>
      <c r="G155" s="86">
        <v>0.14758497316636851</v>
      </c>
      <c r="H155" s="87">
        <v>9827.5949367088615</v>
      </c>
      <c r="I155" s="87">
        <v>-9657.575757575758</v>
      </c>
      <c r="J155" s="86">
        <v>0.11842105263157894</v>
      </c>
      <c r="K155" s="86">
        <v>0.21052631578947367</v>
      </c>
      <c r="L155" s="86">
        <v>0.28396946564885495</v>
      </c>
      <c r="M155" s="86">
        <v>0.23511450381679388</v>
      </c>
      <c r="N155" s="86">
        <v>0.66129032258064513</v>
      </c>
      <c r="O155" s="86">
        <v>0.46753246753246752</v>
      </c>
      <c r="P155" s="86">
        <v>0.36708860759493672</v>
      </c>
      <c r="Q155" s="86">
        <v>0.41581632653061223</v>
      </c>
    </row>
    <row r="156" spans="1:17" x14ac:dyDescent="0.4">
      <c r="A156" s="88">
        <v>153</v>
      </c>
      <c r="B156" s="85">
        <v>828.70000000000027</v>
      </c>
      <c r="C156" s="85">
        <v>5.4163398692810478</v>
      </c>
      <c r="D156" s="90">
        <v>1.8366013071895424</v>
      </c>
      <c r="E156" s="86">
        <v>0.40522875816993464</v>
      </c>
      <c r="F156" s="86">
        <v>0.35429583702391498</v>
      </c>
      <c r="G156" s="86">
        <v>0.14791851195748451</v>
      </c>
      <c r="H156" s="87">
        <v>9828.5</v>
      </c>
      <c r="I156" s="87">
        <v>-9565.2694610778435</v>
      </c>
      <c r="J156" s="86">
        <v>0.11764705882352941</v>
      </c>
      <c r="K156" s="86">
        <v>0.20915032679738563</v>
      </c>
      <c r="L156" s="86">
        <v>0.28378378378378377</v>
      </c>
      <c r="M156" s="86">
        <v>0.23273273273273273</v>
      </c>
      <c r="N156" s="86">
        <v>0.65608465608465605</v>
      </c>
      <c r="O156" s="86">
        <v>0.47096774193548385</v>
      </c>
      <c r="P156" s="86">
        <v>0.37</v>
      </c>
      <c r="Q156" s="86">
        <v>0.41813602015113349</v>
      </c>
    </row>
    <row r="157" spans="1:17" x14ac:dyDescent="0.4">
      <c r="A157" s="88">
        <v>154</v>
      </c>
      <c r="B157" s="85">
        <v>824.00000000000023</v>
      </c>
      <c r="C157" s="85">
        <v>5.350649350649352</v>
      </c>
      <c r="D157" s="90">
        <v>1.8376623376623376</v>
      </c>
      <c r="E157" s="86">
        <v>0.40259740259740262</v>
      </c>
      <c r="F157" s="86">
        <v>0.35299295774647887</v>
      </c>
      <c r="G157" s="86">
        <v>0.14788732394366197</v>
      </c>
      <c r="H157" s="87">
        <v>9823.9401496259343</v>
      </c>
      <c r="I157" s="87">
        <v>-9554.1666666666661</v>
      </c>
      <c r="J157" s="86">
        <v>0.11688311688311688</v>
      </c>
      <c r="K157" s="86">
        <v>0.20779220779220781</v>
      </c>
      <c r="L157" s="86">
        <v>0.2838038632986627</v>
      </c>
      <c r="M157" s="86">
        <v>0.23179791976225855</v>
      </c>
      <c r="N157" s="86">
        <v>0.65445026178010468</v>
      </c>
      <c r="O157" s="86">
        <v>0.46794871794871795</v>
      </c>
      <c r="P157" s="86">
        <v>0.36907730673316708</v>
      </c>
      <c r="Q157" s="86">
        <v>0.41604010025062654</v>
      </c>
    </row>
    <row r="158" spans="1:17" x14ac:dyDescent="0.4">
      <c r="A158" s="88">
        <v>155</v>
      </c>
      <c r="B158" s="85">
        <v>838.4000000000002</v>
      </c>
      <c r="C158" s="85">
        <v>5.4090322580645172</v>
      </c>
      <c r="D158" s="90">
        <v>1.832258064516129</v>
      </c>
      <c r="E158" s="86">
        <v>0.40645161290322579</v>
      </c>
      <c r="F158" s="86">
        <v>0.35345581802274717</v>
      </c>
      <c r="G158" s="86">
        <v>0.14698162729658792</v>
      </c>
      <c r="H158" s="87">
        <v>9796.5346534653472</v>
      </c>
      <c r="I158" s="87">
        <v>-9554.1666666666661</v>
      </c>
      <c r="J158" s="86">
        <v>0.11612903225806452</v>
      </c>
      <c r="K158" s="86">
        <v>0.20645161290322581</v>
      </c>
      <c r="L158" s="86">
        <v>0.2838235294117647</v>
      </c>
      <c r="M158" s="86">
        <v>0.23088235294117648</v>
      </c>
      <c r="N158" s="86">
        <v>0.65803108808290156</v>
      </c>
      <c r="O158" s="86">
        <v>0.46496815286624205</v>
      </c>
      <c r="P158" s="86">
        <v>0.37128712871287128</v>
      </c>
      <c r="Q158" s="86">
        <v>0.4154228855721393</v>
      </c>
    </row>
    <row r="159" spans="1:17" x14ac:dyDescent="0.4">
      <c r="A159" s="88">
        <v>156</v>
      </c>
      <c r="B159" s="85">
        <v>824.4000000000002</v>
      </c>
      <c r="C159" s="85">
        <v>5.2846153846153863</v>
      </c>
      <c r="D159" s="90">
        <v>1.8333333333333333</v>
      </c>
      <c r="E159" s="86">
        <v>0.40384615384615385</v>
      </c>
      <c r="F159" s="86">
        <v>0.35248041775456918</v>
      </c>
      <c r="G159" s="86">
        <v>0.14708442123585727</v>
      </c>
      <c r="H159" s="87">
        <v>9792.0987654320979</v>
      </c>
      <c r="I159" s="87">
        <v>-9568.6390532544374</v>
      </c>
      <c r="J159" s="86">
        <v>0.11538461538461539</v>
      </c>
      <c r="K159" s="86">
        <v>0.20512820512820512</v>
      </c>
      <c r="L159" s="86">
        <v>0.28425655976676384</v>
      </c>
      <c r="M159" s="86">
        <v>0.22886297376093295</v>
      </c>
      <c r="N159" s="86">
        <v>0.65641025641025641</v>
      </c>
      <c r="O159" s="86">
        <v>0.46496815286624205</v>
      </c>
      <c r="P159" s="86">
        <v>0.37037037037037035</v>
      </c>
      <c r="Q159" s="86">
        <v>0.4154228855721393</v>
      </c>
    </row>
    <row r="160" spans="1:17" x14ac:dyDescent="0.4">
      <c r="A160" s="88">
        <v>157</v>
      </c>
      <c r="B160" s="85">
        <v>831.50000000000023</v>
      </c>
      <c r="C160" s="85">
        <v>5.2961783439490464</v>
      </c>
      <c r="D160" s="90">
        <v>1.8280254777070064</v>
      </c>
      <c r="E160" s="86">
        <v>0.40764331210191085</v>
      </c>
      <c r="F160" s="86">
        <v>0.35116479723899913</v>
      </c>
      <c r="G160" s="86">
        <v>0.14667817083692838</v>
      </c>
      <c r="H160" s="87">
        <v>9812.7764127764131</v>
      </c>
      <c r="I160" s="87">
        <v>-9559.4117647058829</v>
      </c>
      <c r="J160" s="86">
        <v>0.11464968152866242</v>
      </c>
      <c r="K160" s="86">
        <v>0.20382165605095542</v>
      </c>
      <c r="L160" s="86">
        <v>0.28591954022988508</v>
      </c>
      <c r="M160" s="86">
        <v>0.22557471264367815</v>
      </c>
      <c r="N160" s="86">
        <v>0.65326633165829151</v>
      </c>
      <c r="O160" s="86">
        <v>0.46496815286624205</v>
      </c>
      <c r="P160" s="86">
        <v>0.36855036855036855</v>
      </c>
      <c r="Q160" s="86">
        <v>0.4123456790123457</v>
      </c>
    </row>
    <row r="161" spans="1:17" x14ac:dyDescent="0.4">
      <c r="A161" s="88">
        <v>158</v>
      </c>
      <c r="B161" s="85">
        <v>851.20000000000027</v>
      </c>
      <c r="C161" s="85">
        <v>5.3873417721519008</v>
      </c>
      <c r="D161" s="90">
        <v>1.8227848101265822</v>
      </c>
      <c r="E161" s="86">
        <v>0.41139240506329117</v>
      </c>
      <c r="F161" s="86">
        <v>0.350471293916024</v>
      </c>
      <c r="G161" s="86">
        <v>0.1456726649528706</v>
      </c>
      <c r="H161" s="87">
        <v>9872.3716381418089</v>
      </c>
      <c r="I161" s="87">
        <v>-9559.4117647058829</v>
      </c>
      <c r="J161" s="86">
        <v>0.11392405063291139</v>
      </c>
      <c r="K161" s="86">
        <v>0.20253164556962025</v>
      </c>
      <c r="L161" s="86">
        <v>0.28267045454545453</v>
      </c>
      <c r="M161" s="86">
        <v>0.22443181818181818</v>
      </c>
      <c r="N161" s="86">
        <v>0.65326633165829151</v>
      </c>
      <c r="O161" s="86">
        <v>0.46835443037974683</v>
      </c>
      <c r="P161" s="86">
        <v>0.37163814180929094</v>
      </c>
      <c r="Q161" s="86">
        <v>0.41176470588235292</v>
      </c>
    </row>
    <row r="162" spans="1:17" x14ac:dyDescent="0.4">
      <c r="A162" s="88">
        <v>159</v>
      </c>
      <c r="B162" s="85">
        <v>875.00000000000023</v>
      </c>
      <c r="C162" s="85">
        <v>5.503144654088052</v>
      </c>
      <c r="D162" s="90">
        <v>1.8176100628930818</v>
      </c>
      <c r="E162" s="86">
        <v>0.41509433962264153</v>
      </c>
      <c r="F162" s="86">
        <v>0.35178875638841567</v>
      </c>
      <c r="G162" s="86">
        <v>0.14480408858603067</v>
      </c>
      <c r="H162" s="87">
        <v>9841.646489104116</v>
      </c>
      <c r="I162" s="87">
        <v>-9559.4117647058829</v>
      </c>
      <c r="J162" s="86">
        <v>0.11320754716981132</v>
      </c>
      <c r="K162" s="86">
        <v>0.20125786163522014</v>
      </c>
      <c r="L162" s="86">
        <v>0.28270042194092826</v>
      </c>
      <c r="M162" s="86">
        <v>0.22222222222222221</v>
      </c>
      <c r="N162" s="86">
        <v>0.65671641791044777</v>
      </c>
      <c r="O162" s="86">
        <v>0.46835443037974683</v>
      </c>
      <c r="P162" s="86">
        <v>0.3704600484261501</v>
      </c>
      <c r="Q162" s="86">
        <v>0.41219512195121949</v>
      </c>
    </row>
    <row r="163" spans="1:17" x14ac:dyDescent="0.4">
      <c r="A163" s="88">
        <v>160</v>
      </c>
      <c r="B163" s="85">
        <v>870.20000000000027</v>
      </c>
      <c r="C163" s="85">
        <v>5.4387500000000015</v>
      </c>
      <c r="D163" s="90">
        <v>1.8187500000000001</v>
      </c>
      <c r="E163" s="86">
        <v>0.41249999999999998</v>
      </c>
      <c r="F163" s="86">
        <v>0.35050675675675674</v>
      </c>
      <c r="G163" s="86">
        <v>0.14442567567567569</v>
      </c>
      <c r="H163" s="87">
        <v>9820.7228915662654</v>
      </c>
      <c r="I163" s="87">
        <v>-9548.5380116959059</v>
      </c>
      <c r="J163" s="86">
        <v>0.1125</v>
      </c>
      <c r="K163" s="86">
        <v>0.2</v>
      </c>
      <c r="L163" s="86">
        <v>0.28710124826629679</v>
      </c>
      <c r="M163" s="86">
        <v>0.22052704576976423</v>
      </c>
      <c r="N163" s="86">
        <v>0.64734299516908211</v>
      </c>
      <c r="O163" s="86">
        <v>0.46540880503144655</v>
      </c>
      <c r="P163" s="86">
        <v>0.36867469879518072</v>
      </c>
      <c r="Q163" s="86">
        <v>0.41162227602905571</v>
      </c>
    </row>
    <row r="164" spans="1:17" x14ac:dyDescent="0.4">
      <c r="A164" s="88">
        <v>161</v>
      </c>
      <c r="B164" s="85">
        <v>902.70000000000027</v>
      </c>
      <c r="C164" s="85">
        <v>5.6068322981366476</v>
      </c>
      <c r="D164" s="90">
        <v>1.813664596273292</v>
      </c>
      <c r="E164" s="86">
        <v>0.41614906832298137</v>
      </c>
      <c r="F164" s="86">
        <v>0.35037720033528919</v>
      </c>
      <c r="G164" s="86">
        <v>0.14333612740989102</v>
      </c>
      <c r="H164" s="87">
        <v>9855.5023923444969</v>
      </c>
      <c r="I164" s="87">
        <v>-9548.5380116959059</v>
      </c>
      <c r="J164" s="86">
        <v>0.11180124223602485</v>
      </c>
      <c r="K164" s="86">
        <v>0.19875776397515527</v>
      </c>
      <c r="L164" s="86">
        <v>0.28767123287671231</v>
      </c>
      <c r="M164" s="86">
        <v>0.22054794520547946</v>
      </c>
      <c r="N164" s="86">
        <v>0.64761904761904765</v>
      </c>
      <c r="O164" s="86">
        <v>0.46583850931677018</v>
      </c>
      <c r="P164" s="86">
        <v>0.37081339712918659</v>
      </c>
      <c r="Q164" s="86">
        <v>0.41247002398081534</v>
      </c>
    </row>
    <row r="165" spans="1:17" x14ac:dyDescent="0.4">
      <c r="A165" s="88">
        <v>162</v>
      </c>
      <c r="B165" s="85">
        <v>919.8000000000003</v>
      </c>
      <c r="C165" s="85">
        <v>5.6777777777777798</v>
      </c>
      <c r="D165" s="90">
        <v>1.808641975308642</v>
      </c>
      <c r="E165" s="86">
        <v>0.41975308641975306</v>
      </c>
      <c r="F165" s="86">
        <v>0.35137385512073271</v>
      </c>
      <c r="G165" s="86">
        <v>0.14487926727726894</v>
      </c>
      <c r="H165" s="87">
        <v>9854.5023696682456</v>
      </c>
      <c r="I165" s="87">
        <v>-9521.2643678160912</v>
      </c>
      <c r="J165" s="86">
        <v>0.1111111111111111</v>
      </c>
      <c r="K165" s="86">
        <v>0.19753086419753085</v>
      </c>
      <c r="L165" s="86">
        <v>0.2872628726287263</v>
      </c>
      <c r="M165" s="86">
        <v>0.22086720867208673</v>
      </c>
      <c r="N165" s="86">
        <v>0.65094339622641506</v>
      </c>
      <c r="O165" s="86">
        <v>0.47239263803680981</v>
      </c>
      <c r="P165" s="86">
        <v>0.37440758293838861</v>
      </c>
      <c r="Q165" s="86">
        <v>0.41428571428571431</v>
      </c>
    </row>
    <row r="166" spans="1:17" x14ac:dyDescent="0.4">
      <c r="A166" s="88">
        <v>163</v>
      </c>
      <c r="B166" s="85">
        <v>932.10000000000025</v>
      </c>
      <c r="C166" s="85">
        <v>5.7184049079754615</v>
      </c>
      <c r="D166" s="90">
        <v>1.803680981595092</v>
      </c>
      <c r="E166" s="86">
        <v>0.42331288343558282</v>
      </c>
      <c r="F166" s="86">
        <v>0.35066006600660066</v>
      </c>
      <c r="G166" s="86">
        <v>0.14603960396039603</v>
      </c>
      <c r="H166" s="87">
        <v>9897.8823529411766</v>
      </c>
      <c r="I166" s="87">
        <v>-9502.2598870056499</v>
      </c>
      <c r="J166" s="86">
        <v>0.11042944785276074</v>
      </c>
      <c r="K166" s="86">
        <v>0.19631901840490798</v>
      </c>
      <c r="L166" s="86">
        <v>0.28838451268357812</v>
      </c>
      <c r="M166" s="86">
        <v>0.22162883845126835</v>
      </c>
      <c r="N166" s="86">
        <v>0.64351851851851849</v>
      </c>
      <c r="O166" s="86">
        <v>0.4759036144578313</v>
      </c>
      <c r="P166" s="86">
        <v>0.37882352941176473</v>
      </c>
      <c r="Q166" s="86">
        <v>0.41469194312796209</v>
      </c>
    </row>
    <row r="167" spans="1:17" x14ac:dyDescent="0.4">
      <c r="A167" s="88">
        <v>164</v>
      </c>
      <c r="B167" s="85">
        <v>956.4000000000002</v>
      </c>
      <c r="C167" s="85">
        <v>5.8317073170731719</v>
      </c>
      <c r="D167" s="90">
        <v>1.7987804878048781</v>
      </c>
      <c r="E167" s="86">
        <v>0.42682926829268292</v>
      </c>
      <c r="F167" s="86">
        <v>0.35020408163265304</v>
      </c>
      <c r="G167" s="86">
        <v>0.14448979591836736</v>
      </c>
      <c r="H167" s="87">
        <v>9893.0069930069931</v>
      </c>
      <c r="I167" s="87">
        <v>-9502.2598870056499</v>
      </c>
      <c r="J167" s="86">
        <v>0.10975609756097561</v>
      </c>
      <c r="K167" s="86">
        <v>0.1951219512195122</v>
      </c>
      <c r="L167" s="86">
        <v>0.28477690288713908</v>
      </c>
      <c r="M167" s="86">
        <v>0.2230971128608924</v>
      </c>
      <c r="N167" s="86">
        <v>0.64055299539170507</v>
      </c>
      <c r="O167" s="86">
        <v>0.48823529411764705</v>
      </c>
      <c r="P167" s="86">
        <v>0.37995337995337997</v>
      </c>
      <c r="Q167" s="86">
        <v>0.41549295774647887</v>
      </c>
    </row>
    <row r="168" spans="1:17" x14ac:dyDescent="0.4">
      <c r="A168" s="88">
        <v>165</v>
      </c>
      <c r="B168" s="85">
        <v>944.20000000000016</v>
      </c>
      <c r="C168" s="85">
        <v>5.7224242424242435</v>
      </c>
      <c r="D168" s="90">
        <v>1.8060606060606061</v>
      </c>
      <c r="E168" s="86">
        <v>0.42424242424242425</v>
      </c>
      <c r="F168" s="86">
        <v>0.34930950446791226</v>
      </c>
      <c r="G168" s="86">
        <v>0.14541023558082861</v>
      </c>
      <c r="H168" s="87">
        <v>9876.5116279069771</v>
      </c>
      <c r="I168" s="87">
        <v>-9446.3687150837995</v>
      </c>
      <c r="J168" s="86">
        <v>0.10909090909090909</v>
      </c>
      <c r="K168" s="86">
        <v>0.19393939393939394</v>
      </c>
      <c r="L168" s="86">
        <v>0.28385416666666669</v>
      </c>
      <c r="M168" s="86">
        <v>0.22135416666666666</v>
      </c>
      <c r="N168" s="86">
        <v>0.63761467889908252</v>
      </c>
      <c r="O168" s="86">
        <v>0.48823529411764705</v>
      </c>
      <c r="P168" s="86">
        <v>0.38139534883720932</v>
      </c>
      <c r="Q168" s="86">
        <v>0.4135514018691589</v>
      </c>
    </row>
    <row r="169" spans="1:17" x14ac:dyDescent="0.4">
      <c r="A169" s="88">
        <v>166</v>
      </c>
      <c r="B169" s="85">
        <v>942.20000000000016</v>
      </c>
      <c r="C169" s="85">
        <v>5.6759036144578321</v>
      </c>
      <c r="D169" s="90">
        <v>1.8072289156626506</v>
      </c>
      <c r="E169" s="86">
        <v>0.42168674698795183</v>
      </c>
      <c r="F169" s="86">
        <v>0.34866828087167068</v>
      </c>
      <c r="G169" s="86">
        <v>0.14447134786117838</v>
      </c>
      <c r="H169" s="87">
        <v>9872.4537037037044</v>
      </c>
      <c r="I169" s="87">
        <v>-9446.3687150837995</v>
      </c>
      <c r="J169" s="86">
        <v>0.10843373493975904</v>
      </c>
      <c r="K169" s="86">
        <v>0.19277108433734941</v>
      </c>
      <c r="L169" s="86">
        <v>0.28479381443298968</v>
      </c>
      <c r="M169" s="86">
        <v>0.22293814432989692</v>
      </c>
      <c r="N169" s="86">
        <v>0.63348416289592757</v>
      </c>
      <c r="O169" s="86">
        <v>0.48554913294797686</v>
      </c>
      <c r="P169" s="86">
        <v>0.38425925925925924</v>
      </c>
      <c r="Q169" s="86">
        <v>0.41299303944315546</v>
      </c>
    </row>
    <row r="170" spans="1:17" x14ac:dyDescent="0.4">
      <c r="A170" s="88">
        <v>167</v>
      </c>
      <c r="B170" s="85">
        <v>901.60000000000014</v>
      </c>
      <c r="C170" s="85">
        <v>5.3988023952095814</v>
      </c>
      <c r="D170" s="90">
        <v>1.8143712574850299</v>
      </c>
      <c r="E170" s="86">
        <v>0.41916167664670656</v>
      </c>
      <c r="F170" s="86">
        <v>0.34612310151878495</v>
      </c>
      <c r="G170" s="86">
        <v>0.14468425259792167</v>
      </c>
      <c r="H170" s="87">
        <v>9864.434180138569</v>
      </c>
      <c r="I170" s="87">
        <v>-9406.0773480662992</v>
      </c>
      <c r="J170" s="86">
        <v>0.11377245508982035</v>
      </c>
      <c r="K170" s="86">
        <v>0.19161676646706588</v>
      </c>
      <c r="L170" s="86">
        <v>0.28172588832487311</v>
      </c>
      <c r="M170" s="86">
        <v>0.22461928934010153</v>
      </c>
      <c r="N170" s="86">
        <v>0.63063063063063063</v>
      </c>
      <c r="O170" s="86">
        <v>0.47457627118644069</v>
      </c>
      <c r="P170" s="86">
        <v>0.38337182448036949</v>
      </c>
      <c r="Q170" s="86">
        <v>0.41203703703703703</v>
      </c>
    </row>
    <row r="171" spans="1:17" x14ac:dyDescent="0.4">
      <c r="A171" s="88">
        <v>168</v>
      </c>
      <c r="B171" s="85">
        <v>923.30000000000018</v>
      </c>
      <c r="C171" s="85">
        <v>5.4958333333333345</v>
      </c>
      <c r="D171" s="90">
        <v>1.8095238095238095</v>
      </c>
      <c r="E171" s="86">
        <v>0.42261904761904762</v>
      </c>
      <c r="F171" s="86">
        <v>0.34685759745425615</v>
      </c>
      <c r="G171" s="86">
        <v>0.14478918058870327</v>
      </c>
      <c r="H171" s="87">
        <v>9881.880733944954</v>
      </c>
      <c r="I171" s="87">
        <v>-9382.9670329670334</v>
      </c>
      <c r="J171" s="86">
        <v>0.1130952380952381</v>
      </c>
      <c r="K171" s="86">
        <v>0.19642857142857142</v>
      </c>
      <c r="L171" s="86">
        <v>0.28211586901763225</v>
      </c>
      <c r="M171" s="86">
        <v>0.22418136020151133</v>
      </c>
      <c r="N171" s="86">
        <v>0.6294642857142857</v>
      </c>
      <c r="O171" s="86">
        <v>0.47752808988764045</v>
      </c>
      <c r="P171" s="86">
        <v>0.3830275229357798</v>
      </c>
      <c r="Q171" s="86">
        <v>0.41149425287356323</v>
      </c>
    </row>
    <row r="172" spans="1:17" x14ac:dyDescent="0.4">
      <c r="A172" s="88">
        <v>169</v>
      </c>
      <c r="B172" s="85">
        <v>964.00000000000023</v>
      </c>
      <c r="C172" s="85">
        <v>5.7041420118343211</v>
      </c>
      <c r="D172" s="90">
        <v>1.8047337278106508</v>
      </c>
      <c r="E172" s="86">
        <v>0.42603550295857989</v>
      </c>
      <c r="F172" s="86">
        <v>0.34865293185419971</v>
      </c>
      <c r="G172" s="86">
        <v>0.14421553090332806</v>
      </c>
      <c r="H172" s="87">
        <v>9885.681818181818</v>
      </c>
      <c r="I172" s="87">
        <v>-9382.9670329670334</v>
      </c>
      <c r="J172" s="86">
        <v>0.11242603550295859</v>
      </c>
      <c r="K172" s="86">
        <v>0.20118343195266272</v>
      </c>
      <c r="L172" s="86">
        <v>0.28410513141426785</v>
      </c>
      <c r="M172" s="86">
        <v>0.2227784730913642</v>
      </c>
      <c r="N172" s="86">
        <v>0.63436123348017626</v>
      </c>
      <c r="O172" s="86">
        <v>0.47752808988764045</v>
      </c>
      <c r="P172" s="86">
        <v>0.38181818181818183</v>
      </c>
      <c r="Q172" s="86">
        <v>0.4132420091324201</v>
      </c>
    </row>
    <row r="173" spans="1:17" x14ac:dyDescent="0.4">
      <c r="A173" s="88">
        <v>170</v>
      </c>
      <c r="B173" s="85">
        <v>972.00000000000023</v>
      </c>
      <c r="C173" s="85">
        <v>5.7176470588235304</v>
      </c>
      <c r="D173" s="90">
        <v>1.8058823529411765</v>
      </c>
      <c r="E173" s="86">
        <v>0.42352941176470588</v>
      </c>
      <c r="F173" s="86">
        <v>0.34960629921259845</v>
      </c>
      <c r="G173" s="86">
        <v>0.14409448818897638</v>
      </c>
      <c r="H173" s="87">
        <v>9861.936936936936</v>
      </c>
      <c r="I173" s="87">
        <v>-9419.1256830601087</v>
      </c>
      <c r="J173" s="86">
        <v>0.11176470588235295</v>
      </c>
      <c r="K173" s="86">
        <v>0.2</v>
      </c>
      <c r="L173" s="86">
        <v>0.28376703841387857</v>
      </c>
      <c r="M173" s="86">
        <v>0.22304832713754646</v>
      </c>
      <c r="N173" s="86">
        <v>0.63755458515283847</v>
      </c>
      <c r="O173" s="86">
        <v>0.48333333333333334</v>
      </c>
      <c r="P173" s="86">
        <v>0.38513513513513514</v>
      </c>
      <c r="Q173" s="86">
        <v>0.41402714932126694</v>
      </c>
    </row>
    <row r="174" spans="1:17" x14ac:dyDescent="0.4">
      <c r="A174" s="88">
        <v>171</v>
      </c>
      <c r="B174" s="85">
        <v>979.70000000000027</v>
      </c>
      <c r="C174" s="85">
        <v>5.7292397660818732</v>
      </c>
      <c r="D174" s="90">
        <v>1.8070175438596492</v>
      </c>
      <c r="E174" s="86">
        <v>0.42105263157894735</v>
      </c>
      <c r="F174" s="86">
        <v>0.34949179046129791</v>
      </c>
      <c r="G174" s="86">
        <v>0.14308053166536355</v>
      </c>
      <c r="H174" s="87">
        <v>9861.0738255033557</v>
      </c>
      <c r="I174" s="87">
        <v>-9419.1256830601087</v>
      </c>
      <c r="J174" s="86">
        <v>0.1111111111111111</v>
      </c>
      <c r="K174" s="86">
        <v>0.19883040935672514</v>
      </c>
      <c r="L174" s="86">
        <v>0.28431372549019607</v>
      </c>
      <c r="M174" s="86">
        <v>0.22426470588235295</v>
      </c>
      <c r="N174" s="86">
        <v>0.64224137931034486</v>
      </c>
      <c r="O174" s="86">
        <v>0.47540983606557374</v>
      </c>
      <c r="P174" s="86">
        <v>0.38478747203579416</v>
      </c>
      <c r="Q174" s="86">
        <v>0.4157303370786517</v>
      </c>
    </row>
    <row r="175" spans="1:17" x14ac:dyDescent="0.4">
      <c r="A175" s="88">
        <v>172</v>
      </c>
      <c r="B175" s="85">
        <v>910.70000000000027</v>
      </c>
      <c r="C175" s="85">
        <v>5.2947674418604667</v>
      </c>
      <c r="D175" s="90">
        <v>1.8139534883720929</v>
      </c>
      <c r="E175" s="86">
        <v>0.41860465116279072</v>
      </c>
      <c r="F175" s="86">
        <v>0.34863813229571983</v>
      </c>
      <c r="G175" s="86">
        <v>0.14474708171206227</v>
      </c>
      <c r="H175" s="87">
        <v>9856.9196428571431</v>
      </c>
      <c r="I175" s="87">
        <v>-9600.5376344086017</v>
      </c>
      <c r="J175" s="86">
        <v>0.11627906976744186</v>
      </c>
      <c r="K175" s="86">
        <v>0.19767441860465115</v>
      </c>
      <c r="L175" s="86">
        <v>0.28223844282238442</v>
      </c>
      <c r="M175" s="86">
        <v>0.22384428223844283</v>
      </c>
      <c r="N175" s="86">
        <v>0.64224137931034486</v>
      </c>
      <c r="O175" s="86">
        <v>0.47826086956521741</v>
      </c>
      <c r="P175" s="86">
        <v>0.3861607142857143</v>
      </c>
      <c r="Q175" s="86">
        <v>0.4157303370786517</v>
      </c>
    </row>
    <row r="176" spans="1:17" x14ac:dyDescent="0.4">
      <c r="A176" s="88">
        <v>173</v>
      </c>
      <c r="B176" s="85">
        <v>907.70000000000027</v>
      </c>
      <c r="C176" s="85">
        <v>5.2468208092485566</v>
      </c>
      <c r="D176" s="90">
        <v>1.8150289017341041</v>
      </c>
      <c r="E176" s="86">
        <v>0.41618497109826591</v>
      </c>
      <c r="F176" s="86">
        <v>0.34799382716049382</v>
      </c>
      <c r="G176" s="86">
        <v>0.14506172839506173</v>
      </c>
      <c r="H176" s="87">
        <v>9857.8713968957873</v>
      </c>
      <c r="I176" s="87">
        <v>-9583.510638297872</v>
      </c>
      <c r="J176" s="86">
        <v>0.11560693641618497</v>
      </c>
      <c r="K176" s="86">
        <v>0.19653179190751446</v>
      </c>
      <c r="L176" s="86">
        <v>0.28331332533013204</v>
      </c>
      <c r="M176" s="86">
        <v>0.22448979591836735</v>
      </c>
      <c r="N176" s="86">
        <v>0.63983050847457623</v>
      </c>
      <c r="O176" s="86">
        <v>0.47593582887700536</v>
      </c>
      <c r="P176" s="86">
        <v>0.38580931263858093</v>
      </c>
      <c r="Q176" s="86">
        <v>0.41425389755011138</v>
      </c>
    </row>
    <row r="177" spans="1:17" x14ac:dyDescent="0.4">
      <c r="A177" s="88">
        <v>174</v>
      </c>
      <c r="B177" s="85">
        <v>905.10000000000025</v>
      </c>
      <c r="C177" s="85">
        <v>5.2017241379310359</v>
      </c>
      <c r="D177" s="90">
        <v>1.8160919540229885</v>
      </c>
      <c r="E177" s="86">
        <v>0.41379310344827586</v>
      </c>
      <c r="F177" s="86">
        <v>0.34689178818112049</v>
      </c>
      <c r="G177" s="86">
        <v>0.14504988488104376</v>
      </c>
      <c r="H177" s="87">
        <v>9862.6106194690274</v>
      </c>
      <c r="I177" s="87">
        <v>-9546.5608465608457</v>
      </c>
      <c r="J177" s="86">
        <v>0.11494252873563218</v>
      </c>
      <c r="K177" s="86">
        <v>0.19540229885057472</v>
      </c>
      <c r="L177" s="86">
        <v>0.28333333333333333</v>
      </c>
      <c r="M177" s="86">
        <v>0.22261904761904761</v>
      </c>
      <c r="N177" s="86">
        <v>0.6386554621848739</v>
      </c>
      <c r="O177" s="86">
        <v>0.47593582887700536</v>
      </c>
      <c r="P177" s="86">
        <v>0.38716814159292035</v>
      </c>
      <c r="Q177" s="86">
        <v>0.41241685144124168</v>
      </c>
    </row>
    <row r="178" spans="1:17" x14ac:dyDescent="0.4">
      <c r="A178" s="88">
        <v>175</v>
      </c>
      <c r="B178" s="85">
        <v>964.10000000000025</v>
      </c>
      <c r="C178" s="85">
        <v>5.5091428571428587</v>
      </c>
      <c r="D178" s="90">
        <v>1.8114285714285714</v>
      </c>
      <c r="E178" s="86">
        <v>0.41714285714285715</v>
      </c>
      <c r="F178" s="86">
        <v>0.34889058913542464</v>
      </c>
      <c r="G178" s="86">
        <v>0.14460596786534047</v>
      </c>
      <c r="H178" s="87">
        <v>9898.9035087719294</v>
      </c>
      <c r="I178" s="87">
        <v>-9546.5608465608457</v>
      </c>
      <c r="J178" s="86">
        <v>0.11428571428571428</v>
      </c>
      <c r="K178" s="86">
        <v>0.2</v>
      </c>
      <c r="L178" s="86">
        <v>0.28436018957345971</v>
      </c>
      <c r="M178" s="86">
        <v>0.22393364928909953</v>
      </c>
      <c r="N178" s="86">
        <v>0.64166666666666672</v>
      </c>
      <c r="O178" s="86">
        <v>0.48148148148148145</v>
      </c>
      <c r="P178" s="86">
        <v>0.38377192982456143</v>
      </c>
      <c r="Q178" s="86">
        <v>0.41501103752759383</v>
      </c>
    </row>
    <row r="179" spans="1:17" x14ac:dyDescent="0.4">
      <c r="A179" s="88">
        <v>176</v>
      </c>
      <c r="B179" s="85">
        <v>964.10000000000025</v>
      </c>
      <c r="C179" s="85">
        <v>5.4778409090909106</v>
      </c>
      <c r="D179" s="90">
        <v>1.8125</v>
      </c>
      <c r="E179" s="86">
        <v>0.41477272727272729</v>
      </c>
      <c r="F179" s="86">
        <v>0.34862385321100919</v>
      </c>
      <c r="G179" s="86">
        <v>0.14449541284403669</v>
      </c>
      <c r="H179" s="87">
        <v>9898.9035087719294</v>
      </c>
      <c r="I179" s="87">
        <v>-9546.5608465608457</v>
      </c>
      <c r="J179" s="86">
        <v>0.11363636363636363</v>
      </c>
      <c r="K179" s="86">
        <v>0.19886363636363635</v>
      </c>
      <c r="L179" s="86">
        <v>0.28402366863905326</v>
      </c>
      <c r="M179" s="86">
        <v>0.22366863905325443</v>
      </c>
      <c r="N179" s="86">
        <v>0.64166666666666672</v>
      </c>
      <c r="O179" s="86">
        <v>0.48148148148148145</v>
      </c>
      <c r="P179" s="86">
        <v>0.38377192982456143</v>
      </c>
      <c r="Q179" s="86">
        <v>0.41501103752759383</v>
      </c>
    </row>
    <row r="180" spans="1:17" x14ac:dyDescent="0.4">
      <c r="A180" s="88">
        <v>177</v>
      </c>
      <c r="B180" s="85">
        <v>943.60000000000025</v>
      </c>
      <c r="C180" s="85">
        <v>5.331073446327685</v>
      </c>
      <c r="D180" s="90">
        <v>1.8192090395480225</v>
      </c>
      <c r="E180" s="86">
        <v>0.41242937853107342</v>
      </c>
      <c r="F180" s="86">
        <v>0.3470007593014427</v>
      </c>
      <c r="G180" s="86">
        <v>0.14350797266514806</v>
      </c>
      <c r="H180" s="87">
        <v>9916.6301969365431</v>
      </c>
      <c r="I180" s="87">
        <v>-9546.5608465608457</v>
      </c>
      <c r="J180" s="86">
        <v>0.11299435028248588</v>
      </c>
      <c r="K180" s="86">
        <v>0.19774011299435029</v>
      </c>
      <c r="L180" s="86">
        <v>0.28337236533957844</v>
      </c>
      <c r="M180" s="86">
        <v>0.22131147540983606</v>
      </c>
      <c r="N180" s="86">
        <v>0.64049586776859502</v>
      </c>
      <c r="O180" s="86">
        <v>0.48148148148148145</v>
      </c>
      <c r="P180" s="86">
        <v>0.38293216630196936</v>
      </c>
      <c r="Q180" s="86">
        <v>0.41447368421052633</v>
      </c>
    </row>
    <row r="181" spans="1:17" x14ac:dyDescent="0.4">
      <c r="A181" s="88">
        <v>178</v>
      </c>
      <c r="B181" s="85">
        <v>940.20000000000027</v>
      </c>
      <c r="C181" s="85">
        <v>5.2820224719101141</v>
      </c>
      <c r="D181" s="90">
        <v>1.8202247191011236</v>
      </c>
      <c r="E181" s="86">
        <v>0.4101123595505618</v>
      </c>
      <c r="F181" s="86">
        <v>0.34664657121326298</v>
      </c>
      <c r="G181" s="86">
        <v>0.14393368500376791</v>
      </c>
      <c r="H181" s="87">
        <v>9904.1304347826081</v>
      </c>
      <c r="I181" s="87">
        <v>-9529.8429319371735</v>
      </c>
      <c r="J181" s="86">
        <v>0.11235955056179775</v>
      </c>
      <c r="K181" s="86">
        <v>0.19662921348314608</v>
      </c>
      <c r="L181" s="86">
        <v>0.28703703703703703</v>
      </c>
      <c r="M181" s="86">
        <v>0.22106481481481483</v>
      </c>
      <c r="N181" s="86">
        <v>0.63709677419354838</v>
      </c>
      <c r="O181" s="86">
        <v>0.47643979057591623</v>
      </c>
      <c r="P181" s="86">
        <v>0.38260869565217392</v>
      </c>
      <c r="Q181" s="86">
        <v>0.41176470588235292</v>
      </c>
    </row>
    <row r="182" spans="1:17" x14ac:dyDescent="0.4">
      <c r="A182" s="88">
        <v>179</v>
      </c>
      <c r="B182" s="85">
        <v>979.70000000000027</v>
      </c>
      <c r="C182" s="85">
        <v>5.4731843575419008</v>
      </c>
      <c r="D182" s="90">
        <v>1.8156424581005586</v>
      </c>
      <c r="E182" s="86">
        <v>0.41340782122905029</v>
      </c>
      <c r="F182" s="86">
        <v>0.34906367041198499</v>
      </c>
      <c r="G182" s="86">
        <v>0.14382022471910114</v>
      </c>
      <c r="H182" s="87">
        <v>9870.3862660944214</v>
      </c>
      <c r="I182" s="87">
        <v>-9507.2916666666661</v>
      </c>
      <c r="J182" s="86">
        <v>0.11173184357541899</v>
      </c>
      <c r="K182" s="86">
        <v>0.2011173184357542</v>
      </c>
      <c r="L182" s="86">
        <v>0.29128440366972475</v>
      </c>
      <c r="M182" s="86">
        <v>0.22018348623853212</v>
      </c>
      <c r="N182" s="86">
        <v>0.63779527559055116</v>
      </c>
      <c r="O182" s="86">
        <v>0.47916666666666669</v>
      </c>
      <c r="P182" s="86">
        <v>0.38197424892703863</v>
      </c>
      <c r="Q182" s="86">
        <v>0.41468682505399568</v>
      </c>
    </row>
    <row r="183" spans="1:17" x14ac:dyDescent="0.4">
      <c r="A183" s="88">
        <v>180</v>
      </c>
      <c r="B183" s="85">
        <v>1040.7000000000003</v>
      </c>
      <c r="C183" s="85">
        <v>5.7816666666666681</v>
      </c>
      <c r="D183" s="90">
        <v>1.8111111111111111</v>
      </c>
      <c r="E183" s="86">
        <v>0.41666666666666669</v>
      </c>
      <c r="F183" s="86">
        <v>0.34996276991809383</v>
      </c>
      <c r="G183" s="86">
        <v>0.14370811615785556</v>
      </c>
      <c r="H183" s="87">
        <v>9939.5744680851058</v>
      </c>
      <c r="I183" s="87">
        <v>-9520.2072538860102</v>
      </c>
      <c r="J183" s="86">
        <v>0.1111111111111111</v>
      </c>
      <c r="K183" s="86">
        <v>0.20555555555555555</v>
      </c>
      <c r="L183" s="86">
        <v>0.29090909090909089</v>
      </c>
      <c r="M183" s="86">
        <v>0.21818181818181817</v>
      </c>
      <c r="N183" s="86">
        <v>0.640625</v>
      </c>
      <c r="O183" s="86">
        <v>0.47916666666666669</v>
      </c>
      <c r="P183" s="86">
        <v>0.3851063829787234</v>
      </c>
      <c r="Q183" s="86">
        <v>0.41845493562231761</v>
      </c>
    </row>
    <row r="184" spans="1:17" x14ac:dyDescent="0.4">
      <c r="A184" s="88">
        <v>181</v>
      </c>
      <c r="B184" s="85">
        <v>1052.4000000000003</v>
      </c>
      <c r="C184" s="85">
        <v>5.81436464088398</v>
      </c>
      <c r="D184" s="90">
        <v>1.8121546961325967</v>
      </c>
      <c r="E184" s="86">
        <v>0.4143646408839779</v>
      </c>
      <c r="F184" s="86">
        <v>0.35085122131754254</v>
      </c>
      <c r="G184" s="86">
        <v>0.14359733530717986</v>
      </c>
      <c r="H184" s="87">
        <v>9925.7383966244724</v>
      </c>
      <c r="I184" s="87">
        <v>-9512.3711340206191</v>
      </c>
      <c r="J184" s="86">
        <v>0.11049723756906077</v>
      </c>
      <c r="K184" s="86">
        <v>0.20441988950276244</v>
      </c>
      <c r="L184" s="86">
        <v>0.29166666666666669</v>
      </c>
      <c r="M184" s="86">
        <v>0.21734234234234234</v>
      </c>
      <c r="N184" s="86">
        <v>0.64478764478764483</v>
      </c>
      <c r="O184" s="86">
        <v>0.48186528497409326</v>
      </c>
      <c r="P184" s="86">
        <v>0.38185654008438819</v>
      </c>
      <c r="Q184" s="86">
        <v>0.41791044776119401</v>
      </c>
    </row>
    <row r="185" spans="1:17" x14ac:dyDescent="0.4">
      <c r="A185" s="88">
        <v>182</v>
      </c>
      <c r="B185" s="85">
        <v>1068.5000000000002</v>
      </c>
      <c r="C185" s="85">
        <v>5.8708791208791222</v>
      </c>
      <c r="D185" s="90">
        <v>1.8076923076923077</v>
      </c>
      <c r="E185" s="86">
        <v>0.4175824175824176</v>
      </c>
      <c r="F185" s="86">
        <v>0.35172921265636498</v>
      </c>
      <c r="G185" s="86">
        <v>0.14348785871964681</v>
      </c>
      <c r="H185" s="87">
        <v>9917.1548117154816</v>
      </c>
      <c r="I185" s="87">
        <v>-9525.1282051282051</v>
      </c>
      <c r="J185" s="86">
        <v>0.10989010989010989</v>
      </c>
      <c r="K185" s="86">
        <v>0.2032967032967033</v>
      </c>
      <c r="L185" s="86">
        <v>0.29464285714285715</v>
      </c>
      <c r="M185" s="86">
        <v>0.21651785714285715</v>
      </c>
      <c r="N185" s="86">
        <v>0.64772727272727271</v>
      </c>
      <c r="O185" s="86">
        <v>0.47938144329896909</v>
      </c>
      <c r="P185" s="86">
        <v>0.38284518828451886</v>
      </c>
      <c r="Q185" s="86">
        <v>0.4173728813559322</v>
      </c>
    </row>
    <row r="186" spans="1:17" x14ac:dyDescent="0.4">
      <c r="A186" s="88">
        <v>183</v>
      </c>
      <c r="B186" s="85">
        <v>1126.0000000000002</v>
      </c>
      <c r="C186" s="85">
        <v>6.1530054644808754</v>
      </c>
      <c r="D186" s="90">
        <v>1.8032786885245902</v>
      </c>
      <c r="E186" s="86">
        <v>0.42076502732240439</v>
      </c>
      <c r="F186" s="86">
        <v>0.35238095238095241</v>
      </c>
      <c r="G186" s="86">
        <v>0.14285714285714285</v>
      </c>
      <c r="H186" s="87">
        <v>9988.3575883575886</v>
      </c>
      <c r="I186" s="87">
        <v>-9525.1282051282051</v>
      </c>
      <c r="J186" s="86">
        <v>0.10928961748633879</v>
      </c>
      <c r="K186" s="86">
        <v>0.20765027322404372</v>
      </c>
      <c r="L186" s="86">
        <v>0.29490022172949004</v>
      </c>
      <c r="M186" s="86">
        <v>0.21507760532150777</v>
      </c>
      <c r="N186" s="86">
        <v>0.65037593984962405</v>
      </c>
      <c r="O186" s="86">
        <v>0.47938144329896909</v>
      </c>
      <c r="P186" s="86">
        <v>0.38461538461538464</v>
      </c>
      <c r="Q186" s="86">
        <v>0.41772151898734178</v>
      </c>
    </row>
    <row r="187" spans="1:17" x14ac:dyDescent="0.4">
      <c r="A187" s="88">
        <v>184</v>
      </c>
      <c r="B187" s="85">
        <v>1113.5000000000002</v>
      </c>
      <c r="C187" s="85">
        <v>6.0516304347826102</v>
      </c>
      <c r="D187" s="90">
        <v>1.8043478260869565</v>
      </c>
      <c r="E187" s="86">
        <v>0.41847826086956524</v>
      </c>
      <c r="F187" s="86">
        <v>0.35182481751824818</v>
      </c>
      <c r="G187" s="86">
        <v>0.14233576642335766</v>
      </c>
      <c r="H187" s="87">
        <v>9984.232365145228</v>
      </c>
      <c r="I187" s="87">
        <v>-9525.1282051282051</v>
      </c>
      <c r="J187" s="86">
        <v>0.10869565217391304</v>
      </c>
      <c r="K187" s="86">
        <v>0.20652173913043478</v>
      </c>
      <c r="L187" s="86">
        <v>0.29547960308710031</v>
      </c>
      <c r="M187" s="86">
        <v>0.21499448732083792</v>
      </c>
      <c r="N187" s="86">
        <v>0.64552238805970152</v>
      </c>
      <c r="O187" s="86">
        <v>0.47692307692307695</v>
      </c>
      <c r="P187" s="86">
        <v>0.38381742738589214</v>
      </c>
      <c r="Q187" s="86">
        <v>0.41596638655462187</v>
      </c>
    </row>
    <row r="188" spans="1:17" x14ac:dyDescent="0.4">
      <c r="A188" s="88">
        <v>185</v>
      </c>
      <c r="B188" s="85">
        <v>1124.2000000000003</v>
      </c>
      <c r="C188" s="85">
        <v>6.0767567567567582</v>
      </c>
      <c r="D188" s="90">
        <v>1.8</v>
      </c>
      <c r="E188" s="86">
        <v>0.42162162162162165</v>
      </c>
      <c r="F188" s="86">
        <v>0.35294117647058826</v>
      </c>
      <c r="G188" s="86">
        <v>0.14161220043572983</v>
      </c>
      <c r="H188" s="87">
        <v>9947.7366255144025</v>
      </c>
      <c r="I188" s="87">
        <v>-9525.1282051282051</v>
      </c>
      <c r="J188" s="86">
        <v>0.10810810810810811</v>
      </c>
      <c r="K188" s="86">
        <v>0.20540540540540542</v>
      </c>
      <c r="L188" s="86">
        <v>0.2964989059080963</v>
      </c>
      <c r="M188" s="86">
        <v>0.21444201312910285</v>
      </c>
      <c r="N188" s="86">
        <v>0.64944649446494462</v>
      </c>
      <c r="O188" s="86">
        <v>0.47959183673469385</v>
      </c>
      <c r="P188" s="86">
        <v>0.38271604938271603</v>
      </c>
      <c r="Q188" s="86">
        <v>0.41631799163179917</v>
      </c>
    </row>
    <row r="189" spans="1:17" x14ac:dyDescent="0.4">
      <c r="A189" s="88">
        <v>186</v>
      </c>
      <c r="B189" s="85">
        <v>1155.3000000000002</v>
      </c>
      <c r="C189" s="85">
        <v>6.2112903225806457</v>
      </c>
      <c r="D189" s="90">
        <v>1.7956989247311828</v>
      </c>
      <c r="E189" s="86">
        <v>0.42473118279569894</v>
      </c>
      <c r="F189" s="86">
        <v>0.35349172066234702</v>
      </c>
      <c r="G189" s="86">
        <v>0.14254859611231102</v>
      </c>
      <c r="H189" s="87">
        <v>9971.8940936863546</v>
      </c>
      <c r="I189" s="87">
        <v>-9542.424242424242</v>
      </c>
      <c r="J189" s="86">
        <v>0.10752688172043011</v>
      </c>
      <c r="K189" s="86">
        <v>0.20430107526881722</v>
      </c>
      <c r="L189" s="86">
        <v>0.29697624190064797</v>
      </c>
      <c r="M189" s="86">
        <v>0.21274298056155508</v>
      </c>
      <c r="N189" s="86">
        <v>0.65090909090909088</v>
      </c>
      <c r="O189" s="86">
        <v>0.48223350253807107</v>
      </c>
      <c r="P189" s="86">
        <v>0.38289205702647655</v>
      </c>
      <c r="Q189" s="86">
        <v>0.4170124481327801</v>
      </c>
    </row>
    <row r="190" spans="1:17" x14ac:dyDescent="0.4">
      <c r="A190" s="88">
        <v>187</v>
      </c>
      <c r="B190" s="85">
        <v>1165.5000000000002</v>
      </c>
      <c r="C190" s="85">
        <v>6.2326203208556166</v>
      </c>
      <c r="D190" s="90">
        <v>1.7914438502673797</v>
      </c>
      <c r="E190" s="86">
        <v>0.42780748663101603</v>
      </c>
      <c r="F190" s="86">
        <v>0.35386819484240689</v>
      </c>
      <c r="G190" s="86">
        <v>0.14326647564469913</v>
      </c>
      <c r="H190" s="87">
        <v>9968.0161943319836</v>
      </c>
      <c r="I190" s="87">
        <v>-9547</v>
      </c>
      <c r="J190" s="86">
        <v>0.10695187165775401</v>
      </c>
      <c r="K190" s="86">
        <v>0.20320855614973263</v>
      </c>
      <c r="L190" s="86">
        <v>0.29796355841371919</v>
      </c>
      <c r="M190" s="86">
        <v>0.21221864951768488</v>
      </c>
      <c r="N190" s="86">
        <v>0.65107913669064743</v>
      </c>
      <c r="O190" s="86">
        <v>0.48484848484848486</v>
      </c>
      <c r="P190" s="86">
        <v>0.38461538461538464</v>
      </c>
      <c r="Q190" s="86">
        <v>0.41528925619834711</v>
      </c>
    </row>
    <row r="191" spans="1:17" x14ac:dyDescent="0.4">
      <c r="A191" s="88">
        <v>188</v>
      </c>
      <c r="B191" s="85">
        <v>1173.8000000000002</v>
      </c>
      <c r="C191" s="85">
        <v>6.2436170212765969</v>
      </c>
      <c r="D191" s="90">
        <v>1.7925531914893618</v>
      </c>
      <c r="E191" s="86">
        <v>0.42553191489361702</v>
      </c>
      <c r="F191" s="86">
        <v>0.35424091233071986</v>
      </c>
      <c r="G191" s="86">
        <v>0.14255167498218105</v>
      </c>
      <c r="H191" s="87">
        <v>9953.7223340040237</v>
      </c>
      <c r="I191" s="87">
        <v>-9547</v>
      </c>
      <c r="J191" s="86">
        <v>0.10638297872340426</v>
      </c>
      <c r="K191" s="86">
        <v>0.20212765957446807</v>
      </c>
      <c r="L191" s="86">
        <v>0.29680851063829788</v>
      </c>
      <c r="M191" s="86">
        <v>0.21063829787234042</v>
      </c>
      <c r="N191" s="86">
        <v>0.6523297491039427</v>
      </c>
      <c r="O191" s="86">
        <v>0.48484848484848486</v>
      </c>
      <c r="P191" s="86">
        <v>0.38430583501006038</v>
      </c>
      <c r="Q191" s="86">
        <v>0.41683778234086244</v>
      </c>
    </row>
    <row r="192" spans="1:17" x14ac:dyDescent="0.4">
      <c r="A192" s="88">
        <v>189</v>
      </c>
      <c r="B192" s="85">
        <v>1171.9000000000001</v>
      </c>
      <c r="C192" s="85">
        <v>6.200529100529101</v>
      </c>
      <c r="D192" s="90">
        <v>1.7936507936507937</v>
      </c>
      <c r="E192" s="86">
        <v>0.42328042328042326</v>
      </c>
      <c r="F192" s="86">
        <v>0.35364989369241673</v>
      </c>
      <c r="G192" s="86">
        <v>0.14245216158752658</v>
      </c>
      <c r="H192" s="87">
        <v>9948.2965931863728</v>
      </c>
      <c r="I192" s="87">
        <v>-9512.4378109452737</v>
      </c>
      <c r="J192" s="86">
        <v>0.10582010582010581</v>
      </c>
      <c r="K192" s="86">
        <v>0.20105820105820105</v>
      </c>
      <c r="L192" s="86">
        <v>0.29852320675105487</v>
      </c>
      <c r="M192" s="86">
        <v>0.20991561181434598</v>
      </c>
      <c r="N192" s="86">
        <v>0.65017667844522964</v>
      </c>
      <c r="O192" s="86">
        <v>0.48241206030150752</v>
      </c>
      <c r="P192" s="86">
        <v>0.38276553106212424</v>
      </c>
      <c r="Q192" s="86">
        <v>0.41632653061224489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C04A2-A42E-4246-B652-F1FB91E4EDA5}">
  <sheetPr codeName="Sheet6"/>
  <dimension ref="A1:Q218"/>
  <sheetViews>
    <sheetView workbookViewId="0"/>
  </sheetViews>
  <sheetFormatPr defaultColWidth="10.75" defaultRowHeight="18.75" x14ac:dyDescent="0.4"/>
  <cols>
    <col min="1" max="1" width="10.75" style="88"/>
    <col min="2" max="3" width="10.75" style="85"/>
    <col min="4" max="4" width="10.75" style="90"/>
    <col min="5" max="7" width="10.75" style="86"/>
    <col min="8" max="9" width="10.75" style="87"/>
    <col min="10" max="17" width="10.75" style="86"/>
    <col min="18" max="16384" width="10.75" style="89"/>
  </cols>
  <sheetData>
    <row r="1" spans="1:17" x14ac:dyDescent="0.4">
      <c r="A1" s="89" t="s">
        <v>165</v>
      </c>
      <c r="B1" s="89" t="s">
        <v>165</v>
      </c>
      <c r="C1" s="89" t="s">
        <v>165</v>
      </c>
      <c r="D1" s="90" t="s">
        <v>165</v>
      </c>
      <c r="E1" s="89" t="s">
        <v>165</v>
      </c>
      <c r="F1" s="89" t="s">
        <v>165</v>
      </c>
      <c r="G1" s="89" t="s">
        <v>165</v>
      </c>
      <c r="H1" s="89" t="s">
        <v>165</v>
      </c>
      <c r="I1" s="89" t="s">
        <v>165</v>
      </c>
      <c r="J1" s="89" t="s">
        <v>165</v>
      </c>
      <c r="K1" s="89" t="s">
        <v>165</v>
      </c>
      <c r="L1" s="89" t="s">
        <v>165</v>
      </c>
      <c r="M1" s="89" t="s">
        <v>165</v>
      </c>
      <c r="N1" s="89" t="s">
        <v>165</v>
      </c>
      <c r="O1" s="89" t="s">
        <v>165</v>
      </c>
      <c r="P1" s="89" t="s">
        <v>165</v>
      </c>
      <c r="Q1" s="89" t="s">
        <v>165</v>
      </c>
    </row>
    <row r="2" spans="1:17" x14ac:dyDescent="0.4">
      <c r="A2" s="89" t="s">
        <v>9</v>
      </c>
      <c r="B2" s="89" t="s">
        <v>6</v>
      </c>
      <c r="C2" s="89" t="s">
        <v>7</v>
      </c>
      <c r="D2" s="90" t="s">
        <v>16</v>
      </c>
      <c r="E2" s="89" t="s">
        <v>15</v>
      </c>
      <c r="F2" s="89" t="s">
        <v>167</v>
      </c>
      <c r="G2" s="89" t="s">
        <v>166</v>
      </c>
      <c r="H2" s="89" t="s">
        <v>5</v>
      </c>
      <c r="I2" s="89" t="s">
        <v>17</v>
      </c>
      <c r="J2" s="89" t="s">
        <v>18</v>
      </c>
      <c r="K2" s="89" t="s">
        <v>159</v>
      </c>
      <c r="L2" s="89" t="s">
        <v>129</v>
      </c>
      <c r="M2" s="89" t="s">
        <v>124</v>
      </c>
      <c r="N2" s="89" t="s">
        <v>132</v>
      </c>
      <c r="O2" s="89" t="s">
        <v>168</v>
      </c>
      <c r="P2" s="89" t="s">
        <v>164</v>
      </c>
      <c r="Q2" s="89" t="s">
        <v>149</v>
      </c>
    </row>
    <row r="3" spans="1:17" x14ac:dyDescent="0.4">
      <c r="A3" s="88">
        <v>0</v>
      </c>
      <c r="B3" s="85">
        <v>0</v>
      </c>
    </row>
    <row r="4" spans="1:17" x14ac:dyDescent="0.4">
      <c r="A4" s="88">
        <v>1</v>
      </c>
      <c r="B4" s="85">
        <v>0</v>
      </c>
      <c r="C4" s="85">
        <v>0</v>
      </c>
      <c r="D4" s="90">
        <v>2</v>
      </c>
      <c r="E4" s="86">
        <v>0.33333333333333331</v>
      </c>
      <c r="F4" s="86">
        <v>0.33333333333333331</v>
      </c>
      <c r="G4" s="86">
        <v>0.33333333333333331</v>
      </c>
      <c r="H4" s="87">
        <v>8200</v>
      </c>
      <c r="I4" s="87">
        <v>-8200</v>
      </c>
      <c r="J4" s="86">
        <v>0</v>
      </c>
      <c r="K4" s="86">
        <v>0</v>
      </c>
      <c r="P4" s="86">
        <v>0</v>
      </c>
      <c r="Q4" s="86">
        <v>0.5</v>
      </c>
    </row>
    <row r="5" spans="1:17" x14ac:dyDescent="0.4">
      <c r="A5" s="88">
        <v>2</v>
      </c>
      <c r="B5" s="85">
        <v>0</v>
      </c>
      <c r="C5" s="85">
        <v>0</v>
      </c>
      <c r="D5" s="90">
        <v>2</v>
      </c>
      <c r="E5" s="86">
        <v>0.33333333333333331</v>
      </c>
      <c r="F5" s="86">
        <v>0.375</v>
      </c>
      <c r="G5" s="86">
        <v>0.29166666666666669</v>
      </c>
      <c r="H5" s="87">
        <v>7766.666666666667</v>
      </c>
      <c r="I5" s="87">
        <v>-5857.1428571428569</v>
      </c>
      <c r="J5" s="86">
        <v>0.16666666666666666</v>
      </c>
      <c r="K5" s="86">
        <v>0.16666666666666666</v>
      </c>
      <c r="P5" s="86">
        <v>0.1111111111111111</v>
      </c>
      <c r="Q5" s="86">
        <v>0.7142857142857143</v>
      </c>
    </row>
    <row r="6" spans="1:17" x14ac:dyDescent="0.4">
      <c r="A6" s="88">
        <v>3</v>
      </c>
      <c r="B6" s="85">
        <v>3.5527136788005009E-15</v>
      </c>
      <c r="C6" s="85">
        <v>3.9474596431116675E-16</v>
      </c>
      <c r="D6" s="90">
        <v>2</v>
      </c>
      <c r="E6" s="86">
        <v>0.33333333333333331</v>
      </c>
      <c r="F6" s="86">
        <v>0.35897435897435898</v>
      </c>
      <c r="G6" s="86">
        <v>0.25641025641025639</v>
      </c>
      <c r="H6" s="87">
        <v>8857.1428571428569</v>
      </c>
      <c r="I6" s="87">
        <v>-8100</v>
      </c>
      <c r="J6" s="86">
        <v>0.22222222222222221</v>
      </c>
      <c r="K6" s="86">
        <v>0.22222222222222221</v>
      </c>
      <c r="P6" s="86">
        <v>0.21428571428571427</v>
      </c>
      <c r="Q6" s="86">
        <v>0.5</v>
      </c>
    </row>
    <row r="7" spans="1:17" x14ac:dyDescent="0.4">
      <c r="A7" s="88">
        <v>4</v>
      </c>
      <c r="B7" s="85">
        <v>0</v>
      </c>
      <c r="C7" s="85">
        <v>0</v>
      </c>
      <c r="D7" s="90">
        <v>2</v>
      </c>
      <c r="E7" s="86">
        <v>0.33333333333333331</v>
      </c>
      <c r="F7" s="86">
        <v>0.33333333333333331</v>
      </c>
      <c r="G7" s="86">
        <v>0.24561403508771928</v>
      </c>
      <c r="H7" s="87">
        <v>10963.157894736842</v>
      </c>
      <c r="I7" s="87">
        <v>-8378.5714285714294</v>
      </c>
      <c r="J7" s="86">
        <v>0.33333333333333331</v>
      </c>
      <c r="K7" s="86">
        <v>0.33333333333333331</v>
      </c>
      <c r="P7" s="86">
        <v>0.21052631578947367</v>
      </c>
      <c r="Q7" s="86">
        <v>0.44444444444444442</v>
      </c>
    </row>
    <row r="8" spans="1:17" x14ac:dyDescent="0.4">
      <c r="A8" s="88">
        <v>5</v>
      </c>
      <c r="B8" s="85">
        <v>0</v>
      </c>
      <c r="C8" s="85">
        <v>0</v>
      </c>
      <c r="D8" s="90">
        <v>2</v>
      </c>
      <c r="E8" s="86">
        <v>0.33333333333333331</v>
      </c>
      <c r="F8" s="86">
        <v>0.33333333333333331</v>
      </c>
      <c r="G8" s="86">
        <v>0.24358974358974358</v>
      </c>
      <c r="H8" s="87">
        <v>10703.846153846154</v>
      </c>
      <c r="I8" s="87">
        <v>-9015.78947368421</v>
      </c>
      <c r="J8" s="86">
        <v>0.33333333333333331</v>
      </c>
      <c r="K8" s="86">
        <v>0.33333333333333331</v>
      </c>
      <c r="P8" s="86">
        <v>0.23076923076923078</v>
      </c>
      <c r="Q8" s="86">
        <v>0.4</v>
      </c>
    </row>
    <row r="9" spans="1:17" x14ac:dyDescent="0.4">
      <c r="A9" s="88">
        <v>6</v>
      </c>
      <c r="B9" s="85">
        <v>0</v>
      </c>
      <c r="C9" s="85">
        <v>0</v>
      </c>
      <c r="D9" s="90">
        <v>2</v>
      </c>
      <c r="E9" s="86">
        <v>0.33333333333333331</v>
      </c>
      <c r="F9" s="86">
        <v>0.33333333333333331</v>
      </c>
      <c r="G9" s="86">
        <v>0.25</v>
      </c>
      <c r="H9" s="87">
        <v>11939.285714285714</v>
      </c>
      <c r="I9" s="87">
        <v>-10823.809523809523</v>
      </c>
      <c r="J9" s="86">
        <v>0.33333333333333331</v>
      </c>
      <c r="K9" s="86">
        <v>0.33333333333333331</v>
      </c>
      <c r="P9" s="86">
        <v>0.21428571428571427</v>
      </c>
      <c r="Q9" s="86">
        <v>0.40740740740740738</v>
      </c>
    </row>
    <row r="10" spans="1:17" x14ac:dyDescent="0.4">
      <c r="A10" s="88">
        <v>7</v>
      </c>
      <c r="B10" s="85">
        <v>0</v>
      </c>
      <c r="C10" s="85">
        <v>0</v>
      </c>
      <c r="D10" s="90">
        <v>2</v>
      </c>
      <c r="E10" s="86">
        <v>0.33333333333333331</v>
      </c>
      <c r="F10" s="86">
        <v>0.33333333333333331</v>
      </c>
      <c r="G10" s="86">
        <v>0.25714285714285712</v>
      </c>
      <c r="H10" s="87">
        <v>10805.714285714286</v>
      </c>
      <c r="I10" s="87">
        <v>-9748.1481481481478</v>
      </c>
      <c r="J10" s="86">
        <v>0.2857142857142857</v>
      </c>
      <c r="K10" s="86">
        <v>0.2857142857142857</v>
      </c>
      <c r="P10" s="86">
        <v>0.2</v>
      </c>
      <c r="Q10" s="86">
        <v>0.35294117647058826</v>
      </c>
    </row>
    <row r="11" spans="1:17" x14ac:dyDescent="0.4">
      <c r="A11" s="88">
        <v>8</v>
      </c>
      <c r="B11" s="85">
        <v>0</v>
      </c>
      <c r="C11" s="85">
        <v>0</v>
      </c>
      <c r="D11" s="90">
        <v>2</v>
      </c>
      <c r="E11" s="86">
        <v>0.33333333333333331</v>
      </c>
      <c r="F11" s="86">
        <v>0.31782945736434109</v>
      </c>
      <c r="G11" s="86">
        <v>0.24031007751937986</v>
      </c>
      <c r="H11" s="87">
        <v>10785.365853658537</v>
      </c>
      <c r="I11" s="87">
        <v>-10167.741935483871</v>
      </c>
      <c r="J11" s="86">
        <v>0.29166666666666669</v>
      </c>
      <c r="K11" s="86">
        <v>0.29166666666666669</v>
      </c>
      <c r="P11" s="86">
        <v>0.21951219512195122</v>
      </c>
      <c r="Q11" s="86">
        <v>0.2857142857142857</v>
      </c>
    </row>
    <row r="12" spans="1:17" x14ac:dyDescent="0.4">
      <c r="A12" s="88">
        <v>9</v>
      </c>
      <c r="B12" s="85">
        <v>0</v>
      </c>
      <c r="C12" s="85">
        <v>0</v>
      </c>
      <c r="D12" s="90">
        <v>2</v>
      </c>
      <c r="E12" s="86">
        <v>0.33333333333333331</v>
      </c>
      <c r="F12" s="86">
        <v>0.30065359477124182</v>
      </c>
      <c r="G12" s="86">
        <v>0.22875816993464052</v>
      </c>
      <c r="H12" s="87">
        <v>10786.95652173913</v>
      </c>
      <c r="I12" s="87">
        <v>-10320</v>
      </c>
      <c r="J12" s="86">
        <v>0.29629629629629628</v>
      </c>
      <c r="K12" s="86">
        <v>0.29629629629629628</v>
      </c>
      <c r="P12" s="86">
        <v>0.21739130434782608</v>
      </c>
      <c r="Q12" s="86">
        <v>0.28000000000000003</v>
      </c>
    </row>
    <row r="13" spans="1:17" x14ac:dyDescent="0.4">
      <c r="A13" s="88">
        <v>10</v>
      </c>
      <c r="B13" s="85">
        <v>0</v>
      </c>
      <c r="C13" s="85">
        <v>0</v>
      </c>
      <c r="D13" s="90">
        <v>2</v>
      </c>
      <c r="E13" s="86">
        <v>0.33333333333333331</v>
      </c>
      <c r="F13" s="86">
        <v>0.28735632183908044</v>
      </c>
      <c r="G13" s="86">
        <v>0.22413793103448276</v>
      </c>
      <c r="H13" s="87">
        <v>11148</v>
      </c>
      <c r="I13" s="87">
        <v>-10830.76923076923</v>
      </c>
      <c r="J13" s="86">
        <v>0.3</v>
      </c>
      <c r="K13" s="86">
        <v>0.3</v>
      </c>
      <c r="P13" s="86">
        <v>0.2</v>
      </c>
      <c r="Q13" s="86">
        <v>0.2807017543859649</v>
      </c>
    </row>
    <row r="14" spans="1:17" x14ac:dyDescent="0.4">
      <c r="A14" s="88">
        <v>11</v>
      </c>
      <c r="B14" s="85">
        <v>1.7763568394002505E-15</v>
      </c>
      <c r="C14" s="85">
        <v>5.3828995133340925E-17</v>
      </c>
      <c r="D14" s="90">
        <v>2</v>
      </c>
      <c r="E14" s="86">
        <v>0.33333333333333331</v>
      </c>
      <c r="F14" s="86">
        <v>0.29107981220657275</v>
      </c>
      <c r="G14" s="86">
        <v>0.20657276995305165</v>
      </c>
      <c r="H14" s="87">
        <v>11622.58064516129</v>
      </c>
      <c r="I14" s="87">
        <v>-10536.363636363636</v>
      </c>
      <c r="J14" s="86">
        <v>0.27272727272727271</v>
      </c>
      <c r="K14" s="86">
        <v>0.27272727272727271</v>
      </c>
      <c r="P14" s="86">
        <v>0.27419354838709675</v>
      </c>
      <c r="Q14" s="86">
        <v>0.31428571428571428</v>
      </c>
    </row>
    <row r="15" spans="1:17" x14ac:dyDescent="0.4">
      <c r="A15" s="88">
        <v>12</v>
      </c>
      <c r="B15" s="85">
        <v>7.1054273576010019E-15</v>
      </c>
      <c r="C15" s="85">
        <v>1.9737298215558337E-16</v>
      </c>
      <c r="D15" s="90">
        <v>2</v>
      </c>
      <c r="E15" s="86">
        <v>0.33333333333333331</v>
      </c>
      <c r="F15" s="86">
        <v>0.29385964912280704</v>
      </c>
      <c r="G15" s="86">
        <v>0.20175438596491227</v>
      </c>
      <c r="H15" s="87">
        <v>11543.283582089553</v>
      </c>
      <c r="I15" s="87">
        <v>-10513.04347826087</v>
      </c>
      <c r="J15" s="86">
        <v>0.27777777777777779</v>
      </c>
      <c r="K15" s="86">
        <v>0.27777777777777779</v>
      </c>
      <c r="P15" s="86">
        <v>0.29850746268656714</v>
      </c>
      <c r="Q15" s="86">
        <v>0.34666666666666668</v>
      </c>
    </row>
    <row r="16" spans="1:17" x14ac:dyDescent="0.4">
      <c r="A16" s="88">
        <v>13</v>
      </c>
      <c r="B16" s="85">
        <v>7.1054273576010019E-15</v>
      </c>
      <c r="C16" s="85">
        <v>1.8219044506669235E-16</v>
      </c>
      <c r="D16" s="90">
        <v>2</v>
      </c>
      <c r="E16" s="86">
        <v>0.33333333333333331</v>
      </c>
      <c r="F16" s="86">
        <v>0.29588014981273408</v>
      </c>
      <c r="G16" s="86">
        <v>0.20224719101123595</v>
      </c>
      <c r="H16" s="87">
        <v>11137.974683544304</v>
      </c>
      <c r="I16" s="87">
        <v>-10222.222222222223</v>
      </c>
      <c r="J16" s="86">
        <v>0.25641025641025639</v>
      </c>
      <c r="K16" s="86">
        <v>0.25641025641025639</v>
      </c>
      <c r="P16" s="86">
        <v>0.30379746835443039</v>
      </c>
      <c r="Q16" s="86">
        <v>0.375</v>
      </c>
    </row>
    <row r="17" spans="1:17" x14ac:dyDescent="0.4">
      <c r="A17" s="88">
        <v>14</v>
      </c>
      <c r="B17" s="85">
        <v>7.1054273576010019E-15</v>
      </c>
      <c r="C17" s="85">
        <v>1.6917684184764289E-16</v>
      </c>
      <c r="D17" s="90">
        <v>2</v>
      </c>
      <c r="E17" s="86">
        <v>0.33333333333333331</v>
      </c>
      <c r="F17" s="86">
        <v>0.2978723404255319</v>
      </c>
      <c r="G17" s="86">
        <v>0.19858156028368795</v>
      </c>
      <c r="H17" s="87">
        <v>11570.238095238095</v>
      </c>
      <c r="I17" s="87">
        <v>-10142.857142857143</v>
      </c>
      <c r="J17" s="86">
        <v>0.26190476190476192</v>
      </c>
      <c r="K17" s="86">
        <v>0.26190476190476192</v>
      </c>
      <c r="P17" s="86">
        <v>0.30952380952380953</v>
      </c>
      <c r="Q17" s="86">
        <v>0.37634408602150538</v>
      </c>
    </row>
    <row r="18" spans="1:17" x14ac:dyDescent="0.4">
      <c r="A18" s="88">
        <v>15</v>
      </c>
      <c r="B18" s="85">
        <v>7.1054273576010019E-15</v>
      </c>
      <c r="C18" s="85">
        <v>1.5789838572446671E-16</v>
      </c>
      <c r="D18" s="90">
        <v>2</v>
      </c>
      <c r="E18" s="86">
        <v>0.33333333333333331</v>
      </c>
      <c r="F18" s="86">
        <v>0.29553264604810997</v>
      </c>
      <c r="G18" s="86">
        <v>0.19931271477663232</v>
      </c>
      <c r="H18" s="87">
        <v>11650</v>
      </c>
      <c r="I18" s="87">
        <v>-10310.344827586207</v>
      </c>
      <c r="J18" s="86">
        <v>0.26666666666666666</v>
      </c>
      <c r="K18" s="86">
        <v>0.26666666666666666</v>
      </c>
      <c r="P18" s="86">
        <v>0.30232558139534882</v>
      </c>
      <c r="Q18" s="86">
        <v>0.38541666666666669</v>
      </c>
    </row>
    <row r="19" spans="1:17" x14ac:dyDescent="0.4">
      <c r="A19" s="88">
        <v>16</v>
      </c>
      <c r="B19" s="85">
        <v>7.1054273576010019E-15</v>
      </c>
      <c r="C19" s="85">
        <v>1.4802973661668753E-16</v>
      </c>
      <c r="D19" s="90">
        <v>2</v>
      </c>
      <c r="E19" s="86">
        <v>0.33333333333333331</v>
      </c>
      <c r="F19" s="86">
        <v>0.29841269841269841</v>
      </c>
      <c r="G19" s="86">
        <v>0.19365079365079366</v>
      </c>
      <c r="H19" s="87">
        <v>11291.489361702128</v>
      </c>
      <c r="I19" s="87">
        <v>-10224.590163934427</v>
      </c>
      <c r="J19" s="86">
        <v>0.25</v>
      </c>
      <c r="K19" s="86">
        <v>0.25</v>
      </c>
      <c r="P19" s="86">
        <v>0.32978723404255317</v>
      </c>
      <c r="Q19" s="86">
        <v>0.39423076923076922</v>
      </c>
    </row>
    <row r="20" spans="1:17" x14ac:dyDescent="0.4">
      <c r="A20" s="88">
        <v>17</v>
      </c>
      <c r="B20" s="85">
        <v>7.1054273576010019E-15</v>
      </c>
      <c r="C20" s="85">
        <v>1.3932210505100003E-16</v>
      </c>
      <c r="D20" s="90">
        <v>2</v>
      </c>
      <c r="E20" s="86">
        <v>0.33333333333333331</v>
      </c>
      <c r="F20" s="86">
        <v>0.3</v>
      </c>
      <c r="G20" s="86">
        <v>0.19090909090909092</v>
      </c>
      <c r="H20" s="87">
        <v>11205.050505050505</v>
      </c>
      <c r="I20" s="87">
        <v>-10152.380952380952</v>
      </c>
      <c r="J20" s="86">
        <v>0.23529411764705882</v>
      </c>
      <c r="K20" s="86">
        <v>0.23529411764705882</v>
      </c>
      <c r="P20" s="86">
        <v>0.34343434343434343</v>
      </c>
      <c r="Q20" s="86">
        <v>0.41284403669724773</v>
      </c>
    </row>
    <row r="21" spans="1:17" x14ac:dyDescent="0.4">
      <c r="A21" s="88">
        <v>18</v>
      </c>
      <c r="B21" s="85">
        <v>8.2156503822261584E-15</v>
      </c>
      <c r="C21" s="85">
        <v>1.5214167374492887E-16</v>
      </c>
      <c r="D21" s="90">
        <v>2</v>
      </c>
      <c r="E21" s="86">
        <v>0.33333333333333331</v>
      </c>
      <c r="F21" s="86">
        <v>0.30027548209366389</v>
      </c>
      <c r="G21" s="86">
        <v>0.19559228650137742</v>
      </c>
      <c r="H21" s="87">
        <v>10655.045871559632</v>
      </c>
      <c r="I21" s="87">
        <v>-9543.6619718309867</v>
      </c>
      <c r="J21" s="86">
        <v>0.22222222222222221</v>
      </c>
      <c r="K21" s="86">
        <v>0.22222222222222221</v>
      </c>
      <c r="P21" s="86">
        <v>0.33027522935779818</v>
      </c>
      <c r="Q21" s="86">
        <v>0.42499999999999999</v>
      </c>
    </row>
    <row r="22" spans="1:17" x14ac:dyDescent="0.4">
      <c r="A22" s="88">
        <v>19</v>
      </c>
      <c r="B22" s="85">
        <v>1.0658141036401503E-14</v>
      </c>
      <c r="C22" s="85">
        <v>1.8698493046318425E-16</v>
      </c>
      <c r="D22" s="90">
        <v>2</v>
      </c>
      <c r="E22" s="86">
        <v>0.33333333333333331</v>
      </c>
      <c r="F22" s="86">
        <v>0.30490956072351422</v>
      </c>
      <c r="G22" s="86">
        <v>0.19379844961240311</v>
      </c>
      <c r="H22" s="87">
        <v>10629.661016949152</v>
      </c>
      <c r="I22" s="87">
        <v>-9796</v>
      </c>
      <c r="J22" s="86">
        <v>0.22807017543859648</v>
      </c>
      <c r="K22" s="86">
        <v>0.22807017543859648</v>
      </c>
      <c r="P22" s="86">
        <v>0.33898305084745761</v>
      </c>
      <c r="Q22" s="86">
        <v>0.432</v>
      </c>
    </row>
    <row r="23" spans="1:17" x14ac:dyDescent="0.4">
      <c r="A23" s="88">
        <v>20</v>
      </c>
      <c r="B23" s="85">
        <v>1.0658141036401503E-14</v>
      </c>
      <c r="C23" s="85">
        <v>1.7763568394002506E-16</v>
      </c>
      <c r="D23" s="90">
        <v>2</v>
      </c>
      <c r="E23" s="86">
        <v>0.33333333333333331</v>
      </c>
      <c r="F23" s="86">
        <v>0.30413625304136255</v>
      </c>
      <c r="G23" s="86">
        <v>0.19464720194647203</v>
      </c>
      <c r="H23" s="87">
        <v>10516</v>
      </c>
      <c r="I23" s="87">
        <v>-9636.25</v>
      </c>
      <c r="J23" s="86">
        <v>0.21666666666666667</v>
      </c>
      <c r="K23" s="86">
        <v>0.21666666666666667</v>
      </c>
      <c r="P23" s="86">
        <v>0.33600000000000002</v>
      </c>
      <c r="Q23" s="86">
        <v>0.41984732824427479</v>
      </c>
    </row>
    <row r="24" spans="1:17" x14ac:dyDescent="0.4">
      <c r="A24" s="88">
        <v>21</v>
      </c>
      <c r="B24" s="85">
        <v>1.4210854715202004E-14</v>
      </c>
      <c r="C24" s="85">
        <v>2.2556912246352386E-16</v>
      </c>
      <c r="D24" s="90">
        <v>2</v>
      </c>
      <c r="E24" s="86">
        <v>0.33333333333333331</v>
      </c>
      <c r="F24" s="86">
        <v>0.30260047281323876</v>
      </c>
      <c r="G24" s="86">
        <v>0.19385342789598109</v>
      </c>
      <c r="H24" s="87">
        <v>10800.78125</v>
      </c>
      <c r="I24" s="87">
        <v>-9645.121951219513</v>
      </c>
      <c r="J24" s="86">
        <v>0.22222222222222221</v>
      </c>
      <c r="K24" s="86">
        <v>0.22222222222222221</v>
      </c>
      <c r="P24" s="86">
        <v>0.3359375</v>
      </c>
      <c r="Q24" s="86">
        <v>0.42537313432835822</v>
      </c>
    </row>
    <row r="25" spans="1:17" x14ac:dyDescent="0.4">
      <c r="A25" s="88">
        <v>22</v>
      </c>
      <c r="B25" s="85">
        <v>2.8421709430404007E-14</v>
      </c>
      <c r="C25" s="85">
        <v>4.306319610667274E-16</v>
      </c>
      <c r="D25" s="90">
        <v>2</v>
      </c>
      <c r="E25" s="86">
        <v>0.33333333333333331</v>
      </c>
      <c r="F25" s="86">
        <v>0.30263157894736842</v>
      </c>
      <c r="G25" s="86">
        <v>0.19956140350877194</v>
      </c>
      <c r="H25" s="87">
        <v>10734.782608695652</v>
      </c>
      <c r="I25" s="87">
        <v>-9580.2197802197807</v>
      </c>
      <c r="J25" s="86">
        <v>0.22727272727272727</v>
      </c>
      <c r="K25" s="86">
        <v>0.22727272727272727</v>
      </c>
      <c r="P25" s="86">
        <v>0.3188405797101449</v>
      </c>
      <c r="Q25" s="86">
        <v>0.43448275862068964</v>
      </c>
    </row>
    <row r="26" spans="1:17" x14ac:dyDescent="0.4">
      <c r="A26" s="88">
        <v>23</v>
      </c>
      <c r="B26" s="85">
        <v>3.0198066269804258E-14</v>
      </c>
      <c r="C26" s="85">
        <v>4.3765313434498927E-16</v>
      </c>
      <c r="D26" s="90">
        <v>2</v>
      </c>
      <c r="E26" s="86">
        <v>0.33333333333333331</v>
      </c>
      <c r="F26" s="86">
        <v>0.3</v>
      </c>
      <c r="G26" s="86">
        <v>0.19166666666666668</v>
      </c>
      <c r="H26" s="87">
        <v>10673.611111111111</v>
      </c>
      <c r="I26" s="87">
        <v>-9563.04347826087</v>
      </c>
      <c r="J26" s="86">
        <v>0.2318840579710145</v>
      </c>
      <c r="K26" s="86">
        <v>0.2318840579710145</v>
      </c>
      <c r="P26" s="86">
        <v>0.34027777777777779</v>
      </c>
      <c r="Q26" s="86">
        <v>0.42483660130718953</v>
      </c>
    </row>
    <row r="27" spans="1:17" x14ac:dyDescent="0.4">
      <c r="A27" s="88">
        <v>24</v>
      </c>
      <c r="B27" s="85">
        <v>2.8421709430404007E-14</v>
      </c>
      <c r="C27" s="85">
        <v>3.9474596431116675E-16</v>
      </c>
      <c r="D27" s="90">
        <v>2</v>
      </c>
      <c r="E27" s="86">
        <v>0.33333333333333331</v>
      </c>
      <c r="F27" s="86">
        <v>0.30081300813008133</v>
      </c>
      <c r="G27" s="86">
        <v>0.19308943089430894</v>
      </c>
      <c r="H27" s="87">
        <v>10777.027027027027</v>
      </c>
      <c r="I27" s="87">
        <v>-9682.105263157895</v>
      </c>
      <c r="J27" s="86">
        <v>0.2361111111111111</v>
      </c>
      <c r="K27" s="86">
        <v>0.2361111111111111</v>
      </c>
      <c r="P27" s="86">
        <v>0.33783783783783783</v>
      </c>
      <c r="Q27" s="86">
        <v>0.42675159235668791</v>
      </c>
    </row>
    <row r="28" spans="1:17" x14ac:dyDescent="0.4">
      <c r="A28" s="88">
        <v>25</v>
      </c>
      <c r="B28" s="85">
        <v>2.4868995751603507E-14</v>
      </c>
      <c r="C28" s="85">
        <v>3.315866100213801E-16</v>
      </c>
      <c r="D28" s="90">
        <v>2</v>
      </c>
      <c r="E28" s="86">
        <v>0.33333333333333331</v>
      </c>
      <c r="F28" s="86">
        <v>0.30057803468208094</v>
      </c>
      <c r="G28" s="86">
        <v>0.18882466281310212</v>
      </c>
      <c r="H28" s="87">
        <v>10966.666666666666</v>
      </c>
      <c r="I28" s="87">
        <v>-9873.4693877551017</v>
      </c>
      <c r="J28" s="86">
        <v>0.22666666666666666</v>
      </c>
      <c r="K28" s="86">
        <v>0.22666666666666666</v>
      </c>
      <c r="P28" s="86">
        <v>0.35256410256410259</v>
      </c>
      <c r="Q28" s="86">
        <v>0.42168674698795183</v>
      </c>
    </row>
    <row r="29" spans="1:17" x14ac:dyDescent="0.4">
      <c r="A29" s="88">
        <v>26</v>
      </c>
      <c r="B29" s="85">
        <v>2.3092638912203256E-14</v>
      </c>
      <c r="C29" s="85">
        <v>2.9605947323337506E-16</v>
      </c>
      <c r="D29" s="90">
        <v>2</v>
      </c>
      <c r="E29" s="86">
        <v>0.33333333333333331</v>
      </c>
      <c r="F29" s="86">
        <v>0.30018416206261511</v>
      </c>
      <c r="G29" s="86">
        <v>0.18968692449355432</v>
      </c>
      <c r="H29" s="87">
        <v>10793.251533742332</v>
      </c>
      <c r="I29" s="87">
        <v>-9811.6504854368941</v>
      </c>
      <c r="J29" s="86">
        <v>0.21794871794871795</v>
      </c>
      <c r="K29" s="86">
        <v>0.21794871794871795</v>
      </c>
      <c r="P29" s="86">
        <v>0.34969325153374231</v>
      </c>
      <c r="Q29" s="86">
        <v>0.41379310344827586</v>
      </c>
    </row>
    <row r="30" spans="1:17" x14ac:dyDescent="0.4">
      <c r="A30" s="88">
        <v>27</v>
      </c>
      <c r="B30" s="85">
        <v>2.1316282072803006E-14</v>
      </c>
      <c r="C30" s="85">
        <v>2.631639762074445E-16</v>
      </c>
      <c r="D30" s="90">
        <v>2</v>
      </c>
      <c r="E30" s="86">
        <v>0.33333333333333331</v>
      </c>
      <c r="F30" s="86">
        <v>0.29749103942652327</v>
      </c>
      <c r="G30" s="86">
        <v>0.18458781362007168</v>
      </c>
      <c r="H30" s="87">
        <v>11031.927710843374</v>
      </c>
      <c r="I30" s="87">
        <v>-9811.6504854368941</v>
      </c>
      <c r="J30" s="86">
        <v>0.22222222222222221</v>
      </c>
      <c r="K30" s="86">
        <v>0.22222222222222221</v>
      </c>
      <c r="P30" s="86">
        <v>0.36144578313253012</v>
      </c>
      <c r="Q30" s="86">
        <v>0.40782122905027934</v>
      </c>
    </row>
    <row r="31" spans="1:17" x14ac:dyDescent="0.4">
      <c r="A31" s="88">
        <v>28</v>
      </c>
      <c r="B31" s="85">
        <v>2.1316282072803006E-14</v>
      </c>
      <c r="C31" s="85">
        <v>2.5376526277146434E-16</v>
      </c>
      <c r="D31" s="90">
        <v>2</v>
      </c>
      <c r="E31" s="86">
        <v>0.33333333333333331</v>
      </c>
      <c r="F31" s="86">
        <v>0.29896907216494845</v>
      </c>
      <c r="G31" s="86">
        <v>0.18384879725085912</v>
      </c>
      <c r="H31" s="87">
        <v>11191.379310344828</v>
      </c>
      <c r="I31" s="87">
        <v>-9930.8411214953267</v>
      </c>
      <c r="J31" s="86">
        <v>0.22619047619047619</v>
      </c>
      <c r="K31" s="86">
        <v>0.22619047619047619</v>
      </c>
      <c r="P31" s="86">
        <v>0.36781609195402298</v>
      </c>
      <c r="Q31" s="86">
        <v>0.41176470588235292</v>
      </c>
    </row>
    <row r="32" spans="1:17" x14ac:dyDescent="0.4">
      <c r="A32" s="88">
        <v>29</v>
      </c>
      <c r="B32" s="85">
        <v>1.7763568394002505E-14</v>
      </c>
      <c r="C32" s="85">
        <v>2.0417894705750005E-16</v>
      </c>
      <c r="D32" s="90">
        <v>2</v>
      </c>
      <c r="E32" s="86">
        <v>0.33333333333333331</v>
      </c>
      <c r="F32" s="86">
        <v>0.30016583747927034</v>
      </c>
      <c r="G32" s="86">
        <v>0.18407960199004975</v>
      </c>
      <c r="H32" s="87">
        <v>11145.85635359116</v>
      </c>
      <c r="I32" s="87">
        <v>-9933.3333333333339</v>
      </c>
      <c r="J32" s="86">
        <v>0.21839080459770116</v>
      </c>
      <c r="K32" s="86">
        <v>0.21839080459770116</v>
      </c>
      <c r="P32" s="86">
        <v>0.37016574585635359</v>
      </c>
      <c r="Q32" s="86">
        <v>0.40206185567010311</v>
      </c>
    </row>
    <row r="33" spans="1:17" x14ac:dyDescent="0.4">
      <c r="A33" s="88">
        <v>30</v>
      </c>
      <c r="B33" s="85">
        <v>1.7763568394002505E-14</v>
      </c>
      <c r="C33" s="85">
        <v>1.9737298215558337E-16</v>
      </c>
      <c r="D33" s="90">
        <v>2</v>
      </c>
      <c r="E33" s="86">
        <v>0.33333333333333331</v>
      </c>
      <c r="F33" s="86">
        <v>0.30128205128205127</v>
      </c>
      <c r="G33" s="86">
        <v>0.18429487179487181</v>
      </c>
      <c r="H33" s="87">
        <v>11103.723404255319</v>
      </c>
      <c r="I33" s="87">
        <v>-9935.652173913044</v>
      </c>
      <c r="J33" s="86">
        <v>0.21111111111111111</v>
      </c>
      <c r="K33" s="86">
        <v>0.21111111111111111</v>
      </c>
      <c r="P33" s="86">
        <v>0.37234042553191488</v>
      </c>
      <c r="Q33" s="86">
        <v>0.39303482587064675</v>
      </c>
    </row>
    <row r="34" spans="1:17" x14ac:dyDescent="0.4">
      <c r="A34" s="88">
        <v>31</v>
      </c>
      <c r="B34" s="85">
        <v>1.2434497875801753E-14</v>
      </c>
      <c r="C34" s="85">
        <v>1.3370427823442746E-16</v>
      </c>
      <c r="D34" s="90">
        <v>2</v>
      </c>
      <c r="E34" s="86">
        <v>0.33333333333333331</v>
      </c>
      <c r="F34" s="86">
        <v>0.30107526881720431</v>
      </c>
      <c r="G34" s="86">
        <v>0.18433179723502305</v>
      </c>
      <c r="H34" s="87">
        <v>11064.795918367347</v>
      </c>
      <c r="I34" s="87">
        <v>-9982.5</v>
      </c>
      <c r="J34" s="86">
        <v>0.21505376344086022</v>
      </c>
      <c r="K34" s="86">
        <v>0.21505376344086022</v>
      </c>
      <c r="P34" s="86">
        <v>0.37244897959183676</v>
      </c>
      <c r="Q34" s="86">
        <v>0.39523809523809522</v>
      </c>
    </row>
    <row r="35" spans="1:17" x14ac:dyDescent="0.4">
      <c r="A35" s="88">
        <v>32</v>
      </c>
      <c r="B35" s="85">
        <v>1.4210854715202004E-14</v>
      </c>
      <c r="C35" s="85">
        <v>1.4802973661668753E-16</v>
      </c>
      <c r="D35" s="90">
        <v>2</v>
      </c>
      <c r="E35" s="86">
        <v>0.33333333333333331</v>
      </c>
      <c r="F35" s="86">
        <v>0.30015082956259426</v>
      </c>
      <c r="G35" s="86">
        <v>0.18250377073906485</v>
      </c>
      <c r="H35" s="87">
        <v>11229.64824120603</v>
      </c>
      <c r="I35" s="87">
        <v>-9999.1735537190089</v>
      </c>
      <c r="J35" s="86">
        <v>0.21875</v>
      </c>
      <c r="K35" s="86">
        <v>0.21875</v>
      </c>
      <c r="P35" s="86">
        <v>0.37688442211055279</v>
      </c>
      <c r="Q35" s="86">
        <v>0.40186915887850466</v>
      </c>
    </row>
    <row r="36" spans="1:17" x14ac:dyDescent="0.4">
      <c r="A36" s="88">
        <v>33</v>
      </c>
      <c r="B36" s="85">
        <v>2.1316282072803006E-14</v>
      </c>
      <c r="C36" s="85">
        <v>2.153159805333637E-16</v>
      </c>
      <c r="D36" s="90">
        <v>2</v>
      </c>
      <c r="E36" s="86">
        <v>0.33333333333333331</v>
      </c>
      <c r="F36" s="86">
        <v>0.30158730158730157</v>
      </c>
      <c r="G36" s="86">
        <v>0.18326118326118326</v>
      </c>
      <c r="H36" s="87">
        <v>11219.138755980861</v>
      </c>
      <c r="I36" s="87">
        <v>-9858.2677165354326</v>
      </c>
      <c r="J36" s="86">
        <v>0.22222222222222221</v>
      </c>
      <c r="K36" s="86">
        <v>0.22222222222222221</v>
      </c>
      <c r="P36" s="86">
        <v>0.37799043062200954</v>
      </c>
      <c r="Q36" s="86">
        <v>0.4107142857142857</v>
      </c>
    </row>
    <row r="37" spans="1:17" x14ac:dyDescent="0.4">
      <c r="A37" s="88">
        <v>34</v>
      </c>
      <c r="B37" s="85">
        <v>2.1316282072803006E-14</v>
      </c>
      <c r="C37" s="85">
        <v>2.0898315757650005E-16</v>
      </c>
      <c r="D37" s="90">
        <v>2</v>
      </c>
      <c r="E37" s="86">
        <v>0.33333333333333331</v>
      </c>
      <c r="F37" s="86">
        <v>0.30070921985815602</v>
      </c>
      <c r="G37" s="86">
        <v>0.18297872340425531</v>
      </c>
      <c r="H37" s="87">
        <v>11258.490566037735</v>
      </c>
      <c r="I37" s="87">
        <v>-9937.9844961240306</v>
      </c>
      <c r="J37" s="86">
        <v>0.22549019607843138</v>
      </c>
      <c r="K37" s="86">
        <v>0.22549019607843138</v>
      </c>
      <c r="P37" s="86">
        <v>0.37735849056603776</v>
      </c>
      <c r="Q37" s="86">
        <v>0.41666666666666669</v>
      </c>
    </row>
    <row r="38" spans="1:17" x14ac:dyDescent="0.4">
      <c r="A38" s="88">
        <v>35</v>
      </c>
      <c r="B38" s="85">
        <v>2.1316282072803006E-14</v>
      </c>
      <c r="C38" s="85">
        <v>2.0301221021717148E-16</v>
      </c>
      <c r="D38" s="90">
        <v>2</v>
      </c>
      <c r="E38" s="86">
        <v>0.33333333333333331</v>
      </c>
      <c r="F38" s="86">
        <v>0.30178326474622769</v>
      </c>
      <c r="G38" s="86">
        <v>0.18106995884773663</v>
      </c>
      <c r="H38" s="87">
        <v>11340</v>
      </c>
      <c r="I38" s="87">
        <v>-10000</v>
      </c>
      <c r="J38" s="86">
        <v>0.22857142857142856</v>
      </c>
      <c r="K38" s="86">
        <v>0.22857142857142856</v>
      </c>
      <c r="P38" s="86">
        <v>0.38636363636363635</v>
      </c>
      <c r="Q38" s="86">
        <v>0.41949152542372881</v>
      </c>
    </row>
    <row r="39" spans="1:17" x14ac:dyDescent="0.4">
      <c r="A39" s="88">
        <v>36</v>
      </c>
      <c r="B39" s="85">
        <v>2.1316282072803006E-14</v>
      </c>
      <c r="C39" s="85">
        <v>1.9737298215558337E-16</v>
      </c>
      <c r="D39" s="90">
        <v>2</v>
      </c>
      <c r="E39" s="86">
        <v>0.33333333333333331</v>
      </c>
      <c r="F39" s="86">
        <v>0.30266666666666664</v>
      </c>
      <c r="G39" s="86">
        <v>0.18133333333333335</v>
      </c>
      <c r="H39" s="87">
        <v>11255.506607929516</v>
      </c>
      <c r="I39" s="87">
        <v>-9942.6470588235297</v>
      </c>
      <c r="J39" s="86">
        <v>0.22222222222222221</v>
      </c>
      <c r="K39" s="86">
        <v>0.22222222222222221</v>
      </c>
      <c r="P39" s="86">
        <v>0.38766519823788548</v>
      </c>
      <c r="Q39" s="86">
        <v>0.41152263374485598</v>
      </c>
    </row>
    <row r="40" spans="1:17" x14ac:dyDescent="0.4">
      <c r="A40" s="88">
        <v>37</v>
      </c>
      <c r="B40" s="85">
        <v>2.1316282072803006E-14</v>
      </c>
      <c r="C40" s="85">
        <v>1.9203857723245952E-16</v>
      </c>
      <c r="D40" s="90">
        <v>2</v>
      </c>
      <c r="E40" s="86">
        <v>0.33333333333333331</v>
      </c>
      <c r="F40" s="86">
        <v>0.30232558139534882</v>
      </c>
      <c r="G40" s="86">
        <v>0.18217054263565891</v>
      </c>
      <c r="H40" s="87">
        <v>11128.632478632479</v>
      </c>
      <c r="I40" s="87">
        <v>-9768.0851063829796</v>
      </c>
      <c r="J40" s="86">
        <v>0.21621621621621623</v>
      </c>
      <c r="K40" s="86">
        <v>0.21621621621621623</v>
      </c>
      <c r="P40" s="86">
        <v>0.38461538461538464</v>
      </c>
      <c r="Q40" s="86">
        <v>0.40239043824701193</v>
      </c>
    </row>
    <row r="41" spans="1:17" x14ac:dyDescent="0.4">
      <c r="A41" s="88">
        <v>38</v>
      </c>
      <c r="B41" s="85">
        <v>2.8421709430404007E-14</v>
      </c>
      <c r="C41" s="85">
        <v>2.49313240617579E-16</v>
      </c>
      <c r="D41" s="90">
        <v>2</v>
      </c>
      <c r="E41" s="86">
        <v>0.33333333333333331</v>
      </c>
      <c r="F41" s="86">
        <v>0.30348258706467662</v>
      </c>
      <c r="G41" s="86">
        <v>0.18034825870646767</v>
      </c>
      <c r="H41" s="87">
        <v>11030.737704918032</v>
      </c>
      <c r="I41" s="87">
        <v>-9673.7931034482754</v>
      </c>
      <c r="J41" s="86">
        <v>0.21929824561403508</v>
      </c>
      <c r="K41" s="86">
        <v>0.21929824561403508</v>
      </c>
      <c r="P41" s="86">
        <v>0.39344262295081966</v>
      </c>
      <c r="Q41" s="86">
        <v>0.4061302681992337</v>
      </c>
    </row>
    <row r="42" spans="1:17" x14ac:dyDescent="0.4">
      <c r="A42" s="88">
        <v>39</v>
      </c>
      <c r="B42" s="85">
        <v>2.708944180085382E-14</v>
      </c>
      <c r="C42" s="85">
        <v>2.3153369060558822E-16</v>
      </c>
      <c r="D42" s="90">
        <v>2</v>
      </c>
      <c r="E42" s="86">
        <v>0.33333333333333331</v>
      </c>
      <c r="F42" s="86">
        <v>0.30483271375464682</v>
      </c>
      <c r="G42" s="86">
        <v>0.1809169764560099</v>
      </c>
      <c r="H42" s="87">
        <v>11146.747967479674</v>
      </c>
      <c r="I42" s="87">
        <v>-9954.1095890410961</v>
      </c>
      <c r="J42" s="86">
        <v>0.22222222222222221</v>
      </c>
      <c r="K42" s="86">
        <v>0.22222222222222221</v>
      </c>
      <c r="P42" s="86">
        <v>0.3902439024390244</v>
      </c>
      <c r="Q42" s="86">
        <v>0.40839694656488551</v>
      </c>
    </row>
    <row r="43" spans="1:17" x14ac:dyDescent="0.4">
      <c r="A43" s="88">
        <v>40</v>
      </c>
      <c r="B43" s="85">
        <v>2.8421709430404007E-14</v>
      </c>
      <c r="C43" s="85">
        <v>2.3684757858670006E-16</v>
      </c>
      <c r="D43" s="90">
        <v>2</v>
      </c>
      <c r="E43" s="86">
        <v>0.33333333333333331</v>
      </c>
      <c r="F43" s="86">
        <v>0.305352798053528</v>
      </c>
      <c r="G43" s="86">
        <v>0.18126520681265207</v>
      </c>
      <c r="H43" s="87">
        <v>11165.737051792828</v>
      </c>
      <c r="I43" s="87">
        <v>-9958.3892617449656</v>
      </c>
      <c r="J43" s="86">
        <v>0.22500000000000001</v>
      </c>
      <c r="K43" s="86">
        <v>0.22500000000000001</v>
      </c>
      <c r="P43" s="86">
        <v>0.39043824701195218</v>
      </c>
      <c r="Q43" s="86">
        <v>0.4157303370786517</v>
      </c>
    </row>
    <row r="44" spans="1:17" x14ac:dyDescent="0.4">
      <c r="A44" s="88">
        <v>41</v>
      </c>
      <c r="B44" s="85">
        <v>2.8421709430404007E-14</v>
      </c>
      <c r="C44" s="85">
        <v>2.3107080837726838E-16</v>
      </c>
      <c r="D44" s="90">
        <v>2</v>
      </c>
      <c r="E44" s="86">
        <v>0.33333333333333331</v>
      </c>
      <c r="F44" s="86">
        <v>0.30595238095238098</v>
      </c>
      <c r="G44" s="86">
        <v>0.18095238095238095</v>
      </c>
      <c r="H44" s="87">
        <v>11034.241245136187</v>
      </c>
      <c r="I44" s="87">
        <v>-9901.3157894736851</v>
      </c>
      <c r="J44" s="86">
        <v>0.21951219512195122</v>
      </c>
      <c r="K44" s="86">
        <v>0.21951219512195122</v>
      </c>
      <c r="P44" s="86">
        <v>0.39299610894941633</v>
      </c>
      <c r="Q44" s="86">
        <v>0.40659340659340659</v>
      </c>
    </row>
    <row r="45" spans="1:17" x14ac:dyDescent="0.4">
      <c r="A45" s="88">
        <v>42</v>
      </c>
      <c r="B45" s="85">
        <v>2.8421709430404007E-14</v>
      </c>
      <c r="C45" s="85">
        <v>2.2556912246352386E-16</v>
      </c>
      <c r="D45" s="90">
        <v>2</v>
      </c>
      <c r="E45" s="86">
        <v>0.33333333333333331</v>
      </c>
      <c r="F45" s="86">
        <v>0.30574712643678159</v>
      </c>
      <c r="G45" s="86">
        <v>0.18045977011494252</v>
      </c>
      <c r="H45" s="87">
        <v>10872.180451127819</v>
      </c>
      <c r="I45" s="87">
        <v>-9764.3312101910833</v>
      </c>
      <c r="J45" s="86">
        <v>0.22222222222222221</v>
      </c>
      <c r="K45" s="86">
        <v>0.22222222222222221</v>
      </c>
      <c r="P45" s="86">
        <v>0.39473684210526316</v>
      </c>
      <c r="Q45" s="86">
        <v>0.40282685512367489</v>
      </c>
    </row>
    <row r="46" spans="1:17" x14ac:dyDescent="0.4">
      <c r="A46" s="88">
        <v>43</v>
      </c>
      <c r="B46" s="85">
        <v>2.8421709430404007E-14</v>
      </c>
      <c r="C46" s="85">
        <v>2.2032332891786052E-16</v>
      </c>
      <c r="D46" s="90">
        <v>2</v>
      </c>
      <c r="E46" s="86">
        <v>0.33333333333333331</v>
      </c>
      <c r="F46" s="86">
        <v>0.30546265328874023</v>
      </c>
      <c r="G46" s="86">
        <v>0.17725752508361203</v>
      </c>
      <c r="H46" s="87">
        <v>10854.014598540147</v>
      </c>
      <c r="I46" s="87">
        <v>-9767.2955974842771</v>
      </c>
      <c r="J46" s="86">
        <v>0.21705426356589147</v>
      </c>
      <c r="K46" s="86">
        <v>0.21705426356589147</v>
      </c>
      <c r="P46" s="86">
        <v>0.4051094890510949</v>
      </c>
      <c r="Q46" s="86">
        <v>0.40068493150684931</v>
      </c>
    </row>
    <row r="47" spans="1:17" x14ac:dyDescent="0.4">
      <c r="A47" s="88">
        <v>44</v>
      </c>
      <c r="B47" s="85">
        <v>2.8421709430404007E-14</v>
      </c>
      <c r="C47" s="85">
        <v>2.153159805333637E-16</v>
      </c>
      <c r="D47" s="90">
        <v>2</v>
      </c>
      <c r="E47" s="86">
        <v>0.33333333333333331</v>
      </c>
      <c r="F47" s="86">
        <v>0.30537634408602149</v>
      </c>
      <c r="G47" s="86">
        <v>0.17741935483870969</v>
      </c>
      <c r="H47" s="87">
        <v>10772.183098591549</v>
      </c>
      <c r="I47" s="87">
        <v>-9686.6666666666661</v>
      </c>
      <c r="J47" s="86">
        <v>0.21212121212121213</v>
      </c>
      <c r="K47" s="86">
        <v>0.21212121212121213</v>
      </c>
      <c r="P47" s="86">
        <v>0.40492957746478875</v>
      </c>
      <c r="Q47" s="86">
        <v>0.39933993399339934</v>
      </c>
    </row>
    <row r="48" spans="1:17" x14ac:dyDescent="0.4">
      <c r="A48" s="88">
        <v>45</v>
      </c>
      <c r="B48" s="85">
        <v>2.7755575615628914E-14</v>
      </c>
      <c r="C48" s="85">
        <v>2.0559685641206603E-16</v>
      </c>
      <c r="D48" s="90">
        <v>2</v>
      </c>
      <c r="E48" s="86">
        <v>0.33333333333333331</v>
      </c>
      <c r="F48" s="86">
        <v>0.30607966457023061</v>
      </c>
      <c r="G48" s="86">
        <v>0.17819706498951782</v>
      </c>
      <c r="H48" s="87">
        <v>10732.876712328767</v>
      </c>
      <c r="I48" s="87">
        <v>-9635.2941176470595</v>
      </c>
      <c r="J48" s="86">
        <v>0.2074074074074074</v>
      </c>
      <c r="K48" s="86">
        <v>0.2074074074074074</v>
      </c>
      <c r="P48" s="86">
        <v>0.4041095890410959</v>
      </c>
      <c r="Q48" s="86">
        <v>0.39549839228295819</v>
      </c>
    </row>
    <row r="49" spans="1:17" x14ac:dyDescent="0.4">
      <c r="A49" s="88">
        <v>46</v>
      </c>
      <c r="B49" s="85">
        <v>2.8421709430404007E-14</v>
      </c>
      <c r="C49" s="85">
        <v>2.0595441616234788E-16</v>
      </c>
      <c r="D49" s="90">
        <v>2</v>
      </c>
      <c r="E49" s="86">
        <v>0.33333333333333331</v>
      </c>
      <c r="F49" s="86">
        <v>0.30650154798761609</v>
      </c>
      <c r="G49" s="86">
        <v>0.17956656346749225</v>
      </c>
      <c r="H49" s="87">
        <v>10689.898989898989</v>
      </c>
      <c r="I49" s="87">
        <v>-9602.8735632183907</v>
      </c>
      <c r="J49" s="86">
        <v>0.21014492753623187</v>
      </c>
      <c r="K49" s="86">
        <v>0.21014492753623187</v>
      </c>
      <c r="P49" s="86">
        <v>0.40067340067340068</v>
      </c>
      <c r="Q49" s="86">
        <v>0.39240506329113922</v>
      </c>
    </row>
    <row r="50" spans="1:17" x14ac:dyDescent="0.4">
      <c r="A50" s="88">
        <v>47</v>
      </c>
      <c r="B50" s="85">
        <v>2.8421709430404007E-14</v>
      </c>
      <c r="C50" s="85">
        <v>2.0157240730782984E-16</v>
      </c>
      <c r="D50" s="90">
        <v>2</v>
      </c>
      <c r="E50" s="86">
        <v>0.33333333333333331</v>
      </c>
      <c r="F50" s="86">
        <v>0.30654761904761907</v>
      </c>
      <c r="G50" s="86">
        <v>0.17956349206349206</v>
      </c>
      <c r="H50" s="87">
        <v>10597.411003236246</v>
      </c>
      <c r="I50" s="87">
        <v>-9483.977900552487</v>
      </c>
      <c r="J50" s="86">
        <v>0.20567375886524822</v>
      </c>
      <c r="K50" s="86">
        <v>0.20567375886524822</v>
      </c>
      <c r="P50" s="86">
        <v>0.39805825242718446</v>
      </c>
      <c r="Q50" s="86">
        <v>0.39209726443769</v>
      </c>
    </row>
    <row r="51" spans="1:17" x14ac:dyDescent="0.4">
      <c r="A51" s="88">
        <v>48</v>
      </c>
      <c r="B51" s="85">
        <v>2.8421709430404007E-14</v>
      </c>
      <c r="C51" s="85">
        <v>1.9737298215558337E-16</v>
      </c>
      <c r="D51" s="90">
        <v>2</v>
      </c>
      <c r="E51" s="86">
        <v>0.33333333333333331</v>
      </c>
      <c r="F51" s="86">
        <v>0.30709426627793973</v>
      </c>
      <c r="G51" s="86">
        <v>0.17784256559766765</v>
      </c>
      <c r="H51" s="87">
        <v>10599.367088607594</v>
      </c>
      <c r="I51" s="87">
        <v>-9511.4754098360663</v>
      </c>
      <c r="J51" s="86">
        <v>0.2013888888888889</v>
      </c>
      <c r="K51" s="86">
        <v>0.2013888888888889</v>
      </c>
      <c r="P51" s="86">
        <v>0.4050632911392405</v>
      </c>
      <c r="Q51" s="86">
        <v>0.38690476190476192</v>
      </c>
    </row>
    <row r="52" spans="1:17" x14ac:dyDescent="0.4">
      <c r="A52" s="88">
        <v>49</v>
      </c>
      <c r="B52" s="85">
        <v>2.6645352591003757E-14</v>
      </c>
      <c r="C52" s="85">
        <v>1.812609019796174E-16</v>
      </c>
      <c r="D52" s="90">
        <v>2</v>
      </c>
      <c r="E52" s="86">
        <v>0.33333333333333331</v>
      </c>
      <c r="F52" s="86">
        <v>0.30666666666666664</v>
      </c>
      <c r="G52" s="86">
        <v>0.17714285714285713</v>
      </c>
      <c r="H52" s="87">
        <v>10531.055900621119</v>
      </c>
      <c r="I52" s="87">
        <v>-9413.9784946236559</v>
      </c>
      <c r="J52" s="86">
        <v>0.19727891156462585</v>
      </c>
      <c r="K52" s="86">
        <v>0.19727891156462585</v>
      </c>
      <c r="P52" s="86">
        <v>0.40683229813664595</v>
      </c>
      <c r="Q52" s="86">
        <v>0.38483965014577259</v>
      </c>
    </row>
    <row r="53" spans="1:17" x14ac:dyDescent="0.4">
      <c r="A53" s="88">
        <v>50</v>
      </c>
      <c r="B53" s="85">
        <v>-1.9999999999999751</v>
      </c>
      <c r="C53" s="85">
        <v>-1.3333333333333168E-2</v>
      </c>
      <c r="D53" s="90">
        <v>2</v>
      </c>
      <c r="E53" s="86">
        <v>0.33333333333333331</v>
      </c>
      <c r="F53" s="86">
        <v>0.30555555555555558</v>
      </c>
      <c r="G53" s="86">
        <v>0.17777777777777778</v>
      </c>
      <c r="H53" s="87">
        <v>10571.515151515152</v>
      </c>
      <c r="I53" s="87">
        <v>-9367.7083333333339</v>
      </c>
      <c r="J53" s="86">
        <v>0.19333333333333333</v>
      </c>
      <c r="K53" s="86">
        <v>0.19333333333333333</v>
      </c>
      <c r="P53" s="86">
        <v>0.40303030303030302</v>
      </c>
      <c r="Q53" s="86">
        <v>0.38243626062322944</v>
      </c>
    </row>
    <row r="54" spans="1:17" x14ac:dyDescent="0.4">
      <c r="A54" s="88">
        <v>51</v>
      </c>
      <c r="B54" s="85">
        <v>-1.9999999999999734</v>
      </c>
      <c r="C54" s="85">
        <v>-1.3071895424836426E-2</v>
      </c>
      <c r="D54" s="90">
        <v>2</v>
      </c>
      <c r="E54" s="86">
        <v>0.33333333333333331</v>
      </c>
      <c r="F54" s="86">
        <v>0.30645161290322581</v>
      </c>
      <c r="G54" s="86">
        <v>0.17831541218637992</v>
      </c>
      <c r="H54" s="87">
        <v>10533.625730994152</v>
      </c>
      <c r="I54" s="87">
        <v>-9454.7738693467345</v>
      </c>
      <c r="J54" s="86">
        <v>0.18954248366013071</v>
      </c>
      <c r="K54" s="86">
        <v>0.18954248366013071</v>
      </c>
      <c r="P54" s="86">
        <v>0.40350877192982454</v>
      </c>
      <c r="Q54" s="86">
        <v>0.38630136986301372</v>
      </c>
    </row>
    <row r="55" spans="1:17" x14ac:dyDescent="0.4">
      <c r="A55" s="88">
        <v>52</v>
      </c>
      <c r="B55" s="85">
        <v>-1.9999999999999716</v>
      </c>
      <c r="C55" s="85">
        <v>-1.2820512820512638E-2</v>
      </c>
      <c r="D55" s="90">
        <v>2</v>
      </c>
      <c r="E55" s="86">
        <v>0.33333333333333331</v>
      </c>
      <c r="F55" s="86">
        <v>0.306948109058927</v>
      </c>
      <c r="G55" s="86">
        <v>0.17854001759014951</v>
      </c>
      <c r="H55" s="87">
        <v>10548.424068767908</v>
      </c>
      <c r="I55" s="87">
        <v>-9473.8916256157627</v>
      </c>
      <c r="J55" s="86">
        <v>0.19230769230769232</v>
      </c>
      <c r="K55" s="86">
        <v>0.19230769230769232</v>
      </c>
      <c r="P55" s="86">
        <v>0.4040114613180516</v>
      </c>
      <c r="Q55" s="86">
        <v>0.39247311827956988</v>
      </c>
    </row>
    <row r="56" spans="1:17" x14ac:dyDescent="0.4">
      <c r="A56" s="88">
        <v>53</v>
      </c>
      <c r="B56" s="85">
        <v>-1.9999999999999716</v>
      </c>
      <c r="C56" s="85">
        <v>-1.257861635220108E-2</v>
      </c>
      <c r="D56" s="90">
        <v>2</v>
      </c>
      <c r="E56" s="86">
        <v>0.33333333333333331</v>
      </c>
      <c r="F56" s="86">
        <v>0.3065630397236615</v>
      </c>
      <c r="G56" s="86">
        <v>0.17789291882556132</v>
      </c>
      <c r="H56" s="87">
        <v>10503.098591549297</v>
      </c>
      <c r="I56" s="87">
        <v>-9458.2524271844668</v>
      </c>
      <c r="J56" s="86">
        <v>0.18867924528301888</v>
      </c>
      <c r="K56" s="86">
        <v>0.18867924528301888</v>
      </c>
      <c r="P56" s="86">
        <v>0.40563380281690142</v>
      </c>
      <c r="Q56" s="86">
        <v>0.38786279683377306</v>
      </c>
    </row>
    <row r="57" spans="1:17" x14ac:dyDescent="0.4">
      <c r="A57" s="88">
        <v>54</v>
      </c>
      <c r="B57" s="85">
        <v>-1.9999999999999716</v>
      </c>
      <c r="C57" s="85">
        <v>-1.2345679012345503E-2</v>
      </c>
      <c r="D57" s="90">
        <v>2</v>
      </c>
      <c r="E57" s="86">
        <v>0.33333333333333331</v>
      </c>
      <c r="F57" s="86">
        <v>0.30703986429177271</v>
      </c>
      <c r="G57" s="86">
        <v>0.17811704834605599</v>
      </c>
      <c r="H57" s="87">
        <v>10592.817679558011</v>
      </c>
      <c r="I57" s="87">
        <v>-9582.8571428571431</v>
      </c>
      <c r="J57" s="86">
        <v>0.19135802469135801</v>
      </c>
      <c r="K57" s="86">
        <v>0.19135802469135801</v>
      </c>
      <c r="P57" s="86">
        <v>0.40607734806629836</v>
      </c>
      <c r="Q57" s="86">
        <v>0.38860103626943004</v>
      </c>
    </row>
    <row r="58" spans="1:17" x14ac:dyDescent="0.4">
      <c r="A58" s="88">
        <v>55</v>
      </c>
      <c r="B58" s="85">
        <v>-1.9999999999999751</v>
      </c>
      <c r="C58" s="85">
        <v>-1.212121212121197E-2</v>
      </c>
      <c r="D58" s="90">
        <v>2</v>
      </c>
      <c r="E58" s="86">
        <v>0.33333333333333331</v>
      </c>
      <c r="F58" s="86">
        <v>0.30743525480367584</v>
      </c>
      <c r="G58" s="86">
        <v>0.17710944026733499</v>
      </c>
      <c r="H58" s="87">
        <v>10602.717391304348</v>
      </c>
      <c r="I58" s="87">
        <v>-9658.4905660377353</v>
      </c>
      <c r="J58" s="86">
        <v>0.19393939393939394</v>
      </c>
      <c r="K58" s="86">
        <v>0.19393939393939394</v>
      </c>
      <c r="P58" s="86">
        <v>0.40760869565217389</v>
      </c>
      <c r="Q58" s="86">
        <v>0.38775510204081631</v>
      </c>
    </row>
    <row r="59" spans="1:17" x14ac:dyDescent="0.4">
      <c r="A59" s="88">
        <v>56</v>
      </c>
      <c r="B59" s="85">
        <v>-2.9999999999999751</v>
      </c>
      <c r="C59" s="85">
        <v>-1.785714285714271E-2</v>
      </c>
      <c r="D59" s="90">
        <v>2</v>
      </c>
      <c r="E59" s="86">
        <v>0.33333333333333331</v>
      </c>
      <c r="F59" s="86">
        <v>0.3045977011494253</v>
      </c>
      <c r="G59" s="86">
        <v>0.17569786535303777</v>
      </c>
      <c r="H59" s="87">
        <v>10577.358490566037</v>
      </c>
      <c r="I59" s="87">
        <v>-9635.5140186915887</v>
      </c>
      <c r="J59" s="86">
        <v>0.19047619047619047</v>
      </c>
      <c r="K59" s="86">
        <v>0.19047619047619047</v>
      </c>
      <c r="P59" s="86">
        <v>0.40700808625336926</v>
      </c>
      <c r="Q59" s="86">
        <v>0.38095238095238093</v>
      </c>
    </row>
    <row r="60" spans="1:17" x14ac:dyDescent="0.4">
      <c r="A60" s="88">
        <v>57</v>
      </c>
      <c r="B60" s="85">
        <v>-2.9999999999999716</v>
      </c>
      <c r="C60" s="85">
        <v>-1.754385964912264E-2</v>
      </c>
      <c r="D60" s="90">
        <v>2</v>
      </c>
      <c r="E60" s="86">
        <v>0.33333333333333331</v>
      </c>
      <c r="F60" s="86">
        <v>0.30522088353413657</v>
      </c>
      <c r="G60" s="86">
        <v>0.17590361445783131</v>
      </c>
      <c r="H60" s="87">
        <v>10588.947368421053</v>
      </c>
      <c r="I60" s="87">
        <v>-9649.3150684931516</v>
      </c>
      <c r="J60" s="86">
        <v>0.19298245614035087</v>
      </c>
      <c r="K60" s="86">
        <v>0.19298245614035087</v>
      </c>
      <c r="P60" s="86">
        <v>0.40789473684210525</v>
      </c>
      <c r="Q60" s="86">
        <v>0.38235294117647056</v>
      </c>
    </row>
    <row r="61" spans="1:17" x14ac:dyDescent="0.4">
      <c r="A61" s="88">
        <v>58</v>
      </c>
      <c r="B61" s="85">
        <v>-2.999999999999968</v>
      </c>
      <c r="C61" s="85">
        <v>-1.7241379310344643E-2</v>
      </c>
      <c r="D61" s="90">
        <v>2</v>
      </c>
      <c r="E61" s="86">
        <v>0.33333333333333331</v>
      </c>
      <c r="F61" s="86">
        <v>0.30562153602533648</v>
      </c>
      <c r="G61" s="86">
        <v>0.17735550277117973</v>
      </c>
      <c r="H61" s="87">
        <v>10551.036269430051</v>
      </c>
      <c r="I61" s="87">
        <v>-9652.2321428571431</v>
      </c>
      <c r="J61" s="86">
        <v>0.19540229885057472</v>
      </c>
      <c r="K61" s="86">
        <v>0.19540229885057472</v>
      </c>
      <c r="P61" s="86">
        <v>0.4015544041450777</v>
      </c>
      <c r="Q61" s="86">
        <v>0.38164251207729466</v>
      </c>
    </row>
    <row r="62" spans="1:17" x14ac:dyDescent="0.4">
      <c r="A62" s="88">
        <v>59</v>
      </c>
      <c r="B62" s="85">
        <v>-2.9999999999999716</v>
      </c>
      <c r="C62" s="85">
        <v>-1.6949152542372722E-2</v>
      </c>
      <c r="D62" s="90">
        <v>2</v>
      </c>
      <c r="E62" s="86">
        <v>0.33333333333333331</v>
      </c>
      <c r="F62" s="86">
        <v>0.3058176100628931</v>
      </c>
      <c r="G62" s="86">
        <v>0.17767295597484276</v>
      </c>
      <c r="H62" s="87">
        <v>10608.483290488432</v>
      </c>
      <c r="I62" s="87">
        <v>-9752.6548672566369</v>
      </c>
      <c r="J62" s="86">
        <v>0.19774011299435029</v>
      </c>
      <c r="K62" s="86">
        <v>0.19774011299435029</v>
      </c>
      <c r="P62" s="86">
        <v>0.40102827763496146</v>
      </c>
      <c r="Q62" s="86">
        <v>0.38609112709832133</v>
      </c>
    </row>
    <row r="63" spans="1:17" x14ac:dyDescent="0.4">
      <c r="A63" s="88">
        <v>60</v>
      </c>
      <c r="B63" s="85">
        <v>-2.9999999999999716</v>
      </c>
      <c r="C63" s="85">
        <v>-1.666666666666651E-2</v>
      </c>
      <c r="D63" s="90">
        <v>2</v>
      </c>
      <c r="E63" s="86">
        <v>0.33333333333333331</v>
      </c>
      <c r="F63" s="86">
        <v>0.30645161290322581</v>
      </c>
      <c r="G63" s="86">
        <v>0.17895545314900155</v>
      </c>
      <c r="H63" s="87">
        <v>10542.105263157895</v>
      </c>
      <c r="I63" s="87">
        <v>-9752.7896995708161</v>
      </c>
      <c r="J63" s="86">
        <v>0.19444444444444445</v>
      </c>
      <c r="K63" s="86">
        <v>0.19444444444444445</v>
      </c>
      <c r="P63" s="86">
        <v>0.39849624060150374</v>
      </c>
      <c r="Q63" s="86">
        <v>0.38641686182669788</v>
      </c>
    </row>
    <row r="64" spans="1:17" x14ac:dyDescent="0.4">
      <c r="A64" s="88">
        <v>61</v>
      </c>
      <c r="B64" s="85">
        <v>-2.9999999999999751</v>
      </c>
      <c r="C64" s="85">
        <v>-1.6393442622950685E-2</v>
      </c>
      <c r="D64" s="90">
        <v>2</v>
      </c>
      <c r="E64" s="86">
        <v>0.33333333333333331</v>
      </c>
      <c r="F64" s="86">
        <v>0.30693815987933637</v>
      </c>
      <c r="G64" s="86">
        <v>0.18099547511312217</v>
      </c>
      <c r="H64" s="87">
        <v>10523.832923832924</v>
      </c>
      <c r="I64" s="87">
        <v>-9738.75</v>
      </c>
      <c r="J64" s="86">
        <v>0.19672131147540983</v>
      </c>
      <c r="K64" s="86">
        <v>0.19672131147540983</v>
      </c>
      <c r="P64" s="86">
        <v>0.3931203931203931</v>
      </c>
      <c r="Q64" s="86">
        <v>0.38620689655172413</v>
      </c>
    </row>
    <row r="65" spans="1:17" x14ac:dyDescent="0.4">
      <c r="A65" s="88">
        <v>62</v>
      </c>
      <c r="B65" s="85">
        <v>-2.9999999999999787</v>
      </c>
      <c r="C65" s="85">
        <v>-1.6129032258064401E-2</v>
      </c>
      <c r="D65" s="90">
        <v>2</v>
      </c>
      <c r="E65" s="86">
        <v>0.33333333333333331</v>
      </c>
      <c r="F65" s="86">
        <v>0.30592592592592593</v>
      </c>
      <c r="G65" s="86">
        <v>0.17925925925925926</v>
      </c>
      <c r="H65" s="87">
        <v>10526.634382566586</v>
      </c>
      <c r="I65" s="87">
        <v>-9744.628099173553</v>
      </c>
      <c r="J65" s="86">
        <v>0.19892473118279569</v>
      </c>
      <c r="K65" s="86">
        <v>0.19892473118279569</v>
      </c>
      <c r="P65" s="86">
        <v>0.39709443099273606</v>
      </c>
      <c r="Q65" s="86">
        <v>0.38600451467268621</v>
      </c>
    </row>
    <row r="66" spans="1:17" x14ac:dyDescent="0.4">
      <c r="A66" s="88">
        <v>63</v>
      </c>
      <c r="B66" s="85">
        <v>-2.9999999999999787</v>
      </c>
      <c r="C66" s="85">
        <v>-1.5873015873015761E-2</v>
      </c>
      <c r="D66" s="90">
        <v>2</v>
      </c>
      <c r="E66" s="86">
        <v>0.33333333333333331</v>
      </c>
      <c r="F66" s="86">
        <v>0.3056768558951965</v>
      </c>
      <c r="G66" s="86">
        <v>0.17758369723435224</v>
      </c>
      <c r="H66" s="87">
        <v>10565.476190476191</v>
      </c>
      <c r="I66" s="87">
        <v>-9795.9016393442616</v>
      </c>
      <c r="J66" s="86">
        <v>0.19576719576719576</v>
      </c>
      <c r="K66" s="86">
        <v>0.19576719576719576</v>
      </c>
      <c r="P66" s="86">
        <v>0.40238095238095239</v>
      </c>
      <c r="Q66" s="86">
        <v>0.38359201773835921</v>
      </c>
    </row>
    <row r="67" spans="1:17" x14ac:dyDescent="0.4">
      <c r="A67" s="88">
        <v>64</v>
      </c>
      <c r="B67" s="85">
        <v>-2.9999999999999778</v>
      </c>
      <c r="C67" s="85">
        <v>-1.5624999999999884E-2</v>
      </c>
      <c r="D67" s="90">
        <v>2</v>
      </c>
      <c r="E67" s="86">
        <v>0.33333333333333331</v>
      </c>
      <c r="F67" s="86">
        <v>0.30632551528073915</v>
      </c>
      <c r="G67" s="86">
        <v>0.17910447761194029</v>
      </c>
      <c r="H67" s="87">
        <v>10541.995359628771</v>
      </c>
      <c r="I67" s="87">
        <v>-9826.5873015873021</v>
      </c>
      <c r="J67" s="86">
        <v>0.19270833333333334</v>
      </c>
      <c r="K67" s="86">
        <v>0.19270833333333334</v>
      </c>
      <c r="P67" s="86">
        <v>0.39907192575406031</v>
      </c>
      <c r="Q67" s="86">
        <v>0.38528138528138528</v>
      </c>
    </row>
    <row r="68" spans="1:17" x14ac:dyDescent="0.4">
      <c r="A68" s="88">
        <v>65</v>
      </c>
      <c r="B68" s="85">
        <v>-2.9999999999999716</v>
      </c>
      <c r="C68" s="85">
        <v>-1.5384615384615238E-2</v>
      </c>
      <c r="D68" s="90">
        <v>2</v>
      </c>
      <c r="E68" s="86">
        <v>0.33333333333333331</v>
      </c>
      <c r="F68" s="86">
        <v>0.3068893528183716</v>
      </c>
      <c r="G68" s="86">
        <v>0.18023660403618649</v>
      </c>
      <c r="H68" s="87">
        <v>10608.843537414967</v>
      </c>
      <c r="I68" s="87">
        <v>-9942.8571428571431</v>
      </c>
      <c r="J68" s="86">
        <v>0.19487179487179487</v>
      </c>
      <c r="K68" s="86">
        <v>0.19487179487179487</v>
      </c>
      <c r="P68" s="86">
        <v>0.3968253968253968</v>
      </c>
      <c r="Q68" s="86">
        <v>0.38983050847457629</v>
      </c>
    </row>
    <row r="69" spans="1:17" x14ac:dyDescent="0.4">
      <c r="A69" s="88">
        <v>66</v>
      </c>
      <c r="B69" s="85">
        <v>-2.9999999999999716</v>
      </c>
      <c r="C69" s="85">
        <v>-1.5151515151515008E-2</v>
      </c>
      <c r="D69" s="90">
        <v>2</v>
      </c>
      <c r="E69" s="86">
        <v>0.33333333333333331</v>
      </c>
      <c r="F69" s="86">
        <v>0.3068893528183716</v>
      </c>
      <c r="G69" s="86">
        <v>0.18023660403618649</v>
      </c>
      <c r="H69" s="87">
        <v>10608.843537414967</v>
      </c>
      <c r="I69" s="87">
        <v>-9942.8571428571431</v>
      </c>
      <c r="J69" s="86">
        <v>0.19696969696969696</v>
      </c>
      <c r="K69" s="86">
        <v>0.19696969696969696</v>
      </c>
      <c r="P69" s="86">
        <v>0.3968253968253968</v>
      </c>
      <c r="Q69" s="86">
        <v>0.38983050847457629</v>
      </c>
    </row>
    <row r="70" spans="1:17" x14ac:dyDescent="0.4">
      <c r="A70" s="88">
        <v>67</v>
      </c>
      <c r="B70" s="85">
        <v>-2.9999999999999716</v>
      </c>
      <c r="C70" s="85">
        <v>-1.4925373134328217E-2</v>
      </c>
      <c r="D70" s="90">
        <v>2</v>
      </c>
      <c r="E70" s="86">
        <v>0.33333333333333331</v>
      </c>
      <c r="F70" s="86">
        <v>0.3068893528183716</v>
      </c>
      <c r="G70" s="86">
        <v>0.18023660403618649</v>
      </c>
      <c r="H70" s="87">
        <v>10608.843537414967</v>
      </c>
      <c r="I70" s="87">
        <v>-9942.8571428571431</v>
      </c>
      <c r="J70" s="86">
        <v>0.19900497512437812</v>
      </c>
      <c r="K70" s="86">
        <v>0.19900497512437812</v>
      </c>
      <c r="P70" s="86">
        <v>0.3968253968253968</v>
      </c>
      <c r="Q70" s="86">
        <v>0.38983050847457629</v>
      </c>
    </row>
    <row r="71" spans="1:17" x14ac:dyDescent="0.4">
      <c r="A71" s="88">
        <v>68</v>
      </c>
      <c r="B71" s="85">
        <v>-2.9999999999999707</v>
      </c>
      <c r="C71" s="85">
        <v>-1.4705882352941032E-2</v>
      </c>
      <c r="D71" s="90">
        <v>2</v>
      </c>
      <c r="E71" s="86">
        <v>0.33333333333333331</v>
      </c>
      <c r="F71" s="86">
        <v>0.3068893528183716</v>
      </c>
      <c r="G71" s="86">
        <v>0.18023660403618649</v>
      </c>
      <c r="H71" s="87">
        <v>10608.843537414967</v>
      </c>
      <c r="I71" s="87">
        <v>-9942.8571428571431</v>
      </c>
      <c r="J71" s="86">
        <v>0.19607843137254902</v>
      </c>
      <c r="K71" s="86">
        <v>0.19607843137254902</v>
      </c>
      <c r="P71" s="86">
        <v>0.3968253968253968</v>
      </c>
      <c r="Q71" s="86">
        <v>0.38983050847457629</v>
      </c>
    </row>
    <row r="72" spans="1:17" x14ac:dyDescent="0.4">
      <c r="A72" s="88">
        <v>69</v>
      </c>
      <c r="B72" s="85">
        <v>-2.9999999999999716</v>
      </c>
      <c r="C72" s="85">
        <v>-1.4492753623188269E-2</v>
      </c>
      <c r="D72" s="90">
        <v>2</v>
      </c>
      <c r="E72" s="86">
        <v>0.33333333333333331</v>
      </c>
      <c r="F72" s="86">
        <v>0.30705394190871371</v>
      </c>
      <c r="G72" s="86">
        <v>0.17980636237897649</v>
      </c>
      <c r="H72" s="87">
        <v>10672.297297297297</v>
      </c>
      <c r="I72" s="87">
        <v>-9996.9230769230762</v>
      </c>
      <c r="J72" s="86">
        <v>0.19806763285024154</v>
      </c>
      <c r="K72" s="86">
        <v>0.19806763285024154</v>
      </c>
      <c r="L72" s="86">
        <v>0.44444444444444442</v>
      </c>
      <c r="M72" s="86">
        <v>0.1111111111111111</v>
      </c>
      <c r="N72" s="86">
        <v>0.75</v>
      </c>
      <c r="O72" s="86">
        <v>0</v>
      </c>
      <c r="P72" s="86">
        <v>0.39864864864864863</v>
      </c>
      <c r="Q72" s="86">
        <v>0.3936842105263158</v>
      </c>
    </row>
    <row r="73" spans="1:17" x14ac:dyDescent="0.4">
      <c r="A73" s="88">
        <v>70</v>
      </c>
      <c r="B73" s="85">
        <v>-2.9999999999999725</v>
      </c>
      <c r="C73" s="85">
        <v>-1.4285714285714155E-2</v>
      </c>
      <c r="D73" s="90">
        <v>2</v>
      </c>
      <c r="E73" s="86">
        <v>0.33333333333333331</v>
      </c>
      <c r="F73" s="86">
        <v>0.3074829931972789</v>
      </c>
      <c r="G73" s="86">
        <v>0.18095238095238095</v>
      </c>
      <c r="H73" s="87">
        <v>10652.654867256637</v>
      </c>
      <c r="I73" s="87">
        <v>-9998.8721804511279</v>
      </c>
      <c r="J73" s="86">
        <v>0.19523809523809524</v>
      </c>
      <c r="K73" s="86">
        <v>0.19523809523809524</v>
      </c>
      <c r="L73" s="86">
        <v>0.36363636363636365</v>
      </c>
      <c r="M73" s="86">
        <v>0.18181818181818182</v>
      </c>
      <c r="N73" s="86">
        <v>0.66666666666666663</v>
      </c>
      <c r="O73" s="86">
        <v>0.16666666666666666</v>
      </c>
      <c r="P73" s="86">
        <v>0.39601769911504425</v>
      </c>
      <c r="Q73" s="86">
        <v>0.39130434782608697</v>
      </c>
    </row>
    <row r="74" spans="1:17" x14ac:dyDescent="0.4">
      <c r="A74" s="88">
        <v>71</v>
      </c>
      <c r="B74" s="85">
        <v>-2.9999999999999725</v>
      </c>
      <c r="C74" s="85">
        <v>-1.4084507042253391E-2</v>
      </c>
      <c r="D74" s="90">
        <v>2</v>
      </c>
      <c r="E74" s="86">
        <v>0.33333333333333331</v>
      </c>
      <c r="F74" s="86">
        <v>0.30789825970548862</v>
      </c>
      <c r="G74" s="86">
        <v>0.18072289156626506</v>
      </c>
      <c r="H74" s="87">
        <v>10613.91304347826</v>
      </c>
      <c r="I74" s="87">
        <v>-9972.5925925925931</v>
      </c>
      <c r="J74" s="86">
        <v>0.19248826291079812</v>
      </c>
      <c r="K74" s="86">
        <v>0.19248826291079812</v>
      </c>
      <c r="L74" s="86">
        <v>0.35087719298245612</v>
      </c>
      <c r="M74" s="86">
        <v>0.17543859649122806</v>
      </c>
      <c r="N74" s="86">
        <v>0.65</v>
      </c>
      <c r="O74" s="86">
        <v>0.3</v>
      </c>
      <c r="P74" s="86">
        <v>0.39782608695652172</v>
      </c>
      <c r="Q74" s="86">
        <v>0.3910386965376782</v>
      </c>
    </row>
    <row r="75" spans="1:17" x14ac:dyDescent="0.4">
      <c r="A75" s="88">
        <v>72</v>
      </c>
      <c r="B75" s="85">
        <v>-2.9999999999999787</v>
      </c>
      <c r="C75" s="85">
        <v>-1.3888888888888791E-2</v>
      </c>
      <c r="D75" s="90">
        <v>2</v>
      </c>
      <c r="E75" s="86">
        <v>0.33333333333333331</v>
      </c>
      <c r="F75" s="86">
        <v>0.30753968253968256</v>
      </c>
      <c r="G75" s="86">
        <v>0.18055555555555555</v>
      </c>
      <c r="H75" s="87">
        <v>10606.236559139785</v>
      </c>
      <c r="I75" s="87">
        <v>-9957.1428571428569</v>
      </c>
      <c r="J75" s="86">
        <v>0.19444444444444445</v>
      </c>
      <c r="K75" s="86">
        <v>0.19444444444444445</v>
      </c>
      <c r="L75" s="86">
        <v>0.33333333333333331</v>
      </c>
      <c r="M75" s="86">
        <v>0.18666666666666668</v>
      </c>
      <c r="N75" s="86">
        <v>0.64</v>
      </c>
      <c r="O75" s="86">
        <v>0.35714285714285715</v>
      </c>
      <c r="P75" s="86">
        <v>0.39784946236559138</v>
      </c>
      <c r="Q75" s="86">
        <v>0.3903420523138833</v>
      </c>
    </row>
    <row r="76" spans="1:17" x14ac:dyDescent="0.4">
      <c r="A76" s="88">
        <v>73</v>
      </c>
      <c r="B76" s="85">
        <v>-2.9999999999999774</v>
      </c>
      <c r="C76" s="85">
        <v>-1.3698630136986198E-2</v>
      </c>
      <c r="D76" s="90">
        <v>2</v>
      </c>
      <c r="E76" s="86">
        <v>0.33333333333333331</v>
      </c>
      <c r="F76" s="86">
        <v>0.30724070450097846</v>
      </c>
      <c r="G76" s="86">
        <v>0.18069145466405739</v>
      </c>
      <c r="H76" s="87">
        <v>10628.450106157112</v>
      </c>
      <c r="I76" s="87">
        <v>-9936.4620938628159</v>
      </c>
      <c r="J76" s="86">
        <v>0.19634703196347031</v>
      </c>
      <c r="K76" s="86">
        <v>0.19634703196347031</v>
      </c>
      <c r="L76" s="86">
        <v>0.33333333333333331</v>
      </c>
      <c r="M76" s="86">
        <v>0.22916666666666666</v>
      </c>
      <c r="N76" s="86">
        <v>0.625</v>
      </c>
      <c r="O76" s="86">
        <v>0.27272727272727271</v>
      </c>
      <c r="P76" s="86">
        <v>0.39702760084925692</v>
      </c>
      <c r="Q76" s="86">
        <v>0.39087301587301587</v>
      </c>
    </row>
    <row r="77" spans="1:17" x14ac:dyDescent="0.4">
      <c r="A77" s="88">
        <v>74</v>
      </c>
      <c r="B77" s="85">
        <v>-2.9999999999999787</v>
      </c>
      <c r="C77" s="85">
        <v>-1.3513513513513417E-2</v>
      </c>
      <c r="D77" s="90">
        <v>2</v>
      </c>
      <c r="E77" s="86">
        <v>0.33333333333333331</v>
      </c>
      <c r="F77" s="86">
        <v>0.30700064226075785</v>
      </c>
      <c r="G77" s="86">
        <v>0.1791907514450867</v>
      </c>
      <c r="H77" s="87">
        <v>10621.757322175732</v>
      </c>
      <c r="I77" s="87">
        <v>-10022.939068100359</v>
      </c>
      <c r="J77" s="86">
        <v>0.19369369369369369</v>
      </c>
      <c r="K77" s="86">
        <v>0.19369369369369369</v>
      </c>
      <c r="L77" s="86">
        <v>0.31666666666666665</v>
      </c>
      <c r="M77" s="86">
        <v>0.24166666666666667</v>
      </c>
      <c r="N77" s="86">
        <v>0.63157894736842102</v>
      </c>
      <c r="O77" s="86">
        <v>0.27586206896551724</v>
      </c>
      <c r="P77" s="86">
        <v>0.40167364016736401</v>
      </c>
      <c r="Q77" s="86">
        <v>0.388671875</v>
      </c>
    </row>
    <row r="78" spans="1:17" x14ac:dyDescent="0.4">
      <c r="A78" s="88">
        <v>75</v>
      </c>
      <c r="B78" s="85">
        <v>-2.9999999999999787</v>
      </c>
      <c r="C78" s="85">
        <v>-1.3333333333333239E-2</v>
      </c>
      <c r="D78" s="90">
        <v>2</v>
      </c>
      <c r="E78" s="86">
        <v>0.33333333333333331</v>
      </c>
      <c r="F78" s="86">
        <v>0.30666666666666664</v>
      </c>
      <c r="G78" s="86">
        <v>0.17904761904761904</v>
      </c>
      <c r="H78" s="87">
        <v>10608.695652173914</v>
      </c>
      <c r="I78" s="87">
        <v>-10020.921985815603</v>
      </c>
      <c r="J78" s="86">
        <v>0.19555555555555557</v>
      </c>
      <c r="K78" s="86">
        <v>0.19555555555555557</v>
      </c>
      <c r="L78" s="86">
        <v>0.32608695652173914</v>
      </c>
      <c r="M78" s="86">
        <v>0.2391304347826087</v>
      </c>
      <c r="N78" s="86">
        <v>0.6</v>
      </c>
      <c r="O78" s="86">
        <v>0.27272727272727271</v>
      </c>
      <c r="P78" s="86">
        <v>0.40165631469979296</v>
      </c>
      <c r="Q78" s="86">
        <v>0.38996138996138996</v>
      </c>
    </row>
    <row r="79" spans="1:17" x14ac:dyDescent="0.4">
      <c r="A79" s="88">
        <v>76</v>
      </c>
      <c r="B79" s="85">
        <v>-2.9999999999999787</v>
      </c>
      <c r="C79" s="85">
        <v>-1.3157894736842013E-2</v>
      </c>
      <c r="D79" s="90">
        <v>2</v>
      </c>
      <c r="E79" s="86">
        <v>0.33333333333333331</v>
      </c>
      <c r="F79" s="86">
        <v>0.30644152595372109</v>
      </c>
      <c r="G79" s="86">
        <v>0.17886178861788618</v>
      </c>
      <c r="H79" s="87">
        <v>10545.102040816326</v>
      </c>
      <c r="I79" s="87">
        <v>-9976.5734265734263</v>
      </c>
      <c r="J79" s="86">
        <v>0.19298245614035087</v>
      </c>
      <c r="K79" s="86">
        <v>0.19298245614035087</v>
      </c>
      <c r="L79" s="86">
        <v>0.30246913580246915</v>
      </c>
      <c r="M79" s="86">
        <v>0.25925925925925924</v>
      </c>
      <c r="N79" s="86">
        <v>0.5714285714285714</v>
      </c>
      <c r="O79" s="86">
        <v>0.30952380952380953</v>
      </c>
      <c r="P79" s="86">
        <v>0.4020408163265306</v>
      </c>
      <c r="Q79" s="86">
        <v>0.38973384030418251</v>
      </c>
    </row>
    <row r="80" spans="1:17" x14ac:dyDescent="0.4">
      <c r="A80" s="88">
        <v>77</v>
      </c>
      <c r="B80" s="85">
        <v>-2.9999999999999787</v>
      </c>
      <c r="C80" s="85">
        <v>-1.2987012987012894E-2</v>
      </c>
      <c r="D80" s="90">
        <v>2</v>
      </c>
      <c r="E80" s="86">
        <v>0.33333333333333331</v>
      </c>
      <c r="F80" s="86">
        <v>0.30622304374614912</v>
      </c>
      <c r="G80" s="86">
        <v>0.17744916820702403</v>
      </c>
      <c r="H80" s="87">
        <v>10556.740442655935</v>
      </c>
      <c r="I80" s="87">
        <v>-9936.4583333333339</v>
      </c>
      <c r="J80" s="86">
        <v>0.19047619047619047</v>
      </c>
      <c r="K80" s="86">
        <v>0.19047619047619047</v>
      </c>
      <c r="L80" s="86">
        <v>0.29032258064516131</v>
      </c>
      <c r="M80" s="86">
        <v>0.26881720430107525</v>
      </c>
      <c r="N80" s="86">
        <v>0.55555555555555558</v>
      </c>
      <c r="O80" s="86">
        <v>0.34</v>
      </c>
      <c r="P80" s="86">
        <v>0.40643863179074446</v>
      </c>
      <c r="Q80" s="86">
        <v>0.38764044943820225</v>
      </c>
    </row>
    <row r="81" spans="1:17" x14ac:dyDescent="0.4">
      <c r="A81" s="88">
        <v>78</v>
      </c>
      <c r="B81" s="85">
        <v>-2.9999999999999774</v>
      </c>
      <c r="C81" s="85">
        <v>-1.2820512820512723E-2</v>
      </c>
      <c r="D81" s="90">
        <v>2</v>
      </c>
      <c r="E81" s="86">
        <v>0.33333333333333331</v>
      </c>
      <c r="F81" s="86">
        <v>0.30642201834862387</v>
      </c>
      <c r="G81" s="86">
        <v>0.1779816513761468</v>
      </c>
      <c r="H81" s="87">
        <v>10560.079840319362</v>
      </c>
      <c r="I81" s="87">
        <v>-9943.6426116838484</v>
      </c>
      <c r="J81" s="86">
        <v>0.19230769230769232</v>
      </c>
      <c r="K81" s="86">
        <v>0.19230769230769232</v>
      </c>
      <c r="L81" s="86">
        <v>0.2878787878787879</v>
      </c>
      <c r="M81" s="86">
        <v>0.25757575757575757</v>
      </c>
      <c r="N81" s="86">
        <v>0.57894736842105265</v>
      </c>
      <c r="O81" s="86">
        <v>0.35294117647058826</v>
      </c>
      <c r="P81" s="86">
        <v>0.40518962075848303</v>
      </c>
      <c r="Q81" s="86">
        <v>0.38661710037174724</v>
      </c>
    </row>
    <row r="82" spans="1:17" x14ac:dyDescent="0.4">
      <c r="A82" s="88">
        <v>79</v>
      </c>
      <c r="B82" s="85">
        <v>-2.9999999999999778</v>
      </c>
      <c r="C82" s="85">
        <v>-1.2658227848101172E-2</v>
      </c>
      <c r="D82" s="90">
        <v>2</v>
      </c>
      <c r="E82" s="86">
        <v>0.33333333333333331</v>
      </c>
      <c r="F82" s="86">
        <v>0.30671506352087113</v>
      </c>
      <c r="G82" s="86">
        <v>0.17725347852389595</v>
      </c>
      <c r="H82" s="87">
        <v>10511.439842209073</v>
      </c>
      <c r="I82" s="87">
        <v>-9916.3822525597261</v>
      </c>
      <c r="J82" s="86">
        <v>0.189873417721519</v>
      </c>
      <c r="K82" s="86">
        <v>0.189873417721519</v>
      </c>
      <c r="L82" s="86">
        <v>0.29166666666666669</v>
      </c>
      <c r="M82" s="86">
        <v>0.25</v>
      </c>
      <c r="N82" s="86">
        <v>0.58730158730158732</v>
      </c>
      <c r="O82" s="86">
        <v>0.35185185185185186</v>
      </c>
      <c r="P82" s="86">
        <v>0.40828402366863903</v>
      </c>
      <c r="Q82" s="86">
        <v>0.38235294117647056</v>
      </c>
    </row>
    <row r="83" spans="1:17" x14ac:dyDescent="0.4">
      <c r="A83" s="88">
        <v>80</v>
      </c>
      <c r="B83" s="85">
        <v>-2.9999999999999787</v>
      </c>
      <c r="C83" s="85">
        <v>-1.249999999999991E-2</v>
      </c>
      <c r="D83" s="90">
        <v>2</v>
      </c>
      <c r="E83" s="86">
        <v>0.33333333333333331</v>
      </c>
      <c r="F83" s="86">
        <v>0.30640335128665469</v>
      </c>
      <c r="G83" s="86">
        <v>0.17654099341711549</v>
      </c>
      <c r="H83" s="87">
        <v>10551.7578125</v>
      </c>
      <c r="I83" s="87">
        <v>-9907.4576271186434</v>
      </c>
      <c r="J83" s="86">
        <v>0.1875</v>
      </c>
      <c r="K83" s="86">
        <v>0.1875</v>
      </c>
      <c r="L83" s="86">
        <v>0.29059829059829062</v>
      </c>
      <c r="M83" s="86">
        <v>0.24358974358974358</v>
      </c>
      <c r="N83" s="86">
        <v>0.6029411764705882</v>
      </c>
      <c r="O83" s="86">
        <v>0.33333333333333331</v>
      </c>
      <c r="P83" s="86">
        <v>0.41015625</v>
      </c>
      <c r="Q83" s="86">
        <v>0.37818181818181817</v>
      </c>
    </row>
    <row r="84" spans="1:17" x14ac:dyDescent="0.4">
      <c r="A84" s="88">
        <v>81</v>
      </c>
      <c r="B84" s="85">
        <v>-2.9999999999999787</v>
      </c>
      <c r="C84" s="85">
        <v>-1.2345679012345592E-2</v>
      </c>
      <c r="D84" s="90">
        <v>2</v>
      </c>
      <c r="E84" s="86">
        <v>0.33333333333333331</v>
      </c>
      <c r="F84" s="86">
        <v>0.30579964850615116</v>
      </c>
      <c r="G84" s="86">
        <v>0.1751611013473931</v>
      </c>
      <c r="H84" s="87">
        <v>10551.340996168583</v>
      </c>
      <c r="I84" s="87">
        <v>-9898.3277591973238</v>
      </c>
      <c r="J84" s="86">
        <v>0.18518518518518517</v>
      </c>
      <c r="K84" s="86">
        <v>0.18518518518518517</v>
      </c>
      <c r="L84" s="86">
        <v>0.2814814814814815</v>
      </c>
      <c r="M84" s="86">
        <v>0.24444444444444444</v>
      </c>
      <c r="N84" s="86">
        <v>0.59210526315789469</v>
      </c>
      <c r="O84" s="86">
        <v>0.34848484848484851</v>
      </c>
      <c r="P84" s="86">
        <v>0.41379310344827586</v>
      </c>
      <c r="Q84" s="86">
        <v>0.38078291814946619</v>
      </c>
    </row>
    <row r="85" spans="1:17" x14ac:dyDescent="0.4">
      <c r="A85" s="88">
        <v>82</v>
      </c>
      <c r="B85" s="85">
        <v>-2.9999999999999769</v>
      </c>
      <c r="C85" s="85">
        <v>-1.2195121951219419E-2</v>
      </c>
      <c r="D85" s="90">
        <v>2</v>
      </c>
      <c r="E85" s="86">
        <v>0.33333333333333331</v>
      </c>
      <c r="F85" s="86">
        <v>0.30613425925925924</v>
      </c>
      <c r="G85" s="86">
        <v>0.17534722222222221</v>
      </c>
      <c r="H85" s="87">
        <v>10531.94706994329</v>
      </c>
      <c r="I85" s="87">
        <v>-9871.9471947194725</v>
      </c>
      <c r="J85" s="86">
        <v>0.18292682926829268</v>
      </c>
      <c r="K85" s="86">
        <v>0.18292682926829268</v>
      </c>
      <c r="L85" s="86">
        <v>0.29209621993127149</v>
      </c>
      <c r="M85" s="86">
        <v>0.24054982817869416</v>
      </c>
      <c r="N85" s="86">
        <v>0.6</v>
      </c>
      <c r="O85" s="86">
        <v>0.34285714285714286</v>
      </c>
      <c r="P85" s="86">
        <v>0.41398865784499056</v>
      </c>
      <c r="Q85" s="86">
        <v>0.37785588752196836</v>
      </c>
    </row>
    <row r="86" spans="1:17" x14ac:dyDescent="0.4">
      <c r="A86" s="88">
        <v>83</v>
      </c>
      <c r="B86" s="85">
        <v>-2.9999999999999787</v>
      </c>
      <c r="C86" s="85">
        <v>-1.2048192771084251E-2</v>
      </c>
      <c r="D86" s="90">
        <v>2</v>
      </c>
      <c r="E86" s="86">
        <v>0.33333333333333331</v>
      </c>
      <c r="F86" s="86">
        <v>0.30616864742501415</v>
      </c>
      <c r="G86" s="86">
        <v>0.17600452744765138</v>
      </c>
      <c r="H86" s="87">
        <v>10424.029574861368</v>
      </c>
      <c r="I86" s="87">
        <v>-9783.2797427652731</v>
      </c>
      <c r="J86" s="86">
        <v>0.18473895582329317</v>
      </c>
      <c r="K86" s="86">
        <v>0.18473895582329317</v>
      </c>
      <c r="L86" s="86">
        <v>0.2818181818181818</v>
      </c>
      <c r="M86" s="86">
        <v>0.24848484848484848</v>
      </c>
      <c r="N86" s="86">
        <v>0.58064516129032262</v>
      </c>
      <c r="O86" s="86">
        <v>0.35365853658536583</v>
      </c>
      <c r="P86" s="86">
        <v>0.41035120147874304</v>
      </c>
      <c r="Q86" s="86">
        <v>0.3797250859106529</v>
      </c>
    </row>
    <row r="87" spans="1:17" x14ac:dyDescent="0.4">
      <c r="A87" s="88">
        <v>84</v>
      </c>
      <c r="B87" s="85">
        <v>-2.9999999999999787</v>
      </c>
      <c r="C87" s="85">
        <v>-1.1904761904761821E-2</v>
      </c>
      <c r="D87" s="90">
        <v>2</v>
      </c>
      <c r="E87" s="86">
        <v>0.33333333333333331</v>
      </c>
      <c r="F87" s="86">
        <v>0.3058361391694725</v>
      </c>
      <c r="G87" s="86">
        <v>0.17620650953984288</v>
      </c>
      <c r="H87" s="87">
        <v>10464.954128440368</v>
      </c>
      <c r="I87" s="87">
        <v>-9836.3057324840756</v>
      </c>
      <c r="J87" s="86">
        <v>0.18650793650793651</v>
      </c>
      <c r="K87" s="86">
        <v>0.18650793650793651</v>
      </c>
      <c r="L87" s="86">
        <v>0.28405797101449276</v>
      </c>
      <c r="M87" s="86">
        <v>0.24637681159420291</v>
      </c>
      <c r="N87" s="86">
        <v>0.58163265306122447</v>
      </c>
      <c r="O87" s="86">
        <v>0.3411764705882353</v>
      </c>
      <c r="P87" s="86">
        <v>0.40917431192660553</v>
      </c>
      <c r="Q87" s="86">
        <v>0.37989778534923341</v>
      </c>
    </row>
    <row r="88" spans="1:17" x14ac:dyDescent="0.4">
      <c r="A88" s="88">
        <v>85</v>
      </c>
      <c r="B88" s="85">
        <v>-2.9999999999999787</v>
      </c>
      <c r="C88" s="85">
        <v>-1.1764705882352858E-2</v>
      </c>
      <c r="D88" s="90">
        <v>2</v>
      </c>
      <c r="E88" s="86">
        <v>0.33333333333333331</v>
      </c>
      <c r="F88" s="86">
        <v>0.30620155038759689</v>
      </c>
      <c r="G88" s="86">
        <v>0.17607973421926909</v>
      </c>
      <c r="H88" s="87">
        <v>10448.282097649186</v>
      </c>
      <c r="I88" s="87">
        <v>-9816.9811320754725</v>
      </c>
      <c r="J88" s="86">
        <v>0.18823529411764706</v>
      </c>
      <c r="K88" s="86">
        <v>0.18823529411764706</v>
      </c>
      <c r="L88" s="86">
        <v>0.28455284552845528</v>
      </c>
      <c r="M88" s="86">
        <v>0.24932249322493225</v>
      </c>
      <c r="N88" s="86">
        <v>0.580952380952381</v>
      </c>
      <c r="O88" s="86">
        <v>0.33695652173913043</v>
      </c>
      <c r="P88" s="86">
        <v>0.41048824593128391</v>
      </c>
      <c r="Q88" s="86">
        <v>0.37983193277310923</v>
      </c>
    </row>
    <row r="89" spans="1:17" x14ac:dyDescent="0.4">
      <c r="A89" s="88">
        <v>86</v>
      </c>
      <c r="B89" s="85">
        <v>-2.9999999999999787</v>
      </c>
      <c r="C89" s="85">
        <v>-1.1627906976744103E-2</v>
      </c>
      <c r="D89" s="90">
        <v>2</v>
      </c>
      <c r="E89" s="86">
        <v>0.33333333333333331</v>
      </c>
      <c r="F89" s="86">
        <v>0.30546448087431693</v>
      </c>
      <c r="G89" s="86">
        <v>0.17540983606557378</v>
      </c>
      <c r="H89" s="87">
        <v>10424.150268336314</v>
      </c>
      <c r="I89" s="87">
        <v>-9791.2772585669791</v>
      </c>
      <c r="J89" s="86">
        <v>0.18604651162790697</v>
      </c>
      <c r="K89" s="86">
        <v>0.18604651162790697</v>
      </c>
      <c r="L89" s="86">
        <v>0.27989821882951654</v>
      </c>
      <c r="M89" s="86">
        <v>0.24427480916030533</v>
      </c>
      <c r="N89" s="86">
        <v>0.59090909090909094</v>
      </c>
      <c r="O89" s="86">
        <v>0.32291666666666669</v>
      </c>
      <c r="P89" s="86">
        <v>0.41144901610017887</v>
      </c>
      <c r="Q89" s="86">
        <v>0.37479270315091212</v>
      </c>
    </row>
    <row r="90" spans="1:17" x14ac:dyDescent="0.4">
      <c r="A90" s="88">
        <v>87</v>
      </c>
      <c r="B90" s="85">
        <v>-2.9999999999999822</v>
      </c>
      <c r="C90" s="85">
        <v>-1.1494252873563151E-2</v>
      </c>
      <c r="D90" s="90">
        <v>2</v>
      </c>
      <c r="E90" s="86">
        <v>0.33333333333333331</v>
      </c>
      <c r="F90" s="86">
        <v>0.30569105691056908</v>
      </c>
      <c r="G90" s="86">
        <v>0.17452574525745257</v>
      </c>
      <c r="H90" s="87">
        <v>10507.624113475178</v>
      </c>
      <c r="I90" s="87">
        <v>-9770.8074534161497</v>
      </c>
      <c r="J90" s="86">
        <v>0.18773946360153257</v>
      </c>
      <c r="K90" s="86">
        <v>0.18773946360153257</v>
      </c>
      <c r="L90" s="86">
        <v>0.27941176470588236</v>
      </c>
      <c r="M90" s="86">
        <v>0.24509803921568626</v>
      </c>
      <c r="N90" s="86">
        <v>0.59649122807017541</v>
      </c>
      <c r="O90" s="86">
        <v>0.31</v>
      </c>
      <c r="P90" s="86">
        <v>0.41489361702127658</v>
      </c>
      <c r="Q90" s="86">
        <v>0.37335526315789475</v>
      </c>
    </row>
    <row r="91" spans="1:17" x14ac:dyDescent="0.4">
      <c r="A91" s="88">
        <v>88</v>
      </c>
      <c r="B91" s="85">
        <v>-2.9999999999999858</v>
      </c>
      <c r="C91" s="85">
        <v>-1.136363636363631E-2</v>
      </c>
      <c r="D91" s="90">
        <v>2</v>
      </c>
      <c r="E91" s="86">
        <v>0.33333333333333331</v>
      </c>
      <c r="F91" s="86">
        <v>0.30577636459989399</v>
      </c>
      <c r="G91" s="86">
        <v>0.17488076311605724</v>
      </c>
      <c r="H91" s="87">
        <v>10478.336221837088</v>
      </c>
      <c r="I91" s="87">
        <v>-9762.424242424242</v>
      </c>
      <c r="J91" s="86">
        <v>0.18560606060606061</v>
      </c>
      <c r="K91" s="86">
        <v>0.18560606060606061</v>
      </c>
      <c r="L91" s="86">
        <v>0.27777777777777779</v>
      </c>
      <c r="M91" s="86">
        <v>0.24444444444444444</v>
      </c>
      <c r="N91" s="86">
        <v>0.6</v>
      </c>
      <c r="O91" s="86">
        <v>0.31818181818181818</v>
      </c>
      <c r="P91" s="86">
        <v>0.41421143847487002</v>
      </c>
      <c r="Q91" s="86">
        <v>0.3762057877813505</v>
      </c>
    </row>
    <row r="92" spans="1:17" x14ac:dyDescent="0.4">
      <c r="A92" s="88">
        <v>89</v>
      </c>
      <c r="B92" s="85">
        <v>-2.9999999999999822</v>
      </c>
      <c r="C92" s="85">
        <v>-1.1235955056179709E-2</v>
      </c>
      <c r="D92" s="90">
        <v>2</v>
      </c>
      <c r="E92" s="86">
        <v>0.33333333333333331</v>
      </c>
      <c r="F92" s="86">
        <v>0.30559916274201987</v>
      </c>
      <c r="G92" s="86">
        <v>0.17477760334903192</v>
      </c>
      <c r="H92" s="87">
        <v>10424.486301369863</v>
      </c>
      <c r="I92" s="87">
        <v>-9716.7664670658687</v>
      </c>
      <c r="J92" s="86">
        <v>0.18352059925093633</v>
      </c>
      <c r="K92" s="86">
        <v>0.18352059925093633</v>
      </c>
      <c r="L92" s="86">
        <v>0.28270042194092826</v>
      </c>
      <c r="M92" s="86">
        <v>0.24472573839662448</v>
      </c>
      <c r="N92" s="86">
        <v>0.59701492537313428</v>
      </c>
      <c r="O92" s="86">
        <v>0.31896551724137934</v>
      </c>
      <c r="P92" s="86">
        <v>0.41438356164383561</v>
      </c>
      <c r="Q92" s="86">
        <v>0.37301587301587302</v>
      </c>
    </row>
    <row r="93" spans="1:17" x14ac:dyDescent="0.4">
      <c r="A93" s="88">
        <v>90</v>
      </c>
      <c r="B93" s="85">
        <v>-2.9999999999999813</v>
      </c>
      <c r="C93" s="85">
        <v>-1.1111111111111042E-2</v>
      </c>
      <c r="D93" s="90">
        <v>2</v>
      </c>
      <c r="E93" s="86">
        <v>0.33333333333333331</v>
      </c>
      <c r="F93" s="86">
        <v>0.30594315245478038</v>
      </c>
      <c r="G93" s="86">
        <v>0.17467700258397933</v>
      </c>
      <c r="H93" s="87">
        <v>10443.243243243243</v>
      </c>
      <c r="I93" s="87">
        <v>-9692.0118343195263</v>
      </c>
      <c r="J93" s="86">
        <v>0.18148148148148149</v>
      </c>
      <c r="K93" s="86">
        <v>0.18148148148148149</v>
      </c>
      <c r="L93" s="86">
        <v>0.28313253012048195</v>
      </c>
      <c r="M93" s="86">
        <v>0.23895582329317269</v>
      </c>
      <c r="N93" s="86">
        <v>0.60992907801418439</v>
      </c>
      <c r="O93" s="86">
        <v>0.32773109243697479</v>
      </c>
      <c r="P93" s="86">
        <v>0.41554054054054052</v>
      </c>
      <c r="Q93" s="86">
        <v>0.37304075235109718</v>
      </c>
    </row>
    <row r="94" spans="1:17" x14ac:dyDescent="0.4">
      <c r="A94" s="88">
        <v>91</v>
      </c>
      <c r="B94" s="85">
        <v>-2.9999999999999809</v>
      </c>
      <c r="C94" s="85">
        <v>-1.0989010989010919E-2</v>
      </c>
      <c r="D94" s="90">
        <v>2</v>
      </c>
      <c r="E94" s="86">
        <v>0.33333333333333331</v>
      </c>
      <c r="F94" s="86">
        <v>0.30627871362940273</v>
      </c>
      <c r="G94" s="86">
        <v>0.17611026033690658</v>
      </c>
      <c r="H94" s="87">
        <v>10393.666666666666</v>
      </c>
      <c r="I94" s="87">
        <v>-9628.115942028986</v>
      </c>
      <c r="J94" s="86">
        <v>0.17948717948717949</v>
      </c>
      <c r="K94" s="86">
        <v>0.17948717948717949</v>
      </c>
      <c r="L94" s="86">
        <v>0.27777777777777779</v>
      </c>
      <c r="M94" s="86">
        <v>0.2413793103448276</v>
      </c>
      <c r="N94" s="86">
        <v>0.61379310344827587</v>
      </c>
      <c r="O94" s="86">
        <v>0.34920634920634919</v>
      </c>
      <c r="P94" s="86">
        <v>0.41166666666666668</v>
      </c>
      <c r="Q94" s="86">
        <v>0.37151702786377711</v>
      </c>
    </row>
    <row r="95" spans="1:17" x14ac:dyDescent="0.4">
      <c r="A95" s="88">
        <v>92</v>
      </c>
      <c r="B95" s="85">
        <v>-2.9999999999999742</v>
      </c>
      <c r="C95" s="85">
        <v>-1.086956521739121E-2</v>
      </c>
      <c r="D95" s="90">
        <v>2</v>
      </c>
      <c r="E95" s="86">
        <v>0.33333333333333331</v>
      </c>
      <c r="F95" s="86">
        <v>0.30676691729323308</v>
      </c>
      <c r="G95" s="86">
        <v>0.17593984962406015</v>
      </c>
      <c r="H95" s="87">
        <v>10404.411764705883</v>
      </c>
      <c r="I95" s="87">
        <v>-9719.9430199430208</v>
      </c>
      <c r="J95" s="86">
        <v>0.18115942028985507</v>
      </c>
      <c r="K95" s="86">
        <v>0.18115942028985507</v>
      </c>
      <c r="L95" s="86">
        <v>0.27060931899641577</v>
      </c>
      <c r="M95" s="86">
        <v>0.24551971326164876</v>
      </c>
      <c r="N95" s="86">
        <v>0.60264900662251653</v>
      </c>
      <c r="O95" s="86">
        <v>0.37226277372262773</v>
      </c>
      <c r="P95" s="86">
        <v>0.41013071895424835</v>
      </c>
      <c r="Q95" s="86">
        <v>0.37082066869300911</v>
      </c>
    </row>
    <row r="96" spans="1:17" x14ac:dyDescent="0.4">
      <c r="A96" s="88">
        <v>93</v>
      </c>
      <c r="B96" s="85">
        <v>-2.9999999999999716</v>
      </c>
      <c r="C96" s="85">
        <v>-1.0752688172042909E-2</v>
      </c>
      <c r="D96" s="90">
        <v>2</v>
      </c>
      <c r="E96" s="86">
        <v>0.33333333333333331</v>
      </c>
      <c r="F96" s="86">
        <v>0.30654761904761907</v>
      </c>
      <c r="G96" s="86">
        <v>0.1765873015873016</v>
      </c>
      <c r="H96" s="87">
        <v>10411.812297734628</v>
      </c>
      <c r="I96" s="87">
        <v>-9763.2022471910113</v>
      </c>
      <c r="J96" s="86">
        <v>0.18279569892473119</v>
      </c>
      <c r="K96" s="86">
        <v>0.18279569892473119</v>
      </c>
      <c r="L96" s="86">
        <v>0.27288428324697755</v>
      </c>
      <c r="M96" s="86">
        <v>0.24525043177892919</v>
      </c>
      <c r="N96" s="86">
        <v>0.60126582278481011</v>
      </c>
      <c r="O96" s="86">
        <v>0.37323943661971831</v>
      </c>
      <c r="P96" s="86">
        <v>0.40776699029126212</v>
      </c>
      <c r="Q96" s="86">
        <v>0.37142857142857144</v>
      </c>
    </row>
    <row r="97" spans="1:17" x14ac:dyDescent="0.4">
      <c r="A97" s="88">
        <v>94</v>
      </c>
      <c r="B97" s="85">
        <v>-2.9999999999999716</v>
      </c>
      <c r="C97" s="85">
        <v>-1.0638297872340325E-2</v>
      </c>
      <c r="D97" s="90">
        <v>2</v>
      </c>
      <c r="E97" s="86">
        <v>0.33333333333333331</v>
      </c>
      <c r="F97" s="86">
        <v>0.30690161527165932</v>
      </c>
      <c r="G97" s="86">
        <v>0.17670093000489476</v>
      </c>
      <c r="H97" s="87">
        <v>10389.792663476874</v>
      </c>
      <c r="I97" s="87">
        <v>-9716.3434903047091</v>
      </c>
      <c r="J97" s="86">
        <v>0.18439716312056736</v>
      </c>
      <c r="K97" s="86">
        <v>0.18439716312056736</v>
      </c>
      <c r="L97" s="86">
        <v>0.2722772277227723</v>
      </c>
      <c r="M97" s="86">
        <v>0.24422442244224424</v>
      </c>
      <c r="N97" s="86">
        <v>0.60606060606060608</v>
      </c>
      <c r="O97" s="86">
        <v>0.3783783783783784</v>
      </c>
      <c r="P97" s="86">
        <v>0.40829346092503987</v>
      </c>
      <c r="Q97" s="86">
        <v>0.37388724035608306</v>
      </c>
    </row>
    <row r="98" spans="1:17" x14ac:dyDescent="0.4">
      <c r="A98" s="88">
        <v>95</v>
      </c>
      <c r="B98" s="85">
        <v>-2.9999999999999716</v>
      </c>
      <c r="C98" s="85">
        <v>-1.0526315789473585E-2</v>
      </c>
      <c r="D98" s="90">
        <v>2</v>
      </c>
      <c r="E98" s="86">
        <v>0.33333333333333331</v>
      </c>
      <c r="F98" s="86">
        <v>0.30672472181906146</v>
      </c>
      <c r="G98" s="86">
        <v>0.17658442186744072</v>
      </c>
      <c r="H98" s="87">
        <v>10395.110410094638</v>
      </c>
      <c r="I98" s="87">
        <v>-9664.9315068493142</v>
      </c>
      <c r="J98" s="86">
        <v>0.18245614035087721</v>
      </c>
      <c r="K98" s="86">
        <v>0.18245614035087721</v>
      </c>
      <c r="L98" s="86">
        <v>0.27301587301587299</v>
      </c>
      <c r="M98" s="86">
        <v>0.24285714285714285</v>
      </c>
      <c r="N98" s="86">
        <v>0.61046511627906974</v>
      </c>
      <c r="O98" s="86">
        <v>0.37908496732026142</v>
      </c>
      <c r="P98" s="86">
        <v>0.40851735015772872</v>
      </c>
      <c r="Q98" s="86">
        <v>0.37243401759530792</v>
      </c>
    </row>
    <row r="99" spans="1:17" x14ac:dyDescent="0.4">
      <c r="A99" s="88">
        <v>96</v>
      </c>
      <c r="B99" s="85">
        <v>-2.9999999999999716</v>
      </c>
      <c r="C99" s="85">
        <v>-1.0416666666666567E-2</v>
      </c>
      <c r="D99" s="90">
        <v>2</v>
      </c>
      <c r="E99" s="86">
        <v>0.33333333333333331</v>
      </c>
      <c r="F99" s="86">
        <v>0.30666666666666664</v>
      </c>
      <c r="G99" s="86">
        <v>0.17714285714285713</v>
      </c>
      <c r="H99" s="87">
        <v>10385.403726708075</v>
      </c>
      <c r="I99" s="87">
        <v>-9659.677419354839</v>
      </c>
      <c r="J99" s="86">
        <v>0.18402777777777779</v>
      </c>
      <c r="K99" s="86">
        <v>0.18402777777777779</v>
      </c>
      <c r="L99" s="86">
        <v>0.27903469079939669</v>
      </c>
      <c r="M99" s="86">
        <v>0.2368024132730015</v>
      </c>
      <c r="N99" s="86">
        <v>0.61081081081081079</v>
      </c>
      <c r="O99" s="86">
        <v>0.37579617834394907</v>
      </c>
      <c r="P99" s="86">
        <v>0.40683229813664595</v>
      </c>
      <c r="Q99" s="86">
        <v>0.37518037518037517</v>
      </c>
    </row>
    <row r="100" spans="1:17" x14ac:dyDescent="0.4">
      <c r="A100" s="88">
        <v>97</v>
      </c>
      <c r="B100" s="85">
        <v>-2.9999999999999734</v>
      </c>
      <c r="C100" s="85">
        <v>-1.0309278350515372E-2</v>
      </c>
      <c r="D100" s="90">
        <v>2</v>
      </c>
      <c r="E100" s="86">
        <v>0.33333333333333331</v>
      </c>
      <c r="F100" s="86">
        <v>0.3068932955618508</v>
      </c>
      <c r="G100" s="86">
        <v>0.17705382436260622</v>
      </c>
      <c r="H100" s="87">
        <v>10382.615384615385</v>
      </c>
      <c r="I100" s="87">
        <v>-9652.7999999999993</v>
      </c>
      <c r="J100" s="86">
        <v>0.18556701030927836</v>
      </c>
      <c r="K100" s="86">
        <v>0.18556701030927836</v>
      </c>
      <c r="L100" s="86">
        <v>0.28193832599118945</v>
      </c>
      <c r="M100" s="86">
        <v>0.23641703377386197</v>
      </c>
      <c r="N100" s="86">
        <v>0.609375</v>
      </c>
      <c r="O100" s="86">
        <v>0.37267080745341613</v>
      </c>
      <c r="P100" s="86">
        <v>0.40769230769230769</v>
      </c>
      <c r="Q100" s="86">
        <v>0.37482117310443491</v>
      </c>
    </row>
    <row r="101" spans="1:17" x14ac:dyDescent="0.4">
      <c r="A101" s="88">
        <v>98</v>
      </c>
      <c r="B101" s="85">
        <v>-2.9999999999999716</v>
      </c>
      <c r="C101" s="85">
        <v>-1.0204081632652965E-2</v>
      </c>
      <c r="D101" s="90">
        <v>2</v>
      </c>
      <c r="E101" s="86">
        <v>0.33333333333333331</v>
      </c>
      <c r="F101" s="86">
        <v>0.30586592178770949</v>
      </c>
      <c r="G101" s="86">
        <v>0.17737430167597765</v>
      </c>
      <c r="H101" s="87">
        <v>10391.019786910198</v>
      </c>
      <c r="I101" s="87">
        <v>-9622.0472440944886</v>
      </c>
      <c r="J101" s="86">
        <v>0.1870748299319728</v>
      </c>
      <c r="K101" s="86">
        <v>0.1870748299319728</v>
      </c>
      <c r="L101" s="86">
        <v>0.27566807313642755</v>
      </c>
      <c r="M101" s="86">
        <v>0.23488045007032349</v>
      </c>
      <c r="N101" s="86">
        <v>0.61224489795918369</v>
      </c>
      <c r="O101" s="86">
        <v>0.3772455089820359</v>
      </c>
      <c r="P101" s="86">
        <v>0.40487062404870622</v>
      </c>
      <c r="Q101" s="86">
        <v>0.37235543018335682</v>
      </c>
    </row>
    <row r="102" spans="1:17" x14ac:dyDescent="0.4">
      <c r="A102" s="88">
        <v>99</v>
      </c>
      <c r="B102" s="85">
        <v>-2.9999999999999725</v>
      </c>
      <c r="C102" s="85">
        <v>-1.0101010101010008E-2</v>
      </c>
      <c r="D102" s="90">
        <v>2</v>
      </c>
      <c r="E102" s="86">
        <v>0.33333333333333331</v>
      </c>
      <c r="F102" s="86">
        <v>0.30574712643678159</v>
      </c>
      <c r="G102" s="86">
        <v>0.1774712643678161</v>
      </c>
      <c r="H102" s="87">
        <v>10352.030075187969</v>
      </c>
      <c r="I102" s="87">
        <v>-9567.8756476683939</v>
      </c>
      <c r="J102" s="86">
        <v>0.18518518518518517</v>
      </c>
      <c r="K102" s="86">
        <v>0.18518518518518517</v>
      </c>
      <c r="L102" s="86">
        <v>0.27100271002710025</v>
      </c>
      <c r="M102" s="86">
        <v>0.23712737127371275</v>
      </c>
      <c r="N102" s="86">
        <v>0.62</v>
      </c>
      <c r="O102" s="86">
        <v>0.37714285714285717</v>
      </c>
      <c r="P102" s="86">
        <v>0.40451127819548871</v>
      </c>
      <c r="Q102" s="86">
        <v>0.37186629526462395</v>
      </c>
    </row>
    <row r="103" spans="1:17" x14ac:dyDescent="0.4">
      <c r="A103" s="88">
        <v>100</v>
      </c>
      <c r="B103" s="85">
        <v>-2.9999999999999671</v>
      </c>
      <c r="C103" s="85">
        <v>-9.9999999999998909E-3</v>
      </c>
      <c r="D103" s="90">
        <v>2</v>
      </c>
      <c r="E103" s="86">
        <v>0.33333333333333331</v>
      </c>
      <c r="F103" s="86">
        <v>0.30601092896174864</v>
      </c>
      <c r="G103" s="86">
        <v>0.17714025500910746</v>
      </c>
      <c r="H103" s="87">
        <v>10340.773809523809</v>
      </c>
      <c r="I103" s="87">
        <v>-9583.8046272493575</v>
      </c>
      <c r="J103" s="86">
        <v>0.18666666666666668</v>
      </c>
      <c r="K103" s="86">
        <v>0.18666666666666668</v>
      </c>
      <c r="L103" s="86">
        <v>0.27272727272727271</v>
      </c>
      <c r="M103" s="86">
        <v>0.23847167325428195</v>
      </c>
      <c r="N103" s="86">
        <v>0.61352657004830913</v>
      </c>
      <c r="O103" s="86">
        <v>0.38121546961325969</v>
      </c>
      <c r="P103" s="86">
        <v>0.40476190476190477</v>
      </c>
      <c r="Q103" s="86">
        <v>0.37379310344827588</v>
      </c>
    </row>
    <row r="104" spans="1:17" x14ac:dyDescent="0.4">
      <c r="A104" s="88">
        <v>101</v>
      </c>
      <c r="B104" s="85">
        <v>-2.9999999999999645</v>
      </c>
      <c r="C104" s="85">
        <v>-9.9009900990097831E-3</v>
      </c>
      <c r="D104" s="90">
        <v>2</v>
      </c>
      <c r="E104" s="86">
        <v>0.33333333333333331</v>
      </c>
      <c r="F104" s="86">
        <v>0.30630630630630629</v>
      </c>
      <c r="G104" s="86">
        <v>0.17747747747747747</v>
      </c>
      <c r="H104" s="87">
        <v>10350.588235294117</v>
      </c>
      <c r="I104" s="87">
        <v>-9618.527918781725</v>
      </c>
      <c r="J104" s="86">
        <v>0.18811881188118812</v>
      </c>
      <c r="K104" s="86">
        <v>0.18811881188118812</v>
      </c>
      <c r="L104" s="86">
        <v>0.27330779054916987</v>
      </c>
      <c r="M104" s="86">
        <v>0.23499361430395913</v>
      </c>
      <c r="N104" s="86">
        <v>0.61214953271028039</v>
      </c>
      <c r="O104" s="86">
        <v>0.3858695652173913</v>
      </c>
      <c r="P104" s="86">
        <v>0.40441176470588236</v>
      </c>
      <c r="Q104" s="86">
        <v>0.37789904502046384</v>
      </c>
    </row>
    <row r="105" spans="1:17" x14ac:dyDescent="0.4">
      <c r="A105" s="88">
        <v>102</v>
      </c>
      <c r="B105" s="85">
        <v>-2.9999999999999645</v>
      </c>
      <c r="C105" s="85">
        <v>-9.8039215686273346E-3</v>
      </c>
      <c r="D105" s="90">
        <v>2</v>
      </c>
      <c r="E105" s="86">
        <v>0.33333333333333331</v>
      </c>
      <c r="F105" s="86">
        <v>0.30607685433422699</v>
      </c>
      <c r="G105" s="86">
        <v>0.177390527256479</v>
      </c>
      <c r="H105" s="87">
        <v>10365.547445255474</v>
      </c>
      <c r="I105" s="87">
        <v>-9626.4483627204027</v>
      </c>
      <c r="J105" s="86">
        <v>0.18954248366013071</v>
      </c>
      <c r="K105" s="86">
        <v>0.18954248366013071</v>
      </c>
      <c r="L105" s="86">
        <v>0.27215980024968789</v>
      </c>
      <c r="M105" s="86">
        <v>0.23595505617977527</v>
      </c>
      <c r="N105" s="86">
        <v>0.61009174311926606</v>
      </c>
      <c r="O105" s="86">
        <v>0.38624338624338622</v>
      </c>
      <c r="P105" s="86">
        <v>0.4043795620437956</v>
      </c>
      <c r="Q105" s="86">
        <v>0.37753721244925575</v>
      </c>
    </row>
    <row r="106" spans="1:17" x14ac:dyDescent="0.4">
      <c r="A106" s="88">
        <v>103</v>
      </c>
      <c r="B106" s="85">
        <v>-2.9999999999999645</v>
      </c>
      <c r="C106" s="85">
        <v>-9.7087378640775546E-3</v>
      </c>
      <c r="D106" s="90">
        <v>2</v>
      </c>
      <c r="E106" s="86">
        <v>0.33333333333333331</v>
      </c>
      <c r="F106" s="86">
        <v>0.30618602581219406</v>
      </c>
      <c r="G106" s="86">
        <v>0.17712505562972852</v>
      </c>
      <c r="H106" s="87">
        <v>10407.558139534884</v>
      </c>
      <c r="I106" s="87">
        <v>-9632.4120603015072</v>
      </c>
      <c r="J106" s="86">
        <v>0.19093851132686085</v>
      </c>
      <c r="K106" s="86">
        <v>0.19093851132686085</v>
      </c>
      <c r="L106" s="86">
        <v>0.27407407407407408</v>
      </c>
      <c r="M106" s="86">
        <v>0.23456790123456789</v>
      </c>
      <c r="N106" s="86">
        <v>0.61261261261261257</v>
      </c>
      <c r="O106" s="86">
        <v>0.38421052631578945</v>
      </c>
      <c r="P106" s="86">
        <v>0.40552325581395349</v>
      </c>
      <c r="Q106" s="86">
        <v>0.37870619946091644</v>
      </c>
    </row>
    <row r="107" spans="1:17" x14ac:dyDescent="0.4">
      <c r="A107" s="88">
        <v>104</v>
      </c>
      <c r="B107" s="85">
        <v>-2.9999999999999654</v>
      </c>
      <c r="C107" s="85">
        <v>-9.6153846153845049E-3</v>
      </c>
      <c r="D107" s="90">
        <v>2</v>
      </c>
      <c r="E107" s="86">
        <v>0.33333333333333331</v>
      </c>
      <c r="F107" s="86">
        <v>0.30599647266313934</v>
      </c>
      <c r="G107" s="86">
        <v>0.17680776014109348</v>
      </c>
      <c r="H107" s="87">
        <v>10372.478386167148</v>
      </c>
      <c r="I107" s="87">
        <v>-9620.1995012468833</v>
      </c>
      <c r="J107" s="86">
        <v>0.1891025641025641</v>
      </c>
      <c r="K107" s="86">
        <v>0.1891025641025641</v>
      </c>
      <c r="L107" s="86">
        <v>0.27436823104693142</v>
      </c>
      <c r="M107" s="86">
        <v>0.23345367027677497</v>
      </c>
      <c r="N107" s="86">
        <v>0.60964912280701755</v>
      </c>
      <c r="O107" s="86">
        <v>0.38659793814432991</v>
      </c>
      <c r="P107" s="86">
        <v>0.40634005763688763</v>
      </c>
      <c r="Q107" s="86">
        <v>0.37516688918558078</v>
      </c>
    </row>
    <row r="108" spans="1:17" x14ac:dyDescent="0.4">
      <c r="A108" s="88">
        <v>105</v>
      </c>
      <c r="B108" s="85">
        <v>-2.9999999999999645</v>
      </c>
      <c r="C108" s="85">
        <v>-9.5238095238094102E-3</v>
      </c>
      <c r="D108" s="90">
        <v>2</v>
      </c>
      <c r="E108" s="86">
        <v>0.33333333333333331</v>
      </c>
      <c r="F108" s="86">
        <v>0.30584642233856896</v>
      </c>
      <c r="G108" s="86">
        <v>0.17495636998254799</v>
      </c>
      <c r="H108" s="87">
        <v>10358.773181169758</v>
      </c>
      <c r="I108" s="87">
        <v>-9620.1995012468833</v>
      </c>
      <c r="J108" s="86">
        <v>0.19047619047619047</v>
      </c>
      <c r="K108" s="86">
        <v>0.19047619047619047</v>
      </c>
      <c r="L108" s="86">
        <v>0.27719298245614032</v>
      </c>
      <c r="M108" s="86">
        <v>0.2304093567251462</v>
      </c>
      <c r="N108" s="86">
        <v>0.60759493670886078</v>
      </c>
      <c r="O108" s="86">
        <v>0.39086294416243655</v>
      </c>
      <c r="P108" s="86">
        <v>0.41226818830242512</v>
      </c>
      <c r="Q108" s="86">
        <v>0.37648612945838839</v>
      </c>
    </row>
    <row r="109" spans="1:17" x14ac:dyDescent="0.4">
      <c r="A109" s="88">
        <v>106</v>
      </c>
      <c r="B109" s="85">
        <v>-2.9999999999999645</v>
      </c>
      <c r="C109" s="85">
        <v>-9.433962264150832E-3</v>
      </c>
      <c r="D109" s="90">
        <v>2</v>
      </c>
      <c r="E109" s="86">
        <v>0.33333333333333331</v>
      </c>
      <c r="F109" s="86">
        <v>0.30663221360895782</v>
      </c>
      <c r="G109" s="86">
        <v>0.17571059431524547</v>
      </c>
      <c r="H109" s="87">
        <v>10341.011235955057</v>
      </c>
      <c r="I109" s="87">
        <v>-9629.9019607843129</v>
      </c>
      <c r="J109" s="86">
        <v>0.1918238993710692</v>
      </c>
      <c r="K109" s="86">
        <v>0.1918238993710692</v>
      </c>
      <c r="L109" s="86">
        <v>0.2768361581920904</v>
      </c>
      <c r="M109" s="86">
        <v>0.23050847457627119</v>
      </c>
      <c r="N109" s="86">
        <v>0.60408163265306125</v>
      </c>
      <c r="O109" s="86">
        <v>0.40196078431372551</v>
      </c>
      <c r="P109" s="86">
        <v>0.4101123595505618</v>
      </c>
      <c r="Q109" s="86">
        <v>0.38070404172099087</v>
      </c>
    </row>
    <row r="110" spans="1:17" x14ac:dyDescent="0.4">
      <c r="A110" s="88">
        <v>107</v>
      </c>
      <c r="B110" s="85">
        <v>-2.9999999999999716</v>
      </c>
      <c r="C110" s="85">
        <v>-9.3457943925232753E-3</v>
      </c>
      <c r="D110" s="90">
        <v>2</v>
      </c>
      <c r="E110" s="86">
        <v>0.33333333333333331</v>
      </c>
      <c r="F110" s="86">
        <v>0.30683760683760686</v>
      </c>
      <c r="G110" s="86">
        <v>0.1752136752136752</v>
      </c>
      <c r="H110" s="87">
        <v>10367.130919220055</v>
      </c>
      <c r="I110" s="87">
        <v>-9683.414634146342</v>
      </c>
      <c r="J110" s="86">
        <v>0.19314641744548286</v>
      </c>
      <c r="K110" s="86">
        <v>0.19314641744548286</v>
      </c>
      <c r="L110" s="86">
        <v>0.28017718715393136</v>
      </c>
      <c r="M110" s="86">
        <v>0.22702104097452935</v>
      </c>
      <c r="N110" s="86">
        <v>0.60079051383399207</v>
      </c>
      <c r="O110" s="86">
        <v>0.40487804878048783</v>
      </c>
      <c r="P110" s="86">
        <v>0.41225626740947074</v>
      </c>
      <c r="Q110" s="86">
        <v>0.38163001293661059</v>
      </c>
    </row>
    <row r="111" spans="1:17" x14ac:dyDescent="0.4">
      <c r="A111" s="88">
        <v>108</v>
      </c>
      <c r="B111" s="85">
        <v>-2.9999999999999716</v>
      </c>
      <c r="C111" s="85">
        <v>-9.259259259259172E-3</v>
      </c>
      <c r="D111" s="90">
        <v>2</v>
      </c>
      <c r="E111" s="86">
        <v>0.33333333333333331</v>
      </c>
      <c r="F111" s="86">
        <v>0.30658174097664542</v>
      </c>
      <c r="G111" s="86">
        <v>0.17494692144373672</v>
      </c>
      <c r="H111" s="87">
        <v>10379.501385041551</v>
      </c>
      <c r="I111" s="87">
        <v>-9695.6310679611652</v>
      </c>
      <c r="J111" s="86">
        <v>0.19135802469135801</v>
      </c>
      <c r="K111" s="86">
        <v>0.19135802469135801</v>
      </c>
      <c r="L111" s="86">
        <v>0.28104575163398693</v>
      </c>
      <c r="M111" s="86">
        <v>0.22549019607843138</v>
      </c>
      <c r="N111" s="86">
        <v>0.60077519379844957</v>
      </c>
      <c r="O111" s="86">
        <v>0.40096618357487923</v>
      </c>
      <c r="P111" s="86">
        <v>0.41274238227146814</v>
      </c>
      <c r="Q111" s="86">
        <v>0.38174807197943444</v>
      </c>
    </row>
    <row r="112" spans="1:17" x14ac:dyDescent="0.4">
      <c r="A112" s="88">
        <v>109</v>
      </c>
      <c r="B112" s="85">
        <v>-2.9999999999999729</v>
      </c>
      <c r="C112" s="85">
        <v>-9.1743119266054218E-3</v>
      </c>
      <c r="D112" s="90">
        <v>2</v>
      </c>
      <c r="E112" s="86">
        <v>0.33333333333333331</v>
      </c>
      <c r="F112" s="86">
        <v>0.30618212197159567</v>
      </c>
      <c r="G112" s="86">
        <v>0.17585630743525479</v>
      </c>
      <c r="H112" s="87">
        <v>10419.508867667122</v>
      </c>
      <c r="I112" s="87">
        <v>-9795.4869358669839</v>
      </c>
      <c r="J112" s="86">
        <v>0.19266055045871561</v>
      </c>
      <c r="K112" s="86">
        <v>0.19266055045871561</v>
      </c>
      <c r="L112" s="86">
        <v>0.28108672936259144</v>
      </c>
      <c r="M112" s="86">
        <v>0.22466039707419017</v>
      </c>
      <c r="N112" s="86">
        <v>0.59479553903345728</v>
      </c>
      <c r="O112" s="86">
        <v>0.39534883720930231</v>
      </c>
      <c r="P112" s="86">
        <v>0.40927694406548432</v>
      </c>
      <c r="Q112" s="86">
        <v>0.38558786346396967</v>
      </c>
    </row>
    <row r="113" spans="1:17" x14ac:dyDescent="0.4">
      <c r="A113" s="88">
        <v>110</v>
      </c>
      <c r="B113" s="85">
        <v>-2.9999999999999725</v>
      </c>
      <c r="C113" s="85">
        <v>-9.0909090909090072E-3</v>
      </c>
      <c r="D113" s="90">
        <v>2</v>
      </c>
      <c r="E113" s="86">
        <v>0.33333333333333331</v>
      </c>
      <c r="F113" s="86">
        <v>0.30648492358529533</v>
      </c>
      <c r="G113" s="86">
        <v>0.1755472945064023</v>
      </c>
      <c r="H113" s="87">
        <v>10392.587601078167</v>
      </c>
      <c r="I113" s="87">
        <v>-9768.7058823529405</v>
      </c>
      <c r="J113" s="86">
        <v>0.19090909090909092</v>
      </c>
      <c r="K113" s="86">
        <v>0.19090909090909092</v>
      </c>
      <c r="L113" s="86">
        <v>0.2815040650406504</v>
      </c>
      <c r="M113" s="86">
        <v>0.22154471544715448</v>
      </c>
      <c r="N113" s="86">
        <v>0.6028880866425993</v>
      </c>
      <c r="O113" s="86">
        <v>0.39449541284403672</v>
      </c>
      <c r="P113" s="86">
        <v>0.41105121293800539</v>
      </c>
      <c r="Q113" s="86">
        <v>0.38500000000000001</v>
      </c>
    </row>
    <row r="114" spans="1:17" x14ac:dyDescent="0.4">
      <c r="A114" s="88">
        <v>111</v>
      </c>
      <c r="B114" s="85">
        <v>-2.9999999999999716</v>
      </c>
      <c r="C114" s="85">
        <v>-9.0090090090089239E-3</v>
      </c>
      <c r="D114" s="90">
        <v>2</v>
      </c>
      <c r="E114" s="86">
        <v>0.33333333333333331</v>
      </c>
      <c r="F114" s="86">
        <v>0.30643846780766099</v>
      </c>
      <c r="G114" s="86">
        <v>0.17644661776691117</v>
      </c>
      <c r="H114" s="87">
        <v>10403.191489361701</v>
      </c>
      <c r="I114" s="87">
        <v>-9763.5103926096999</v>
      </c>
      <c r="J114" s="86">
        <v>0.19219219219219219</v>
      </c>
      <c r="K114" s="86">
        <v>0.19219219219219219</v>
      </c>
      <c r="L114" s="86">
        <v>0.27925270403146507</v>
      </c>
      <c r="M114" s="86">
        <v>0.22222222222222221</v>
      </c>
      <c r="N114" s="86">
        <v>0.59859154929577463</v>
      </c>
      <c r="O114" s="86">
        <v>0.39380530973451328</v>
      </c>
      <c r="P114" s="86">
        <v>0.40824468085106386</v>
      </c>
      <c r="Q114" s="86">
        <v>0.38594327990135635</v>
      </c>
    </row>
    <row r="115" spans="1:17" x14ac:dyDescent="0.4">
      <c r="A115" s="88">
        <v>112</v>
      </c>
      <c r="B115" s="85">
        <v>-2.9999999999999716</v>
      </c>
      <c r="C115" s="85">
        <v>-8.9285714285713448E-3</v>
      </c>
      <c r="D115" s="90">
        <v>2</v>
      </c>
      <c r="E115" s="86">
        <v>0.33333333333333331</v>
      </c>
      <c r="F115" s="86">
        <v>0.30666666666666664</v>
      </c>
      <c r="G115" s="86">
        <v>0.17656565656565656</v>
      </c>
      <c r="H115" s="87">
        <v>10438.735177865612</v>
      </c>
      <c r="I115" s="87">
        <v>-9806.8649885583527</v>
      </c>
      <c r="J115" s="86">
        <v>0.19345238095238096</v>
      </c>
      <c r="K115" s="86">
        <v>0.19345238095238096</v>
      </c>
      <c r="L115" s="86">
        <v>0.279383429672447</v>
      </c>
      <c r="M115" s="86">
        <v>0.22254335260115607</v>
      </c>
      <c r="N115" s="86">
        <v>0.60689655172413792</v>
      </c>
      <c r="O115" s="86">
        <v>0.38961038961038963</v>
      </c>
      <c r="P115" s="86">
        <v>0.40843214756258234</v>
      </c>
      <c r="Q115" s="86">
        <v>0.38630806845965771</v>
      </c>
    </row>
    <row r="116" spans="1:17" x14ac:dyDescent="0.4">
      <c r="A116" s="88">
        <v>113</v>
      </c>
      <c r="B116" s="85">
        <v>-2.9999999999999716</v>
      </c>
      <c r="C116" s="85">
        <v>-8.8495575221238104E-3</v>
      </c>
      <c r="D116" s="90">
        <v>2</v>
      </c>
      <c r="E116" s="86">
        <v>0.33333333333333331</v>
      </c>
      <c r="F116" s="86">
        <v>0.30676328502415456</v>
      </c>
      <c r="G116" s="86">
        <v>0.17673107890499196</v>
      </c>
      <c r="H116" s="87">
        <v>10455.380577427821</v>
      </c>
      <c r="I116" s="87">
        <v>-9844.1913439635537</v>
      </c>
      <c r="J116" s="86">
        <v>0.19469026548672566</v>
      </c>
      <c r="K116" s="86">
        <v>0.19469026548672566</v>
      </c>
      <c r="L116" s="86">
        <v>0.279847182425979</v>
      </c>
      <c r="M116" s="86">
        <v>0.22063037249283668</v>
      </c>
      <c r="N116" s="86">
        <v>0.60750853242320824</v>
      </c>
      <c r="O116" s="86">
        <v>0.38961038961038963</v>
      </c>
      <c r="P116" s="86">
        <v>0.40813648293963256</v>
      </c>
      <c r="Q116" s="86">
        <v>0.38611449451887941</v>
      </c>
    </row>
    <row r="117" spans="1:17" x14ac:dyDescent="0.4">
      <c r="A117" s="88">
        <v>114</v>
      </c>
      <c r="B117" s="85">
        <v>-2.9999999999999734</v>
      </c>
      <c r="C117" s="85">
        <v>-8.771929824561325E-3</v>
      </c>
      <c r="D117" s="90">
        <v>2</v>
      </c>
      <c r="E117" s="86">
        <v>0.33333333333333331</v>
      </c>
      <c r="F117" s="86">
        <v>0.30701754385964913</v>
      </c>
      <c r="G117" s="86">
        <v>0.17743221690590111</v>
      </c>
      <c r="H117" s="87">
        <v>10433.766233766233</v>
      </c>
      <c r="I117" s="87">
        <v>-9808.0898876404499</v>
      </c>
      <c r="J117" s="86">
        <v>0.19298245614035087</v>
      </c>
      <c r="K117" s="86">
        <v>0.19298245614035087</v>
      </c>
      <c r="L117" s="86">
        <v>0.28197945845004668</v>
      </c>
      <c r="M117" s="86">
        <v>0.22128851540616246</v>
      </c>
      <c r="N117" s="86">
        <v>0.60264900662251653</v>
      </c>
      <c r="O117" s="86">
        <v>0.3881856540084388</v>
      </c>
      <c r="P117" s="86">
        <v>0.40649350649350652</v>
      </c>
      <c r="Q117" s="86">
        <v>0.38480096501809408</v>
      </c>
    </row>
    <row r="118" spans="1:17" x14ac:dyDescent="0.4">
      <c r="A118" s="88">
        <v>115</v>
      </c>
      <c r="B118" s="85">
        <v>-2.9999999999999716</v>
      </c>
      <c r="C118" s="85">
        <v>-8.6956521739129603E-3</v>
      </c>
      <c r="D118" s="90">
        <v>2</v>
      </c>
      <c r="E118" s="86">
        <v>0.33333333333333331</v>
      </c>
      <c r="F118" s="86">
        <v>0.30720506730007918</v>
      </c>
      <c r="G118" s="86">
        <v>0.17656373713380838</v>
      </c>
      <c r="H118" s="87">
        <v>10456.185567010309</v>
      </c>
      <c r="I118" s="87">
        <v>-9813.0044843049327</v>
      </c>
      <c r="J118" s="86">
        <v>0.19420289855072465</v>
      </c>
      <c r="K118" s="86">
        <v>0.19420289855072465</v>
      </c>
      <c r="L118" s="86">
        <v>0.28282828282828282</v>
      </c>
      <c r="M118" s="86">
        <v>0.21854912764003673</v>
      </c>
      <c r="N118" s="86">
        <v>0.6071428571428571</v>
      </c>
      <c r="O118" s="86">
        <v>0.3907563025210084</v>
      </c>
      <c r="P118" s="86">
        <v>0.40979381443298968</v>
      </c>
      <c r="Q118" s="86">
        <v>0.38562874251497004</v>
      </c>
    </row>
    <row r="119" spans="1:17" x14ac:dyDescent="0.4">
      <c r="A119" s="88">
        <v>116</v>
      </c>
      <c r="B119" s="85">
        <v>-2.9999999999999729</v>
      </c>
      <c r="C119" s="85">
        <v>-8.6206896551723356E-3</v>
      </c>
      <c r="D119" s="90">
        <v>2</v>
      </c>
      <c r="E119" s="86">
        <v>0.33333333333333331</v>
      </c>
      <c r="F119" s="86">
        <v>0.30760233918128654</v>
      </c>
      <c r="G119" s="86">
        <v>0.17621832358674464</v>
      </c>
      <c r="H119" s="87">
        <v>10464.385297845374</v>
      </c>
      <c r="I119" s="87">
        <v>-9812.6106194690274</v>
      </c>
      <c r="J119" s="86">
        <v>0.19252873563218389</v>
      </c>
      <c r="K119" s="86">
        <v>0.19252873563218389</v>
      </c>
      <c r="L119" s="86">
        <v>0.28014184397163122</v>
      </c>
      <c r="M119" s="86">
        <v>0.22429078014184398</v>
      </c>
      <c r="N119" s="86">
        <v>0.61392405063291144</v>
      </c>
      <c r="O119" s="86">
        <v>0.39130434782608697</v>
      </c>
      <c r="P119" s="86">
        <v>0.41191381495564006</v>
      </c>
      <c r="Q119" s="86">
        <v>0.38797169811320753</v>
      </c>
    </row>
    <row r="120" spans="1:17" x14ac:dyDescent="0.4">
      <c r="A120" s="88">
        <v>117</v>
      </c>
      <c r="B120" s="85">
        <v>-2.9999999999999734</v>
      </c>
      <c r="C120" s="85">
        <v>-8.5470085470084715E-3</v>
      </c>
      <c r="D120" s="90">
        <v>2</v>
      </c>
      <c r="E120" s="86">
        <v>0.33333333333333331</v>
      </c>
      <c r="F120" s="86">
        <v>0.30739450251645373</v>
      </c>
      <c r="G120" s="86">
        <v>0.17615176151761516</v>
      </c>
      <c r="H120" s="87">
        <v>10437.027707808564</v>
      </c>
      <c r="I120" s="87">
        <v>-9797.5824175824182</v>
      </c>
      <c r="J120" s="86">
        <v>0.19088319088319089</v>
      </c>
      <c r="K120" s="86">
        <v>0.19088319088319089</v>
      </c>
      <c r="L120" s="86">
        <v>0.28010471204188481</v>
      </c>
      <c r="M120" s="86">
        <v>0.22338568935427575</v>
      </c>
      <c r="N120" s="86">
        <v>0.61370716510903423</v>
      </c>
      <c r="O120" s="86">
        <v>0.390625</v>
      </c>
      <c r="P120" s="86">
        <v>0.41183879093198994</v>
      </c>
      <c r="Q120" s="86">
        <v>0.38641686182669788</v>
      </c>
    </row>
    <row r="121" spans="1:17" x14ac:dyDescent="0.4">
      <c r="A121" s="88">
        <v>118</v>
      </c>
      <c r="B121" s="85">
        <v>-2.9999999999999734</v>
      </c>
      <c r="C121" s="85">
        <v>-8.4745762711863661E-3</v>
      </c>
      <c r="D121" s="90">
        <v>2</v>
      </c>
      <c r="E121" s="86">
        <v>0.33333333333333331</v>
      </c>
      <c r="F121" s="86">
        <v>0.30772171253822628</v>
      </c>
      <c r="G121" s="86">
        <v>0.17698776758409787</v>
      </c>
      <c r="H121" s="87">
        <v>10409.689440993789</v>
      </c>
      <c r="I121" s="87">
        <v>-9776.8898488120958</v>
      </c>
      <c r="J121" s="86">
        <v>0.18926553672316385</v>
      </c>
      <c r="K121" s="86">
        <v>0.18926553672316385</v>
      </c>
      <c r="L121" s="86">
        <v>0.27905004240882103</v>
      </c>
      <c r="M121" s="86">
        <v>0.22222222222222221</v>
      </c>
      <c r="N121" s="86">
        <v>0.61702127659574468</v>
      </c>
      <c r="O121" s="86">
        <v>0.39694656488549618</v>
      </c>
      <c r="P121" s="86">
        <v>0.40993788819875776</v>
      </c>
      <c r="Q121" s="86">
        <v>0.38728323699421963</v>
      </c>
    </row>
    <row r="122" spans="1:17" x14ac:dyDescent="0.4">
      <c r="A122" s="88">
        <v>119</v>
      </c>
      <c r="B122" s="85">
        <v>-2.9999999999999716</v>
      </c>
      <c r="C122" s="85">
        <v>-8.403361344537735E-3</v>
      </c>
      <c r="D122" s="90">
        <v>2</v>
      </c>
      <c r="E122" s="86">
        <v>0.33333333333333331</v>
      </c>
      <c r="F122" s="86">
        <v>0.30778032036613273</v>
      </c>
      <c r="G122" s="86">
        <v>0.17696414950419528</v>
      </c>
      <c r="H122" s="87">
        <v>10443.370508054522</v>
      </c>
      <c r="I122" s="87">
        <v>-9781.6810344827591</v>
      </c>
      <c r="J122" s="86">
        <v>0.1876750700280112</v>
      </c>
      <c r="K122" s="86">
        <v>0.1876750700280112</v>
      </c>
      <c r="L122" s="86">
        <v>0.28016877637130799</v>
      </c>
      <c r="M122" s="86">
        <v>0.22109704641350211</v>
      </c>
      <c r="N122" s="86">
        <v>0.61746987951807231</v>
      </c>
      <c r="O122" s="86">
        <v>0.39694656488549618</v>
      </c>
      <c r="P122" s="86">
        <v>0.41016109045848825</v>
      </c>
      <c r="Q122" s="86">
        <v>0.38869665513264129</v>
      </c>
    </row>
    <row r="123" spans="1:17" x14ac:dyDescent="0.4">
      <c r="A123" s="88">
        <v>120</v>
      </c>
      <c r="B123" s="85">
        <v>-2.9999999999999716</v>
      </c>
      <c r="C123" s="85">
        <v>-8.3333333333332552E-3</v>
      </c>
      <c r="D123" s="90">
        <v>2</v>
      </c>
      <c r="E123" s="86">
        <v>0.33333333333333331</v>
      </c>
      <c r="F123" s="86">
        <v>0.30760499432463112</v>
      </c>
      <c r="G123" s="86">
        <v>0.17631479379493001</v>
      </c>
      <c r="H123" s="87">
        <v>10430.135301353013</v>
      </c>
      <c r="I123" s="87">
        <v>-9765.2360515021464</v>
      </c>
      <c r="J123" s="86">
        <v>0.18611111111111112</v>
      </c>
      <c r="K123" s="86">
        <v>0.18611111111111112</v>
      </c>
      <c r="L123" s="86">
        <v>0.28026533996683251</v>
      </c>
      <c r="M123" s="86">
        <v>0.22056384742951907</v>
      </c>
      <c r="N123" s="86">
        <v>0.62130177514792895</v>
      </c>
      <c r="O123" s="86">
        <v>0.39473684210526316</v>
      </c>
      <c r="P123" s="86">
        <v>0.41205412054120544</v>
      </c>
      <c r="Q123" s="86">
        <v>0.38558352402745993</v>
      </c>
    </row>
    <row r="124" spans="1:17" x14ac:dyDescent="0.4">
      <c r="A124" s="88">
        <v>121</v>
      </c>
      <c r="B124" s="85">
        <v>-2.9999999999999716</v>
      </c>
      <c r="C124" s="85">
        <v>-8.2644628099172775E-3</v>
      </c>
      <c r="D124" s="90">
        <v>2</v>
      </c>
      <c r="E124" s="86">
        <v>0.33333333333333331</v>
      </c>
      <c r="F124" s="86">
        <v>0.30749063670411986</v>
      </c>
      <c r="G124" s="86">
        <v>0.17677902621722846</v>
      </c>
      <c r="H124" s="87">
        <v>10450.06090133983</v>
      </c>
      <c r="I124" s="87">
        <v>-9750.8474576271183</v>
      </c>
      <c r="J124" s="86">
        <v>0.18457300275482094</v>
      </c>
      <c r="K124" s="86">
        <v>0.18457300275482094</v>
      </c>
      <c r="L124" s="86">
        <v>0.28223844282238442</v>
      </c>
      <c r="M124" s="86">
        <v>0.21897810218978103</v>
      </c>
      <c r="N124" s="86">
        <v>0.61494252873563215</v>
      </c>
      <c r="O124" s="86">
        <v>0.39629629629629631</v>
      </c>
      <c r="P124" s="86">
        <v>0.41047503045066991</v>
      </c>
      <c r="Q124" s="86">
        <v>0.38391845979614947</v>
      </c>
    </row>
    <row r="125" spans="1:17" x14ac:dyDescent="0.4">
      <c r="A125" s="88">
        <v>122</v>
      </c>
      <c r="B125" s="85">
        <v>-2.9999999999999716</v>
      </c>
      <c r="C125" s="85">
        <v>-8.1967213114753322E-3</v>
      </c>
      <c r="D125" s="90">
        <v>2</v>
      </c>
      <c r="E125" s="86">
        <v>0.33333333333333331</v>
      </c>
      <c r="F125" s="86">
        <v>0.30766369047619047</v>
      </c>
      <c r="G125" s="86">
        <v>0.17745535714285715</v>
      </c>
      <c r="H125" s="87">
        <v>10483.071342200725</v>
      </c>
      <c r="I125" s="87">
        <v>-9820.5450733752623</v>
      </c>
      <c r="J125" s="86">
        <v>0.18579234972677597</v>
      </c>
      <c r="K125" s="86">
        <v>0.18579234972677597</v>
      </c>
      <c r="L125" s="86">
        <v>0.28297362110311752</v>
      </c>
      <c r="M125" s="86">
        <v>0.21982414068745004</v>
      </c>
      <c r="N125" s="86">
        <v>0.61016949152542377</v>
      </c>
      <c r="O125" s="86">
        <v>0.4</v>
      </c>
      <c r="P125" s="86">
        <v>0.40870616686819833</v>
      </c>
      <c r="Q125" s="86">
        <v>0.38470191226096739</v>
      </c>
    </row>
    <row r="126" spans="1:17" x14ac:dyDescent="0.4">
      <c r="A126" s="88">
        <v>123</v>
      </c>
      <c r="B126" s="85">
        <v>-2.9999999999999716</v>
      </c>
      <c r="C126" s="85">
        <v>-8.1300813008129309E-3</v>
      </c>
      <c r="D126" s="90">
        <v>2</v>
      </c>
      <c r="E126" s="86">
        <v>0.33333333333333331</v>
      </c>
      <c r="F126" s="86">
        <v>0.3077493511308862</v>
      </c>
      <c r="G126" s="86">
        <v>0.17797552836484984</v>
      </c>
      <c r="H126" s="87">
        <v>10500.602409638554</v>
      </c>
      <c r="I126" s="87">
        <v>-9855</v>
      </c>
      <c r="J126" s="86">
        <v>0.18699186991869918</v>
      </c>
      <c r="K126" s="86">
        <v>0.18699186991869918</v>
      </c>
      <c r="L126" s="86">
        <v>0.28333333333333333</v>
      </c>
      <c r="M126" s="86">
        <v>0.21984126984126984</v>
      </c>
      <c r="N126" s="86">
        <v>0.61064425770308128</v>
      </c>
      <c r="O126" s="86">
        <v>0.4007220216606498</v>
      </c>
      <c r="P126" s="86">
        <v>0.40722891566265063</v>
      </c>
      <c r="Q126" s="86">
        <v>0.38452914798206278</v>
      </c>
    </row>
    <row r="127" spans="1:17" x14ac:dyDescent="0.4">
      <c r="A127" s="88">
        <v>124</v>
      </c>
      <c r="B127" s="85">
        <v>-2.9999999999999716</v>
      </c>
      <c r="C127" s="85">
        <v>-8.0645161290321815E-3</v>
      </c>
      <c r="D127" s="90">
        <v>2</v>
      </c>
      <c r="E127" s="86">
        <v>0.33333333333333331</v>
      </c>
      <c r="F127" s="86">
        <v>0.30738304093567254</v>
      </c>
      <c r="G127" s="86">
        <v>0.17726608187134502</v>
      </c>
      <c r="H127" s="87">
        <v>10488.466111771701</v>
      </c>
      <c r="I127" s="87">
        <v>-9822.0618556701029</v>
      </c>
      <c r="J127" s="86">
        <v>0.18548387096774194</v>
      </c>
      <c r="K127" s="86">
        <v>0.18548387096774194</v>
      </c>
      <c r="L127" s="86">
        <v>0.28560431100846806</v>
      </c>
      <c r="M127" s="86">
        <v>0.21939953810623555</v>
      </c>
      <c r="N127" s="86">
        <v>0.61185983827493262</v>
      </c>
      <c r="O127" s="86">
        <v>0.39298245614035088</v>
      </c>
      <c r="P127" s="86">
        <v>0.40903686087990487</v>
      </c>
      <c r="Q127" s="86">
        <v>0.38453038674033146</v>
      </c>
    </row>
    <row r="128" spans="1:17" x14ac:dyDescent="0.4">
      <c r="A128" s="88">
        <v>125</v>
      </c>
      <c r="B128" s="85">
        <v>-2.9999999999999716</v>
      </c>
      <c r="C128" s="85">
        <v>-7.9999999999999238E-3</v>
      </c>
      <c r="D128" s="90">
        <v>2</v>
      </c>
      <c r="E128" s="86">
        <v>0.33333333333333331</v>
      </c>
      <c r="F128" s="86">
        <v>0.30758070366340223</v>
      </c>
      <c r="G128" s="86">
        <v>0.17700398984403337</v>
      </c>
      <c r="H128" s="87">
        <v>10475.353773584906</v>
      </c>
      <c r="I128" s="87">
        <v>-9839.5491803278692</v>
      </c>
      <c r="J128" s="86">
        <v>0.18666666666666668</v>
      </c>
      <c r="K128" s="86">
        <v>0.18666666666666668</v>
      </c>
      <c r="L128" s="86">
        <v>0.28560606060606059</v>
      </c>
      <c r="M128" s="86">
        <v>0.22272727272727272</v>
      </c>
      <c r="N128" s="86">
        <v>0.60742705570291777</v>
      </c>
      <c r="O128" s="86">
        <v>0.39455782312925169</v>
      </c>
      <c r="P128" s="86">
        <v>0.41037735849056606</v>
      </c>
      <c r="Q128" s="86">
        <v>0.38596491228070173</v>
      </c>
    </row>
    <row r="129" spans="1:17" x14ac:dyDescent="0.4">
      <c r="A129" s="88">
        <v>126</v>
      </c>
      <c r="B129" s="85">
        <v>-2.9999999999999716</v>
      </c>
      <c r="C129" s="85">
        <v>-7.9365079365078615E-3</v>
      </c>
      <c r="D129" s="90">
        <v>2</v>
      </c>
      <c r="E129" s="86">
        <v>0.33333333333333331</v>
      </c>
      <c r="F129" s="86">
        <v>0.30813534917206625</v>
      </c>
      <c r="G129" s="86">
        <v>0.17710583153347731</v>
      </c>
      <c r="H129" s="87">
        <v>10438.317757009347</v>
      </c>
      <c r="I129" s="87">
        <v>-9812.3983739837404</v>
      </c>
      <c r="J129" s="86">
        <v>0.18783068783068782</v>
      </c>
      <c r="K129" s="86">
        <v>0.18783068783068782</v>
      </c>
      <c r="L129" s="86">
        <v>0.28560775540641314</v>
      </c>
      <c r="M129" s="86">
        <v>0.22296793437733034</v>
      </c>
      <c r="N129" s="86">
        <v>0.60835509138381205</v>
      </c>
      <c r="O129" s="86">
        <v>0.40133779264214048</v>
      </c>
      <c r="P129" s="86">
        <v>0.41004672897196259</v>
      </c>
      <c r="Q129" s="86">
        <v>0.38628944504896628</v>
      </c>
    </row>
    <row r="130" spans="1:17" x14ac:dyDescent="0.4">
      <c r="A130" s="88">
        <v>127</v>
      </c>
      <c r="B130" s="85">
        <v>-2.9999999999999698</v>
      </c>
      <c r="C130" s="85">
        <v>-7.8740157480314162E-3</v>
      </c>
      <c r="D130" s="90">
        <v>2</v>
      </c>
      <c r="E130" s="86">
        <v>0.33333333333333331</v>
      </c>
      <c r="F130" s="86">
        <v>0.30763740185581728</v>
      </c>
      <c r="G130" s="86">
        <v>0.17701641684511063</v>
      </c>
      <c r="H130" s="87">
        <v>10433.642691415313</v>
      </c>
      <c r="I130" s="87">
        <v>-9803.0241935483864</v>
      </c>
      <c r="J130" s="86">
        <v>0.18635170603674542</v>
      </c>
      <c r="K130" s="86">
        <v>0.18635170603674542</v>
      </c>
      <c r="L130" s="86">
        <v>0.2857142857142857</v>
      </c>
      <c r="M130" s="86">
        <v>0.22197802197802197</v>
      </c>
      <c r="N130" s="86">
        <v>0.60769230769230764</v>
      </c>
      <c r="O130" s="86">
        <v>0.39933993399339934</v>
      </c>
      <c r="P130" s="86">
        <v>0.40951276102088169</v>
      </c>
      <c r="Q130" s="86">
        <v>0.38403451995685006</v>
      </c>
    </row>
    <row r="131" spans="1:17" x14ac:dyDescent="0.4">
      <c r="A131" s="88">
        <v>128</v>
      </c>
      <c r="B131" s="85">
        <v>-2.9999999999999716</v>
      </c>
      <c r="C131" s="85">
        <v>-7.8124999999999263E-3</v>
      </c>
      <c r="D131" s="90">
        <v>2</v>
      </c>
      <c r="E131" s="86">
        <v>0.33333333333333331</v>
      </c>
      <c r="F131" s="86">
        <v>0.30774697938877044</v>
      </c>
      <c r="G131" s="86">
        <v>0.17768301350390903</v>
      </c>
      <c r="H131" s="87">
        <v>10428.175519630486</v>
      </c>
      <c r="I131" s="87">
        <v>-9798.6</v>
      </c>
      <c r="J131" s="86">
        <v>0.1875</v>
      </c>
      <c r="K131" s="86">
        <v>0.1875</v>
      </c>
      <c r="L131" s="86">
        <v>0.28467683369644153</v>
      </c>
      <c r="M131" s="86">
        <v>0.22294843863471314</v>
      </c>
      <c r="N131" s="86">
        <v>0.60969387755102045</v>
      </c>
      <c r="O131" s="86">
        <v>0.40065146579804561</v>
      </c>
      <c r="P131" s="86">
        <v>0.407621247113164</v>
      </c>
      <c r="Q131" s="86">
        <v>0.38453276047261009</v>
      </c>
    </row>
    <row r="132" spans="1:17" x14ac:dyDescent="0.4">
      <c r="A132" s="88">
        <v>129</v>
      </c>
      <c r="B132" s="85">
        <v>-2.9999999999999725</v>
      </c>
      <c r="C132" s="85">
        <v>-7.7519379844960528E-3</v>
      </c>
      <c r="D132" s="90">
        <v>2</v>
      </c>
      <c r="E132" s="86">
        <v>0.33333333333333331</v>
      </c>
      <c r="F132" s="86">
        <v>0.30793650793650795</v>
      </c>
      <c r="G132" s="86">
        <v>0.17883597883597885</v>
      </c>
      <c r="H132" s="87">
        <v>10388.545246277205</v>
      </c>
      <c r="I132" s="87">
        <v>-9739.0532544378693</v>
      </c>
      <c r="J132" s="86">
        <v>0.18604651162790697</v>
      </c>
      <c r="K132" s="86">
        <v>0.18604651162790697</v>
      </c>
      <c r="L132" s="86">
        <v>0.2832618025751073</v>
      </c>
      <c r="M132" s="86">
        <v>0.22460658082975679</v>
      </c>
      <c r="N132" s="86">
        <v>0.60606060606060608</v>
      </c>
      <c r="O132" s="86">
        <v>0.40127388535031849</v>
      </c>
      <c r="P132" s="86">
        <v>0.40435280641466209</v>
      </c>
      <c r="Q132" s="86">
        <v>0.38272921108742003</v>
      </c>
    </row>
    <row r="133" spans="1:17" x14ac:dyDescent="0.4">
      <c r="A133" s="88">
        <v>130</v>
      </c>
      <c r="B133" s="85">
        <v>-2.9999999999999751</v>
      </c>
      <c r="C133" s="85">
        <v>-7.6923076923076285E-3</v>
      </c>
      <c r="D133" s="90">
        <v>2</v>
      </c>
      <c r="E133" s="86">
        <v>0.33333333333333331</v>
      </c>
      <c r="F133" s="86">
        <v>0.30785340314136128</v>
      </c>
      <c r="G133" s="86">
        <v>0.17975567190226877</v>
      </c>
      <c r="H133" s="87">
        <v>10395.464852607709</v>
      </c>
      <c r="I133" s="87">
        <v>-9734.5631067961167</v>
      </c>
      <c r="J133" s="86">
        <v>0.18461538461538463</v>
      </c>
      <c r="K133" s="86">
        <v>0.18461538461538463</v>
      </c>
      <c r="L133" s="86">
        <v>0.28081232492997199</v>
      </c>
      <c r="M133" s="86">
        <v>0.22759103641456582</v>
      </c>
      <c r="N133" s="86">
        <v>0.60349127182044893</v>
      </c>
      <c r="O133" s="86">
        <v>0.40615384615384614</v>
      </c>
      <c r="P133" s="86">
        <v>0.40136054421768708</v>
      </c>
      <c r="Q133" s="86">
        <v>0.38185654008438819</v>
      </c>
    </row>
    <row r="134" spans="1:17" x14ac:dyDescent="0.4">
      <c r="A134" s="88">
        <v>131</v>
      </c>
      <c r="B134" s="85">
        <v>-2.9999999999999751</v>
      </c>
      <c r="C134" s="85">
        <v>-7.6335877862594784E-3</v>
      </c>
      <c r="D134" s="90">
        <v>2</v>
      </c>
      <c r="E134" s="86">
        <v>0.33333333333333331</v>
      </c>
      <c r="F134" s="86">
        <v>0.30798611111111113</v>
      </c>
      <c r="G134" s="86">
        <v>0.18020833333333333</v>
      </c>
      <c r="H134" s="87">
        <v>10387.373167981961</v>
      </c>
      <c r="I134" s="87">
        <v>-9738.1502890173415</v>
      </c>
      <c r="J134" s="86">
        <v>0.18575063613231552</v>
      </c>
      <c r="K134" s="86">
        <v>0.18575063613231552</v>
      </c>
      <c r="L134" s="86">
        <v>0.28135828135828134</v>
      </c>
      <c r="M134" s="86">
        <v>0.22661122661122662</v>
      </c>
      <c r="N134" s="86">
        <v>0.60098522167487689</v>
      </c>
      <c r="O134" s="86">
        <v>0.40672782874617736</v>
      </c>
      <c r="P134" s="86">
        <v>0.40022547914317924</v>
      </c>
      <c r="Q134" s="86">
        <v>0.38300104931794332</v>
      </c>
    </row>
    <row r="135" spans="1:17" x14ac:dyDescent="0.4">
      <c r="A135" s="88">
        <v>132</v>
      </c>
      <c r="B135" s="85">
        <v>-2.9999999999999742</v>
      </c>
      <c r="C135" s="85">
        <v>-7.5757575757575109E-3</v>
      </c>
      <c r="D135" s="90">
        <v>2</v>
      </c>
      <c r="E135" s="86">
        <v>0.33333333333333331</v>
      </c>
      <c r="F135" s="86">
        <v>0.30787753697970416</v>
      </c>
      <c r="G135" s="86">
        <v>0.18059855521155832</v>
      </c>
      <c r="H135" s="87">
        <v>10408.938547486034</v>
      </c>
      <c r="I135" s="87">
        <v>-9745.7142857142862</v>
      </c>
      <c r="J135" s="86">
        <v>0.18434343434343434</v>
      </c>
      <c r="K135" s="86">
        <v>0.18434343434343434</v>
      </c>
      <c r="L135" s="86">
        <v>0.28231292517006801</v>
      </c>
      <c r="M135" s="86">
        <v>0.22380952380952382</v>
      </c>
      <c r="N135" s="86">
        <v>0.60722891566265058</v>
      </c>
      <c r="O135" s="86">
        <v>0.40425531914893614</v>
      </c>
      <c r="P135" s="86">
        <v>0.39888268156424583</v>
      </c>
      <c r="Q135" s="86">
        <v>0.38149688149688149</v>
      </c>
    </row>
    <row r="136" spans="1:17" x14ac:dyDescent="0.4">
      <c r="A136" s="88">
        <v>133</v>
      </c>
      <c r="B136" s="85">
        <v>-2.9999999999999716</v>
      </c>
      <c r="C136" s="85">
        <v>-7.5187969924811315E-3</v>
      </c>
      <c r="D136" s="90">
        <v>2</v>
      </c>
      <c r="E136" s="86">
        <v>0.33333333333333331</v>
      </c>
      <c r="F136" s="86">
        <v>0.30803418803418803</v>
      </c>
      <c r="G136" s="86">
        <v>0.18119658119658119</v>
      </c>
      <c r="H136" s="87">
        <v>10395.560488346282</v>
      </c>
      <c r="I136" s="87">
        <v>-9718.6792452830196</v>
      </c>
      <c r="J136" s="86">
        <v>0.18295739348370926</v>
      </c>
      <c r="K136" s="86">
        <v>0.18295739348370926</v>
      </c>
      <c r="L136" s="86">
        <v>0.28360215053763443</v>
      </c>
      <c r="M136" s="86">
        <v>0.22379032258064516</v>
      </c>
      <c r="N136" s="86">
        <v>0.61137440758293837</v>
      </c>
      <c r="O136" s="86">
        <v>0.39939939939939939</v>
      </c>
      <c r="P136" s="86">
        <v>0.39733629300776913</v>
      </c>
      <c r="Q136" s="86">
        <v>0.37913223140495866</v>
      </c>
    </row>
    <row r="137" spans="1:17" x14ac:dyDescent="0.4">
      <c r="A137" s="88">
        <v>134</v>
      </c>
      <c r="B137" s="85">
        <v>-3.9999999999999716</v>
      </c>
      <c r="C137" s="85">
        <v>-9.9502487562188342E-3</v>
      </c>
      <c r="D137" s="90">
        <v>2</v>
      </c>
      <c r="E137" s="86">
        <v>0.33333333333333331</v>
      </c>
      <c r="F137" s="86">
        <v>0.30829103214890019</v>
      </c>
      <c r="G137" s="86">
        <v>0.18104906937394247</v>
      </c>
      <c r="H137" s="87">
        <v>10376.070252469814</v>
      </c>
      <c r="I137" s="87">
        <v>-9710.4672897196269</v>
      </c>
      <c r="J137" s="86">
        <v>0.18159203980099503</v>
      </c>
      <c r="K137" s="86">
        <v>0.18159203980099503</v>
      </c>
      <c r="L137" s="86">
        <v>0.28392621870882739</v>
      </c>
      <c r="M137" s="86">
        <v>0.22266139657444006</v>
      </c>
      <c r="N137" s="86">
        <v>0.61252900232018559</v>
      </c>
      <c r="O137" s="86">
        <v>0.40236686390532544</v>
      </c>
      <c r="P137" s="86">
        <v>0.39736553238199779</v>
      </c>
      <c r="Q137" s="86">
        <v>0.37934560327198363</v>
      </c>
    </row>
    <row r="138" spans="1:17" x14ac:dyDescent="0.4">
      <c r="A138" s="88">
        <v>135</v>
      </c>
      <c r="B138" s="85">
        <v>-3.9999999999999734</v>
      </c>
      <c r="C138" s="85">
        <v>-9.8765432098764771E-3</v>
      </c>
      <c r="D138" s="90">
        <v>2</v>
      </c>
      <c r="E138" s="86">
        <v>0.33333333333333331</v>
      </c>
      <c r="F138" s="86">
        <v>0.30784708249496984</v>
      </c>
      <c r="G138" s="86">
        <v>0.18108651911468812</v>
      </c>
      <c r="H138" s="87">
        <v>10365.577342047931</v>
      </c>
      <c r="I138" s="87">
        <v>-9692.7777777777774</v>
      </c>
      <c r="J138" s="86">
        <v>0.18024691358024691</v>
      </c>
      <c r="K138" s="86">
        <v>0.18024691358024691</v>
      </c>
      <c r="L138" s="86">
        <v>0.28478964401294499</v>
      </c>
      <c r="M138" s="86">
        <v>0.22394822006472492</v>
      </c>
      <c r="N138" s="86">
        <v>0.60681818181818181</v>
      </c>
      <c r="O138" s="86">
        <v>0.40173410404624277</v>
      </c>
      <c r="P138" s="86">
        <v>0.39651416122004357</v>
      </c>
      <c r="Q138" s="86">
        <v>0.37791286727456941</v>
      </c>
    </row>
    <row r="139" spans="1:17" x14ac:dyDescent="0.4">
      <c r="A139" s="88">
        <v>136</v>
      </c>
      <c r="B139" s="85">
        <v>-3.9999999999999769</v>
      </c>
      <c r="C139" s="85">
        <v>-9.8039215686273936E-3</v>
      </c>
      <c r="D139" s="90">
        <v>2</v>
      </c>
      <c r="E139" s="86">
        <v>0.33333333333333331</v>
      </c>
      <c r="F139" s="86">
        <v>0.30774343635759388</v>
      </c>
      <c r="G139" s="86">
        <v>0.1807909604519774</v>
      </c>
      <c r="H139" s="87">
        <v>10387.365010799136</v>
      </c>
      <c r="I139" s="87">
        <v>-9662.1323529411766</v>
      </c>
      <c r="J139" s="86">
        <v>0.17892156862745098</v>
      </c>
      <c r="K139" s="86">
        <v>0.17892156862745098</v>
      </c>
      <c r="L139" s="86">
        <v>0.28498727735368956</v>
      </c>
      <c r="M139" s="86">
        <v>0.22582697201017812</v>
      </c>
      <c r="N139" s="86">
        <v>0.6071428571428571</v>
      </c>
      <c r="O139" s="86">
        <v>0.39718309859154932</v>
      </c>
      <c r="P139" s="86">
        <v>0.39740820734341253</v>
      </c>
      <c r="Q139" s="86">
        <v>0.37851405622489959</v>
      </c>
    </row>
    <row r="140" spans="1:17" x14ac:dyDescent="0.4">
      <c r="A140" s="88">
        <v>137</v>
      </c>
      <c r="B140" s="85">
        <v>-3.9999999999999787</v>
      </c>
      <c r="C140" s="85">
        <v>-9.7323600973235492E-3</v>
      </c>
      <c r="D140" s="90">
        <v>2</v>
      </c>
      <c r="E140" s="86">
        <v>0.33333333333333331</v>
      </c>
      <c r="F140" s="86">
        <v>0.30753968253968256</v>
      </c>
      <c r="G140" s="86">
        <v>0.18055555555555555</v>
      </c>
      <c r="H140" s="87">
        <v>10396.451612903225</v>
      </c>
      <c r="I140" s="87">
        <v>-9670.6959706959715</v>
      </c>
      <c r="J140" s="86">
        <v>0.18004866180048662</v>
      </c>
      <c r="K140" s="86">
        <v>0.18004866180048662</v>
      </c>
      <c r="L140" s="86">
        <v>0.28355387523629488</v>
      </c>
      <c r="M140" s="86">
        <v>0.22558286074354128</v>
      </c>
      <c r="N140" s="86">
        <v>0.60888888888888892</v>
      </c>
      <c r="O140" s="86">
        <v>0.39664804469273746</v>
      </c>
      <c r="P140" s="86">
        <v>0.39784946236559138</v>
      </c>
      <c r="Q140" s="86">
        <v>0.37862137862137862</v>
      </c>
    </row>
    <row r="141" spans="1:17" x14ac:dyDescent="0.4">
      <c r="A141" s="88">
        <v>138</v>
      </c>
      <c r="B141" s="85">
        <v>-3.9999999999999787</v>
      </c>
      <c r="C141" s="85">
        <v>-9.6618357487922198E-3</v>
      </c>
      <c r="D141" s="90">
        <v>2</v>
      </c>
      <c r="E141" s="86">
        <v>0.33333333333333331</v>
      </c>
      <c r="F141" s="86">
        <v>0.30766699572227707</v>
      </c>
      <c r="G141" s="86">
        <v>0.18032247449819019</v>
      </c>
      <c r="H141" s="87">
        <v>10402.887700534759</v>
      </c>
      <c r="I141" s="87">
        <v>-9679.1970802919714</v>
      </c>
      <c r="J141" s="86">
        <v>0.18115942028985507</v>
      </c>
      <c r="K141" s="86">
        <v>0.18115942028985507</v>
      </c>
      <c r="L141" s="86">
        <v>0.28277153558052437</v>
      </c>
      <c r="M141" s="86">
        <v>0.22409488139825218</v>
      </c>
      <c r="N141" s="86">
        <v>0.61147902869757176</v>
      </c>
      <c r="O141" s="86">
        <v>0.3955431754874652</v>
      </c>
      <c r="P141" s="86">
        <v>0.39893048128342246</v>
      </c>
      <c r="Q141" s="86">
        <v>0.3797216699801193</v>
      </c>
    </row>
    <row r="142" spans="1:17" x14ac:dyDescent="0.4">
      <c r="A142" s="88">
        <v>139</v>
      </c>
      <c r="B142" s="85">
        <v>-3.9999999999999787</v>
      </c>
      <c r="C142" s="85">
        <v>-9.5923261390886781E-3</v>
      </c>
      <c r="D142" s="90">
        <v>2</v>
      </c>
      <c r="E142" s="86">
        <v>0.33333333333333331</v>
      </c>
      <c r="F142" s="86">
        <v>0.3080957063257948</v>
      </c>
      <c r="G142" s="86">
        <v>0.18026876433956079</v>
      </c>
      <c r="H142" s="87">
        <v>10399.680851063829</v>
      </c>
      <c r="I142" s="87">
        <v>-9713.0909090909099</v>
      </c>
      <c r="J142" s="86">
        <v>0.18225419664268586</v>
      </c>
      <c r="K142" s="86">
        <v>0.18225419664268586</v>
      </c>
      <c r="L142" s="86">
        <v>0.28252788104089221</v>
      </c>
      <c r="M142" s="86">
        <v>0.22490706319702602</v>
      </c>
      <c r="N142" s="86">
        <v>0.61184210526315785</v>
      </c>
      <c r="O142" s="86">
        <v>0.39944903581267216</v>
      </c>
      <c r="P142" s="86">
        <v>0.39893617021276595</v>
      </c>
      <c r="Q142" s="86">
        <v>0.38118811881188119</v>
      </c>
    </row>
    <row r="143" spans="1:17" x14ac:dyDescent="0.4">
      <c r="A143" s="88">
        <v>140</v>
      </c>
      <c r="B143" s="85">
        <v>-3.9999999999999796</v>
      </c>
      <c r="C143" s="85">
        <v>-9.5238095238094744E-3</v>
      </c>
      <c r="D143" s="90">
        <v>2</v>
      </c>
      <c r="E143" s="86">
        <v>0.33333333333333331</v>
      </c>
      <c r="F143" s="86">
        <v>0.30769230769230771</v>
      </c>
      <c r="G143" s="86">
        <v>0.1804608893216488</v>
      </c>
      <c r="H143" s="87">
        <v>10399.683544303798</v>
      </c>
      <c r="I143" s="87">
        <v>-9714.7482014388497</v>
      </c>
      <c r="J143" s="86">
        <v>0.18095238095238095</v>
      </c>
      <c r="K143" s="86">
        <v>0.18095238095238095</v>
      </c>
      <c r="L143" s="86">
        <v>0.28223844282238442</v>
      </c>
      <c r="M143" s="86">
        <v>0.2281021897810219</v>
      </c>
      <c r="N143" s="86">
        <v>0.60775862068965514</v>
      </c>
      <c r="O143" s="86">
        <v>0.39733333333333332</v>
      </c>
      <c r="P143" s="86">
        <v>0.39767932489451474</v>
      </c>
      <c r="Q143" s="86">
        <v>0.38039215686274508</v>
      </c>
    </row>
    <row r="144" spans="1:17" x14ac:dyDescent="0.4">
      <c r="A144" s="88">
        <v>141</v>
      </c>
      <c r="B144" s="85">
        <v>-3.9999999999999778</v>
      </c>
      <c r="C144" s="85">
        <v>-9.4562647754136593E-3</v>
      </c>
      <c r="D144" s="90">
        <v>2</v>
      </c>
      <c r="E144" s="86">
        <v>0.33333333333333331</v>
      </c>
      <c r="F144" s="86">
        <v>0.30732177263969174</v>
      </c>
      <c r="G144" s="86">
        <v>0.18047527296082208</v>
      </c>
      <c r="H144" s="87">
        <v>10382.863113897596</v>
      </c>
      <c r="I144" s="87">
        <v>-9695.5516014234872</v>
      </c>
      <c r="J144" s="86">
        <v>0.17966903073286053</v>
      </c>
      <c r="K144" s="86">
        <v>0.17966903073286053</v>
      </c>
      <c r="L144" s="86">
        <v>0.28205128205128205</v>
      </c>
      <c r="M144" s="86">
        <v>0.22778771615980919</v>
      </c>
      <c r="N144" s="86">
        <v>0.60887949260042284</v>
      </c>
      <c r="O144" s="86">
        <v>0.39528795811518325</v>
      </c>
      <c r="P144" s="86">
        <v>0.39707419017763845</v>
      </c>
      <c r="Q144" s="86">
        <v>0.37924345295829293</v>
      </c>
    </row>
    <row r="145" spans="1:17" x14ac:dyDescent="0.4">
      <c r="A145" s="88">
        <v>142</v>
      </c>
      <c r="B145" s="85">
        <v>-3.9999999999999787</v>
      </c>
      <c r="C145" s="85">
        <v>-9.3896713615022973E-3</v>
      </c>
      <c r="D145" s="90">
        <v>2</v>
      </c>
      <c r="E145" s="86">
        <v>0.33333333333333331</v>
      </c>
      <c r="F145" s="86">
        <v>0.30653907496012761</v>
      </c>
      <c r="G145" s="86">
        <v>0.18022328548644337</v>
      </c>
      <c r="H145" s="87">
        <v>10383.766909469303</v>
      </c>
      <c r="I145" s="87">
        <v>-9707.787610619469</v>
      </c>
      <c r="J145" s="86">
        <v>0.17840375586854459</v>
      </c>
      <c r="K145" s="86">
        <v>0.17840375586854459</v>
      </c>
      <c r="L145" s="86">
        <v>0.28032979976442873</v>
      </c>
      <c r="M145" s="86">
        <v>0.22732626619552415</v>
      </c>
      <c r="N145" s="86">
        <v>0.6071428571428571</v>
      </c>
      <c r="O145" s="86">
        <v>0.39637305699481867</v>
      </c>
      <c r="P145" s="86">
        <v>0.39646201873048909</v>
      </c>
      <c r="Q145" s="86">
        <v>0.37764932562620424</v>
      </c>
    </row>
    <row r="146" spans="1:17" x14ac:dyDescent="0.4">
      <c r="A146" s="88">
        <v>143</v>
      </c>
      <c r="B146" s="85">
        <v>-3.9999999999999787</v>
      </c>
      <c r="C146" s="85">
        <v>-9.3240093240092737E-3</v>
      </c>
      <c r="D146" s="90">
        <v>2</v>
      </c>
      <c r="E146" s="86">
        <v>0.33333333333333331</v>
      </c>
      <c r="F146" s="86">
        <v>0.30642608420386197</v>
      </c>
      <c r="G146" s="86">
        <v>0.18012029123140233</v>
      </c>
      <c r="H146" s="87">
        <v>10388.326446280991</v>
      </c>
      <c r="I146" s="87">
        <v>-9701.2302284710022</v>
      </c>
      <c r="J146" s="86">
        <v>0.17948717948717949</v>
      </c>
      <c r="K146" s="86">
        <v>0.17948717948717949</v>
      </c>
      <c r="L146" s="86">
        <v>0.28222996515679444</v>
      </c>
      <c r="M146" s="86">
        <v>0.22764227642276422</v>
      </c>
      <c r="N146" s="86">
        <v>0.60288065843621397</v>
      </c>
      <c r="O146" s="86">
        <v>0.39795918367346939</v>
      </c>
      <c r="P146" s="86">
        <v>0.39669421487603307</v>
      </c>
      <c r="Q146" s="86">
        <v>0.37667304015296366</v>
      </c>
    </row>
    <row r="147" spans="1:17" x14ac:dyDescent="0.4">
      <c r="A147" s="88">
        <v>144</v>
      </c>
      <c r="B147" s="85">
        <v>-3.9999999999999822</v>
      </c>
      <c r="C147" s="85">
        <v>-9.2592592592592188E-3</v>
      </c>
      <c r="D147" s="90">
        <v>2</v>
      </c>
      <c r="E147" s="86">
        <v>0.33333333333333331</v>
      </c>
      <c r="F147" s="86">
        <v>0.30665411173885748</v>
      </c>
      <c r="G147" s="86">
        <v>0.17922159447583177</v>
      </c>
      <c r="H147" s="87">
        <v>10359.365404298875</v>
      </c>
      <c r="I147" s="87">
        <v>-9679.8598949211901</v>
      </c>
      <c r="J147" s="86">
        <v>0.17824074074074073</v>
      </c>
      <c r="K147" s="86">
        <v>0.17824074074074073</v>
      </c>
      <c r="L147" s="86">
        <v>0.28187535734705543</v>
      </c>
      <c r="M147" s="86">
        <v>0.22870211549456831</v>
      </c>
      <c r="N147" s="86">
        <v>0.60243407707910746</v>
      </c>
      <c r="O147" s="86">
        <v>0.40250000000000002</v>
      </c>
      <c r="P147" s="86">
        <v>0.40020470829068577</v>
      </c>
      <c r="Q147" s="86">
        <v>0.37630331753554502</v>
      </c>
    </row>
    <row r="148" spans="1:17" x14ac:dyDescent="0.4">
      <c r="A148" s="88">
        <v>145</v>
      </c>
      <c r="B148" s="85">
        <v>-3.9999999999999822</v>
      </c>
      <c r="C148" s="85">
        <v>-9.1954022988505347E-3</v>
      </c>
      <c r="D148" s="90">
        <v>2</v>
      </c>
      <c r="E148" s="86">
        <v>0.33333333333333331</v>
      </c>
      <c r="F148" s="86">
        <v>0.30628109452736318</v>
      </c>
      <c r="G148" s="86">
        <v>0.17972636815920398</v>
      </c>
      <c r="H148" s="87">
        <v>10336.954314720811</v>
      </c>
      <c r="I148" s="87">
        <v>-9647.0588235294126</v>
      </c>
      <c r="J148" s="86">
        <v>0.17701149425287357</v>
      </c>
      <c r="K148" s="86">
        <v>0.17701149425287357</v>
      </c>
      <c r="L148" s="86">
        <v>0.28274311410905001</v>
      </c>
      <c r="M148" s="86">
        <v>0.22878021360314785</v>
      </c>
      <c r="N148" s="86">
        <v>0.60039761431411531</v>
      </c>
      <c r="O148" s="86">
        <v>0.40049140049140047</v>
      </c>
      <c r="P148" s="86">
        <v>0.39796954314720812</v>
      </c>
      <c r="Q148" s="86">
        <v>0.37558685446009388</v>
      </c>
    </row>
    <row r="149" spans="1:17" x14ac:dyDescent="0.4">
      <c r="A149" s="88">
        <v>146</v>
      </c>
      <c r="B149" s="85">
        <v>-3.9999999999999893</v>
      </c>
      <c r="C149" s="85">
        <v>-9.1324200913241761E-3</v>
      </c>
      <c r="D149" s="90">
        <v>2</v>
      </c>
      <c r="E149" s="86">
        <v>0.33333333333333331</v>
      </c>
      <c r="F149" s="86">
        <v>0.30617283950617286</v>
      </c>
      <c r="G149" s="86">
        <v>0.17962962962962964</v>
      </c>
      <c r="H149" s="87">
        <v>10332.762096774193</v>
      </c>
      <c r="I149" s="87">
        <v>-9594.8453608247419</v>
      </c>
      <c r="J149" s="86">
        <v>0.17808219178082191</v>
      </c>
      <c r="K149" s="86">
        <v>0.17808219178082191</v>
      </c>
      <c r="L149" s="86">
        <v>0.28175263449805882</v>
      </c>
      <c r="M149" s="86">
        <v>0.22961730449251247</v>
      </c>
      <c r="N149" s="86">
        <v>0.60039370078740162</v>
      </c>
      <c r="O149" s="86">
        <v>0.40338164251207731</v>
      </c>
      <c r="P149" s="86">
        <v>0.39818548387096775</v>
      </c>
      <c r="Q149" s="86">
        <v>0.37465051258154708</v>
      </c>
    </row>
    <row r="150" spans="1:17" x14ac:dyDescent="0.4">
      <c r="A150" s="88">
        <v>147</v>
      </c>
      <c r="B150" s="85">
        <v>-3.9999999999999893</v>
      </c>
      <c r="C150" s="85">
        <v>-9.0702947845804748E-3</v>
      </c>
      <c r="D150" s="90">
        <v>2</v>
      </c>
      <c r="E150" s="86">
        <v>0.33333333333333331</v>
      </c>
      <c r="F150" s="86">
        <v>0.30637254901960786</v>
      </c>
      <c r="G150" s="86">
        <v>0.17922794117647059</v>
      </c>
      <c r="H150" s="87">
        <v>10354.9</v>
      </c>
      <c r="I150" s="87">
        <v>-9577.7777777777774</v>
      </c>
      <c r="J150" s="86">
        <v>0.17687074829931973</v>
      </c>
      <c r="K150" s="86">
        <v>0.17687074829931973</v>
      </c>
      <c r="L150" s="86">
        <v>0.28188286808976465</v>
      </c>
      <c r="M150" s="86">
        <v>0.22988505747126436</v>
      </c>
      <c r="N150" s="86">
        <v>0.6</v>
      </c>
      <c r="O150" s="86">
        <v>0.40476190476190477</v>
      </c>
      <c r="P150" s="86">
        <v>0.4</v>
      </c>
      <c r="Q150" s="86">
        <v>0.37372802960222018</v>
      </c>
    </row>
    <row r="151" spans="1:17" x14ac:dyDescent="0.4">
      <c r="A151" s="88">
        <v>148</v>
      </c>
      <c r="B151" s="85">
        <v>-3.9999999999999858</v>
      </c>
      <c r="C151" s="85">
        <v>-9.0090090090089777E-3</v>
      </c>
      <c r="D151" s="90">
        <v>2</v>
      </c>
      <c r="E151" s="86">
        <v>0.33333333333333331</v>
      </c>
      <c r="F151" s="86">
        <v>0.306314511232544</v>
      </c>
      <c r="G151" s="86">
        <v>0.17972070431086826</v>
      </c>
      <c r="H151" s="87">
        <v>10345.094152626363</v>
      </c>
      <c r="I151" s="87">
        <v>-9561.3175675675684</v>
      </c>
      <c r="J151" s="86">
        <v>0.17567567567567569</v>
      </c>
      <c r="K151" s="86">
        <v>0.17567567567567569</v>
      </c>
      <c r="L151" s="86">
        <v>0.28217555196553579</v>
      </c>
      <c r="M151" s="86">
        <v>0.23047926763597198</v>
      </c>
      <c r="N151" s="86">
        <v>0.60114503816793896</v>
      </c>
      <c r="O151" s="86">
        <v>0.40186915887850466</v>
      </c>
      <c r="P151" s="86">
        <v>0.39841427155599601</v>
      </c>
      <c r="Q151" s="86">
        <v>0.37305224564619616</v>
      </c>
    </row>
    <row r="152" spans="1:17" x14ac:dyDescent="0.4">
      <c r="A152" s="88">
        <v>149</v>
      </c>
      <c r="B152" s="85">
        <v>-3.9999999999999858</v>
      </c>
      <c r="C152" s="85">
        <v>-8.9485458612975077E-3</v>
      </c>
      <c r="D152" s="90">
        <v>2</v>
      </c>
      <c r="E152" s="86">
        <v>0.33333333333333331</v>
      </c>
      <c r="F152" s="86">
        <v>0.3061594202898551</v>
      </c>
      <c r="G152" s="86">
        <v>0.17934782608695651</v>
      </c>
      <c r="H152" s="87">
        <v>10371.005917159764</v>
      </c>
      <c r="I152" s="87">
        <v>-9579.6296296296296</v>
      </c>
      <c r="J152" s="86">
        <v>0.1767337807606264</v>
      </c>
      <c r="K152" s="86">
        <v>0.1767337807606264</v>
      </c>
      <c r="L152" s="86">
        <v>0.28426666666666667</v>
      </c>
      <c r="M152" s="86">
        <v>0.2288</v>
      </c>
      <c r="N152" s="86">
        <v>0.59849906191369606</v>
      </c>
      <c r="O152" s="86">
        <v>0.40326340326340326</v>
      </c>
      <c r="P152" s="86">
        <v>0.39940828402366862</v>
      </c>
      <c r="Q152" s="86">
        <v>0.37192342752962626</v>
      </c>
    </row>
    <row r="153" spans="1:17" x14ac:dyDescent="0.4">
      <c r="A153" s="88">
        <v>150</v>
      </c>
      <c r="B153" s="85">
        <v>-3.9999999999999858</v>
      </c>
      <c r="C153" s="85">
        <v>-8.8888888888888577E-3</v>
      </c>
      <c r="D153" s="90">
        <v>2</v>
      </c>
      <c r="E153" s="86">
        <v>0.33333333333333331</v>
      </c>
      <c r="F153" s="86">
        <v>0.30598136459272618</v>
      </c>
      <c r="G153" s="86">
        <v>0.17914036669672379</v>
      </c>
      <c r="H153" s="87">
        <v>10369.548133595285</v>
      </c>
      <c r="I153" s="87">
        <v>-9587.7516778523495</v>
      </c>
      <c r="J153" s="86">
        <v>0.17777777777777778</v>
      </c>
      <c r="K153" s="86">
        <v>0.17777777777777778</v>
      </c>
      <c r="L153" s="86">
        <v>0.28306878306878308</v>
      </c>
      <c r="M153" s="86">
        <v>0.23068783068783069</v>
      </c>
      <c r="N153" s="86">
        <v>0.5962616822429907</v>
      </c>
      <c r="O153" s="86">
        <v>0.40596330275229359</v>
      </c>
      <c r="P153" s="86">
        <v>0.39980353634577603</v>
      </c>
      <c r="Q153" s="86">
        <v>0.3720508166969147</v>
      </c>
    </row>
    <row r="154" spans="1:17" x14ac:dyDescent="0.4">
      <c r="A154" s="88">
        <v>151</v>
      </c>
      <c r="B154" s="85">
        <v>-3.9999999999999822</v>
      </c>
      <c r="C154" s="85">
        <v>-8.8300220750551477E-3</v>
      </c>
      <c r="D154" s="90">
        <v>2</v>
      </c>
      <c r="E154" s="86">
        <v>0.33333333333333331</v>
      </c>
      <c r="F154" s="86">
        <v>0.30585424133811229</v>
      </c>
      <c r="G154" s="86">
        <v>0.17951015531660694</v>
      </c>
      <c r="H154" s="87">
        <v>10372.36328125</v>
      </c>
      <c r="I154" s="87">
        <v>-9602.9950083194672</v>
      </c>
      <c r="J154" s="86">
        <v>0.17660044150110377</v>
      </c>
      <c r="K154" s="86">
        <v>0.17660044150110377</v>
      </c>
      <c r="L154" s="86">
        <v>0.28205128205128205</v>
      </c>
      <c r="M154" s="86">
        <v>0.22972265829408686</v>
      </c>
      <c r="N154" s="86">
        <v>0.5992578849721707</v>
      </c>
      <c r="O154" s="86">
        <v>0.40774487471526194</v>
      </c>
      <c r="P154" s="86">
        <v>0.3984375</v>
      </c>
      <c r="Q154" s="86">
        <v>0.369702434625789</v>
      </c>
    </row>
    <row r="155" spans="1:17" x14ac:dyDescent="0.4">
      <c r="A155" s="88">
        <v>152</v>
      </c>
      <c r="B155" s="85">
        <v>-3.9999999999999787</v>
      </c>
      <c r="C155" s="85">
        <v>-8.7719298245613562E-3</v>
      </c>
      <c r="D155" s="90">
        <v>2</v>
      </c>
      <c r="E155" s="86">
        <v>0.33333333333333331</v>
      </c>
      <c r="F155" s="86">
        <v>0.30582667849748596</v>
      </c>
      <c r="G155" s="86">
        <v>0.17953268263827271</v>
      </c>
      <c r="H155" s="87">
        <v>10319.922630560928</v>
      </c>
      <c r="I155" s="87">
        <v>-9557.1663920922565</v>
      </c>
      <c r="J155" s="86">
        <v>0.17763157894736842</v>
      </c>
      <c r="K155" s="86">
        <v>0.17763157894736842</v>
      </c>
      <c r="L155" s="86">
        <v>0.28086419753086422</v>
      </c>
      <c r="M155" s="86">
        <v>0.22942386831275721</v>
      </c>
      <c r="N155" s="86">
        <v>0.59523809523809523</v>
      </c>
      <c r="O155" s="86">
        <v>0.4103139013452915</v>
      </c>
      <c r="P155" s="86">
        <v>0.39845261121856868</v>
      </c>
      <c r="Q155" s="86">
        <v>0.37232142857142858</v>
      </c>
    </row>
    <row r="156" spans="1:17" x14ac:dyDescent="0.4">
      <c r="A156" s="88">
        <v>153</v>
      </c>
      <c r="B156" s="85">
        <v>-3.9999999999999858</v>
      </c>
      <c r="C156" s="85">
        <v>-8.7145969498910372E-3</v>
      </c>
      <c r="D156" s="90">
        <v>2</v>
      </c>
      <c r="E156" s="86">
        <v>0.33333333333333331</v>
      </c>
      <c r="F156" s="86">
        <v>0.30565371024734983</v>
      </c>
      <c r="G156" s="86">
        <v>0.17962308598351001</v>
      </c>
      <c r="H156" s="87">
        <v>10320.038535645472</v>
      </c>
      <c r="I156" s="87">
        <v>-9573.442622950819</v>
      </c>
      <c r="J156" s="86">
        <v>0.1786492374727669</v>
      </c>
      <c r="K156" s="86">
        <v>0.1786492374727669</v>
      </c>
      <c r="L156" s="86">
        <v>0.28075548749361917</v>
      </c>
      <c r="M156" s="86">
        <v>0.22970903522205208</v>
      </c>
      <c r="N156" s="86">
        <v>0.59272727272727277</v>
      </c>
      <c r="O156" s="86">
        <v>0.40888888888888891</v>
      </c>
      <c r="P156" s="86">
        <v>0.39788053949903662</v>
      </c>
      <c r="Q156" s="86">
        <v>0.37155555555555553</v>
      </c>
    </row>
    <row r="157" spans="1:17" x14ac:dyDescent="0.4">
      <c r="A157" s="88">
        <v>154</v>
      </c>
      <c r="B157" s="85">
        <v>-3.9999999999999893</v>
      </c>
      <c r="C157" s="85">
        <v>-8.6580086580086354E-3</v>
      </c>
      <c r="D157" s="90">
        <v>2</v>
      </c>
      <c r="E157" s="86">
        <v>0.33333333333333331</v>
      </c>
      <c r="F157" s="86">
        <v>0.30584795321637426</v>
      </c>
      <c r="G157" s="86">
        <v>0.17923976608187134</v>
      </c>
      <c r="H157" s="87">
        <v>10319.789674952199</v>
      </c>
      <c r="I157" s="87">
        <v>-9569.4942903752035</v>
      </c>
      <c r="J157" s="86">
        <v>0.17965367965367965</v>
      </c>
      <c r="K157" s="86">
        <v>0.17965367965367965</v>
      </c>
      <c r="L157" s="86">
        <v>0.28139183055975792</v>
      </c>
      <c r="M157" s="86">
        <v>0.22894604135148763</v>
      </c>
      <c r="N157" s="86">
        <v>0.59498207885304655</v>
      </c>
      <c r="O157" s="86">
        <v>0.40748898678414097</v>
      </c>
      <c r="P157" s="86">
        <v>0.39866156787762907</v>
      </c>
      <c r="Q157" s="86">
        <v>0.37246248896734335</v>
      </c>
    </row>
    <row r="158" spans="1:17" x14ac:dyDescent="0.4">
      <c r="A158" s="88">
        <v>155</v>
      </c>
      <c r="B158" s="85">
        <v>-3.9999999999999893</v>
      </c>
      <c r="C158" s="85">
        <v>-8.602150537634386E-3</v>
      </c>
      <c r="D158" s="90">
        <v>2</v>
      </c>
      <c r="E158" s="86">
        <v>0.33333333333333331</v>
      </c>
      <c r="F158" s="86">
        <v>0.30577313606034234</v>
      </c>
      <c r="G158" s="86">
        <v>0.17957644328401509</v>
      </c>
      <c r="H158" s="87">
        <v>10324.857685009487</v>
      </c>
      <c r="I158" s="87">
        <v>-9592.8917609046857</v>
      </c>
      <c r="J158" s="86">
        <v>0.17849462365591398</v>
      </c>
      <c r="K158" s="86">
        <v>0.17849462365591398</v>
      </c>
      <c r="L158" s="86">
        <v>0.28308457711442786</v>
      </c>
      <c r="M158" s="86">
        <v>0.22686567164179106</v>
      </c>
      <c r="N158" s="86">
        <v>0.59402460456942008</v>
      </c>
      <c r="O158" s="86">
        <v>0.40789473684210525</v>
      </c>
      <c r="P158" s="86">
        <v>0.39753320683111953</v>
      </c>
      <c r="Q158" s="86">
        <v>0.37127845884413307</v>
      </c>
    </row>
    <row r="159" spans="1:17" x14ac:dyDescent="0.4">
      <c r="A159" s="88">
        <v>156</v>
      </c>
      <c r="B159" s="85">
        <v>-3.9999999999999893</v>
      </c>
      <c r="C159" s="85">
        <v>-8.5470085470085236E-3</v>
      </c>
      <c r="D159" s="90">
        <v>2</v>
      </c>
      <c r="E159" s="86">
        <v>0.33333333333333331</v>
      </c>
      <c r="F159" s="86">
        <v>0.3059873344847438</v>
      </c>
      <c r="G159" s="86">
        <v>0.17962003454231434</v>
      </c>
      <c r="H159" s="87">
        <v>10309.125117591722</v>
      </c>
      <c r="I159" s="87">
        <v>-9575.6410256410254</v>
      </c>
      <c r="J159" s="86">
        <v>0.17735042735042736</v>
      </c>
      <c r="K159" s="86">
        <v>0.17735042735042736</v>
      </c>
      <c r="L159" s="86">
        <v>0.28325969563082964</v>
      </c>
      <c r="M159" s="86">
        <v>0.22582228767795778</v>
      </c>
      <c r="N159" s="86">
        <v>0.59618717504332752</v>
      </c>
      <c r="O159" s="86">
        <v>0.40652173913043477</v>
      </c>
      <c r="P159" s="86">
        <v>0.39793038570084666</v>
      </c>
      <c r="Q159" s="86">
        <v>0.37098175499565594</v>
      </c>
    </row>
    <row r="160" spans="1:17" x14ac:dyDescent="0.4">
      <c r="A160" s="88">
        <v>157</v>
      </c>
      <c r="B160" s="85">
        <v>-3.9999999999999911</v>
      </c>
      <c r="C160" s="85">
        <v>-8.492569002123123E-3</v>
      </c>
      <c r="D160" s="90">
        <v>2</v>
      </c>
      <c r="E160" s="86">
        <v>0.33333333333333331</v>
      </c>
      <c r="F160" s="86">
        <v>0.3059125964010283</v>
      </c>
      <c r="G160" s="86">
        <v>0.17994858611825193</v>
      </c>
      <c r="H160" s="87">
        <v>10278.151260504203</v>
      </c>
      <c r="I160" s="87">
        <v>-9521.4285714285706</v>
      </c>
      <c r="J160" s="86">
        <v>0.17622080679405519</v>
      </c>
      <c r="K160" s="86">
        <v>0.17622080679405519</v>
      </c>
      <c r="L160" s="86">
        <v>0.28439922480620156</v>
      </c>
      <c r="M160" s="86">
        <v>0.22674418604651161</v>
      </c>
      <c r="N160" s="86">
        <v>0.59454855195911416</v>
      </c>
      <c r="O160" s="86">
        <v>0.40384615384615385</v>
      </c>
      <c r="P160" s="86">
        <v>0.3968253968253968</v>
      </c>
      <c r="Q160" s="86">
        <v>0.36982758620689654</v>
      </c>
    </row>
    <row r="161" spans="1:17" x14ac:dyDescent="0.4">
      <c r="A161" s="88">
        <v>158</v>
      </c>
      <c r="B161" s="85">
        <v>-3.9999999999999911</v>
      </c>
      <c r="C161" s="85">
        <v>-8.4388185654008258E-3</v>
      </c>
      <c r="D161" s="90">
        <v>2</v>
      </c>
      <c r="E161" s="86">
        <v>0.33333333333333331</v>
      </c>
      <c r="F161" s="86">
        <v>0.30534351145038169</v>
      </c>
      <c r="G161" s="86">
        <v>0.17924795024031664</v>
      </c>
      <c r="H161" s="87">
        <v>10288.425925925925</v>
      </c>
      <c r="I161" s="87">
        <v>-9507.886435331231</v>
      </c>
      <c r="J161" s="86">
        <v>0.17510548523206751</v>
      </c>
      <c r="K161" s="86">
        <v>0.17510548523206751</v>
      </c>
      <c r="L161" s="86">
        <v>0.28333333333333333</v>
      </c>
      <c r="M161" s="86">
        <v>0.2280952380952381</v>
      </c>
      <c r="N161" s="86">
        <v>0.59495798319327731</v>
      </c>
      <c r="O161" s="86">
        <v>0.39874739039665968</v>
      </c>
      <c r="P161" s="86">
        <v>0.39814814814814814</v>
      </c>
      <c r="Q161" s="86">
        <v>0.36860068259385664</v>
      </c>
    </row>
    <row r="162" spans="1:17" x14ac:dyDescent="0.4">
      <c r="A162" s="88">
        <v>159</v>
      </c>
      <c r="B162" s="85">
        <v>-3.9999999999999929</v>
      </c>
      <c r="C162" s="85">
        <v>-8.3857442348008234E-3</v>
      </c>
      <c r="D162" s="90">
        <v>2</v>
      </c>
      <c r="E162" s="86">
        <v>0.33333333333333331</v>
      </c>
      <c r="F162" s="86">
        <v>0.30522765598650925</v>
      </c>
      <c r="G162" s="86">
        <v>0.17931422147273748</v>
      </c>
      <c r="H162" s="87">
        <v>10282.780847145488</v>
      </c>
      <c r="I162" s="87">
        <v>-9516.6144200626968</v>
      </c>
      <c r="J162" s="86">
        <v>0.1761006289308176</v>
      </c>
      <c r="K162" s="86">
        <v>0.1761006289308176</v>
      </c>
      <c r="L162" s="86">
        <v>0.28194247996228194</v>
      </c>
      <c r="M162" s="86">
        <v>0.23008015087223008</v>
      </c>
      <c r="N162" s="86">
        <v>0.59531772575250841</v>
      </c>
      <c r="O162" s="86">
        <v>0.39959016393442626</v>
      </c>
      <c r="P162" s="86">
        <v>0.39686924493554326</v>
      </c>
      <c r="Q162" s="86">
        <v>0.36810856658184904</v>
      </c>
    </row>
    <row r="163" spans="1:17" x14ac:dyDescent="0.4">
      <c r="A163" s="88">
        <v>160</v>
      </c>
      <c r="B163" s="85">
        <v>-3.9999999999999929</v>
      </c>
      <c r="C163" s="85">
        <v>-8.3333333333333193E-3</v>
      </c>
      <c r="D163" s="90">
        <v>2</v>
      </c>
      <c r="E163" s="86">
        <v>0.33333333333333331</v>
      </c>
      <c r="F163" s="86">
        <v>0.30488145048814502</v>
      </c>
      <c r="G163" s="86">
        <v>0.1790794979079498</v>
      </c>
      <c r="H163" s="87">
        <v>10261.299176578224</v>
      </c>
      <c r="I163" s="87">
        <v>-9502.9595015576324</v>
      </c>
      <c r="J163" s="86">
        <v>0.17499999999999999</v>
      </c>
      <c r="K163" s="86">
        <v>0.17499999999999999</v>
      </c>
      <c r="L163" s="86">
        <v>0.28119180633147112</v>
      </c>
      <c r="M163" s="86">
        <v>0.22951582867783984</v>
      </c>
      <c r="N163" s="86">
        <v>0.59602649006622521</v>
      </c>
      <c r="O163" s="86">
        <v>0.39959432048681542</v>
      </c>
      <c r="P163" s="86">
        <v>0.39707227813357732</v>
      </c>
      <c r="Q163" s="86">
        <v>0.36616161616161619</v>
      </c>
    </row>
    <row r="164" spans="1:17" x14ac:dyDescent="0.4">
      <c r="A164" s="88">
        <v>161</v>
      </c>
      <c r="B164" s="85">
        <v>-3.9999999999999929</v>
      </c>
      <c r="C164" s="85">
        <v>-8.2815734989647883E-3</v>
      </c>
      <c r="D164" s="90">
        <v>2</v>
      </c>
      <c r="E164" s="86">
        <v>0.33333333333333331</v>
      </c>
      <c r="F164" s="86">
        <v>0.30514096185737977</v>
      </c>
      <c r="G164" s="86">
        <v>0.17882808181315643</v>
      </c>
      <c r="H164" s="87">
        <v>10258.061594202898</v>
      </c>
      <c r="I164" s="87">
        <v>-9493.3539412673872</v>
      </c>
      <c r="J164" s="86">
        <v>0.17598343685300208</v>
      </c>
      <c r="K164" s="86">
        <v>0.17598343685300208</v>
      </c>
      <c r="L164" s="86">
        <v>0.28381476386978449</v>
      </c>
      <c r="M164" s="86">
        <v>0.22879413113250802</v>
      </c>
      <c r="N164" s="86">
        <v>0.59612277867528274</v>
      </c>
      <c r="O164" s="86">
        <v>0.39679358717434871</v>
      </c>
      <c r="P164" s="86">
        <v>0.39855072463768115</v>
      </c>
      <c r="Q164" s="86">
        <v>0.3669724770642202</v>
      </c>
    </row>
    <row r="165" spans="1:17" x14ac:dyDescent="0.4">
      <c r="A165" s="88">
        <v>162</v>
      </c>
      <c r="B165" s="85">
        <v>-3.9999999999999938</v>
      </c>
      <c r="C165" s="85">
        <v>-8.2304526748971062E-3</v>
      </c>
      <c r="D165" s="90">
        <v>2</v>
      </c>
      <c r="E165" s="86">
        <v>0.33333333333333331</v>
      </c>
      <c r="F165" s="86">
        <v>0.30507544581618656</v>
      </c>
      <c r="G165" s="86">
        <v>0.17860082304526748</v>
      </c>
      <c r="H165" s="87">
        <v>10254.946043165468</v>
      </c>
      <c r="I165" s="87">
        <v>-9492.1658986175116</v>
      </c>
      <c r="J165" s="86">
        <v>0.17489711934156379</v>
      </c>
      <c r="K165" s="86">
        <v>0.17489711934156379</v>
      </c>
      <c r="L165" s="86">
        <v>0.28351449275362317</v>
      </c>
      <c r="M165" s="86">
        <v>0.23097826086956522</v>
      </c>
      <c r="N165" s="86">
        <v>0.597444089456869</v>
      </c>
      <c r="O165" s="86">
        <v>0.39215686274509803</v>
      </c>
      <c r="P165" s="86">
        <v>0.39928057553956836</v>
      </c>
      <c r="Q165" s="86">
        <v>0.36672185430463577</v>
      </c>
    </row>
    <row r="166" spans="1:17" x14ac:dyDescent="0.4">
      <c r="A166" s="88">
        <v>163</v>
      </c>
      <c r="B166" s="85">
        <v>-4.9999999999999929</v>
      </c>
      <c r="C166" s="85">
        <v>-1.0224948875255609E-2</v>
      </c>
      <c r="D166" s="90">
        <v>2</v>
      </c>
      <c r="E166" s="86">
        <v>0.33333333333333331</v>
      </c>
      <c r="F166" s="86">
        <v>0.30498773507767785</v>
      </c>
      <c r="G166" s="86">
        <v>0.17852275824475333</v>
      </c>
      <c r="H166" s="87">
        <v>10263.181411974978</v>
      </c>
      <c r="I166" s="87">
        <v>-9504.4274809160306</v>
      </c>
      <c r="J166" s="86">
        <v>0.17382413087934559</v>
      </c>
      <c r="K166" s="86">
        <v>0.17382413087934559</v>
      </c>
      <c r="L166" s="86">
        <v>0.28449820788530467</v>
      </c>
      <c r="M166" s="86">
        <v>0.2307347670250896</v>
      </c>
      <c r="N166" s="86">
        <v>0.59685039370078741</v>
      </c>
      <c r="O166" s="86">
        <v>0.39223300970873787</v>
      </c>
      <c r="P166" s="86">
        <v>0.39946380697050937</v>
      </c>
      <c r="Q166" s="86">
        <v>0.36595394736842107</v>
      </c>
    </row>
    <row r="167" spans="1:17" x14ac:dyDescent="0.4">
      <c r="A167" s="88">
        <v>164</v>
      </c>
      <c r="B167" s="85">
        <v>-4.9999999999999929</v>
      </c>
      <c r="C167" s="85">
        <v>-1.0162601626016246E-2</v>
      </c>
      <c r="D167" s="90">
        <v>2</v>
      </c>
      <c r="E167" s="86">
        <v>0.33333333333333331</v>
      </c>
      <c r="F167" s="86">
        <v>0.30517194692661792</v>
      </c>
      <c r="G167" s="86">
        <v>0.17871649065800163</v>
      </c>
      <c r="H167" s="87">
        <v>10252.972493345163</v>
      </c>
      <c r="I167" s="87">
        <v>-9506.060606060606</v>
      </c>
      <c r="J167" s="86">
        <v>0.17276422764227642</v>
      </c>
      <c r="K167" s="86">
        <v>0.17276422764227642</v>
      </c>
      <c r="L167" s="86">
        <v>0.28368794326241137</v>
      </c>
      <c r="M167" s="86">
        <v>0.23182624113475178</v>
      </c>
      <c r="N167" s="86">
        <v>0.59531250000000002</v>
      </c>
      <c r="O167" s="86">
        <v>0.39196940726577439</v>
      </c>
      <c r="P167" s="86">
        <v>0.39929015084294589</v>
      </c>
      <c r="Q167" s="86">
        <v>0.36519607843137253</v>
      </c>
    </row>
    <row r="168" spans="1:17" x14ac:dyDescent="0.4">
      <c r="A168" s="88">
        <v>165</v>
      </c>
      <c r="B168" s="85">
        <v>-4.9999999999999893</v>
      </c>
      <c r="C168" s="85">
        <v>-1.0101010101010079E-2</v>
      </c>
      <c r="D168" s="90">
        <v>2</v>
      </c>
      <c r="E168" s="86">
        <v>0.33333333333333331</v>
      </c>
      <c r="F168" s="86">
        <v>0.30486167069567555</v>
      </c>
      <c r="G168" s="86">
        <v>0.17861939296266452</v>
      </c>
      <c r="H168" s="87">
        <v>10239.823788546255</v>
      </c>
      <c r="I168" s="87">
        <v>-9499.3984962406012</v>
      </c>
      <c r="J168" s="86">
        <v>0.17171717171717171</v>
      </c>
      <c r="K168" s="86">
        <v>0.17171717171717171</v>
      </c>
      <c r="L168" s="86">
        <v>0.28302712160979876</v>
      </c>
      <c r="M168" s="86">
        <v>0.23053368328958881</v>
      </c>
      <c r="N168" s="86">
        <v>0.59814528593508498</v>
      </c>
      <c r="O168" s="86">
        <v>0.39278937381404172</v>
      </c>
      <c r="P168" s="86">
        <v>0.39911894273127752</v>
      </c>
      <c r="Q168" s="86">
        <v>0.36466774716369532</v>
      </c>
    </row>
    <row r="169" spans="1:17" x14ac:dyDescent="0.4">
      <c r="A169" s="88">
        <v>166</v>
      </c>
      <c r="B169" s="85">
        <v>-4.9999999999999893</v>
      </c>
      <c r="C169" s="85">
        <v>-1.004016064257026E-2</v>
      </c>
      <c r="D169" s="90">
        <v>2</v>
      </c>
      <c r="E169" s="86">
        <v>0.33333333333333331</v>
      </c>
      <c r="F169" s="86">
        <v>0.30522088353413657</v>
      </c>
      <c r="G169" s="86">
        <v>0.17884872824631862</v>
      </c>
      <c r="H169" s="87">
        <v>10233.333333333334</v>
      </c>
      <c r="I169" s="87">
        <v>-9504.3413173652698</v>
      </c>
      <c r="J169" s="86">
        <v>0.17269076305220885</v>
      </c>
      <c r="K169" s="86">
        <v>0.17269076305220885</v>
      </c>
      <c r="L169" s="86">
        <v>0.28416013925152306</v>
      </c>
      <c r="M169" s="86">
        <v>0.2297650130548303</v>
      </c>
      <c r="N169" s="86">
        <v>0.59724349157733536</v>
      </c>
      <c r="O169" s="86">
        <v>0.39393939393939392</v>
      </c>
      <c r="P169" s="86">
        <v>0.39824561403508774</v>
      </c>
      <c r="Q169" s="86">
        <v>0.36591276252019383</v>
      </c>
    </row>
    <row r="170" spans="1:17" x14ac:dyDescent="0.4">
      <c r="A170" s="88">
        <v>167</v>
      </c>
      <c r="B170" s="85">
        <v>-4.9999999999999902</v>
      </c>
      <c r="C170" s="85">
        <v>-9.9800399201596616E-3</v>
      </c>
      <c r="D170" s="90">
        <v>2</v>
      </c>
      <c r="E170" s="86">
        <v>0.33333333333333331</v>
      </c>
      <c r="F170" s="86">
        <v>0.3053780617678381</v>
      </c>
      <c r="G170" s="86">
        <v>0.17917997870074548</v>
      </c>
      <c r="H170" s="87">
        <v>10228.073234524847</v>
      </c>
      <c r="I170" s="87">
        <v>-9489.5988112927189</v>
      </c>
      <c r="J170" s="86">
        <v>0.17165668662674652</v>
      </c>
      <c r="K170" s="86">
        <v>0.17165668662674652</v>
      </c>
      <c r="L170" s="86">
        <v>0.2833117723156533</v>
      </c>
      <c r="M170" s="86">
        <v>0.23156532988357051</v>
      </c>
      <c r="N170" s="86">
        <v>0.59817351598173518</v>
      </c>
      <c r="O170" s="86">
        <v>0.39478584729981381</v>
      </c>
      <c r="P170" s="86">
        <v>0.39755884917175238</v>
      </c>
      <c r="Q170" s="86">
        <v>0.36546184738955823</v>
      </c>
    </row>
    <row r="171" spans="1:17" x14ac:dyDescent="0.4">
      <c r="A171" s="88">
        <v>168</v>
      </c>
      <c r="B171" s="85">
        <v>-4.9999999999999929</v>
      </c>
      <c r="C171" s="85">
        <v>-9.9206349206349062E-3</v>
      </c>
      <c r="D171" s="90">
        <v>2</v>
      </c>
      <c r="E171" s="86">
        <v>0.33333333333333331</v>
      </c>
      <c r="F171" s="86">
        <v>0.3054003724394786</v>
      </c>
      <c r="G171" s="86">
        <v>0.17930300611864858</v>
      </c>
      <c r="H171" s="87">
        <v>10250.522648083625</v>
      </c>
      <c r="I171" s="87">
        <v>-9528.93175074184</v>
      </c>
      <c r="J171" s="86">
        <v>0.17261904761904762</v>
      </c>
      <c r="K171" s="86">
        <v>0.17261904761904762</v>
      </c>
      <c r="L171" s="86">
        <v>0.2833763996554694</v>
      </c>
      <c r="M171" s="86">
        <v>0.23126614987080105</v>
      </c>
      <c r="N171" s="86">
        <v>0.59878419452887544</v>
      </c>
      <c r="O171" s="86">
        <v>0.39478584729981381</v>
      </c>
      <c r="P171" s="86">
        <v>0.39721254355400698</v>
      </c>
      <c r="Q171" s="86">
        <v>0.36597110754414125</v>
      </c>
    </row>
    <row r="172" spans="1:17" x14ac:dyDescent="0.4">
      <c r="A172" s="88">
        <v>169</v>
      </c>
      <c r="B172" s="85">
        <v>-4.9999999999999858</v>
      </c>
      <c r="C172" s="85">
        <v>-9.8619329388559881E-3</v>
      </c>
      <c r="D172" s="90">
        <v>2</v>
      </c>
      <c r="E172" s="86">
        <v>0.33333333333333331</v>
      </c>
      <c r="F172" s="86">
        <v>0.30559957739038562</v>
      </c>
      <c r="G172" s="86">
        <v>0.17828843106180667</v>
      </c>
      <c r="H172" s="87">
        <v>10256.093344857391</v>
      </c>
      <c r="I172" s="87">
        <v>-9517.7777777777774</v>
      </c>
      <c r="J172" s="86">
        <v>0.17357001972386588</v>
      </c>
      <c r="K172" s="86">
        <v>0.17357001972386588</v>
      </c>
      <c r="L172" s="86">
        <v>0.28267347807577692</v>
      </c>
      <c r="M172" s="86">
        <v>0.23158790974882928</v>
      </c>
      <c r="N172" s="86">
        <v>0.59638554216867468</v>
      </c>
      <c r="O172" s="86">
        <v>0.3952205882352941</v>
      </c>
      <c r="P172" s="86">
        <v>0.4010371650821089</v>
      </c>
      <c r="Q172" s="86">
        <v>0.36733067729083663</v>
      </c>
    </row>
    <row r="173" spans="1:17" x14ac:dyDescent="0.4">
      <c r="A173" s="88">
        <v>170</v>
      </c>
      <c r="B173" s="85">
        <v>-4.9999999999999858</v>
      </c>
      <c r="C173" s="85">
        <v>-9.8039215686274231E-3</v>
      </c>
      <c r="D173" s="90">
        <v>2</v>
      </c>
      <c r="E173" s="86">
        <v>0.33333333333333331</v>
      </c>
      <c r="F173" s="86">
        <v>0.3057959611854183</v>
      </c>
      <c r="G173" s="86">
        <v>0.17859952793076317</v>
      </c>
      <c r="H173" s="87">
        <v>10222.469982847342</v>
      </c>
      <c r="I173" s="87">
        <v>-9489.8678414096921</v>
      </c>
      <c r="J173" s="86">
        <v>0.17254901960784313</v>
      </c>
      <c r="K173" s="86">
        <v>0.17254901960784313</v>
      </c>
      <c r="L173" s="86">
        <v>0.28409090909090912</v>
      </c>
      <c r="M173" s="86">
        <v>0.23106060606060605</v>
      </c>
      <c r="N173" s="86">
        <v>0.59407407407407409</v>
      </c>
      <c r="O173" s="86">
        <v>0.39708561020036431</v>
      </c>
      <c r="P173" s="86">
        <v>0.40051457975986277</v>
      </c>
      <c r="Q173" s="86">
        <v>0.36708860759493672</v>
      </c>
    </row>
    <row r="174" spans="1:17" x14ac:dyDescent="0.4">
      <c r="A174" s="88">
        <v>171</v>
      </c>
      <c r="B174" s="85">
        <v>-4.9999999999999858</v>
      </c>
      <c r="C174" s="85">
        <v>-9.7465886939570867E-3</v>
      </c>
      <c r="D174" s="90">
        <v>2</v>
      </c>
      <c r="E174" s="86">
        <v>0.33333333333333331</v>
      </c>
      <c r="F174" s="86">
        <v>0.30598958333333331</v>
      </c>
      <c r="G174" s="86">
        <v>0.17864583333333334</v>
      </c>
      <c r="H174" s="87">
        <v>10237.787234042553</v>
      </c>
      <c r="I174" s="87">
        <v>-9516.9096209912532</v>
      </c>
      <c r="J174" s="86">
        <v>0.17153996101364521</v>
      </c>
      <c r="K174" s="86">
        <v>0.17153996101364521</v>
      </c>
      <c r="L174" s="86">
        <v>0.28339575530586769</v>
      </c>
      <c r="M174" s="86">
        <v>0.23137744486059092</v>
      </c>
      <c r="N174" s="86">
        <v>0.59618208516886928</v>
      </c>
      <c r="O174" s="86">
        <v>0.39748201438848924</v>
      </c>
      <c r="P174" s="86">
        <v>0.40085106382978725</v>
      </c>
      <c r="Q174" s="86">
        <v>0.36684996072270226</v>
      </c>
    </row>
    <row r="175" spans="1:17" x14ac:dyDescent="0.4">
      <c r="A175" s="88">
        <v>172</v>
      </c>
      <c r="B175" s="85">
        <v>-4.9999999999999858</v>
      </c>
      <c r="C175" s="85">
        <v>-9.6899224806201271E-3</v>
      </c>
      <c r="D175" s="90">
        <v>2</v>
      </c>
      <c r="E175" s="86">
        <v>0.33333333333333331</v>
      </c>
      <c r="F175" s="86">
        <v>0.3058365758754864</v>
      </c>
      <c r="G175" s="86">
        <v>0.17821011673151751</v>
      </c>
      <c r="H175" s="87">
        <v>10267.514843087361</v>
      </c>
      <c r="I175" s="87">
        <v>-9537.9912663755458</v>
      </c>
      <c r="J175" s="86">
        <v>0.17248062015503876</v>
      </c>
      <c r="K175" s="86">
        <v>0.17248062015503876</v>
      </c>
      <c r="L175" s="86">
        <v>0.28329197684036395</v>
      </c>
      <c r="M175" s="86">
        <v>0.23159636062861869</v>
      </c>
      <c r="N175" s="86">
        <v>0.59708029197080292</v>
      </c>
      <c r="O175" s="86">
        <v>0.39642857142857141</v>
      </c>
      <c r="P175" s="86">
        <v>0.4020356234096692</v>
      </c>
      <c r="Q175" s="86">
        <v>0.3669796557120501</v>
      </c>
    </row>
    <row r="176" spans="1:17" x14ac:dyDescent="0.4">
      <c r="A176" s="88">
        <v>173</v>
      </c>
      <c r="B176" s="85">
        <v>-4.999999999999984</v>
      </c>
      <c r="C176" s="85">
        <v>-9.633911368015384E-3</v>
      </c>
      <c r="D176" s="90">
        <v>2</v>
      </c>
      <c r="E176" s="86">
        <v>0.33333333333333331</v>
      </c>
      <c r="F176" s="86">
        <v>0.30581275720164608</v>
      </c>
      <c r="G176" s="86">
        <v>0.1779835390946502</v>
      </c>
      <c r="H176" s="87">
        <v>10243.734230445752</v>
      </c>
      <c r="I176" s="87">
        <v>-9499.5664739884396</v>
      </c>
      <c r="J176" s="86">
        <v>0.17148362235067438</v>
      </c>
      <c r="K176" s="86">
        <v>0.17148362235067438</v>
      </c>
      <c r="L176" s="86">
        <v>0.28396572827417382</v>
      </c>
      <c r="M176" s="86">
        <v>0.2317421460628315</v>
      </c>
      <c r="N176" s="86">
        <v>0.5933908045977011</v>
      </c>
      <c r="O176" s="86">
        <v>0.39612676056338031</v>
      </c>
      <c r="P176" s="86">
        <v>0.4028595458368377</v>
      </c>
      <c r="Q176" s="86">
        <v>0.36772692009309543</v>
      </c>
    </row>
    <row r="177" spans="1:17" x14ac:dyDescent="0.4">
      <c r="A177" s="88">
        <v>174</v>
      </c>
      <c r="B177" s="85">
        <v>-4.999999999999984</v>
      </c>
      <c r="C177" s="85">
        <v>-9.5785440613026518E-3</v>
      </c>
      <c r="D177" s="90">
        <v>2</v>
      </c>
      <c r="E177" s="86">
        <v>0.33333333333333331</v>
      </c>
      <c r="F177" s="86">
        <v>0.30596060373497058</v>
      </c>
      <c r="G177" s="86">
        <v>0.17856229214632899</v>
      </c>
      <c r="H177" s="87">
        <v>10253.678929765887</v>
      </c>
      <c r="I177" s="87">
        <v>-9514.7564469914032</v>
      </c>
      <c r="J177" s="86">
        <v>0.17049808429118773</v>
      </c>
      <c r="K177" s="86">
        <v>0.17049808429118773</v>
      </c>
      <c r="L177" s="86">
        <v>0.28357605177993528</v>
      </c>
      <c r="M177" s="86">
        <v>0.23260517799352751</v>
      </c>
      <c r="N177" s="86">
        <v>0.59343794579172615</v>
      </c>
      <c r="O177" s="86">
        <v>0.39652173913043476</v>
      </c>
      <c r="P177" s="86">
        <v>0.40133779264214048</v>
      </c>
      <c r="Q177" s="86">
        <v>0.36728395061728397</v>
      </c>
    </row>
    <row r="178" spans="1:17" x14ac:dyDescent="0.4">
      <c r="A178" s="88">
        <v>175</v>
      </c>
      <c r="B178" s="85">
        <v>-4.9999999999999831</v>
      </c>
      <c r="C178" s="85">
        <v>-9.5238095238094917E-3</v>
      </c>
      <c r="D178" s="90">
        <v>2</v>
      </c>
      <c r="E178" s="86">
        <v>0.33333333333333331</v>
      </c>
      <c r="F178" s="86">
        <v>0.30614837398373984</v>
      </c>
      <c r="G178" s="86">
        <v>0.17784552845528456</v>
      </c>
      <c r="H178" s="87">
        <v>10253.278008298756</v>
      </c>
      <c r="I178" s="87">
        <v>-9507.2857142857138</v>
      </c>
      <c r="J178" s="86">
        <v>0.16952380952380952</v>
      </c>
      <c r="K178" s="86">
        <v>0.16952380952380952</v>
      </c>
      <c r="L178" s="86">
        <v>0.28291316526610644</v>
      </c>
      <c r="M178" s="86">
        <v>0.23289315726290516</v>
      </c>
      <c r="N178" s="86">
        <v>0.59405940594059403</v>
      </c>
      <c r="O178" s="86">
        <v>0.39690721649484534</v>
      </c>
      <c r="P178" s="86">
        <v>0.404149377593361</v>
      </c>
      <c r="Q178" s="86">
        <v>0.36704980842911877</v>
      </c>
    </row>
    <row r="179" spans="1:17" x14ac:dyDescent="0.4">
      <c r="A179" s="88">
        <v>176</v>
      </c>
      <c r="B179" s="85">
        <v>-4.9999999999999822</v>
      </c>
      <c r="C179" s="85">
        <v>-9.4696969696969353E-3</v>
      </c>
      <c r="D179" s="90">
        <v>2</v>
      </c>
      <c r="E179" s="86">
        <v>0.33333333333333331</v>
      </c>
      <c r="F179" s="86">
        <v>0.30603992923932272</v>
      </c>
      <c r="G179" s="86">
        <v>0.17765984331564316</v>
      </c>
      <c r="H179" s="87">
        <v>10241.783649876135</v>
      </c>
      <c r="I179" s="87">
        <v>-9492.8876244665717</v>
      </c>
      <c r="J179" s="86">
        <v>0.16856060606060605</v>
      </c>
      <c r="K179" s="86">
        <v>0.16856060606060605</v>
      </c>
      <c r="L179" s="86">
        <v>0.28293650793650793</v>
      </c>
      <c r="M179" s="86">
        <v>0.23214285714285715</v>
      </c>
      <c r="N179" s="86">
        <v>0.5946704067321178</v>
      </c>
      <c r="O179" s="86">
        <v>0.39658119658119656</v>
      </c>
      <c r="P179" s="86">
        <v>0.40462427745664742</v>
      </c>
      <c r="Q179" s="86">
        <v>0.36585365853658536</v>
      </c>
    </row>
    <row r="180" spans="1:17" x14ac:dyDescent="0.4">
      <c r="A180" s="88">
        <v>177</v>
      </c>
      <c r="B180" s="85">
        <v>-4.9999999999999858</v>
      </c>
      <c r="C180" s="85">
        <v>-9.4161958568737963E-3</v>
      </c>
      <c r="D180" s="90">
        <v>2</v>
      </c>
      <c r="E180" s="86">
        <v>0.33333333333333331</v>
      </c>
      <c r="F180" s="86">
        <v>0.30616352201257863</v>
      </c>
      <c r="G180" s="86">
        <v>0.1778616352201258</v>
      </c>
      <c r="H180" s="87">
        <v>10265.8175842235</v>
      </c>
      <c r="I180" s="87">
        <v>-9546.2517680339461</v>
      </c>
      <c r="J180" s="86">
        <v>0.16949152542372881</v>
      </c>
      <c r="K180" s="86">
        <v>0.16949152542372881</v>
      </c>
      <c r="L180" s="86">
        <v>0.28289992119779356</v>
      </c>
      <c r="M180" s="86">
        <v>0.23128447596532703</v>
      </c>
      <c r="N180" s="86">
        <v>0.59610027855153203</v>
      </c>
      <c r="O180" s="86">
        <v>0.39693356047700168</v>
      </c>
      <c r="P180" s="86">
        <v>0.40427280197206245</v>
      </c>
      <c r="Q180" s="86">
        <v>0.36798179059180575</v>
      </c>
    </row>
    <row r="181" spans="1:17" x14ac:dyDescent="0.4">
      <c r="A181" s="88">
        <v>178</v>
      </c>
      <c r="B181" s="85">
        <v>-4.9999999999999858</v>
      </c>
      <c r="C181" s="85">
        <v>-9.3632958801497853E-3</v>
      </c>
      <c r="D181" s="90">
        <v>2</v>
      </c>
      <c r="E181" s="86">
        <v>0.33333333333333331</v>
      </c>
      <c r="F181" s="86">
        <v>0.30586766541822724</v>
      </c>
      <c r="G181" s="86">
        <v>0.17777777777777778</v>
      </c>
      <c r="H181" s="87">
        <v>10259.755102040815</v>
      </c>
      <c r="I181" s="87">
        <v>-9550.7022471910113</v>
      </c>
      <c r="J181" s="86">
        <v>0.16853932584269662</v>
      </c>
      <c r="K181" s="86">
        <v>0.16853932584269662</v>
      </c>
      <c r="L181" s="86">
        <v>0.2834890965732087</v>
      </c>
      <c r="M181" s="86">
        <v>0.23130841121495327</v>
      </c>
      <c r="N181" s="86">
        <v>0.59615384615384615</v>
      </c>
      <c r="O181" s="86">
        <v>0.39393939393939392</v>
      </c>
      <c r="P181" s="86">
        <v>0.40408163265306124</v>
      </c>
      <c r="Q181" s="86">
        <v>0.36671686746987953</v>
      </c>
    </row>
    <row r="182" spans="1:17" x14ac:dyDescent="0.4">
      <c r="A182" s="88">
        <v>179</v>
      </c>
      <c r="B182" s="85">
        <v>-4.9999999999999867</v>
      </c>
      <c r="C182" s="85">
        <v>-9.3109869646182241E-3</v>
      </c>
      <c r="D182" s="90">
        <v>2</v>
      </c>
      <c r="E182" s="86">
        <v>0.33333333333333331</v>
      </c>
      <c r="F182" s="86">
        <v>0.3060312732688012</v>
      </c>
      <c r="G182" s="86">
        <v>0.17696698932737653</v>
      </c>
      <c r="H182" s="87">
        <v>10271.857258718572</v>
      </c>
      <c r="I182" s="87">
        <v>-9541.3744740532966</v>
      </c>
      <c r="J182" s="86">
        <v>0.16759776536312848</v>
      </c>
      <c r="K182" s="86">
        <v>0.16759776536312848</v>
      </c>
      <c r="L182" s="86">
        <v>0.28202160493827161</v>
      </c>
      <c r="M182" s="86">
        <v>0.23148148148148148</v>
      </c>
      <c r="N182" s="86">
        <v>0.59644322845417241</v>
      </c>
      <c r="O182" s="86">
        <v>0.39500000000000002</v>
      </c>
      <c r="P182" s="86">
        <v>0.40713706407137062</v>
      </c>
      <c r="Q182" s="86">
        <v>0.36601796407185627</v>
      </c>
    </row>
    <row r="183" spans="1:17" x14ac:dyDescent="0.4">
      <c r="A183" s="88">
        <v>180</v>
      </c>
      <c r="B183" s="85">
        <v>-4.9999999999999858</v>
      </c>
      <c r="C183" s="85">
        <v>-9.2592592592592327E-3</v>
      </c>
      <c r="D183" s="90">
        <v>2</v>
      </c>
      <c r="E183" s="86">
        <v>0.33333333333333331</v>
      </c>
      <c r="F183" s="86">
        <v>0.30617283950617286</v>
      </c>
      <c r="G183" s="86">
        <v>0.17728395061728394</v>
      </c>
      <c r="H183" s="87">
        <v>10260.645161290322</v>
      </c>
      <c r="I183" s="87">
        <v>-9527.8551532033434</v>
      </c>
      <c r="J183" s="86">
        <v>0.16666666666666666</v>
      </c>
      <c r="K183" s="86">
        <v>0.16666666666666666</v>
      </c>
      <c r="L183" s="86">
        <v>0.28243398392652125</v>
      </c>
      <c r="M183" s="86">
        <v>0.23038652889399158</v>
      </c>
      <c r="N183" s="86">
        <v>0.59756097560975607</v>
      </c>
      <c r="O183" s="86">
        <v>0.39368770764119604</v>
      </c>
      <c r="P183" s="86">
        <v>0.40645161290322579</v>
      </c>
      <c r="Q183" s="86">
        <v>0.36559940431868948</v>
      </c>
    </row>
    <row r="184" spans="1:17" x14ac:dyDescent="0.4">
      <c r="A184" s="88">
        <v>181</v>
      </c>
      <c r="B184" s="85">
        <v>-4.9999999999999858</v>
      </c>
      <c r="C184" s="85">
        <v>-9.2081031307550375E-3</v>
      </c>
      <c r="D184" s="90">
        <v>2</v>
      </c>
      <c r="E184" s="86">
        <v>0.33333333333333331</v>
      </c>
      <c r="F184" s="86">
        <v>0.30612745098039218</v>
      </c>
      <c r="G184" s="86">
        <v>0.1769607843137255</v>
      </c>
      <c r="H184" s="87">
        <v>10252.361889511609</v>
      </c>
      <c r="I184" s="87">
        <v>-9530.4709141274234</v>
      </c>
      <c r="J184" s="86">
        <v>0.16574585635359115</v>
      </c>
      <c r="K184" s="86">
        <v>0.16574585635359115</v>
      </c>
      <c r="L184" s="86">
        <v>0.2833900870223231</v>
      </c>
      <c r="M184" s="86">
        <v>0.22928490351872871</v>
      </c>
      <c r="N184" s="86">
        <v>0.59946595460614149</v>
      </c>
      <c r="O184" s="86">
        <v>0.39273927392739272</v>
      </c>
      <c r="P184" s="86">
        <v>0.40752602081665334</v>
      </c>
      <c r="Q184" s="86">
        <v>0.36511456023651145</v>
      </c>
    </row>
    <row r="185" spans="1:17" x14ac:dyDescent="0.4">
      <c r="A185" s="88">
        <v>182</v>
      </c>
      <c r="B185" s="85">
        <v>-4.9999999999999858</v>
      </c>
      <c r="C185" s="85">
        <v>-9.1575091575091319E-3</v>
      </c>
      <c r="D185" s="90">
        <v>2</v>
      </c>
      <c r="E185" s="86">
        <v>0.33333333333333331</v>
      </c>
      <c r="F185" s="86">
        <v>0.30608272506082723</v>
      </c>
      <c r="G185" s="86">
        <v>0.17712895377128954</v>
      </c>
      <c r="H185" s="87">
        <v>10233.783783783783</v>
      </c>
      <c r="I185" s="87">
        <v>-9529.8076923076915</v>
      </c>
      <c r="J185" s="86">
        <v>0.16483516483516483</v>
      </c>
      <c r="K185" s="86">
        <v>0.16483516483516483</v>
      </c>
      <c r="L185" s="86">
        <v>0.28507295173961839</v>
      </c>
      <c r="M185" s="86">
        <v>0.22933034044145156</v>
      </c>
      <c r="N185" s="86">
        <v>0.59711286089238846</v>
      </c>
      <c r="O185" s="86">
        <v>0.39151712887438828</v>
      </c>
      <c r="P185" s="86">
        <v>0.40699523052464232</v>
      </c>
      <c r="Q185" s="86">
        <v>0.36463683052090978</v>
      </c>
    </row>
    <row r="186" spans="1:17" x14ac:dyDescent="0.4">
      <c r="A186" s="88">
        <v>183</v>
      </c>
      <c r="B186" s="85">
        <v>-4.9999999999999876</v>
      </c>
      <c r="C186" s="85">
        <v>-9.1074681238615431E-3</v>
      </c>
      <c r="D186" s="90">
        <v>2</v>
      </c>
      <c r="E186" s="86">
        <v>0.33333333333333331</v>
      </c>
      <c r="F186" s="86">
        <v>0.30601885424220449</v>
      </c>
      <c r="G186" s="86">
        <v>0.17621464829586658</v>
      </c>
      <c r="H186" s="87">
        <v>10228.593996840442</v>
      </c>
      <c r="I186" s="87">
        <v>-9527.7091906721544</v>
      </c>
      <c r="J186" s="86">
        <v>0.16393442622950818</v>
      </c>
      <c r="K186" s="86">
        <v>0.16393442622950818</v>
      </c>
      <c r="L186" s="86">
        <v>0.28518518518518521</v>
      </c>
      <c r="M186" s="86">
        <v>0.22962962962962963</v>
      </c>
      <c r="N186" s="86">
        <v>0.59610389610389614</v>
      </c>
      <c r="O186" s="86">
        <v>0.39193548387096772</v>
      </c>
      <c r="P186" s="86">
        <v>0.4099526066350711</v>
      </c>
      <c r="Q186" s="86">
        <v>0.36370262390670555</v>
      </c>
    </row>
    <row r="187" spans="1:17" x14ac:dyDescent="0.4">
      <c r="A187" s="88">
        <v>184</v>
      </c>
      <c r="B187" s="85">
        <v>-4.9999999999999858</v>
      </c>
      <c r="C187" s="85">
        <v>-9.0579710144927279E-3</v>
      </c>
      <c r="D187" s="90">
        <v>2</v>
      </c>
      <c r="E187" s="86">
        <v>0.33333333333333331</v>
      </c>
      <c r="F187" s="86">
        <v>0.30617639990386925</v>
      </c>
      <c r="G187" s="86">
        <v>0.17639990386926219</v>
      </c>
      <c r="H187" s="87">
        <v>10215.306122448979</v>
      </c>
      <c r="I187" s="87">
        <v>-9508.9918256130786</v>
      </c>
      <c r="J187" s="86">
        <v>0.16304347826086957</v>
      </c>
      <c r="K187" s="86">
        <v>0.16304347826086957</v>
      </c>
      <c r="L187" s="86">
        <v>0.28450807635829661</v>
      </c>
      <c r="M187" s="86">
        <v>0.23127753303964757</v>
      </c>
      <c r="N187" s="86">
        <v>0.59483870967741936</v>
      </c>
      <c r="O187" s="86">
        <v>0.39523809523809522</v>
      </c>
      <c r="P187" s="86">
        <v>0.40973312401883832</v>
      </c>
      <c r="Q187" s="86">
        <v>0.36376811594202896</v>
      </c>
    </row>
    <row r="188" spans="1:17" x14ac:dyDescent="0.4">
      <c r="A188" s="88">
        <v>185</v>
      </c>
      <c r="B188" s="85">
        <v>-4.9999999999999858</v>
      </c>
      <c r="C188" s="85">
        <v>-9.0090090090089829E-3</v>
      </c>
      <c r="D188" s="90">
        <v>2</v>
      </c>
      <c r="E188" s="86">
        <v>0.33333333333333331</v>
      </c>
      <c r="F188" s="86">
        <v>0.30591320934668575</v>
      </c>
      <c r="G188" s="86">
        <v>0.17620410109680495</v>
      </c>
      <c r="H188" s="87">
        <v>10216.134060795011</v>
      </c>
      <c r="I188" s="87">
        <v>-9497.4289580514214</v>
      </c>
      <c r="J188" s="86">
        <v>0.16216216216216217</v>
      </c>
      <c r="K188" s="86">
        <v>0.16216216216216217</v>
      </c>
      <c r="L188" s="86">
        <v>0.28581791802684076</v>
      </c>
      <c r="M188" s="86">
        <v>0.23104824084149439</v>
      </c>
      <c r="N188" s="86">
        <v>0.59010152284263961</v>
      </c>
      <c r="O188" s="86">
        <v>0.39560439560439559</v>
      </c>
      <c r="P188" s="86">
        <v>0.40997661730319562</v>
      </c>
      <c r="Q188" s="86">
        <v>0.3637670740474479</v>
      </c>
    </row>
    <row r="189" spans="1:17" x14ac:dyDescent="0.4">
      <c r="A189" s="88">
        <v>186</v>
      </c>
      <c r="B189" s="85">
        <v>-4.9999999999999858</v>
      </c>
      <c r="C189" s="85">
        <v>-8.9605734767024842E-3</v>
      </c>
      <c r="D189" s="90">
        <v>2</v>
      </c>
      <c r="E189" s="86">
        <v>0.33333333333333331</v>
      </c>
      <c r="F189" s="86">
        <v>0.30569336168202221</v>
      </c>
      <c r="G189" s="86">
        <v>0.17576187101346563</v>
      </c>
      <c r="H189" s="87">
        <v>10216.846986089644</v>
      </c>
      <c r="I189" s="87">
        <v>-9509.0053763440865</v>
      </c>
      <c r="J189" s="86">
        <v>0.16129032258064516</v>
      </c>
      <c r="K189" s="86">
        <v>0.16129032258064516</v>
      </c>
      <c r="L189" s="86">
        <v>0.28719599427753933</v>
      </c>
      <c r="M189" s="86">
        <v>0.2296137339055794</v>
      </c>
      <c r="N189" s="86">
        <v>0.58655043586550437</v>
      </c>
      <c r="O189" s="86">
        <v>0.39875389408099687</v>
      </c>
      <c r="P189" s="86">
        <v>0.41112828438948995</v>
      </c>
      <c r="Q189" s="86">
        <v>0.36467236467236469</v>
      </c>
    </row>
    <row r="190" spans="1:17" x14ac:dyDescent="0.4">
      <c r="A190" s="88">
        <v>187</v>
      </c>
      <c r="B190" s="85">
        <v>-4.9999999999999849</v>
      </c>
      <c r="C190" s="85">
        <v>-8.9126559714794735E-3</v>
      </c>
      <c r="D190" s="90">
        <v>2</v>
      </c>
      <c r="E190" s="86">
        <v>0.33333333333333331</v>
      </c>
      <c r="F190" s="86">
        <v>0.3058103975535168</v>
      </c>
      <c r="G190" s="86">
        <v>0.1759585979769466</v>
      </c>
      <c r="H190" s="87">
        <v>10198</v>
      </c>
      <c r="I190" s="87">
        <v>-9482.2192513368991</v>
      </c>
      <c r="J190" s="86">
        <v>0.16042780748663102</v>
      </c>
      <c r="K190" s="86">
        <v>0.16042780748663102</v>
      </c>
      <c r="L190" s="86">
        <v>0.28713574982231699</v>
      </c>
      <c r="M190" s="86">
        <v>0.22956645344705046</v>
      </c>
      <c r="N190" s="86">
        <v>0.5866336633663366</v>
      </c>
      <c r="O190" s="86">
        <v>0.39938080495356038</v>
      </c>
      <c r="P190" s="86">
        <v>0.41076923076923078</v>
      </c>
      <c r="Q190" s="86">
        <v>0.36312056737588655</v>
      </c>
    </row>
    <row r="191" spans="1:17" x14ac:dyDescent="0.4">
      <c r="A191" s="88">
        <v>188</v>
      </c>
      <c r="B191" s="85">
        <v>-4.9999999999999849</v>
      </c>
      <c r="C191" s="85">
        <v>-8.8652482269503275E-3</v>
      </c>
      <c r="D191" s="90">
        <v>2</v>
      </c>
      <c r="E191" s="86">
        <v>0.33333333333333331</v>
      </c>
      <c r="F191" s="86">
        <v>0.30596491228070177</v>
      </c>
      <c r="G191" s="86">
        <v>0.17567251461988304</v>
      </c>
      <c r="H191" s="87">
        <v>10194.189602446484</v>
      </c>
      <c r="I191" s="87">
        <v>-9474.4340878828225</v>
      </c>
      <c r="J191" s="86">
        <v>0.15957446808510639</v>
      </c>
      <c r="K191" s="86">
        <v>0.15957446808510639</v>
      </c>
      <c r="L191" s="86">
        <v>0.28752642706131076</v>
      </c>
      <c r="M191" s="86">
        <v>0.22973925299506695</v>
      </c>
      <c r="N191" s="86">
        <v>0.58700980392156865</v>
      </c>
      <c r="O191" s="86">
        <v>0.40030674846625769</v>
      </c>
      <c r="P191" s="86">
        <v>0.4120795107033639</v>
      </c>
      <c r="Q191" s="86">
        <v>0.3624823695345557</v>
      </c>
    </row>
    <row r="192" spans="1:17" x14ac:dyDescent="0.4">
      <c r="A192" s="88">
        <v>189</v>
      </c>
      <c r="B192" s="85">
        <v>-4.9999999999999858</v>
      </c>
      <c r="C192" s="85">
        <v>-8.8183421516754602E-3</v>
      </c>
      <c r="D192" s="90">
        <v>2</v>
      </c>
      <c r="E192" s="86">
        <v>0.33333333333333331</v>
      </c>
      <c r="F192" s="86">
        <v>0.30596149385293436</v>
      </c>
      <c r="G192" s="86">
        <v>0.17559730920900024</v>
      </c>
      <c r="H192" s="87">
        <v>10187.642153146324</v>
      </c>
      <c r="I192" s="87">
        <v>-9454.4253632760901</v>
      </c>
      <c r="J192" s="86">
        <v>0.16225749559082892</v>
      </c>
      <c r="K192" s="86">
        <v>0.16225749559082892</v>
      </c>
      <c r="L192" s="86">
        <v>0.28775226165622825</v>
      </c>
      <c r="M192" s="86">
        <v>0.22860125260960334</v>
      </c>
      <c r="N192" s="86">
        <v>0.59008464328899635</v>
      </c>
      <c r="O192" s="86">
        <v>0.39726027397260272</v>
      </c>
      <c r="P192" s="86">
        <v>0.41243366186504926</v>
      </c>
      <c r="Q192" s="86">
        <v>0.36433566433566433</v>
      </c>
    </row>
    <row r="193" spans="1:17" x14ac:dyDescent="0.4">
      <c r="A193" s="88">
        <v>190</v>
      </c>
      <c r="B193" s="85">
        <v>-4.9999999999999858</v>
      </c>
      <c r="C193" s="85">
        <v>-8.7719298245613787E-3</v>
      </c>
      <c r="D193" s="90">
        <v>2</v>
      </c>
      <c r="E193" s="86">
        <v>0.33333333333333331</v>
      </c>
      <c r="F193" s="86">
        <v>0.30607530607530609</v>
      </c>
      <c r="G193" s="86">
        <v>0.17556017556017556</v>
      </c>
      <c r="H193" s="87">
        <v>10184.150943396226</v>
      </c>
      <c r="I193" s="87">
        <v>-9462.3684210526317</v>
      </c>
      <c r="J193" s="86">
        <v>0.16315789473684211</v>
      </c>
      <c r="K193" s="86">
        <v>0.16315789473684211</v>
      </c>
      <c r="L193" s="86">
        <v>0.28734439834024894</v>
      </c>
      <c r="M193" s="86">
        <v>0.22821576763485477</v>
      </c>
      <c r="N193" s="86">
        <v>0.58965102286401927</v>
      </c>
      <c r="O193" s="86">
        <v>0.4</v>
      </c>
      <c r="P193" s="86">
        <v>0.41283018867924526</v>
      </c>
      <c r="Q193" s="86">
        <v>0.36350974930362118</v>
      </c>
    </row>
    <row r="194" spans="1:17" x14ac:dyDescent="0.4">
      <c r="A194" s="88">
        <v>191</v>
      </c>
      <c r="B194" s="85">
        <v>-4.9999999999999831</v>
      </c>
      <c r="C194" s="85">
        <v>-8.7260034904013666E-3</v>
      </c>
      <c r="D194" s="90">
        <v>2</v>
      </c>
      <c r="E194" s="86">
        <v>0.33333333333333331</v>
      </c>
      <c r="F194" s="86">
        <v>0.30616942909760592</v>
      </c>
      <c r="G194" s="86">
        <v>0.17564456721915286</v>
      </c>
      <c r="H194" s="87">
        <v>10185.864661654135</v>
      </c>
      <c r="I194" s="87">
        <v>-9468.676277850589</v>
      </c>
      <c r="J194" s="86">
        <v>0.16404886561954624</v>
      </c>
      <c r="K194" s="86">
        <v>0.16404886561954624</v>
      </c>
      <c r="L194" s="86">
        <v>0.28758169934640521</v>
      </c>
      <c r="M194" s="86">
        <v>0.22772617819057447</v>
      </c>
      <c r="N194" s="86">
        <v>0.58971291866028708</v>
      </c>
      <c r="O194" s="86">
        <v>0.3987915407854985</v>
      </c>
      <c r="P194" s="86">
        <v>0.41278195488721803</v>
      </c>
      <c r="Q194" s="86">
        <v>0.36363636363636365</v>
      </c>
    </row>
    <row r="195" spans="1:17" x14ac:dyDescent="0.4">
      <c r="A195" s="88">
        <v>192</v>
      </c>
      <c r="B195" s="85">
        <v>-4.9999999999999822</v>
      </c>
      <c r="C195" s="85">
        <v>-8.6805555555555247E-3</v>
      </c>
      <c r="D195" s="90">
        <v>2</v>
      </c>
      <c r="E195" s="86">
        <v>0.33333333333333331</v>
      </c>
      <c r="F195" s="86">
        <v>0.30586080586080588</v>
      </c>
      <c r="G195" s="86">
        <v>0.17536630036630035</v>
      </c>
      <c r="H195" s="87">
        <v>10176.721556886228</v>
      </c>
      <c r="I195" s="87">
        <v>-9458.8772845953008</v>
      </c>
      <c r="J195" s="86">
        <v>0.16319444444444445</v>
      </c>
      <c r="K195" s="86">
        <v>0.16319444444444445</v>
      </c>
      <c r="L195" s="86">
        <v>0.2865916069600819</v>
      </c>
      <c r="M195" s="86">
        <v>0.22790856363016035</v>
      </c>
      <c r="N195" s="86">
        <v>0.59047619047619049</v>
      </c>
      <c r="O195" s="86">
        <v>0.39970059880239522</v>
      </c>
      <c r="P195" s="86">
        <v>0.41317365269461076</v>
      </c>
      <c r="Q195" s="86">
        <v>0.36300897170462387</v>
      </c>
    </row>
    <row r="196" spans="1:17" x14ac:dyDescent="0.4">
      <c r="A196" s="88">
        <v>193</v>
      </c>
      <c r="B196" s="85">
        <v>-4.9999999999999787</v>
      </c>
      <c r="C196" s="85">
        <v>-8.6355785837650759E-3</v>
      </c>
      <c r="D196" s="90">
        <v>2</v>
      </c>
      <c r="E196" s="86">
        <v>0.33333333333333331</v>
      </c>
      <c r="F196" s="86">
        <v>0.30580204778156994</v>
      </c>
      <c r="G196" s="86">
        <v>0.17497155858930602</v>
      </c>
      <c r="H196" s="87">
        <v>10183.407738095239</v>
      </c>
      <c r="I196" s="87">
        <v>-9451.1053315994795</v>
      </c>
      <c r="J196" s="86">
        <v>0.16407599309153714</v>
      </c>
      <c r="K196" s="86">
        <v>0.16407599309153714</v>
      </c>
      <c r="L196" s="86">
        <v>0.2870182555780933</v>
      </c>
      <c r="M196" s="86">
        <v>0.2281947261663286</v>
      </c>
      <c r="N196" s="86">
        <v>0.59246171967020023</v>
      </c>
      <c r="O196" s="86">
        <v>0.39555555555555555</v>
      </c>
      <c r="P196" s="86">
        <v>0.41443452380952384</v>
      </c>
      <c r="Q196" s="86">
        <v>0.36282578875171467</v>
      </c>
    </row>
    <row r="197" spans="1:17" x14ac:dyDescent="0.4">
      <c r="A197" s="88">
        <v>194</v>
      </c>
      <c r="B197" s="85">
        <v>-4.9999999999999716</v>
      </c>
      <c r="C197" s="85">
        <v>-8.5910652920961703E-3</v>
      </c>
      <c r="D197" s="90">
        <v>2</v>
      </c>
      <c r="E197" s="86">
        <v>0.33333333333333331</v>
      </c>
      <c r="F197" s="86">
        <v>0.30591434398368456</v>
      </c>
      <c r="G197" s="86">
        <v>0.17516428733288011</v>
      </c>
      <c r="H197" s="87">
        <v>10204.592592592593</v>
      </c>
      <c r="I197" s="87">
        <v>-9492.3673997412679</v>
      </c>
      <c r="J197" s="86">
        <v>0.16494845360824742</v>
      </c>
      <c r="K197" s="86">
        <v>0.16494845360824742</v>
      </c>
      <c r="L197" s="86">
        <v>0.2866263440860215</v>
      </c>
      <c r="M197" s="86">
        <v>0.22782258064516128</v>
      </c>
      <c r="N197" s="86">
        <v>0.59320046893317702</v>
      </c>
      <c r="O197" s="86">
        <v>0.39528023598820061</v>
      </c>
      <c r="P197" s="86">
        <v>0.41407407407407409</v>
      </c>
      <c r="Q197" s="86">
        <v>0.36475409836065575</v>
      </c>
    </row>
    <row r="198" spans="1:17" x14ac:dyDescent="0.4">
      <c r="A198" s="88">
        <v>195</v>
      </c>
      <c r="B198" s="85">
        <v>-4.9999999999999751</v>
      </c>
      <c r="C198" s="85">
        <v>-8.5470085470085045E-3</v>
      </c>
      <c r="D198" s="90">
        <v>2</v>
      </c>
      <c r="E198" s="86">
        <v>0.33333333333333331</v>
      </c>
      <c r="F198" s="86">
        <v>0.30589293747188484</v>
      </c>
      <c r="G198" s="86">
        <v>0.17498875393612237</v>
      </c>
      <c r="H198" s="87">
        <v>10202.5</v>
      </c>
      <c r="I198" s="87">
        <v>-9476.6066838046281</v>
      </c>
      <c r="J198" s="86">
        <v>0.1641025641025641</v>
      </c>
      <c r="K198" s="86">
        <v>0.1641025641025641</v>
      </c>
      <c r="L198" s="86">
        <v>0.28647391159853774</v>
      </c>
      <c r="M198" s="86">
        <v>0.22831505483549352</v>
      </c>
      <c r="N198" s="86">
        <v>0.59512761020881666</v>
      </c>
      <c r="O198" s="86">
        <v>0.3930131004366812</v>
      </c>
      <c r="P198" s="86">
        <v>0.4147058823529412</v>
      </c>
      <c r="Q198" s="86">
        <v>0.36474576271186443</v>
      </c>
    </row>
    <row r="199" spans="1:17" x14ac:dyDescent="0.4">
      <c r="A199" s="88">
        <v>196</v>
      </c>
      <c r="B199" s="85">
        <v>-4.9999999999999716</v>
      </c>
      <c r="C199" s="85">
        <v>-8.5034013605441699E-3</v>
      </c>
      <c r="D199" s="90">
        <v>2</v>
      </c>
      <c r="E199" s="86">
        <v>0.33333333333333331</v>
      </c>
      <c r="F199" s="86">
        <v>0.3057980747705395</v>
      </c>
      <c r="G199" s="86">
        <v>0.17483769867920304</v>
      </c>
      <c r="H199" s="87">
        <v>10203.221083455344</v>
      </c>
      <c r="I199" s="87">
        <v>-9458.3866837387959</v>
      </c>
      <c r="J199" s="86">
        <v>0.16496598639455781</v>
      </c>
      <c r="K199" s="86">
        <v>0.16496598639455781</v>
      </c>
      <c r="L199" s="86">
        <v>0.28613861386138612</v>
      </c>
      <c r="M199" s="86">
        <v>0.22772277227722773</v>
      </c>
      <c r="N199" s="86">
        <v>0.59630911188004609</v>
      </c>
      <c r="O199" s="86">
        <v>0.39275362318840579</v>
      </c>
      <c r="P199" s="86">
        <v>0.4150805270863836</v>
      </c>
      <c r="Q199" s="86">
        <v>0.36369770580296895</v>
      </c>
    </row>
    <row r="200" spans="1:17" x14ac:dyDescent="0.4">
      <c r="A200" s="88">
        <v>197</v>
      </c>
      <c r="B200" s="85">
        <v>-4.9999999999999716</v>
      </c>
      <c r="C200" s="85">
        <v>-8.4602368866327771E-3</v>
      </c>
      <c r="D200" s="90">
        <v>2</v>
      </c>
      <c r="E200" s="86">
        <v>0.33333333333333331</v>
      </c>
      <c r="F200" s="86">
        <v>0.30587184639428444</v>
      </c>
      <c r="G200" s="86">
        <v>0.17526233534271043</v>
      </c>
      <c r="H200" s="87">
        <v>10214.306569343065</v>
      </c>
      <c r="I200" s="87">
        <v>-9481.5286624203818</v>
      </c>
      <c r="J200" s="86">
        <v>0.16582064297800339</v>
      </c>
      <c r="K200" s="86">
        <v>0.16582064297800339</v>
      </c>
      <c r="L200" s="86">
        <v>0.28632478632478631</v>
      </c>
      <c r="M200" s="86">
        <v>0.22781065088757396</v>
      </c>
      <c r="N200" s="86">
        <v>0.59586681974741673</v>
      </c>
      <c r="O200" s="86">
        <v>0.39393939393939392</v>
      </c>
      <c r="P200" s="86">
        <v>0.41386861313868611</v>
      </c>
      <c r="Q200" s="86">
        <v>0.36406460296096904</v>
      </c>
    </row>
    <row r="201" spans="1:17" x14ac:dyDescent="0.4">
      <c r="A201" s="88">
        <v>198</v>
      </c>
      <c r="B201" s="85">
        <v>-4.9999999999999716</v>
      </c>
      <c r="C201" s="85">
        <v>-8.4175084175083705E-3</v>
      </c>
      <c r="D201" s="90">
        <v>2</v>
      </c>
      <c r="E201" s="86">
        <v>0.33333333333333331</v>
      </c>
      <c r="F201" s="86">
        <v>0.30589022757697454</v>
      </c>
      <c r="G201" s="86">
        <v>0.1753681392235609</v>
      </c>
      <c r="H201" s="87">
        <v>10233.114514952589</v>
      </c>
      <c r="I201" s="87">
        <v>-9515.2671755725187</v>
      </c>
      <c r="J201" s="86">
        <v>0.16666666666666666</v>
      </c>
      <c r="K201" s="86">
        <v>0.16666666666666666</v>
      </c>
      <c r="L201" s="86">
        <v>0.28637110016420364</v>
      </c>
      <c r="M201" s="86">
        <v>0.22791461412151068</v>
      </c>
      <c r="N201" s="86">
        <v>0.59633027522935778</v>
      </c>
      <c r="O201" s="86">
        <v>0.39337175792507206</v>
      </c>
      <c r="P201" s="86">
        <v>0.41356673960612689</v>
      </c>
      <c r="Q201" s="86">
        <v>0.36449226630800269</v>
      </c>
    </row>
    <row r="202" spans="1:17" x14ac:dyDescent="0.4">
      <c r="A202" s="88">
        <v>199</v>
      </c>
      <c r="B202" s="85">
        <v>-4.9999999999999734</v>
      </c>
      <c r="C202" s="85">
        <v>-8.3752093802344618E-3</v>
      </c>
      <c r="D202" s="90">
        <v>2</v>
      </c>
      <c r="E202" s="86">
        <v>0.33333333333333331</v>
      </c>
      <c r="F202" s="86">
        <v>0.30605455755156352</v>
      </c>
      <c r="G202" s="86">
        <v>0.17498336660013306</v>
      </c>
      <c r="H202" s="87">
        <v>10247.971014492754</v>
      </c>
      <c r="I202" s="87">
        <v>-9515.3358681875798</v>
      </c>
      <c r="J202" s="86">
        <v>0.16582914572864321</v>
      </c>
      <c r="K202" s="86">
        <v>0.16582914572864321</v>
      </c>
      <c r="L202" s="86">
        <v>0.28645833333333331</v>
      </c>
      <c r="M202" s="86">
        <v>0.2275390625</v>
      </c>
      <c r="N202" s="86">
        <v>0.59886363636363638</v>
      </c>
      <c r="O202" s="86">
        <v>0.39341917024320455</v>
      </c>
      <c r="P202" s="86">
        <v>0.41521739130434782</v>
      </c>
      <c r="Q202" s="86">
        <v>0.36430481283422461</v>
      </c>
    </row>
    <row r="203" spans="1:17" x14ac:dyDescent="0.4">
      <c r="A203" s="88">
        <v>200</v>
      </c>
      <c r="B203" s="85">
        <v>-4.9999999999999716</v>
      </c>
      <c r="C203" s="85">
        <v>-8.3333333333332864E-3</v>
      </c>
      <c r="D203" s="90">
        <v>2</v>
      </c>
      <c r="E203" s="86">
        <v>0.33333333333333331</v>
      </c>
      <c r="F203" s="86">
        <v>0.30597838076329142</v>
      </c>
      <c r="G203" s="86">
        <v>0.17493933377454224</v>
      </c>
      <c r="H203" s="87">
        <v>10238.86085075703</v>
      </c>
      <c r="I203" s="87">
        <v>-9485.372005044137</v>
      </c>
      <c r="J203" s="86">
        <v>0.16500000000000001</v>
      </c>
      <c r="K203" s="86">
        <v>0.16500000000000001</v>
      </c>
      <c r="L203" s="86">
        <v>0.28617571059431524</v>
      </c>
      <c r="M203" s="86">
        <v>0.2270671834625323</v>
      </c>
      <c r="N203" s="86">
        <v>0.59932279909706543</v>
      </c>
      <c r="O203" s="86">
        <v>0.39402560455192032</v>
      </c>
      <c r="P203" s="86">
        <v>0.41528478731074259</v>
      </c>
      <c r="Q203" s="86">
        <v>0.36436170212765956</v>
      </c>
    </row>
    <row r="204" spans="1:17" x14ac:dyDescent="0.4">
      <c r="A204" s="88">
        <v>201</v>
      </c>
      <c r="B204" s="85">
        <v>-4.9999999999999716</v>
      </c>
      <c r="C204" s="85">
        <v>-8.2918739635157081E-3</v>
      </c>
      <c r="D204" s="90">
        <v>2</v>
      </c>
      <c r="E204" s="86">
        <v>0.33333333333333331</v>
      </c>
      <c r="F204" s="86">
        <v>0.30610452349582784</v>
      </c>
      <c r="G204" s="86">
        <v>0.17501097935880544</v>
      </c>
      <c r="H204" s="87">
        <v>10231.348637015783</v>
      </c>
      <c r="I204" s="87">
        <v>-9490.9661229611047</v>
      </c>
      <c r="J204" s="86">
        <v>0.16583747927031509</v>
      </c>
      <c r="K204" s="86">
        <v>0.16583747927031509</v>
      </c>
      <c r="L204" s="86">
        <v>0.287135065768367</v>
      </c>
      <c r="M204" s="86">
        <v>0.22778312479948667</v>
      </c>
      <c r="N204" s="86">
        <v>0.59664804469273747</v>
      </c>
      <c r="O204" s="86">
        <v>0.39295774647887322</v>
      </c>
      <c r="P204" s="86">
        <v>0.41535150645624103</v>
      </c>
      <c r="Q204" s="86">
        <v>0.36333553937789542</v>
      </c>
    </row>
    <row r="205" spans="1:17" x14ac:dyDescent="0.4">
      <c r="A205" s="88">
        <v>202</v>
      </c>
      <c r="B205" s="85">
        <v>-4.9999999999999716</v>
      </c>
      <c r="C205" s="85">
        <v>-8.2508250825082032E-3</v>
      </c>
      <c r="D205" s="90">
        <v>2</v>
      </c>
      <c r="E205" s="86">
        <v>0.33333333333333331</v>
      </c>
      <c r="F205" s="86">
        <v>0.3056282722513089</v>
      </c>
      <c r="G205" s="86">
        <v>0.17473821989528796</v>
      </c>
      <c r="H205" s="87">
        <v>10228.693790149893</v>
      </c>
      <c r="I205" s="87">
        <v>-9483.3957553058681</v>
      </c>
      <c r="J205" s="86">
        <v>0.16501650165016502</v>
      </c>
      <c r="K205" s="86">
        <v>0.16501650165016502</v>
      </c>
      <c r="L205" s="86">
        <v>0.28884652049571019</v>
      </c>
      <c r="M205" s="86">
        <v>0.22751827136955832</v>
      </c>
      <c r="N205" s="86">
        <v>0.59405940594059403</v>
      </c>
      <c r="O205" s="86">
        <v>0.39106145251396646</v>
      </c>
      <c r="P205" s="86">
        <v>0.41541755888650966</v>
      </c>
      <c r="Q205" s="86">
        <v>0.36160420775805391</v>
      </c>
    </row>
    <row r="206" spans="1:17" x14ac:dyDescent="0.4">
      <c r="A206" s="88">
        <v>203</v>
      </c>
      <c r="B206" s="85">
        <v>-4.9999999999999716</v>
      </c>
      <c r="C206" s="85">
        <v>-8.210180623973681E-3</v>
      </c>
      <c r="D206" s="90">
        <v>2</v>
      </c>
      <c r="E206" s="86">
        <v>0.33333333333333331</v>
      </c>
      <c r="F206" s="86">
        <v>0.30580840918942348</v>
      </c>
      <c r="G206" s="86">
        <v>0.17490247074122237</v>
      </c>
      <c r="H206" s="87">
        <v>10221.545003543586</v>
      </c>
      <c r="I206" s="87">
        <v>-9465.1796778190837</v>
      </c>
      <c r="J206" s="86">
        <v>0.16420361247947454</v>
      </c>
      <c r="K206" s="86">
        <v>0.16420361247947454</v>
      </c>
      <c r="L206" s="86">
        <v>0.28800755429650615</v>
      </c>
      <c r="M206" s="86">
        <v>0.22788794460182563</v>
      </c>
      <c r="N206" s="86">
        <v>0.59562841530054644</v>
      </c>
      <c r="O206" s="86">
        <v>0.39226519337016574</v>
      </c>
      <c r="P206" s="86">
        <v>0.41530829199149538</v>
      </c>
      <c r="Q206" s="86">
        <v>0.36185499673416066</v>
      </c>
    </row>
    <row r="207" spans="1:17" x14ac:dyDescent="0.4">
      <c r="A207" s="88">
        <v>204</v>
      </c>
      <c r="B207" s="85">
        <v>-4.9999999999999742</v>
      </c>
      <c r="C207" s="85">
        <v>-8.1699346405228329E-3</v>
      </c>
      <c r="D207" s="90">
        <v>2</v>
      </c>
      <c r="E207" s="86">
        <v>0.33333333333333331</v>
      </c>
      <c r="F207" s="86">
        <v>0.30573523070288916</v>
      </c>
      <c r="G207" s="86">
        <v>0.17507546356188011</v>
      </c>
      <c r="H207" s="87">
        <v>10205.571227080394</v>
      </c>
      <c r="I207" s="87">
        <v>-9447.4137931034475</v>
      </c>
      <c r="J207" s="86">
        <v>0.16503267973856209</v>
      </c>
      <c r="K207" s="86">
        <v>0.16503267973856209</v>
      </c>
      <c r="L207" s="86">
        <v>0.28834739144017496</v>
      </c>
      <c r="M207" s="86">
        <v>0.22774133083411435</v>
      </c>
      <c r="N207" s="86">
        <v>0.59588299024918745</v>
      </c>
      <c r="O207" s="86">
        <v>0.39094650205761317</v>
      </c>
      <c r="P207" s="86">
        <v>0.41466854724964741</v>
      </c>
      <c r="Q207" s="86">
        <v>0.36192332683560752</v>
      </c>
    </row>
    <row r="208" spans="1:17" x14ac:dyDescent="0.4">
      <c r="A208" s="88">
        <v>205</v>
      </c>
      <c r="B208" s="85">
        <v>-4.9999999999999716</v>
      </c>
      <c r="C208" s="85">
        <v>-8.1300813008129622E-3</v>
      </c>
      <c r="D208" s="90">
        <v>2</v>
      </c>
      <c r="E208" s="86">
        <v>0.33333333333333331</v>
      </c>
      <c r="F208" s="86">
        <v>0.30523380523380522</v>
      </c>
      <c r="G208" s="86">
        <v>0.17460317460317459</v>
      </c>
      <c r="H208" s="87">
        <v>10228.742094167252</v>
      </c>
      <c r="I208" s="87">
        <v>-9461.0565110565112</v>
      </c>
      <c r="J208" s="86">
        <v>0.16585365853658537</v>
      </c>
      <c r="K208" s="86">
        <v>0.16585365853658537</v>
      </c>
      <c r="L208" s="86">
        <v>0.28775193798449611</v>
      </c>
      <c r="M208" s="86">
        <v>0.22759689922480619</v>
      </c>
      <c r="N208" s="86">
        <v>0.59482758620689657</v>
      </c>
      <c r="O208" s="86">
        <v>0.38964577656675747</v>
      </c>
      <c r="P208" s="86">
        <v>0.41531974701335206</v>
      </c>
      <c r="Q208" s="86">
        <v>0.36263736263736263</v>
      </c>
    </row>
    <row r="209" spans="1:17" x14ac:dyDescent="0.4">
      <c r="A209" s="88">
        <v>206</v>
      </c>
      <c r="B209" s="85">
        <v>-4.9999999999999716</v>
      </c>
      <c r="C209" s="85">
        <v>-8.0906148867313458E-3</v>
      </c>
      <c r="D209" s="90">
        <v>2</v>
      </c>
      <c r="E209" s="86">
        <v>0.33333333333333331</v>
      </c>
      <c r="F209" s="86">
        <v>0.30516431924882631</v>
      </c>
      <c r="G209" s="86">
        <v>0.17477592829705504</v>
      </c>
      <c r="H209" s="87">
        <v>10232.657342657343</v>
      </c>
      <c r="I209" s="87">
        <v>-9453.6019536019539</v>
      </c>
      <c r="J209" s="86">
        <v>0.1650485436893204</v>
      </c>
      <c r="K209" s="86">
        <v>0.1650485436893204</v>
      </c>
      <c r="L209" s="86">
        <v>0.28778085564789163</v>
      </c>
      <c r="M209" s="86">
        <v>0.22837796244998462</v>
      </c>
      <c r="N209" s="86">
        <v>0.59465240641711226</v>
      </c>
      <c r="O209" s="86">
        <v>0.38948787061994611</v>
      </c>
      <c r="P209" s="86">
        <v>0.41468531468531467</v>
      </c>
      <c r="Q209" s="86">
        <v>0.36141479099678459</v>
      </c>
    </row>
    <row r="210" spans="1:17" x14ac:dyDescent="0.4">
      <c r="A210" s="88">
        <v>207</v>
      </c>
      <c r="B210" s="85">
        <v>-4.9999999999999698</v>
      </c>
      <c r="C210" s="85">
        <v>-8.0515297906601762E-3</v>
      </c>
      <c r="D210" s="90">
        <v>2</v>
      </c>
      <c r="E210" s="86">
        <v>0.33333333333333331</v>
      </c>
      <c r="F210" s="86">
        <v>0.30509554140127387</v>
      </c>
      <c r="G210" s="86">
        <v>0.17452229299363056</v>
      </c>
      <c r="H210" s="87">
        <v>10223.590814196243</v>
      </c>
      <c r="I210" s="87">
        <v>-9447.8102189781021</v>
      </c>
      <c r="J210" s="86">
        <v>0.16425120772946861</v>
      </c>
      <c r="K210" s="86">
        <v>0.16425120772946861</v>
      </c>
      <c r="L210" s="86">
        <v>0.2871982890314696</v>
      </c>
      <c r="M210" s="86">
        <v>0.22823098075160403</v>
      </c>
      <c r="N210" s="86">
        <v>0.5957446808510638</v>
      </c>
      <c r="O210" s="86">
        <v>0.38955823293172692</v>
      </c>
      <c r="P210" s="86">
        <v>0.41544885177453028</v>
      </c>
      <c r="Q210" s="86">
        <v>0.36084452975047987</v>
      </c>
    </row>
    <row r="211" spans="1:17" x14ac:dyDescent="0.4">
      <c r="A211" s="88">
        <v>208</v>
      </c>
      <c r="B211" s="85">
        <v>-4.999999999999968</v>
      </c>
      <c r="C211" s="85">
        <v>-8.0128205128204618E-3</v>
      </c>
      <c r="D211" s="90">
        <v>2</v>
      </c>
      <c r="E211" s="86">
        <v>0.33333333333333331</v>
      </c>
      <c r="F211" s="86">
        <v>0.30499153976311338</v>
      </c>
      <c r="G211" s="86">
        <v>0.17406937394247038</v>
      </c>
      <c r="H211" s="87">
        <v>10241.678224687934</v>
      </c>
      <c r="I211" s="87">
        <v>-9465.4921020656129</v>
      </c>
      <c r="J211" s="86">
        <v>0.16506410256410256</v>
      </c>
      <c r="K211" s="86">
        <v>0.16506410256410256</v>
      </c>
      <c r="L211" s="86">
        <v>0.2871467639015497</v>
      </c>
      <c r="M211" s="86">
        <v>0.22819811607414159</v>
      </c>
      <c r="N211" s="86">
        <v>0.59470899470899474</v>
      </c>
      <c r="O211" s="86">
        <v>0.38881491344873503</v>
      </c>
      <c r="P211" s="86">
        <v>0.41678224687933424</v>
      </c>
      <c r="Q211" s="86">
        <v>0.36073932441045253</v>
      </c>
    </row>
    <row r="212" spans="1:17" x14ac:dyDescent="0.4">
      <c r="A212" s="88">
        <v>209</v>
      </c>
      <c r="B212" s="85">
        <v>-4.9999999999999645</v>
      </c>
      <c r="C212" s="85">
        <v>-7.9744816586921289E-3</v>
      </c>
      <c r="D212" s="90">
        <v>2</v>
      </c>
      <c r="E212" s="86">
        <v>0.33333333333333331</v>
      </c>
      <c r="F212" s="86">
        <v>0.30508117225384779</v>
      </c>
      <c r="G212" s="86">
        <v>0.1739405439595193</v>
      </c>
      <c r="H212" s="87">
        <v>10246.302695231514</v>
      </c>
      <c r="I212" s="87">
        <v>-9471.515151515152</v>
      </c>
      <c r="J212" s="86">
        <v>0.16586921850079744</v>
      </c>
      <c r="K212" s="86">
        <v>0.16586921850079744</v>
      </c>
      <c r="L212" s="86">
        <v>0.28735632183908044</v>
      </c>
      <c r="M212" s="86">
        <v>0.22837265577737448</v>
      </c>
      <c r="N212" s="86">
        <v>0.59368421052631581</v>
      </c>
      <c r="O212" s="86">
        <v>0.38940397350993378</v>
      </c>
      <c r="P212" s="86">
        <v>0.41672425708362126</v>
      </c>
      <c r="Q212" s="86">
        <v>0.36086404066073696</v>
      </c>
    </row>
    <row r="213" spans="1:17" x14ac:dyDescent="0.4">
      <c r="A213" s="88">
        <v>210</v>
      </c>
      <c r="B213" s="85">
        <v>-4.9999999999999645</v>
      </c>
      <c r="C213" s="85">
        <v>-7.9365079365078806E-3</v>
      </c>
      <c r="D213" s="90">
        <v>2</v>
      </c>
      <c r="E213" s="86">
        <v>0.33333333333333331</v>
      </c>
      <c r="F213" s="86">
        <v>0.3049421661409043</v>
      </c>
      <c r="G213" s="86">
        <v>0.17371188222923239</v>
      </c>
      <c r="H213" s="87">
        <v>10280.275862068966</v>
      </c>
      <c r="I213" s="87">
        <v>-9489.1041162227611</v>
      </c>
      <c r="J213" s="86">
        <v>0.16666666666666666</v>
      </c>
      <c r="K213" s="86">
        <v>0.16666666666666666</v>
      </c>
      <c r="L213" s="86">
        <v>0.28752260397830021</v>
      </c>
      <c r="M213" s="86">
        <v>0.22784810126582278</v>
      </c>
      <c r="N213" s="86">
        <v>0.59329140461215935</v>
      </c>
      <c r="O213" s="86">
        <v>0.39021164021164023</v>
      </c>
      <c r="P213" s="86">
        <v>0.41724137931034483</v>
      </c>
      <c r="Q213" s="86">
        <v>0.36121673003802279</v>
      </c>
    </row>
    <row r="214" spans="1:17" x14ac:dyDescent="0.4">
      <c r="A214" s="88">
        <v>211</v>
      </c>
      <c r="B214" s="85">
        <v>-4.9999999999999654</v>
      </c>
      <c r="C214" s="85">
        <v>-7.8988941548182711E-3</v>
      </c>
      <c r="D214" s="90">
        <v>2</v>
      </c>
      <c r="E214" s="86">
        <v>0.33333333333333331</v>
      </c>
      <c r="F214" s="86">
        <v>0.30485762144053602</v>
      </c>
      <c r="G214" s="86">
        <v>0.17357621440536014</v>
      </c>
      <c r="H214" s="87">
        <v>10268.26923076923</v>
      </c>
      <c r="I214" s="87">
        <v>-9471.8938480096494</v>
      </c>
      <c r="J214" s="86">
        <v>0.16587677725118483</v>
      </c>
      <c r="K214" s="86">
        <v>0.16587677725118483</v>
      </c>
      <c r="L214" s="86">
        <v>0.28721174004192873</v>
      </c>
      <c r="M214" s="86">
        <v>0.22761305780173705</v>
      </c>
      <c r="N214" s="86">
        <v>0.59332638164754958</v>
      </c>
      <c r="O214" s="86">
        <v>0.39078947368421052</v>
      </c>
      <c r="P214" s="86">
        <v>0.4175824175824176</v>
      </c>
      <c r="Q214" s="86">
        <v>0.3608832807570978</v>
      </c>
    </row>
    <row r="215" spans="1:17" x14ac:dyDescent="0.4">
      <c r="A215" s="88">
        <v>212</v>
      </c>
      <c r="B215" s="85">
        <v>-4.9999999999999618</v>
      </c>
      <c r="C215" s="85">
        <v>-7.8616352201257254E-3</v>
      </c>
      <c r="D215" s="90">
        <v>2</v>
      </c>
      <c r="E215" s="86">
        <v>0.33333333333333331</v>
      </c>
      <c r="F215" s="86">
        <v>0.30507065669160432</v>
      </c>
      <c r="G215" s="86">
        <v>0.17394014962593515</v>
      </c>
      <c r="H215" s="87">
        <v>10268.392370572206</v>
      </c>
      <c r="I215" s="87">
        <v>-9495.5794504181595</v>
      </c>
      <c r="J215" s="86">
        <v>0.1650943396226415</v>
      </c>
      <c r="K215" s="86">
        <v>0.1650943396226415</v>
      </c>
      <c r="L215" s="86">
        <v>0.28740740740740739</v>
      </c>
      <c r="M215" s="86">
        <v>0.22696296296296295</v>
      </c>
      <c r="N215" s="86">
        <v>0.59278350515463918</v>
      </c>
      <c r="O215" s="86">
        <v>0.39295039164490864</v>
      </c>
      <c r="P215" s="86">
        <v>0.41689373297002724</v>
      </c>
      <c r="Q215" s="86">
        <v>0.36192861615529115</v>
      </c>
    </row>
    <row r="216" spans="1:17" x14ac:dyDescent="0.4">
      <c r="A216" s="88">
        <v>213</v>
      </c>
      <c r="B216" s="85">
        <v>-4.9999999999999627</v>
      </c>
      <c r="C216" s="85">
        <v>-7.8247261345852307E-3</v>
      </c>
      <c r="D216" s="90">
        <v>2</v>
      </c>
      <c r="E216" s="86">
        <v>0.33333333333333331</v>
      </c>
      <c r="F216" s="86">
        <v>0.30498655079660664</v>
      </c>
      <c r="G216" s="86">
        <v>0.17380509000620734</v>
      </c>
      <c r="H216" s="87">
        <v>10260.583446404342</v>
      </c>
      <c r="I216" s="87">
        <v>-9495</v>
      </c>
      <c r="J216" s="86">
        <v>0.16431924882629109</v>
      </c>
      <c r="K216" s="86">
        <v>0.16431924882629109</v>
      </c>
      <c r="L216" s="86">
        <v>0.28798586572438162</v>
      </c>
      <c r="M216" s="86">
        <v>0.22673733804475854</v>
      </c>
      <c r="N216" s="86">
        <v>0.59202453987730064</v>
      </c>
      <c r="O216" s="86">
        <v>0.39350649350649353</v>
      </c>
      <c r="P216" s="86">
        <v>0.41723202170963364</v>
      </c>
      <c r="Q216" s="86">
        <v>0.36034912718204487</v>
      </c>
    </row>
    <row r="217" spans="1:17" x14ac:dyDescent="0.4">
      <c r="A217" s="88">
        <v>214</v>
      </c>
      <c r="B217" s="85">
        <v>-4.9999999999999574</v>
      </c>
      <c r="C217" s="85">
        <v>-7.7881619937694036E-3</v>
      </c>
      <c r="D217" s="90">
        <v>2</v>
      </c>
      <c r="E217" s="86">
        <v>0.33333333333333331</v>
      </c>
      <c r="F217" s="86">
        <v>0.30510918829831069</v>
      </c>
      <c r="G217" s="86">
        <v>0.17387721466831479</v>
      </c>
      <c r="H217" s="87">
        <v>10270.69547602971</v>
      </c>
      <c r="I217" s="87">
        <v>-9508.2938388625589</v>
      </c>
      <c r="J217" s="86">
        <v>0.16510903426791276</v>
      </c>
      <c r="K217" s="86">
        <v>0.16510903426791276</v>
      </c>
      <c r="L217" s="86">
        <v>0.28797190517998245</v>
      </c>
      <c r="M217" s="86">
        <v>0.22622183201638865</v>
      </c>
      <c r="N217" s="86">
        <v>0.59247967479674801</v>
      </c>
      <c r="O217" s="86">
        <v>0.39327296248382926</v>
      </c>
      <c r="P217" s="86">
        <v>0.41728561782579338</v>
      </c>
      <c r="Q217" s="86">
        <v>0.36064556176288021</v>
      </c>
    </row>
    <row r="218" spans="1:17" x14ac:dyDescent="0.4">
      <c r="A218" s="88">
        <v>215</v>
      </c>
      <c r="B218" s="85">
        <v>-4.9999999999999574</v>
      </c>
      <c r="C218" s="85">
        <v>-7.751937984496058E-3</v>
      </c>
      <c r="D218" s="90">
        <v>2</v>
      </c>
      <c r="E218" s="86">
        <v>0.33333333333333331</v>
      </c>
      <c r="F218" s="86">
        <v>0.30483804838048378</v>
      </c>
      <c r="G218" s="86">
        <v>0.17404674046740468</v>
      </c>
      <c r="H218" s="87">
        <v>10252.656355077337</v>
      </c>
      <c r="I218" s="87">
        <v>-9488.5747938751465</v>
      </c>
      <c r="J218" s="86">
        <v>0.16434108527131783</v>
      </c>
      <c r="K218" s="86">
        <v>0.16434108527131783</v>
      </c>
      <c r="L218" s="86">
        <v>0.28886951467596628</v>
      </c>
      <c r="M218" s="86">
        <v>0.22580645161290322</v>
      </c>
      <c r="N218" s="86">
        <v>0.59154929577464788</v>
      </c>
      <c r="O218" s="86">
        <v>0.39253539253539255</v>
      </c>
      <c r="P218" s="86">
        <v>0.41627437794216543</v>
      </c>
      <c r="Q218" s="86">
        <v>0.36009882643607166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親アガリ率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2019-02-02T19:28:56Z</dcterms:modified>
</cp:coreProperties>
</file>