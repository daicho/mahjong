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CB8C3D9-785E-480B-BB70-56CC719250C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6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5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0" i="4038"/>
  <c r="H25" i="4038"/>
  <c r="H19" i="4038"/>
  <c r="H33" i="4038"/>
  <c r="H9" i="4038"/>
  <c r="H32" i="4038"/>
  <c r="H31" i="4038"/>
  <c r="H12" i="4038"/>
  <c r="H24" i="4038"/>
  <c r="C25" i="4038"/>
  <c r="H23" i="4038"/>
  <c r="H14" i="4038"/>
  <c r="H30" i="4038"/>
  <c r="B22" i="4038"/>
  <c r="H17" i="4038"/>
  <c r="H29" i="4038"/>
  <c r="C20" i="4038"/>
  <c r="H28" i="4038"/>
  <c r="H22" i="4038"/>
  <c r="H13" i="4038"/>
  <c r="B17" i="4038"/>
  <c r="C18" i="4038" s="1"/>
  <c r="H21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6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5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4" i="4018"/>
  <c r="H22" i="4018"/>
  <c r="H17" i="4018"/>
  <c r="H30" i="4018"/>
  <c r="H8" i="4018"/>
  <c r="H29" i="4018"/>
  <c r="H26" i="4018"/>
  <c r="H12" i="4018"/>
  <c r="H23" i="4018"/>
  <c r="C25" i="4018"/>
  <c r="H25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<sst xmlns="http://schemas.openxmlformats.org/spreadsheetml/2006/main" count="3220" uniqueCount="248">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</sst>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9" formatCode="0.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9" fontId="0" fillId="0" borderId="39" xfId="0" applyNumberFormat="1" applyBorder="1" applyAlignment="1">
      <alignment horizontal="center" vertical="center" shrinkToFit="1"/>
    </xf>
    <xf numFmtId="189" fontId="0" fillId="0" borderId="40" xfId="0" applyNumberFormat="1" applyBorder="1" applyAlignment="1">
      <alignment horizontal="center" vertical="center" shrinkToFit="1"/>
    </xf>
    <xf numFmtId="189" fontId="0" fillId="0" borderId="30" xfId="0" applyNumberFormat="1" applyBorder="1" applyAlignment="1">
      <alignment horizontal="center" vertical="center" shrinkToFit="1"/>
    </xf>
    <xf numFmtId="189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全体!$K$2:$K$698</c:f>
              <c:numCache>
                <c:formatCode>General</c:formatCode>
                <c:ptCount val="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</c:numCache>
            </c:numRef>
          </c:xVal>
          <c:yVal>
            <c:numRef>
              <c:f>全体!$L$2:$L$698</c:f>
              <c:numCache>
                <c:formatCode>\+0.0;\-0.0;\±0</c:formatCode>
                <c:ptCount val="6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-14.619883040935672</c:v>
                </c:pt>
                <c:pt idx="1">
                  <c:v>0</c:v>
                </c:pt>
                <c:pt idx="2">
                  <c:v>6.5359477124183005</c:v>
                </c:pt>
                <c:pt idx="3">
                  <c:v>0</c:v>
                </c:pt>
                <c:pt idx="4">
                  <c:v>8.4925690021231421</c:v>
                </c:pt>
                <c:pt idx="5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だいち!$K$2:$K$205</c:f>
              <c:numCache>
                <c:formatCode>General</c:formatCode>
                <c:ptCount val="2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</c:numCache>
            </c:numRef>
          </c:xVal>
          <c:yVal>
            <c:numRef>
              <c:f>だいち!$L$2:$L$205</c:f>
              <c:numCache>
                <c:formatCode>\+0.0;\-0.0;\±0</c:formatCode>
                <c:ptCount val="20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1332.1608040201006</c:v>
                </c:pt>
                <c:pt idx="1">
                  <c:v>346.07329842931938</c:v>
                </c:pt>
                <c:pt idx="2">
                  <c:v>1342.9378531073446</c:v>
                </c:pt>
                <c:pt idx="3">
                  <c:v>1269.182389937107</c:v>
                </c:pt>
                <c:pt idx="4">
                  <c:v>1905.1094890510949</c:v>
                </c:pt>
                <c:pt idx="5">
                  <c:v>1682.4074074074074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りくと!$L$2:$L$121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-376.92307692307691</c:v>
                </c:pt>
                <c:pt idx="1">
                  <c:v>-1461.9469026548672</c:v>
                </c:pt>
                <c:pt idx="2">
                  <c:v>1958.1818181818182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2611.8279569892475</c:v>
                </c:pt>
                <c:pt idx="1">
                  <c:v>678.40909090909088</c:v>
                </c:pt>
                <c:pt idx="2">
                  <c:v>-256.79012345679013</c:v>
                </c:pt>
                <c:pt idx="3">
                  <c:v>-1565.7894736842106</c:v>
                </c:pt>
                <c:pt idx="4">
                  <c:v>-85.9375</c:v>
                </c:pt>
                <c:pt idx="5">
                  <c:v>445.45454545454544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れんたろう!$L$2:$L$99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-1726.8817204301076</c:v>
                </c:pt>
                <c:pt idx="1">
                  <c:v>-85.869565217391298</c:v>
                </c:pt>
                <c:pt idx="2">
                  <c:v>-440.22988505747128</c:v>
                </c:pt>
                <c:pt idx="3">
                  <c:v>-465.82278481012656</c:v>
                </c:pt>
                <c:pt idx="4">
                  <c:v>-2268.0555555555557</c:v>
                </c:pt>
                <c:pt idx="5">
                  <c:v>1237.5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39">
        <v>0</v>
      </c>
      <c r="C23" s="14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37">
        <v>0</v>
      </c>
      <c r="C24" s="13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3">
        <v>0</v>
      </c>
      <c r="C26" s="144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45">
        <v>0</v>
      </c>
      <c r="C27" s="14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7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43506.793969907405</v>
      </c>
      <c r="C57" s="38" t="s">
        <v>140</v>
      </c>
      <c r="D57" s="38" t="s">
        <v>141</v>
      </c>
      <c r="E57" s="38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5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7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8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9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7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08" customWidth="1"/>
    <col min="36" max="36" width="10.75" style="105" customWidth="1"/>
    <col min="37" max="37" width="10.75" style="110" customWidth="1"/>
    <col min="38" max="38" width="10.75" style="105" customWidth="1"/>
    <col min="39" max="39" width="10.75" style="114" customWidth="1"/>
    <col min="40" max="40" width="10.75" style="105" customWidth="1"/>
    <col min="41" max="41" width="10.75" style="111" customWidth="1"/>
    <col min="42" max="16384" width="9" style="91"/>
  </cols>
  <sheetData>
    <row r="1" spans="1:41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247</v>
      </c>
      <c r="K1" s="156"/>
      <c r="L1" s="155" t="s">
        <v>196</v>
      </c>
      <c r="M1" s="156"/>
      <c r="N1" s="155" t="s">
        <v>197</v>
      </c>
      <c r="O1" s="156"/>
      <c r="P1" s="155" t="s">
        <v>5</v>
      </c>
      <c r="Q1" s="156"/>
      <c r="R1" s="155" t="s">
        <v>17</v>
      </c>
      <c r="S1" s="156"/>
      <c r="T1" s="155" t="s">
        <v>18</v>
      </c>
      <c r="U1" s="156"/>
      <c r="V1" s="155" t="s">
        <v>156</v>
      </c>
      <c r="W1" s="156"/>
      <c r="X1" s="155" t="s">
        <v>242</v>
      </c>
      <c r="Y1" s="156"/>
      <c r="Z1" s="155" t="s">
        <v>129</v>
      </c>
      <c r="AA1" s="156"/>
      <c r="AB1" s="155" t="s">
        <v>124</v>
      </c>
      <c r="AC1" s="156"/>
      <c r="AD1" s="155" t="s">
        <v>132</v>
      </c>
      <c r="AE1" s="156"/>
      <c r="AF1" s="155" t="s">
        <v>198</v>
      </c>
      <c r="AG1" s="156"/>
      <c r="AH1" s="155" t="s">
        <v>161</v>
      </c>
      <c r="AI1" s="156"/>
      <c r="AJ1" s="155" t="s">
        <v>199</v>
      </c>
      <c r="AK1" s="156"/>
      <c r="AL1" s="155" t="s">
        <v>201</v>
      </c>
      <c r="AM1" s="156"/>
      <c r="AN1" s="155" t="s">
        <v>160</v>
      </c>
      <c r="AO1" s="156"/>
    </row>
    <row r="2" spans="1:41" x14ac:dyDescent="0.4">
      <c r="A2" s="90" t="s">
        <v>246</v>
      </c>
      <c r="B2" s="157"/>
      <c r="C2" s="158"/>
      <c r="D2" s="157"/>
      <c r="E2" s="158"/>
      <c r="F2" s="159">
        <v>0.98976544981674819</v>
      </c>
      <c r="G2" s="160"/>
      <c r="H2" s="159">
        <v>0.96550891627683821</v>
      </c>
      <c r="I2" s="160"/>
      <c r="J2" s="159">
        <v>0.96141900442655892</v>
      </c>
      <c r="K2" s="160"/>
      <c r="L2" s="159">
        <v>0.89546762652647971</v>
      </c>
      <c r="M2" s="160"/>
      <c r="N2" s="159">
        <v>0.74755695630038654</v>
      </c>
      <c r="O2" s="160"/>
      <c r="P2" s="159">
        <v>0.34167215812420082</v>
      </c>
      <c r="Q2" s="160"/>
      <c r="R2" s="159">
        <v>-1.1706091574986612E-3</v>
      </c>
      <c r="S2" s="160"/>
      <c r="T2" s="159">
        <v>0.89428598364288514</v>
      </c>
      <c r="U2" s="160"/>
      <c r="V2" s="159">
        <v>0.93376220865106496</v>
      </c>
      <c r="W2" s="160"/>
      <c r="X2" s="159">
        <v>0.56893441794577881</v>
      </c>
      <c r="Y2" s="160"/>
      <c r="Z2" s="159">
        <v>0.54538808445022902</v>
      </c>
      <c r="AA2" s="160"/>
      <c r="AB2" s="159">
        <v>-0.33285569657854736</v>
      </c>
      <c r="AC2" s="160"/>
      <c r="AD2" s="159">
        <v>0.74278909511134938</v>
      </c>
      <c r="AE2" s="160"/>
      <c r="AF2" s="159">
        <v>0.16552759034042772</v>
      </c>
      <c r="AG2" s="160"/>
      <c r="AH2" s="159">
        <v>0.31737570231924961</v>
      </c>
      <c r="AI2" s="160"/>
      <c r="AJ2" s="159">
        <v>0.6626969563771109</v>
      </c>
      <c r="AK2" s="160"/>
      <c r="AL2" s="159">
        <v>0.64718081590716536</v>
      </c>
      <c r="AM2" s="160"/>
      <c r="AN2" s="159">
        <v>-0.12584979150051614</v>
      </c>
      <c r="AO2" s="160"/>
    </row>
    <row r="3" spans="1:41" x14ac:dyDescent="0.4">
      <c r="A3" s="92">
        <v>1</v>
      </c>
      <c r="B3" s="93" t="s">
        <v>133</v>
      </c>
      <c r="C3" s="94">
        <v>1249.4000000000001</v>
      </c>
      <c r="D3" s="95" t="s">
        <v>195</v>
      </c>
      <c r="E3" s="120">
        <v>7.833333333333333</v>
      </c>
      <c r="F3" s="95" t="s">
        <v>133</v>
      </c>
      <c r="G3" s="96">
        <v>1.7980295566502462</v>
      </c>
      <c r="H3" s="95" t="s">
        <v>195</v>
      </c>
      <c r="I3" s="97">
        <v>0.5</v>
      </c>
      <c r="J3" s="95" t="s">
        <v>133</v>
      </c>
      <c r="K3" s="97">
        <v>0.22167487684729065</v>
      </c>
      <c r="L3" s="95" t="s">
        <v>195</v>
      </c>
      <c r="M3" s="98">
        <v>0.38</v>
      </c>
      <c r="N3" s="95" t="s">
        <v>195</v>
      </c>
      <c r="O3" s="98">
        <v>0.08</v>
      </c>
      <c r="P3" s="95" t="s">
        <v>138</v>
      </c>
      <c r="Q3" s="99">
        <v>11218.333333333334</v>
      </c>
      <c r="R3" s="95" t="s">
        <v>167</v>
      </c>
      <c r="S3" s="99">
        <v>-8240</v>
      </c>
      <c r="T3" s="95" t="s">
        <v>168</v>
      </c>
      <c r="U3" s="97">
        <v>0</v>
      </c>
      <c r="V3" s="95" t="s">
        <v>133</v>
      </c>
      <c r="W3" s="97">
        <v>0.2019704433497537</v>
      </c>
      <c r="X3" s="95" t="s">
        <v>172</v>
      </c>
      <c r="Y3" s="97">
        <v>0.2</v>
      </c>
      <c r="Z3" s="95" t="s">
        <v>168</v>
      </c>
      <c r="AA3" s="98">
        <v>0.45454545454545453</v>
      </c>
      <c r="AB3" s="95" t="s">
        <v>158</v>
      </c>
      <c r="AC3" s="98">
        <v>0.38775510204081631</v>
      </c>
      <c r="AD3" s="95" t="s">
        <v>172</v>
      </c>
      <c r="AE3" s="98">
        <v>0.75</v>
      </c>
      <c r="AF3" s="95" t="s">
        <v>195</v>
      </c>
      <c r="AG3" s="98">
        <v>0.5</v>
      </c>
      <c r="AH3" s="95" t="s">
        <v>167</v>
      </c>
      <c r="AI3" s="98">
        <v>1</v>
      </c>
      <c r="AJ3" s="95" t="s">
        <v>133</v>
      </c>
      <c r="AK3" s="100">
        <v>10</v>
      </c>
      <c r="AL3" s="95" t="s">
        <v>139</v>
      </c>
      <c r="AM3" s="113">
        <v>124700</v>
      </c>
      <c r="AN3" s="95" t="s">
        <v>162</v>
      </c>
      <c r="AO3" s="101">
        <v>19</v>
      </c>
    </row>
    <row r="4" spans="1:41" x14ac:dyDescent="0.4">
      <c r="A4" s="102">
        <v>2</v>
      </c>
      <c r="B4" s="103" t="s">
        <v>135</v>
      </c>
      <c r="C4" s="104">
        <v>257.3</v>
      </c>
      <c r="D4" s="105" t="s">
        <v>133</v>
      </c>
      <c r="E4" s="121">
        <v>6.1546798029556653</v>
      </c>
      <c r="F4" s="105" t="s">
        <v>195</v>
      </c>
      <c r="G4" s="106">
        <v>1.8333333333333333</v>
      </c>
      <c r="H4" s="105" t="s">
        <v>133</v>
      </c>
      <c r="I4" s="107">
        <v>0.42364532019704432</v>
      </c>
      <c r="J4" s="105" t="s">
        <v>135</v>
      </c>
      <c r="K4" s="107">
        <v>0.22807017543859648</v>
      </c>
      <c r="L4" s="105" t="s">
        <v>133</v>
      </c>
      <c r="M4" s="108">
        <v>0.35209424083769636</v>
      </c>
      <c r="N4" s="105" t="s">
        <v>168</v>
      </c>
      <c r="O4" s="108">
        <v>0.125</v>
      </c>
      <c r="P4" s="105" t="s">
        <v>134</v>
      </c>
      <c r="Q4" s="109">
        <v>11142.259414225942</v>
      </c>
      <c r="R4" s="105" t="s">
        <v>158</v>
      </c>
      <c r="S4" s="109">
        <v>-8441.176470588236</v>
      </c>
      <c r="T4" s="105" t="s">
        <v>133</v>
      </c>
      <c r="U4" s="107">
        <v>0.10344827586206896</v>
      </c>
      <c r="V4" s="105" t="s">
        <v>172</v>
      </c>
      <c r="W4" s="107">
        <v>0.2</v>
      </c>
      <c r="X4" s="105" t="s">
        <v>137</v>
      </c>
      <c r="Y4" s="107">
        <v>0.11578947368421053</v>
      </c>
      <c r="Z4" s="105" t="s">
        <v>195</v>
      </c>
      <c r="AA4" s="108">
        <v>0.42</v>
      </c>
      <c r="AB4" s="105" t="s">
        <v>135</v>
      </c>
      <c r="AC4" s="108">
        <v>0.31976744186046513</v>
      </c>
      <c r="AD4" s="105" t="s">
        <v>133</v>
      </c>
      <c r="AE4" s="108">
        <v>0.65644171779141103</v>
      </c>
      <c r="AF4" s="105" t="s">
        <v>133</v>
      </c>
      <c r="AG4" s="108">
        <v>0.47272727272727272</v>
      </c>
      <c r="AH4" s="105" t="s">
        <v>135</v>
      </c>
      <c r="AI4" s="108">
        <v>0.46527777777777779</v>
      </c>
      <c r="AJ4" s="105" t="s">
        <v>134</v>
      </c>
      <c r="AK4" s="110">
        <v>10</v>
      </c>
      <c r="AL4" s="105" t="s">
        <v>162</v>
      </c>
      <c r="AM4" s="114">
        <v>124700</v>
      </c>
      <c r="AN4" s="105" t="s">
        <v>139</v>
      </c>
      <c r="AO4" s="111">
        <v>7</v>
      </c>
    </row>
    <row r="5" spans="1:41" x14ac:dyDescent="0.4">
      <c r="A5" s="102">
        <v>3</v>
      </c>
      <c r="B5" s="103" t="s">
        <v>137</v>
      </c>
      <c r="C5" s="104">
        <v>222.49999999999989</v>
      </c>
      <c r="D5" s="105" t="s">
        <v>135</v>
      </c>
      <c r="E5" s="121">
        <v>4.5140350877192983</v>
      </c>
      <c r="F5" s="105" t="s">
        <v>135</v>
      </c>
      <c r="G5" s="106">
        <v>1.8771929824561404</v>
      </c>
      <c r="H5" s="105" t="s">
        <v>137</v>
      </c>
      <c r="I5" s="107">
        <v>0.38947368421052631</v>
      </c>
      <c r="J5" s="105" t="s">
        <v>137</v>
      </c>
      <c r="K5" s="107">
        <v>0.31578947368421051</v>
      </c>
      <c r="L5" s="105" t="s">
        <v>135</v>
      </c>
      <c r="M5" s="108">
        <v>0.35121951219512193</v>
      </c>
      <c r="N5" s="105" t="s">
        <v>133</v>
      </c>
      <c r="O5" s="108">
        <v>0.14332460732984292</v>
      </c>
      <c r="P5" s="105" t="s">
        <v>139</v>
      </c>
      <c r="Q5" s="109">
        <v>10867.741935483871</v>
      </c>
      <c r="R5" s="105" t="s">
        <v>138</v>
      </c>
      <c r="S5" s="109">
        <v>-8805.7142857142862</v>
      </c>
      <c r="T5" s="105" t="s">
        <v>137</v>
      </c>
      <c r="U5" s="107">
        <v>0.11578947368421053</v>
      </c>
      <c r="V5" s="105" t="s">
        <v>137</v>
      </c>
      <c r="W5" s="107">
        <v>0.17894736842105263</v>
      </c>
      <c r="X5" s="105" t="s">
        <v>139</v>
      </c>
      <c r="Y5" s="107">
        <v>0.10309278350515463</v>
      </c>
      <c r="Z5" s="105" t="s">
        <v>137</v>
      </c>
      <c r="AA5" s="108">
        <v>0.31764705882352939</v>
      </c>
      <c r="AB5" s="105" t="s">
        <v>136</v>
      </c>
      <c r="AC5" s="108">
        <v>0.26459143968871596</v>
      </c>
      <c r="AD5" s="105" t="s">
        <v>195</v>
      </c>
      <c r="AE5" s="108">
        <v>0.61904761904761907</v>
      </c>
      <c r="AF5" s="105" t="s">
        <v>137</v>
      </c>
      <c r="AG5" s="108">
        <v>0.39393939393939392</v>
      </c>
      <c r="AH5" s="105" t="s">
        <v>139</v>
      </c>
      <c r="AI5" s="108">
        <v>0.46082949308755761</v>
      </c>
      <c r="AJ5" s="105" t="s">
        <v>162</v>
      </c>
      <c r="AK5" s="110">
        <v>10</v>
      </c>
      <c r="AL5" s="105" t="s">
        <v>133</v>
      </c>
      <c r="AM5" s="114">
        <v>120200</v>
      </c>
      <c r="AN5" s="105" t="s">
        <v>134</v>
      </c>
      <c r="AO5" s="111">
        <v>4</v>
      </c>
    </row>
    <row r="6" spans="1:41" x14ac:dyDescent="0.4">
      <c r="A6" s="102">
        <v>4</v>
      </c>
      <c r="B6" s="103" t="s">
        <v>138</v>
      </c>
      <c r="C6" s="104">
        <v>51.10000000000003</v>
      </c>
      <c r="D6" s="105" t="s">
        <v>137</v>
      </c>
      <c r="E6" s="121">
        <v>2.3421052631578934</v>
      </c>
      <c r="F6" s="105" t="s">
        <v>137</v>
      </c>
      <c r="G6" s="106">
        <v>1.9263157894736842</v>
      </c>
      <c r="H6" s="105" t="s">
        <v>135</v>
      </c>
      <c r="I6" s="107">
        <v>0.35087719298245612</v>
      </c>
      <c r="J6" s="105" t="s">
        <v>162</v>
      </c>
      <c r="K6" s="107">
        <v>0.33333333333333331</v>
      </c>
      <c r="L6" s="105" t="s">
        <v>137</v>
      </c>
      <c r="M6" s="108">
        <v>0.30929264909847431</v>
      </c>
      <c r="N6" s="105" t="s">
        <v>135</v>
      </c>
      <c r="O6" s="108">
        <v>0.15609756097560976</v>
      </c>
      <c r="P6" s="105" t="s">
        <v>137</v>
      </c>
      <c r="Q6" s="109">
        <v>10395.067264573991</v>
      </c>
      <c r="R6" s="105" t="s">
        <v>135</v>
      </c>
      <c r="S6" s="109">
        <v>-9007.8125</v>
      </c>
      <c r="T6" s="105" t="s">
        <v>135</v>
      </c>
      <c r="U6" s="107">
        <v>0.12280701754385964</v>
      </c>
      <c r="V6" s="105" t="s">
        <v>135</v>
      </c>
      <c r="W6" s="107">
        <v>0.17543859649122806</v>
      </c>
      <c r="X6" s="105" t="s">
        <v>133</v>
      </c>
      <c r="Y6" s="107">
        <v>9.8522167487684734E-2</v>
      </c>
      <c r="Z6" s="105" t="s">
        <v>138</v>
      </c>
      <c r="AA6" s="108">
        <v>0.30827067669172931</v>
      </c>
      <c r="AB6" s="105" t="s">
        <v>138</v>
      </c>
      <c r="AC6" s="108">
        <v>0.24060150375939848</v>
      </c>
      <c r="AD6" s="105" t="s">
        <v>135</v>
      </c>
      <c r="AE6" s="108">
        <v>0.61538461538461542</v>
      </c>
      <c r="AF6" s="105" t="s">
        <v>162</v>
      </c>
      <c r="AG6" s="108">
        <v>0.38992974238875877</v>
      </c>
      <c r="AH6" s="105" t="s">
        <v>137</v>
      </c>
      <c r="AI6" s="108">
        <v>0.45739910313901344</v>
      </c>
      <c r="AJ6" s="105" t="s">
        <v>137</v>
      </c>
      <c r="AK6" s="110">
        <v>9</v>
      </c>
      <c r="AL6" s="105" t="s">
        <v>135</v>
      </c>
      <c r="AM6" s="114">
        <v>118000</v>
      </c>
      <c r="AN6" s="105" t="s">
        <v>137</v>
      </c>
      <c r="AO6" s="111">
        <v>3</v>
      </c>
    </row>
    <row r="7" spans="1:41" x14ac:dyDescent="0.4">
      <c r="A7" s="102">
        <v>5</v>
      </c>
      <c r="B7" s="103" t="s">
        <v>195</v>
      </c>
      <c r="C7" s="104">
        <v>47</v>
      </c>
      <c r="D7" s="105" t="s">
        <v>138</v>
      </c>
      <c r="E7" s="121">
        <v>1.9653846153846166</v>
      </c>
      <c r="F7" s="105" t="s">
        <v>138</v>
      </c>
      <c r="G7" s="106">
        <v>2</v>
      </c>
      <c r="H7" s="105" t="s">
        <v>138</v>
      </c>
      <c r="I7" s="107">
        <v>0.34615384615384615</v>
      </c>
      <c r="J7" s="105" t="s">
        <v>168</v>
      </c>
      <c r="K7" s="107">
        <v>0.33333333333333331</v>
      </c>
      <c r="L7" s="105" t="s">
        <v>162</v>
      </c>
      <c r="M7" s="108">
        <v>0.30285929270127915</v>
      </c>
      <c r="N7" s="105" t="s">
        <v>137</v>
      </c>
      <c r="O7" s="108">
        <v>0.16088765603328711</v>
      </c>
      <c r="P7" s="105" t="s">
        <v>162</v>
      </c>
      <c r="Q7" s="109">
        <v>10237.329192546584</v>
      </c>
      <c r="R7" s="105" t="s">
        <v>137</v>
      </c>
      <c r="S7" s="109">
        <v>-9154.310344827587</v>
      </c>
      <c r="T7" s="105" t="s">
        <v>162</v>
      </c>
      <c r="U7" s="107">
        <v>0.16091954022988506</v>
      </c>
      <c r="V7" s="105" t="s">
        <v>195</v>
      </c>
      <c r="W7" s="107">
        <v>0.16666666666666666</v>
      </c>
      <c r="X7" s="105" t="s">
        <v>162</v>
      </c>
      <c r="Y7" s="107">
        <v>8.4770114942528729E-2</v>
      </c>
      <c r="Z7" s="105" t="s">
        <v>133</v>
      </c>
      <c r="AA7" s="108">
        <v>0.30410447761194032</v>
      </c>
      <c r="AB7" s="105" t="s">
        <v>137</v>
      </c>
      <c r="AC7" s="108">
        <v>0.22184873949579831</v>
      </c>
      <c r="AD7" s="105" t="s">
        <v>139</v>
      </c>
      <c r="AE7" s="108">
        <v>0.59174311926605505</v>
      </c>
      <c r="AF7" s="105" t="s">
        <v>135</v>
      </c>
      <c r="AG7" s="108">
        <v>0.38181818181818183</v>
      </c>
      <c r="AH7" s="105" t="s">
        <v>136</v>
      </c>
      <c r="AI7" s="108">
        <v>0.45535714285714285</v>
      </c>
      <c r="AJ7" s="105" t="s">
        <v>135</v>
      </c>
      <c r="AK7" s="110">
        <v>7</v>
      </c>
      <c r="AL7" s="105" t="s">
        <v>137</v>
      </c>
      <c r="AM7" s="114">
        <v>109300</v>
      </c>
      <c r="AN7" s="105" t="s">
        <v>133</v>
      </c>
      <c r="AO7" s="111">
        <v>2</v>
      </c>
    </row>
    <row r="8" spans="1:41" x14ac:dyDescent="0.4">
      <c r="A8" s="102">
        <v>6</v>
      </c>
      <c r="B8" s="103" t="s">
        <v>162</v>
      </c>
      <c r="C8" s="104">
        <v>-4.9999999999999432</v>
      </c>
      <c r="D8" s="105" t="s">
        <v>162</v>
      </c>
      <c r="E8" s="121">
        <v>-7.1839080459769299E-3</v>
      </c>
      <c r="F8" s="105" t="s">
        <v>162</v>
      </c>
      <c r="G8" s="106">
        <v>2</v>
      </c>
      <c r="H8" s="105" t="s">
        <v>162</v>
      </c>
      <c r="I8" s="107">
        <v>0.33333333333333331</v>
      </c>
      <c r="J8" s="105" t="s">
        <v>195</v>
      </c>
      <c r="K8" s="107">
        <v>0.33333333333333331</v>
      </c>
      <c r="L8" s="105" t="s">
        <v>139</v>
      </c>
      <c r="M8" s="108">
        <v>0.28741721854304636</v>
      </c>
      <c r="N8" s="105" t="s">
        <v>138</v>
      </c>
      <c r="O8" s="108">
        <v>0.16279069767441862</v>
      </c>
      <c r="P8" s="105" t="s">
        <v>133</v>
      </c>
      <c r="Q8" s="109">
        <v>9949.2565055762079</v>
      </c>
      <c r="R8" s="105" t="s">
        <v>133</v>
      </c>
      <c r="S8" s="109">
        <v>-9351.5981735159821</v>
      </c>
      <c r="T8" s="105" t="s">
        <v>195</v>
      </c>
      <c r="U8" s="107">
        <v>0.16666666666666666</v>
      </c>
      <c r="V8" s="105" t="s">
        <v>162</v>
      </c>
      <c r="W8" s="107">
        <v>0.16091954022988506</v>
      </c>
      <c r="X8" s="105" t="s">
        <v>138</v>
      </c>
      <c r="Y8" s="107">
        <v>7.6923076923076927E-2</v>
      </c>
      <c r="Z8" s="105" t="s">
        <v>139</v>
      </c>
      <c r="AA8" s="108">
        <v>0.30362116991643456</v>
      </c>
      <c r="AB8" s="105" t="s">
        <v>162</v>
      </c>
      <c r="AC8" s="108">
        <v>0.21897435897435896</v>
      </c>
      <c r="AD8" s="105" t="s">
        <v>162</v>
      </c>
      <c r="AE8" s="108">
        <v>0.58978873239436624</v>
      </c>
      <c r="AF8" s="105" t="s">
        <v>134</v>
      </c>
      <c r="AG8" s="108">
        <v>0.38053097345132741</v>
      </c>
      <c r="AH8" s="105" t="s">
        <v>138</v>
      </c>
      <c r="AI8" s="108">
        <v>0.45</v>
      </c>
      <c r="AJ8" s="105" t="s">
        <v>138</v>
      </c>
      <c r="AK8" s="110">
        <v>7</v>
      </c>
      <c r="AL8" s="105" t="s">
        <v>138</v>
      </c>
      <c r="AM8" s="114">
        <v>109300</v>
      </c>
      <c r="AN8" s="105" t="s">
        <v>136</v>
      </c>
      <c r="AO8" s="111">
        <v>2</v>
      </c>
    </row>
    <row r="9" spans="1:41" x14ac:dyDescent="0.4">
      <c r="A9" s="102">
        <v>7</v>
      </c>
      <c r="B9" s="103" t="s">
        <v>168</v>
      </c>
      <c r="C9" s="104">
        <v>-26.5</v>
      </c>
      <c r="D9" s="105" t="s">
        <v>134</v>
      </c>
      <c r="E9" s="121">
        <v>-3.3176470588235287</v>
      </c>
      <c r="F9" s="105" t="s">
        <v>134</v>
      </c>
      <c r="G9" s="106">
        <v>2.0840336134453783</v>
      </c>
      <c r="H9" s="105" t="s">
        <v>134</v>
      </c>
      <c r="I9" s="107">
        <v>0.30252100840336132</v>
      </c>
      <c r="J9" s="105" t="s">
        <v>138</v>
      </c>
      <c r="K9" s="107">
        <v>0.34615384615384615</v>
      </c>
      <c r="L9" s="105" t="s">
        <v>138</v>
      </c>
      <c r="M9" s="108">
        <v>0.27906976744186046</v>
      </c>
      <c r="N9" s="105" t="s">
        <v>162</v>
      </c>
      <c r="O9" s="108">
        <v>0.17231000752445447</v>
      </c>
      <c r="P9" s="105" t="s">
        <v>135</v>
      </c>
      <c r="Q9" s="109">
        <v>9825.6944444444453</v>
      </c>
      <c r="R9" s="105" t="s">
        <v>162</v>
      </c>
      <c r="S9" s="109">
        <v>-9389.3013100436674</v>
      </c>
      <c r="T9" s="105" t="s">
        <v>138</v>
      </c>
      <c r="U9" s="107">
        <v>0.19230769230769232</v>
      </c>
      <c r="V9" s="105" t="s">
        <v>138</v>
      </c>
      <c r="W9" s="107">
        <v>0.15384615384615385</v>
      </c>
      <c r="X9" s="105" t="s">
        <v>134</v>
      </c>
      <c r="Y9" s="107">
        <v>7.5630252100840331E-2</v>
      </c>
      <c r="Z9" s="105" t="s">
        <v>134</v>
      </c>
      <c r="AA9" s="108">
        <v>0.29624060150375942</v>
      </c>
      <c r="AB9" s="105" t="s">
        <v>133</v>
      </c>
      <c r="AC9" s="108">
        <v>0.20522388059701493</v>
      </c>
      <c r="AD9" s="105" t="s">
        <v>137</v>
      </c>
      <c r="AE9" s="108">
        <v>0.57671957671957674</v>
      </c>
      <c r="AF9" s="105" t="s">
        <v>139</v>
      </c>
      <c r="AG9" s="108">
        <v>0.37414965986394561</v>
      </c>
      <c r="AH9" s="105" t="s">
        <v>134</v>
      </c>
      <c r="AI9" s="108">
        <v>0.42677824267782427</v>
      </c>
      <c r="AJ9" s="105" t="s">
        <v>139</v>
      </c>
      <c r="AK9" s="110">
        <v>7</v>
      </c>
      <c r="AL9" s="105" t="s">
        <v>136</v>
      </c>
      <c r="AM9" s="114">
        <v>103200</v>
      </c>
      <c r="AN9" s="105" t="s">
        <v>135</v>
      </c>
      <c r="AO9" s="111">
        <v>1</v>
      </c>
    </row>
    <row r="10" spans="1:41" x14ac:dyDescent="0.4">
      <c r="A10" s="102">
        <v>8</v>
      </c>
      <c r="B10" s="103" t="s">
        <v>172</v>
      </c>
      <c r="C10" s="104">
        <v>-86.4</v>
      </c>
      <c r="D10" s="105" t="s">
        <v>139</v>
      </c>
      <c r="E10" s="121">
        <v>-4.6381443298969067</v>
      </c>
      <c r="F10" s="105" t="s">
        <v>139</v>
      </c>
      <c r="G10" s="106">
        <v>2.1752577319587627</v>
      </c>
      <c r="H10" s="105" t="s">
        <v>139</v>
      </c>
      <c r="I10" s="107">
        <v>0.25773195876288657</v>
      </c>
      <c r="J10" s="105" t="s">
        <v>134</v>
      </c>
      <c r="K10" s="107">
        <v>0.38655462184873951</v>
      </c>
      <c r="L10" s="105" t="s">
        <v>172</v>
      </c>
      <c r="M10" s="108">
        <v>0.27027027027027029</v>
      </c>
      <c r="N10" s="105" t="s">
        <v>158</v>
      </c>
      <c r="O10" s="108">
        <v>0.17346938775510204</v>
      </c>
      <c r="P10" s="105" t="s">
        <v>158</v>
      </c>
      <c r="Q10" s="109">
        <v>9343.181818181818</v>
      </c>
      <c r="R10" s="105" t="s">
        <v>136</v>
      </c>
      <c r="S10" s="109">
        <v>-9515.1162790697672</v>
      </c>
      <c r="T10" s="105" t="s">
        <v>134</v>
      </c>
      <c r="U10" s="107">
        <v>0.19327731092436976</v>
      </c>
      <c r="V10" s="105" t="s">
        <v>134</v>
      </c>
      <c r="W10" s="107">
        <v>0.13445378151260504</v>
      </c>
      <c r="X10" s="105" t="s">
        <v>136</v>
      </c>
      <c r="Y10" s="107">
        <v>5.3571428571428568E-2</v>
      </c>
      <c r="Z10" s="105" t="s">
        <v>162</v>
      </c>
      <c r="AA10" s="108">
        <v>0.29128205128205126</v>
      </c>
      <c r="AB10" s="105" t="s">
        <v>139</v>
      </c>
      <c r="AC10" s="108">
        <v>0.20473537604456823</v>
      </c>
      <c r="AD10" s="105" t="s">
        <v>134</v>
      </c>
      <c r="AE10" s="108">
        <v>0.57360406091370564</v>
      </c>
      <c r="AF10" s="105" t="s">
        <v>136</v>
      </c>
      <c r="AG10" s="108">
        <v>0.36764705882352944</v>
      </c>
      <c r="AH10" s="105" t="s">
        <v>162</v>
      </c>
      <c r="AI10" s="108">
        <v>0.41925465838509318</v>
      </c>
      <c r="AJ10" s="105" t="s">
        <v>136</v>
      </c>
      <c r="AK10" s="110">
        <v>5</v>
      </c>
      <c r="AL10" s="105" t="s">
        <v>134</v>
      </c>
      <c r="AM10" s="114">
        <v>97700</v>
      </c>
      <c r="AN10" s="105" t="s">
        <v>138</v>
      </c>
      <c r="AO10" s="111">
        <v>0</v>
      </c>
    </row>
    <row r="11" spans="1:41" x14ac:dyDescent="0.4">
      <c r="A11" s="102">
        <v>9</v>
      </c>
      <c r="B11" s="103" t="s">
        <v>167</v>
      </c>
      <c r="C11" s="104">
        <v>-132.1</v>
      </c>
      <c r="D11" s="105" t="s">
        <v>168</v>
      </c>
      <c r="E11" s="121">
        <v>-8.8333333333333339</v>
      </c>
      <c r="F11" s="105" t="s">
        <v>172</v>
      </c>
      <c r="G11" s="106">
        <v>2.2000000000000002</v>
      </c>
      <c r="H11" s="105" t="s">
        <v>158</v>
      </c>
      <c r="I11" s="107">
        <v>0.2</v>
      </c>
      <c r="J11" s="105" t="s">
        <v>172</v>
      </c>
      <c r="K11" s="107">
        <v>0.4</v>
      </c>
      <c r="L11" s="105" t="s">
        <v>134</v>
      </c>
      <c r="M11" s="108">
        <v>0.25809935205183587</v>
      </c>
      <c r="N11" s="105" t="s">
        <v>134</v>
      </c>
      <c r="O11" s="108">
        <v>0.19006479481641469</v>
      </c>
      <c r="P11" s="105" t="s">
        <v>195</v>
      </c>
      <c r="Q11" s="109">
        <v>9163.1578947368416</v>
      </c>
      <c r="R11" s="105" t="s">
        <v>134</v>
      </c>
      <c r="S11" s="109">
        <v>-9556.25</v>
      </c>
      <c r="T11" s="105" t="s">
        <v>136</v>
      </c>
      <c r="U11" s="107">
        <v>0.21428571428571427</v>
      </c>
      <c r="V11" s="105" t="s">
        <v>139</v>
      </c>
      <c r="W11" s="107">
        <v>0.13402061855670103</v>
      </c>
      <c r="X11" s="105" t="s">
        <v>135</v>
      </c>
      <c r="Y11" s="107">
        <v>5.2631578947368418E-2</v>
      </c>
      <c r="Z11" s="105" t="s">
        <v>172</v>
      </c>
      <c r="AA11" s="108">
        <v>0.25806451612903225</v>
      </c>
      <c r="AB11" s="105" t="s">
        <v>134</v>
      </c>
      <c r="AC11" s="108">
        <v>0.1699248120300752</v>
      </c>
      <c r="AD11" s="105" t="s">
        <v>138</v>
      </c>
      <c r="AE11" s="108">
        <v>0.48780487804878048</v>
      </c>
      <c r="AF11" s="105" t="s">
        <v>158</v>
      </c>
      <c r="AG11" s="108">
        <v>0.31578947368421051</v>
      </c>
      <c r="AH11" s="105" t="s">
        <v>133</v>
      </c>
      <c r="AI11" s="108">
        <v>0.37732342007434944</v>
      </c>
      <c r="AJ11" s="105" t="s">
        <v>158</v>
      </c>
      <c r="AK11" s="110">
        <v>5</v>
      </c>
      <c r="AL11" s="105" t="s">
        <v>195</v>
      </c>
      <c r="AM11" s="114">
        <v>78000</v>
      </c>
      <c r="AN11" s="105" t="s">
        <v>158</v>
      </c>
      <c r="AO11" s="111">
        <v>0</v>
      </c>
    </row>
    <row r="12" spans="1:41" x14ac:dyDescent="0.4">
      <c r="A12" s="102">
        <v>10</v>
      </c>
      <c r="B12" s="103" t="s">
        <v>158</v>
      </c>
      <c r="C12" s="104">
        <v>-240.00000000000003</v>
      </c>
      <c r="D12" s="105" t="s">
        <v>136</v>
      </c>
      <c r="E12" s="121">
        <v>-8.9749999999999979</v>
      </c>
      <c r="F12" s="105" t="s">
        <v>136</v>
      </c>
      <c r="G12" s="106">
        <v>2.2678571428571428</v>
      </c>
      <c r="H12" s="105" t="s">
        <v>172</v>
      </c>
      <c r="I12" s="107">
        <v>0.2</v>
      </c>
      <c r="J12" s="105" t="s">
        <v>139</v>
      </c>
      <c r="K12" s="107">
        <v>0.4329896907216495</v>
      </c>
      <c r="L12" s="105" t="s">
        <v>136</v>
      </c>
      <c r="M12" s="108">
        <v>0.25629290617848971</v>
      </c>
      <c r="N12" s="105" t="s">
        <v>136</v>
      </c>
      <c r="O12" s="108">
        <v>0.19679633867276888</v>
      </c>
      <c r="P12" s="105" t="s">
        <v>136</v>
      </c>
      <c r="Q12" s="109">
        <v>9053.5714285714294</v>
      </c>
      <c r="R12" s="105" t="s">
        <v>139</v>
      </c>
      <c r="S12" s="109">
        <v>-9706.1728395061727</v>
      </c>
      <c r="T12" s="105" t="s">
        <v>139</v>
      </c>
      <c r="U12" s="107">
        <v>0.22680412371134021</v>
      </c>
      <c r="V12" s="105" t="s">
        <v>136</v>
      </c>
      <c r="W12" s="107">
        <v>0.125</v>
      </c>
      <c r="X12" s="105" t="s">
        <v>158</v>
      </c>
      <c r="Y12" s="107">
        <v>0</v>
      </c>
      <c r="Z12" s="105" t="s">
        <v>136</v>
      </c>
      <c r="AA12" s="108">
        <v>0.24124513618677043</v>
      </c>
      <c r="AB12" s="105" t="s">
        <v>172</v>
      </c>
      <c r="AC12" s="108">
        <v>0.16129032258064516</v>
      </c>
      <c r="AD12" s="105" t="s">
        <v>158</v>
      </c>
      <c r="AE12" s="108">
        <v>0.46666666666666667</v>
      </c>
      <c r="AF12" s="105" t="s">
        <v>172</v>
      </c>
      <c r="AG12" s="108">
        <v>0.2</v>
      </c>
      <c r="AH12" s="105" t="s">
        <v>195</v>
      </c>
      <c r="AI12" s="108">
        <v>0.31578947368421051</v>
      </c>
      <c r="AJ12" s="105" t="s">
        <v>195</v>
      </c>
      <c r="AK12" s="110">
        <v>5</v>
      </c>
      <c r="AL12" s="105" t="s">
        <v>158</v>
      </c>
      <c r="AM12" s="114">
        <v>67700</v>
      </c>
      <c r="AN12" s="105" t="s">
        <v>167</v>
      </c>
      <c r="AO12" s="111">
        <v>0</v>
      </c>
    </row>
    <row r="13" spans="1:41" x14ac:dyDescent="0.4">
      <c r="A13" s="102">
        <v>11</v>
      </c>
      <c r="B13" s="103" t="s">
        <v>134</v>
      </c>
      <c r="C13" s="104">
        <v>-394.7999999999999</v>
      </c>
      <c r="D13" s="105" t="s">
        <v>158</v>
      </c>
      <c r="E13" s="121">
        <v>-9.6000000000000014</v>
      </c>
      <c r="F13" s="105" t="s">
        <v>158</v>
      </c>
      <c r="G13" s="106">
        <v>2.3199999999999998</v>
      </c>
      <c r="H13" s="105" t="s">
        <v>136</v>
      </c>
      <c r="I13" s="107">
        <v>0.17857142857142858</v>
      </c>
      <c r="J13" s="105" t="s">
        <v>136</v>
      </c>
      <c r="K13" s="107">
        <v>0.44642857142857145</v>
      </c>
      <c r="L13" s="105" t="s">
        <v>158</v>
      </c>
      <c r="M13" s="108">
        <v>0.22448979591836735</v>
      </c>
      <c r="N13" s="105" t="s">
        <v>139</v>
      </c>
      <c r="O13" s="108">
        <v>0.21456953642384105</v>
      </c>
      <c r="P13" s="105" t="s">
        <v>168</v>
      </c>
      <c r="Q13" s="109">
        <v>8000</v>
      </c>
      <c r="R13" s="105" t="s">
        <v>195</v>
      </c>
      <c r="S13" s="109">
        <v>-10025</v>
      </c>
      <c r="T13" s="105" t="s">
        <v>158</v>
      </c>
      <c r="U13" s="107">
        <v>0.24</v>
      </c>
      <c r="V13" s="105" t="s">
        <v>158</v>
      </c>
      <c r="W13" s="107">
        <v>0.08</v>
      </c>
      <c r="X13" s="105" t="s">
        <v>167</v>
      </c>
      <c r="Y13" s="107">
        <v>0</v>
      </c>
      <c r="Z13" s="105" t="s">
        <v>135</v>
      </c>
      <c r="AA13" s="108">
        <v>0.22674418604651161</v>
      </c>
      <c r="AB13" s="105" t="s">
        <v>195</v>
      </c>
      <c r="AC13" s="108">
        <v>0.12</v>
      </c>
      <c r="AD13" s="105" t="s">
        <v>136</v>
      </c>
      <c r="AE13" s="108">
        <v>0.43548387096774194</v>
      </c>
      <c r="AF13" s="105" t="s">
        <v>138</v>
      </c>
      <c r="AG13" s="108">
        <v>0.15625</v>
      </c>
      <c r="AH13" s="105" t="s">
        <v>172</v>
      </c>
      <c r="AI13" s="108">
        <v>0.3</v>
      </c>
      <c r="AJ13" s="105" t="s">
        <v>172</v>
      </c>
      <c r="AK13" s="110">
        <v>3</v>
      </c>
      <c r="AL13" s="105" t="s">
        <v>172</v>
      </c>
      <c r="AM13" s="114">
        <v>57800</v>
      </c>
      <c r="AN13" s="105" t="s">
        <v>168</v>
      </c>
      <c r="AO13" s="111">
        <v>0</v>
      </c>
    </row>
    <row r="14" spans="1:41" x14ac:dyDescent="0.4">
      <c r="A14" s="102">
        <v>12</v>
      </c>
      <c r="B14" s="103" t="s">
        <v>139</v>
      </c>
      <c r="C14" s="104">
        <v>-449.89999999999992</v>
      </c>
      <c r="D14" s="105" t="s">
        <v>172</v>
      </c>
      <c r="E14" s="121">
        <v>-17.28</v>
      </c>
      <c r="F14" s="105" t="s">
        <v>168</v>
      </c>
      <c r="G14" s="106">
        <v>2.3333333333333335</v>
      </c>
      <c r="H14" s="105" t="s">
        <v>167</v>
      </c>
      <c r="I14" s="107">
        <v>0</v>
      </c>
      <c r="J14" s="105" t="s">
        <v>158</v>
      </c>
      <c r="K14" s="107">
        <v>0.52</v>
      </c>
      <c r="L14" s="105" t="s">
        <v>168</v>
      </c>
      <c r="M14" s="108">
        <v>0.1875</v>
      </c>
      <c r="N14" s="105" t="s">
        <v>172</v>
      </c>
      <c r="O14" s="108">
        <v>0.21621621621621623</v>
      </c>
      <c r="P14" s="105" t="s">
        <v>167</v>
      </c>
      <c r="Q14" s="109">
        <v>7800</v>
      </c>
      <c r="R14" s="105" t="s">
        <v>168</v>
      </c>
      <c r="S14" s="109">
        <v>-12000</v>
      </c>
      <c r="T14" s="105" t="s">
        <v>172</v>
      </c>
      <c r="U14" s="107">
        <v>0.4</v>
      </c>
      <c r="V14" s="105" t="s">
        <v>167</v>
      </c>
      <c r="W14" s="107">
        <v>0</v>
      </c>
      <c r="X14" s="105" t="s">
        <v>168</v>
      </c>
      <c r="Y14" s="107">
        <v>0</v>
      </c>
      <c r="Z14" s="105" t="s">
        <v>158</v>
      </c>
      <c r="AA14" s="108">
        <v>0.15306122448979592</v>
      </c>
      <c r="AB14" s="105" t="s">
        <v>167</v>
      </c>
      <c r="AC14" s="108">
        <v>0</v>
      </c>
      <c r="AD14" s="105" t="s">
        <v>168</v>
      </c>
      <c r="AE14" s="108">
        <v>0.2</v>
      </c>
      <c r="AF14" s="105" t="s">
        <v>167</v>
      </c>
      <c r="AG14" s="108">
        <v>0</v>
      </c>
      <c r="AH14" s="105" t="s">
        <v>158</v>
      </c>
      <c r="AI14" s="108">
        <v>0.29545454545454547</v>
      </c>
      <c r="AJ14" s="105" t="s">
        <v>168</v>
      </c>
      <c r="AK14" s="110">
        <v>2</v>
      </c>
      <c r="AL14" s="105" t="s">
        <v>168</v>
      </c>
      <c r="AM14" s="114">
        <v>42000</v>
      </c>
      <c r="AN14" s="105" t="s">
        <v>172</v>
      </c>
      <c r="AO14" s="111">
        <v>0</v>
      </c>
    </row>
    <row r="15" spans="1:41" x14ac:dyDescent="0.4">
      <c r="A15" s="102">
        <v>13</v>
      </c>
      <c r="B15" s="103" t="s">
        <v>136</v>
      </c>
      <c r="C15" s="104">
        <v>-502.59999999999991</v>
      </c>
      <c r="D15" s="105" t="s">
        <v>167</v>
      </c>
      <c r="E15" s="121">
        <v>-33.024999999999999</v>
      </c>
      <c r="F15" s="105" t="s">
        <v>167</v>
      </c>
      <c r="G15" s="106">
        <v>3</v>
      </c>
      <c r="H15" s="105" t="s">
        <v>168</v>
      </c>
      <c r="I15" s="107">
        <v>0</v>
      </c>
      <c r="J15" s="105" t="s">
        <v>167</v>
      </c>
      <c r="K15" s="107">
        <v>1</v>
      </c>
      <c r="L15" s="105" t="s">
        <v>167</v>
      </c>
      <c r="M15" s="108">
        <v>0.04</v>
      </c>
      <c r="N15" s="105" t="s">
        <v>167</v>
      </c>
      <c r="O15" s="108">
        <v>0.4</v>
      </c>
      <c r="P15" s="105" t="s">
        <v>172</v>
      </c>
      <c r="Q15" s="109">
        <v>7100</v>
      </c>
      <c r="R15" s="105" t="s">
        <v>172</v>
      </c>
      <c r="S15" s="109">
        <v>-12487.5</v>
      </c>
      <c r="T15" s="105" t="s">
        <v>167</v>
      </c>
      <c r="U15" s="107">
        <v>0.5</v>
      </c>
      <c r="V15" s="105" t="s">
        <v>168</v>
      </c>
      <c r="W15" s="107">
        <v>0</v>
      </c>
      <c r="X15" s="105" t="s">
        <v>195</v>
      </c>
      <c r="Y15" s="107">
        <v>0</v>
      </c>
      <c r="Z15" s="105" t="s">
        <v>167</v>
      </c>
      <c r="AA15" s="108">
        <v>0</v>
      </c>
      <c r="AB15" s="105" t="s">
        <v>168</v>
      </c>
      <c r="AC15" s="108">
        <v>0</v>
      </c>
      <c r="AD15" s="105" t="s">
        <v>167</v>
      </c>
      <c r="AE15" s="108">
        <v>0</v>
      </c>
      <c r="AF15" s="105" t="s">
        <v>168</v>
      </c>
      <c r="AG15" s="108">
        <v>0</v>
      </c>
      <c r="AH15" s="105" t="s">
        <v>168</v>
      </c>
      <c r="AI15" s="108">
        <v>0</v>
      </c>
      <c r="AJ15" s="105" t="s">
        <v>167</v>
      </c>
      <c r="AK15" s="110">
        <v>0</v>
      </c>
      <c r="AL15" s="105" t="s">
        <v>167</v>
      </c>
      <c r="AM15" s="114">
        <v>13000</v>
      </c>
      <c r="AN15" s="105" t="s">
        <v>195</v>
      </c>
      <c r="AO15" s="111">
        <v>0</v>
      </c>
    </row>
  </sheetData>
  <sortState ref="AN3:AO47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9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696</v>
      </c>
      <c r="C2" s="144"/>
      <c r="E2" s="80" t="s">
        <v>71</v>
      </c>
      <c r="F2" s="76" t="s">
        <v>25</v>
      </c>
      <c r="G2" s="63">
        <v>1030</v>
      </c>
      <c r="H2" s="45">
        <f>IF(B$27=0,0,G2/B$27)</f>
        <v>0.87585034013605445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-14.619883040935672</v>
      </c>
      <c r="P2" s="59">
        <v>-10000</v>
      </c>
      <c r="Q2" s="57">
        <v>684</v>
      </c>
    </row>
    <row r="3" spans="1:17" x14ac:dyDescent="0.4">
      <c r="A3" s="72" t="s">
        <v>8</v>
      </c>
      <c r="B3" s="149">
        <v>5316</v>
      </c>
      <c r="C3" s="150"/>
      <c r="E3" s="81" t="s">
        <v>69</v>
      </c>
      <c r="F3" s="77" t="s">
        <v>23</v>
      </c>
      <c r="G3" s="64">
        <v>847</v>
      </c>
      <c r="H3" s="47">
        <f>IF(B$27=0,0,G3/B$27)</f>
        <v>0.72023809523809523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657</v>
      </c>
    </row>
    <row r="4" spans="1:17" x14ac:dyDescent="0.4">
      <c r="A4" s="72" t="s">
        <v>6</v>
      </c>
      <c r="B4" s="151">
        <v>-4.9999999999999432</v>
      </c>
      <c r="C4" s="152"/>
      <c r="E4" s="81" t="s">
        <v>76</v>
      </c>
      <c r="F4" s="77" t="s">
        <v>29</v>
      </c>
      <c r="G4" s="64">
        <v>669</v>
      </c>
      <c r="H4" s="47">
        <f>IF(B$27=0,0,G4/B$27)</f>
        <v>0.56887755102040816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6.5359477124183005</v>
      </c>
      <c r="P4" s="60">
        <v>4000</v>
      </c>
      <c r="Q4" s="55">
        <v>612</v>
      </c>
    </row>
    <row r="5" spans="1:17" x14ac:dyDescent="0.4">
      <c r="A5" s="72" t="s">
        <v>7</v>
      </c>
      <c r="B5" s="153">
        <f>IF(B$2=0,0,B$4/B$2)</f>
        <v>-7.1839080459769299E-3</v>
      </c>
      <c r="C5" s="154"/>
      <c r="E5" s="81" t="s">
        <v>67</v>
      </c>
      <c r="F5" s="77" t="s">
        <v>21</v>
      </c>
      <c r="G5" s="64">
        <v>659</v>
      </c>
      <c r="H5" s="47">
        <f>IF(B$27=0,0,G5/B$27)</f>
        <v>0.56037414965986398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0</v>
      </c>
      <c r="P5" s="60">
        <v>0</v>
      </c>
      <c r="Q5" s="55">
        <v>549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382</v>
      </c>
      <c r="H6" s="47">
        <f>IF(B$27=0,0,G6/B$27)</f>
        <v>0.32482993197278914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8.4925690021231421</v>
      </c>
      <c r="P6" s="60">
        <v>4000</v>
      </c>
      <c r="Q6" s="55">
        <v>471</v>
      </c>
    </row>
    <row r="7" spans="1:17" x14ac:dyDescent="0.4">
      <c r="A7" s="72" t="s">
        <v>2</v>
      </c>
      <c r="B7" s="64">
        <v>232</v>
      </c>
      <c r="C7" s="47">
        <f>IF(B$2=0,0,B7/B$2)</f>
        <v>0.33333333333333331</v>
      </c>
      <c r="E7" s="81" t="s">
        <v>72</v>
      </c>
      <c r="F7" s="77" t="s">
        <v>12</v>
      </c>
      <c r="G7" s="64">
        <v>366</v>
      </c>
      <c r="H7" s="47">
        <f>IF(B$27=0,0,G7/B$27)</f>
        <v>0.31122448979591838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</v>
      </c>
      <c r="P7" s="61">
        <v>-3000</v>
      </c>
      <c r="Q7" s="56">
        <v>375</v>
      </c>
    </row>
    <row r="8" spans="1:17" x14ac:dyDescent="0.4">
      <c r="A8" s="72" t="s">
        <v>3</v>
      </c>
      <c r="B8" s="64">
        <v>232</v>
      </c>
      <c r="C8" s="47">
        <f>IF(B$2=0,0,B8/B$2)</f>
        <v>0.33333333333333331</v>
      </c>
      <c r="E8" s="81" t="s">
        <v>94</v>
      </c>
      <c r="F8" s="77" t="s">
        <v>47</v>
      </c>
      <c r="G8" s="64">
        <v>178</v>
      </c>
      <c r="H8" s="47">
        <f>IF(B$27=0,0,G8/B$27)</f>
        <v>0.15136054421768708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232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173</v>
      </c>
      <c r="H9" s="47">
        <f>IF(B$27=0,0,G9/B$27)</f>
        <v>0.14710884353741496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112</v>
      </c>
      <c r="C10" s="48">
        <f>IF(B$2=0,0,B10/B$2)</f>
        <v>0.16091954022988506</v>
      </c>
      <c r="E10" s="81" t="s">
        <v>68</v>
      </c>
      <c r="F10" s="77" t="s">
        <v>22</v>
      </c>
      <c r="G10" s="64">
        <v>140</v>
      </c>
      <c r="H10" s="47">
        <f>IF(B$27=0,0,G10/B$27)</f>
        <v>0.11904761904761904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112</v>
      </c>
      <c r="C11" s="48">
        <f>IF(B$2=0,0,B11/B$2)</f>
        <v>0.16091954022988506</v>
      </c>
      <c r="E11" s="81" t="s">
        <v>74</v>
      </c>
      <c r="F11" s="77" t="s">
        <v>27</v>
      </c>
      <c r="G11" s="64">
        <v>117</v>
      </c>
      <c r="H11" s="47">
        <f>IF(B$27=0,0,G11/B$27)</f>
        <v>9.9489795918367346E-2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59</v>
      </c>
      <c r="C12" s="51">
        <f>IF(B$2=0,0,B12/B$2)</f>
        <v>8.4770114942528729E-2</v>
      </c>
      <c r="E12" s="81" t="s">
        <v>91</v>
      </c>
      <c r="F12" s="77" t="s">
        <v>44</v>
      </c>
      <c r="G12" s="64">
        <v>78</v>
      </c>
      <c r="H12" s="47">
        <f>IF(B$27=0,0,G12/B$27)</f>
        <v>6.6326530612244902E-2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1136</v>
      </c>
      <c r="C13" s="54">
        <f>IF(B$26=0,0,B13/B$26)</f>
        <v>0.29128205128205126</v>
      </c>
      <c r="E13" s="81" t="s">
        <v>75</v>
      </c>
      <c r="F13" s="77" t="s">
        <v>28</v>
      </c>
      <c r="G13" s="64">
        <v>55</v>
      </c>
      <c r="H13" s="47">
        <f>IF(B$27=0,0,G13/B$27)</f>
        <v>4.6768707482993201E-2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854</v>
      </c>
      <c r="C14" s="47">
        <f>IF(B$26=0,0,B14/B$26)</f>
        <v>0.21897435897435896</v>
      </c>
      <c r="E14" s="81" t="s">
        <v>88</v>
      </c>
      <c r="F14" s="77" t="s">
        <v>41</v>
      </c>
      <c r="G14" s="64">
        <v>55</v>
      </c>
      <c r="H14" s="47">
        <f>IF(B$27=0,0,G14/B$27)</f>
        <v>4.6768707482993201E-2</v>
      </c>
      <c r="I14" s="117">
        <v>4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670</v>
      </c>
      <c r="C15" s="45">
        <f>IF(B$13=0,0,B15/B$13)</f>
        <v>0.58978873239436624</v>
      </c>
      <c r="E15" s="81" t="s">
        <v>82</v>
      </c>
      <c r="F15" s="77" t="s">
        <v>35</v>
      </c>
      <c r="G15" s="64">
        <v>36</v>
      </c>
      <c r="H15" s="47">
        <f>IF(B$27=0,0,G15/B$27)</f>
        <v>3.0612244897959183E-2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6.9520618556701006</v>
      </c>
      <c r="P15" s="131">
        <v>1348.6999999999996</v>
      </c>
      <c r="Q15" s="55">
        <v>194</v>
      </c>
    </row>
    <row r="16" spans="1:17" x14ac:dyDescent="0.4">
      <c r="A16" s="71" t="s">
        <v>131</v>
      </c>
      <c r="B16" s="63">
        <v>333</v>
      </c>
      <c r="C16" s="45">
        <f>IF(B$14=0,0,B16/B$14)</f>
        <v>0.38992974238875877</v>
      </c>
      <c r="E16" s="81" t="s">
        <v>86</v>
      </c>
      <c r="F16" s="77" t="s">
        <v>39</v>
      </c>
      <c r="G16" s="64">
        <v>34</v>
      </c>
      <c r="H16" s="47">
        <f>IF(B$27=0,0,G16/B$27)</f>
        <v>2.8911564625850341E-2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4.9596638655462169</v>
      </c>
      <c r="P16" s="131">
        <v>1180.3999999999996</v>
      </c>
      <c r="Q16" s="55">
        <v>238</v>
      </c>
    </row>
    <row r="17" spans="1:17" x14ac:dyDescent="0.4">
      <c r="A17" s="71" t="s">
        <v>10</v>
      </c>
      <c r="B17" s="63">
        <f>B19+B18</f>
        <v>1610</v>
      </c>
      <c r="C17" s="45">
        <f>IF(B$3=0,0,B17/B$3)</f>
        <v>0.30285929270127915</v>
      </c>
      <c r="E17" s="81" t="s">
        <v>96</v>
      </c>
      <c r="F17" s="77" t="s">
        <v>49</v>
      </c>
      <c r="G17" s="64">
        <v>20</v>
      </c>
      <c r="H17" s="47">
        <f>IF(B$27=0,0,G17/B$27)</f>
        <v>1.7006802721088437E-2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675</v>
      </c>
      <c r="C18" s="47">
        <f>IF(B$17=0,0,B18/B$17)</f>
        <v>0.41925465838509318</v>
      </c>
      <c r="E18" s="81" t="s">
        <v>83</v>
      </c>
      <c r="F18" s="77" t="s">
        <v>36</v>
      </c>
      <c r="G18" s="64">
        <v>14</v>
      </c>
      <c r="H18" s="47">
        <f>IF(B$27=0,0,G18/B$27)</f>
        <v>1.1904761904761904E-2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-3.5236842105263135</v>
      </c>
      <c r="P18" s="131">
        <v>-669.49999999999955</v>
      </c>
      <c r="Q18" s="55">
        <v>190</v>
      </c>
    </row>
    <row r="19" spans="1:17" x14ac:dyDescent="0.4">
      <c r="A19" s="72" t="s">
        <v>11</v>
      </c>
      <c r="B19" s="64">
        <v>935</v>
      </c>
      <c r="C19" s="47">
        <f>IF(B$17=0,0,B19/B$17)</f>
        <v>0.58074534161490687</v>
      </c>
      <c r="E19" s="81" t="s">
        <v>77</v>
      </c>
      <c r="F19" s="77" t="s">
        <v>30</v>
      </c>
      <c r="G19" s="64">
        <v>9</v>
      </c>
      <c r="H19" s="47">
        <f>IF(B$27=0,0,G19/B$27)</f>
        <v>7.6530612244897957E-3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916</v>
      </c>
      <c r="C20" s="47">
        <f>IF(B$3=0,0,B20/B$3)</f>
        <v>0.17231000752445447</v>
      </c>
      <c r="E20" s="81" t="s">
        <v>79</v>
      </c>
      <c r="F20" s="77" t="s">
        <v>32</v>
      </c>
      <c r="G20" s="64">
        <v>9</v>
      </c>
      <c r="H20" s="47">
        <f>IF(B$27=0,0,G20/B$27)</f>
        <v>7.6530612244897957E-3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-9.2418719211822626</v>
      </c>
      <c r="P20" s="131">
        <v>-3752.1999999999989</v>
      </c>
      <c r="Q20" s="55">
        <v>406</v>
      </c>
    </row>
    <row r="21" spans="1:17" x14ac:dyDescent="0.4">
      <c r="A21" s="72" t="s">
        <v>5</v>
      </c>
      <c r="B21" s="68">
        <f>IF(B$17=0,0,C21/B$17)</f>
        <v>10237.329192546584</v>
      </c>
      <c r="C21" s="49">
        <v>16482100</v>
      </c>
      <c r="E21" s="81" t="s">
        <v>81</v>
      </c>
      <c r="F21" s="77" t="s">
        <v>34</v>
      </c>
      <c r="G21" s="64">
        <v>8</v>
      </c>
      <c r="H21" s="47">
        <f>IF(B$27=0,0,G21/B$27)</f>
        <v>6.8027210884353739E-3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-9389.3013100436674</v>
      </c>
      <c r="C22" s="62">
        <v>-8600600</v>
      </c>
      <c r="E22" s="81" t="s">
        <v>97</v>
      </c>
      <c r="F22" s="77" t="s">
        <v>50</v>
      </c>
      <c r="G22" s="64">
        <v>7</v>
      </c>
      <c r="H22" s="47">
        <f>IF(B$27=0,0,G22/B$27)</f>
        <v>5.9523809523809521E-3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39">
        <v>10</v>
      </c>
      <c r="C23" s="140"/>
      <c r="E23" s="81" t="s">
        <v>90</v>
      </c>
      <c r="F23" s="77" t="s">
        <v>43</v>
      </c>
      <c r="G23" s="64">
        <v>5</v>
      </c>
      <c r="H23" s="47">
        <f>IF(B$27=0,0,G23/B$27)</f>
        <v>4.2517006802721092E-3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37">
        <v>124700</v>
      </c>
      <c r="C24" s="138"/>
      <c r="E24" s="81" t="s">
        <v>98</v>
      </c>
      <c r="F24" s="77" t="s">
        <v>51</v>
      </c>
      <c r="G24" s="64">
        <v>4</v>
      </c>
      <c r="H24" s="47">
        <f>IF(B$27=0,0,G24/B$27)</f>
        <v>3.4013605442176869E-3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3.5741158765989467E-3</v>
      </c>
      <c r="E25" s="81" t="s">
        <v>89</v>
      </c>
      <c r="F25" s="77" t="s">
        <v>42</v>
      </c>
      <c r="G25" s="64">
        <v>3</v>
      </c>
      <c r="H25" s="47">
        <f>IF(B$27=0,0,G25/B$27)</f>
        <v>2.5510204081632651E-3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43">
        <v>3900</v>
      </c>
      <c r="C26" s="144"/>
      <c r="E26" s="81" t="s">
        <v>92</v>
      </c>
      <c r="F26" s="77" t="s">
        <v>45</v>
      </c>
      <c r="G26" s="64">
        <v>3</v>
      </c>
      <c r="H26" s="47">
        <f>IF(B$27=0,0,G26/B$27)</f>
        <v>2.5510204081632651E-3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45">
        <v>1176</v>
      </c>
      <c r="C27" s="146"/>
      <c r="E27" s="81" t="s">
        <v>78</v>
      </c>
      <c r="F27" s="77" t="s">
        <v>31</v>
      </c>
      <c r="G27" s="64">
        <v>2</v>
      </c>
      <c r="H27" s="47">
        <f>IF(B$27=0,0,G27/B$27)</f>
        <v>1.7006802721088435E-3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8.5034013605442174E-4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8.5034013605442174E-4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8.5034013605442174E-4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8.5034013605442174E-4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8.5034013605442174E-4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203</v>
      </c>
      <c r="C2" s="144"/>
      <c r="E2" s="80" t="s">
        <v>71</v>
      </c>
      <c r="F2" s="76" t="s">
        <v>25</v>
      </c>
      <c r="G2" s="63">
        <v>338</v>
      </c>
      <c r="H2" s="45">
        <f>IF(B$27=0,0,G2/B$27)</f>
        <v>0.88481675392670156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1332.1608040201006</v>
      </c>
      <c r="P2" s="59">
        <v>265100</v>
      </c>
      <c r="Q2" s="57">
        <v>199</v>
      </c>
    </row>
    <row r="3" spans="1:17" x14ac:dyDescent="0.4">
      <c r="A3" s="72" t="s">
        <v>8</v>
      </c>
      <c r="B3" s="149">
        <v>1528</v>
      </c>
      <c r="C3" s="150"/>
      <c r="E3" s="81" t="s">
        <v>69</v>
      </c>
      <c r="F3" s="77" t="s">
        <v>23</v>
      </c>
      <c r="G3" s="64">
        <v>252</v>
      </c>
      <c r="H3" s="47">
        <f>IF(B$27=0,0,G3/B$27)</f>
        <v>0.65968586387434558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0"/>
        <v>346.07329842931938</v>
      </c>
      <c r="P3" s="60">
        <v>66100</v>
      </c>
      <c r="Q3" s="55">
        <v>191</v>
      </c>
    </row>
    <row r="4" spans="1:17" x14ac:dyDescent="0.4">
      <c r="A4" s="72" t="s">
        <v>6</v>
      </c>
      <c r="B4" s="151">
        <v>1249.4000000000001</v>
      </c>
      <c r="C4" s="152"/>
      <c r="E4" s="81" t="s">
        <v>67</v>
      </c>
      <c r="F4" s="77" t="s">
        <v>21</v>
      </c>
      <c r="G4" s="64">
        <v>212</v>
      </c>
      <c r="H4" s="47">
        <f>IF(B$27=0,0,G4/B$27)</f>
        <v>0.55497382198952883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1342.9378531073446</v>
      </c>
      <c r="P4" s="60">
        <v>237700</v>
      </c>
      <c r="Q4" s="55">
        <v>177</v>
      </c>
    </row>
    <row r="5" spans="1:17" x14ac:dyDescent="0.4">
      <c r="A5" s="72" t="s">
        <v>7</v>
      </c>
      <c r="B5" s="153">
        <f>IF(B$2=0,0,B$4/B$2)</f>
        <v>6.1546798029556653</v>
      </c>
      <c r="C5" s="154"/>
      <c r="E5" s="81" t="s">
        <v>76</v>
      </c>
      <c r="F5" s="77" t="s">
        <v>29</v>
      </c>
      <c r="G5" s="64">
        <v>203</v>
      </c>
      <c r="H5" s="47">
        <f>IF(B$27=0,0,G5/B$27)</f>
        <v>0.53141361256544506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1269.182389937107</v>
      </c>
      <c r="P5" s="60">
        <v>201800</v>
      </c>
      <c r="Q5" s="55">
        <v>159</v>
      </c>
    </row>
    <row r="6" spans="1:17" x14ac:dyDescent="0.4">
      <c r="A6" s="72" t="s">
        <v>1</v>
      </c>
      <c r="B6" s="141">
        <f>IF(B$2=0,0,(B$7*1+B$8*2+B$9*3)/B$2)</f>
        <v>1.7980295566502462</v>
      </c>
      <c r="C6" s="142"/>
      <c r="E6" s="81" t="s">
        <v>70</v>
      </c>
      <c r="F6" s="77" t="s">
        <v>24</v>
      </c>
      <c r="G6" s="64">
        <v>117</v>
      </c>
      <c r="H6" s="47">
        <f>IF(B$27=0,0,G6/B$27)</f>
        <v>0.30628272251308902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1905.1094890510949</v>
      </c>
      <c r="P6" s="60">
        <v>261000</v>
      </c>
      <c r="Q6" s="55">
        <v>137</v>
      </c>
    </row>
    <row r="7" spans="1:17" x14ac:dyDescent="0.4">
      <c r="A7" s="72" t="s">
        <v>2</v>
      </c>
      <c r="B7" s="64">
        <v>86</v>
      </c>
      <c r="C7" s="47">
        <f>IF(B$2=0,0,B7/B$2)</f>
        <v>0.42364532019704432</v>
      </c>
      <c r="E7" s="81" t="s">
        <v>72</v>
      </c>
      <c r="F7" s="77" t="s">
        <v>12</v>
      </c>
      <c r="G7" s="64">
        <v>110</v>
      </c>
      <c r="H7" s="47">
        <f>IF(B$27=0,0,G7/B$27)</f>
        <v>0.2879581151832461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1682.4074074074074</v>
      </c>
      <c r="P7" s="61">
        <v>181700</v>
      </c>
      <c r="Q7" s="56">
        <v>108</v>
      </c>
    </row>
    <row r="8" spans="1:17" x14ac:dyDescent="0.4">
      <c r="A8" s="72" t="s">
        <v>3</v>
      </c>
      <c r="B8" s="64">
        <v>72</v>
      </c>
      <c r="C8" s="47">
        <f>IF(B$2=0,0,B8/B$2)</f>
        <v>0.35467980295566504</v>
      </c>
      <c r="E8" s="81" t="s">
        <v>94</v>
      </c>
      <c r="F8" s="77" t="s">
        <v>47</v>
      </c>
      <c r="G8" s="64">
        <v>68</v>
      </c>
      <c r="H8" s="47">
        <f>IF(B$27=0,0,G8/B$27)</f>
        <v>0.17801047120418848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45</v>
      </c>
      <c r="C9" s="48">
        <f t="shared" ref="C9" si="1">IF(B$2=0,0,B9/B$2)</f>
        <v>0.22167487684729065</v>
      </c>
      <c r="E9" s="81" t="s">
        <v>73</v>
      </c>
      <c r="F9" s="77" t="s">
        <v>26</v>
      </c>
      <c r="G9" s="64">
        <v>57</v>
      </c>
      <c r="H9" s="47">
        <f>IF(B$27=0,0,G9/B$27)</f>
        <v>0.14921465968586387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0.10344827586206896</v>
      </c>
      <c r="E10" s="81" t="s">
        <v>68</v>
      </c>
      <c r="F10" s="77" t="s">
        <v>22</v>
      </c>
      <c r="G10" s="64">
        <v>41</v>
      </c>
      <c r="H10" s="47">
        <f>IF(B$27=0,0,G10/B$27)</f>
        <v>0.10732984293193717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0.2019704433497537</v>
      </c>
      <c r="E11" s="81" t="s">
        <v>74</v>
      </c>
      <c r="F11" s="77" t="s">
        <v>27</v>
      </c>
      <c r="G11" s="64">
        <v>31</v>
      </c>
      <c r="H11" s="47">
        <f>IF(B$27=0,0,G11/B$27)</f>
        <v>8.1151832460732987E-2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9.8522167487684734E-2</v>
      </c>
      <c r="E12" s="81" t="s">
        <v>75</v>
      </c>
      <c r="F12" s="77" t="s">
        <v>28</v>
      </c>
      <c r="G12" s="64">
        <v>24</v>
      </c>
      <c r="H12" s="47">
        <f>IF(B$27=0,0,G12/B$27)</f>
        <v>6.2827225130890049E-2</v>
      </c>
      <c r="I12" s="117">
        <v>3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326</v>
      </c>
      <c r="C13" s="54">
        <f>IF(B$26=0,0,B13/B$26)</f>
        <v>0.30410447761194032</v>
      </c>
      <c r="E13" s="81" t="s">
        <v>91</v>
      </c>
      <c r="F13" s="77" t="s">
        <v>44</v>
      </c>
      <c r="G13" s="64">
        <v>24</v>
      </c>
      <c r="H13" s="47">
        <f>IF(B$27=0,0,G13/B$27)</f>
        <v>6.2827225130890049E-2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220</v>
      </c>
      <c r="C14" s="47">
        <f>IF(B$26=0,0,B14/B$26)</f>
        <v>0.20522388059701493</v>
      </c>
      <c r="E14" s="81" t="s">
        <v>88</v>
      </c>
      <c r="F14" s="77" t="s">
        <v>41</v>
      </c>
      <c r="G14" s="64">
        <v>12</v>
      </c>
      <c r="H14" s="47">
        <f>IF(B$27=0,0,G14/B$27)</f>
        <v>3.1413612565445025E-2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12.691025641025643</v>
      </c>
      <c r="P14" s="131">
        <v>989.90000000000009</v>
      </c>
      <c r="Q14" s="55">
        <v>78</v>
      </c>
    </row>
    <row r="15" spans="1:17" x14ac:dyDescent="0.4">
      <c r="A15" s="71" t="s">
        <v>130</v>
      </c>
      <c r="B15" s="63">
        <v>214</v>
      </c>
      <c r="C15" s="45">
        <f>IF(B$13=0,0,B15/B$13)</f>
        <v>0.65644171779141103</v>
      </c>
      <c r="E15" s="81" t="s">
        <v>86</v>
      </c>
      <c r="F15" s="77" t="s">
        <v>39</v>
      </c>
      <c r="G15" s="64">
        <v>9</v>
      </c>
      <c r="H15" s="47">
        <f>IF(B$27=0,0,G15/B$27)</f>
        <v>2.356020942408377E-2</v>
      </c>
      <c r="I15" s="117">
        <v>6</v>
      </c>
      <c r="K15" s="46">
        <v>13</v>
      </c>
      <c r="L15" s="123">
        <v>71.300000000000011</v>
      </c>
      <c r="N15" s="46" t="s">
        <v>168</v>
      </c>
      <c r="O15" s="125">
        <f>IF(Q15=0,0,P15/Q15)</f>
        <v>8</v>
      </c>
      <c r="P15" s="131">
        <v>8</v>
      </c>
      <c r="Q15" s="55">
        <v>1</v>
      </c>
    </row>
    <row r="16" spans="1:17" x14ac:dyDescent="0.4">
      <c r="A16" s="71" t="s">
        <v>131</v>
      </c>
      <c r="B16" s="63">
        <v>104</v>
      </c>
      <c r="C16" s="45">
        <f>IF(B$14=0,0,B16/B$14)</f>
        <v>0.47272727272727272</v>
      </c>
      <c r="E16" s="81" t="s">
        <v>82</v>
      </c>
      <c r="F16" s="77" t="s">
        <v>35</v>
      </c>
      <c r="G16" s="64">
        <v>6</v>
      </c>
      <c r="H16" s="47">
        <f>IF(B$27=0,0,G16/B$27)</f>
        <v>1.5706806282722512E-2</v>
      </c>
      <c r="I16" s="117">
        <v>9</v>
      </c>
      <c r="K16" s="46">
        <v>14</v>
      </c>
      <c r="L16" s="123">
        <v>27.300000000000011</v>
      </c>
      <c r="N16" s="46" t="s">
        <v>134</v>
      </c>
      <c r="O16" s="125">
        <f>IF(Q16=0,0,P16/Q16)</f>
        <v>7.8215686274509757</v>
      </c>
      <c r="P16" s="131">
        <v>797.7999999999995</v>
      </c>
      <c r="Q16" s="55">
        <v>102</v>
      </c>
    </row>
    <row r="17" spans="1:17" x14ac:dyDescent="0.4">
      <c r="A17" s="71" t="s">
        <v>10</v>
      </c>
      <c r="B17" s="63">
        <f>B19+B18</f>
        <v>538</v>
      </c>
      <c r="C17" s="45">
        <f>IF(B$3=0,0,B17/B$3)</f>
        <v>0.35209424083769636</v>
      </c>
      <c r="E17" s="81" t="s">
        <v>96</v>
      </c>
      <c r="F17" s="77" t="s">
        <v>49</v>
      </c>
      <c r="G17" s="64">
        <v>5</v>
      </c>
      <c r="H17" s="47">
        <f>IF(B$27=0,0,G17/B$27)</f>
        <v>1.3089005235602094E-2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203</v>
      </c>
      <c r="C18" s="47">
        <f>IF(B$17=0,0,B18/B$17)</f>
        <v>0.37732342007434944</v>
      </c>
      <c r="E18" s="81" t="s">
        <v>79</v>
      </c>
      <c r="F18" s="77" t="s">
        <v>32</v>
      </c>
      <c r="G18" s="64">
        <v>4</v>
      </c>
      <c r="H18" s="47">
        <f>IF(B$27=0,0,G18/B$27)</f>
        <v>1.0471204188481676E-2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2.1862499999999998</v>
      </c>
      <c r="P18" s="131">
        <v>174.89999999999998</v>
      </c>
      <c r="Q18" s="55">
        <v>80</v>
      </c>
    </row>
    <row r="19" spans="1:17" x14ac:dyDescent="0.4">
      <c r="A19" s="72" t="s">
        <v>11</v>
      </c>
      <c r="B19" s="64">
        <v>335</v>
      </c>
      <c r="C19" s="47">
        <f>IF(B$17=0,0,B19/B$17)</f>
        <v>0.62267657992565051</v>
      </c>
      <c r="E19" s="81" t="s">
        <v>81</v>
      </c>
      <c r="F19" s="77" t="s">
        <v>34</v>
      </c>
      <c r="G19" s="64">
        <v>4</v>
      </c>
      <c r="H19" s="47">
        <f>IF(B$27=0,0,G19/B$27)</f>
        <v>1.0471204188481676E-2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219</v>
      </c>
      <c r="C20" s="47">
        <f>IF(B$3=0,0,B20/B$3)</f>
        <v>0.14332460732984292</v>
      </c>
      <c r="E20" s="81" t="s">
        <v>77</v>
      </c>
      <c r="F20" s="77" t="s">
        <v>30</v>
      </c>
      <c r="G20" s="64">
        <v>3</v>
      </c>
      <c r="H20" s="47">
        <f>IF(B$27=0,0,G20/B$27)</f>
        <v>7.8534031413612562E-3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9949.2565055762079</v>
      </c>
      <c r="C21" s="49">
        <v>5352700</v>
      </c>
      <c r="E21" s="81" t="s">
        <v>83</v>
      </c>
      <c r="F21" s="77" t="s">
        <v>36</v>
      </c>
      <c r="G21" s="64">
        <v>3</v>
      </c>
      <c r="H21" s="47">
        <f>IF(B$27=0,0,G21/B$27)</f>
        <v>7.8534031413612562E-3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-9351.5981735159821</v>
      </c>
      <c r="C22" s="62">
        <v>-2048000</v>
      </c>
      <c r="E22" s="81" t="s">
        <v>97</v>
      </c>
      <c r="F22" s="77" t="s">
        <v>50</v>
      </c>
      <c r="G22" s="64">
        <v>3</v>
      </c>
      <c r="H22" s="47">
        <f>IF(B$27=0,0,G22/B$27)</f>
        <v>7.8534031413612562E-3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2</v>
      </c>
      <c r="H23" s="47">
        <f>IF(B$27=0,0,G23/B$27)</f>
        <v>5.235602094240838E-3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37">
        <v>120200</v>
      </c>
      <c r="C24" s="138"/>
      <c r="E24" s="81" t="s">
        <v>78</v>
      </c>
      <c r="F24" s="77" t="s">
        <v>31</v>
      </c>
      <c r="G24" s="64">
        <v>1</v>
      </c>
      <c r="H24" s="47">
        <f>IF(B$27=0,0,G24/B$27)</f>
        <v>2.617801047120419E-3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1.3089005235602095E-3</v>
      </c>
      <c r="E25" s="81" t="s">
        <v>90</v>
      </c>
      <c r="F25" s="77" t="s">
        <v>43</v>
      </c>
      <c r="G25" s="64">
        <v>1</v>
      </c>
      <c r="H25" s="47">
        <f>IF(B$27=0,0,G25/B$27)</f>
        <v>2.617801047120419E-3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3">
        <v>1072</v>
      </c>
      <c r="C26" s="144"/>
      <c r="E26" s="81" t="s">
        <v>95</v>
      </c>
      <c r="F26" s="77" t="s">
        <v>48</v>
      </c>
      <c r="G26" s="64">
        <v>1</v>
      </c>
      <c r="H26" s="47">
        <f>IF(B$27=0,0,G26/B$27)</f>
        <v>2.617801047120419E-3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45">
        <v>382</v>
      </c>
      <c r="C27" s="146"/>
      <c r="E27" s="81" t="s">
        <v>100</v>
      </c>
      <c r="F27" s="77" t="s">
        <v>53</v>
      </c>
      <c r="G27" s="64">
        <v>1</v>
      </c>
      <c r="H27" s="47">
        <f>IF(B$27=0,0,G27/B$27)</f>
        <v>2.617801047120419E-3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2.617801047120419E-3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0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13000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0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0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2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42000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11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1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119</v>
      </c>
      <c r="C2" s="144"/>
      <c r="E2" s="80" t="s">
        <v>71</v>
      </c>
      <c r="F2" s="76" t="s">
        <v>25</v>
      </c>
      <c r="G2" s="63">
        <v>136</v>
      </c>
      <c r="H2" s="45">
        <f>IF(B$27=0,0,G2/B$27)</f>
        <v>0.7640449438202247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-376.92307692307691</v>
      </c>
      <c r="P2" s="59">
        <v>-44100</v>
      </c>
      <c r="Q2" s="57">
        <v>117</v>
      </c>
    </row>
    <row r="3" spans="1:17" x14ac:dyDescent="0.4">
      <c r="A3" s="72" t="s">
        <v>8</v>
      </c>
      <c r="B3" s="149">
        <v>926</v>
      </c>
      <c r="C3" s="150"/>
      <c r="E3" s="81" t="s">
        <v>69</v>
      </c>
      <c r="F3" s="77" t="s">
        <v>23</v>
      </c>
      <c r="G3" s="64">
        <v>124</v>
      </c>
      <c r="H3" s="47">
        <f>IF(B$27=0,0,G3/B$27)</f>
        <v>0.6966292134831461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-1461.9469026548672</v>
      </c>
      <c r="P3" s="60">
        <v>-165200</v>
      </c>
      <c r="Q3" s="55">
        <v>113</v>
      </c>
    </row>
    <row r="4" spans="1:17" x14ac:dyDescent="0.4">
      <c r="A4" s="72" t="s">
        <v>6</v>
      </c>
      <c r="B4" s="151">
        <v>-394.7999999999999</v>
      </c>
      <c r="C4" s="152"/>
      <c r="E4" s="81" t="s">
        <v>67</v>
      </c>
      <c r="F4" s="77" t="s">
        <v>21</v>
      </c>
      <c r="G4" s="64">
        <v>112</v>
      </c>
      <c r="H4" s="47">
        <f>IF(B$27=0,0,G4/B$27)</f>
        <v>0.6292134831460674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1958.1818181818182</v>
      </c>
      <c r="P4" s="60">
        <v>215400</v>
      </c>
      <c r="Q4" s="55">
        <v>110</v>
      </c>
    </row>
    <row r="5" spans="1:17" x14ac:dyDescent="0.4">
      <c r="A5" s="72" t="s">
        <v>7</v>
      </c>
      <c r="B5" s="153">
        <f>IF(B$2=0,0,B$4/B$2)</f>
        <v>-3.3176470588235287</v>
      </c>
      <c r="C5" s="154"/>
      <c r="E5" s="81" t="s">
        <v>76</v>
      </c>
      <c r="F5" s="77" t="s">
        <v>29</v>
      </c>
      <c r="G5" s="64">
        <v>93</v>
      </c>
      <c r="H5" s="47">
        <f>IF(B$27=0,0,G5/B$27)</f>
        <v>0.52247191011235961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41">
        <f>IF(B$2=0,0,(B$7*1+B$8*2+B$9*3)/B$2)</f>
        <v>2.0840336134453783</v>
      </c>
      <c r="C6" s="142"/>
      <c r="E6" s="81" t="s">
        <v>72</v>
      </c>
      <c r="F6" s="77" t="s">
        <v>12</v>
      </c>
      <c r="G6" s="64">
        <v>64</v>
      </c>
      <c r="H6" s="47">
        <f>IF(B$27=0,0,G6/B$27)</f>
        <v>0.3595505617977528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0.30252100840336132</v>
      </c>
      <c r="E7" s="81" t="s">
        <v>70</v>
      </c>
      <c r="F7" s="77" t="s">
        <v>24</v>
      </c>
      <c r="G7" s="64">
        <v>58</v>
      </c>
      <c r="H7" s="47">
        <f>IF(B$27=0,0,G7/B$27)</f>
        <v>0.3258426966292135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37</v>
      </c>
      <c r="C8" s="47">
        <f>IF(B$2=0,0,B8/B$2)</f>
        <v>0.31092436974789917</v>
      </c>
      <c r="E8" s="81" t="s">
        <v>68</v>
      </c>
      <c r="F8" s="77" t="s">
        <v>22</v>
      </c>
      <c r="G8" s="64">
        <v>29</v>
      </c>
      <c r="H8" s="47">
        <f>IF(B$27=0,0,G8/B$27)</f>
        <v>0.16292134831460675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0.38655462184873951</v>
      </c>
      <c r="E9" s="81" t="s">
        <v>94</v>
      </c>
      <c r="F9" s="77" t="s">
        <v>47</v>
      </c>
      <c r="G9" s="64">
        <v>29</v>
      </c>
      <c r="H9" s="47">
        <f>IF(B$27=0,0,G9/B$27)</f>
        <v>0.16292134831460675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0.19327731092436976</v>
      </c>
      <c r="E10" s="81" t="s">
        <v>74</v>
      </c>
      <c r="F10" s="77" t="s">
        <v>27</v>
      </c>
      <c r="G10" s="64">
        <v>27</v>
      </c>
      <c r="H10" s="47">
        <f>IF(B$27=0,0,G10/B$27)</f>
        <v>0.15168539325842698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0.13445378151260504</v>
      </c>
      <c r="E11" s="81" t="s">
        <v>73</v>
      </c>
      <c r="F11" s="77" t="s">
        <v>26</v>
      </c>
      <c r="G11" s="64">
        <v>26</v>
      </c>
      <c r="H11" s="47">
        <f>IF(B$27=0,0,G11/B$27)</f>
        <v>0.14606741573033707</v>
      </c>
      <c r="I11" s="117">
        <v>7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7.5630252100840331E-2</v>
      </c>
      <c r="E12" s="81" t="s">
        <v>91</v>
      </c>
      <c r="F12" s="77" t="s">
        <v>44</v>
      </c>
      <c r="G12" s="64">
        <v>17</v>
      </c>
      <c r="H12" s="47">
        <f>IF(B$27=0,0,G12/B$27)</f>
        <v>9.5505617977528087E-2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6.842105263157892</v>
      </c>
      <c r="P12" s="131">
        <v>259.99999999999989</v>
      </c>
      <c r="Q12" s="55">
        <v>38</v>
      </c>
    </row>
    <row r="13" spans="1:17" x14ac:dyDescent="0.4">
      <c r="A13" s="75" t="s">
        <v>128</v>
      </c>
      <c r="B13" s="67">
        <v>197</v>
      </c>
      <c r="C13" s="54">
        <f>IF(B$26=0,0,B13/B$26)</f>
        <v>0.29624060150375942</v>
      </c>
      <c r="E13" s="81" t="s">
        <v>88</v>
      </c>
      <c r="F13" s="77" t="s">
        <v>41</v>
      </c>
      <c r="G13" s="64">
        <v>15</v>
      </c>
      <c r="H13" s="47">
        <f>IF(B$27=0,0,G13/B$27)</f>
        <v>8.4269662921348312E-2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113</v>
      </c>
      <c r="C14" s="47">
        <f>IF(B$26=0,0,B14/B$26)</f>
        <v>0.1699248120300752</v>
      </c>
      <c r="E14" s="81" t="s">
        <v>86</v>
      </c>
      <c r="F14" s="77" t="s">
        <v>39</v>
      </c>
      <c r="G14" s="64">
        <v>8</v>
      </c>
      <c r="H14" s="47">
        <f>IF(B$27=0,0,G14/B$27)</f>
        <v>4.49438202247191E-2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113</v>
      </c>
      <c r="C15" s="45">
        <f>IF(B$13=0,0,B15/B$13)</f>
        <v>0.57360406091370564</v>
      </c>
      <c r="E15" s="81" t="s">
        <v>96</v>
      </c>
      <c r="F15" s="77" t="s">
        <v>49</v>
      </c>
      <c r="G15" s="64">
        <v>7</v>
      </c>
      <c r="H15" s="47">
        <f>IF(B$27=0,0,G15/B$27)</f>
        <v>3.9325842696629212E-2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0.38053097345132741</v>
      </c>
      <c r="E16" s="81" t="s">
        <v>75</v>
      </c>
      <c r="F16" s="77" t="s">
        <v>28</v>
      </c>
      <c r="G16" s="64">
        <v>5</v>
      </c>
      <c r="H16" s="47">
        <f>IF(B$27=0,0,G16/B$27)</f>
        <v>2.8089887640449437E-2</v>
      </c>
      <c r="I16" s="117">
        <v>9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239</v>
      </c>
      <c r="C17" s="45">
        <f>IF(B$3=0,0,B17/B$3)</f>
        <v>0.25809935205183587</v>
      </c>
      <c r="E17" s="81" t="s">
        <v>82</v>
      </c>
      <c r="F17" s="77" t="s">
        <v>35</v>
      </c>
      <c r="G17" s="64">
        <v>4</v>
      </c>
      <c r="H17" s="47">
        <f>IF(B$27=0,0,G17/B$27)</f>
        <v>2.247191011235955E-2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102</v>
      </c>
      <c r="C18" s="47">
        <f>IF(B$17=0,0,B18/B$17)</f>
        <v>0.42677824267782427</v>
      </c>
      <c r="E18" s="81" t="s">
        <v>83</v>
      </c>
      <c r="F18" s="77" t="s">
        <v>36</v>
      </c>
      <c r="G18" s="64">
        <v>2</v>
      </c>
      <c r="H18" s="47">
        <f>IF(B$27=0,0,G18/B$27)</f>
        <v>1.1235955056179775E-2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137</v>
      </c>
      <c r="C19" s="47">
        <f>IF(B$17=0,0,B19/B$17)</f>
        <v>0.57322175732217573</v>
      </c>
      <c r="E19" s="81" t="s">
        <v>90</v>
      </c>
      <c r="F19" s="77" t="s">
        <v>43</v>
      </c>
      <c r="G19" s="64">
        <v>2</v>
      </c>
      <c r="H19" s="47">
        <f>IF(B$27=0,0,G19/B$27)</f>
        <v>1.1235955056179775E-2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0.19006479481641469</v>
      </c>
      <c r="E20" s="81" t="s">
        <v>97</v>
      </c>
      <c r="F20" s="77" t="s">
        <v>50</v>
      </c>
      <c r="G20" s="64">
        <v>2</v>
      </c>
      <c r="H20" s="47">
        <f>IF(B$27=0,0,G20/B$27)</f>
        <v>1.1235955056179775E-2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11142.259414225942</v>
      </c>
      <c r="C21" s="49">
        <v>2663000</v>
      </c>
      <c r="E21" s="81" t="s">
        <v>85</v>
      </c>
      <c r="F21" s="77" t="s">
        <v>38</v>
      </c>
      <c r="G21" s="64">
        <v>1</v>
      </c>
      <c r="H21" s="47">
        <f>IF(B$27=0,0,G21/B$27)</f>
        <v>5.6179775280898875E-3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5.6179775280898875E-3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1</v>
      </c>
      <c r="H23" s="47">
        <f>IF(B$27=0,0,G23/B$27)</f>
        <v>5.6179775280898875E-3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37">
        <v>97700</v>
      </c>
      <c r="C24" s="138"/>
      <c r="E24" s="81" t="s">
        <v>93</v>
      </c>
      <c r="F24" s="77" t="s">
        <v>46</v>
      </c>
      <c r="G24" s="64">
        <v>1</v>
      </c>
      <c r="H24" s="47">
        <f>IF(B$27=0,0,G24/B$27)</f>
        <v>5.6179775280898875E-3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4.3196544276457886E-3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3">
        <v>665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45">
        <v>178</v>
      </c>
      <c r="C27" s="14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39">
        <v>7</v>
      </c>
      <c r="C23" s="14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37">
        <v>118000</v>
      </c>
      <c r="C24" s="13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3">
        <v>172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45">
        <v>57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39">
        <v>3</v>
      </c>
      <c r="C23" s="14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37">
        <v>57800</v>
      </c>
      <c r="C24" s="13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3">
        <v>31</v>
      </c>
      <c r="C26" s="144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45">
        <v>9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56</v>
      </c>
      <c r="C2" s="144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9">
        <v>437</v>
      </c>
      <c r="C3" s="150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51">
        <v>-502.59999999999991</v>
      </c>
      <c r="C4" s="152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53">
        <f>IF(B$2=0,0,B$4/B$2)</f>
        <v>-8.9749999999999979</v>
      </c>
      <c r="C5" s="154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41">
        <f>IF(B$2=0,0,(B$7*1+B$8*2+B$9*3)/B$2)</f>
        <v>2.2678571428571428</v>
      </c>
      <c r="C6" s="14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39">
        <v>5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37">
        <v>103200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3">
        <v>257</v>
      </c>
      <c r="C26" s="144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45">
        <v>61</v>
      </c>
      <c r="C27" s="14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95</v>
      </c>
      <c r="C2" s="144"/>
      <c r="E2" s="80" t="s">
        <v>71</v>
      </c>
      <c r="F2" s="76" t="s">
        <v>25</v>
      </c>
      <c r="G2" s="63">
        <v>158</v>
      </c>
      <c r="H2" s="45">
        <f>IF(B$27=0,0,G2/B$27)</f>
        <v>0.84946236559139787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2611.8279569892475</v>
      </c>
      <c r="P2" s="59">
        <v>242900</v>
      </c>
      <c r="Q2" s="57">
        <v>93</v>
      </c>
    </row>
    <row r="3" spans="1:17" x14ac:dyDescent="0.4">
      <c r="A3" s="72" t="s">
        <v>8</v>
      </c>
      <c r="B3" s="149">
        <v>721</v>
      </c>
      <c r="C3" s="150"/>
      <c r="E3" s="81" t="s">
        <v>69</v>
      </c>
      <c r="F3" s="77" t="s">
        <v>23</v>
      </c>
      <c r="G3" s="64">
        <v>146</v>
      </c>
      <c r="H3" s="47">
        <f>IF(B$27=0,0,G3/B$27)</f>
        <v>0.78494623655913975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678.40909090909088</v>
      </c>
      <c r="P3" s="60">
        <v>59700</v>
      </c>
      <c r="Q3" s="55">
        <v>88</v>
      </c>
    </row>
    <row r="4" spans="1:17" x14ac:dyDescent="0.4">
      <c r="A4" s="72" t="s">
        <v>6</v>
      </c>
      <c r="B4" s="151">
        <v>222.49999999999989</v>
      </c>
      <c r="C4" s="152"/>
      <c r="E4" s="81" t="s">
        <v>67</v>
      </c>
      <c r="F4" s="77" t="s">
        <v>21</v>
      </c>
      <c r="G4" s="64">
        <v>107</v>
      </c>
      <c r="H4" s="47">
        <f>IF(B$27=0,0,G4/B$27)</f>
        <v>0.57526881720430112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-256.79012345679013</v>
      </c>
      <c r="P4" s="60">
        <v>-20800</v>
      </c>
      <c r="Q4" s="55">
        <v>81</v>
      </c>
    </row>
    <row r="5" spans="1:17" x14ac:dyDescent="0.4">
      <c r="A5" s="72" t="s">
        <v>7</v>
      </c>
      <c r="B5" s="153">
        <f>IF(B$2=0,0,B$4/B$2)</f>
        <v>2.3421052631578934</v>
      </c>
      <c r="C5" s="154"/>
      <c r="E5" s="81" t="s">
        <v>76</v>
      </c>
      <c r="F5" s="77" t="s">
        <v>29</v>
      </c>
      <c r="G5" s="64">
        <v>103</v>
      </c>
      <c r="H5" s="47">
        <f>IF(B$27=0,0,G5/B$27)</f>
        <v>0.55376344086021501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-1565.7894736842106</v>
      </c>
      <c r="P5" s="60">
        <v>-119000</v>
      </c>
      <c r="Q5" s="55">
        <v>76</v>
      </c>
    </row>
    <row r="6" spans="1:17" x14ac:dyDescent="0.4">
      <c r="A6" s="72" t="s">
        <v>1</v>
      </c>
      <c r="B6" s="141">
        <f>IF(B$2=0,0,(B$7*1+B$8*2+B$9*3)/B$2)</f>
        <v>1.9263157894736842</v>
      </c>
      <c r="C6" s="142"/>
      <c r="E6" s="81" t="s">
        <v>70</v>
      </c>
      <c r="F6" s="77" t="s">
        <v>24</v>
      </c>
      <c r="G6" s="64">
        <v>70</v>
      </c>
      <c r="H6" s="47">
        <f>IF(B$27=0,0,G6/B$27)</f>
        <v>0.37634408602150538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-85.9375</v>
      </c>
      <c r="P6" s="60">
        <v>-5500</v>
      </c>
      <c r="Q6" s="55">
        <v>64</v>
      </c>
    </row>
    <row r="7" spans="1:17" x14ac:dyDescent="0.4">
      <c r="A7" s="72" t="s">
        <v>2</v>
      </c>
      <c r="B7" s="64">
        <v>37</v>
      </c>
      <c r="C7" s="47">
        <f>IF(B$2=0,0,B7/B$2)</f>
        <v>0.38947368421052631</v>
      </c>
      <c r="E7" s="81" t="s">
        <v>72</v>
      </c>
      <c r="F7" s="77" t="s">
        <v>12</v>
      </c>
      <c r="G7" s="64">
        <v>62</v>
      </c>
      <c r="H7" s="47">
        <f>IF(B$27=0,0,G7/B$27)</f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445.45454545454544</v>
      </c>
      <c r="P7" s="61">
        <v>24500</v>
      </c>
      <c r="Q7" s="56">
        <v>55</v>
      </c>
    </row>
    <row r="8" spans="1:17" x14ac:dyDescent="0.4">
      <c r="A8" s="72" t="s">
        <v>3</v>
      </c>
      <c r="B8" s="64">
        <v>28</v>
      </c>
      <c r="C8" s="47">
        <f>IF(B$2=0,0,B8/B$2)</f>
        <v>0.29473684210526313</v>
      </c>
      <c r="E8" s="81" t="s">
        <v>73</v>
      </c>
      <c r="F8" s="77" t="s">
        <v>26</v>
      </c>
      <c r="G8" s="64">
        <v>38</v>
      </c>
      <c r="H8" s="47">
        <f>IF(B$27=0,0,G8/B$27)</f>
        <v>0.20430107526881722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30</v>
      </c>
      <c r="C9" s="48">
        <f t="shared" ref="C9" si="1">IF(B$2=0,0,B9/B$2)</f>
        <v>0.31578947368421051</v>
      </c>
      <c r="E9" s="81" t="s">
        <v>94</v>
      </c>
      <c r="F9" s="77" t="s">
        <v>47</v>
      </c>
      <c r="G9" s="64">
        <v>31</v>
      </c>
      <c r="H9" s="47">
        <f>IF(B$27=0,0,G9/B$27)</f>
        <v>0.16666666666666666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0.11578947368421053</v>
      </c>
      <c r="E10" s="81" t="s">
        <v>68</v>
      </c>
      <c r="F10" s="77" t="s">
        <v>22</v>
      </c>
      <c r="G10" s="64">
        <v>24</v>
      </c>
      <c r="H10" s="47">
        <f>IF(B$27=0,0,G10/B$27)</f>
        <v>0.12903225806451613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0.17894736842105263</v>
      </c>
      <c r="E11" s="81" t="s">
        <v>74</v>
      </c>
      <c r="F11" s="77" t="s">
        <v>27</v>
      </c>
      <c r="G11" s="64">
        <v>14</v>
      </c>
      <c r="H11" s="47">
        <f>IF(B$27=0,0,G11/B$27)</f>
        <v>7.5268817204301078E-2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0.11578947368421053</v>
      </c>
      <c r="E12" s="81" t="s">
        <v>75</v>
      </c>
      <c r="F12" s="77" t="s">
        <v>28</v>
      </c>
      <c r="G12" s="64">
        <v>12</v>
      </c>
      <c r="H12" s="47">
        <f>IF(B$27=0,0,G12/B$27)</f>
        <v>6.4516129032258063E-2</v>
      </c>
      <c r="I12" s="117">
        <v>2</v>
      </c>
      <c r="K12" s="46">
        <v>10</v>
      </c>
      <c r="L12" s="123">
        <v>-72.800000000000026</v>
      </c>
      <c r="N12" s="46" t="s">
        <v>139</v>
      </c>
      <c r="O12" s="125">
        <f>IF(Q12=0,0,P12/Q12)</f>
        <v>11.369444444444442</v>
      </c>
      <c r="P12" s="131">
        <v>409.2999999999999</v>
      </c>
      <c r="Q12" s="55">
        <v>36</v>
      </c>
    </row>
    <row r="13" spans="1:17" x14ac:dyDescent="0.4">
      <c r="A13" s="75" t="s">
        <v>128</v>
      </c>
      <c r="B13" s="67">
        <v>189</v>
      </c>
      <c r="C13" s="54">
        <f>IF(B$26=0,0,B13/B$26)</f>
        <v>0.31764705882352939</v>
      </c>
      <c r="E13" s="81" t="s">
        <v>82</v>
      </c>
      <c r="F13" s="77" t="s">
        <v>35</v>
      </c>
      <c r="G13" s="64">
        <v>11</v>
      </c>
      <c r="H13" s="47">
        <f>IF(B$27=0,0,G13/B$27)</f>
        <v>5.9139784946236562E-2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0.22184873949579831</v>
      </c>
      <c r="E14" s="81" t="s">
        <v>91</v>
      </c>
      <c r="F14" s="77" t="s">
        <v>44</v>
      </c>
      <c r="G14" s="64">
        <v>7</v>
      </c>
      <c r="H14" s="47">
        <f>IF(B$27=0,0,G14/B$27)</f>
        <v>3.7634408602150539E-2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>IF(Q14=0,0,P14/Q14)</f>
        <v>-2.1862500000000002</v>
      </c>
      <c r="P14" s="131">
        <v>-174.9</v>
      </c>
      <c r="Q14" s="55">
        <v>80</v>
      </c>
    </row>
    <row r="15" spans="1:17" x14ac:dyDescent="0.4">
      <c r="A15" s="71" t="s">
        <v>130</v>
      </c>
      <c r="B15" s="63">
        <v>109</v>
      </c>
      <c r="C15" s="45">
        <f>IF(B$13=0,0,B15/B$13)</f>
        <v>0.57671957671957674</v>
      </c>
      <c r="E15" s="81" t="s">
        <v>86</v>
      </c>
      <c r="F15" s="77" t="s">
        <v>39</v>
      </c>
      <c r="G15" s="64">
        <v>6</v>
      </c>
      <c r="H15" s="47">
        <f>IF(B$27=0,0,G15/B$27)</f>
        <v>3.2258064516129031E-2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>IF(B$27=0,0,G16/B$27)</f>
        <v>3.2258064516129031E-2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223</v>
      </c>
      <c r="C17" s="45">
        <f>IF(B$3=0,0,B17/B$3)</f>
        <v>0.30929264909847431</v>
      </c>
      <c r="E17" s="81" t="s">
        <v>77</v>
      </c>
      <c r="F17" s="77" t="s">
        <v>30</v>
      </c>
      <c r="G17" s="64">
        <v>2</v>
      </c>
      <c r="H17" s="47">
        <f>IF(B$27=0,0,G17/B$27)</f>
        <v>1.0752688172043012E-2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102</v>
      </c>
      <c r="C18" s="47">
        <f>IF(B$17=0,0,B18/B$17)</f>
        <v>0.45739910313901344</v>
      </c>
      <c r="E18" s="81" t="s">
        <v>81</v>
      </c>
      <c r="F18" s="77" t="s">
        <v>34</v>
      </c>
      <c r="G18" s="64">
        <v>2</v>
      </c>
      <c r="H18" s="47">
        <f>IF(B$27=0,0,G18/B$27)</f>
        <v>1.0752688172043012E-2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121</v>
      </c>
      <c r="C19" s="47">
        <f>IF(B$17=0,0,B19/B$17)</f>
        <v>0.54260089686098656</v>
      </c>
      <c r="E19" s="81" t="s">
        <v>83</v>
      </c>
      <c r="F19" s="77" t="s">
        <v>36</v>
      </c>
      <c r="G19" s="64">
        <v>2</v>
      </c>
      <c r="H19" s="47">
        <f>IF(B$27=0,0,G19/B$27)</f>
        <v>1.0752688172043012E-2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116</v>
      </c>
      <c r="C20" s="47">
        <f>IF(B$3=0,0,B20/B$3)</f>
        <v>0.16088765603328711</v>
      </c>
      <c r="E20" s="81" t="s">
        <v>96</v>
      </c>
      <c r="F20" s="77" t="s">
        <v>49</v>
      </c>
      <c r="G20" s="64">
        <v>2</v>
      </c>
      <c r="H20" s="47">
        <f>IF(B$27=0,0,G20/B$27)</f>
        <v>1.0752688172043012E-2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10395.067264573991</v>
      </c>
      <c r="C21" s="49">
        <v>2318100</v>
      </c>
      <c r="E21" s="81" t="s">
        <v>78</v>
      </c>
      <c r="F21" s="77" t="s">
        <v>31</v>
      </c>
      <c r="G21" s="64">
        <v>1</v>
      </c>
      <c r="H21" s="47">
        <f>IF(B$27=0,0,G21/B$27)</f>
        <v>5.3763440860215058E-3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-9154.310344827587</v>
      </c>
      <c r="C22" s="62">
        <v>-1061900</v>
      </c>
      <c r="E22" s="81" t="s">
        <v>79</v>
      </c>
      <c r="F22" s="77" t="s">
        <v>32</v>
      </c>
      <c r="G22" s="64">
        <v>1</v>
      </c>
      <c r="H22" s="47">
        <f>IF(B$27=0,0,G22/B$27)</f>
        <v>5.3763440860215058E-3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39">
        <v>9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5.3763440860215058E-3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37">
        <v>109300</v>
      </c>
      <c r="C24" s="138"/>
      <c r="E24" s="81" t="s">
        <v>98</v>
      </c>
      <c r="F24" s="77" t="s">
        <v>51</v>
      </c>
      <c r="G24" s="64">
        <v>1</v>
      </c>
      <c r="H24" s="47">
        <f>IF(B$27=0,0,G24/B$27)</f>
        <v>5.3763440860215058E-3</v>
      </c>
      <c r="I24" s="117">
        <v>3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4.160887656033287E-3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3">
        <v>595</v>
      </c>
      <c r="C26" s="144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45">
        <v>186</v>
      </c>
      <c r="C27" s="14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26</v>
      </c>
      <c r="C2" s="144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9">
        <v>215</v>
      </c>
      <c r="C3" s="150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51">
        <v>51.10000000000003</v>
      </c>
      <c r="C4" s="152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53">
        <f>IF(B$2=0,0,B$4/B$2)</f>
        <v>1.9653846153846166</v>
      </c>
      <c r="C5" s="154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39">
        <v>7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37">
        <v>109300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3">
        <v>133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45">
        <v>32</v>
      </c>
      <c r="C27" s="146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97</v>
      </c>
      <c r="C2" s="144"/>
      <c r="E2" s="80" t="s">
        <v>71</v>
      </c>
      <c r="F2" s="76" t="s">
        <v>25</v>
      </c>
      <c r="G2" s="63">
        <v>199</v>
      </c>
      <c r="H2" s="45">
        <f>IF(B$27=0,0,G2/B$27)</f>
        <v>0.96135265700483097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-1726.8817204301076</v>
      </c>
      <c r="P2" s="59">
        <v>-160600</v>
      </c>
      <c r="Q2" s="57">
        <v>93</v>
      </c>
    </row>
    <row r="3" spans="1:17" x14ac:dyDescent="0.4">
      <c r="A3" s="72" t="s">
        <v>8</v>
      </c>
      <c r="B3" s="149">
        <v>755</v>
      </c>
      <c r="C3" s="150"/>
      <c r="E3" s="81" t="s">
        <v>69</v>
      </c>
      <c r="F3" s="77" t="s">
        <v>23</v>
      </c>
      <c r="G3" s="64">
        <v>170</v>
      </c>
      <c r="H3" s="47">
        <f>IF(B$27=0,0,G3/B$27)</f>
        <v>0.82125603864734298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-85.869565217391298</v>
      </c>
      <c r="P3" s="60">
        <v>-7900</v>
      </c>
      <c r="Q3" s="55">
        <v>92</v>
      </c>
    </row>
    <row r="4" spans="1:17" x14ac:dyDescent="0.4">
      <c r="A4" s="72" t="s">
        <v>6</v>
      </c>
      <c r="B4" s="151">
        <v>-449.89999999999992</v>
      </c>
      <c r="C4" s="152"/>
      <c r="E4" s="81" t="s">
        <v>76</v>
      </c>
      <c r="F4" s="77" t="s">
        <v>29</v>
      </c>
      <c r="G4" s="64">
        <v>133</v>
      </c>
      <c r="H4" s="47">
        <f>IF(B$27=0,0,G4/B$27)</f>
        <v>0.64251207729468596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-440.22988505747128</v>
      </c>
      <c r="P4" s="60">
        <v>-38300</v>
      </c>
      <c r="Q4" s="55">
        <v>87</v>
      </c>
    </row>
    <row r="5" spans="1:17" x14ac:dyDescent="0.4">
      <c r="A5" s="72" t="s">
        <v>7</v>
      </c>
      <c r="B5" s="153">
        <f>IF(B$2=0,0,B$4/B$2)</f>
        <v>-4.6381443298969067</v>
      </c>
      <c r="C5" s="154"/>
      <c r="E5" s="81" t="s">
        <v>67</v>
      </c>
      <c r="F5" s="77" t="s">
        <v>21</v>
      </c>
      <c r="G5" s="64">
        <v>125</v>
      </c>
      <c r="H5" s="47">
        <f>IF(B$27=0,0,G5/B$27)</f>
        <v>0.60386473429951693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-465.82278481012656</v>
      </c>
      <c r="P5" s="60">
        <v>-36800</v>
      </c>
      <c r="Q5" s="55">
        <v>79</v>
      </c>
    </row>
    <row r="6" spans="1:17" x14ac:dyDescent="0.4">
      <c r="A6" s="72" t="s">
        <v>1</v>
      </c>
      <c r="B6" s="141">
        <f>IF(B$2=0,0,(B$7*1+B$8*2+B$9*3)/B$2)</f>
        <v>2.1752577319587627</v>
      </c>
      <c r="C6" s="142"/>
      <c r="E6" s="81" t="s">
        <v>70</v>
      </c>
      <c r="F6" s="77" t="s">
        <v>24</v>
      </c>
      <c r="G6" s="64">
        <v>77</v>
      </c>
      <c r="H6" s="47">
        <f>IF(B$27=0,0,G6/B$27)</f>
        <v>0.3719806763285024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-2268.0555555555557</v>
      </c>
      <c r="P6" s="60">
        <v>-163300</v>
      </c>
      <c r="Q6" s="55">
        <v>72</v>
      </c>
    </row>
    <row r="7" spans="1:17" x14ac:dyDescent="0.4">
      <c r="A7" s="72" t="s">
        <v>2</v>
      </c>
      <c r="B7" s="64">
        <v>25</v>
      </c>
      <c r="C7" s="47">
        <f>IF(B$2=0,0,B7/B$2)</f>
        <v>0.25773195876288657</v>
      </c>
      <c r="E7" s="81" t="s">
        <v>72</v>
      </c>
      <c r="F7" s="77" t="s">
        <v>12</v>
      </c>
      <c r="G7" s="64">
        <v>69</v>
      </c>
      <c r="H7" s="47">
        <f>IF(B$27=0,0,G7/B$27)</f>
        <v>0.33333333333333331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0"/>
        <v>1237.5</v>
      </c>
      <c r="P7" s="61">
        <v>69300</v>
      </c>
      <c r="Q7" s="56">
        <v>56</v>
      </c>
    </row>
    <row r="8" spans="1:17" x14ac:dyDescent="0.4">
      <c r="A8" s="72" t="s">
        <v>3</v>
      </c>
      <c r="B8" s="64">
        <v>30</v>
      </c>
      <c r="C8" s="47">
        <f>IF(B$2=0,0,B8/B$2)</f>
        <v>0.30927835051546393</v>
      </c>
      <c r="E8" s="81" t="s">
        <v>73</v>
      </c>
      <c r="F8" s="77" t="s">
        <v>26</v>
      </c>
      <c r="G8" s="64">
        <v>31</v>
      </c>
      <c r="H8" s="47">
        <f>IF(B$27=0,0,G8/B$27)</f>
        <v>0.14975845410628019</v>
      </c>
      <c r="I8" s="117">
        <v>4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0.4329896907216495</v>
      </c>
      <c r="E9" s="81" t="s">
        <v>94</v>
      </c>
      <c r="F9" s="77" t="s">
        <v>47</v>
      </c>
      <c r="G9" s="64">
        <v>27</v>
      </c>
      <c r="H9" s="47">
        <f>IF(B$27=0,0,G9/B$27)</f>
        <v>0.13043478260869565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0.22680412371134021</v>
      </c>
      <c r="E10" s="81" t="s">
        <v>74</v>
      </c>
      <c r="F10" s="77" t="s">
        <v>27</v>
      </c>
      <c r="G10" s="64">
        <v>25</v>
      </c>
      <c r="H10" s="47">
        <f>IF(B$27=0,0,G10/B$27)</f>
        <v>0.12077294685990338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13</v>
      </c>
      <c r="C11" s="48">
        <f>IF(B$2=0,0,B11/B$2)</f>
        <v>0.13402061855670103</v>
      </c>
      <c r="E11" s="81" t="s">
        <v>68</v>
      </c>
      <c r="F11" s="77" t="s">
        <v>22</v>
      </c>
      <c r="G11" s="64">
        <v>17</v>
      </c>
      <c r="H11" s="47">
        <f>IF(B$27=0,0,G11/B$27)</f>
        <v>8.2125603864734303E-2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10</v>
      </c>
      <c r="C12" s="51">
        <f>IF(B$2=0,0,B12/B$2)</f>
        <v>0.10309278350515463</v>
      </c>
      <c r="E12" s="81" t="s">
        <v>91</v>
      </c>
      <c r="F12" s="77" t="s">
        <v>44</v>
      </c>
      <c r="G12" s="64">
        <v>15</v>
      </c>
      <c r="H12" s="47">
        <f>IF(B$27=0,0,G12/B$27)</f>
        <v>7.2463768115942032E-2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218</v>
      </c>
      <c r="C13" s="54">
        <f>IF(B$26=0,0,B13/B$26)</f>
        <v>0.30362116991643456</v>
      </c>
      <c r="E13" s="81" t="s">
        <v>82</v>
      </c>
      <c r="F13" s="77" t="s">
        <v>35</v>
      </c>
      <c r="G13" s="64">
        <v>9</v>
      </c>
      <c r="H13" s="47">
        <f>IF(B$27=0,0,G13/B$27)</f>
        <v>4.3478260869565216E-2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147</v>
      </c>
      <c r="C14" s="47">
        <f>IF(B$26=0,0,B14/B$26)</f>
        <v>0.20473537604456823</v>
      </c>
      <c r="E14" s="81" t="s">
        <v>88</v>
      </c>
      <c r="F14" s="77" t="s">
        <v>41</v>
      </c>
      <c r="G14" s="64">
        <v>6</v>
      </c>
      <c r="H14" s="47">
        <f>IF(B$27=0,0,G14/B$27)</f>
        <v>2.8985507246376812E-2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129</v>
      </c>
      <c r="C15" s="45">
        <f>IF(B$13=0,0,B15/B$13)</f>
        <v>0.59174311926605505</v>
      </c>
      <c r="E15" s="81" t="s">
        <v>75</v>
      </c>
      <c r="F15" s="77" t="s">
        <v>28</v>
      </c>
      <c r="G15" s="64">
        <v>5</v>
      </c>
      <c r="H15" s="47">
        <f>IF(B$27=0,0,G15/B$27)</f>
        <v>2.4154589371980676E-2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>IF(Q15=0,0,P15/Q15)</f>
        <v>-6.842105263157892</v>
      </c>
      <c r="P15" s="131">
        <v>-259.99999999999989</v>
      </c>
      <c r="Q15" s="55">
        <v>38</v>
      </c>
    </row>
    <row r="16" spans="1:17" x14ac:dyDescent="0.4">
      <c r="A16" s="71" t="s">
        <v>131</v>
      </c>
      <c r="B16" s="63">
        <v>55</v>
      </c>
      <c r="C16" s="45">
        <f>IF(B$14=0,0,B16/B$14)</f>
        <v>0.37414965986394561</v>
      </c>
      <c r="E16" s="81" t="s">
        <v>77</v>
      </c>
      <c r="F16" s="77" t="s">
        <v>30</v>
      </c>
      <c r="G16" s="64">
        <v>4</v>
      </c>
      <c r="H16" s="47">
        <f>IF(B$27=0,0,G16/B$27)</f>
        <v>1.932367149758454E-2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1" t="s">
        <v>10</v>
      </c>
      <c r="B17" s="63">
        <f>B19+B18</f>
        <v>217</v>
      </c>
      <c r="C17" s="45">
        <f>IF(B$3=0,0,B17/B$3)</f>
        <v>0.28741721854304636</v>
      </c>
      <c r="E17" s="81" t="s">
        <v>86</v>
      </c>
      <c r="F17" s="77" t="s">
        <v>39</v>
      </c>
      <c r="G17" s="64">
        <v>4</v>
      </c>
      <c r="H17" s="47">
        <f>IF(B$27=0,0,G17/B$27)</f>
        <v>1.932367149758454E-2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-11.369444444444444</v>
      </c>
      <c r="P17" s="131">
        <v>-409.29999999999995</v>
      </c>
      <c r="Q17" s="55">
        <v>36</v>
      </c>
    </row>
    <row r="18" spans="1:17" x14ac:dyDescent="0.4">
      <c r="A18" s="72" t="s">
        <v>12</v>
      </c>
      <c r="B18" s="64">
        <v>100</v>
      </c>
      <c r="C18" s="47">
        <f>IF(B$17=0,0,B18/B$17)</f>
        <v>0.46082949308755761</v>
      </c>
      <c r="E18" s="81" t="s">
        <v>79</v>
      </c>
      <c r="F18" s="77" t="s">
        <v>32</v>
      </c>
      <c r="G18" s="64">
        <v>3</v>
      </c>
      <c r="H18" s="47">
        <f>IF(B$27=0,0,G18/B$27)</f>
        <v>1.4492753623188406E-2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-12.691025641025639</v>
      </c>
      <c r="P18" s="131">
        <v>-989.89999999999986</v>
      </c>
      <c r="Q18" s="55">
        <v>78</v>
      </c>
    </row>
    <row r="19" spans="1:17" x14ac:dyDescent="0.4">
      <c r="A19" s="72" t="s">
        <v>11</v>
      </c>
      <c r="B19" s="64">
        <v>117</v>
      </c>
      <c r="C19" s="47">
        <f>IF(B$17=0,0,B19/B$17)</f>
        <v>0.53917050691244239</v>
      </c>
      <c r="E19" s="81" t="s">
        <v>96</v>
      </c>
      <c r="F19" s="77" t="s">
        <v>49</v>
      </c>
      <c r="G19" s="64">
        <v>3</v>
      </c>
      <c r="H19" s="47">
        <f>IF(B$27=0,0,G19/B$27)</f>
        <v>1.4492753623188406E-2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162</v>
      </c>
      <c r="C20" s="47">
        <f>IF(B$3=0,0,B20/B$3)</f>
        <v>0.21456953642384105</v>
      </c>
      <c r="E20" s="81" t="s">
        <v>98</v>
      </c>
      <c r="F20" s="77" t="s">
        <v>51</v>
      </c>
      <c r="G20" s="64">
        <v>2</v>
      </c>
      <c r="H20" s="47">
        <f>IF(B$27=0,0,G20/B$27)</f>
        <v>9.6618357487922701E-3</v>
      </c>
      <c r="I20" s="117">
        <v>2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10867.741935483871</v>
      </c>
      <c r="C21" s="49">
        <v>2358300</v>
      </c>
      <c r="E21" s="81" t="s">
        <v>81</v>
      </c>
      <c r="F21" s="77" t="s">
        <v>34</v>
      </c>
      <c r="G21" s="64">
        <v>1</v>
      </c>
      <c r="H21" s="47">
        <f>IF(B$27=0,0,G21/B$27)</f>
        <v>4.830917874396135E-3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-9706.1728395061727</v>
      </c>
      <c r="C22" s="62">
        <v>-1572400</v>
      </c>
      <c r="E22" s="81" t="s">
        <v>83</v>
      </c>
      <c r="F22" s="77" t="s">
        <v>36</v>
      </c>
      <c r="G22" s="64">
        <v>1</v>
      </c>
      <c r="H22" s="47">
        <f>IF(B$27=0,0,G22/B$27)</f>
        <v>4.830917874396135E-3</v>
      </c>
      <c r="I22" s="117">
        <v>8</v>
      </c>
      <c r="K22" s="46">
        <v>20</v>
      </c>
      <c r="L22" s="123">
        <v>-270</v>
      </c>
    </row>
    <row r="23" spans="1:17" x14ac:dyDescent="0.4">
      <c r="A23" s="112" t="s">
        <v>159</v>
      </c>
      <c r="B23" s="139">
        <v>7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4.830917874396135E-3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37">
        <v>124700</v>
      </c>
      <c r="C24" s="138"/>
      <c r="E24" s="81" t="s">
        <v>90</v>
      </c>
      <c r="F24" s="77" t="s">
        <v>43</v>
      </c>
      <c r="G24" s="64">
        <v>1</v>
      </c>
      <c r="H24" s="47">
        <f>IF(B$27=0,0,G24/B$27)</f>
        <v>4.830917874396135E-3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9.2715231788079479E-3</v>
      </c>
      <c r="E25" s="81" t="s">
        <v>97</v>
      </c>
      <c r="F25" s="77" t="s">
        <v>50</v>
      </c>
      <c r="G25" s="64">
        <v>1</v>
      </c>
      <c r="H25" s="47">
        <f>IF(B$27=0,0,G25/B$27)</f>
        <v>4.830917874396135E-3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43">
        <v>718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45">
        <v>207</v>
      </c>
      <c r="C27" s="14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5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37">
        <v>78000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3">
        <v>50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45">
        <v>19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158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39">
        <v>5</v>
      </c>
      <c r="C23" s="14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37">
        <v>67700</v>
      </c>
      <c r="C24" s="13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43">
        <v>196</v>
      </c>
      <c r="C26" s="144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45">
        <v>44</v>
      </c>
      <c r="C27" s="14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10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2019-02-13T04:22:57Z</dcterms:modified>
</cp:coreProperties>
</file>