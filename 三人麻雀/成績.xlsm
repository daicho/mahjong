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B0975021-3B76-4A99-96FC-95BBF55E9D4A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966" r:id="rId6"/>
    <sheet name="だいち" sheetId="3968" r:id="rId7"/>
    <sheet name="かこたろう" sheetId="3970" r:id="rId8"/>
    <sheet name="ともき" sheetId="3972" r:id="rId9"/>
    <sheet name="りくと" sheetId="3974" r:id="rId10"/>
    <sheet name="いっしー" sheetId="3976" r:id="rId11"/>
    <sheet name="がくと" sheetId="3978" r:id="rId12"/>
    <sheet name="たかの" sheetId="3980" r:id="rId13"/>
    <sheet name="ただ" sheetId="3982" r:id="rId14"/>
    <sheet name="やがさき" sheetId="3984" r:id="rId15"/>
    <sheet name="れんたろう" sheetId="3986" r:id="rId16"/>
    <sheet name="あさひ" sheetId="3988" r:id="rId17"/>
    <sheet name="まっつん" sheetId="3990" r:id="rId18"/>
    <sheet name="まっつん2" sheetId="3991" state="hidden" r:id="rId19"/>
    <sheet name="あさひ2" sheetId="3989" state="hidden" r:id="rId20"/>
    <sheet name="れんたろう2" sheetId="3987" state="hidden" r:id="rId21"/>
    <sheet name="やがさき2" sheetId="3985" state="hidden" r:id="rId22"/>
    <sheet name="ただ2" sheetId="3983" state="hidden" r:id="rId23"/>
    <sheet name="たかの2" sheetId="3981" state="hidden" r:id="rId24"/>
    <sheet name="がくと2" sheetId="3979" state="hidden" r:id="rId25"/>
    <sheet name="いっしー2" sheetId="3977" state="hidden" r:id="rId26"/>
    <sheet name="りくと2" sheetId="3975" state="hidden" r:id="rId27"/>
    <sheet name="ともき2" sheetId="3973" state="hidden" r:id="rId28"/>
    <sheet name="かこたろう2" sheetId="3971" state="hidden" r:id="rId29"/>
    <sheet name="だいち2" sheetId="3969" state="hidden" r:id="rId30"/>
    <sheet name="全体2" sheetId="3967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親アガリ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3976" l="1"/>
  <c r="O15" i="3984"/>
  <c r="O14" i="3984"/>
  <c r="O11" i="3986"/>
  <c r="O13" i="3974" l="1"/>
  <c r="O11" i="3984"/>
  <c r="O13" i="3982"/>
  <c r="O13" i="3984"/>
  <c r="O15" i="3974" l="1"/>
  <c r="O11" i="3990"/>
  <c r="O14" i="3990" l="1"/>
  <c r="O12" i="3968"/>
  <c r="O15" i="3982" l="1"/>
  <c r="O12" i="3988"/>
  <c r="O10" i="3978"/>
  <c r="O11" i="3978"/>
  <c r="O12" i="3986"/>
  <c r="O19" i="3986"/>
  <c r="O10" i="3990"/>
  <c r="O12" i="3990"/>
  <c r="O15" i="3976"/>
  <c r="O13" i="3980"/>
  <c r="O15" i="3990" l="1"/>
  <c r="O13" i="3990"/>
  <c r="H51" i="3990"/>
  <c r="H50" i="3990"/>
  <c r="H49" i="3990"/>
  <c r="H48" i="3990"/>
  <c r="H47" i="3990"/>
  <c r="H46" i="3990"/>
  <c r="H45" i="3990"/>
  <c r="H44" i="3990"/>
  <c r="H43" i="3990"/>
  <c r="H42" i="3990"/>
  <c r="H41" i="3990"/>
  <c r="H40" i="3990"/>
  <c r="H39" i="3990"/>
  <c r="H38" i="3990"/>
  <c r="H37" i="3990"/>
  <c r="H36" i="3990"/>
  <c r="H35" i="3990"/>
  <c r="H34" i="3990"/>
  <c r="H33" i="3990"/>
  <c r="H32" i="3990"/>
  <c r="H20" i="3990"/>
  <c r="H31" i="3990"/>
  <c r="H8" i="3990"/>
  <c r="H30" i="3990"/>
  <c r="C28" i="3990"/>
  <c r="H29" i="3990"/>
  <c r="H12" i="3990"/>
  <c r="H19" i="3990"/>
  <c r="H28" i="3990"/>
  <c r="H6" i="3990"/>
  <c r="C23" i="3990"/>
  <c r="H27" i="3990"/>
  <c r="C22" i="3990"/>
  <c r="H16" i="3990"/>
  <c r="B21" i="3990"/>
  <c r="H26" i="3990"/>
  <c r="H25" i="3990"/>
  <c r="C19" i="3990"/>
  <c r="H15" i="3990"/>
  <c r="H18" i="3990"/>
  <c r="H17" i="3990"/>
  <c r="B16" i="3990"/>
  <c r="C17" i="3990" s="1"/>
  <c r="H24" i="3990"/>
  <c r="C15" i="3990"/>
  <c r="H23" i="3990"/>
  <c r="C14" i="3990"/>
  <c r="H22" i="3990"/>
  <c r="C13" i="3990"/>
  <c r="H21" i="3990"/>
  <c r="C12" i="3990"/>
  <c r="H4" i="3990"/>
  <c r="C11" i="3990"/>
  <c r="H14" i="3990"/>
  <c r="C10" i="3990"/>
  <c r="H9" i="3990"/>
  <c r="C9" i="3990"/>
  <c r="H13" i="3990"/>
  <c r="C8" i="3990"/>
  <c r="O7" i="3990"/>
  <c r="H7" i="3990"/>
  <c r="C7" i="3990"/>
  <c r="O6" i="3990"/>
  <c r="H2" i="3990"/>
  <c r="B6" i="3990"/>
  <c r="O5" i="3990"/>
  <c r="H11" i="3990"/>
  <c r="B5" i="3990"/>
  <c r="O4" i="3990"/>
  <c r="H3" i="3990"/>
  <c r="O3" i="3990"/>
  <c r="H10" i="3990"/>
  <c r="O2" i="3990"/>
  <c r="H5" i="3990"/>
  <c r="O10" i="3980"/>
  <c r="O11" i="3982"/>
  <c r="O12" i="3966"/>
  <c r="O17" i="3976"/>
  <c r="O13" i="3978"/>
  <c r="O13" i="3988"/>
  <c r="O10" i="3988"/>
  <c r="C16" i="3990" l="1"/>
  <c r="C18" i="3990"/>
  <c r="B20" i="3990"/>
  <c r="O14" i="3986" l="1"/>
  <c r="O10" i="3974"/>
  <c r="O11" i="3972"/>
  <c r="O13" i="3972"/>
  <c r="O10" i="3986"/>
  <c r="O18" i="3974"/>
  <c r="O21" i="3966"/>
  <c r="O14" i="3988"/>
  <c r="O11" i="3988"/>
  <c r="H51" i="3988"/>
  <c r="H50" i="3988"/>
  <c r="H49" i="3988"/>
  <c r="H48" i="3988"/>
  <c r="H47" i="3988"/>
  <c r="H46" i="3988"/>
  <c r="H45" i="3988"/>
  <c r="H44" i="3988"/>
  <c r="H43" i="3988"/>
  <c r="H42" i="3988"/>
  <c r="H41" i="3988"/>
  <c r="H40" i="3988"/>
  <c r="H39" i="3988"/>
  <c r="H38" i="3988"/>
  <c r="H37" i="3988"/>
  <c r="H36" i="3988"/>
  <c r="H35" i="3988"/>
  <c r="H34" i="3988"/>
  <c r="H33" i="3988"/>
  <c r="H32" i="3988"/>
  <c r="H14" i="3988"/>
  <c r="H31" i="3988"/>
  <c r="H12" i="3988"/>
  <c r="H30" i="3988"/>
  <c r="C28" i="3988"/>
  <c r="H29" i="3988"/>
  <c r="H11" i="3988"/>
  <c r="H28" i="3988"/>
  <c r="H27" i="3988"/>
  <c r="H26" i="3988"/>
  <c r="C23" i="3988"/>
  <c r="H25" i="3988"/>
  <c r="C22" i="3988"/>
  <c r="H24" i="3988"/>
  <c r="B21" i="3988"/>
  <c r="H23" i="3988"/>
  <c r="H22" i="3988"/>
  <c r="C19" i="3988"/>
  <c r="H21" i="3988"/>
  <c r="H20" i="3988"/>
  <c r="H19" i="3988"/>
  <c r="B16" i="3988"/>
  <c r="C17" i="3988" s="1"/>
  <c r="H18" i="3988"/>
  <c r="C15" i="3988"/>
  <c r="H17" i="3988"/>
  <c r="C14" i="3988"/>
  <c r="H16" i="3988"/>
  <c r="C13" i="3988"/>
  <c r="H15" i="3988"/>
  <c r="C12" i="3988"/>
  <c r="H5" i="3988"/>
  <c r="C11" i="3988"/>
  <c r="H13" i="3988"/>
  <c r="C10" i="3988"/>
  <c r="H8" i="3988"/>
  <c r="C9" i="3988"/>
  <c r="H10" i="3988"/>
  <c r="C8" i="3988"/>
  <c r="O7" i="3988"/>
  <c r="H7" i="3988"/>
  <c r="C7" i="3988"/>
  <c r="O6" i="3988"/>
  <c r="H4" i="3988"/>
  <c r="B6" i="3988"/>
  <c r="O5" i="3988"/>
  <c r="H6" i="3988"/>
  <c r="B5" i="3988"/>
  <c r="O4" i="3988"/>
  <c r="H3" i="3988"/>
  <c r="O3" i="3988"/>
  <c r="H9" i="3988"/>
  <c r="O2" i="3988"/>
  <c r="H2" i="3988"/>
  <c r="C16" i="3988" l="1"/>
  <c r="C18" i="3988"/>
  <c r="B20" i="3988"/>
  <c r="O11" i="3980" l="1"/>
  <c r="O16" i="3986"/>
  <c r="O11" i="3974"/>
  <c r="O16" i="3980"/>
  <c r="O17" i="3982" l="1"/>
  <c r="O14" i="3976"/>
  <c r="O12" i="3982" l="1"/>
  <c r="O17" i="3986"/>
  <c r="O18" i="3976" l="1"/>
  <c r="O13" i="3986"/>
  <c r="O12" i="3974" l="1"/>
  <c r="O18" i="3986"/>
  <c r="O15" i="3986"/>
  <c r="H51" i="3986"/>
  <c r="H50" i="3986"/>
  <c r="H49" i="3986"/>
  <c r="H48" i="3986"/>
  <c r="H47" i="3986"/>
  <c r="H46" i="3986"/>
  <c r="H45" i="3986"/>
  <c r="H44" i="3986"/>
  <c r="H43" i="3986"/>
  <c r="H42" i="3986"/>
  <c r="H41" i="3986"/>
  <c r="H40" i="3986"/>
  <c r="H39" i="3986"/>
  <c r="H38" i="3986"/>
  <c r="H37" i="3986"/>
  <c r="H36" i="3986"/>
  <c r="H35" i="3986"/>
  <c r="H34" i="3986"/>
  <c r="H25" i="3986"/>
  <c r="H24" i="3986"/>
  <c r="H19" i="3986"/>
  <c r="H33" i="3986"/>
  <c r="H9" i="3986"/>
  <c r="H32" i="3986"/>
  <c r="C28" i="3986"/>
  <c r="H31" i="3986"/>
  <c r="H12" i="3986"/>
  <c r="H23" i="3986"/>
  <c r="H22" i="3986"/>
  <c r="H14" i="3986"/>
  <c r="C23" i="3986"/>
  <c r="H30" i="3986"/>
  <c r="C22" i="3986"/>
  <c r="H17" i="3986"/>
  <c r="B21" i="3986"/>
  <c r="H29" i="3986"/>
  <c r="H28" i="3986"/>
  <c r="C19" i="3986"/>
  <c r="H21" i="3986"/>
  <c r="H13" i="3986"/>
  <c r="H20" i="3986"/>
  <c r="B16" i="3986"/>
  <c r="C17" i="3986" s="1"/>
  <c r="H27" i="3986"/>
  <c r="C15" i="3986"/>
  <c r="H18" i="3986"/>
  <c r="C14" i="3986"/>
  <c r="H26" i="3986"/>
  <c r="C13" i="3986"/>
  <c r="H16" i="3986"/>
  <c r="C12" i="3986"/>
  <c r="H4" i="3986"/>
  <c r="C11" i="3986"/>
  <c r="H15" i="3986"/>
  <c r="C10" i="3986"/>
  <c r="H10" i="3986"/>
  <c r="C9" i="3986"/>
  <c r="H8" i="3986"/>
  <c r="C8" i="3986"/>
  <c r="O7" i="3986"/>
  <c r="H7" i="3986"/>
  <c r="C7" i="3986"/>
  <c r="O6" i="3986"/>
  <c r="H2" i="3986"/>
  <c r="B6" i="3986"/>
  <c r="O5" i="3986"/>
  <c r="H6" i="3986"/>
  <c r="B5" i="3986"/>
  <c r="O4" i="3986"/>
  <c r="H3" i="3986"/>
  <c r="O3" i="3986"/>
  <c r="H11" i="3986"/>
  <c r="O2" i="3986"/>
  <c r="H5" i="3986"/>
  <c r="O14" i="3968"/>
  <c r="O15" i="3966"/>
  <c r="C16" i="3986" l="1"/>
  <c r="C18" i="3986"/>
  <c r="B20" i="3986"/>
  <c r="O17" i="3974" l="1"/>
  <c r="O10" i="3982"/>
  <c r="O10" i="3984" l="1"/>
  <c r="O12" i="3984"/>
  <c r="H51" i="3984"/>
  <c r="H50" i="3984"/>
  <c r="H49" i="3984"/>
  <c r="H48" i="3984"/>
  <c r="H47" i="3984"/>
  <c r="H46" i="3984"/>
  <c r="H45" i="3984"/>
  <c r="H44" i="3984"/>
  <c r="H43" i="3984"/>
  <c r="H42" i="3984"/>
  <c r="H41" i="3984"/>
  <c r="H40" i="3984"/>
  <c r="H39" i="3984"/>
  <c r="H38" i="3984"/>
  <c r="H37" i="3984"/>
  <c r="H36" i="3984"/>
  <c r="H35" i="3984"/>
  <c r="H34" i="3984"/>
  <c r="H33" i="3984"/>
  <c r="H15" i="3984"/>
  <c r="H32" i="3984"/>
  <c r="H31" i="3984"/>
  <c r="H14" i="3984"/>
  <c r="H30" i="3984"/>
  <c r="C28" i="3984"/>
  <c r="H29" i="3984"/>
  <c r="H13" i="3984"/>
  <c r="H28" i="3984"/>
  <c r="H27" i="3984"/>
  <c r="H26" i="3984"/>
  <c r="C23" i="3984"/>
  <c r="H25" i="3984"/>
  <c r="C22" i="3984"/>
  <c r="H24" i="3984"/>
  <c r="B21" i="3984"/>
  <c r="H23" i="3984"/>
  <c r="H22" i="3984"/>
  <c r="C19" i="3984"/>
  <c r="H21" i="3984"/>
  <c r="H12" i="3984"/>
  <c r="H20" i="3984"/>
  <c r="B16" i="3984"/>
  <c r="C17" i="3984" s="1"/>
  <c r="H19" i="3984"/>
  <c r="C15" i="3984"/>
  <c r="H18" i="3984"/>
  <c r="C14" i="3984"/>
  <c r="H17" i="3984"/>
  <c r="C13" i="3984"/>
  <c r="H16" i="3984"/>
  <c r="C12" i="3984"/>
  <c r="H7" i="3984"/>
  <c r="C11" i="3984"/>
  <c r="H11" i="3984"/>
  <c r="C10" i="3984"/>
  <c r="H10" i="3984"/>
  <c r="C9" i="3984"/>
  <c r="H9" i="3984"/>
  <c r="C8" i="3984"/>
  <c r="O7" i="3984"/>
  <c r="H6" i="3984"/>
  <c r="C7" i="3984"/>
  <c r="O6" i="3984"/>
  <c r="H2" i="3984"/>
  <c r="B6" i="3984"/>
  <c r="O5" i="3984"/>
  <c r="H4" i="3984"/>
  <c r="B5" i="3984"/>
  <c r="O4" i="3984"/>
  <c r="H5" i="3984"/>
  <c r="O3" i="3984"/>
  <c r="H8" i="3984"/>
  <c r="O2" i="3984"/>
  <c r="H3" i="3984"/>
  <c r="O15" i="3980"/>
  <c r="O17" i="3968"/>
  <c r="O17" i="3966"/>
  <c r="C16" i="3984" l="1"/>
  <c r="C18" i="3984"/>
  <c r="B20" i="3984"/>
  <c r="O11" i="3976" l="1"/>
  <c r="O10" i="3970"/>
  <c r="O16" i="3982" l="1"/>
  <c r="O14" i="3982"/>
  <c r="H51" i="3982"/>
  <c r="H50" i="3982"/>
  <c r="H49" i="3982"/>
  <c r="H48" i="3982"/>
  <c r="H47" i="3982"/>
  <c r="H46" i="3982"/>
  <c r="H45" i="3982"/>
  <c r="H44" i="3982"/>
  <c r="H43" i="3982"/>
  <c r="H42" i="3982"/>
  <c r="H41" i="3982"/>
  <c r="H40" i="3982"/>
  <c r="H39" i="3982"/>
  <c r="H38" i="3982"/>
  <c r="H37" i="3982"/>
  <c r="H36" i="3982"/>
  <c r="H35" i="3982"/>
  <c r="H34" i="3982"/>
  <c r="H33" i="3982"/>
  <c r="H32" i="3982"/>
  <c r="H20" i="3982"/>
  <c r="H31" i="3982"/>
  <c r="H9" i="3982"/>
  <c r="H30" i="3982"/>
  <c r="C28" i="3982"/>
  <c r="H29" i="3982"/>
  <c r="H14" i="3982"/>
  <c r="H28" i="3982"/>
  <c r="H23" i="3982"/>
  <c r="H16" i="3982"/>
  <c r="C23" i="3982"/>
  <c r="H27" i="3982"/>
  <c r="C22" i="3982"/>
  <c r="H15" i="3982"/>
  <c r="B21" i="3982"/>
  <c r="H26" i="3982"/>
  <c r="H25" i="3982"/>
  <c r="C19" i="3982"/>
  <c r="H19" i="3982"/>
  <c r="H12" i="3982"/>
  <c r="H18" i="3982"/>
  <c r="B16" i="3982"/>
  <c r="B20" i="3982" s="1"/>
  <c r="H24" i="3982"/>
  <c r="C15" i="3982"/>
  <c r="H22" i="3982"/>
  <c r="C14" i="3982"/>
  <c r="H21" i="3982"/>
  <c r="C13" i="3982"/>
  <c r="H17" i="3982"/>
  <c r="C12" i="3982"/>
  <c r="H5" i="3982"/>
  <c r="C11" i="3982"/>
  <c r="H13" i="3982"/>
  <c r="C10" i="3982"/>
  <c r="H11" i="3982"/>
  <c r="C9" i="3982"/>
  <c r="H8" i="3982"/>
  <c r="C8" i="3982"/>
  <c r="O7" i="3982"/>
  <c r="H7" i="3982"/>
  <c r="C7" i="3982"/>
  <c r="O6" i="3982"/>
  <c r="H2" i="3982"/>
  <c r="B6" i="3982"/>
  <c r="O5" i="3982"/>
  <c r="H6" i="3982"/>
  <c r="B5" i="3982"/>
  <c r="O4" i="3982"/>
  <c r="H3" i="3982"/>
  <c r="O3" i="3982"/>
  <c r="H10" i="3982"/>
  <c r="O2" i="3982"/>
  <c r="H4" i="3982"/>
  <c r="O14" i="3980"/>
  <c r="O12" i="3980"/>
  <c r="H51" i="3980"/>
  <c r="H50" i="3980"/>
  <c r="H49" i="3980"/>
  <c r="H48" i="3980"/>
  <c r="H47" i="3980"/>
  <c r="H46" i="3980"/>
  <c r="H45" i="3980"/>
  <c r="H44" i="3980"/>
  <c r="H43" i="3980"/>
  <c r="H42" i="3980"/>
  <c r="H41" i="3980"/>
  <c r="H40" i="3980"/>
  <c r="H39" i="3980"/>
  <c r="H38" i="3980"/>
  <c r="H37" i="3980"/>
  <c r="H36" i="3980"/>
  <c r="H35" i="3980"/>
  <c r="H34" i="3980"/>
  <c r="H33" i="3980"/>
  <c r="H32" i="3980"/>
  <c r="H31" i="3980"/>
  <c r="H30" i="3980"/>
  <c r="H10" i="3980"/>
  <c r="H29" i="3980"/>
  <c r="C28" i="3980"/>
  <c r="H28" i="3980"/>
  <c r="H13" i="3980"/>
  <c r="H27" i="3980"/>
  <c r="H26" i="3980"/>
  <c r="H18" i="3980"/>
  <c r="C23" i="3980"/>
  <c r="H25" i="3980"/>
  <c r="C22" i="3980"/>
  <c r="H17" i="3980"/>
  <c r="B21" i="3980"/>
  <c r="H24" i="3980"/>
  <c r="H23" i="3980"/>
  <c r="C19" i="3980"/>
  <c r="H15" i="3980"/>
  <c r="H14" i="3980"/>
  <c r="H22" i="3980"/>
  <c r="B16" i="3980"/>
  <c r="B20" i="3980" s="1"/>
  <c r="H21" i="3980"/>
  <c r="C15" i="3980"/>
  <c r="H16" i="3980"/>
  <c r="C14" i="3980"/>
  <c r="H20" i="3980"/>
  <c r="C13" i="3980"/>
  <c r="H19" i="3980"/>
  <c r="C12" i="3980"/>
  <c r="H3" i="3980"/>
  <c r="C11" i="3980"/>
  <c r="H12" i="3980"/>
  <c r="C10" i="3980"/>
  <c r="H11" i="3980"/>
  <c r="C9" i="3980"/>
  <c r="H9" i="3980"/>
  <c r="C8" i="3980"/>
  <c r="O7" i="3980"/>
  <c r="H6" i="3980"/>
  <c r="C7" i="3980"/>
  <c r="O6" i="3980"/>
  <c r="H2" i="3980"/>
  <c r="B6" i="3980"/>
  <c r="O5" i="3980"/>
  <c r="H8" i="3980"/>
  <c r="B5" i="3980"/>
  <c r="O4" i="3980"/>
  <c r="H4" i="3980"/>
  <c r="O3" i="3980"/>
  <c r="H7" i="3980"/>
  <c r="O2" i="3980"/>
  <c r="H5" i="3980"/>
  <c r="O18" i="3968"/>
  <c r="O13" i="3968"/>
  <c r="O18" i="3966"/>
  <c r="O14" i="3966"/>
  <c r="C17" i="3982" l="1"/>
  <c r="C16" i="3982"/>
  <c r="C18" i="3982"/>
  <c r="C16" i="3980"/>
  <c r="C17" i="3980"/>
  <c r="C18" i="3980"/>
  <c r="O12" i="3976" l="1"/>
  <c r="O14" i="3978"/>
  <c r="O12" i="3978"/>
  <c r="H51" i="3978"/>
  <c r="H50" i="3978"/>
  <c r="H49" i="3978"/>
  <c r="H48" i="3978"/>
  <c r="H47" i="3978"/>
  <c r="H46" i="3978"/>
  <c r="H45" i="3978"/>
  <c r="H44" i="3978"/>
  <c r="H43" i="3978"/>
  <c r="H42" i="3978"/>
  <c r="H41" i="3978"/>
  <c r="H40" i="3978"/>
  <c r="H39" i="3978"/>
  <c r="H38" i="3978"/>
  <c r="H37" i="3978"/>
  <c r="H36" i="3978"/>
  <c r="H35" i="3978"/>
  <c r="H34" i="3978"/>
  <c r="H33" i="3978"/>
  <c r="H32" i="3978"/>
  <c r="H31" i="3978"/>
  <c r="H30" i="3978"/>
  <c r="H29" i="3978"/>
  <c r="H28" i="3978"/>
  <c r="C28" i="3978"/>
  <c r="H27" i="3978"/>
  <c r="H11" i="3978"/>
  <c r="H26" i="3978"/>
  <c r="H25" i="3978"/>
  <c r="H24" i="3978"/>
  <c r="C23" i="3978"/>
  <c r="H23" i="3978"/>
  <c r="C22" i="3978"/>
  <c r="H22" i="3978"/>
  <c r="B21" i="3978"/>
  <c r="H21" i="3978"/>
  <c r="H20" i="3978"/>
  <c r="C19" i="3978"/>
  <c r="H8" i="3978"/>
  <c r="H19" i="3978"/>
  <c r="H18" i="3978"/>
  <c r="B16" i="3978"/>
  <c r="B20" i="3978" s="1"/>
  <c r="H17" i="3978"/>
  <c r="C15" i="3978"/>
  <c r="H16" i="3978"/>
  <c r="C14" i="3978"/>
  <c r="H15" i="3978"/>
  <c r="C13" i="3978"/>
  <c r="H14" i="3978"/>
  <c r="C12" i="3978"/>
  <c r="H5" i="3978"/>
  <c r="C11" i="3978"/>
  <c r="H13" i="3978"/>
  <c r="C10" i="3978"/>
  <c r="H12" i="3978"/>
  <c r="C9" i="3978"/>
  <c r="H10" i="3978"/>
  <c r="C8" i="3978"/>
  <c r="O7" i="3978"/>
  <c r="H6" i="3978"/>
  <c r="C7" i="3978"/>
  <c r="O6" i="3978"/>
  <c r="H3" i="3978"/>
  <c r="B6" i="3978"/>
  <c r="O5" i="3978"/>
  <c r="H7" i="3978"/>
  <c r="B5" i="3978"/>
  <c r="O4" i="3978"/>
  <c r="H9" i="3978"/>
  <c r="O3" i="3978"/>
  <c r="H4" i="3978"/>
  <c r="O2" i="3978"/>
  <c r="H2" i="3978"/>
  <c r="O10" i="3968"/>
  <c r="O11" i="3966"/>
  <c r="C16" i="3978" l="1"/>
  <c r="C17" i="3978"/>
  <c r="C18" i="3978"/>
  <c r="O13" i="3976" l="1"/>
  <c r="O16" i="3976"/>
  <c r="H51" i="3976"/>
  <c r="H50" i="3976"/>
  <c r="H49" i="3976"/>
  <c r="H48" i="3976"/>
  <c r="H47" i="3976"/>
  <c r="H46" i="3976"/>
  <c r="H45" i="3976"/>
  <c r="H44" i="3976"/>
  <c r="H43" i="3976"/>
  <c r="H42" i="3976"/>
  <c r="H41" i="3976"/>
  <c r="H40" i="3976"/>
  <c r="H39" i="3976"/>
  <c r="H38" i="3976"/>
  <c r="H37" i="3976"/>
  <c r="H36" i="3976"/>
  <c r="H35" i="3976"/>
  <c r="H34" i="3976"/>
  <c r="H17" i="3976"/>
  <c r="H33" i="3976"/>
  <c r="H32" i="3976"/>
  <c r="H31" i="3976"/>
  <c r="H13" i="3976"/>
  <c r="H30" i="3976"/>
  <c r="C28" i="3976"/>
  <c r="H29" i="3976"/>
  <c r="H14" i="3976"/>
  <c r="H28" i="3976"/>
  <c r="H27" i="3976"/>
  <c r="H9" i="3976"/>
  <c r="C23" i="3976"/>
  <c r="H26" i="3976"/>
  <c r="C22" i="3976"/>
  <c r="H12" i="3976"/>
  <c r="B21" i="3976"/>
  <c r="H25" i="3976"/>
  <c r="H24" i="3976"/>
  <c r="C19" i="3976"/>
  <c r="H23" i="3976"/>
  <c r="H16" i="3976"/>
  <c r="H22" i="3976"/>
  <c r="B16" i="3976"/>
  <c r="C17" i="3976" s="1"/>
  <c r="H21" i="3976"/>
  <c r="C15" i="3976"/>
  <c r="H20" i="3976"/>
  <c r="C14" i="3976"/>
  <c r="H19" i="3976"/>
  <c r="C13" i="3976"/>
  <c r="H18" i="3976"/>
  <c r="C12" i="3976"/>
  <c r="H4" i="3976"/>
  <c r="C11" i="3976"/>
  <c r="H15" i="3976"/>
  <c r="C10" i="3976"/>
  <c r="H11" i="3976"/>
  <c r="C9" i="3976"/>
  <c r="H8" i="3976"/>
  <c r="C8" i="3976"/>
  <c r="O7" i="3976"/>
  <c r="H6" i="3976"/>
  <c r="C7" i="3976"/>
  <c r="O6" i="3976"/>
  <c r="H3" i="3976"/>
  <c r="B6" i="3976"/>
  <c r="O5" i="3976"/>
  <c r="H7" i="3976"/>
  <c r="B5" i="3976"/>
  <c r="O4" i="3976"/>
  <c r="H2" i="3976"/>
  <c r="O3" i="3976"/>
  <c r="H10" i="3976"/>
  <c r="O2" i="3976"/>
  <c r="H5" i="3976"/>
  <c r="O14" i="3974"/>
  <c r="O16" i="3974"/>
  <c r="H51" i="3974"/>
  <c r="H50" i="3974"/>
  <c r="H49" i="3974"/>
  <c r="H48" i="3974"/>
  <c r="H47" i="3974"/>
  <c r="H46" i="3974"/>
  <c r="H45" i="3974"/>
  <c r="H44" i="3974"/>
  <c r="H43" i="3974"/>
  <c r="H42" i="3974"/>
  <c r="H41" i="3974"/>
  <c r="H40" i="3974"/>
  <c r="H39" i="3974"/>
  <c r="H38" i="3974"/>
  <c r="H37" i="3974"/>
  <c r="H36" i="3974"/>
  <c r="H35" i="3974"/>
  <c r="H34" i="3974"/>
  <c r="H33" i="3974"/>
  <c r="H20" i="3974"/>
  <c r="H15" i="3974"/>
  <c r="H32" i="3974"/>
  <c r="H8" i="3974"/>
  <c r="H24" i="3974"/>
  <c r="C28" i="3974"/>
  <c r="H23" i="3974"/>
  <c r="H13" i="3974"/>
  <c r="H19" i="3974"/>
  <c r="H22" i="3974"/>
  <c r="H12" i="3974"/>
  <c r="C23" i="3974"/>
  <c r="H31" i="3974"/>
  <c r="C22" i="3974"/>
  <c r="H14" i="3974"/>
  <c r="B21" i="3974"/>
  <c r="H21" i="3974"/>
  <c r="H30" i="3974"/>
  <c r="C19" i="3974"/>
  <c r="H18" i="3974"/>
  <c r="H17" i="3974"/>
  <c r="H29" i="3974"/>
  <c r="B16" i="3974"/>
  <c r="B20" i="3974" s="1"/>
  <c r="H28" i="3974"/>
  <c r="C15" i="3974"/>
  <c r="H27" i="3974"/>
  <c r="C14" i="3974"/>
  <c r="H26" i="3974"/>
  <c r="C13" i="3974"/>
  <c r="H25" i="3974"/>
  <c r="C12" i="3974"/>
  <c r="H5" i="3974"/>
  <c r="C11" i="3974"/>
  <c r="H16" i="3974"/>
  <c r="C10" i="3974"/>
  <c r="H11" i="3974"/>
  <c r="C9" i="3974"/>
  <c r="H10" i="3974"/>
  <c r="C8" i="3974"/>
  <c r="O7" i="3974"/>
  <c r="H6" i="3974"/>
  <c r="C7" i="3974"/>
  <c r="O6" i="3974"/>
  <c r="H2" i="3974"/>
  <c r="B6" i="3974"/>
  <c r="O5" i="3974"/>
  <c r="H7" i="3974"/>
  <c r="B5" i="3974"/>
  <c r="O4" i="3974"/>
  <c r="H3" i="3974"/>
  <c r="O3" i="3974"/>
  <c r="H9" i="3974"/>
  <c r="O2" i="3974"/>
  <c r="H4" i="3974"/>
  <c r="O19" i="3968"/>
  <c r="O15" i="3968"/>
  <c r="O19" i="3966"/>
  <c r="O16" i="3966"/>
  <c r="B20" i="3976" l="1"/>
  <c r="C16" i="3976"/>
  <c r="C18" i="3976"/>
  <c r="C18" i="3974"/>
  <c r="C16" i="3974"/>
  <c r="C17" i="3974"/>
  <c r="O10" i="3972" l="1"/>
  <c r="O12" i="3972"/>
  <c r="H51" i="3972"/>
  <c r="H50" i="3972"/>
  <c r="H49" i="3972"/>
  <c r="H48" i="3972"/>
  <c r="H47" i="3972"/>
  <c r="H46" i="3972"/>
  <c r="H45" i="3972"/>
  <c r="H44" i="3972"/>
  <c r="H43" i="3972"/>
  <c r="H42" i="3972"/>
  <c r="H41" i="3972"/>
  <c r="H40" i="3972"/>
  <c r="H39" i="3972"/>
  <c r="H38" i="3972"/>
  <c r="H37" i="3972"/>
  <c r="H36" i="3972"/>
  <c r="H35" i="3972"/>
  <c r="H34" i="3972"/>
  <c r="H33" i="3972"/>
  <c r="H32" i="3972"/>
  <c r="H31" i="3972"/>
  <c r="H30" i="3972"/>
  <c r="H29" i="3972"/>
  <c r="H28" i="3972"/>
  <c r="C28" i="3972"/>
  <c r="H27" i="3972"/>
  <c r="H26" i="3972"/>
  <c r="H25" i="3972"/>
  <c r="H24" i="3972"/>
  <c r="H23" i="3972"/>
  <c r="C23" i="3972"/>
  <c r="H22" i="3972"/>
  <c r="C22" i="3972"/>
  <c r="H21" i="3972"/>
  <c r="B21" i="3972"/>
  <c r="H20" i="3972"/>
  <c r="H19" i="3972"/>
  <c r="C19" i="3972"/>
  <c r="H18" i="3972"/>
  <c r="H17" i="3972"/>
  <c r="H16" i="3972"/>
  <c r="B16" i="3972"/>
  <c r="B20" i="3972" s="1"/>
  <c r="H15" i="3972"/>
  <c r="C15" i="3972"/>
  <c r="H14" i="3972"/>
  <c r="C14" i="3972"/>
  <c r="H13" i="3972"/>
  <c r="C13" i="3972"/>
  <c r="H12" i="3972"/>
  <c r="C12" i="3972"/>
  <c r="H11" i="3972"/>
  <c r="C11" i="3972"/>
  <c r="H5" i="3972"/>
  <c r="C10" i="3972"/>
  <c r="H10" i="3972"/>
  <c r="C9" i="3972"/>
  <c r="H4" i="3972"/>
  <c r="C8" i="3972"/>
  <c r="O7" i="3972"/>
  <c r="H9" i="3972"/>
  <c r="C7" i="3972"/>
  <c r="O6" i="3972"/>
  <c r="H8" i="3972"/>
  <c r="B6" i="3972"/>
  <c r="O5" i="3972"/>
  <c r="H2" i="3972"/>
  <c r="B5" i="3972"/>
  <c r="O4" i="3972"/>
  <c r="H7" i="3972"/>
  <c r="O3" i="3972"/>
  <c r="H6" i="3972"/>
  <c r="O2" i="3972"/>
  <c r="H3" i="3972"/>
  <c r="O12" i="3970"/>
  <c r="O11" i="3970"/>
  <c r="H51" i="3970"/>
  <c r="H50" i="3970"/>
  <c r="H49" i="3970"/>
  <c r="H48" i="3970"/>
  <c r="H47" i="3970"/>
  <c r="H46" i="3970"/>
  <c r="H45" i="3970"/>
  <c r="H44" i="3970"/>
  <c r="H43" i="3970"/>
  <c r="H42" i="3970"/>
  <c r="H41" i="3970"/>
  <c r="H40" i="3970"/>
  <c r="H39" i="3970"/>
  <c r="H38" i="3970"/>
  <c r="H37" i="3970"/>
  <c r="H36" i="3970"/>
  <c r="H35" i="3970"/>
  <c r="H34" i="3970"/>
  <c r="H33" i="3970"/>
  <c r="H32" i="3970"/>
  <c r="H31" i="3970"/>
  <c r="H30" i="3970"/>
  <c r="H29" i="3970"/>
  <c r="H28" i="3970"/>
  <c r="C28" i="3970"/>
  <c r="H27" i="3970"/>
  <c r="H26" i="3970"/>
  <c r="H25" i="3970"/>
  <c r="H24" i="3970"/>
  <c r="H23" i="3970"/>
  <c r="C23" i="3970"/>
  <c r="H22" i="3970"/>
  <c r="C22" i="3970"/>
  <c r="H21" i="3970"/>
  <c r="B21" i="3970"/>
  <c r="H20" i="3970"/>
  <c r="H19" i="3970"/>
  <c r="C19" i="3970"/>
  <c r="H18" i="3970"/>
  <c r="H17" i="3970"/>
  <c r="H16" i="3970"/>
  <c r="B16" i="3970"/>
  <c r="C17" i="3970" s="1"/>
  <c r="H15" i="3970"/>
  <c r="C15" i="3970"/>
  <c r="H14" i="3970"/>
  <c r="C14" i="3970"/>
  <c r="H13" i="3970"/>
  <c r="C13" i="3970"/>
  <c r="H12" i="3970"/>
  <c r="C12" i="3970"/>
  <c r="H11" i="3970"/>
  <c r="C11" i="3970"/>
  <c r="H10" i="3970"/>
  <c r="C10" i="3970"/>
  <c r="H9" i="3970"/>
  <c r="C9" i="3970"/>
  <c r="H8" i="3970"/>
  <c r="C8" i="3970"/>
  <c r="O7" i="3970"/>
  <c r="H7" i="3970"/>
  <c r="C7" i="3970"/>
  <c r="O6" i="3970"/>
  <c r="H6" i="3970"/>
  <c r="B6" i="3970"/>
  <c r="O5" i="3970"/>
  <c r="H5" i="3970"/>
  <c r="B5" i="3970"/>
  <c r="O4" i="3970"/>
  <c r="H4" i="3970"/>
  <c r="O3" i="3970"/>
  <c r="H3" i="3970"/>
  <c r="O2" i="3970"/>
  <c r="H2" i="3970"/>
  <c r="O20" i="3966"/>
  <c r="O16" i="3968"/>
  <c r="O11" i="3968"/>
  <c r="H51" i="3968"/>
  <c r="H50" i="3968"/>
  <c r="H49" i="3968"/>
  <c r="H48" i="3968"/>
  <c r="H47" i="3968"/>
  <c r="H28" i="3968"/>
  <c r="H46" i="3968"/>
  <c r="H45" i="3968"/>
  <c r="H44" i="3968"/>
  <c r="H43" i="3968"/>
  <c r="H42" i="3968"/>
  <c r="H41" i="3968"/>
  <c r="H40" i="3968"/>
  <c r="H39" i="3968"/>
  <c r="H38" i="3968"/>
  <c r="H37" i="3968"/>
  <c r="H27" i="3968"/>
  <c r="H36" i="3968"/>
  <c r="H35" i="3968"/>
  <c r="H22" i="3968"/>
  <c r="H18" i="3968"/>
  <c r="H26" i="3968"/>
  <c r="H8" i="3968"/>
  <c r="H34" i="3968"/>
  <c r="C28" i="3968"/>
  <c r="H23" i="3968"/>
  <c r="H13" i="3968"/>
  <c r="H25" i="3968"/>
  <c r="H33" i="3968"/>
  <c r="H14" i="3968"/>
  <c r="C23" i="3968"/>
  <c r="H32" i="3968"/>
  <c r="C22" i="3968"/>
  <c r="H15" i="3968"/>
  <c r="B21" i="3968"/>
  <c r="H31" i="3968"/>
  <c r="H30" i="3968"/>
  <c r="C19" i="3968"/>
  <c r="H21" i="3968"/>
  <c r="H16" i="3968"/>
  <c r="H17" i="3968"/>
  <c r="B16" i="3968"/>
  <c r="C17" i="3968" s="1"/>
  <c r="H29" i="3968"/>
  <c r="C15" i="3968"/>
  <c r="H20" i="3968"/>
  <c r="C14" i="3968"/>
  <c r="H24" i="3968"/>
  <c r="C13" i="3968"/>
  <c r="H19" i="3968"/>
  <c r="C12" i="3968"/>
  <c r="H5" i="3968"/>
  <c r="C11" i="3968"/>
  <c r="H12" i="3968"/>
  <c r="C10" i="3968"/>
  <c r="H11" i="3968"/>
  <c r="C9" i="3968"/>
  <c r="H9" i="3968"/>
  <c r="C8" i="3968"/>
  <c r="O7" i="3968"/>
  <c r="H7" i="3968"/>
  <c r="C7" i="3968"/>
  <c r="O6" i="3968"/>
  <c r="H2" i="3968"/>
  <c r="B6" i="3968"/>
  <c r="O5" i="3968"/>
  <c r="H6" i="3968"/>
  <c r="B5" i="3968"/>
  <c r="O4" i="3968"/>
  <c r="H3" i="3968"/>
  <c r="O3" i="3968"/>
  <c r="H10" i="3968"/>
  <c r="O2" i="3968"/>
  <c r="H4" i="3968"/>
  <c r="O13" i="3966"/>
  <c r="O10" i="3966"/>
  <c r="H51" i="3966"/>
  <c r="H50" i="3966"/>
  <c r="H49" i="3966"/>
  <c r="H48" i="3966"/>
  <c r="H47" i="3966"/>
  <c r="H32" i="3966"/>
  <c r="H46" i="3966"/>
  <c r="H45" i="3966"/>
  <c r="H44" i="3966"/>
  <c r="H43" i="3966"/>
  <c r="H42" i="3966"/>
  <c r="H41" i="3966"/>
  <c r="H40" i="3966"/>
  <c r="H39" i="3966"/>
  <c r="H38" i="3966"/>
  <c r="H37" i="3966"/>
  <c r="H31" i="3966"/>
  <c r="H36" i="3966"/>
  <c r="H27" i="3966"/>
  <c r="H22" i="3966"/>
  <c r="H17" i="3966"/>
  <c r="H30" i="3966"/>
  <c r="H8" i="3966"/>
  <c r="H29" i="3966"/>
  <c r="C28" i="3966"/>
  <c r="H25" i="3966"/>
  <c r="H12" i="3966"/>
  <c r="H23" i="3966"/>
  <c r="H24" i="3966"/>
  <c r="H14" i="3966"/>
  <c r="C23" i="3966"/>
  <c r="H35" i="3966"/>
  <c r="C22" i="3966"/>
  <c r="H16" i="3966"/>
  <c r="B21" i="3966"/>
  <c r="H28" i="3966"/>
  <c r="H34" i="3966"/>
  <c r="C19" i="3966"/>
  <c r="H18" i="3966"/>
  <c r="H15" i="3966"/>
  <c r="H21" i="3966"/>
  <c r="B16" i="3966"/>
  <c r="C17" i="3966" s="1"/>
  <c r="H33" i="3966"/>
  <c r="C15" i="3966"/>
  <c r="H20" i="3966"/>
  <c r="C14" i="3966"/>
  <c r="H26" i="3966"/>
  <c r="C13" i="3966"/>
  <c r="H19" i="3966"/>
  <c r="C12" i="3966"/>
  <c r="H4" i="3966"/>
  <c r="C11" i="3966"/>
  <c r="H13" i="3966"/>
  <c r="C10" i="3966"/>
  <c r="H11" i="3966"/>
  <c r="C9" i="3966"/>
  <c r="H9" i="3966"/>
  <c r="C8" i="3966"/>
  <c r="O7" i="3966"/>
  <c r="H7" i="3966"/>
  <c r="C7" i="3966"/>
  <c r="O6" i="3966"/>
  <c r="H2" i="3966"/>
  <c r="B6" i="3966"/>
  <c r="O5" i="3966"/>
  <c r="H6" i="3966"/>
  <c r="B5" i="3966"/>
  <c r="O4" i="3966"/>
  <c r="H3" i="3966"/>
  <c r="O3" i="3966"/>
  <c r="H10" i="3966"/>
  <c r="O2" i="3966"/>
  <c r="H5" i="3966"/>
  <c r="C16" i="3970" l="1"/>
  <c r="C17" i="3972"/>
  <c r="C16" i="3972"/>
  <c r="C18" i="3972"/>
  <c r="C18" i="3970"/>
  <c r="B20" i="3970"/>
  <c r="C16" i="3968"/>
  <c r="C18" i="3968"/>
  <c r="B20" i="3968"/>
  <c r="C16" i="3966"/>
  <c r="C18" i="3966"/>
  <c r="B20" i="3966"/>
  <c r="O2" i="2228" l="1"/>
  <c r="O7" i="2228"/>
  <c r="O6" i="2228"/>
  <c r="O5" i="2228"/>
  <c r="O4" i="2228"/>
  <c r="O3" i="2228"/>
  <c r="C28" i="2228" l="1"/>
  <c r="C13" i="2228" l="1"/>
  <c r="C12" i="2228"/>
  <c r="C19" i="2228" l="1"/>
  <c r="C11" i="2228" l="1"/>
  <c r="C10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<sst xmlns="http://schemas.openxmlformats.org/spreadsheetml/2006/main" count="3201" uniqueCount="242">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</sst>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全体!$K$2:$K$656</c:f>
              <c:numCache>
                <c:formatCode>General</c:formatCode>
                <c:ptCount val="6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</c:numCache>
            </c:numRef>
          </c:xVal>
          <c:yVal>
            <c:numRef>
              <c:f>全体!$L$2:$L$656</c:f>
              <c:numCache>
                <c:formatCode>\+0.0;\-0.0;\±0</c:formatCode>
                <c:ptCount val="655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E6-4E76-AC4E-8907A08C9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-14.018691588785046</c:v>
                </c:pt>
                <c:pt idx="1">
                  <c:v>-1.6260162601626016</c:v>
                </c:pt>
                <c:pt idx="2">
                  <c:v>12.280701754385966</c:v>
                </c:pt>
                <c:pt idx="3">
                  <c:v>0</c:v>
                </c:pt>
                <c:pt idx="4">
                  <c:v>2.2831050228310503</c:v>
                </c:pt>
                <c:pt idx="5">
                  <c:v>-8.6206896551724146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8-4D80-9F3E-9C74F0442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だいち!$K$2:$K$194</c:f>
              <c:numCache>
                <c:formatCode>General</c:formatCode>
                <c:ptCount val="1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</c:numCache>
            </c:numRef>
          </c:xVal>
          <c:yVal>
            <c:numRef>
              <c:f>だいち!$L$2:$L$194</c:f>
              <c:numCache>
                <c:formatCode>\+0.0;\-0.0;\±0</c:formatCode>
                <c:ptCount val="193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8-48D1-BA60-02693B0E2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1268.6170212765958</c:v>
                </c:pt>
                <c:pt idx="1">
                  <c:v>446.11111111111109</c:v>
                </c:pt>
                <c:pt idx="2">
                  <c:v>1680.1204819277109</c:v>
                </c:pt>
                <c:pt idx="3">
                  <c:v>1401.3422818791946</c:v>
                </c:pt>
                <c:pt idx="4">
                  <c:v>2079.6875</c:v>
                </c:pt>
                <c:pt idx="5">
                  <c:v>1489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F-4E86-856A-C5B8F8F23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D0-4FB1-A45B-EFA5C024C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3D-4D02-943B-39EED01CB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6E-4D93-A01B-BF2870536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35-4278-AC00-406D1040B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りくと!$L$2:$L$113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A-4126-89A2-FB4912889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-330.27522935779814</c:v>
                </c:pt>
                <c:pt idx="1">
                  <c:v>-1934.2857142857142</c:v>
                </c:pt>
                <c:pt idx="2">
                  <c:v>2591.1764705882351</c:v>
                </c:pt>
                <c:pt idx="3">
                  <c:v>-1648.3516483516485</c:v>
                </c:pt>
                <c:pt idx="4">
                  <c:v>-3023.6842105263158</c:v>
                </c:pt>
                <c:pt idx="5">
                  <c:v>-2530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27-48C0-984C-9F6824BB2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F-42A6-A321-6DFAFDF5A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A5-42A9-AF76-BD9DB2D24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6-402D-831B-4117B6204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51-42BC-ACB0-538B2D4D8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9-4137-B47C-95A35FEA0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-2541.5094339622642</c:v>
                </c:pt>
                <c:pt idx="1">
                  <c:v>-3504</c:v>
                </c:pt>
                <c:pt idx="2">
                  <c:v>-1334.8837209302326</c:v>
                </c:pt>
                <c:pt idx="3">
                  <c:v>1414.6341463414635</c:v>
                </c:pt>
                <c:pt idx="4">
                  <c:v>-3200</c:v>
                </c:pt>
                <c:pt idx="5">
                  <c:v>-1538.4615384615386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E3-40EC-A243-3D1FA1F79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ただ!$L$2:$L$87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7-4983-BC7C-48506975E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2555.4216867469881</c:v>
                </c:pt>
                <c:pt idx="1">
                  <c:v>726.92307692307691</c:v>
                </c:pt>
                <c:pt idx="2">
                  <c:v>-22.535211267605632</c:v>
                </c:pt>
                <c:pt idx="3">
                  <c:v>-1139.3939393939395</c:v>
                </c:pt>
                <c:pt idx="4">
                  <c:v>76.785714285714292</c:v>
                </c:pt>
                <c:pt idx="5">
                  <c:v>591.83673469387759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F6-402A-A50E-A0964231C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やがさき!$L$2:$L$25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2-4C7C-8ED3-D40DDFB2E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313.04347826086956</c:v>
                </c:pt>
                <c:pt idx="1">
                  <c:v>4776.1904761904761</c:v>
                </c:pt>
                <c:pt idx="2">
                  <c:v>-4255.5555555555557</c:v>
                </c:pt>
                <c:pt idx="3">
                  <c:v>2970.5882352941176</c:v>
                </c:pt>
                <c:pt idx="4">
                  <c:v>-950</c:v>
                </c:pt>
                <c:pt idx="5">
                  <c:v>-1191.6666666666667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C7-47F4-BF4F-3861F2BBD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れんたろう!$L$2:$L$92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38-4900-A699-BF8D124E7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-1534.8837209302326</c:v>
                </c:pt>
                <c:pt idx="1">
                  <c:v>15.294117647058824</c:v>
                </c:pt>
                <c:pt idx="2">
                  <c:v>-1632.5</c:v>
                </c:pt>
                <c:pt idx="3">
                  <c:v>-568.49315068493149</c:v>
                </c:pt>
                <c:pt idx="4">
                  <c:v>-2213.4328358208954</c:v>
                </c:pt>
                <c:pt idx="5">
                  <c:v>1573.0769230769231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9-4818-9420-C26C9F51B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8-41BC-8CD5-66B3AF92B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8DA-89CF-CDA2E022B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0-4783-9F50-4D4892CDF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55-4238-89DE-9EA3A2AED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0.14285714285714285</c:v>
                </c:pt>
                <c:pt idx="6">
                  <c:v>0.1</c:v>
                </c:pt>
                <c:pt idx="7">
                  <c:v>0.18181818181818182</c:v>
                </c:pt>
                <c:pt idx="8">
                  <c:v>0.15384615384615385</c:v>
                </c:pt>
                <c:pt idx="9">
                  <c:v>0.1875</c:v>
                </c:pt>
                <c:pt idx="10">
                  <c:v>0.15</c:v>
                </c:pt>
                <c:pt idx="11">
                  <c:v>0.13636363636363635</c:v>
                </c:pt>
                <c:pt idx="12">
                  <c:v>0.15384615384615385</c:v>
                </c:pt>
                <c:pt idx="13">
                  <c:v>0.22580645161290322</c:v>
                </c:pt>
                <c:pt idx="14">
                  <c:v>0.25714285714285712</c:v>
                </c:pt>
                <c:pt idx="15">
                  <c:v>0.25714285714285712</c:v>
                </c:pt>
                <c:pt idx="16">
                  <c:v>0.27027027027027029</c:v>
                </c:pt>
                <c:pt idx="17">
                  <c:v>0.27500000000000002</c:v>
                </c:pt>
                <c:pt idx="18">
                  <c:v>0.26190476190476192</c:v>
                </c:pt>
                <c:pt idx="19">
                  <c:v>0.26666666666666666</c:v>
                </c:pt>
                <c:pt idx="20">
                  <c:v>0.27083333333333331</c:v>
                </c:pt>
                <c:pt idx="21">
                  <c:v>0.26</c:v>
                </c:pt>
                <c:pt idx="22">
                  <c:v>0.24528301886792453</c:v>
                </c:pt>
                <c:pt idx="23">
                  <c:v>0.23636363636363636</c:v>
                </c:pt>
                <c:pt idx="24">
                  <c:v>0.23214285714285715</c:v>
                </c:pt>
                <c:pt idx="25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D8EF19-2B00-440A-ADD9-862881C9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082836-0628-4711-AA97-BD644423B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29E225-C69E-4960-A774-2943E21255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5996E5-7D0E-4091-940D-D745FC587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B4E6693-5C5A-49A1-B021-C215034878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DE3E7F-8ED1-4251-A961-611750F0F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A39F534-87E3-44C2-A4DE-E18BB120F6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A4A3C4-E506-492E-8267-5E25F7D677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D117A75-BF5B-479B-AEB1-FC0BFBEDD6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43C36F-AF12-467E-8885-880240F54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B31C6B-D233-4F73-A4EB-A36019930C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84D194-C2BF-40FB-A7A1-66C9B56A5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2A5AEC-B581-4965-A008-69B8CF3F11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F33D70-99C6-46D6-BC35-5976141AC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2549FF3-4413-47CD-8DCC-BC3954134D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869812-A1B8-4828-9F24-6C174F6F71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F3D912-EF37-411B-B9D9-8A6D45A250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5E65EE-14B5-447E-90AF-26BD15A341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EF174B-72DE-46BB-A574-A6B3D10FF1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CF7FCD-3165-436E-85AA-EFBE75F58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23DEFA8-0A89-4877-B693-4E5EB09CDE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824594E-B7D8-466C-8399-89C3CB6259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8FC35D9-04F4-4FC2-B689-318CCA200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E11C31-3773-4F8E-8305-4F3DC59330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AC7372-FB95-4370-ACFE-8D628A93B2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BED172-131E-43C6-BA00-B7E8FEC281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37"/>
      <c r="C1" s="138"/>
      <c r="E1" s="33" t="s">
        <v>160</v>
      </c>
      <c r="F1" s="14" t="s">
        <v>120</v>
      </c>
      <c r="G1" s="29" t="s">
        <v>121</v>
      </c>
      <c r="H1" s="2" t="s">
        <v>122</v>
      </c>
      <c r="I1" s="115" t="s">
        <v>231</v>
      </c>
      <c r="K1" s="3" t="s">
        <v>20</v>
      </c>
      <c r="L1" s="43" t="s">
        <v>125</v>
      </c>
      <c r="N1" s="42" t="s">
        <v>156</v>
      </c>
      <c r="O1" s="119" t="s">
        <v>157</v>
      </c>
      <c r="P1" s="58" t="s">
        <v>239</v>
      </c>
      <c r="Q1" s="132" t="s">
        <v>121</v>
      </c>
    </row>
    <row r="2" spans="1:17" x14ac:dyDescent="0.4">
      <c r="A2" s="24" t="s">
        <v>9</v>
      </c>
      <c r="B2" s="139">
        <v>0</v>
      </c>
      <c r="C2" s="140"/>
      <c r="E2" s="34" t="s">
        <v>67</v>
      </c>
      <c r="F2" s="30" t="s">
        <v>21</v>
      </c>
      <c r="G2" s="16">
        <v>0</v>
      </c>
      <c r="H2" s="5">
        <f t="shared" ref="H2:H33" si="0">IF(B$25=0,0,G2/B$25)</f>
        <v>0</v>
      </c>
      <c r="I2" s="116"/>
      <c r="K2" s="4">
        <v>0</v>
      </c>
      <c r="L2" s="122">
        <v>0</v>
      </c>
      <c r="N2" s="44" t="s">
        <v>150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1">
        <v>0</v>
      </c>
      <c r="C3" s="142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151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43">
        <v>0</v>
      </c>
      <c r="C4" s="144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152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45">
        <f>IF(B$2=0,0,B$4/B$2)</f>
        <v>0</v>
      </c>
      <c r="C5" s="146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153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51">
        <f>IF(B$2=0,0,(B$7*1+B$8*2+B$9*3)/B$2)</f>
        <v>0</v>
      </c>
      <c r="C6" s="15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154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155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 t="shared" ref="C8:C9" si="2"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si="2"/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235</v>
      </c>
      <c r="O9" s="119" t="s">
        <v>236</v>
      </c>
      <c r="P9" s="129" t="s">
        <v>238</v>
      </c>
      <c r="Q9" s="134" t="s">
        <v>237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27" t="s">
        <v>158</v>
      </c>
      <c r="B11" s="19">
        <v>0</v>
      </c>
      <c r="C11" s="10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28" t="s">
        <v>128</v>
      </c>
      <c r="B12" s="20">
        <v>0</v>
      </c>
      <c r="C12" s="13">
        <f>IF(B$24=0,0,B12/B$24)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5" t="s">
        <v>123</v>
      </c>
      <c r="B13" s="17">
        <v>0</v>
      </c>
      <c r="C13" s="7">
        <f>IF(B$24=0,0,B13/B$24)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4" t="s">
        <v>130</v>
      </c>
      <c r="B14" s="16">
        <v>0</v>
      </c>
      <c r="C14" s="5">
        <f>IF(B$12=0,0,B14/B$12)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131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10</v>
      </c>
      <c r="B16" s="16">
        <f>B18+B17</f>
        <v>0</v>
      </c>
      <c r="C16" s="5">
        <f>IF(B$3=0,0,B16/B$3)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5" t="s">
        <v>12</v>
      </c>
      <c r="B17" s="17">
        <v>0</v>
      </c>
      <c r="C17" s="7">
        <f>IF(B$16=0,0,B17/B$16)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11</v>
      </c>
      <c r="B18" s="17">
        <v>0</v>
      </c>
      <c r="C18" s="7">
        <f>IF(B$16=0,0,B18/B$16)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13</v>
      </c>
      <c r="B19" s="17">
        <v>0</v>
      </c>
      <c r="C19" s="7">
        <f>IF(B$3=0,0,B19/B$3)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5</v>
      </c>
      <c r="B20" s="21">
        <f>IF(B$16=0,0,C20/B$16)</f>
        <v>0</v>
      </c>
      <c r="C20" s="9"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7" t="s">
        <v>14</v>
      </c>
      <c r="B21" s="22">
        <f>IF(B$19=0,0,C21/B$19)</f>
        <v>0</v>
      </c>
      <c r="C21" s="15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4" t="s">
        <v>147</v>
      </c>
      <c r="B22" s="16">
        <v>0</v>
      </c>
      <c r="C22" s="5">
        <f>IF(B$3=0,0,B22/B$3)</f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27" t="s">
        <v>148</v>
      </c>
      <c r="B23" s="19">
        <v>0</v>
      </c>
      <c r="C23" s="10">
        <f>IF(B$22=0,0,B23/B$22)</f>
        <v>0</v>
      </c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24" t="s">
        <v>126</v>
      </c>
      <c r="B24" s="139">
        <v>0</v>
      </c>
      <c r="C24" s="140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127</v>
      </c>
      <c r="B25" s="153">
        <v>0</v>
      </c>
      <c r="C25" s="154"/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112" t="s">
        <v>162</v>
      </c>
      <c r="B26" s="149">
        <v>0</v>
      </c>
      <c r="C26" s="150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75" t="s">
        <v>203</v>
      </c>
      <c r="B27" s="147"/>
      <c r="C27" s="148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A28" s="27" t="s">
        <v>163</v>
      </c>
      <c r="B28" s="40">
        <v>0</v>
      </c>
      <c r="C28" s="10">
        <f>IF(B$3=0,0,B28/B$3)</f>
        <v>0</v>
      </c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IF(B$25=0,0,G34/B$25)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27:C27"/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3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169</v>
      </c>
      <c r="B2" s="39">
        <v>43502.904247685183</v>
      </c>
      <c r="C2" s="38" t="s">
        <v>140</v>
      </c>
    </row>
    <row r="3" spans="1:14" x14ac:dyDescent="0.4">
      <c r="A3" s="38" t="s">
        <v>172</v>
      </c>
      <c r="B3" s="39">
        <v>43502.904247685183</v>
      </c>
      <c r="C3" s="38" t="s">
        <v>140</v>
      </c>
    </row>
    <row r="4" spans="1:14" x14ac:dyDescent="0.4">
      <c r="A4" s="38" t="s">
        <v>173</v>
      </c>
      <c r="B4" s="39">
        <v>43502.904247685183</v>
      </c>
      <c r="C4" s="38" t="s">
        <v>140</v>
      </c>
    </row>
    <row r="5" spans="1:14" x14ac:dyDescent="0.4">
      <c r="A5" s="38" t="s">
        <v>174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176</v>
      </c>
      <c r="B6" s="39">
        <v>43502.904247685183</v>
      </c>
      <c r="C6" s="38" t="s">
        <v>140</v>
      </c>
    </row>
    <row r="7" spans="1:14" x14ac:dyDescent="0.4">
      <c r="A7" s="38" t="s">
        <v>177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178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179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180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181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182</v>
      </c>
      <c r="B12" s="39">
        <v>43502.905972222223</v>
      </c>
      <c r="C12" s="38" t="s">
        <v>140</v>
      </c>
    </row>
    <row r="13" spans="1:14" x14ac:dyDescent="0.4">
      <c r="A13" s="38" t="s">
        <v>183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184</v>
      </c>
      <c r="K13" s="38" t="s">
        <v>185</v>
      </c>
      <c r="L13" s="38" t="s">
        <v>186</v>
      </c>
      <c r="M13" s="38" t="s">
        <v>187</v>
      </c>
      <c r="N13" s="38" t="s">
        <v>188</v>
      </c>
    </row>
    <row r="14" spans="1:14" x14ac:dyDescent="0.4">
      <c r="A14" s="38" t="s">
        <v>189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190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191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192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193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194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195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196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197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205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206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207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208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209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210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211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212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213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214</v>
      </c>
      <c r="B32" s="39">
        <v>43475.056238425925</v>
      </c>
      <c r="C32" s="38" t="s">
        <v>140</v>
      </c>
    </row>
    <row r="33" spans="1:10" x14ac:dyDescent="0.4">
      <c r="A33" s="38" t="s">
        <v>215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216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184</v>
      </c>
    </row>
    <row r="35" spans="1:10" x14ac:dyDescent="0.4">
      <c r="A35" s="38" t="s">
        <v>217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184</v>
      </c>
    </row>
    <row r="36" spans="1:10" x14ac:dyDescent="0.4">
      <c r="A36" s="38" t="s">
        <v>218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219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220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221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222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223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224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225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226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227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228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229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230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232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233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234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240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184</v>
      </c>
      <c r="K52" s="38" t="s">
        <v>185</v>
      </c>
      <c r="L52" s="38" t="s">
        <v>186</v>
      </c>
    </row>
    <row r="53" spans="1:12" x14ac:dyDescent="0.4">
      <c r="A53" s="38" t="s">
        <v>241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165</v>
      </c>
    </row>
    <row r="2" spans="1:1" x14ac:dyDescent="0.4">
      <c r="A2" t="s">
        <v>133</v>
      </c>
    </row>
    <row r="3" spans="1:1" x14ac:dyDescent="0.4">
      <c r="A3" t="s">
        <v>170</v>
      </c>
    </row>
    <row r="4" spans="1:1" x14ac:dyDescent="0.4">
      <c r="A4" t="s">
        <v>171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175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198</v>
      </c>
    </row>
    <row r="13" spans="1:1" x14ac:dyDescent="0.4">
      <c r="A13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8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9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7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8" customWidth="1"/>
    <col min="24" max="24" width="10.75" style="105" customWidth="1"/>
    <col min="25" max="25" width="10.75" style="108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10" customWidth="1"/>
    <col min="36" max="36" width="10.75" style="105" customWidth="1"/>
    <col min="37" max="37" width="10.75" style="114" customWidth="1"/>
    <col min="38" max="38" width="10.75" style="105" customWidth="1"/>
    <col min="39" max="39" width="10.75" style="111" customWidth="1"/>
    <col min="40" max="16384" width="9" style="91"/>
  </cols>
  <sheetData>
    <row r="1" spans="1:39" x14ac:dyDescent="0.4">
      <c r="A1" s="90"/>
      <c r="B1" s="155" t="s">
        <v>6</v>
      </c>
      <c r="C1" s="156"/>
      <c r="D1" s="155" t="s">
        <v>7</v>
      </c>
      <c r="E1" s="156"/>
      <c r="F1" s="155" t="s">
        <v>16</v>
      </c>
      <c r="G1" s="156"/>
      <c r="H1" s="155" t="s">
        <v>15</v>
      </c>
      <c r="I1" s="156"/>
      <c r="J1" s="155" t="s">
        <v>199</v>
      </c>
      <c r="K1" s="156"/>
      <c r="L1" s="155" t="s">
        <v>200</v>
      </c>
      <c r="M1" s="156"/>
      <c r="N1" s="155" t="s">
        <v>5</v>
      </c>
      <c r="O1" s="156"/>
      <c r="P1" s="155" t="s">
        <v>17</v>
      </c>
      <c r="Q1" s="156"/>
      <c r="R1" s="155" t="s">
        <v>18</v>
      </c>
      <c r="S1" s="156"/>
      <c r="T1" s="155" t="s">
        <v>159</v>
      </c>
      <c r="U1" s="156"/>
      <c r="V1" s="155" t="s">
        <v>129</v>
      </c>
      <c r="W1" s="156"/>
      <c r="X1" s="155" t="s">
        <v>124</v>
      </c>
      <c r="Y1" s="156"/>
      <c r="Z1" s="155" t="s">
        <v>132</v>
      </c>
      <c r="AA1" s="156"/>
      <c r="AB1" s="155" t="s">
        <v>201</v>
      </c>
      <c r="AC1" s="156"/>
      <c r="AD1" s="155" t="s">
        <v>164</v>
      </c>
      <c r="AE1" s="156"/>
      <c r="AF1" s="155" t="s">
        <v>149</v>
      </c>
      <c r="AG1" s="156"/>
      <c r="AH1" s="155" t="s">
        <v>202</v>
      </c>
      <c r="AI1" s="156"/>
      <c r="AJ1" s="155" t="s">
        <v>204</v>
      </c>
      <c r="AK1" s="156"/>
      <c r="AL1" s="155" t="s">
        <v>163</v>
      </c>
      <c r="AM1" s="156"/>
    </row>
    <row r="2" spans="1:39" x14ac:dyDescent="0.4">
      <c r="A2" s="92">
        <v>1</v>
      </c>
      <c r="B2" s="93" t="s">
        <v>133</v>
      </c>
      <c r="C2" s="94">
        <v>1257.6000000000001</v>
      </c>
      <c r="D2" s="95" t="s">
        <v>198</v>
      </c>
      <c r="E2" s="120">
        <v>7.833333333333333</v>
      </c>
      <c r="F2" s="95" t="s">
        <v>133</v>
      </c>
      <c r="G2" s="96">
        <v>1.78125</v>
      </c>
      <c r="H2" s="95" t="s">
        <v>198</v>
      </c>
      <c r="I2" s="97">
        <v>0.5</v>
      </c>
      <c r="J2" s="95" t="s">
        <v>198</v>
      </c>
      <c r="K2" s="98">
        <v>0.38</v>
      </c>
      <c r="L2" s="95" t="s">
        <v>198</v>
      </c>
      <c r="M2" s="98">
        <v>0.08</v>
      </c>
      <c r="N2" s="95" t="s">
        <v>138</v>
      </c>
      <c r="O2" s="99">
        <v>11427.450980392157</v>
      </c>
      <c r="P2" s="95" t="s">
        <v>170</v>
      </c>
      <c r="Q2" s="99">
        <v>-8240</v>
      </c>
      <c r="R2" s="95" t="s">
        <v>171</v>
      </c>
      <c r="S2" s="97">
        <v>0</v>
      </c>
      <c r="T2" s="95" t="s">
        <v>133</v>
      </c>
      <c r="U2" s="97">
        <v>0.20833333333333334</v>
      </c>
      <c r="V2" s="95" t="s">
        <v>171</v>
      </c>
      <c r="W2" s="98">
        <v>0.45454545454545453</v>
      </c>
      <c r="X2" s="95" t="s">
        <v>161</v>
      </c>
      <c r="Y2" s="98">
        <v>0.38775510204081631</v>
      </c>
      <c r="Z2" s="95" t="s">
        <v>175</v>
      </c>
      <c r="AA2" s="98">
        <v>0.75</v>
      </c>
      <c r="AB2" s="95" t="s">
        <v>198</v>
      </c>
      <c r="AC2" s="98">
        <v>0.5</v>
      </c>
      <c r="AD2" s="95" t="s">
        <v>170</v>
      </c>
      <c r="AE2" s="98">
        <v>1</v>
      </c>
      <c r="AF2" s="95" t="s">
        <v>175</v>
      </c>
      <c r="AG2" s="98">
        <v>0.46153846153846156</v>
      </c>
      <c r="AH2" s="95" t="s">
        <v>165</v>
      </c>
      <c r="AI2" s="100">
        <v>10</v>
      </c>
      <c r="AJ2" s="95" t="s">
        <v>165</v>
      </c>
      <c r="AK2" s="113">
        <v>124700</v>
      </c>
      <c r="AL2" s="95" t="s">
        <v>165</v>
      </c>
      <c r="AM2" s="101">
        <v>19</v>
      </c>
    </row>
    <row r="3" spans="1:39" x14ac:dyDescent="0.4">
      <c r="A3" s="102">
        <v>2</v>
      </c>
      <c r="B3" s="103" t="s">
        <v>137</v>
      </c>
      <c r="C3" s="104">
        <v>265.99999999999994</v>
      </c>
      <c r="D3" s="105" t="s">
        <v>133</v>
      </c>
      <c r="E3" s="121">
        <v>6.5500000000000007</v>
      </c>
      <c r="F3" s="105" t="s">
        <v>198</v>
      </c>
      <c r="G3" s="106">
        <v>1.8333333333333333</v>
      </c>
      <c r="H3" s="105" t="s">
        <v>133</v>
      </c>
      <c r="I3" s="107">
        <v>0.43229166666666669</v>
      </c>
      <c r="J3" s="105" t="s">
        <v>133</v>
      </c>
      <c r="K3" s="108">
        <v>0.35519888346127004</v>
      </c>
      <c r="L3" s="105" t="s">
        <v>171</v>
      </c>
      <c r="M3" s="108">
        <v>0.125</v>
      </c>
      <c r="N3" s="105" t="s">
        <v>134</v>
      </c>
      <c r="O3" s="109">
        <v>11140.90909090909</v>
      </c>
      <c r="P3" s="105" t="s">
        <v>161</v>
      </c>
      <c r="Q3" s="109">
        <v>-8441.176470588236</v>
      </c>
      <c r="R3" s="105" t="s">
        <v>133</v>
      </c>
      <c r="S3" s="107">
        <v>0.10416666666666667</v>
      </c>
      <c r="T3" s="105" t="s">
        <v>175</v>
      </c>
      <c r="U3" s="107">
        <v>0.2</v>
      </c>
      <c r="V3" s="105" t="s">
        <v>198</v>
      </c>
      <c r="W3" s="108">
        <v>0.42</v>
      </c>
      <c r="X3" s="105" t="s">
        <v>135</v>
      </c>
      <c r="Y3" s="108">
        <v>0.31976744186046513</v>
      </c>
      <c r="Z3" s="105" t="s">
        <v>133</v>
      </c>
      <c r="AA3" s="108">
        <v>0.65656565656565657</v>
      </c>
      <c r="AB3" s="105" t="s">
        <v>133</v>
      </c>
      <c r="AC3" s="108">
        <v>0.48241206030150752</v>
      </c>
      <c r="AD3" s="105" t="s">
        <v>135</v>
      </c>
      <c r="AE3" s="108">
        <v>0.46527777777777779</v>
      </c>
      <c r="AF3" s="105" t="s">
        <v>198</v>
      </c>
      <c r="AG3" s="108">
        <v>0.4375</v>
      </c>
      <c r="AH3" s="105" t="s">
        <v>133</v>
      </c>
      <c r="AI3" s="110">
        <v>10</v>
      </c>
      <c r="AJ3" s="105" t="s">
        <v>139</v>
      </c>
      <c r="AK3" s="114">
        <v>124700</v>
      </c>
      <c r="AL3" s="105" t="s">
        <v>139</v>
      </c>
      <c r="AM3" s="111">
        <v>7</v>
      </c>
    </row>
    <row r="4" spans="1:39" x14ac:dyDescent="0.4">
      <c r="A4" s="102">
        <v>3</v>
      </c>
      <c r="B4" s="103" t="s">
        <v>135</v>
      </c>
      <c r="C4" s="104">
        <v>257.3</v>
      </c>
      <c r="D4" s="105" t="s">
        <v>135</v>
      </c>
      <c r="E4" s="121">
        <v>4.5140350877192983</v>
      </c>
      <c r="F4" s="105" t="s">
        <v>135</v>
      </c>
      <c r="G4" s="106">
        <v>1.8771929824561404</v>
      </c>
      <c r="H4" s="105" t="s">
        <v>137</v>
      </c>
      <c r="I4" s="107">
        <v>0.4</v>
      </c>
      <c r="J4" s="105" t="s">
        <v>135</v>
      </c>
      <c r="K4" s="108">
        <v>0.35121951219512193</v>
      </c>
      <c r="L4" s="105" t="s">
        <v>133</v>
      </c>
      <c r="M4" s="108">
        <v>0.14026517794836008</v>
      </c>
      <c r="N4" s="105" t="s">
        <v>139</v>
      </c>
      <c r="O4" s="109">
        <v>10833.668341708542</v>
      </c>
      <c r="P4" s="105" t="s">
        <v>135</v>
      </c>
      <c r="Q4" s="109">
        <v>-9007.8125</v>
      </c>
      <c r="R4" s="105" t="s">
        <v>135</v>
      </c>
      <c r="S4" s="107">
        <v>0.12280701754385964</v>
      </c>
      <c r="T4" s="105" t="s">
        <v>137</v>
      </c>
      <c r="U4" s="107">
        <v>0.18823529411764706</v>
      </c>
      <c r="V4" s="105" t="s">
        <v>138</v>
      </c>
      <c r="W4" s="108">
        <v>0.33663366336633666</v>
      </c>
      <c r="X4" s="105" t="s">
        <v>136</v>
      </c>
      <c r="Y4" s="108">
        <v>0.27004219409282698</v>
      </c>
      <c r="Z4" s="105" t="s">
        <v>198</v>
      </c>
      <c r="AA4" s="108">
        <v>0.61904761904761907</v>
      </c>
      <c r="AB4" s="105" t="s">
        <v>165</v>
      </c>
      <c r="AC4" s="108">
        <v>0.38910012674271227</v>
      </c>
      <c r="AD4" s="105" t="s">
        <v>139</v>
      </c>
      <c r="AE4" s="108">
        <v>0.457286432160804</v>
      </c>
      <c r="AF4" s="105" t="s">
        <v>133</v>
      </c>
      <c r="AG4" s="108">
        <v>0.4164989939637827</v>
      </c>
      <c r="AH4" s="105" t="s">
        <v>134</v>
      </c>
      <c r="AI4" s="110">
        <v>10</v>
      </c>
      <c r="AJ4" s="105" t="s">
        <v>133</v>
      </c>
      <c r="AK4" s="114">
        <v>120200</v>
      </c>
      <c r="AL4" s="105" t="s">
        <v>134</v>
      </c>
      <c r="AM4" s="111">
        <v>4</v>
      </c>
    </row>
    <row r="5" spans="1:39" x14ac:dyDescent="0.4">
      <c r="A5" s="102">
        <v>4</v>
      </c>
      <c r="B5" s="103" t="s">
        <v>138</v>
      </c>
      <c r="C5" s="104">
        <v>53.800000000000026</v>
      </c>
      <c r="D5" s="105" t="s">
        <v>137</v>
      </c>
      <c r="E5" s="121">
        <v>3.1294117647058819</v>
      </c>
      <c r="F5" s="105" t="s">
        <v>137</v>
      </c>
      <c r="G5" s="106">
        <v>1.8941176470588235</v>
      </c>
      <c r="H5" s="105" t="s">
        <v>135</v>
      </c>
      <c r="I5" s="107">
        <v>0.35087719298245612</v>
      </c>
      <c r="J5" s="105" t="s">
        <v>137</v>
      </c>
      <c r="K5" s="108">
        <v>0.31537242472266241</v>
      </c>
      <c r="L5" s="105" t="s">
        <v>135</v>
      </c>
      <c r="M5" s="108">
        <v>0.15609756097560976</v>
      </c>
      <c r="N5" s="105" t="s">
        <v>137</v>
      </c>
      <c r="O5" s="109">
        <v>10507.537688442211</v>
      </c>
      <c r="P5" s="105" t="s">
        <v>138</v>
      </c>
      <c r="Q5" s="109">
        <v>-9023.3333333333339</v>
      </c>
      <c r="R5" s="105" t="s">
        <v>137</v>
      </c>
      <c r="S5" s="107">
        <v>0.12941176470588237</v>
      </c>
      <c r="T5" s="105" t="s">
        <v>135</v>
      </c>
      <c r="U5" s="107">
        <v>0.17543859649122806</v>
      </c>
      <c r="V5" s="105" t="s">
        <v>137</v>
      </c>
      <c r="W5" s="108">
        <v>0.31683168316831684</v>
      </c>
      <c r="X5" s="105" t="s">
        <v>137</v>
      </c>
      <c r="Y5" s="108">
        <v>0.23564356435643563</v>
      </c>
      <c r="Z5" s="105" t="s">
        <v>135</v>
      </c>
      <c r="AA5" s="108">
        <v>0.61538461538461542</v>
      </c>
      <c r="AB5" s="105" t="s">
        <v>134</v>
      </c>
      <c r="AC5" s="108">
        <v>0.3867924528301887</v>
      </c>
      <c r="AD5" s="105" t="s">
        <v>136</v>
      </c>
      <c r="AE5" s="108">
        <v>0.45283018867924529</v>
      </c>
      <c r="AF5" s="105" t="s">
        <v>138</v>
      </c>
      <c r="AG5" s="108">
        <v>0.40579710144927539</v>
      </c>
      <c r="AH5" s="105" t="s">
        <v>137</v>
      </c>
      <c r="AI5" s="110">
        <v>9</v>
      </c>
      <c r="AJ5" s="105" t="s">
        <v>135</v>
      </c>
      <c r="AK5" s="114">
        <v>118000</v>
      </c>
      <c r="AL5" s="105" t="s">
        <v>137</v>
      </c>
      <c r="AM5" s="111">
        <v>3</v>
      </c>
    </row>
    <row r="6" spans="1:39" x14ac:dyDescent="0.4">
      <c r="A6" s="102">
        <v>5</v>
      </c>
      <c r="B6" s="103" t="s">
        <v>198</v>
      </c>
      <c r="C6" s="104">
        <v>47</v>
      </c>
      <c r="D6" s="105" t="s">
        <v>138</v>
      </c>
      <c r="E6" s="121">
        <v>2.3391304347826098</v>
      </c>
      <c r="F6" s="105" t="s">
        <v>165</v>
      </c>
      <c r="G6" s="106">
        <v>2</v>
      </c>
      <c r="H6" s="105" t="s">
        <v>138</v>
      </c>
      <c r="I6" s="107">
        <v>0.34782608695652173</v>
      </c>
      <c r="J6" s="105" t="s">
        <v>165</v>
      </c>
      <c r="K6" s="108">
        <v>0.30440938511326859</v>
      </c>
      <c r="L6" s="105" t="s">
        <v>137</v>
      </c>
      <c r="M6" s="108">
        <v>0.16006339144215531</v>
      </c>
      <c r="N6" s="105" t="s">
        <v>165</v>
      </c>
      <c r="O6" s="109">
        <v>10265.913621262458</v>
      </c>
      <c r="P6" s="105" t="s">
        <v>137</v>
      </c>
      <c r="Q6" s="109">
        <v>-9242.574257425742</v>
      </c>
      <c r="R6" s="105" t="s">
        <v>165</v>
      </c>
      <c r="S6" s="107">
        <v>0.16513761467889909</v>
      </c>
      <c r="T6" s="105" t="s">
        <v>138</v>
      </c>
      <c r="U6" s="107">
        <v>0.17391304347826086</v>
      </c>
      <c r="V6" s="105" t="s">
        <v>139</v>
      </c>
      <c r="W6" s="108">
        <v>0.30934150076569678</v>
      </c>
      <c r="X6" s="105" t="s">
        <v>138</v>
      </c>
      <c r="Y6" s="108">
        <v>0.22772277227722773</v>
      </c>
      <c r="Z6" s="105" t="s">
        <v>137</v>
      </c>
      <c r="AA6" s="108">
        <v>0.60624999999999996</v>
      </c>
      <c r="AB6" s="105" t="s">
        <v>135</v>
      </c>
      <c r="AC6" s="108">
        <v>0.38181818181818183</v>
      </c>
      <c r="AD6" s="105" t="s">
        <v>137</v>
      </c>
      <c r="AE6" s="108">
        <v>0.45226130653266333</v>
      </c>
      <c r="AF6" s="105" t="s">
        <v>135</v>
      </c>
      <c r="AG6" s="108">
        <v>0.37086092715231789</v>
      </c>
      <c r="AH6" s="105" t="s">
        <v>135</v>
      </c>
      <c r="AI6" s="110">
        <v>7</v>
      </c>
      <c r="AJ6" s="105" t="s">
        <v>137</v>
      </c>
      <c r="AK6" s="114">
        <v>109300</v>
      </c>
      <c r="AL6" s="105" t="s">
        <v>133</v>
      </c>
      <c r="AM6" s="111">
        <v>2</v>
      </c>
    </row>
    <row r="7" spans="1:39" x14ac:dyDescent="0.4">
      <c r="A7" s="102">
        <v>6</v>
      </c>
      <c r="B7" s="103" t="s">
        <v>165</v>
      </c>
      <c r="C7" s="104">
        <v>-4.9999999999999574</v>
      </c>
      <c r="D7" s="105" t="s">
        <v>165</v>
      </c>
      <c r="E7" s="121">
        <v>-7.6452599388378553E-3</v>
      </c>
      <c r="F7" s="105" t="s">
        <v>138</v>
      </c>
      <c r="G7" s="106">
        <v>2</v>
      </c>
      <c r="H7" s="105" t="s">
        <v>165</v>
      </c>
      <c r="I7" s="107">
        <v>0.33333333333333331</v>
      </c>
      <c r="J7" s="105" t="s">
        <v>139</v>
      </c>
      <c r="K7" s="108">
        <v>0.28840579710144926</v>
      </c>
      <c r="L7" s="105" t="s">
        <v>138</v>
      </c>
      <c r="M7" s="108">
        <v>0.16393442622950818</v>
      </c>
      <c r="N7" s="105" t="s">
        <v>133</v>
      </c>
      <c r="O7" s="109">
        <v>9996.4636542239678</v>
      </c>
      <c r="P7" s="105" t="s">
        <v>136</v>
      </c>
      <c r="Q7" s="109">
        <v>-9473.4939759036151</v>
      </c>
      <c r="R7" s="105" t="s">
        <v>198</v>
      </c>
      <c r="S7" s="107">
        <v>0.16666666666666666</v>
      </c>
      <c r="T7" s="105" t="s">
        <v>198</v>
      </c>
      <c r="U7" s="107">
        <v>0.16666666666666666</v>
      </c>
      <c r="V7" s="105" t="s">
        <v>133</v>
      </c>
      <c r="W7" s="108">
        <v>0.30399181166837258</v>
      </c>
      <c r="X7" s="105" t="s">
        <v>165</v>
      </c>
      <c r="Y7" s="108">
        <v>0.22363945578231292</v>
      </c>
      <c r="Z7" s="105" t="s">
        <v>165</v>
      </c>
      <c r="AA7" s="108">
        <v>0.59064327485380119</v>
      </c>
      <c r="AB7" s="105" t="s">
        <v>136</v>
      </c>
      <c r="AC7" s="108">
        <v>0.375</v>
      </c>
      <c r="AD7" s="105" t="s">
        <v>138</v>
      </c>
      <c r="AE7" s="108">
        <v>0.45098039215686275</v>
      </c>
      <c r="AF7" s="105" t="s">
        <v>165</v>
      </c>
      <c r="AG7" s="108">
        <v>0.35892748324192564</v>
      </c>
      <c r="AH7" s="105" t="s">
        <v>138</v>
      </c>
      <c r="AI7" s="110">
        <v>7</v>
      </c>
      <c r="AJ7" s="105" t="s">
        <v>138</v>
      </c>
      <c r="AK7" s="114">
        <v>109300</v>
      </c>
      <c r="AL7" s="105" t="s">
        <v>136</v>
      </c>
      <c r="AM7" s="111">
        <v>2</v>
      </c>
    </row>
    <row r="8" spans="1:39" x14ac:dyDescent="0.4">
      <c r="A8" s="102">
        <v>7</v>
      </c>
      <c r="B8" s="103" t="s">
        <v>171</v>
      </c>
      <c r="C8" s="104">
        <v>-26.5</v>
      </c>
      <c r="D8" s="105" t="s">
        <v>134</v>
      </c>
      <c r="E8" s="121">
        <v>-4.2198198198198194</v>
      </c>
      <c r="F8" s="105" t="s">
        <v>134</v>
      </c>
      <c r="G8" s="106">
        <v>2.1261261261261262</v>
      </c>
      <c r="H8" s="105" t="s">
        <v>134</v>
      </c>
      <c r="I8" s="107">
        <v>0.28828828828828829</v>
      </c>
      <c r="J8" s="105" t="s">
        <v>138</v>
      </c>
      <c r="K8" s="108">
        <v>0.27868852459016391</v>
      </c>
      <c r="L8" s="105" t="s">
        <v>161</v>
      </c>
      <c r="M8" s="108">
        <v>0.17346938775510204</v>
      </c>
      <c r="N8" s="105" t="s">
        <v>135</v>
      </c>
      <c r="O8" s="109">
        <v>9825.6944444444453</v>
      </c>
      <c r="P8" s="105" t="s">
        <v>133</v>
      </c>
      <c r="Q8" s="109">
        <v>-9502.4875621890551</v>
      </c>
      <c r="R8" s="105" t="s">
        <v>134</v>
      </c>
      <c r="S8" s="107">
        <v>0.2072072072072072</v>
      </c>
      <c r="T8" s="105" t="s">
        <v>165</v>
      </c>
      <c r="U8" s="107">
        <v>0.16513761467889909</v>
      </c>
      <c r="V8" s="105" t="s">
        <v>165</v>
      </c>
      <c r="W8" s="108">
        <v>0.29081632653061223</v>
      </c>
      <c r="X8" s="105" t="s">
        <v>139</v>
      </c>
      <c r="Y8" s="108">
        <v>0.20826952526799389</v>
      </c>
      <c r="Z8" s="105" t="s">
        <v>139</v>
      </c>
      <c r="AA8" s="108">
        <v>0.58910891089108908</v>
      </c>
      <c r="AB8" s="105" t="s">
        <v>137</v>
      </c>
      <c r="AC8" s="108">
        <v>0.36974789915966388</v>
      </c>
      <c r="AD8" s="105" t="s">
        <v>134</v>
      </c>
      <c r="AE8" s="108">
        <v>0.42272727272727273</v>
      </c>
      <c r="AF8" s="105" t="s">
        <v>136</v>
      </c>
      <c r="AG8" s="108">
        <v>0.3559322033898305</v>
      </c>
      <c r="AH8" s="105" t="s">
        <v>139</v>
      </c>
      <c r="AI8" s="110">
        <v>7</v>
      </c>
      <c r="AJ8" s="105" t="s">
        <v>136</v>
      </c>
      <c r="AK8" s="114">
        <v>103200</v>
      </c>
      <c r="AL8" s="105" t="s">
        <v>135</v>
      </c>
      <c r="AM8" s="111">
        <v>1</v>
      </c>
    </row>
    <row r="9" spans="1:39" x14ac:dyDescent="0.4">
      <c r="A9" s="102">
        <v>8</v>
      </c>
      <c r="B9" s="103" t="s">
        <v>175</v>
      </c>
      <c r="C9" s="104">
        <v>-86.4</v>
      </c>
      <c r="D9" s="105" t="s">
        <v>139</v>
      </c>
      <c r="E9" s="121">
        <v>-5.35111111111111</v>
      </c>
      <c r="F9" s="105" t="s">
        <v>175</v>
      </c>
      <c r="G9" s="106">
        <v>2.2000000000000002</v>
      </c>
      <c r="H9" s="105" t="s">
        <v>139</v>
      </c>
      <c r="I9" s="107">
        <v>0.24444444444444444</v>
      </c>
      <c r="J9" s="105" t="s">
        <v>175</v>
      </c>
      <c r="K9" s="108">
        <v>0.27027027027027029</v>
      </c>
      <c r="L9" s="105" t="s">
        <v>165</v>
      </c>
      <c r="M9" s="108">
        <v>0.17354368932038836</v>
      </c>
      <c r="N9" s="105" t="s">
        <v>161</v>
      </c>
      <c r="O9" s="109">
        <v>9343.181818181818</v>
      </c>
      <c r="P9" s="105" t="s">
        <v>165</v>
      </c>
      <c r="Q9" s="109">
        <v>-9507.9254079254079</v>
      </c>
      <c r="R9" s="105" t="s">
        <v>136</v>
      </c>
      <c r="S9" s="107">
        <v>0.20754716981132076</v>
      </c>
      <c r="T9" s="105" t="s">
        <v>134</v>
      </c>
      <c r="U9" s="107">
        <v>0.13513513513513514</v>
      </c>
      <c r="V9" s="105" t="s">
        <v>134</v>
      </c>
      <c r="W9" s="108">
        <v>0.29075630252100843</v>
      </c>
      <c r="X9" s="105" t="s">
        <v>133</v>
      </c>
      <c r="Y9" s="108">
        <v>0.20368474923234392</v>
      </c>
      <c r="Z9" s="105" t="s">
        <v>134</v>
      </c>
      <c r="AA9" s="108">
        <v>0.56647398843930641</v>
      </c>
      <c r="AB9" s="105" t="s">
        <v>139</v>
      </c>
      <c r="AC9" s="108">
        <v>0.36764705882352944</v>
      </c>
      <c r="AD9" s="105" t="s">
        <v>165</v>
      </c>
      <c r="AE9" s="108">
        <v>0.41727574750830565</v>
      </c>
      <c r="AF9" s="105" t="s">
        <v>137</v>
      </c>
      <c r="AG9" s="108">
        <v>0.33031674208144796</v>
      </c>
      <c r="AH9" s="105" t="s">
        <v>136</v>
      </c>
      <c r="AI9" s="110">
        <v>5</v>
      </c>
      <c r="AJ9" s="105" t="s">
        <v>134</v>
      </c>
      <c r="AK9" s="114">
        <v>96500</v>
      </c>
      <c r="AL9" s="105" t="s">
        <v>170</v>
      </c>
      <c r="AM9" s="111">
        <v>0</v>
      </c>
    </row>
    <row r="10" spans="1:39" x14ac:dyDescent="0.4">
      <c r="A10" s="102">
        <v>9</v>
      </c>
      <c r="B10" s="103" t="s">
        <v>170</v>
      </c>
      <c r="C10" s="104">
        <v>-132.1</v>
      </c>
      <c r="D10" s="105" t="s">
        <v>136</v>
      </c>
      <c r="E10" s="121">
        <v>-8.5226415094339618</v>
      </c>
      <c r="F10" s="105" t="s">
        <v>139</v>
      </c>
      <c r="G10" s="106">
        <v>2.2000000000000002</v>
      </c>
      <c r="H10" s="105" t="s">
        <v>175</v>
      </c>
      <c r="I10" s="107">
        <v>0.2</v>
      </c>
      <c r="J10" s="105" t="s">
        <v>134</v>
      </c>
      <c r="K10" s="108">
        <v>0.2570093457943925</v>
      </c>
      <c r="L10" s="105" t="s">
        <v>134</v>
      </c>
      <c r="M10" s="108">
        <v>0.19626168224299065</v>
      </c>
      <c r="N10" s="105" t="s">
        <v>136</v>
      </c>
      <c r="O10" s="109">
        <v>9230.1886792452824</v>
      </c>
      <c r="P10" s="105" t="s">
        <v>134</v>
      </c>
      <c r="Q10" s="109">
        <v>-9800</v>
      </c>
      <c r="R10" s="105" t="s">
        <v>138</v>
      </c>
      <c r="S10" s="107">
        <v>0.21739130434782608</v>
      </c>
      <c r="T10" s="105" t="s">
        <v>139</v>
      </c>
      <c r="U10" s="107">
        <v>0.13333333333333333</v>
      </c>
      <c r="V10" s="105" t="s">
        <v>175</v>
      </c>
      <c r="W10" s="108">
        <v>0.25806451612903225</v>
      </c>
      <c r="X10" s="105" t="s">
        <v>134</v>
      </c>
      <c r="Y10" s="108">
        <v>0.17815126050420169</v>
      </c>
      <c r="Z10" s="105" t="s">
        <v>138</v>
      </c>
      <c r="AA10" s="108">
        <v>0.47058823529411764</v>
      </c>
      <c r="AB10" s="105" t="s">
        <v>161</v>
      </c>
      <c r="AC10" s="108">
        <v>0.31578947368421051</v>
      </c>
      <c r="AD10" s="105" t="s">
        <v>133</v>
      </c>
      <c r="AE10" s="108">
        <v>0.37917485265225931</v>
      </c>
      <c r="AF10" s="105" t="s">
        <v>139</v>
      </c>
      <c r="AG10" s="108">
        <v>0.32589285714285715</v>
      </c>
      <c r="AH10" s="105" t="s">
        <v>198</v>
      </c>
      <c r="AI10" s="110">
        <v>5</v>
      </c>
      <c r="AJ10" s="105" t="s">
        <v>198</v>
      </c>
      <c r="AK10" s="114">
        <v>78000</v>
      </c>
      <c r="AL10" s="105" t="s">
        <v>171</v>
      </c>
      <c r="AM10" s="111">
        <v>0</v>
      </c>
    </row>
    <row r="11" spans="1:39" x14ac:dyDescent="0.4">
      <c r="A11" s="102">
        <v>10</v>
      </c>
      <c r="B11" s="103" t="s">
        <v>161</v>
      </c>
      <c r="C11" s="104">
        <v>-240.00000000000003</v>
      </c>
      <c r="D11" s="105" t="s">
        <v>171</v>
      </c>
      <c r="E11" s="121">
        <v>-8.8333333333333339</v>
      </c>
      <c r="F11" s="105" t="s">
        <v>136</v>
      </c>
      <c r="G11" s="106">
        <v>2.2452830188679247</v>
      </c>
      <c r="H11" s="105" t="s">
        <v>161</v>
      </c>
      <c r="I11" s="107">
        <v>0.2</v>
      </c>
      <c r="J11" s="105" t="s">
        <v>136</v>
      </c>
      <c r="K11" s="108">
        <v>0.25419664268585129</v>
      </c>
      <c r="L11" s="105" t="s">
        <v>136</v>
      </c>
      <c r="M11" s="108">
        <v>0.19904076738609114</v>
      </c>
      <c r="N11" s="105" t="s">
        <v>198</v>
      </c>
      <c r="O11" s="109">
        <v>9163.1578947368416</v>
      </c>
      <c r="P11" s="105" t="s">
        <v>139</v>
      </c>
      <c r="Q11" s="109">
        <v>-9810.4575163398695</v>
      </c>
      <c r="R11" s="105" t="s">
        <v>139</v>
      </c>
      <c r="S11" s="107">
        <v>0.22222222222222221</v>
      </c>
      <c r="T11" s="105" t="s">
        <v>136</v>
      </c>
      <c r="U11" s="107">
        <v>0.13207547169811321</v>
      </c>
      <c r="V11" s="105" t="s">
        <v>136</v>
      </c>
      <c r="W11" s="108">
        <v>0.24050632911392406</v>
      </c>
      <c r="X11" s="105" t="s">
        <v>175</v>
      </c>
      <c r="Y11" s="108">
        <v>0.16129032258064516</v>
      </c>
      <c r="Z11" s="105" t="s">
        <v>161</v>
      </c>
      <c r="AA11" s="108">
        <v>0.46666666666666667</v>
      </c>
      <c r="AB11" s="105" t="s">
        <v>175</v>
      </c>
      <c r="AC11" s="108">
        <v>0.2</v>
      </c>
      <c r="AD11" s="105" t="s">
        <v>198</v>
      </c>
      <c r="AE11" s="108">
        <v>0.31578947368421051</v>
      </c>
      <c r="AF11" s="105" t="s">
        <v>134</v>
      </c>
      <c r="AG11" s="108">
        <v>0.30882352941176472</v>
      </c>
      <c r="AH11" s="105" t="s">
        <v>161</v>
      </c>
      <c r="AI11" s="110">
        <v>5</v>
      </c>
      <c r="AJ11" s="105" t="s">
        <v>161</v>
      </c>
      <c r="AK11" s="114">
        <v>67700</v>
      </c>
      <c r="AL11" s="105" t="s">
        <v>175</v>
      </c>
      <c r="AM11" s="111">
        <v>0</v>
      </c>
    </row>
    <row r="12" spans="1:39" x14ac:dyDescent="0.4">
      <c r="A12" s="102">
        <v>11</v>
      </c>
      <c r="B12" s="103" t="s">
        <v>136</v>
      </c>
      <c r="C12" s="104">
        <v>-451.69999999999993</v>
      </c>
      <c r="D12" s="105" t="s">
        <v>161</v>
      </c>
      <c r="E12" s="121">
        <v>-9.6000000000000014</v>
      </c>
      <c r="F12" s="105" t="s">
        <v>161</v>
      </c>
      <c r="G12" s="106">
        <v>2.3199999999999998</v>
      </c>
      <c r="H12" s="105" t="s">
        <v>136</v>
      </c>
      <c r="I12" s="107">
        <v>0.18867924528301888</v>
      </c>
      <c r="J12" s="105" t="s">
        <v>161</v>
      </c>
      <c r="K12" s="108">
        <v>0.22448979591836735</v>
      </c>
      <c r="L12" s="105" t="s">
        <v>175</v>
      </c>
      <c r="M12" s="108">
        <v>0.21621621621621623</v>
      </c>
      <c r="N12" s="105" t="s">
        <v>171</v>
      </c>
      <c r="O12" s="109">
        <v>8000</v>
      </c>
      <c r="P12" s="105" t="s">
        <v>198</v>
      </c>
      <c r="Q12" s="109">
        <v>-10025</v>
      </c>
      <c r="R12" s="105" t="s">
        <v>161</v>
      </c>
      <c r="S12" s="107">
        <v>0.24</v>
      </c>
      <c r="T12" s="105" t="s">
        <v>161</v>
      </c>
      <c r="U12" s="107">
        <v>0.08</v>
      </c>
      <c r="V12" s="105" t="s">
        <v>135</v>
      </c>
      <c r="W12" s="108">
        <v>0.22674418604651161</v>
      </c>
      <c r="X12" s="105" t="s">
        <v>198</v>
      </c>
      <c r="Y12" s="108">
        <v>0.12</v>
      </c>
      <c r="Z12" s="105" t="s">
        <v>136</v>
      </c>
      <c r="AA12" s="108">
        <v>0.40350877192982454</v>
      </c>
      <c r="AB12" s="105" t="s">
        <v>138</v>
      </c>
      <c r="AC12" s="108">
        <v>0.13043478260869565</v>
      </c>
      <c r="AD12" s="105" t="s">
        <v>175</v>
      </c>
      <c r="AE12" s="108">
        <v>0.3</v>
      </c>
      <c r="AF12" s="105" t="s">
        <v>161</v>
      </c>
      <c r="AG12" s="108">
        <v>0.22807017543859648</v>
      </c>
      <c r="AH12" s="105" t="s">
        <v>175</v>
      </c>
      <c r="AI12" s="110">
        <v>3</v>
      </c>
      <c r="AJ12" s="105" t="s">
        <v>175</v>
      </c>
      <c r="AK12" s="114">
        <v>57800</v>
      </c>
      <c r="AL12" s="105" t="s">
        <v>138</v>
      </c>
      <c r="AM12" s="111">
        <v>0</v>
      </c>
    </row>
    <row r="13" spans="1:39" x14ac:dyDescent="0.4">
      <c r="A13" s="102">
        <v>12</v>
      </c>
      <c r="B13" s="103" t="s">
        <v>134</v>
      </c>
      <c r="C13" s="104">
        <v>-468.39999999999992</v>
      </c>
      <c r="D13" s="105" t="s">
        <v>175</v>
      </c>
      <c r="E13" s="121">
        <v>-17.28</v>
      </c>
      <c r="F13" s="105" t="s">
        <v>171</v>
      </c>
      <c r="G13" s="106">
        <v>2.3333333333333335</v>
      </c>
      <c r="H13" s="105" t="s">
        <v>170</v>
      </c>
      <c r="I13" s="107">
        <v>0</v>
      </c>
      <c r="J13" s="105" t="s">
        <v>171</v>
      </c>
      <c r="K13" s="108">
        <v>0.1875</v>
      </c>
      <c r="L13" s="105" t="s">
        <v>139</v>
      </c>
      <c r="M13" s="108">
        <v>0.22173913043478261</v>
      </c>
      <c r="N13" s="105" t="s">
        <v>170</v>
      </c>
      <c r="O13" s="109">
        <v>7800</v>
      </c>
      <c r="P13" s="105" t="s">
        <v>171</v>
      </c>
      <c r="Q13" s="109">
        <v>-12000</v>
      </c>
      <c r="R13" s="105" t="s">
        <v>175</v>
      </c>
      <c r="S13" s="107">
        <v>0.4</v>
      </c>
      <c r="T13" s="105" t="s">
        <v>170</v>
      </c>
      <c r="U13" s="107">
        <v>0</v>
      </c>
      <c r="V13" s="105" t="s">
        <v>161</v>
      </c>
      <c r="W13" s="108">
        <v>0.15306122448979592</v>
      </c>
      <c r="X13" s="105" t="s">
        <v>170</v>
      </c>
      <c r="Y13" s="108">
        <v>0</v>
      </c>
      <c r="Z13" s="105" t="s">
        <v>171</v>
      </c>
      <c r="AA13" s="108">
        <v>0.2</v>
      </c>
      <c r="AB13" s="105" t="s">
        <v>170</v>
      </c>
      <c r="AC13" s="108">
        <v>0</v>
      </c>
      <c r="AD13" s="105" t="s">
        <v>161</v>
      </c>
      <c r="AE13" s="108">
        <v>0.29545454545454547</v>
      </c>
      <c r="AF13" s="105" t="s">
        <v>170</v>
      </c>
      <c r="AG13" s="108">
        <v>0</v>
      </c>
      <c r="AH13" s="105" t="s">
        <v>171</v>
      </c>
      <c r="AI13" s="110">
        <v>2</v>
      </c>
      <c r="AJ13" s="105" t="s">
        <v>171</v>
      </c>
      <c r="AK13" s="114">
        <v>42000</v>
      </c>
      <c r="AL13" s="105" t="s">
        <v>198</v>
      </c>
      <c r="AM13" s="111">
        <v>0</v>
      </c>
    </row>
    <row r="14" spans="1:39" x14ac:dyDescent="0.4">
      <c r="A14" s="102">
        <v>13</v>
      </c>
      <c r="B14" s="103" t="s">
        <v>139</v>
      </c>
      <c r="C14" s="104">
        <v>-481.59999999999991</v>
      </c>
      <c r="D14" s="105" t="s">
        <v>170</v>
      </c>
      <c r="E14" s="121">
        <v>-33.024999999999999</v>
      </c>
      <c r="F14" s="105" t="s">
        <v>170</v>
      </c>
      <c r="G14" s="106">
        <v>3</v>
      </c>
      <c r="H14" s="105" t="s">
        <v>171</v>
      </c>
      <c r="I14" s="107">
        <v>0</v>
      </c>
      <c r="J14" s="105" t="s">
        <v>170</v>
      </c>
      <c r="K14" s="108">
        <v>0.04</v>
      </c>
      <c r="L14" s="105" t="s">
        <v>170</v>
      </c>
      <c r="M14" s="108">
        <v>0.4</v>
      </c>
      <c r="N14" s="105" t="s">
        <v>175</v>
      </c>
      <c r="O14" s="109">
        <v>7100</v>
      </c>
      <c r="P14" s="105" t="s">
        <v>175</v>
      </c>
      <c r="Q14" s="109">
        <v>-12487.5</v>
      </c>
      <c r="R14" s="105" t="s">
        <v>170</v>
      </c>
      <c r="S14" s="107">
        <v>0.5</v>
      </c>
      <c r="T14" s="105" t="s">
        <v>171</v>
      </c>
      <c r="U14" s="107">
        <v>0</v>
      </c>
      <c r="V14" s="105" t="s">
        <v>170</v>
      </c>
      <c r="W14" s="108">
        <v>0</v>
      </c>
      <c r="X14" s="105" t="s">
        <v>171</v>
      </c>
      <c r="Y14" s="108">
        <v>0</v>
      </c>
      <c r="Z14" s="105" t="s">
        <v>170</v>
      </c>
      <c r="AA14" s="108">
        <v>0</v>
      </c>
      <c r="AB14" s="105" t="s">
        <v>171</v>
      </c>
      <c r="AC14" s="108">
        <v>0</v>
      </c>
      <c r="AD14" s="105" t="s">
        <v>171</v>
      </c>
      <c r="AE14" s="108">
        <v>0</v>
      </c>
      <c r="AF14" s="105" t="s">
        <v>171</v>
      </c>
      <c r="AG14" s="108">
        <v>0</v>
      </c>
      <c r="AH14" s="105" t="s">
        <v>170</v>
      </c>
      <c r="AI14" s="110">
        <v>0</v>
      </c>
      <c r="AJ14" s="105" t="s">
        <v>170</v>
      </c>
      <c r="AK14" s="114">
        <v>13000</v>
      </c>
      <c r="AL14" s="105" t="s">
        <v>161</v>
      </c>
      <c r="AM14" s="111">
        <v>0</v>
      </c>
    </row>
  </sheetData>
  <sortState ref="AL2:AM32">
    <sortCondition descending="1" ref="AM1"/>
  </sortState>
  <mergeCells count="19">
    <mergeCell ref="L1:M1"/>
    <mergeCell ref="AJ1:AK1"/>
    <mergeCell ref="B1:C1"/>
    <mergeCell ref="D1:E1"/>
    <mergeCell ref="F1:G1"/>
    <mergeCell ref="H1:I1"/>
    <mergeCell ref="J1:K1"/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BBA7-79FD-4B68-AB68-724C2400BD1F}">
  <sheetPr codeName="Sheet4"/>
  <dimension ref="A1:Q656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165</v>
      </c>
      <c r="C1" s="13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39">
        <v>654</v>
      </c>
      <c r="C2" s="140"/>
      <c r="E2" s="80" t="s">
        <v>71</v>
      </c>
      <c r="F2" s="76" t="s">
        <v>25</v>
      </c>
      <c r="G2" s="63">
        <v>940</v>
      </c>
      <c r="H2" s="45">
        <f>IF(B$25=0,0,G2/B$25)</f>
        <v>0.87768440709617179</v>
      </c>
      <c r="I2" s="116">
        <v>7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-14.018691588785046</v>
      </c>
      <c r="P2" s="59">
        <v>-9000</v>
      </c>
      <c r="Q2" s="57">
        <v>642</v>
      </c>
    </row>
    <row r="3" spans="1:17" x14ac:dyDescent="0.4">
      <c r="A3" s="72" t="s">
        <v>8</v>
      </c>
      <c r="B3" s="141">
        <v>4944</v>
      </c>
      <c r="C3" s="142"/>
      <c r="E3" s="81" t="s">
        <v>69</v>
      </c>
      <c r="F3" s="77" t="s">
        <v>23</v>
      </c>
      <c r="G3" s="64">
        <v>775</v>
      </c>
      <c r="H3" s="47">
        <f>IF(B$25=0,0,G3/B$25)</f>
        <v>0.72362278244631184</v>
      </c>
      <c r="I3" s="117">
        <v>5</v>
      </c>
      <c r="K3" s="46">
        <v>1</v>
      </c>
      <c r="L3" s="123">
        <v>15</v>
      </c>
      <c r="N3" s="46" t="s">
        <v>151</v>
      </c>
      <c r="O3" s="127">
        <f t="shared" si="0"/>
        <v>-1.6260162601626016</v>
      </c>
      <c r="P3" s="60">
        <v>-1000</v>
      </c>
      <c r="Q3" s="55">
        <v>615</v>
      </c>
    </row>
    <row r="4" spans="1:17" x14ac:dyDescent="0.4">
      <c r="A4" s="72" t="s">
        <v>6</v>
      </c>
      <c r="B4" s="143">
        <v>-4.9999999999999574</v>
      </c>
      <c r="C4" s="144"/>
      <c r="E4" s="81" t="s">
        <v>76</v>
      </c>
      <c r="F4" s="77" t="s">
        <v>29</v>
      </c>
      <c r="G4" s="64">
        <v>615</v>
      </c>
      <c r="H4" s="47">
        <f>IF(B$25=0,0,G4/B$25)</f>
        <v>0.57422969187675066</v>
      </c>
      <c r="I4" s="117">
        <v>5</v>
      </c>
      <c r="K4" s="46">
        <v>2</v>
      </c>
      <c r="L4" s="123">
        <v>-7</v>
      </c>
      <c r="N4" s="46" t="s">
        <v>152</v>
      </c>
      <c r="O4" s="127">
        <f t="shared" si="0"/>
        <v>12.280701754385966</v>
      </c>
      <c r="P4" s="60">
        <v>7000</v>
      </c>
      <c r="Q4" s="55">
        <v>570</v>
      </c>
    </row>
    <row r="5" spans="1:17" x14ac:dyDescent="0.4">
      <c r="A5" s="72" t="s">
        <v>7</v>
      </c>
      <c r="B5" s="145">
        <f>IF(B$2=0,0,B$4/B$2)</f>
        <v>-7.6452599388378553E-3</v>
      </c>
      <c r="C5" s="146"/>
      <c r="E5" s="81" t="s">
        <v>67</v>
      </c>
      <c r="F5" s="77" t="s">
        <v>21</v>
      </c>
      <c r="G5" s="64">
        <v>599</v>
      </c>
      <c r="H5" s="47">
        <f>IF(B$25=0,0,G5/B$25)</f>
        <v>0.5592903828197946</v>
      </c>
      <c r="I5" s="117">
        <v>8</v>
      </c>
      <c r="K5" s="46">
        <v>3</v>
      </c>
      <c r="L5" s="123">
        <v>0</v>
      </c>
      <c r="N5" s="46" t="s">
        <v>153</v>
      </c>
      <c r="O5" s="127">
        <f t="shared" si="0"/>
        <v>0</v>
      </c>
      <c r="P5" s="60">
        <v>0</v>
      </c>
      <c r="Q5" s="55">
        <v>510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70</v>
      </c>
      <c r="F6" s="77" t="s">
        <v>24</v>
      </c>
      <c r="G6" s="64">
        <v>349</v>
      </c>
      <c r="H6" s="47">
        <f>IF(B$25=0,0,G6/B$25)</f>
        <v>0.32586367880485528</v>
      </c>
      <c r="I6" s="117">
        <v>6</v>
      </c>
      <c r="K6" s="46">
        <v>4</v>
      </c>
      <c r="L6" s="123">
        <v>-1</v>
      </c>
      <c r="N6" s="46" t="s">
        <v>154</v>
      </c>
      <c r="O6" s="127">
        <f t="shared" si="0"/>
        <v>2.2831050228310503</v>
      </c>
      <c r="P6" s="60">
        <v>1000</v>
      </c>
      <c r="Q6" s="55">
        <v>438</v>
      </c>
    </row>
    <row r="7" spans="1:17" x14ac:dyDescent="0.4">
      <c r="A7" s="72" t="s">
        <v>2</v>
      </c>
      <c r="B7" s="64">
        <v>218</v>
      </c>
      <c r="C7" s="47">
        <f>IF(B$2=0,0,B7/B$2)</f>
        <v>0.33333333333333331</v>
      </c>
      <c r="E7" s="81" t="s">
        <v>72</v>
      </c>
      <c r="F7" s="77" t="s">
        <v>12</v>
      </c>
      <c r="G7" s="64">
        <v>330</v>
      </c>
      <c r="H7" s="47">
        <f>IF(B$25=0,0,G7/B$25)</f>
        <v>0.3081232492997199</v>
      </c>
      <c r="I7" s="117">
        <v>7</v>
      </c>
      <c r="K7" s="46">
        <v>5</v>
      </c>
      <c r="L7" s="123">
        <v>39.9</v>
      </c>
      <c r="N7" s="50" t="s">
        <v>155</v>
      </c>
      <c r="O7" s="128">
        <f t="shared" si="0"/>
        <v>-8.6206896551724146</v>
      </c>
      <c r="P7" s="61">
        <v>-3000</v>
      </c>
      <c r="Q7" s="56">
        <v>348</v>
      </c>
    </row>
    <row r="8" spans="1:17" x14ac:dyDescent="0.4">
      <c r="A8" s="72" t="s">
        <v>3</v>
      </c>
      <c r="B8" s="64">
        <v>218</v>
      </c>
      <c r="C8" s="47">
        <f t="shared" ref="C8:C9" si="1">IF(B$2=0,0,B8/B$2)</f>
        <v>0.33333333333333331</v>
      </c>
      <c r="E8" s="81" t="s">
        <v>94</v>
      </c>
      <c r="F8" s="77" t="s">
        <v>47</v>
      </c>
      <c r="G8" s="64">
        <v>164</v>
      </c>
      <c r="H8" s="47">
        <f>IF(B$25=0,0,G8/B$25)</f>
        <v>0.1531279178338002</v>
      </c>
      <c r="I8" s="117">
        <v>6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218</v>
      </c>
      <c r="C9" s="48">
        <f t="shared" si="1"/>
        <v>0.33333333333333331</v>
      </c>
      <c r="E9" s="81" t="s">
        <v>73</v>
      </c>
      <c r="F9" s="77" t="s">
        <v>26</v>
      </c>
      <c r="G9" s="64">
        <v>154</v>
      </c>
      <c r="H9" s="47">
        <f>IF(B$25=0,0,G9/B$25)</f>
        <v>0.1437908496732026</v>
      </c>
      <c r="I9" s="117">
        <v>6</v>
      </c>
      <c r="K9" s="46">
        <v>7</v>
      </c>
      <c r="L9" s="123">
        <v>15.1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108</v>
      </c>
      <c r="C10" s="48">
        <f>IF(B$2=0,0,B10/B$2)</f>
        <v>0.16513761467889909</v>
      </c>
      <c r="E10" s="81" t="s">
        <v>68</v>
      </c>
      <c r="F10" s="77" t="s">
        <v>22</v>
      </c>
      <c r="G10" s="64">
        <v>127</v>
      </c>
      <c r="H10" s="47">
        <f>IF(B$25=0,0,G10/B$25)</f>
        <v>0.11858076563958916</v>
      </c>
      <c r="I10" s="117">
        <v>7</v>
      </c>
      <c r="K10" s="46">
        <v>8</v>
      </c>
      <c r="L10" s="123">
        <v>-26.699999999999996</v>
      </c>
      <c r="N10" s="44" t="s">
        <v>170</v>
      </c>
      <c r="O10" s="124">
        <f>IF(Q10=0,0,P10/Q10)</f>
        <v>49.537499999999994</v>
      </c>
      <c r="P10" s="130">
        <v>396.29999999999995</v>
      </c>
      <c r="Q10" s="57">
        <v>8</v>
      </c>
    </row>
    <row r="11" spans="1:17" x14ac:dyDescent="0.4">
      <c r="A11" s="74" t="s">
        <v>158</v>
      </c>
      <c r="B11" s="66">
        <v>108</v>
      </c>
      <c r="C11" s="51">
        <f>IF(B$2=0,0,B11/B$2)</f>
        <v>0.16513761467889909</v>
      </c>
      <c r="E11" s="81" t="s">
        <v>74</v>
      </c>
      <c r="F11" s="77" t="s">
        <v>27</v>
      </c>
      <c r="G11" s="64">
        <v>106</v>
      </c>
      <c r="H11" s="47">
        <f>IF(B$25=0,0,G11/B$25)</f>
        <v>9.8972922502334262E-2</v>
      </c>
      <c r="I11" s="117">
        <v>5</v>
      </c>
      <c r="K11" s="46">
        <v>9</v>
      </c>
      <c r="L11" s="123">
        <v>3.5527136788005009E-15</v>
      </c>
      <c r="N11" s="46" t="s">
        <v>175</v>
      </c>
      <c r="O11" s="125">
        <f>IF(Q11=0,0,P11/Q11)</f>
        <v>25.919999999999998</v>
      </c>
      <c r="P11" s="131">
        <v>259.2</v>
      </c>
      <c r="Q11" s="55">
        <v>10</v>
      </c>
    </row>
    <row r="12" spans="1:17" x14ac:dyDescent="0.4">
      <c r="A12" s="75" t="s">
        <v>128</v>
      </c>
      <c r="B12" s="67">
        <v>1026</v>
      </c>
      <c r="C12" s="54">
        <f>IF(B$24=0,0,B12/B$24)</f>
        <v>0.29081632653061223</v>
      </c>
      <c r="E12" s="81" t="s">
        <v>91</v>
      </c>
      <c r="F12" s="77" t="s">
        <v>44</v>
      </c>
      <c r="G12" s="64">
        <v>73</v>
      </c>
      <c r="H12" s="47">
        <f>IF(B$25=0,0,G12/B$25)</f>
        <v>6.8160597572362272E-2</v>
      </c>
      <c r="I12" s="117">
        <v>6</v>
      </c>
      <c r="K12" s="46">
        <v>10</v>
      </c>
      <c r="L12" s="123">
        <v>85.2</v>
      </c>
      <c r="N12" s="46" t="s">
        <v>161</v>
      </c>
      <c r="O12" s="125">
        <f>IF(Q12=0,0,P12/Q12)</f>
        <v>14.399999999999995</v>
      </c>
      <c r="P12" s="131">
        <v>719.99999999999977</v>
      </c>
      <c r="Q12" s="55">
        <v>50</v>
      </c>
    </row>
    <row r="13" spans="1:17" x14ac:dyDescent="0.4">
      <c r="A13" s="72" t="s">
        <v>123</v>
      </c>
      <c r="B13" s="64">
        <v>789</v>
      </c>
      <c r="C13" s="47">
        <f>IF(B$24=0,0,B13/B$24)</f>
        <v>0.22363945578231292</v>
      </c>
      <c r="E13" s="81" t="s">
        <v>75</v>
      </c>
      <c r="F13" s="77" t="s">
        <v>28</v>
      </c>
      <c r="G13" s="64">
        <v>52</v>
      </c>
      <c r="H13" s="47">
        <f>IF(B$25=0,0,G13/B$25)</f>
        <v>4.8552754435107377E-2</v>
      </c>
      <c r="I13" s="117">
        <v>6</v>
      </c>
      <c r="K13" s="46">
        <v>11</v>
      </c>
      <c r="L13" s="123">
        <v>44.5</v>
      </c>
      <c r="N13" s="46" t="s">
        <v>171</v>
      </c>
      <c r="O13" s="125">
        <f>IF(Q13=0,0,P13/Q13)</f>
        <v>13.25</v>
      </c>
      <c r="P13" s="131">
        <v>79.5</v>
      </c>
      <c r="Q13" s="55">
        <v>6</v>
      </c>
    </row>
    <row r="14" spans="1:17" x14ac:dyDescent="0.4">
      <c r="A14" s="71" t="s">
        <v>130</v>
      </c>
      <c r="B14" s="63">
        <v>606</v>
      </c>
      <c r="C14" s="45">
        <f>IF(B$12=0,0,B14/B$12)</f>
        <v>0.59064327485380119</v>
      </c>
      <c r="E14" s="81" t="s">
        <v>88</v>
      </c>
      <c r="F14" s="77" t="s">
        <v>41</v>
      </c>
      <c r="G14" s="64">
        <v>51</v>
      </c>
      <c r="H14" s="47">
        <f>IF(B$25=0,0,G14/B$25)</f>
        <v>4.7619047619047616E-2</v>
      </c>
      <c r="I14" s="117">
        <v>4</v>
      </c>
      <c r="K14" s="46">
        <v>12</v>
      </c>
      <c r="L14" s="123">
        <v>0</v>
      </c>
      <c r="N14" s="46" t="s">
        <v>136</v>
      </c>
      <c r="O14" s="125">
        <f>IF(Q14=0,0,P14/Q14)</f>
        <v>12.783962264150949</v>
      </c>
      <c r="P14" s="131">
        <v>1355.1000000000006</v>
      </c>
      <c r="Q14" s="55">
        <v>106</v>
      </c>
    </row>
    <row r="15" spans="1:17" x14ac:dyDescent="0.4">
      <c r="A15" s="71" t="s">
        <v>131</v>
      </c>
      <c r="B15" s="63">
        <v>307</v>
      </c>
      <c r="C15" s="45">
        <f>IF(B$13=0,0,B15/B$13)</f>
        <v>0.38910012674271227</v>
      </c>
      <c r="E15" s="81" t="s">
        <v>82</v>
      </c>
      <c r="F15" s="77" t="s">
        <v>35</v>
      </c>
      <c r="G15" s="64">
        <v>33</v>
      </c>
      <c r="H15" s="47">
        <f>IF(B$25=0,0,G15/B$25)</f>
        <v>3.081232492997199E-2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>IF(Q15=0,0,P15/Q15)</f>
        <v>8.0211111111111091</v>
      </c>
      <c r="P15" s="131">
        <v>1443.7999999999995</v>
      </c>
      <c r="Q15" s="55">
        <v>180</v>
      </c>
    </row>
    <row r="16" spans="1:17" x14ac:dyDescent="0.4">
      <c r="A16" s="71" t="s">
        <v>10</v>
      </c>
      <c r="B16" s="63">
        <f>B18+B17</f>
        <v>1505</v>
      </c>
      <c r="C16" s="45">
        <f>IF(B$3=0,0,B16/B$3)</f>
        <v>0.30440938511326859</v>
      </c>
      <c r="E16" s="81" t="s">
        <v>86</v>
      </c>
      <c r="F16" s="77" t="s">
        <v>39</v>
      </c>
      <c r="G16" s="64">
        <v>31</v>
      </c>
      <c r="H16" s="47">
        <f>IF(B$25=0,0,G16/B$25)</f>
        <v>2.8944911297852476E-2</v>
      </c>
      <c r="I16" s="117">
        <v>5</v>
      </c>
      <c r="K16" s="46">
        <v>14</v>
      </c>
      <c r="L16" s="123">
        <v>-4</v>
      </c>
      <c r="N16" s="46" t="s">
        <v>134</v>
      </c>
      <c r="O16" s="125">
        <f>IF(Q16=0,0,P16/Q16)</f>
        <v>6.311711711711709</v>
      </c>
      <c r="P16" s="131">
        <v>1401.1999999999994</v>
      </c>
      <c r="Q16" s="55">
        <v>222</v>
      </c>
    </row>
    <row r="17" spans="1:17" x14ac:dyDescent="0.4">
      <c r="A17" s="72" t="s">
        <v>12</v>
      </c>
      <c r="B17" s="64">
        <v>628</v>
      </c>
      <c r="C17" s="47">
        <f>IF(B$16=0,0,B17/B$16)</f>
        <v>0.41727574750830565</v>
      </c>
      <c r="E17" s="81" t="s">
        <v>96</v>
      </c>
      <c r="F17" s="77" t="s">
        <v>49</v>
      </c>
      <c r="G17" s="64">
        <v>18</v>
      </c>
      <c r="H17" s="47">
        <f>IF(B$25=0,0,G17/B$25)</f>
        <v>1.680672268907563E-2</v>
      </c>
      <c r="I17" s="117">
        <v>4</v>
      </c>
      <c r="K17" s="46">
        <v>15</v>
      </c>
      <c r="L17" s="123">
        <v>0</v>
      </c>
      <c r="N17" s="46" t="s">
        <v>138</v>
      </c>
      <c r="O17" s="125">
        <f>IF(Q17=0,0,P17/Q17)</f>
        <v>-3.5086956521739112</v>
      </c>
      <c r="P17" s="131">
        <v>-161.39999999999992</v>
      </c>
      <c r="Q17" s="55">
        <v>46</v>
      </c>
    </row>
    <row r="18" spans="1:17" x14ac:dyDescent="0.4">
      <c r="A18" s="72" t="s">
        <v>11</v>
      </c>
      <c r="B18" s="64">
        <v>877</v>
      </c>
      <c r="C18" s="47">
        <f>IF(B$16=0,0,B18/B$16)</f>
        <v>0.58272425249169435</v>
      </c>
      <c r="E18" s="81" t="s">
        <v>83</v>
      </c>
      <c r="F18" s="77" t="s">
        <v>36</v>
      </c>
      <c r="G18" s="64">
        <v>14</v>
      </c>
      <c r="H18" s="47">
        <f>IF(B$25=0,0,G18/B$25)</f>
        <v>1.3071895424836602E-2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>IF(Q18=0,0,P18/Q18)</f>
        <v>-4.7058823529411749</v>
      </c>
      <c r="P18" s="131">
        <v>-799.99999999999977</v>
      </c>
      <c r="Q18" s="55">
        <v>170</v>
      </c>
    </row>
    <row r="19" spans="1:17" x14ac:dyDescent="0.4">
      <c r="A19" s="72" t="s">
        <v>13</v>
      </c>
      <c r="B19" s="64">
        <v>858</v>
      </c>
      <c r="C19" s="47">
        <f>IF(B$3=0,0,B19/B$3)</f>
        <v>0.17354368932038836</v>
      </c>
      <c r="E19" s="81" t="s">
        <v>77</v>
      </c>
      <c r="F19" s="77" t="s">
        <v>30</v>
      </c>
      <c r="G19" s="64">
        <v>9</v>
      </c>
      <c r="H19" s="47">
        <f>IF(B$25=0,0,G19/B$25)</f>
        <v>8.4033613445378148E-3</v>
      </c>
      <c r="I19" s="117">
        <v>4</v>
      </c>
      <c r="K19" s="46">
        <v>17</v>
      </c>
      <c r="L19" s="123">
        <v>-8</v>
      </c>
      <c r="N19" s="46" t="s">
        <v>135</v>
      </c>
      <c r="O19" s="125">
        <f>IF(Q19=0,0,P19/Q19)</f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5</v>
      </c>
      <c r="B20" s="68">
        <f>IF(B$16=0,0,C20/B$16)</f>
        <v>10265.913621262458</v>
      </c>
      <c r="C20" s="49">
        <v>15450200</v>
      </c>
      <c r="E20" s="81" t="s">
        <v>79</v>
      </c>
      <c r="F20" s="77" t="s">
        <v>32</v>
      </c>
      <c r="G20" s="64">
        <v>8</v>
      </c>
      <c r="H20" s="47">
        <f>IF(B$25=0,0,G20/B$25)</f>
        <v>7.4696545284780582E-3</v>
      </c>
      <c r="I20" s="117">
        <v>4</v>
      </c>
      <c r="K20" s="46">
        <v>18</v>
      </c>
      <c r="L20" s="123">
        <v>0</v>
      </c>
      <c r="N20" s="46" t="s">
        <v>133</v>
      </c>
      <c r="O20" s="125">
        <f>IF(Q20=0,0,P20/Q20)</f>
        <v>-9.8354166666666618</v>
      </c>
      <c r="P20" s="131">
        <v>-3776.7999999999979</v>
      </c>
      <c r="Q20" s="55">
        <v>384</v>
      </c>
    </row>
    <row r="21" spans="1:17" x14ac:dyDescent="0.4">
      <c r="A21" s="74" t="s">
        <v>14</v>
      </c>
      <c r="B21" s="69">
        <f>IF(B$19=0,0,C21/B$19)</f>
        <v>-9507.9254079254079</v>
      </c>
      <c r="C21" s="62">
        <v>-8157800</v>
      </c>
      <c r="E21" s="81" t="s">
        <v>81</v>
      </c>
      <c r="F21" s="77" t="s">
        <v>34</v>
      </c>
      <c r="G21" s="64">
        <v>8</v>
      </c>
      <c r="H21" s="47">
        <f>IF(B$25=0,0,G21/B$25)</f>
        <v>7.4696545284780582E-3</v>
      </c>
      <c r="I21" s="117">
        <v>4</v>
      </c>
      <c r="K21" s="46">
        <v>19</v>
      </c>
      <c r="L21" s="123">
        <v>-6.1</v>
      </c>
      <c r="N21" s="46" t="s">
        <v>198</v>
      </c>
      <c r="O21" s="125">
        <f>IF(Q21=0,0,P21/Q21)</f>
        <v>-11.833333333333334</v>
      </c>
      <c r="P21" s="131">
        <v>-142</v>
      </c>
      <c r="Q21" s="55">
        <v>12</v>
      </c>
    </row>
    <row r="22" spans="1:17" x14ac:dyDescent="0.4">
      <c r="A22" s="71" t="s">
        <v>147</v>
      </c>
      <c r="B22" s="63">
        <v>1641</v>
      </c>
      <c r="C22" s="45">
        <f>IF(B$3=0,0,B22/B$3)</f>
        <v>0.33191747572815533</v>
      </c>
      <c r="E22" s="81" t="s">
        <v>97</v>
      </c>
      <c r="F22" s="77" t="s">
        <v>50</v>
      </c>
      <c r="G22" s="64">
        <v>7</v>
      </c>
      <c r="H22" s="47">
        <f>IF(B$25=0,0,G22/B$25)</f>
        <v>6.5359477124183009E-3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74" t="s">
        <v>148</v>
      </c>
      <c r="B23" s="66">
        <v>589</v>
      </c>
      <c r="C23" s="51">
        <f>IF(B$22=0,0,B23/B$22)</f>
        <v>0.35892748324192564</v>
      </c>
      <c r="E23" s="81" t="s">
        <v>90</v>
      </c>
      <c r="F23" s="77" t="s">
        <v>43</v>
      </c>
      <c r="G23" s="64">
        <v>5</v>
      </c>
      <c r="H23" s="47">
        <f>IF(B$25=0,0,G23/B$25)</f>
        <v>4.6685340802987861E-3</v>
      </c>
      <c r="I23" s="117">
        <v>4</v>
      </c>
      <c r="K23" s="46">
        <v>21</v>
      </c>
      <c r="L23" s="123">
        <v>0</v>
      </c>
    </row>
    <row r="24" spans="1:17" x14ac:dyDescent="0.4">
      <c r="A24" s="71" t="s">
        <v>126</v>
      </c>
      <c r="B24" s="139">
        <v>3528</v>
      </c>
      <c r="C24" s="140"/>
      <c r="E24" s="81" t="s">
        <v>89</v>
      </c>
      <c r="F24" s="77" t="s">
        <v>42</v>
      </c>
      <c r="G24" s="64">
        <v>3</v>
      </c>
      <c r="H24" s="47">
        <f>IF(B$25=0,0,G24/B$25)</f>
        <v>2.8011204481792717E-3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127</v>
      </c>
      <c r="B25" s="153">
        <v>1071</v>
      </c>
      <c r="C25" s="154"/>
      <c r="E25" s="81" t="s">
        <v>92</v>
      </c>
      <c r="F25" s="77" t="s">
        <v>45</v>
      </c>
      <c r="G25" s="64">
        <v>3</v>
      </c>
      <c r="H25" s="47">
        <f>IF(B$25=0,0,G25/B$25)</f>
        <v>2.8011204481792717E-3</v>
      </c>
      <c r="I25" s="117">
        <v>3</v>
      </c>
      <c r="K25" s="46">
        <v>23</v>
      </c>
      <c r="L25" s="123">
        <v>-3</v>
      </c>
    </row>
    <row r="26" spans="1:17" x14ac:dyDescent="0.4">
      <c r="A26" s="112" t="s">
        <v>162</v>
      </c>
      <c r="B26" s="149">
        <v>10</v>
      </c>
      <c r="C26" s="150"/>
      <c r="E26" s="81" t="s">
        <v>78</v>
      </c>
      <c r="F26" s="77" t="s">
        <v>31</v>
      </c>
      <c r="G26" s="64">
        <v>2</v>
      </c>
      <c r="H26" s="47">
        <f>IF(B$25=0,0,G26/B$25)</f>
        <v>1.8674136321195146E-3</v>
      </c>
      <c r="I26" s="117">
        <v>3</v>
      </c>
      <c r="K26" s="46">
        <v>24</v>
      </c>
      <c r="L26" s="123">
        <v>0</v>
      </c>
    </row>
    <row r="27" spans="1:17" x14ac:dyDescent="0.4">
      <c r="A27" s="75" t="s">
        <v>203</v>
      </c>
      <c r="B27" s="147">
        <v>124700</v>
      </c>
      <c r="C27" s="148"/>
      <c r="E27" s="81" t="s">
        <v>98</v>
      </c>
      <c r="F27" s="77" t="s">
        <v>51</v>
      </c>
      <c r="G27" s="64">
        <v>2</v>
      </c>
      <c r="H27" s="47">
        <f>IF(B$25=0,0,G27/B$25)</f>
        <v>1.8674136321195146E-3</v>
      </c>
      <c r="I27" s="117">
        <v>3</v>
      </c>
      <c r="K27" s="46">
        <v>25</v>
      </c>
      <c r="L27" s="123">
        <v>-41</v>
      </c>
    </row>
    <row r="28" spans="1:17" x14ac:dyDescent="0.4">
      <c r="A28" s="74" t="s">
        <v>163</v>
      </c>
      <c r="B28" s="83">
        <v>19</v>
      </c>
      <c r="C28" s="51">
        <f>IF(B$3=0,0,B28/B$3)</f>
        <v>3.8430420711974109E-3</v>
      </c>
      <c r="E28" s="81" t="s">
        <v>85</v>
      </c>
      <c r="F28" s="77" t="s">
        <v>38</v>
      </c>
      <c r="G28" s="64">
        <v>1</v>
      </c>
      <c r="H28" s="47">
        <f>IF(B$25=0,0,G28/B$25)</f>
        <v>9.3370681605975728E-4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>IF(B$25=0,0,G29/B$25)</f>
        <v>9.3370681605975728E-4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>IF(B$25=0,0,G30/B$25)</f>
        <v>9.3370681605975728E-4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>IF(B$25=0,0,G31/B$25)</f>
        <v>9.3370681605975728E-4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>IF(B$25=0,0,G32/B$25)</f>
        <v>9.3370681605975728E-4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>IF(B$25=0,0,G33/B$25)</f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>IF(B$25=0,0,G35/B$25)</f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IF(B$25=0,0,G46/B$25)</f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</sheetData>
  <sortState ref="N10:Q21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6EDF6-CE6B-449D-A25E-099B43EC3A9F}">
  <sheetPr codeName="Sheet7"/>
  <dimension ref="A1:Q194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133</v>
      </c>
      <c r="C1" s="13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39">
        <v>192</v>
      </c>
      <c r="C2" s="140"/>
      <c r="E2" s="80" t="s">
        <v>71</v>
      </c>
      <c r="F2" s="76" t="s">
        <v>25</v>
      </c>
      <c r="G2" s="63">
        <v>310</v>
      </c>
      <c r="H2" s="45">
        <f>IF(B$25=0,0,G2/B$25)</f>
        <v>0.87818696883852687</v>
      </c>
      <c r="I2" s="116">
        <v>6</v>
      </c>
      <c r="K2" s="44">
        <v>0</v>
      </c>
      <c r="L2" s="122">
        <v>0</v>
      </c>
      <c r="N2" s="44" t="s">
        <v>150</v>
      </c>
      <c r="O2" s="126">
        <f t="shared" ref="O2:O7" si="0">IF(Q2=0,0,P2/Q2)</f>
        <v>1268.6170212765958</v>
      </c>
      <c r="P2" s="59">
        <v>238500</v>
      </c>
      <c r="Q2" s="57">
        <v>188</v>
      </c>
    </row>
    <row r="3" spans="1:17" x14ac:dyDescent="0.4">
      <c r="A3" s="72" t="s">
        <v>8</v>
      </c>
      <c r="B3" s="141">
        <v>1433</v>
      </c>
      <c r="C3" s="142"/>
      <c r="E3" s="81" t="s">
        <v>69</v>
      </c>
      <c r="F3" s="77" t="s">
        <v>23</v>
      </c>
      <c r="G3" s="64">
        <v>229</v>
      </c>
      <c r="H3" s="47">
        <f>IF(B$25=0,0,G3/B$25)</f>
        <v>0.64872521246458925</v>
      </c>
      <c r="I3" s="117">
        <v>8</v>
      </c>
      <c r="K3" s="46">
        <v>1</v>
      </c>
      <c r="L3" s="123">
        <v>15</v>
      </c>
      <c r="N3" s="46" t="s">
        <v>151</v>
      </c>
      <c r="O3" s="127">
        <f t="shared" si="0"/>
        <v>446.11111111111109</v>
      </c>
      <c r="P3" s="60">
        <v>80300</v>
      </c>
      <c r="Q3" s="55">
        <v>180</v>
      </c>
    </row>
    <row r="4" spans="1:17" x14ac:dyDescent="0.4">
      <c r="A4" s="72" t="s">
        <v>6</v>
      </c>
      <c r="B4" s="143">
        <v>1257.6000000000001</v>
      </c>
      <c r="C4" s="144"/>
      <c r="E4" s="81" t="s">
        <v>67</v>
      </c>
      <c r="F4" s="77" t="s">
        <v>21</v>
      </c>
      <c r="G4" s="64">
        <v>193</v>
      </c>
      <c r="H4" s="47">
        <f>IF(B$25=0,0,G4/B$25)</f>
        <v>0.54674220963172804</v>
      </c>
      <c r="I4" s="117">
        <v>9</v>
      </c>
      <c r="K4" s="46">
        <v>2</v>
      </c>
      <c r="L4" s="123">
        <v>14</v>
      </c>
      <c r="N4" s="46" t="s">
        <v>152</v>
      </c>
      <c r="O4" s="127">
        <f t="shared" si="0"/>
        <v>1680.1204819277109</v>
      </c>
      <c r="P4" s="60">
        <v>278900</v>
      </c>
      <c r="Q4" s="55">
        <v>166</v>
      </c>
    </row>
    <row r="5" spans="1:17" x14ac:dyDescent="0.4">
      <c r="A5" s="72" t="s">
        <v>7</v>
      </c>
      <c r="B5" s="145">
        <f>IF(B$2=0,0,B$4/B$2)</f>
        <v>6.5500000000000007</v>
      </c>
      <c r="C5" s="146"/>
      <c r="E5" s="81" t="s">
        <v>76</v>
      </c>
      <c r="F5" s="77" t="s">
        <v>29</v>
      </c>
      <c r="G5" s="64">
        <v>188</v>
      </c>
      <c r="H5" s="47">
        <f>IF(B$25=0,0,G5/B$25)</f>
        <v>0.53257790368271951</v>
      </c>
      <c r="I5" s="117">
        <v>8</v>
      </c>
      <c r="K5" s="46">
        <v>3</v>
      </c>
      <c r="L5" s="123">
        <v>29.1</v>
      </c>
      <c r="N5" s="46" t="s">
        <v>153</v>
      </c>
      <c r="O5" s="127">
        <f t="shared" si="0"/>
        <v>1401.3422818791946</v>
      </c>
      <c r="P5" s="60">
        <v>208800</v>
      </c>
      <c r="Q5" s="55">
        <v>149</v>
      </c>
    </row>
    <row r="6" spans="1:17" x14ac:dyDescent="0.4">
      <c r="A6" s="72" t="s">
        <v>1</v>
      </c>
      <c r="B6" s="151">
        <f>IF(B$2=0,0,(B$7*1+B$8*2+B$9*3)/B$2)</f>
        <v>1.78125</v>
      </c>
      <c r="C6" s="152"/>
      <c r="E6" s="81" t="s">
        <v>70</v>
      </c>
      <c r="F6" s="77" t="s">
        <v>24</v>
      </c>
      <c r="G6" s="64">
        <v>108</v>
      </c>
      <c r="H6" s="47">
        <f>IF(B$25=0,0,G6/B$25)</f>
        <v>0.30594900849858359</v>
      </c>
      <c r="I6" s="117">
        <v>8</v>
      </c>
      <c r="K6" s="46">
        <v>4</v>
      </c>
      <c r="L6" s="123">
        <v>114.30000000000001</v>
      </c>
      <c r="N6" s="46" t="s">
        <v>154</v>
      </c>
      <c r="O6" s="127">
        <f t="shared" si="0"/>
        <v>2079.6875</v>
      </c>
      <c r="P6" s="60">
        <v>266200</v>
      </c>
      <c r="Q6" s="55">
        <v>128</v>
      </c>
    </row>
    <row r="7" spans="1:17" x14ac:dyDescent="0.4">
      <c r="A7" s="72" t="s">
        <v>2</v>
      </c>
      <c r="B7" s="64">
        <v>83</v>
      </c>
      <c r="C7" s="47">
        <f>IF(B$2=0,0,B7/B$2)</f>
        <v>0.43229166666666669</v>
      </c>
      <c r="E7" s="81" t="s">
        <v>72</v>
      </c>
      <c r="F7" s="77" t="s">
        <v>12</v>
      </c>
      <c r="G7" s="64">
        <v>102</v>
      </c>
      <c r="H7" s="47">
        <f>IF(B$25=0,0,G7/B$25)</f>
        <v>0.28895184135977336</v>
      </c>
      <c r="I7" s="117">
        <v>8</v>
      </c>
      <c r="K7" s="46">
        <v>5</v>
      </c>
      <c r="L7" s="123">
        <v>145.80000000000001</v>
      </c>
      <c r="N7" s="50" t="s">
        <v>155</v>
      </c>
      <c r="O7" s="128">
        <f t="shared" si="0"/>
        <v>1489</v>
      </c>
      <c r="P7" s="61">
        <v>148900</v>
      </c>
      <c r="Q7" s="56">
        <v>100</v>
      </c>
    </row>
    <row r="8" spans="1:17" x14ac:dyDescent="0.4">
      <c r="A8" s="72" t="s">
        <v>3</v>
      </c>
      <c r="B8" s="64">
        <v>68</v>
      </c>
      <c r="C8" s="47">
        <f t="shared" ref="C8:C9" si="1">IF(B$2=0,0,B8/B$2)</f>
        <v>0.35416666666666669</v>
      </c>
      <c r="E8" s="81" t="s">
        <v>94</v>
      </c>
      <c r="F8" s="77" t="s">
        <v>47</v>
      </c>
      <c r="G8" s="64">
        <v>63</v>
      </c>
      <c r="H8" s="47">
        <f>IF(B$25=0,0,G8/B$25)</f>
        <v>0.17847025495750707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41</v>
      </c>
      <c r="C9" s="48">
        <f t="shared" si="1"/>
        <v>0.21354166666666666</v>
      </c>
      <c r="E9" s="81" t="s">
        <v>73</v>
      </c>
      <c r="F9" s="77" t="s">
        <v>26</v>
      </c>
      <c r="G9" s="64">
        <v>53</v>
      </c>
      <c r="H9" s="47">
        <f>IF(B$25=0,0,G9/B$25)</f>
        <v>0.1501416430594901</v>
      </c>
      <c r="I9" s="117">
        <v>5</v>
      </c>
      <c r="K9" s="46">
        <v>7</v>
      </c>
      <c r="L9" s="123">
        <v>91.700000000000017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20</v>
      </c>
      <c r="C10" s="48">
        <f>IF(B$2=0,0,B10/B$2)</f>
        <v>0.10416666666666667</v>
      </c>
      <c r="E10" s="81" t="s">
        <v>68</v>
      </c>
      <c r="F10" s="77" t="s">
        <v>22</v>
      </c>
      <c r="G10" s="64">
        <v>37</v>
      </c>
      <c r="H10" s="47">
        <f>IF(B$25=0,0,G10/B$25)</f>
        <v>0.10481586402266289</v>
      </c>
      <c r="I10" s="117">
        <v>9</v>
      </c>
      <c r="K10" s="46">
        <v>8</v>
      </c>
      <c r="L10" s="123">
        <v>55.700000000000017</v>
      </c>
      <c r="N10" s="44" t="s">
        <v>175</v>
      </c>
      <c r="O10" s="124">
        <f>IF(Q10=0,0,P10/Q10)</f>
        <v>125.9</v>
      </c>
      <c r="P10" s="130">
        <v>125.9</v>
      </c>
      <c r="Q10" s="57">
        <v>1</v>
      </c>
    </row>
    <row r="11" spans="1:17" x14ac:dyDescent="0.4">
      <c r="A11" s="74" t="s">
        <v>158</v>
      </c>
      <c r="B11" s="66">
        <v>40</v>
      </c>
      <c r="C11" s="51">
        <f>IF(B$2=0,0,B11/B$2)</f>
        <v>0.20833333333333334</v>
      </c>
      <c r="E11" s="81" t="s">
        <v>74</v>
      </c>
      <c r="F11" s="77" t="s">
        <v>27</v>
      </c>
      <c r="G11" s="64">
        <v>29</v>
      </c>
      <c r="H11" s="47">
        <f>IF(B$25=0,0,G11/B$25)</f>
        <v>8.2152974504249299E-2</v>
      </c>
      <c r="I11" s="117">
        <v>6</v>
      </c>
      <c r="K11" s="46">
        <v>9</v>
      </c>
      <c r="L11" s="123">
        <v>14.700000000000017</v>
      </c>
      <c r="N11" s="46" t="s">
        <v>170</v>
      </c>
      <c r="O11" s="125">
        <f>IF(Q11=0,0,P11/Q11)</f>
        <v>71.75</v>
      </c>
      <c r="P11" s="131">
        <v>287</v>
      </c>
      <c r="Q11" s="55">
        <v>4</v>
      </c>
    </row>
    <row r="12" spans="1:17" x14ac:dyDescent="0.4">
      <c r="A12" s="75" t="s">
        <v>128</v>
      </c>
      <c r="B12" s="67">
        <v>297</v>
      </c>
      <c r="C12" s="54">
        <f>IF(B$24=0,0,B12/B$24)</f>
        <v>0.30399181166837258</v>
      </c>
      <c r="E12" s="81" t="s">
        <v>75</v>
      </c>
      <c r="F12" s="77" t="s">
        <v>28</v>
      </c>
      <c r="G12" s="64">
        <v>24</v>
      </c>
      <c r="H12" s="47">
        <f>IF(B$25=0,0,G12/B$25)</f>
        <v>6.79886685552408E-2</v>
      </c>
      <c r="I12" s="117">
        <v>2</v>
      </c>
      <c r="K12" s="46">
        <v>10</v>
      </c>
      <c r="L12" s="123">
        <v>-16.799999999999983</v>
      </c>
      <c r="N12" s="46" t="s">
        <v>161</v>
      </c>
      <c r="O12" s="125">
        <f>IF(Q12=0,0,P12/Q12)</f>
        <v>22.773684210526316</v>
      </c>
      <c r="P12" s="131">
        <v>432.7</v>
      </c>
      <c r="Q12" s="55">
        <v>19</v>
      </c>
    </row>
    <row r="13" spans="1:17" x14ac:dyDescent="0.4">
      <c r="A13" s="72" t="s">
        <v>123</v>
      </c>
      <c r="B13" s="64">
        <v>199</v>
      </c>
      <c r="C13" s="47">
        <f>IF(B$24=0,0,B13/B$24)</f>
        <v>0.20368474923234392</v>
      </c>
      <c r="E13" s="81" t="s">
        <v>91</v>
      </c>
      <c r="F13" s="77" t="s">
        <v>44</v>
      </c>
      <c r="G13" s="64">
        <v>24</v>
      </c>
      <c r="H13" s="47">
        <f>IF(B$25=0,0,G13/B$25)</f>
        <v>6.79886685552408E-2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>IF(Q13=0,0,P13/Q13)</f>
        <v>16.821739130434786</v>
      </c>
      <c r="P13" s="131">
        <v>773.80000000000007</v>
      </c>
      <c r="Q13" s="55">
        <v>46</v>
      </c>
    </row>
    <row r="14" spans="1:17" x14ac:dyDescent="0.4">
      <c r="A14" s="71" t="s">
        <v>130</v>
      </c>
      <c r="B14" s="63">
        <v>195</v>
      </c>
      <c r="C14" s="45">
        <f>IF(B$12=0,0,B14/B$12)</f>
        <v>0.65656565656565657</v>
      </c>
      <c r="E14" s="81" t="s">
        <v>88</v>
      </c>
      <c r="F14" s="77" t="s">
        <v>41</v>
      </c>
      <c r="G14" s="64">
        <v>11</v>
      </c>
      <c r="H14" s="47">
        <f>IF(B$25=0,0,G14/B$25)</f>
        <v>3.1161473087818695E-2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>IF(Q14=0,0,P14/Q14)</f>
        <v>15.167123287671233</v>
      </c>
      <c r="P14" s="131">
        <v>1107.2</v>
      </c>
      <c r="Q14" s="55">
        <v>73</v>
      </c>
    </row>
    <row r="15" spans="1:17" x14ac:dyDescent="0.4">
      <c r="A15" s="71" t="s">
        <v>131</v>
      </c>
      <c r="B15" s="63">
        <v>96</v>
      </c>
      <c r="C15" s="45">
        <f>IF(B$13=0,0,B15/B$13)</f>
        <v>0.48241206030150752</v>
      </c>
      <c r="E15" s="81" t="s">
        <v>86</v>
      </c>
      <c r="F15" s="77" t="s">
        <v>39</v>
      </c>
      <c r="G15" s="64">
        <v>8</v>
      </c>
      <c r="H15" s="47">
        <f>IF(B$25=0,0,G15/B$25)</f>
        <v>2.2662889518413599E-2</v>
      </c>
      <c r="I15" s="117">
        <v>6</v>
      </c>
      <c r="K15" s="46">
        <v>13</v>
      </c>
      <c r="L15" s="123">
        <v>71.300000000000011</v>
      </c>
      <c r="N15" s="46" t="s">
        <v>134</v>
      </c>
      <c r="O15" s="125">
        <f>IF(Q15=0,0,P15/Q15)</f>
        <v>9.2166666666666632</v>
      </c>
      <c r="P15" s="131">
        <v>884.79999999999961</v>
      </c>
      <c r="Q15" s="55">
        <v>96</v>
      </c>
    </row>
    <row r="16" spans="1:17" x14ac:dyDescent="0.4">
      <c r="A16" s="71" t="s">
        <v>10</v>
      </c>
      <c r="B16" s="63">
        <f>B18+B17</f>
        <v>509</v>
      </c>
      <c r="C16" s="45">
        <f>IF(B$3=0,0,B16/B$3)</f>
        <v>0.35519888346127004</v>
      </c>
      <c r="E16" s="81" t="s">
        <v>82</v>
      </c>
      <c r="F16" s="77" t="s">
        <v>35</v>
      </c>
      <c r="G16" s="64">
        <v>5</v>
      </c>
      <c r="H16" s="47">
        <f>IF(B$25=0,0,G16/B$25)</f>
        <v>1.4164305949008499E-2</v>
      </c>
      <c r="I16" s="117">
        <v>9</v>
      </c>
      <c r="K16" s="46">
        <v>14</v>
      </c>
      <c r="L16" s="123">
        <v>27.300000000000011</v>
      </c>
      <c r="N16" s="46" t="s">
        <v>171</v>
      </c>
      <c r="O16" s="125">
        <f>IF(Q16=0,0,P16/Q16)</f>
        <v>8</v>
      </c>
      <c r="P16" s="131">
        <v>8</v>
      </c>
      <c r="Q16" s="55">
        <v>1</v>
      </c>
    </row>
    <row r="17" spans="1:17" x14ac:dyDescent="0.4">
      <c r="A17" s="72" t="s">
        <v>12</v>
      </c>
      <c r="B17" s="64">
        <v>193</v>
      </c>
      <c r="C17" s="47">
        <f>IF(B$16=0,0,B17/B$16)</f>
        <v>0.37917485265225931</v>
      </c>
      <c r="E17" s="81" t="s">
        <v>81</v>
      </c>
      <c r="F17" s="77" t="s">
        <v>34</v>
      </c>
      <c r="G17" s="64">
        <v>4</v>
      </c>
      <c r="H17" s="47">
        <f>IF(B$25=0,0,G17/B$25)</f>
        <v>1.1331444759206799E-2</v>
      </c>
      <c r="I17" s="117">
        <v>3</v>
      </c>
      <c r="K17" s="46">
        <v>15</v>
      </c>
      <c r="L17" s="123">
        <v>-9.6999999999999886</v>
      </c>
      <c r="N17" s="46" t="s">
        <v>138</v>
      </c>
      <c r="O17" s="125">
        <f>IF(Q17=0,0,P17/Q17)</f>
        <v>6.6095238095238118</v>
      </c>
      <c r="P17" s="131">
        <v>138.80000000000004</v>
      </c>
      <c r="Q17" s="55">
        <v>21</v>
      </c>
    </row>
    <row r="18" spans="1:17" x14ac:dyDescent="0.4">
      <c r="A18" s="72" t="s">
        <v>11</v>
      </c>
      <c r="B18" s="64">
        <v>316</v>
      </c>
      <c r="C18" s="47">
        <f>IF(B$16=0,0,B18/B$16)</f>
        <v>0.62082514734774064</v>
      </c>
      <c r="E18" s="81" t="s">
        <v>96</v>
      </c>
      <c r="F18" s="77" t="s">
        <v>49</v>
      </c>
      <c r="G18" s="64">
        <v>4</v>
      </c>
      <c r="H18" s="47">
        <f>IF(B$25=0,0,G18/B$25)</f>
        <v>1.1331444759206799E-2</v>
      </c>
      <c r="I18" s="117">
        <v>7</v>
      </c>
      <c r="K18" s="46">
        <v>16</v>
      </c>
      <c r="L18" s="123">
        <v>-8.099999999999989</v>
      </c>
      <c r="N18" s="46" t="s">
        <v>137</v>
      </c>
      <c r="O18" s="125">
        <f>IF(Q18=0,0,P18/Q18)</f>
        <v>0.2315068493150676</v>
      </c>
      <c r="P18" s="131">
        <v>16.899999999999935</v>
      </c>
      <c r="Q18" s="55">
        <v>73</v>
      </c>
    </row>
    <row r="19" spans="1:17" x14ac:dyDescent="0.4">
      <c r="A19" s="72" t="s">
        <v>13</v>
      </c>
      <c r="B19" s="64">
        <v>201</v>
      </c>
      <c r="C19" s="47">
        <f>IF(B$3=0,0,B19/B$3)</f>
        <v>0.14026517794836008</v>
      </c>
      <c r="E19" s="81" t="s">
        <v>77</v>
      </c>
      <c r="F19" s="77" t="s">
        <v>30</v>
      </c>
      <c r="G19" s="64">
        <v>3</v>
      </c>
      <c r="H19" s="47">
        <f>IF(B$25=0,0,G19/B$25)</f>
        <v>8.4985835694051E-3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>IF(Q19=0,0,P19/Q19)</f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5</v>
      </c>
      <c r="B20" s="68">
        <f>IF(B$16=0,0,C20/B$16)</f>
        <v>9996.4636542239678</v>
      </c>
      <c r="C20" s="49">
        <v>5088200</v>
      </c>
      <c r="E20" s="81" t="s">
        <v>79</v>
      </c>
      <c r="F20" s="77" t="s">
        <v>32</v>
      </c>
      <c r="G20" s="64">
        <v>3</v>
      </c>
      <c r="H20" s="47">
        <f>IF(B$25=0,0,G20/B$25)</f>
        <v>8.4985835694051E-3</v>
      </c>
      <c r="I20" s="117">
        <v>3</v>
      </c>
      <c r="K20" s="46">
        <v>18</v>
      </c>
      <c r="L20" s="123">
        <v>-14.599999999999985</v>
      </c>
    </row>
    <row r="21" spans="1:17" x14ac:dyDescent="0.4">
      <c r="A21" s="74" t="s">
        <v>14</v>
      </c>
      <c r="B21" s="69">
        <f>IF(B$19=0,0,C21/B$19)</f>
        <v>-9502.4875621890551</v>
      </c>
      <c r="C21" s="62">
        <v>-1910000</v>
      </c>
      <c r="E21" s="81" t="s">
        <v>83</v>
      </c>
      <c r="F21" s="77" t="s">
        <v>36</v>
      </c>
      <c r="G21" s="64">
        <v>3</v>
      </c>
      <c r="H21" s="47">
        <f>IF(B$25=0,0,G21/B$25)</f>
        <v>8.4985835694051E-3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1" t="s">
        <v>147</v>
      </c>
      <c r="B22" s="63">
        <v>497</v>
      </c>
      <c r="C22" s="45">
        <f>IF(B$3=0,0,B22/B$3)</f>
        <v>0.3468248429867411</v>
      </c>
      <c r="E22" s="81" t="s">
        <v>97</v>
      </c>
      <c r="F22" s="77" t="s">
        <v>50</v>
      </c>
      <c r="G22" s="64">
        <v>3</v>
      </c>
      <c r="H22" s="47">
        <f>IF(B$25=0,0,G22/B$25)</f>
        <v>8.4985835694051E-3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74" t="s">
        <v>148</v>
      </c>
      <c r="B23" s="66">
        <v>207</v>
      </c>
      <c r="C23" s="51">
        <f>IF(B$22=0,0,B23/B$22)</f>
        <v>0.4164989939637827</v>
      </c>
      <c r="E23" s="81" t="s">
        <v>92</v>
      </c>
      <c r="F23" s="77" t="s">
        <v>45</v>
      </c>
      <c r="G23" s="64">
        <v>2</v>
      </c>
      <c r="H23" s="47">
        <f>IF(B$25=0,0,G23/B$25)</f>
        <v>5.6657223796033997E-3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1" t="s">
        <v>126</v>
      </c>
      <c r="B24" s="139">
        <v>977</v>
      </c>
      <c r="C24" s="140"/>
      <c r="E24" s="81" t="s">
        <v>78</v>
      </c>
      <c r="F24" s="77" t="s">
        <v>31</v>
      </c>
      <c r="G24" s="64">
        <v>1</v>
      </c>
      <c r="H24" s="47">
        <f>IF(B$25=0,0,G24/B$25)</f>
        <v>2.8328611898016999E-3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127</v>
      </c>
      <c r="B25" s="153">
        <v>353</v>
      </c>
      <c r="C25" s="154"/>
      <c r="E25" s="81" t="s">
        <v>90</v>
      </c>
      <c r="F25" s="77" t="s">
        <v>43</v>
      </c>
      <c r="G25" s="64">
        <v>1</v>
      </c>
      <c r="H25" s="47">
        <f>IF(B$25=0,0,G25/B$25)</f>
        <v>2.8328611898016999E-3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112" t="s">
        <v>162</v>
      </c>
      <c r="B26" s="149">
        <v>10</v>
      </c>
      <c r="C26" s="150"/>
      <c r="E26" s="81" t="s">
        <v>95</v>
      </c>
      <c r="F26" s="77" t="s">
        <v>48</v>
      </c>
      <c r="G26" s="64">
        <v>1</v>
      </c>
      <c r="H26" s="47">
        <f>IF(B$25=0,0,G26/B$25)</f>
        <v>2.8328611898016999E-3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5" t="s">
        <v>203</v>
      </c>
      <c r="B27" s="147">
        <v>120200</v>
      </c>
      <c r="C27" s="148"/>
      <c r="E27" s="81" t="s">
        <v>100</v>
      </c>
      <c r="F27" s="77" t="s">
        <v>53</v>
      </c>
      <c r="G27" s="64">
        <v>1</v>
      </c>
      <c r="H27" s="47">
        <f>IF(B$25=0,0,G27/B$25)</f>
        <v>2.8328611898016999E-3</v>
      </c>
      <c r="I27" s="117">
        <v>1</v>
      </c>
      <c r="K27" s="46">
        <v>25</v>
      </c>
      <c r="L27" s="123">
        <v>84.300000000000011</v>
      </c>
    </row>
    <row r="28" spans="1:17" x14ac:dyDescent="0.4">
      <c r="A28" s="74" t="s">
        <v>163</v>
      </c>
      <c r="B28" s="83">
        <v>2</v>
      </c>
      <c r="C28" s="51">
        <f>IF(B$3=0,0,B28/B$3)</f>
        <v>1.3956734124214933E-3</v>
      </c>
      <c r="E28" s="81" t="s">
        <v>111</v>
      </c>
      <c r="F28" s="77" t="s">
        <v>118</v>
      </c>
      <c r="G28" s="64">
        <v>1</v>
      </c>
      <c r="H28" s="47">
        <f>IF(B$25=0,0,G28/B$25)</f>
        <v>2.8328611898016999E-3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>IF(B$25=0,0,G29/B$25)</f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IF(B$25=0,0,G30/B$25)</f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>IF(B$25=0,0,G31/B$25)</f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>IF(B$25=0,0,G32/B$25)</f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>IF(B$25=0,0,G33/B$25)</f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>IF(B$25=0,0,G34/B$25)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>IF(B$25=0,0,G35/B$25)</f>
        <v>0</v>
      </c>
      <c r="I35" s="117">
        <v>4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IF(B$25=0,0,G46/B$25)</f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</sheetData>
  <sortState ref="N10:Q19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02C49-AE5E-4F25-9D67-298B46A6B11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170</v>
      </c>
      <c r="C1" s="13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39">
        <v>4</v>
      </c>
      <c r="C2" s="140"/>
      <c r="E2" s="80" t="s">
        <v>67</v>
      </c>
      <c r="F2" s="76" t="s">
        <v>21</v>
      </c>
      <c r="G2" s="63">
        <v>0</v>
      </c>
      <c r="H2" s="45">
        <f>IF(B$25=0,0,G2/B$25)</f>
        <v>0</v>
      </c>
      <c r="I2" s="116">
        <v>13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1">
        <v>25</v>
      </c>
      <c r="C3" s="142"/>
      <c r="E3" s="81" t="s">
        <v>68</v>
      </c>
      <c r="F3" s="77" t="s">
        <v>22</v>
      </c>
      <c r="G3" s="64">
        <v>0</v>
      </c>
      <c r="H3" s="47">
        <f>IF(B$25=0,0,G3/B$25)</f>
        <v>0</v>
      </c>
      <c r="I3" s="117">
        <v>12</v>
      </c>
      <c r="K3" s="46">
        <v>1</v>
      </c>
      <c r="L3" s="123">
        <v>-22</v>
      </c>
      <c r="N3" s="46" t="s">
        <v>151</v>
      </c>
      <c r="O3" s="127">
        <f t="shared" si="0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43">
        <v>-132.1</v>
      </c>
      <c r="C4" s="144"/>
      <c r="E4" s="81" t="s">
        <v>69</v>
      </c>
      <c r="F4" s="77" t="s">
        <v>23</v>
      </c>
      <c r="G4" s="64">
        <v>0</v>
      </c>
      <c r="H4" s="47">
        <f>IF(B$25=0,0,G4/B$25)</f>
        <v>0</v>
      </c>
      <c r="I4" s="117">
        <v>12</v>
      </c>
      <c r="K4" s="46">
        <v>2</v>
      </c>
      <c r="L4" s="123">
        <v>-60.4</v>
      </c>
      <c r="N4" s="46" t="s">
        <v>152</v>
      </c>
      <c r="O4" s="127">
        <f t="shared" si="0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45">
        <f>IF(B$2=0,0,B$4/B$2)</f>
        <v>-33.024999999999999</v>
      </c>
      <c r="C5" s="146"/>
      <c r="E5" s="81" t="s">
        <v>70</v>
      </c>
      <c r="F5" s="77" t="s">
        <v>24</v>
      </c>
      <c r="G5" s="64">
        <v>0</v>
      </c>
      <c r="H5" s="47">
        <f>IF(B$25=0,0,G5/B$25)</f>
        <v>0</v>
      </c>
      <c r="I5" s="117">
        <v>13</v>
      </c>
      <c r="K5" s="46">
        <v>3</v>
      </c>
      <c r="L5" s="123">
        <v>-85.6</v>
      </c>
      <c r="N5" s="46" t="s">
        <v>153</v>
      </c>
      <c r="O5" s="127">
        <f t="shared" si="0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51">
        <f>IF(B$2=0,0,(B$7*1+B$8*2+B$9*3)/B$2)</f>
        <v>3</v>
      </c>
      <c r="C6" s="152"/>
      <c r="E6" s="81" t="s">
        <v>71</v>
      </c>
      <c r="F6" s="77" t="s">
        <v>25</v>
      </c>
      <c r="G6" s="64">
        <v>0</v>
      </c>
      <c r="H6" s="47">
        <f>IF(B$25=0,0,G6/B$25)</f>
        <v>0</v>
      </c>
      <c r="I6" s="117">
        <v>12</v>
      </c>
      <c r="K6" s="46">
        <v>4</v>
      </c>
      <c r="L6" s="123">
        <v>-132.1</v>
      </c>
      <c r="N6" s="46" t="s">
        <v>154</v>
      </c>
      <c r="O6" s="127">
        <f t="shared" si="0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>IF(B$25=0,0,G7/B$25)</f>
        <v>0</v>
      </c>
      <c r="I7" s="117">
        <v>12</v>
      </c>
      <c r="N7" s="50" t="s">
        <v>155</v>
      </c>
      <c r="O7" s="128">
        <f t="shared" si="0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 t="shared" ref="C8:C9" si="1">IF(B$2=0,0,B8/B$2)</f>
        <v>0</v>
      </c>
      <c r="E8" s="81" t="s">
        <v>73</v>
      </c>
      <c r="F8" s="77" t="s">
        <v>26</v>
      </c>
      <c r="G8" s="64">
        <v>0</v>
      </c>
      <c r="H8" s="47">
        <f>IF(B$25=0,0,G8/B$25)</f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si="1"/>
        <v>1</v>
      </c>
      <c r="E9" s="81" t="s">
        <v>74</v>
      </c>
      <c r="F9" s="77" t="s">
        <v>27</v>
      </c>
      <c r="G9" s="64">
        <v>0</v>
      </c>
      <c r="H9" s="47">
        <f>IF(B$25=0,0,G9/B$25)</f>
        <v>0</v>
      </c>
      <c r="I9" s="117">
        <v>11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>IF(B$25=0,0,G10/B$25)</f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4" t="s">
        <v>158</v>
      </c>
      <c r="B11" s="66">
        <v>0</v>
      </c>
      <c r="C11" s="51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IF(B$25=0,0,G11/B$25)</f>
        <v>0</v>
      </c>
      <c r="I11" s="117">
        <v>12</v>
      </c>
      <c r="N11" s="46" t="s">
        <v>171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5" t="s">
        <v>128</v>
      </c>
      <c r="B12" s="67">
        <v>0</v>
      </c>
      <c r="C12" s="54">
        <f>IF(B$24=0,0,B12/B$24)</f>
        <v>0</v>
      </c>
      <c r="E12" s="81" t="s">
        <v>77</v>
      </c>
      <c r="F12" s="77" t="s">
        <v>30</v>
      </c>
      <c r="G12" s="64">
        <v>0</v>
      </c>
      <c r="H12" s="47">
        <f>IF(B$25=0,0,G12/B$25)</f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2" t="s">
        <v>123</v>
      </c>
      <c r="B13" s="64">
        <v>0</v>
      </c>
      <c r="C13" s="47">
        <f>IF(B$24=0,0,B13/B$24)</f>
        <v>0</v>
      </c>
      <c r="E13" s="81" t="s">
        <v>78</v>
      </c>
      <c r="F13" s="77" t="s">
        <v>31</v>
      </c>
      <c r="G13" s="64">
        <v>0</v>
      </c>
      <c r="H13" s="47">
        <f>IF(B$25=0,0,G13/B$25)</f>
        <v>0</v>
      </c>
      <c r="I13" s="117">
        <v>4</v>
      </c>
    </row>
    <row r="14" spans="1:17" x14ac:dyDescent="0.4">
      <c r="A14" s="71" t="s">
        <v>130</v>
      </c>
      <c r="B14" s="63">
        <v>0</v>
      </c>
      <c r="C14" s="45">
        <f>IF(B$12=0,0,B14/B$12)</f>
        <v>0</v>
      </c>
      <c r="E14" s="81" t="s">
        <v>79</v>
      </c>
      <c r="F14" s="77" t="s">
        <v>32</v>
      </c>
      <c r="G14" s="64">
        <v>0</v>
      </c>
      <c r="H14" s="47">
        <f>IF(B$25=0,0,G14/B$25)</f>
        <v>0</v>
      </c>
      <c r="I14" s="117">
        <v>6</v>
      </c>
    </row>
    <row r="15" spans="1:17" x14ac:dyDescent="0.4">
      <c r="A15" s="71" t="s">
        <v>131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IF(B$25=0,0,G15/B$25)</f>
        <v>0</v>
      </c>
      <c r="I15" s="117">
        <v>1</v>
      </c>
    </row>
    <row r="16" spans="1:17" x14ac:dyDescent="0.4">
      <c r="A16" s="71" t="s">
        <v>10</v>
      </c>
      <c r="B16" s="63">
        <f>B18+B17</f>
        <v>1</v>
      </c>
      <c r="C16" s="45">
        <f>IF(B$3=0,0,B16/B$3)</f>
        <v>0.04</v>
      </c>
      <c r="E16" s="81" t="s">
        <v>81</v>
      </c>
      <c r="F16" s="77" t="s">
        <v>34</v>
      </c>
      <c r="G16" s="64">
        <v>0</v>
      </c>
      <c r="H16" s="47">
        <f>IF(B$25=0,0,G16/B$25)</f>
        <v>0</v>
      </c>
      <c r="I16" s="117">
        <v>6</v>
      </c>
    </row>
    <row r="17" spans="1:9" x14ac:dyDescent="0.4">
      <c r="A17" s="72" t="s">
        <v>12</v>
      </c>
      <c r="B17" s="64">
        <v>1</v>
      </c>
      <c r="C17" s="47">
        <f>IF(B$16=0,0,B17/B$16)</f>
        <v>1</v>
      </c>
      <c r="E17" s="81" t="s">
        <v>82</v>
      </c>
      <c r="F17" s="77" t="s">
        <v>35</v>
      </c>
      <c r="G17" s="64">
        <v>0</v>
      </c>
      <c r="H17" s="47">
        <f>IF(B$25=0,0,G17/B$25)</f>
        <v>0</v>
      </c>
      <c r="I17" s="117">
        <v>10</v>
      </c>
    </row>
    <row r="18" spans="1:9" x14ac:dyDescent="0.4">
      <c r="A18" s="72" t="s">
        <v>11</v>
      </c>
      <c r="B18" s="64">
        <v>0</v>
      </c>
      <c r="C18" s="47">
        <f>IF(B$16=0,0,B18/B$16)</f>
        <v>0</v>
      </c>
      <c r="E18" s="81" t="s">
        <v>83</v>
      </c>
      <c r="F18" s="77" t="s">
        <v>36</v>
      </c>
      <c r="G18" s="64">
        <v>0</v>
      </c>
      <c r="H18" s="47">
        <f>IF(B$25=0,0,G18/B$25)</f>
        <v>0</v>
      </c>
      <c r="I18" s="117">
        <v>9</v>
      </c>
    </row>
    <row r="19" spans="1:9" x14ac:dyDescent="0.4">
      <c r="A19" s="72" t="s">
        <v>13</v>
      </c>
      <c r="B19" s="64">
        <v>10</v>
      </c>
      <c r="C19" s="47">
        <f>IF(B$3=0,0,B19/B$3)</f>
        <v>0.4</v>
      </c>
      <c r="E19" s="81" t="s">
        <v>84</v>
      </c>
      <c r="F19" s="77" t="s">
        <v>37</v>
      </c>
      <c r="G19" s="64">
        <v>0</v>
      </c>
      <c r="H19" s="47">
        <f>IF(B$25=0,0,G19/B$25)</f>
        <v>0</v>
      </c>
      <c r="I19" s="117">
        <v>1</v>
      </c>
    </row>
    <row r="20" spans="1:9" x14ac:dyDescent="0.4">
      <c r="A20" s="72" t="s">
        <v>5</v>
      </c>
      <c r="B20" s="68">
        <f>IF(B$16=0,0,C20/B$16)</f>
        <v>7800</v>
      </c>
      <c r="C20" s="49">
        <v>7800</v>
      </c>
      <c r="E20" s="81" t="s">
        <v>85</v>
      </c>
      <c r="F20" s="77" t="s">
        <v>38</v>
      </c>
      <c r="G20" s="64">
        <v>0</v>
      </c>
      <c r="H20" s="47">
        <f>IF(B$25=0,0,G20/B$25)</f>
        <v>0</v>
      </c>
      <c r="I20" s="117">
        <v>3</v>
      </c>
    </row>
    <row r="21" spans="1:9" x14ac:dyDescent="0.4">
      <c r="A21" s="74" t="s">
        <v>14</v>
      </c>
      <c r="B21" s="69">
        <f>IF(B$19=0,0,C21/B$19)</f>
        <v>-8240</v>
      </c>
      <c r="C21" s="62">
        <v>-82400</v>
      </c>
      <c r="E21" s="81" t="s">
        <v>86</v>
      </c>
      <c r="F21" s="77" t="s">
        <v>39</v>
      </c>
      <c r="G21" s="64">
        <v>0</v>
      </c>
      <c r="H21" s="47">
        <f>IF(B$25=0,0,G21/B$25)</f>
        <v>0</v>
      </c>
      <c r="I21" s="117">
        <v>9</v>
      </c>
    </row>
    <row r="22" spans="1:9" x14ac:dyDescent="0.4">
      <c r="A22" s="71" t="s">
        <v>147</v>
      </c>
      <c r="B22" s="63">
        <v>0</v>
      </c>
      <c r="C22" s="45">
        <f>IF(B$3=0,0,B22/B$3)</f>
        <v>0</v>
      </c>
      <c r="E22" s="81" t="s">
        <v>87</v>
      </c>
      <c r="F22" s="77" t="s">
        <v>40</v>
      </c>
      <c r="G22" s="64">
        <v>0</v>
      </c>
      <c r="H22" s="47">
        <f>IF(B$25=0,0,G22/B$25)</f>
        <v>0</v>
      </c>
      <c r="I22" s="117">
        <v>1</v>
      </c>
    </row>
    <row r="23" spans="1:9" x14ac:dyDescent="0.4">
      <c r="A23" s="74" t="s">
        <v>148</v>
      </c>
      <c r="B23" s="66">
        <v>0</v>
      </c>
      <c r="C23" s="51">
        <f>IF(B$22=0,0,B23/B$22)</f>
        <v>0</v>
      </c>
      <c r="E23" s="81" t="s">
        <v>88</v>
      </c>
      <c r="F23" s="77" t="s">
        <v>41</v>
      </c>
      <c r="G23" s="64">
        <v>0</v>
      </c>
      <c r="H23" s="47">
        <f>IF(B$25=0,0,G23/B$25)</f>
        <v>0</v>
      </c>
      <c r="I23" s="117">
        <v>9</v>
      </c>
    </row>
    <row r="24" spans="1:9" x14ac:dyDescent="0.4">
      <c r="A24" s="71" t="s">
        <v>126</v>
      </c>
      <c r="B24" s="139">
        <v>0</v>
      </c>
      <c r="C24" s="140"/>
      <c r="E24" s="81" t="s">
        <v>89</v>
      </c>
      <c r="F24" s="77" t="s">
        <v>42</v>
      </c>
      <c r="G24" s="64">
        <v>0</v>
      </c>
      <c r="H24" s="47">
        <f>IF(B$25=0,0,G24/B$25)</f>
        <v>0</v>
      </c>
      <c r="I24" s="117">
        <v>5</v>
      </c>
    </row>
    <row r="25" spans="1:9" x14ac:dyDescent="0.4">
      <c r="A25" s="74" t="s">
        <v>127</v>
      </c>
      <c r="B25" s="153">
        <v>0</v>
      </c>
      <c r="C25" s="154"/>
      <c r="E25" s="81" t="s">
        <v>90</v>
      </c>
      <c r="F25" s="77" t="s">
        <v>43</v>
      </c>
      <c r="G25" s="64">
        <v>0</v>
      </c>
      <c r="H25" s="47">
        <f>IF(B$25=0,0,G25/B$25)</f>
        <v>0</v>
      </c>
      <c r="I25" s="117">
        <v>6</v>
      </c>
    </row>
    <row r="26" spans="1:9" x14ac:dyDescent="0.4">
      <c r="A26" s="112" t="s">
        <v>162</v>
      </c>
      <c r="B26" s="149">
        <v>0</v>
      </c>
      <c r="C26" s="150"/>
      <c r="E26" s="81" t="s">
        <v>91</v>
      </c>
      <c r="F26" s="77" t="s">
        <v>44</v>
      </c>
      <c r="G26" s="64">
        <v>0</v>
      </c>
      <c r="H26" s="47">
        <f>IF(B$25=0,0,G26/B$25)</f>
        <v>0</v>
      </c>
      <c r="I26" s="117">
        <v>12</v>
      </c>
    </row>
    <row r="27" spans="1:9" x14ac:dyDescent="0.4">
      <c r="A27" s="75" t="s">
        <v>203</v>
      </c>
      <c r="B27" s="147">
        <v>13000</v>
      </c>
      <c r="C27" s="148"/>
      <c r="E27" s="81" t="s">
        <v>92</v>
      </c>
      <c r="F27" s="77" t="s">
        <v>45</v>
      </c>
      <c r="G27" s="64">
        <v>0</v>
      </c>
      <c r="H27" s="47">
        <f>IF(B$25=0,0,G27/B$25)</f>
        <v>0</v>
      </c>
      <c r="I27" s="117">
        <v>4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93</v>
      </c>
      <c r="F28" s="77" t="s">
        <v>46</v>
      </c>
      <c r="G28" s="64">
        <v>0</v>
      </c>
      <c r="H28" s="47">
        <f>IF(B$25=0,0,G28/B$25)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IF(B$25=0,0,G29/B$25)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IF(B$25=0,0,G30/B$25)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IF(B$25=0,0,G31/B$25)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2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16BA-0638-4F62-B659-50EF894EB4AA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171</v>
      </c>
      <c r="C1" s="13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39">
        <v>3</v>
      </c>
      <c r="C2" s="140"/>
      <c r="E2" s="80" t="s">
        <v>70</v>
      </c>
      <c r="F2" s="76" t="s">
        <v>24</v>
      </c>
      <c r="G2" s="63">
        <v>2</v>
      </c>
      <c r="H2" s="45">
        <f>IF(B$25=0,0,G2/B$25)</f>
        <v>2</v>
      </c>
      <c r="I2" s="116">
        <v>1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1">
        <v>16</v>
      </c>
      <c r="C3" s="142"/>
      <c r="E3" s="81" t="s">
        <v>67</v>
      </c>
      <c r="F3" s="77" t="s">
        <v>21</v>
      </c>
      <c r="G3" s="64">
        <v>1</v>
      </c>
      <c r="H3" s="47">
        <f>IF(B$25=0,0,G3/B$25)</f>
        <v>1</v>
      </c>
      <c r="I3" s="117">
        <v>1</v>
      </c>
      <c r="K3" s="46">
        <v>1</v>
      </c>
      <c r="L3" s="123">
        <v>7</v>
      </c>
      <c r="N3" s="46" t="s">
        <v>151</v>
      </c>
      <c r="O3" s="127">
        <f t="shared" si="0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43">
        <v>-26.5</v>
      </c>
      <c r="C4" s="144"/>
      <c r="E4" s="81" t="s">
        <v>73</v>
      </c>
      <c r="F4" s="77" t="s">
        <v>26</v>
      </c>
      <c r="G4" s="64">
        <v>1</v>
      </c>
      <c r="H4" s="47">
        <f>IF(B$25=0,0,G4/B$25)</f>
        <v>1</v>
      </c>
      <c r="I4" s="117">
        <v>1</v>
      </c>
      <c r="K4" s="46">
        <v>2</v>
      </c>
      <c r="L4" s="123">
        <v>-24.5</v>
      </c>
      <c r="N4" s="46" t="s">
        <v>152</v>
      </c>
      <c r="O4" s="127">
        <f t="shared" si="0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45">
        <f>IF(B$2=0,0,B$4/B$2)</f>
        <v>-8.8333333333333339</v>
      </c>
      <c r="C5" s="146"/>
      <c r="E5" s="81" t="s">
        <v>75</v>
      </c>
      <c r="F5" s="77" t="s">
        <v>28</v>
      </c>
      <c r="G5" s="64">
        <v>1</v>
      </c>
      <c r="H5" s="47">
        <f>IF(B$25=0,0,G5/B$25)</f>
        <v>1</v>
      </c>
      <c r="I5" s="117">
        <v>1</v>
      </c>
      <c r="K5" s="46">
        <v>3</v>
      </c>
      <c r="L5" s="123">
        <v>-26.5</v>
      </c>
      <c r="N5" s="46" t="s">
        <v>153</v>
      </c>
      <c r="O5" s="127">
        <f t="shared" si="0"/>
        <v>0</v>
      </c>
      <c r="P5" s="60">
        <v>0</v>
      </c>
      <c r="Q5" s="55">
        <v>1</v>
      </c>
    </row>
    <row r="6" spans="1:17" x14ac:dyDescent="0.4">
      <c r="A6" s="72" t="s">
        <v>1</v>
      </c>
      <c r="B6" s="151">
        <f>IF(B$2=0,0,(B$7*1+B$8*2+B$9*3)/B$2)</f>
        <v>2.3333333333333335</v>
      </c>
      <c r="C6" s="152"/>
      <c r="E6" s="81" t="s">
        <v>68</v>
      </c>
      <c r="F6" s="77" t="s">
        <v>22</v>
      </c>
      <c r="G6" s="64">
        <v>0</v>
      </c>
      <c r="H6" s="47">
        <f>IF(B$25=0,0,G6/B$25)</f>
        <v>0</v>
      </c>
      <c r="I6" s="117">
        <v>12</v>
      </c>
      <c r="N6" s="46" t="s">
        <v>154</v>
      </c>
      <c r="O6" s="127">
        <f t="shared" si="0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>IF(B$25=0,0,G7/B$25)</f>
        <v>0</v>
      </c>
      <c r="I7" s="117">
        <v>12</v>
      </c>
      <c r="N7" s="50" t="s">
        <v>155</v>
      </c>
      <c r="O7" s="128">
        <f t="shared" si="0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 t="shared" ref="C8:C9" si="1">IF(B$2=0,0,B8/B$2)</f>
        <v>0.66666666666666663</v>
      </c>
      <c r="E8" s="81" t="s">
        <v>71</v>
      </c>
      <c r="F8" s="77" t="s">
        <v>25</v>
      </c>
      <c r="G8" s="64">
        <v>0</v>
      </c>
      <c r="H8" s="47">
        <f>IF(B$25=0,0,G8/B$25)</f>
        <v>0</v>
      </c>
      <c r="I8" s="117">
        <v>12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si="1"/>
        <v>0.33333333333333331</v>
      </c>
      <c r="E9" s="81" t="s">
        <v>72</v>
      </c>
      <c r="F9" s="77" t="s">
        <v>12</v>
      </c>
      <c r="G9" s="64">
        <v>0</v>
      </c>
      <c r="H9" s="47">
        <f>IF(B$25=0,0,G9/B$25)</f>
        <v>0</v>
      </c>
      <c r="I9" s="117">
        <v>12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>IF(B$25=0,0,G10/B$25)</f>
        <v>0</v>
      </c>
      <c r="I10" s="117">
        <v>11</v>
      </c>
      <c r="N10" s="44" t="s">
        <v>170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4" t="s">
        <v>158</v>
      </c>
      <c r="B11" s="66">
        <v>0</v>
      </c>
      <c r="C11" s="51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IF(B$25=0,0,G11/B$25)</f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5" t="s">
        <v>128</v>
      </c>
      <c r="B12" s="67">
        <v>5</v>
      </c>
      <c r="C12" s="54">
        <f>IF(B$24=0,0,B12/B$24)</f>
        <v>0.45454545454545453</v>
      </c>
      <c r="E12" s="81" t="s">
        <v>77</v>
      </c>
      <c r="F12" s="77" t="s">
        <v>30</v>
      </c>
      <c r="G12" s="64">
        <v>0</v>
      </c>
      <c r="H12" s="47">
        <f>IF(B$25=0,0,G12/B$25)</f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2" t="s">
        <v>123</v>
      </c>
      <c r="B13" s="64">
        <v>0</v>
      </c>
      <c r="C13" s="47">
        <f>IF(B$24=0,0,B13/B$24)</f>
        <v>0</v>
      </c>
      <c r="E13" s="81" t="s">
        <v>78</v>
      </c>
      <c r="F13" s="77" t="s">
        <v>31</v>
      </c>
      <c r="G13" s="64">
        <v>0</v>
      </c>
      <c r="H13" s="47">
        <f>IF(B$25=0,0,G13/B$25)</f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1" t="s">
        <v>130</v>
      </c>
      <c r="B14" s="63">
        <v>1</v>
      </c>
      <c r="C14" s="45">
        <f>IF(B$12=0,0,B14/B$12)</f>
        <v>0.2</v>
      </c>
      <c r="E14" s="81" t="s">
        <v>79</v>
      </c>
      <c r="F14" s="77" t="s">
        <v>32</v>
      </c>
      <c r="G14" s="64">
        <v>0</v>
      </c>
      <c r="H14" s="47">
        <f>IF(B$25=0,0,G14/B$25)</f>
        <v>0</v>
      </c>
      <c r="I14" s="117">
        <v>6</v>
      </c>
    </row>
    <row r="15" spans="1:17" x14ac:dyDescent="0.4">
      <c r="A15" s="71" t="s">
        <v>131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IF(B$25=0,0,G15/B$25)</f>
        <v>0</v>
      </c>
      <c r="I15" s="117">
        <v>1</v>
      </c>
    </row>
    <row r="16" spans="1:17" x14ac:dyDescent="0.4">
      <c r="A16" s="71" t="s">
        <v>10</v>
      </c>
      <c r="B16" s="63">
        <f>B18+B17</f>
        <v>3</v>
      </c>
      <c r="C16" s="45">
        <f>IF(B$3=0,0,B16/B$3)</f>
        <v>0.1875</v>
      </c>
      <c r="E16" s="81" t="s">
        <v>81</v>
      </c>
      <c r="F16" s="77" t="s">
        <v>34</v>
      </c>
      <c r="G16" s="64">
        <v>0</v>
      </c>
      <c r="H16" s="47">
        <f>IF(B$25=0,0,G16/B$25)</f>
        <v>0</v>
      </c>
      <c r="I16" s="117">
        <v>6</v>
      </c>
    </row>
    <row r="17" spans="1:9" x14ac:dyDescent="0.4">
      <c r="A17" s="72" t="s">
        <v>12</v>
      </c>
      <c r="B17" s="64">
        <v>0</v>
      </c>
      <c r="C17" s="47">
        <f>IF(B$16=0,0,B17/B$16)</f>
        <v>0</v>
      </c>
      <c r="E17" s="81" t="s">
        <v>82</v>
      </c>
      <c r="F17" s="77" t="s">
        <v>35</v>
      </c>
      <c r="G17" s="64">
        <v>0</v>
      </c>
      <c r="H17" s="47">
        <f>IF(B$25=0,0,G17/B$25)</f>
        <v>0</v>
      </c>
      <c r="I17" s="117">
        <v>10</v>
      </c>
    </row>
    <row r="18" spans="1:9" x14ac:dyDescent="0.4">
      <c r="A18" s="72" t="s">
        <v>11</v>
      </c>
      <c r="B18" s="64">
        <v>3</v>
      </c>
      <c r="C18" s="47">
        <f>IF(B$16=0,0,B18/B$16)</f>
        <v>1</v>
      </c>
      <c r="E18" s="81" t="s">
        <v>83</v>
      </c>
      <c r="F18" s="77" t="s">
        <v>36</v>
      </c>
      <c r="G18" s="64">
        <v>0</v>
      </c>
      <c r="H18" s="47">
        <f>IF(B$25=0,0,G18/B$25)</f>
        <v>0</v>
      </c>
      <c r="I18" s="117">
        <v>9</v>
      </c>
    </row>
    <row r="19" spans="1:9" x14ac:dyDescent="0.4">
      <c r="A19" s="72" t="s">
        <v>13</v>
      </c>
      <c r="B19" s="64">
        <v>2</v>
      </c>
      <c r="C19" s="47">
        <f>IF(B$3=0,0,B19/B$3)</f>
        <v>0.125</v>
      </c>
      <c r="E19" s="81" t="s">
        <v>84</v>
      </c>
      <c r="F19" s="77" t="s">
        <v>37</v>
      </c>
      <c r="G19" s="64">
        <v>0</v>
      </c>
      <c r="H19" s="47">
        <f>IF(B$25=0,0,G19/B$25)</f>
        <v>0</v>
      </c>
      <c r="I19" s="117">
        <v>1</v>
      </c>
    </row>
    <row r="20" spans="1:9" x14ac:dyDescent="0.4">
      <c r="A20" s="72" t="s">
        <v>5</v>
      </c>
      <c r="B20" s="68">
        <f>IF(B$16=0,0,C20/B$16)</f>
        <v>8000</v>
      </c>
      <c r="C20" s="49">
        <v>24000</v>
      </c>
      <c r="E20" s="81" t="s">
        <v>85</v>
      </c>
      <c r="F20" s="77" t="s">
        <v>38</v>
      </c>
      <c r="G20" s="64">
        <v>0</v>
      </c>
      <c r="H20" s="47">
        <f>IF(B$25=0,0,G20/B$25)</f>
        <v>0</v>
      </c>
      <c r="I20" s="117">
        <v>3</v>
      </c>
    </row>
    <row r="21" spans="1:9" x14ac:dyDescent="0.4">
      <c r="A21" s="74" t="s">
        <v>14</v>
      </c>
      <c r="B21" s="69">
        <f>IF(B$19=0,0,C21/B$19)</f>
        <v>-12000</v>
      </c>
      <c r="C21" s="62">
        <v>-24000</v>
      </c>
      <c r="E21" s="81" t="s">
        <v>86</v>
      </c>
      <c r="F21" s="77" t="s">
        <v>39</v>
      </c>
      <c r="G21" s="64">
        <v>0</v>
      </c>
      <c r="H21" s="47">
        <f>IF(B$25=0,0,G21/B$25)</f>
        <v>0</v>
      </c>
      <c r="I21" s="117">
        <v>9</v>
      </c>
    </row>
    <row r="22" spans="1:9" x14ac:dyDescent="0.4">
      <c r="A22" s="71" t="s">
        <v>147</v>
      </c>
      <c r="B22" s="63">
        <v>3</v>
      </c>
      <c r="C22" s="45">
        <f>IF(B$3=0,0,B22/B$3)</f>
        <v>0.1875</v>
      </c>
      <c r="E22" s="81" t="s">
        <v>87</v>
      </c>
      <c r="F22" s="77" t="s">
        <v>40</v>
      </c>
      <c r="G22" s="64">
        <v>0</v>
      </c>
      <c r="H22" s="47">
        <f>IF(B$25=0,0,G22/B$25)</f>
        <v>0</v>
      </c>
      <c r="I22" s="117">
        <v>1</v>
      </c>
    </row>
    <row r="23" spans="1:9" x14ac:dyDescent="0.4">
      <c r="A23" s="74" t="s">
        <v>148</v>
      </c>
      <c r="B23" s="66">
        <v>0</v>
      </c>
      <c r="C23" s="51">
        <f>IF(B$22=0,0,B23/B$22)</f>
        <v>0</v>
      </c>
      <c r="E23" s="81" t="s">
        <v>88</v>
      </c>
      <c r="F23" s="77" t="s">
        <v>41</v>
      </c>
      <c r="G23" s="64">
        <v>0</v>
      </c>
      <c r="H23" s="47">
        <f>IF(B$25=0,0,G23/B$25)</f>
        <v>0</v>
      </c>
      <c r="I23" s="117">
        <v>9</v>
      </c>
    </row>
    <row r="24" spans="1:9" x14ac:dyDescent="0.4">
      <c r="A24" s="71" t="s">
        <v>126</v>
      </c>
      <c r="B24" s="139">
        <v>11</v>
      </c>
      <c r="C24" s="140"/>
      <c r="E24" s="81" t="s">
        <v>89</v>
      </c>
      <c r="F24" s="77" t="s">
        <v>42</v>
      </c>
      <c r="G24" s="64">
        <v>0</v>
      </c>
      <c r="H24" s="47">
        <f>IF(B$25=0,0,G24/B$25)</f>
        <v>0</v>
      </c>
      <c r="I24" s="117">
        <v>5</v>
      </c>
    </row>
    <row r="25" spans="1:9" x14ac:dyDescent="0.4">
      <c r="A25" s="74" t="s">
        <v>127</v>
      </c>
      <c r="B25" s="153">
        <v>1</v>
      </c>
      <c r="C25" s="154"/>
      <c r="E25" s="81" t="s">
        <v>90</v>
      </c>
      <c r="F25" s="77" t="s">
        <v>43</v>
      </c>
      <c r="G25" s="64">
        <v>0</v>
      </c>
      <c r="H25" s="47">
        <f>IF(B$25=0,0,G25/B$25)</f>
        <v>0</v>
      </c>
      <c r="I25" s="117">
        <v>6</v>
      </c>
    </row>
    <row r="26" spans="1:9" x14ac:dyDescent="0.4">
      <c r="A26" s="112" t="s">
        <v>162</v>
      </c>
      <c r="B26" s="149">
        <v>2</v>
      </c>
      <c r="C26" s="150"/>
      <c r="E26" s="81" t="s">
        <v>91</v>
      </c>
      <c r="F26" s="77" t="s">
        <v>44</v>
      </c>
      <c r="G26" s="64">
        <v>0</v>
      </c>
      <c r="H26" s="47">
        <f>IF(B$25=0,0,G26/B$25)</f>
        <v>0</v>
      </c>
      <c r="I26" s="117">
        <v>12</v>
      </c>
    </row>
    <row r="27" spans="1:9" x14ac:dyDescent="0.4">
      <c r="A27" s="75" t="s">
        <v>203</v>
      </c>
      <c r="B27" s="147">
        <v>42000</v>
      </c>
      <c r="C27" s="148"/>
      <c r="E27" s="81" t="s">
        <v>92</v>
      </c>
      <c r="F27" s="77" t="s">
        <v>45</v>
      </c>
      <c r="G27" s="64">
        <v>0</v>
      </c>
      <c r="H27" s="47">
        <f>IF(B$25=0,0,G27/B$25)</f>
        <v>0</v>
      </c>
      <c r="I27" s="117">
        <v>4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93</v>
      </c>
      <c r="F28" s="77" t="s">
        <v>46</v>
      </c>
      <c r="G28" s="64">
        <v>0</v>
      </c>
      <c r="H28" s="47">
        <f>IF(B$25=0,0,G28/B$25)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IF(B$25=0,0,G29/B$25)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IF(B$25=0,0,G30/B$25)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IF(B$25=0,0,G31/B$25)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3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22626-7A42-440C-B37A-74F56C0F3543}">
  <sheetPr codeName="Sheet13"/>
  <dimension ref="A1:Q113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134</v>
      </c>
      <c r="C1" s="13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39">
        <v>111</v>
      </c>
      <c r="C2" s="140"/>
      <c r="E2" s="80" t="s">
        <v>71</v>
      </c>
      <c r="F2" s="76" t="s">
        <v>25</v>
      </c>
      <c r="G2" s="63">
        <v>121</v>
      </c>
      <c r="H2" s="45">
        <f>IF(B$25=0,0,G2/B$25)</f>
        <v>0.76100628930817615</v>
      </c>
      <c r="I2" s="116">
        <v>9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-330.27522935779814</v>
      </c>
      <c r="P2" s="59">
        <v>-36000</v>
      </c>
      <c r="Q2" s="57">
        <v>109</v>
      </c>
    </row>
    <row r="3" spans="1:17" x14ac:dyDescent="0.4">
      <c r="A3" s="72" t="s">
        <v>8</v>
      </c>
      <c r="B3" s="141">
        <v>856</v>
      </c>
      <c r="C3" s="142"/>
      <c r="E3" s="81" t="s">
        <v>69</v>
      </c>
      <c r="F3" s="77" t="s">
        <v>23</v>
      </c>
      <c r="G3" s="64">
        <v>106</v>
      </c>
      <c r="H3" s="47">
        <f>IF(B$25=0,0,G3/B$25)</f>
        <v>0.66666666666666663</v>
      </c>
      <c r="I3" s="117">
        <v>6</v>
      </c>
      <c r="K3" s="46">
        <v>1</v>
      </c>
      <c r="L3" s="123">
        <v>40.9</v>
      </c>
      <c r="N3" s="46" t="s">
        <v>151</v>
      </c>
      <c r="O3" s="127">
        <f t="shared" si="0"/>
        <v>-1934.2857142857142</v>
      </c>
      <c r="P3" s="60">
        <v>-203100</v>
      </c>
      <c r="Q3" s="55">
        <v>105</v>
      </c>
    </row>
    <row r="4" spans="1:17" x14ac:dyDescent="0.4">
      <c r="A4" s="72" t="s">
        <v>6</v>
      </c>
      <c r="B4" s="143">
        <v>-468.39999999999992</v>
      </c>
      <c r="C4" s="144"/>
      <c r="E4" s="81" t="s">
        <v>67</v>
      </c>
      <c r="F4" s="77" t="s">
        <v>21</v>
      </c>
      <c r="G4" s="64">
        <v>97</v>
      </c>
      <c r="H4" s="47">
        <f>IF(B$25=0,0,G4/B$25)</f>
        <v>0.61006289308176098</v>
      </c>
      <c r="I4" s="117">
        <v>6</v>
      </c>
      <c r="K4" s="46">
        <v>2</v>
      </c>
      <c r="L4" s="123">
        <v>-0.89999999999999858</v>
      </c>
      <c r="N4" s="46" t="s">
        <v>152</v>
      </c>
      <c r="O4" s="127">
        <f t="shared" si="0"/>
        <v>2591.1764705882351</v>
      </c>
      <c r="P4" s="60">
        <v>264300</v>
      </c>
      <c r="Q4" s="55">
        <v>102</v>
      </c>
    </row>
    <row r="5" spans="1:17" x14ac:dyDescent="0.4">
      <c r="A5" s="72" t="s">
        <v>7</v>
      </c>
      <c r="B5" s="145">
        <f>IF(B$2=0,0,B$4/B$2)</f>
        <v>-4.2198198198198194</v>
      </c>
      <c r="C5" s="146"/>
      <c r="E5" s="81" t="s">
        <v>76</v>
      </c>
      <c r="F5" s="77" t="s">
        <v>29</v>
      </c>
      <c r="G5" s="64">
        <v>87</v>
      </c>
      <c r="H5" s="47">
        <f>IF(B$25=0,0,G5/B$25)</f>
        <v>0.54716981132075471</v>
      </c>
      <c r="I5" s="117">
        <v>6</v>
      </c>
      <c r="K5" s="46">
        <v>3</v>
      </c>
      <c r="L5" s="123">
        <v>-36.4</v>
      </c>
      <c r="N5" s="46" t="s">
        <v>153</v>
      </c>
      <c r="O5" s="127">
        <f t="shared" si="0"/>
        <v>-1648.3516483516485</v>
      </c>
      <c r="P5" s="60">
        <v>-150000</v>
      </c>
      <c r="Q5" s="55">
        <v>91</v>
      </c>
    </row>
    <row r="6" spans="1:17" x14ac:dyDescent="0.4">
      <c r="A6" s="72" t="s">
        <v>1</v>
      </c>
      <c r="B6" s="151">
        <f>IF(B$2=0,0,(B$7*1+B$8*2+B$9*3)/B$2)</f>
        <v>2.1261261261261262</v>
      </c>
      <c r="C6" s="152"/>
      <c r="E6" s="81" t="s">
        <v>72</v>
      </c>
      <c r="F6" s="77" t="s">
        <v>12</v>
      </c>
      <c r="G6" s="64">
        <v>55</v>
      </c>
      <c r="H6" s="47">
        <f>IF(B$25=0,0,G6/B$25)</f>
        <v>0.34591194968553457</v>
      </c>
      <c r="I6" s="117">
        <v>2</v>
      </c>
      <c r="K6" s="46">
        <v>4</v>
      </c>
      <c r="L6" s="123">
        <v>3.6000000000000014</v>
      </c>
      <c r="N6" s="46" t="s">
        <v>154</v>
      </c>
      <c r="O6" s="127">
        <f t="shared" si="0"/>
        <v>-3023.6842105263158</v>
      </c>
      <c r="P6" s="60">
        <v>-229800</v>
      </c>
      <c r="Q6" s="55">
        <v>76</v>
      </c>
    </row>
    <row r="7" spans="1:17" x14ac:dyDescent="0.4">
      <c r="A7" s="72" t="s">
        <v>2</v>
      </c>
      <c r="B7" s="64">
        <v>32</v>
      </c>
      <c r="C7" s="47">
        <f>IF(B$2=0,0,B7/B$2)</f>
        <v>0.28828828828828829</v>
      </c>
      <c r="E7" s="81" t="s">
        <v>70</v>
      </c>
      <c r="F7" s="77" t="s">
        <v>24</v>
      </c>
      <c r="G7" s="64">
        <v>50</v>
      </c>
      <c r="H7" s="47">
        <f>IF(B$25=0,0,G7/B$25)</f>
        <v>0.31446540880503143</v>
      </c>
      <c r="I7" s="117">
        <v>7</v>
      </c>
      <c r="K7" s="46">
        <v>5</v>
      </c>
      <c r="L7" s="123">
        <v>14.600000000000001</v>
      </c>
      <c r="N7" s="50" t="s">
        <v>155</v>
      </c>
      <c r="O7" s="128">
        <f t="shared" si="0"/>
        <v>-2530</v>
      </c>
      <c r="P7" s="61">
        <v>-151800</v>
      </c>
      <c r="Q7" s="56">
        <v>60</v>
      </c>
    </row>
    <row r="8" spans="1:17" x14ac:dyDescent="0.4">
      <c r="A8" s="72" t="s">
        <v>3</v>
      </c>
      <c r="B8" s="64">
        <v>33</v>
      </c>
      <c r="C8" s="47">
        <f t="shared" ref="C8:C9" si="1">IF(B$2=0,0,B8/B$2)</f>
        <v>0.29729729729729731</v>
      </c>
      <c r="E8" s="81" t="s">
        <v>94</v>
      </c>
      <c r="F8" s="77" t="s">
        <v>47</v>
      </c>
      <c r="G8" s="64">
        <v>27</v>
      </c>
      <c r="H8" s="47">
        <f>IF(B$25=0,0,G8/B$25)</f>
        <v>0.16981132075471697</v>
      </c>
      <c r="I8" s="117">
        <v>4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si="1"/>
        <v>0.4144144144144144</v>
      </c>
      <c r="E9" s="81" t="s">
        <v>68</v>
      </c>
      <c r="F9" s="77" t="s">
        <v>22</v>
      </c>
      <c r="G9" s="64">
        <v>25</v>
      </c>
      <c r="H9" s="47">
        <f>IF(B$25=0,0,G9/B$25)</f>
        <v>0.15723270440251572</v>
      </c>
      <c r="I9" s="117">
        <v>4</v>
      </c>
      <c r="K9" s="46">
        <v>7</v>
      </c>
      <c r="L9" s="123">
        <v>100.1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0.2072072072072072</v>
      </c>
      <c r="E10" s="81" t="s">
        <v>73</v>
      </c>
      <c r="F10" s="77" t="s">
        <v>26</v>
      </c>
      <c r="G10" s="64">
        <v>25</v>
      </c>
      <c r="H10" s="47">
        <f>IF(B$25=0,0,G10/B$25)</f>
        <v>0.15723270440251572</v>
      </c>
      <c r="I10" s="117">
        <v>4</v>
      </c>
      <c r="K10" s="46">
        <v>8</v>
      </c>
      <c r="L10" s="123">
        <v>60.199999999999996</v>
      </c>
      <c r="N10" s="44" t="s">
        <v>171</v>
      </c>
      <c r="O10" s="124">
        <f>IF(Q10=0,0,P10/Q10)</f>
        <v>50.95</v>
      </c>
      <c r="P10" s="130">
        <v>101.9</v>
      </c>
      <c r="Q10" s="57">
        <v>2</v>
      </c>
    </row>
    <row r="11" spans="1:17" x14ac:dyDescent="0.4">
      <c r="A11" s="74" t="s">
        <v>158</v>
      </c>
      <c r="B11" s="66">
        <v>15</v>
      </c>
      <c r="C11" s="51">
        <f>IF(B$2=0,0,B11/B$2)</f>
        <v>0.13513513513513514</v>
      </c>
      <c r="E11" s="81" t="s">
        <v>74</v>
      </c>
      <c r="F11" s="77" t="s">
        <v>27</v>
      </c>
      <c r="G11" s="64">
        <v>23</v>
      </c>
      <c r="H11" s="47">
        <f>IF(B$25=0,0,G11/B$25)</f>
        <v>0.14465408805031446</v>
      </c>
      <c r="I11" s="117">
        <v>2</v>
      </c>
      <c r="K11" s="46">
        <v>9</v>
      </c>
      <c r="L11" s="123">
        <v>24.4</v>
      </c>
      <c r="N11" s="46" t="s">
        <v>136</v>
      </c>
      <c r="O11" s="125">
        <f>IF(Q11=0,0,P11/Q11)</f>
        <v>32.357142857142854</v>
      </c>
      <c r="P11" s="131">
        <v>453</v>
      </c>
      <c r="Q11" s="55">
        <v>14</v>
      </c>
    </row>
    <row r="12" spans="1:17" x14ac:dyDescent="0.4">
      <c r="A12" s="75" t="s">
        <v>128</v>
      </c>
      <c r="B12" s="67">
        <v>173</v>
      </c>
      <c r="C12" s="54">
        <f>IF(B$24=0,0,B12/B$24)</f>
        <v>0.29075630252100843</v>
      </c>
      <c r="E12" s="81" t="s">
        <v>88</v>
      </c>
      <c r="F12" s="77" t="s">
        <v>41</v>
      </c>
      <c r="G12" s="64">
        <v>15</v>
      </c>
      <c r="H12" s="47">
        <f>IF(B$25=0,0,G12/B$25)</f>
        <v>9.4339622641509441E-2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>IF(Q12=0,0,P12/Q12)</f>
        <v>6.3028571428571398</v>
      </c>
      <c r="P12" s="131">
        <v>220.59999999999988</v>
      </c>
      <c r="Q12" s="55">
        <v>35</v>
      </c>
    </row>
    <row r="13" spans="1:17" x14ac:dyDescent="0.4">
      <c r="A13" s="72" t="s">
        <v>123</v>
      </c>
      <c r="B13" s="64">
        <v>106</v>
      </c>
      <c r="C13" s="47">
        <f>IF(B$24=0,0,B13/B$24)</f>
        <v>0.17815126050420169</v>
      </c>
      <c r="E13" s="81" t="s">
        <v>91</v>
      </c>
      <c r="F13" s="77" t="s">
        <v>44</v>
      </c>
      <c r="G13" s="64">
        <v>14</v>
      </c>
      <c r="H13" s="47">
        <f>IF(B$25=0,0,G13/B$25)</f>
        <v>8.8050314465408799E-2</v>
      </c>
      <c r="I13" s="117">
        <v>4</v>
      </c>
      <c r="K13" s="46">
        <v>11</v>
      </c>
      <c r="L13" s="123">
        <v>-3.6000000000000014</v>
      </c>
      <c r="N13" s="46" t="s">
        <v>138</v>
      </c>
      <c r="O13" s="125">
        <f>IF(Q13=0,0,P13/Q13)</f>
        <v>-1.2833333333333339</v>
      </c>
      <c r="P13" s="131">
        <v>-7.7000000000000028</v>
      </c>
      <c r="Q13" s="55">
        <v>6</v>
      </c>
    </row>
    <row r="14" spans="1:17" x14ac:dyDescent="0.4">
      <c r="A14" s="71" t="s">
        <v>130</v>
      </c>
      <c r="B14" s="63">
        <v>98</v>
      </c>
      <c r="C14" s="45">
        <f>IF(B$12=0,0,B14/B$12)</f>
        <v>0.56647398843930641</v>
      </c>
      <c r="E14" s="81" t="s">
        <v>86</v>
      </c>
      <c r="F14" s="77" t="s">
        <v>39</v>
      </c>
      <c r="G14" s="64">
        <v>7</v>
      </c>
      <c r="H14" s="47">
        <f>IF(B$25=0,0,G14/B$25)</f>
        <v>4.40251572327044E-2</v>
      </c>
      <c r="I14" s="117">
        <v>3</v>
      </c>
      <c r="K14" s="46">
        <v>12</v>
      </c>
      <c r="L14" s="123">
        <v>-12.000000000000002</v>
      </c>
      <c r="N14" s="46" t="s">
        <v>133</v>
      </c>
      <c r="O14" s="125">
        <f>IF(Q14=0,0,P14/Q14)</f>
        <v>-9.2166666666666632</v>
      </c>
      <c r="P14" s="131">
        <v>-884.79999999999961</v>
      </c>
      <c r="Q14" s="55">
        <v>96</v>
      </c>
    </row>
    <row r="15" spans="1:17" x14ac:dyDescent="0.4">
      <c r="A15" s="71" t="s">
        <v>131</v>
      </c>
      <c r="B15" s="63">
        <v>41</v>
      </c>
      <c r="C15" s="45">
        <f>IF(B$13=0,0,B15/B$13)</f>
        <v>0.3867924528301887</v>
      </c>
      <c r="E15" s="81" t="s">
        <v>96</v>
      </c>
      <c r="F15" s="77" t="s">
        <v>49</v>
      </c>
      <c r="G15" s="64">
        <v>7</v>
      </c>
      <c r="H15" s="47">
        <f>IF(B$25=0,0,G15/B$25)</f>
        <v>4.40251572327044E-2</v>
      </c>
      <c r="I15" s="117">
        <v>2</v>
      </c>
      <c r="K15" s="46">
        <v>13</v>
      </c>
      <c r="L15" s="123">
        <v>49.5</v>
      </c>
      <c r="N15" s="46" t="s">
        <v>161</v>
      </c>
      <c r="O15" s="125">
        <f>IF(Q15=0,0,P15/Q15)</f>
        <v>-10.366666666666665</v>
      </c>
      <c r="P15" s="131">
        <v>-31.099999999999998</v>
      </c>
      <c r="Q15" s="55">
        <v>3</v>
      </c>
    </row>
    <row r="16" spans="1:17" x14ac:dyDescent="0.4">
      <c r="A16" s="71" t="s">
        <v>10</v>
      </c>
      <c r="B16" s="63">
        <f>B18+B17</f>
        <v>220</v>
      </c>
      <c r="C16" s="45">
        <f>IF(B$3=0,0,B16/B$3)</f>
        <v>0.2570093457943925</v>
      </c>
      <c r="E16" s="81" t="s">
        <v>75</v>
      </c>
      <c r="F16" s="77" t="s">
        <v>28</v>
      </c>
      <c r="G16" s="64">
        <v>4</v>
      </c>
      <c r="H16" s="47">
        <f>IF(B$25=0,0,G16/B$25)</f>
        <v>2.5157232704402517E-2</v>
      </c>
      <c r="I16" s="117">
        <v>10</v>
      </c>
      <c r="K16" s="46">
        <v>14</v>
      </c>
      <c r="L16" s="123">
        <v>33</v>
      </c>
      <c r="N16" s="46" t="s">
        <v>135</v>
      </c>
      <c r="O16" s="125">
        <f>IF(Q16=0,0,P16/Q16)</f>
        <v>-15.51666666666666</v>
      </c>
      <c r="P16" s="131">
        <v>-558.5999999999998</v>
      </c>
      <c r="Q16" s="55">
        <v>36</v>
      </c>
    </row>
    <row r="17" spans="1:17" x14ac:dyDescent="0.4">
      <c r="A17" s="72" t="s">
        <v>12</v>
      </c>
      <c r="B17" s="64">
        <v>93</v>
      </c>
      <c r="C17" s="47">
        <f>IF(B$16=0,0,B17/B$16)</f>
        <v>0.42272727272727273</v>
      </c>
      <c r="E17" s="81" t="s">
        <v>82</v>
      </c>
      <c r="F17" s="77" t="s">
        <v>35</v>
      </c>
      <c r="G17" s="64">
        <v>3</v>
      </c>
      <c r="H17" s="47">
        <f>IF(B$25=0,0,G17/B$25)</f>
        <v>1.8867924528301886E-2</v>
      </c>
      <c r="I17" s="117">
        <v>7</v>
      </c>
      <c r="K17" s="46">
        <v>15</v>
      </c>
      <c r="L17" s="123">
        <v>38.5</v>
      </c>
      <c r="N17" s="46" t="s">
        <v>137</v>
      </c>
      <c r="O17" s="125">
        <f>IF(Q17=0,0,P17/Q17)</f>
        <v>-22.462962962962962</v>
      </c>
      <c r="P17" s="131">
        <v>-606.5</v>
      </c>
      <c r="Q17" s="55">
        <v>27</v>
      </c>
    </row>
    <row r="18" spans="1:17" x14ac:dyDescent="0.4">
      <c r="A18" s="72" t="s">
        <v>11</v>
      </c>
      <c r="B18" s="64">
        <v>127</v>
      </c>
      <c r="C18" s="47">
        <f>IF(B$16=0,0,B18/B$16)</f>
        <v>0.57727272727272727</v>
      </c>
      <c r="E18" s="81" t="s">
        <v>83</v>
      </c>
      <c r="F18" s="77" t="s">
        <v>36</v>
      </c>
      <c r="G18" s="64">
        <v>2</v>
      </c>
      <c r="H18" s="47">
        <f>IF(B$25=0,0,G18/B$25)</f>
        <v>1.2578616352201259E-2</v>
      </c>
      <c r="I18" s="117">
        <v>5</v>
      </c>
      <c r="K18" s="46">
        <v>16</v>
      </c>
      <c r="L18" s="123">
        <v>14.600000000000001</v>
      </c>
      <c r="N18" s="46" t="s">
        <v>198</v>
      </c>
      <c r="O18" s="125">
        <f>IF(Q18=0,0,P18/Q18)</f>
        <v>-29.333333333333332</v>
      </c>
      <c r="P18" s="131">
        <v>-88</v>
      </c>
      <c r="Q18" s="55">
        <v>3</v>
      </c>
    </row>
    <row r="19" spans="1:17" x14ac:dyDescent="0.4">
      <c r="A19" s="72" t="s">
        <v>13</v>
      </c>
      <c r="B19" s="64">
        <v>168</v>
      </c>
      <c r="C19" s="47">
        <f>IF(B$3=0,0,B19/B$3)</f>
        <v>0.19626168224299065</v>
      </c>
      <c r="E19" s="81" t="s">
        <v>90</v>
      </c>
      <c r="F19" s="77" t="s">
        <v>43</v>
      </c>
      <c r="G19" s="64">
        <v>2</v>
      </c>
      <c r="H19" s="47">
        <f>IF(B$25=0,0,G19/B$25)</f>
        <v>1.2578616352201259E-2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5</v>
      </c>
      <c r="B20" s="68">
        <f>IF(B$16=0,0,C20/B$16)</f>
        <v>11140.90909090909</v>
      </c>
      <c r="C20" s="49">
        <v>2451000</v>
      </c>
      <c r="E20" s="81" t="s">
        <v>97</v>
      </c>
      <c r="F20" s="77" t="s">
        <v>50</v>
      </c>
      <c r="G20" s="64">
        <v>2</v>
      </c>
      <c r="H20" s="47">
        <f>IF(B$25=0,0,G20/B$25)</f>
        <v>1.2578616352201259E-2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4" t="s">
        <v>14</v>
      </c>
      <c r="B21" s="69">
        <f>IF(B$19=0,0,C21/B$19)</f>
        <v>-9800</v>
      </c>
      <c r="C21" s="62">
        <v>-1646400</v>
      </c>
      <c r="E21" s="81" t="s">
        <v>85</v>
      </c>
      <c r="F21" s="77" t="s">
        <v>38</v>
      </c>
      <c r="G21" s="64">
        <v>1</v>
      </c>
      <c r="H21" s="47">
        <f>IF(B$25=0,0,G21/B$25)</f>
        <v>6.2893081761006293E-3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1" t="s">
        <v>147</v>
      </c>
      <c r="B22" s="63">
        <v>272</v>
      </c>
      <c r="C22" s="45">
        <f>IF(B$3=0,0,B22/B$3)</f>
        <v>0.31775700934579437</v>
      </c>
      <c r="E22" s="81" t="s">
        <v>89</v>
      </c>
      <c r="F22" s="77" t="s">
        <v>42</v>
      </c>
      <c r="G22" s="64">
        <v>1</v>
      </c>
      <c r="H22" s="47">
        <f>IF(B$25=0,0,G22/B$25)</f>
        <v>6.2893081761006293E-3</v>
      </c>
      <c r="I22" s="117">
        <v>1</v>
      </c>
      <c r="K22" s="46">
        <v>20</v>
      </c>
      <c r="L22" s="123">
        <v>-57.899999999999991</v>
      </c>
    </row>
    <row r="23" spans="1:17" x14ac:dyDescent="0.4">
      <c r="A23" s="74" t="s">
        <v>148</v>
      </c>
      <c r="B23" s="66">
        <v>84</v>
      </c>
      <c r="C23" s="51">
        <f>IF(B$22=0,0,B23/B$22)</f>
        <v>0.30882352941176472</v>
      </c>
      <c r="E23" s="81" t="s">
        <v>92</v>
      </c>
      <c r="F23" s="77" t="s">
        <v>45</v>
      </c>
      <c r="G23" s="64">
        <v>1</v>
      </c>
      <c r="H23" s="47">
        <f>IF(B$25=0,0,G23/B$25)</f>
        <v>6.2893081761006293E-3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1" t="s">
        <v>126</v>
      </c>
      <c r="B24" s="139">
        <v>595</v>
      </c>
      <c r="C24" s="140"/>
      <c r="E24" s="81" t="s">
        <v>93</v>
      </c>
      <c r="F24" s="77" t="s">
        <v>46</v>
      </c>
      <c r="G24" s="64">
        <v>1</v>
      </c>
      <c r="H24" s="47">
        <f>IF(B$25=0,0,G24/B$25)</f>
        <v>6.2893081761006293E-3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127</v>
      </c>
      <c r="B25" s="153">
        <v>159</v>
      </c>
      <c r="C25" s="154"/>
      <c r="E25" s="81" t="s">
        <v>77</v>
      </c>
      <c r="F25" s="77" t="s">
        <v>30</v>
      </c>
      <c r="G25" s="64">
        <v>0</v>
      </c>
      <c r="H25" s="47">
        <f>IF(B$25=0,0,G25/B$25)</f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112" t="s">
        <v>162</v>
      </c>
      <c r="B26" s="149">
        <v>10</v>
      </c>
      <c r="C26" s="150"/>
      <c r="E26" s="81" t="s">
        <v>78</v>
      </c>
      <c r="F26" s="77" t="s">
        <v>31</v>
      </c>
      <c r="G26" s="64">
        <v>0</v>
      </c>
      <c r="H26" s="47">
        <f>IF(B$25=0,0,G26/B$25)</f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5" t="s">
        <v>203</v>
      </c>
      <c r="B27" s="147">
        <v>96500</v>
      </c>
      <c r="C27" s="148"/>
      <c r="E27" s="81" t="s">
        <v>79</v>
      </c>
      <c r="F27" s="77" t="s">
        <v>32</v>
      </c>
      <c r="G27" s="64">
        <v>0</v>
      </c>
      <c r="H27" s="47">
        <f>IF(B$25=0,0,G27/B$25)</f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A28" s="74" t="s">
        <v>163</v>
      </c>
      <c r="B28" s="83">
        <v>4</v>
      </c>
      <c r="C28" s="51">
        <f>IF(B$3=0,0,B28/B$3)</f>
        <v>4.6728971962616819E-3</v>
      </c>
      <c r="E28" s="81" t="s">
        <v>80</v>
      </c>
      <c r="F28" s="77" t="s">
        <v>33</v>
      </c>
      <c r="G28" s="64">
        <v>0</v>
      </c>
      <c r="H28" s="47">
        <f>IF(B$25=0,0,G28/B$25)</f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>IF(B$25=0,0,G29/B$25)</f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IF(B$25=0,0,G30/B$25)</f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>IF(B$25=0,0,G31/B$25)</f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IF(B$25=0,0,G32/B$25)</f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</sheetData>
  <sortState ref="N10:Q18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8237B-EEE9-4CD2-8671-D5DA791270F1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135</v>
      </c>
      <c r="C1" s="13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39">
        <v>57</v>
      </c>
      <c r="C2" s="140"/>
      <c r="E2" s="80" t="s">
        <v>69</v>
      </c>
      <c r="F2" s="76" t="s">
        <v>23</v>
      </c>
      <c r="G2" s="63">
        <v>52</v>
      </c>
      <c r="H2" s="45">
        <f>IF(B$25=0,0,G2/B$25)</f>
        <v>0.91228070175438591</v>
      </c>
      <c r="I2" s="116">
        <v>1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1">
        <v>410</v>
      </c>
      <c r="C3" s="142"/>
      <c r="E3" s="81" t="s">
        <v>71</v>
      </c>
      <c r="F3" s="77" t="s">
        <v>25</v>
      </c>
      <c r="G3" s="64">
        <v>51</v>
      </c>
      <c r="H3" s="47">
        <f>IF(B$25=0,0,G3/B$25)</f>
        <v>0.89473684210526316</v>
      </c>
      <c r="I3" s="117">
        <v>5</v>
      </c>
      <c r="K3" s="46">
        <v>1</v>
      </c>
      <c r="L3" s="123">
        <v>-39.9</v>
      </c>
      <c r="N3" s="46" t="s">
        <v>151</v>
      </c>
      <c r="O3" s="127">
        <f t="shared" si="0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43">
        <v>257.3</v>
      </c>
      <c r="C4" s="144"/>
      <c r="E4" s="81" t="s">
        <v>76</v>
      </c>
      <c r="F4" s="77" t="s">
        <v>29</v>
      </c>
      <c r="G4" s="64">
        <v>36</v>
      </c>
      <c r="H4" s="47">
        <f>IF(B$25=0,0,G4/B$25)</f>
        <v>0.63157894736842102</v>
      </c>
      <c r="I4" s="117">
        <v>4</v>
      </c>
      <c r="K4" s="46">
        <v>2</v>
      </c>
      <c r="L4" s="123">
        <v>-13.2</v>
      </c>
      <c r="N4" s="46" t="s">
        <v>152</v>
      </c>
      <c r="O4" s="127">
        <f t="shared" si="0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45">
        <f>IF(B$2=0,0,B$4/B$2)</f>
        <v>4.5140350877192983</v>
      </c>
      <c r="C5" s="146"/>
      <c r="E5" s="81" t="s">
        <v>67</v>
      </c>
      <c r="F5" s="77" t="s">
        <v>21</v>
      </c>
      <c r="G5" s="64">
        <v>24</v>
      </c>
      <c r="H5" s="47">
        <f>IF(B$25=0,0,G5/B$25)</f>
        <v>0.42105263157894735</v>
      </c>
      <c r="I5" s="117">
        <v>11</v>
      </c>
      <c r="K5" s="46">
        <v>3</v>
      </c>
      <c r="L5" s="123">
        <v>-57.7</v>
      </c>
      <c r="N5" s="46" t="s">
        <v>153</v>
      </c>
      <c r="O5" s="127">
        <f t="shared" si="0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51">
        <f>IF(B$2=0,0,(B$7*1+B$8*2+B$9*3)/B$2)</f>
        <v>1.8771929824561404</v>
      </c>
      <c r="C6" s="152"/>
      <c r="E6" s="81" t="s">
        <v>72</v>
      </c>
      <c r="F6" s="77" t="s">
        <v>12</v>
      </c>
      <c r="G6" s="64">
        <v>18</v>
      </c>
      <c r="H6" s="47">
        <f>IF(B$25=0,0,G6/B$25)</f>
        <v>0.31578947368421051</v>
      </c>
      <c r="I6" s="117">
        <v>6</v>
      </c>
      <c r="K6" s="46">
        <v>4</v>
      </c>
      <c r="L6" s="123">
        <v>-53.7</v>
      </c>
      <c r="N6" s="46" t="s">
        <v>154</v>
      </c>
      <c r="O6" s="127">
        <f t="shared" si="0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>IF(B$25=0,0,G7/B$25)</f>
        <v>0.2982456140350877</v>
      </c>
      <c r="I7" s="117">
        <v>9</v>
      </c>
      <c r="K7" s="46">
        <v>5</v>
      </c>
      <c r="L7" s="123">
        <v>-45.7</v>
      </c>
      <c r="N7" s="50" t="s">
        <v>155</v>
      </c>
      <c r="O7" s="128">
        <f t="shared" si="0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 t="shared" ref="C8:C9" si="1">IF(B$2=0,0,B8/B$2)</f>
        <v>0.42105263157894735</v>
      </c>
      <c r="E8" s="81" t="s">
        <v>73</v>
      </c>
      <c r="F8" s="77" t="s">
        <v>26</v>
      </c>
      <c r="G8" s="64">
        <v>6</v>
      </c>
      <c r="H8" s="47">
        <f>IF(B$25=0,0,G8/B$25)</f>
        <v>0.10526315789473684</v>
      </c>
      <c r="I8" s="117">
        <v>10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si="1"/>
        <v>0.22807017543859648</v>
      </c>
      <c r="E9" s="81" t="s">
        <v>88</v>
      </c>
      <c r="F9" s="77" t="s">
        <v>41</v>
      </c>
      <c r="G9" s="64">
        <v>6</v>
      </c>
      <c r="H9" s="47">
        <f>IF(B$25=0,0,G9/B$25)</f>
        <v>0.10526315789473684</v>
      </c>
      <c r="I9" s="117">
        <v>2</v>
      </c>
      <c r="K9" s="46">
        <v>7</v>
      </c>
      <c r="L9" s="123">
        <v>-47.6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>IF(B$25=0,0,G10/B$25)</f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>IF(Q10=0,0,P10/Q10)</f>
        <v>34</v>
      </c>
      <c r="P10" s="130">
        <v>34</v>
      </c>
      <c r="Q10" s="57">
        <v>1</v>
      </c>
    </row>
    <row r="11" spans="1:17" x14ac:dyDescent="0.4">
      <c r="A11" s="74" t="s">
        <v>158</v>
      </c>
      <c r="B11" s="66">
        <v>10</v>
      </c>
      <c r="C11" s="51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>IF(B$25=0,0,G11/B$25)</f>
        <v>7.0175438596491224E-2</v>
      </c>
      <c r="I11" s="117">
        <v>8</v>
      </c>
      <c r="K11" s="46">
        <v>9</v>
      </c>
      <c r="L11" s="123">
        <v>-77.900000000000006</v>
      </c>
      <c r="N11" s="46" t="s">
        <v>170</v>
      </c>
      <c r="O11" s="125">
        <f>IF(Q11=0,0,P11/Q11)</f>
        <v>26.766666666666666</v>
      </c>
      <c r="P11" s="131">
        <v>80.3</v>
      </c>
      <c r="Q11" s="55">
        <v>3</v>
      </c>
    </row>
    <row r="12" spans="1:17" x14ac:dyDescent="0.4">
      <c r="A12" s="75" t="s">
        <v>128</v>
      </c>
      <c r="B12" s="67">
        <v>39</v>
      </c>
      <c r="C12" s="54">
        <f>IF(B$24=0,0,B12/B$24)</f>
        <v>0.22674418604651161</v>
      </c>
      <c r="E12" s="81" t="s">
        <v>86</v>
      </c>
      <c r="F12" s="77" t="s">
        <v>39</v>
      </c>
      <c r="G12" s="64">
        <v>4</v>
      </c>
      <c r="H12" s="47">
        <f>IF(B$25=0,0,G12/B$25)</f>
        <v>7.0175438596491224E-2</v>
      </c>
      <c r="I12" s="117">
        <v>1</v>
      </c>
      <c r="K12" s="46">
        <v>10</v>
      </c>
      <c r="L12" s="123">
        <v>-78.900000000000006</v>
      </c>
      <c r="N12" s="46" t="s">
        <v>175</v>
      </c>
      <c r="O12" s="125">
        <f>IF(Q12=0,0,P12/Q12)</f>
        <v>21.200000000000003</v>
      </c>
      <c r="P12" s="131">
        <v>63.600000000000009</v>
      </c>
      <c r="Q12" s="55">
        <v>3</v>
      </c>
    </row>
    <row r="13" spans="1:17" x14ac:dyDescent="0.4">
      <c r="A13" s="72" t="s">
        <v>123</v>
      </c>
      <c r="B13" s="64">
        <v>55</v>
      </c>
      <c r="C13" s="47">
        <f>IF(B$24=0,0,B13/B$24)</f>
        <v>0.31976744186046513</v>
      </c>
      <c r="E13" s="81" t="s">
        <v>94</v>
      </c>
      <c r="F13" s="77" t="s">
        <v>47</v>
      </c>
      <c r="G13" s="64">
        <v>4</v>
      </c>
      <c r="H13" s="47">
        <f>IF(B$25=0,0,G13/B$25)</f>
        <v>7.0175438596491224E-2</v>
      </c>
      <c r="I13" s="117">
        <v>9</v>
      </c>
      <c r="K13" s="46">
        <v>11</v>
      </c>
      <c r="L13" s="123">
        <v>-88.9</v>
      </c>
      <c r="N13" s="46" t="s">
        <v>134</v>
      </c>
      <c r="O13" s="125">
        <f>IF(Q13=0,0,P13/Q13)</f>
        <v>15.51666666666666</v>
      </c>
      <c r="P13" s="131">
        <v>558.5999999999998</v>
      </c>
      <c r="Q13" s="55">
        <v>36</v>
      </c>
    </row>
    <row r="14" spans="1:17" x14ac:dyDescent="0.4">
      <c r="A14" s="71" t="s">
        <v>130</v>
      </c>
      <c r="B14" s="63">
        <v>24</v>
      </c>
      <c r="C14" s="45">
        <f>IF(B$12=0,0,B14/B$12)</f>
        <v>0.61538461538461542</v>
      </c>
      <c r="E14" s="81" t="s">
        <v>91</v>
      </c>
      <c r="F14" s="77" t="s">
        <v>44</v>
      </c>
      <c r="G14" s="64">
        <v>3</v>
      </c>
      <c r="H14" s="47">
        <f>IF(B$25=0,0,G14/B$25)</f>
        <v>5.2631578947368418E-2</v>
      </c>
      <c r="I14" s="117">
        <v>9</v>
      </c>
      <c r="K14" s="46">
        <v>12</v>
      </c>
      <c r="L14" s="123">
        <v>-23.5</v>
      </c>
      <c r="N14" s="46" t="s">
        <v>137</v>
      </c>
      <c r="O14" s="125">
        <f>IF(Q14=0,0,P14/Q14)</f>
        <v>14.371428571428575</v>
      </c>
      <c r="P14" s="131">
        <v>100.60000000000002</v>
      </c>
      <c r="Q14" s="55">
        <v>7</v>
      </c>
    </row>
    <row r="15" spans="1:17" x14ac:dyDescent="0.4">
      <c r="A15" s="71" t="s">
        <v>131</v>
      </c>
      <c r="B15" s="63">
        <v>21</v>
      </c>
      <c r="C15" s="45">
        <f>IF(B$13=0,0,B15/B$13)</f>
        <v>0.38181818181818183</v>
      </c>
      <c r="E15" s="81" t="s">
        <v>75</v>
      </c>
      <c r="F15" s="77" t="s">
        <v>28</v>
      </c>
      <c r="G15" s="64">
        <v>1</v>
      </c>
      <c r="H15" s="47">
        <f>IF(B$25=0,0,G15/B$25)</f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>IF(Q15=0,0,P15/Q15)</f>
        <v>13.249999999999998</v>
      </c>
      <c r="P15" s="131">
        <v>26.499999999999996</v>
      </c>
      <c r="Q15" s="55">
        <v>2</v>
      </c>
    </row>
    <row r="16" spans="1:17" x14ac:dyDescent="0.4">
      <c r="A16" s="71" t="s">
        <v>10</v>
      </c>
      <c r="B16" s="63">
        <f>B18+B17</f>
        <v>144</v>
      </c>
      <c r="C16" s="45">
        <f>IF(B$3=0,0,B16/B$3)</f>
        <v>0.35121951219512193</v>
      </c>
      <c r="E16" s="81" t="s">
        <v>82</v>
      </c>
      <c r="F16" s="77" t="s">
        <v>35</v>
      </c>
      <c r="G16" s="64">
        <v>1</v>
      </c>
      <c r="H16" s="47">
        <f>IF(B$25=0,0,G16/B$25)</f>
        <v>1.7543859649122806E-2</v>
      </c>
      <c r="I16" s="117">
        <v>8</v>
      </c>
      <c r="K16" s="46">
        <v>14</v>
      </c>
      <c r="L16" s="123">
        <v>38.6</v>
      </c>
      <c r="N16" s="46" t="s">
        <v>133</v>
      </c>
      <c r="O16" s="125">
        <f>IF(Q16=0,0,P16/Q16)</f>
        <v>-3.3999999999999773E-2</v>
      </c>
      <c r="P16" s="131">
        <v>-1.6999999999999886</v>
      </c>
      <c r="Q16" s="55">
        <v>50</v>
      </c>
    </row>
    <row r="17" spans="1:17" x14ac:dyDescent="0.4">
      <c r="A17" s="72" t="s">
        <v>12</v>
      </c>
      <c r="B17" s="64">
        <v>67</v>
      </c>
      <c r="C17" s="47">
        <f>IF(B$16=0,0,B17/B$16)</f>
        <v>0.46527777777777779</v>
      </c>
      <c r="E17" s="81" t="s">
        <v>98</v>
      </c>
      <c r="F17" s="77" t="s">
        <v>51</v>
      </c>
      <c r="G17" s="64">
        <v>1</v>
      </c>
      <c r="H17" s="47">
        <f>IF(B$25=0,0,G17/B$25)</f>
        <v>1.7543859649122806E-2</v>
      </c>
      <c r="I17" s="117">
        <v>1</v>
      </c>
      <c r="K17" s="46">
        <v>15</v>
      </c>
      <c r="L17" s="123">
        <v>55.8</v>
      </c>
      <c r="N17" s="46" t="s">
        <v>198</v>
      </c>
      <c r="O17" s="125">
        <f>IF(Q17=0,0,P17/Q17)</f>
        <v>-4.9000000000000004</v>
      </c>
      <c r="P17" s="131">
        <v>-9.8000000000000007</v>
      </c>
      <c r="Q17" s="55">
        <v>2</v>
      </c>
    </row>
    <row r="18" spans="1:17" x14ac:dyDescent="0.4">
      <c r="A18" s="72" t="s">
        <v>11</v>
      </c>
      <c r="B18" s="64">
        <v>77</v>
      </c>
      <c r="C18" s="47">
        <f>IF(B$16=0,0,B18/B$16)</f>
        <v>0.53472222222222221</v>
      </c>
      <c r="E18" s="81" t="s">
        <v>77</v>
      </c>
      <c r="F18" s="77" t="s">
        <v>30</v>
      </c>
      <c r="G18" s="64">
        <v>0</v>
      </c>
      <c r="H18" s="47">
        <f>IF(B$25=0,0,G18/B$25)</f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>IF(Q18=0,0,P18/Q18)</f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13</v>
      </c>
      <c r="B19" s="64">
        <v>64</v>
      </c>
      <c r="C19" s="47">
        <f>IF(B$3=0,0,B19/B$3)</f>
        <v>0.15609756097560976</v>
      </c>
      <c r="E19" s="81" t="s">
        <v>78</v>
      </c>
      <c r="F19" s="77" t="s">
        <v>31</v>
      </c>
      <c r="G19" s="64">
        <v>0</v>
      </c>
      <c r="H19" s="47">
        <f>IF(B$25=0,0,G19/B$25)</f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5</v>
      </c>
      <c r="B20" s="68">
        <f>IF(B$16=0,0,C20/B$16)</f>
        <v>9825.6944444444453</v>
      </c>
      <c r="C20" s="49">
        <v>1414900</v>
      </c>
      <c r="E20" s="81" t="s">
        <v>79</v>
      </c>
      <c r="F20" s="77" t="s">
        <v>32</v>
      </c>
      <c r="G20" s="64">
        <v>0</v>
      </c>
      <c r="H20" s="47">
        <f>IF(B$25=0,0,G20/B$25)</f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4" t="s">
        <v>14</v>
      </c>
      <c r="B21" s="69">
        <f>IF(B$19=0,0,C21/B$19)</f>
        <v>-9007.8125</v>
      </c>
      <c r="C21" s="62">
        <v>-576500</v>
      </c>
      <c r="E21" s="81" t="s">
        <v>80</v>
      </c>
      <c r="F21" s="77" t="s">
        <v>33</v>
      </c>
      <c r="G21" s="64">
        <v>0</v>
      </c>
      <c r="H21" s="47">
        <f>IF(B$25=0,0,G21/B$25)</f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1" t="s">
        <v>147</v>
      </c>
      <c r="B22" s="63">
        <v>151</v>
      </c>
      <c r="C22" s="45">
        <f>IF(B$3=0,0,B22/B$3)</f>
        <v>0.36829268292682926</v>
      </c>
      <c r="E22" s="81" t="s">
        <v>81</v>
      </c>
      <c r="F22" s="77" t="s">
        <v>34</v>
      </c>
      <c r="G22" s="64">
        <v>0</v>
      </c>
      <c r="H22" s="47">
        <f>IF(B$25=0,0,G22/B$25)</f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74" t="s">
        <v>148</v>
      </c>
      <c r="B23" s="66">
        <v>56</v>
      </c>
      <c r="C23" s="51">
        <f>IF(B$22=0,0,B23/B$22)</f>
        <v>0.37086092715231789</v>
      </c>
      <c r="E23" s="81" t="s">
        <v>83</v>
      </c>
      <c r="F23" s="77" t="s">
        <v>36</v>
      </c>
      <c r="G23" s="64">
        <v>0</v>
      </c>
      <c r="H23" s="47">
        <f>IF(B$25=0,0,G23/B$25)</f>
        <v>0</v>
      </c>
      <c r="I23" s="117">
        <v>9</v>
      </c>
      <c r="K23" s="46">
        <v>21</v>
      </c>
      <c r="L23" s="123">
        <v>69.8</v>
      </c>
    </row>
    <row r="24" spans="1:17" x14ac:dyDescent="0.4">
      <c r="A24" s="71" t="s">
        <v>126</v>
      </c>
      <c r="B24" s="139">
        <v>172</v>
      </c>
      <c r="C24" s="140"/>
      <c r="E24" s="81" t="s">
        <v>84</v>
      </c>
      <c r="F24" s="77" t="s">
        <v>37</v>
      </c>
      <c r="G24" s="64">
        <v>0</v>
      </c>
      <c r="H24" s="47">
        <f>IF(B$25=0,0,G24/B$25)</f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127</v>
      </c>
      <c r="B25" s="153">
        <v>57</v>
      </c>
      <c r="C25" s="154"/>
      <c r="E25" s="81" t="s">
        <v>85</v>
      </c>
      <c r="F25" s="77" t="s">
        <v>38</v>
      </c>
      <c r="G25" s="64">
        <v>0</v>
      </c>
      <c r="H25" s="47">
        <f>IF(B$25=0,0,G25/B$25)</f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112" t="s">
        <v>162</v>
      </c>
      <c r="B26" s="149">
        <v>7</v>
      </c>
      <c r="C26" s="150"/>
      <c r="E26" s="81" t="s">
        <v>87</v>
      </c>
      <c r="F26" s="77" t="s">
        <v>40</v>
      </c>
      <c r="G26" s="64">
        <v>0</v>
      </c>
      <c r="H26" s="47">
        <f>IF(B$25=0,0,G26/B$25)</f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5" t="s">
        <v>203</v>
      </c>
      <c r="B27" s="147">
        <v>118000</v>
      </c>
      <c r="C27" s="148"/>
      <c r="E27" s="81" t="s">
        <v>89</v>
      </c>
      <c r="F27" s="77" t="s">
        <v>42</v>
      </c>
      <c r="G27" s="64">
        <v>0</v>
      </c>
      <c r="H27" s="47">
        <f>IF(B$25=0,0,G27/B$25)</f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A28" s="74" t="s">
        <v>163</v>
      </c>
      <c r="B28" s="83">
        <v>1</v>
      </c>
      <c r="C28" s="51">
        <f>IF(B$3=0,0,B28/B$3)</f>
        <v>2.4390243902439024E-3</v>
      </c>
      <c r="E28" s="81" t="s">
        <v>90</v>
      </c>
      <c r="F28" s="77" t="s">
        <v>43</v>
      </c>
      <c r="G28" s="64">
        <v>0</v>
      </c>
      <c r="H28" s="47">
        <f>IF(B$25=0,0,G28/B$25)</f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>IF(B$25=0,0,G32/B$25)</f>
        <v>0</v>
      </c>
      <c r="I32" s="117">
        <v>8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IF(B$25=0,0,G33/B$25)</f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C6F3F-77AD-4177-B911-5BA567EA01DC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175</v>
      </c>
      <c r="C1" s="13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39">
        <v>5</v>
      </c>
      <c r="C2" s="140"/>
      <c r="E2" s="80" t="s">
        <v>67</v>
      </c>
      <c r="F2" s="76" t="s">
        <v>21</v>
      </c>
      <c r="G2" s="63">
        <v>6</v>
      </c>
      <c r="H2" s="45">
        <f>IF(B$25=0,0,G2/B$25)</f>
        <v>0.66666666666666663</v>
      </c>
      <c r="I2" s="116">
        <v>3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1">
        <v>37</v>
      </c>
      <c r="C3" s="142"/>
      <c r="E3" s="81" t="s">
        <v>71</v>
      </c>
      <c r="F3" s="77" t="s">
        <v>25</v>
      </c>
      <c r="G3" s="64">
        <v>6</v>
      </c>
      <c r="H3" s="47">
        <f>IF(B$25=0,0,G3/B$25)</f>
        <v>0.66666666666666663</v>
      </c>
      <c r="I3" s="117">
        <v>10</v>
      </c>
      <c r="K3" s="46">
        <v>1</v>
      </c>
      <c r="L3" s="123">
        <v>-40.700000000000003</v>
      </c>
      <c r="N3" s="46" t="s">
        <v>151</v>
      </c>
      <c r="O3" s="127">
        <f t="shared" si="0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43">
        <v>-86.4</v>
      </c>
      <c r="C4" s="144"/>
      <c r="E4" s="81" t="s">
        <v>68</v>
      </c>
      <c r="F4" s="77" t="s">
        <v>22</v>
      </c>
      <c r="G4" s="64">
        <v>4</v>
      </c>
      <c r="H4" s="47">
        <f>IF(B$25=0,0,G4/B$25)</f>
        <v>0.44444444444444442</v>
      </c>
      <c r="I4" s="117">
        <v>1</v>
      </c>
      <c r="K4" s="46">
        <v>2</v>
      </c>
      <c r="L4" s="123">
        <v>-81.7</v>
      </c>
      <c r="N4" s="46" t="s">
        <v>152</v>
      </c>
      <c r="O4" s="127">
        <f t="shared" si="0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45">
        <f>IF(B$2=0,0,B$4/B$2)</f>
        <v>-17.28</v>
      </c>
      <c r="C5" s="146"/>
      <c r="E5" s="81" t="s">
        <v>76</v>
      </c>
      <c r="F5" s="77" t="s">
        <v>29</v>
      </c>
      <c r="G5" s="64">
        <v>4</v>
      </c>
      <c r="H5" s="47">
        <f>IF(B$25=0,0,G5/B$25)</f>
        <v>0.44444444444444442</v>
      </c>
      <c r="I5" s="117">
        <v>10</v>
      </c>
      <c r="K5" s="46">
        <v>3</v>
      </c>
      <c r="L5" s="123">
        <v>-88.9</v>
      </c>
      <c r="N5" s="46" t="s">
        <v>153</v>
      </c>
      <c r="O5" s="127">
        <f t="shared" si="0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51">
        <f>IF(B$2=0,0,(B$7*1+B$8*2+B$9*3)/B$2)</f>
        <v>2.2000000000000002</v>
      </c>
      <c r="C6" s="152"/>
      <c r="E6" s="81" t="s">
        <v>72</v>
      </c>
      <c r="F6" s="77" t="s">
        <v>12</v>
      </c>
      <c r="G6" s="64">
        <v>3</v>
      </c>
      <c r="H6" s="47">
        <f>IF(B$25=0,0,G6/B$25)</f>
        <v>0.33333333333333331</v>
      </c>
      <c r="I6" s="117">
        <v>4</v>
      </c>
      <c r="K6" s="46">
        <v>4</v>
      </c>
      <c r="L6" s="123">
        <v>-109.2</v>
      </c>
      <c r="N6" s="46" t="s">
        <v>154</v>
      </c>
      <c r="O6" s="127">
        <f t="shared" si="0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>IF(B$25=0,0,G7/B$25)</f>
        <v>0.22222222222222221</v>
      </c>
      <c r="I7" s="117">
        <v>10</v>
      </c>
      <c r="K7" s="46">
        <v>5</v>
      </c>
      <c r="L7" s="123">
        <v>-86.4</v>
      </c>
      <c r="N7" s="50" t="s">
        <v>155</v>
      </c>
      <c r="O7" s="128">
        <f t="shared" si="0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 t="shared" ref="C8:C9" si="1">IF(B$2=0,0,B8/B$2)</f>
        <v>0.4</v>
      </c>
      <c r="E8" s="81" t="s">
        <v>83</v>
      </c>
      <c r="F8" s="77" t="s">
        <v>36</v>
      </c>
      <c r="G8" s="64">
        <v>2</v>
      </c>
      <c r="H8" s="47">
        <f>IF(B$25=0,0,G8/B$25)</f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si="1"/>
        <v>0.4</v>
      </c>
      <c r="E9" s="81" t="s">
        <v>69</v>
      </c>
      <c r="F9" s="77" t="s">
        <v>23</v>
      </c>
      <c r="G9" s="64">
        <v>1</v>
      </c>
      <c r="H9" s="47">
        <f>IF(B$25=0,0,G9/B$25)</f>
        <v>0.1111111111111111</v>
      </c>
      <c r="I9" s="117">
        <v>11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>IF(B$25=0,0,G10/B$25)</f>
        <v>0.1111111111111111</v>
      </c>
      <c r="I10" s="117">
        <v>9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4" t="s">
        <v>158</v>
      </c>
      <c r="B11" s="66">
        <v>1</v>
      </c>
      <c r="C11" s="51">
        <f>IF(B$2=0,0,B11/B$2)</f>
        <v>0.2</v>
      </c>
      <c r="E11" s="81" t="s">
        <v>91</v>
      </c>
      <c r="F11" s="77" t="s">
        <v>44</v>
      </c>
      <c r="G11" s="64">
        <v>1</v>
      </c>
      <c r="H11" s="47">
        <f>IF(B$25=0,0,G11/B$25)</f>
        <v>0.1111111111111111</v>
      </c>
      <c r="I11" s="117">
        <v>2</v>
      </c>
      <c r="N11" s="46" t="s">
        <v>161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5" t="s">
        <v>128</v>
      </c>
      <c r="B12" s="67">
        <v>8</v>
      </c>
      <c r="C12" s="54">
        <f>IF(B$24=0,0,B12/B$24)</f>
        <v>0.25806451612903225</v>
      </c>
      <c r="E12" s="81" t="s">
        <v>74</v>
      </c>
      <c r="F12" s="77" t="s">
        <v>27</v>
      </c>
      <c r="G12" s="64">
        <v>0</v>
      </c>
      <c r="H12" s="47">
        <f>IF(B$25=0,0,G12/B$25)</f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2" t="s">
        <v>123</v>
      </c>
      <c r="B13" s="64">
        <v>5</v>
      </c>
      <c r="C13" s="47">
        <f>IF(B$24=0,0,B13/B$24)</f>
        <v>0.16129032258064516</v>
      </c>
      <c r="E13" s="81" t="s">
        <v>75</v>
      </c>
      <c r="F13" s="77" t="s">
        <v>28</v>
      </c>
      <c r="G13" s="64">
        <v>0</v>
      </c>
      <c r="H13" s="47">
        <f>IF(B$25=0,0,G13/B$25)</f>
        <v>0</v>
      </c>
      <c r="I13" s="117">
        <v>12</v>
      </c>
      <c r="N13" s="46" t="s">
        <v>198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1" t="s">
        <v>130</v>
      </c>
      <c r="B14" s="63">
        <v>6</v>
      </c>
      <c r="C14" s="45">
        <f>IF(B$12=0,0,B14/B$12)</f>
        <v>0.75</v>
      </c>
      <c r="E14" s="81" t="s">
        <v>77</v>
      </c>
      <c r="F14" s="77" t="s">
        <v>30</v>
      </c>
      <c r="G14" s="64">
        <v>0</v>
      </c>
      <c r="H14" s="47">
        <f>IF(B$25=0,0,G14/B$25)</f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131</v>
      </c>
      <c r="B15" s="63">
        <v>1</v>
      </c>
      <c r="C15" s="45">
        <f>IF(B$13=0,0,B15/B$13)</f>
        <v>0.2</v>
      </c>
      <c r="E15" s="81" t="s">
        <v>78</v>
      </c>
      <c r="F15" s="77" t="s">
        <v>31</v>
      </c>
      <c r="G15" s="64">
        <v>0</v>
      </c>
      <c r="H15" s="47">
        <f>IF(B$25=0,0,G15/B$25)</f>
        <v>0</v>
      </c>
      <c r="I15" s="117">
        <v>4</v>
      </c>
    </row>
    <row r="16" spans="1:17" x14ac:dyDescent="0.4">
      <c r="A16" s="71" t="s">
        <v>10</v>
      </c>
      <c r="B16" s="63">
        <f>B18+B17</f>
        <v>10</v>
      </c>
      <c r="C16" s="45">
        <f>IF(B$3=0,0,B16/B$3)</f>
        <v>0.27027027027027029</v>
      </c>
      <c r="E16" s="81" t="s">
        <v>79</v>
      </c>
      <c r="F16" s="77" t="s">
        <v>32</v>
      </c>
      <c r="G16" s="64">
        <v>0</v>
      </c>
      <c r="H16" s="47">
        <f>IF(B$25=0,0,G16/B$25)</f>
        <v>0</v>
      </c>
      <c r="I16" s="117">
        <v>6</v>
      </c>
    </row>
    <row r="17" spans="1:9" x14ac:dyDescent="0.4">
      <c r="A17" s="72" t="s">
        <v>12</v>
      </c>
      <c r="B17" s="64">
        <v>3</v>
      </c>
      <c r="C17" s="47">
        <f>IF(B$16=0,0,B17/B$16)</f>
        <v>0.3</v>
      </c>
      <c r="E17" s="81" t="s">
        <v>80</v>
      </c>
      <c r="F17" s="77" t="s">
        <v>33</v>
      </c>
      <c r="G17" s="64">
        <v>0</v>
      </c>
      <c r="H17" s="47">
        <f>IF(B$25=0,0,G17/B$25)</f>
        <v>0</v>
      </c>
      <c r="I17" s="117">
        <v>1</v>
      </c>
    </row>
    <row r="18" spans="1:9" x14ac:dyDescent="0.4">
      <c r="A18" s="72" t="s">
        <v>11</v>
      </c>
      <c r="B18" s="64">
        <v>7</v>
      </c>
      <c r="C18" s="47">
        <f>IF(B$16=0,0,B18/B$16)</f>
        <v>0.7</v>
      </c>
      <c r="E18" s="81" t="s">
        <v>81</v>
      </c>
      <c r="F18" s="77" t="s">
        <v>34</v>
      </c>
      <c r="G18" s="64">
        <v>0</v>
      </c>
      <c r="H18" s="47">
        <f>IF(B$25=0,0,G18/B$25)</f>
        <v>0</v>
      </c>
      <c r="I18" s="117">
        <v>6</v>
      </c>
    </row>
    <row r="19" spans="1:9" x14ac:dyDescent="0.4">
      <c r="A19" s="72" t="s">
        <v>13</v>
      </c>
      <c r="B19" s="64">
        <v>8</v>
      </c>
      <c r="C19" s="47">
        <f>IF(B$3=0,0,B19/B$3)</f>
        <v>0.21621621621621623</v>
      </c>
      <c r="E19" s="81" t="s">
        <v>82</v>
      </c>
      <c r="F19" s="77" t="s">
        <v>35</v>
      </c>
      <c r="G19" s="64">
        <v>0</v>
      </c>
      <c r="H19" s="47">
        <f>IF(B$25=0,0,G19/B$25)</f>
        <v>0</v>
      </c>
      <c r="I19" s="117">
        <v>10</v>
      </c>
    </row>
    <row r="20" spans="1:9" x14ac:dyDescent="0.4">
      <c r="A20" s="72" t="s">
        <v>5</v>
      </c>
      <c r="B20" s="68">
        <f>IF(B$16=0,0,C20/B$16)</f>
        <v>7100</v>
      </c>
      <c r="C20" s="49">
        <v>71000</v>
      </c>
      <c r="E20" s="81" t="s">
        <v>84</v>
      </c>
      <c r="F20" s="77" t="s">
        <v>37</v>
      </c>
      <c r="G20" s="64">
        <v>0</v>
      </c>
      <c r="H20" s="47">
        <f>IF(B$25=0,0,G20/B$25)</f>
        <v>0</v>
      </c>
      <c r="I20" s="117">
        <v>1</v>
      </c>
    </row>
    <row r="21" spans="1:9" x14ac:dyDescent="0.4">
      <c r="A21" s="74" t="s">
        <v>14</v>
      </c>
      <c r="B21" s="69">
        <f>IF(B$19=0,0,C21/B$19)</f>
        <v>-12487.5</v>
      </c>
      <c r="C21" s="62">
        <v>-99900</v>
      </c>
      <c r="E21" s="81" t="s">
        <v>85</v>
      </c>
      <c r="F21" s="77" t="s">
        <v>38</v>
      </c>
      <c r="G21" s="64">
        <v>0</v>
      </c>
      <c r="H21" s="47">
        <f>IF(B$25=0,0,G21/B$25)</f>
        <v>0</v>
      </c>
      <c r="I21" s="117">
        <v>3</v>
      </c>
    </row>
    <row r="22" spans="1:9" x14ac:dyDescent="0.4">
      <c r="A22" s="71" t="s">
        <v>147</v>
      </c>
      <c r="B22" s="63">
        <v>13</v>
      </c>
      <c r="C22" s="45">
        <f>IF(B$3=0,0,B22/B$3)</f>
        <v>0.35135135135135137</v>
      </c>
      <c r="E22" s="81" t="s">
        <v>86</v>
      </c>
      <c r="F22" s="77" t="s">
        <v>39</v>
      </c>
      <c r="G22" s="64">
        <v>0</v>
      </c>
      <c r="H22" s="47">
        <f>IF(B$25=0,0,G22/B$25)</f>
        <v>0</v>
      </c>
      <c r="I22" s="117">
        <v>9</v>
      </c>
    </row>
    <row r="23" spans="1:9" x14ac:dyDescent="0.4">
      <c r="A23" s="74" t="s">
        <v>148</v>
      </c>
      <c r="B23" s="66">
        <v>6</v>
      </c>
      <c r="C23" s="51">
        <f>IF(B$22=0,0,B23/B$22)</f>
        <v>0.46153846153846156</v>
      </c>
      <c r="E23" s="81" t="s">
        <v>87</v>
      </c>
      <c r="F23" s="77" t="s">
        <v>40</v>
      </c>
      <c r="G23" s="64">
        <v>0</v>
      </c>
      <c r="H23" s="47">
        <f>IF(B$25=0,0,G23/B$25)</f>
        <v>0</v>
      </c>
      <c r="I23" s="117">
        <v>1</v>
      </c>
    </row>
    <row r="24" spans="1:9" x14ac:dyDescent="0.4">
      <c r="A24" s="71" t="s">
        <v>126</v>
      </c>
      <c r="B24" s="139">
        <v>31</v>
      </c>
      <c r="C24" s="140"/>
      <c r="E24" s="81" t="s">
        <v>88</v>
      </c>
      <c r="F24" s="77" t="s">
        <v>41</v>
      </c>
      <c r="G24" s="64">
        <v>0</v>
      </c>
      <c r="H24" s="47">
        <f>IF(B$25=0,0,G24/B$25)</f>
        <v>0</v>
      </c>
      <c r="I24" s="117">
        <v>9</v>
      </c>
    </row>
    <row r="25" spans="1:9" x14ac:dyDescent="0.4">
      <c r="A25" s="74" t="s">
        <v>127</v>
      </c>
      <c r="B25" s="153">
        <v>9</v>
      </c>
      <c r="C25" s="154"/>
      <c r="E25" s="81" t="s">
        <v>89</v>
      </c>
      <c r="F25" s="77" t="s">
        <v>42</v>
      </c>
      <c r="G25" s="64">
        <v>0</v>
      </c>
      <c r="H25" s="47">
        <f>IF(B$25=0,0,G25/B$25)</f>
        <v>0</v>
      </c>
      <c r="I25" s="117">
        <v>5</v>
      </c>
    </row>
    <row r="26" spans="1:9" x14ac:dyDescent="0.4">
      <c r="A26" s="112" t="s">
        <v>162</v>
      </c>
      <c r="B26" s="149">
        <v>3</v>
      </c>
      <c r="C26" s="150"/>
      <c r="E26" s="81" t="s">
        <v>90</v>
      </c>
      <c r="F26" s="77" t="s">
        <v>43</v>
      </c>
      <c r="G26" s="64">
        <v>0</v>
      </c>
      <c r="H26" s="47">
        <f>IF(B$25=0,0,G26/B$25)</f>
        <v>0</v>
      </c>
      <c r="I26" s="117">
        <v>6</v>
      </c>
    </row>
    <row r="27" spans="1:9" x14ac:dyDescent="0.4">
      <c r="A27" s="75" t="s">
        <v>203</v>
      </c>
      <c r="B27" s="147">
        <v>57800</v>
      </c>
      <c r="C27" s="148"/>
      <c r="E27" s="81" t="s">
        <v>92</v>
      </c>
      <c r="F27" s="77" t="s">
        <v>45</v>
      </c>
      <c r="G27" s="64">
        <v>0</v>
      </c>
      <c r="H27" s="47">
        <f>IF(B$25=0,0,G27/B$25)</f>
        <v>0</v>
      </c>
      <c r="I27" s="117">
        <v>4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93</v>
      </c>
      <c r="F28" s="77" t="s">
        <v>46</v>
      </c>
      <c r="G28" s="64">
        <v>0</v>
      </c>
      <c r="H28" s="47">
        <f>IF(B$25=0,0,G28/B$25)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IF(B$25=0,0,G29/B$25)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IF(B$25=0,0,G30/B$25)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IF(B$25=0,0,G31/B$25)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4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28888-C11C-4A73-B9F0-C84B6533C0E4}">
  <sheetPr codeName="Sheet19"/>
  <dimension ref="A1:Q5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136</v>
      </c>
      <c r="C1" s="13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39">
        <v>53</v>
      </c>
      <c r="C2" s="140"/>
      <c r="E2" s="80" t="s">
        <v>71</v>
      </c>
      <c r="F2" s="76" t="s">
        <v>25</v>
      </c>
      <c r="G2" s="63">
        <v>52</v>
      </c>
      <c r="H2" s="45">
        <f>IF(B$25=0,0,G2/B$25)</f>
        <v>0.94545454545454544</v>
      </c>
      <c r="I2" s="116">
        <v>4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-2541.5094339622642</v>
      </c>
      <c r="P2" s="59">
        <v>-134700</v>
      </c>
      <c r="Q2" s="57">
        <v>53</v>
      </c>
    </row>
    <row r="3" spans="1:17" x14ac:dyDescent="0.4">
      <c r="A3" s="72" t="s">
        <v>8</v>
      </c>
      <c r="B3" s="141">
        <v>417</v>
      </c>
      <c r="C3" s="142"/>
      <c r="E3" s="81" t="s">
        <v>76</v>
      </c>
      <c r="F3" s="77" t="s">
        <v>29</v>
      </c>
      <c r="G3" s="64">
        <v>38</v>
      </c>
      <c r="H3" s="47">
        <f>IF(B$25=0,0,G3/B$25)</f>
        <v>0.69090909090909092</v>
      </c>
      <c r="I3" s="117">
        <v>2</v>
      </c>
      <c r="K3" s="46">
        <v>1</v>
      </c>
      <c r="L3" s="123">
        <v>68.2</v>
      </c>
      <c r="N3" s="46" t="s">
        <v>151</v>
      </c>
      <c r="O3" s="127">
        <f t="shared" si="0"/>
        <v>-3504</v>
      </c>
      <c r="P3" s="60">
        <v>-175200</v>
      </c>
      <c r="Q3" s="55">
        <v>50</v>
      </c>
    </row>
    <row r="4" spans="1:17" x14ac:dyDescent="0.4">
      <c r="A4" s="72" t="s">
        <v>6</v>
      </c>
      <c r="B4" s="143">
        <v>-451.69999999999993</v>
      </c>
      <c r="C4" s="144"/>
      <c r="E4" s="81" t="s">
        <v>69</v>
      </c>
      <c r="F4" s="77" t="s">
        <v>23</v>
      </c>
      <c r="G4" s="64">
        <v>36</v>
      </c>
      <c r="H4" s="47">
        <f>IF(B$25=0,0,G4/B$25)</f>
        <v>0.65454545454545454</v>
      </c>
      <c r="I4" s="117">
        <v>7</v>
      </c>
      <c r="K4" s="46">
        <v>2</v>
      </c>
      <c r="L4" s="123">
        <v>58.5</v>
      </c>
      <c r="N4" s="46" t="s">
        <v>152</v>
      </c>
      <c r="O4" s="127">
        <f t="shared" si="0"/>
        <v>-1334.8837209302326</v>
      </c>
      <c r="P4" s="60">
        <v>-57400</v>
      </c>
      <c r="Q4" s="55">
        <v>43</v>
      </c>
    </row>
    <row r="5" spans="1:17" x14ac:dyDescent="0.4">
      <c r="A5" s="72" t="s">
        <v>7</v>
      </c>
      <c r="B5" s="145">
        <f>IF(B$2=0,0,B$4/B$2)</f>
        <v>-8.5226415094339618</v>
      </c>
      <c r="C5" s="146"/>
      <c r="E5" s="81" t="s">
        <v>67</v>
      </c>
      <c r="F5" s="77" t="s">
        <v>21</v>
      </c>
      <c r="G5" s="64">
        <v>24</v>
      </c>
      <c r="H5" s="47">
        <f>IF(B$25=0,0,G5/B$25)</f>
        <v>0.43636363636363634</v>
      </c>
      <c r="I5" s="117">
        <v>10</v>
      </c>
      <c r="K5" s="46">
        <v>3</v>
      </c>
      <c r="L5" s="123">
        <v>82.1</v>
      </c>
      <c r="N5" s="46" t="s">
        <v>153</v>
      </c>
      <c r="O5" s="127">
        <f t="shared" si="0"/>
        <v>1414.6341463414635</v>
      </c>
      <c r="P5" s="60">
        <v>58000</v>
      </c>
      <c r="Q5" s="55">
        <v>41</v>
      </c>
    </row>
    <row r="6" spans="1:17" x14ac:dyDescent="0.4">
      <c r="A6" s="72" t="s">
        <v>1</v>
      </c>
      <c r="B6" s="151">
        <f>IF(B$2=0,0,(B$7*1+B$8*2+B$9*3)/B$2)</f>
        <v>2.2452830188679247</v>
      </c>
      <c r="C6" s="152"/>
      <c r="E6" s="81" t="s">
        <v>72</v>
      </c>
      <c r="F6" s="77" t="s">
        <v>12</v>
      </c>
      <c r="G6" s="64">
        <v>13</v>
      </c>
      <c r="H6" s="47">
        <f>IF(B$25=0,0,G6/B$25)</f>
        <v>0.23636363636363636</v>
      </c>
      <c r="I6" s="117">
        <v>9</v>
      </c>
      <c r="K6" s="46">
        <v>4</v>
      </c>
      <c r="L6" s="123">
        <v>57.699999999999996</v>
      </c>
      <c r="N6" s="46" t="s">
        <v>154</v>
      </c>
      <c r="O6" s="127">
        <f t="shared" si="0"/>
        <v>-3200</v>
      </c>
      <c r="P6" s="60">
        <v>-102400</v>
      </c>
      <c r="Q6" s="55">
        <v>32</v>
      </c>
    </row>
    <row r="7" spans="1:17" x14ac:dyDescent="0.4">
      <c r="A7" s="72" t="s">
        <v>2</v>
      </c>
      <c r="B7" s="64">
        <v>10</v>
      </c>
      <c r="C7" s="47">
        <f>IF(B$2=0,0,B7/B$2)</f>
        <v>0.18867924528301888</v>
      </c>
      <c r="E7" s="81" t="s">
        <v>68</v>
      </c>
      <c r="F7" s="77" t="s">
        <v>22</v>
      </c>
      <c r="G7" s="64">
        <v>7</v>
      </c>
      <c r="H7" s="47">
        <f>IF(B$25=0,0,G7/B$25)</f>
        <v>0.12727272727272726</v>
      </c>
      <c r="I7" s="117">
        <v>6</v>
      </c>
      <c r="K7" s="46">
        <v>5</v>
      </c>
      <c r="L7" s="123">
        <v>123.69999999999999</v>
      </c>
      <c r="N7" s="50" t="s">
        <v>155</v>
      </c>
      <c r="O7" s="128">
        <f t="shared" si="0"/>
        <v>-1538.4615384615386</v>
      </c>
      <c r="P7" s="61">
        <v>-40000</v>
      </c>
      <c r="Q7" s="56">
        <v>26</v>
      </c>
    </row>
    <row r="8" spans="1:17" x14ac:dyDescent="0.4">
      <c r="A8" s="72" t="s">
        <v>3</v>
      </c>
      <c r="B8" s="64">
        <v>20</v>
      </c>
      <c r="C8" s="47">
        <f t="shared" ref="C8:C9" si="1">IF(B$2=0,0,B8/B$2)</f>
        <v>0.37735849056603776</v>
      </c>
      <c r="E8" s="81" t="s">
        <v>70</v>
      </c>
      <c r="F8" s="77" t="s">
        <v>24</v>
      </c>
      <c r="G8" s="64">
        <v>5</v>
      </c>
      <c r="H8" s="47">
        <f>IF(B$25=0,0,G8/B$25)</f>
        <v>9.0909090909090912E-2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23</v>
      </c>
      <c r="C9" s="48">
        <f t="shared" si="1"/>
        <v>0.43396226415094341</v>
      </c>
      <c r="E9" s="81" t="s">
        <v>73</v>
      </c>
      <c r="F9" s="77" t="s">
        <v>26</v>
      </c>
      <c r="G9" s="64">
        <v>4</v>
      </c>
      <c r="H9" s="47">
        <f>IF(B$25=0,0,G9/B$25)</f>
        <v>7.2727272727272724E-2</v>
      </c>
      <c r="I9" s="117">
        <v>11</v>
      </c>
      <c r="K9" s="46">
        <v>7</v>
      </c>
      <c r="L9" s="123">
        <v>129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0.20754716981132076</v>
      </c>
      <c r="E10" s="81" t="s">
        <v>94</v>
      </c>
      <c r="F10" s="77" t="s">
        <v>47</v>
      </c>
      <c r="G10" s="64">
        <v>4</v>
      </c>
      <c r="H10" s="47">
        <f>IF(B$25=0,0,G10/B$25)</f>
        <v>7.2727272727272724E-2</v>
      </c>
      <c r="I10" s="117">
        <v>8</v>
      </c>
      <c r="K10" s="46">
        <v>8</v>
      </c>
      <c r="L10" s="123">
        <v>96.5</v>
      </c>
      <c r="N10" s="44" t="s">
        <v>161</v>
      </c>
      <c r="O10" s="124">
        <f>IF(Q10=0,0,P10/Q10)</f>
        <v>26.049999999999997</v>
      </c>
      <c r="P10" s="130">
        <v>52.099999999999994</v>
      </c>
      <c r="Q10" s="57">
        <v>2</v>
      </c>
    </row>
    <row r="11" spans="1:17" x14ac:dyDescent="0.4">
      <c r="A11" s="74" t="s">
        <v>158</v>
      </c>
      <c r="B11" s="66">
        <v>7</v>
      </c>
      <c r="C11" s="51">
        <f>IF(B$2=0,0,B11/B$2)</f>
        <v>0.13207547169811321</v>
      </c>
      <c r="E11" s="81" t="s">
        <v>74</v>
      </c>
      <c r="F11" s="77" t="s">
        <v>27</v>
      </c>
      <c r="G11" s="64">
        <v>3</v>
      </c>
      <c r="H11" s="47">
        <f>IF(B$25=0,0,G11/B$25)</f>
        <v>5.4545454545454543E-2</v>
      </c>
      <c r="I11" s="117">
        <v>9</v>
      </c>
      <c r="K11" s="46">
        <v>9</v>
      </c>
      <c r="L11" s="123">
        <v>82.8</v>
      </c>
      <c r="N11" s="46" t="s">
        <v>139</v>
      </c>
      <c r="O11" s="125">
        <f>IF(Q11=0,0,P11/Q11)</f>
        <v>9.06</v>
      </c>
      <c r="P11" s="131">
        <v>45.300000000000004</v>
      </c>
      <c r="Q11" s="55">
        <v>5</v>
      </c>
    </row>
    <row r="12" spans="1:17" x14ac:dyDescent="0.4">
      <c r="A12" s="75" t="s">
        <v>128</v>
      </c>
      <c r="B12" s="67">
        <v>57</v>
      </c>
      <c r="C12" s="54">
        <f>IF(B$24=0,0,B12/B$24)</f>
        <v>0.24050632911392406</v>
      </c>
      <c r="E12" s="81" t="s">
        <v>75</v>
      </c>
      <c r="F12" s="77" t="s">
        <v>28</v>
      </c>
      <c r="G12" s="64">
        <v>3</v>
      </c>
      <c r="H12" s="47">
        <f>IF(B$25=0,0,G12/B$25)</f>
        <v>5.4545454545454543E-2</v>
      </c>
      <c r="I12" s="117">
        <v>4</v>
      </c>
      <c r="K12" s="46">
        <v>10</v>
      </c>
      <c r="L12" s="123">
        <v>110.5</v>
      </c>
      <c r="N12" s="46" t="s">
        <v>137</v>
      </c>
      <c r="O12" s="125">
        <f>IF(Q12=0,0,P12/Q12)</f>
        <v>7.9863636363636346</v>
      </c>
      <c r="P12" s="131">
        <v>175.69999999999996</v>
      </c>
      <c r="Q12" s="55">
        <v>22</v>
      </c>
    </row>
    <row r="13" spans="1:17" x14ac:dyDescent="0.4">
      <c r="A13" s="72" t="s">
        <v>123</v>
      </c>
      <c r="B13" s="64">
        <v>64</v>
      </c>
      <c r="C13" s="47">
        <f>IF(B$24=0,0,B13/B$24)</f>
        <v>0.27004219409282698</v>
      </c>
      <c r="E13" s="81" t="s">
        <v>91</v>
      </c>
      <c r="F13" s="77" t="s">
        <v>44</v>
      </c>
      <c r="G13" s="64">
        <v>3</v>
      </c>
      <c r="H13" s="47">
        <f>IF(B$25=0,0,G13/B$25)</f>
        <v>5.4545454545454543E-2</v>
      </c>
      <c r="I13" s="117">
        <v>8</v>
      </c>
      <c r="K13" s="46">
        <v>11</v>
      </c>
      <c r="L13" s="123">
        <v>71.599999999999994</v>
      </c>
      <c r="N13" s="46" t="s">
        <v>135</v>
      </c>
      <c r="O13" s="125">
        <f>IF(Q13=0,0,P13/Q13)</f>
        <v>-13.249999999999998</v>
      </c>
      <c r="P13" s="131">
        <v>-26.499999999999996</v>
      </c>
      <c r="Q13" s="55">
        <v>2</v>
      </c>
    </row>
    <row r="14" spans="1:17" x14ac:dyDescent="0.4">
      <c r="A14" s="71" t="s">
        <v>130</v>
      </c>
      <c r="B14" s="63">
        <v>23</v>
      </c>
      <c r="C14" s="45">
        <f>IF(B$12=0,0,B14/B$12)</f>
        <v>0.40350877192982454</v>
      </c>
      <c r="E14" s="81" t="s">
        <v>82</v>
      </c>
      <c r="F14" s="77" t="s">
        <v>35</v>
      </c>
      <c r="G14" s="64">
        <v>2</v>
      </c>
      <c r="H14" s="47">
        <f>IF(B$25=0,0,G14/B$25)</f>
        <v>3.6363636363636362E-2</v>
      </c>
      <c r="I14" s="117">
        <v>4</v>
      </c>
      <c r="K14" s="46">
        <v>12</v>
      </c>
      <c r="L14" s="123">
        <v>33.599999999999994</v>
      </c>
      <c r="N14" s="46" t="s">
        <v>133</v>
      </c>
      <c r="O14" s="125">
        <f>IF(Q14=0,0,P14/Q14)</f>
        <v>-16.821739130434786</v>
      </c>
      <c r="P14" s="131">
        <v>-773.80000000000007</v>
      </c>
      <c r="Q14" s="55">
        <v>46</v>
      </c>
    </row>
    <row r="15" spans="1:17" x14ac:dyDescent="0.4">
      <c r="A15" s="71" t="s">
        <v>131</v>
      </c>
      <c r="B15" s="63">
        <v>24</v>
      </c>
      <c r="C15" s="45">
        <f>IF(B$13=0,0,B15/B$13)</f>
        <v>0.375</v>
      </c>
      <c r="E15" s="81" t="s">
        <v>83</v>
      </c>
      <c r="F15" s="77" t="s">
        <v>36</v>
      </c>
      <c r="G15" s="64">
        <v>2</v>
      </c>
      <c r="H15" s="47">
        <f>IF(B$25=0,0,G15/B$25)</f>
        <v>3.6363636363636362E-2</v>
      </c>
      <c r="I15" s="117">
        <v>3</v>
      </c>
      <c r="K15" s="46">
        <v>13</v>
      </c>
      <c r="L15" s="123">
        <v>13.299999999999994</v>
      </c>
      <c r="N15" s="46" t="s">
        <v>138</v>
      </c>
      <c r="O15" s="125">
        <f>IF(Q15=0,0,P15/Q15)</f>
        <v>-24.993333333333332</v>
      </c>
      <c r="P15" s="131">
        <v>-374.9</v>
      </c>
      <c r="Q15" s="55">
        <v>15</v>
      </c>
    </row>
    <row r="16" spans="1:17" x14ac:dyDescent="0.4">
      <c r="A16" s="71" t="s">
        <v>10</v>
      </c>
      <c r="B16" s="63">
        <f>B18+B17</f>
        <v>106</v>
      </c>
      <c r="C16" s="45">
        <f>IF(B$3=0,0,B16/B$3)</f>
        <v>0.25419664268585129</v>
      </c>
      <c r="E16" s="81" t="s">
        <v>79</v>
      </c>
      <c r="F16" s="77" t="s">
        <v>32</v>
      </c>
      <c r="G16" s="64">
        <v>1</v>
      </c>
      <c r="H16" s="47">
        <f>IF(B$25=0,0,G16/B$25)</f>
        <v>1.8181818181818181E-2</v>
      </c>
      <c r="I16" s="117">
        <v>1</v>
      </c>
      <c r="K16" s="46">
        <v>14</v>
      </c>
      <c r="L16" s="123">
        <v>4.7999999999999936</v>
      </c>
      <c r="N16" s="46" t="s">
        <v>134</v>
      </c>
      <c r="O16" s="125">
        <f>IF(Q16=0,0,P16/Q16)</f>
        <v>-32.357142857142854</v>
      </c>
      <c r="P16" s="131">
        <v>-453</v>
      </c>
      <c r="Q16" s="55">
        <v>14</v>
      </c>
    </row>
    <row r="17" spans="1:12" x14ac:dyDescent="0.4">
      <c r="A17" s="72" t="s">
        <v>12</v>
      </c>
      <c r="B17" s="64">
        <v>48</v>
      </c>
      <c r="C17" s="47">
        <f>IF(B$16=0,0,B17/B$16)</f>
        <v>0.45283018867924529</v>
      </c>
      <c r="E17" s="81" t="s">
        <v>86</v>
      </c>
      <c r="F17" s="77" t="s">
        <v>39</v>
      </c>
      <c r="G17" s="64">
        <v>1</v>
      </c>
      <c r="H17" s="47">
        <f>IF(B$25=0,0,G17/B$25)</f>
        <v>1.8181818181818181E-2</v>
      </c>
      <c r="I17" s="117">
        <v>8</v>
      </c>
      <c r="K17" s="46">
        <v>15</v>
      </c>
      <c r="L17" s="123">
        <v>-33.700000000000003</v>
      </c>
    </row>
    <row r="18" spans="1:12" x14ac:dyDescent="0.4">
      <c r="A18" s="72" t="s">
        <v>11</v>
      </c>
      <c r="B18" s="64">
        <v>58</v>
      </c>
      <c r="C18" s="47">
        <f>IF(B$16=0,0,B18/B$16)</f>
        <v>0.54716981132075471</v>
      </c>
      <c r="E18" s="81" t="s">
        <v>88</v>
      </c>
      <c r="F18" s="77" t="s">
        <v>41</v>
      </c>
      <c r="G18" s="64">
        <v>1</v>
      </c>
      <c r="H18" s="47">
        <f>IF(B$25=0,0,G18/B$25)</f>
        <v>1.8181818181818181E-2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13</v>
      </c>
      <c r="B19" s="64">
        <v>83</v>
      </c>
      <c r="C19" s="47">
        <f>IF(B$3=0,0,B19/B$3)</f>
        <v>0.19904076738609114</v>
      </c>
      <c r="E19" s="81" t="s">
        <v>77</v>
      </c>
      <c r="F19" s="77" t="s">
        <v>30</v>
      </c>
      <c r="G19" s="64">
        <v>0</v>
      </c>
      <c r="H19" s="47">
        <f>IF(B$25=0,0,G19/B$25)</f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5</v>
      </c>
      <c r="B20" s="68">
        <f>IF(B$16=0,0,C20/B$16)</f>
        <v>9230.1886792452824</v>
      </c>
      <c r="C20" s="49">
        <v>978400</v>
      </c>
      <c r="E20" s="81" t="s">
        <v>78</v>
      </c>
      <c r="F20" s="77" t="s">
        <v>31</v>
      </c>
      <c r="G20" s="64">
        <v>0</v>
      </c>
      <c r="H20" s="47">
        <f>IF(B$25=0,0,G20/B$25)</f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4" t="s">
        <v>14</v>
      </c>
      <c r="B21" s="69">
        <f>IF(B$19=0,0,C21/B$19)</f>
        <v>-9473.4939759036151</v>
      </c>
      <c r="C21" s="62">
        <v>-786300</v>
      </c>
      <c r="E21" s="81" t="s">
        <v>80</v>
      </c>
      <c r="F21" s="77" t="s">
        <v>33</v>
      </c>
      <c r="G21" s="64">
        <v>0</v>
      </c>
      <c r="H21" s="47">
        <f>IF(B$25=0,0,G21/B$25)</f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1" t="s">
        <v>147</v>
      </c>
      <c r="B22" s="63">
        <v>118</v>
      </c>
      <c r="C22" s="45">
        <f>IF(B$3=0,0,B22/B$3)</f>
        <v>0.28297362110311752</v>
      </c>
      <c r="E22" s="81" t="s">
        <v>81</v>
      </c>
      <c r="F22" s="77" t="s">
        <v>34</v>
      </c>
      <c r="G22" s="64">
        <v>0</v>
      </c>
      <c r="H22" s="47">
        <f>IF(B$25=0,0,G22/B$25)</f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74" t="s">
        <v>148</v>
      </c>
      <c r="B23" s="66">
        <v>42</v>
      </c>
      <c r="C23" s="51">
        <f>IF(B$22=0,0,B23/B$22)</f>
        <v>0.3559322033898305</v>
      </c>
      <c r="E23" s="81" t="s">
        <v>84</v>
      </c>
      <c r="F23" s="77" t="s">
        <v>37</v>
      </c>
      <c r="G23" s="64">
        <v>0</v>
      </c>
      <c r="H23" s="47">
        <f>IF(B$25=0,0,G23/B$25)</f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1" t="s">
        <v>126</v>
      </c>
      <c r="B24" s="139">
        <v>237</v>
      </c>
      <c r="C24" s="140"/>
      <c r="E24" s="81" t="s">
        <v>85</v>
      </c>
      <c r="F24" s="77" t="s">
        <v>38</v>
      </c>
      <c r="G24" s="64">
        <v>0</v>
      </c>
      <c r="H24" s="47">
        <f>IF(B$25=0,0,G24/B$25)</f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127</v>
      </c>
      <c r="B25" s="153">
        <v>55</v>
      </c>
      <c r="C25" s="154"/>
      <c r="E25" s="81" t="s">
        <v>87</v>
      </c>
      <c r="F25" s="77" t="s">
        <v>40</v>
      </c>
      <c r="G25" s="64">
        <v>0</v>
      </c>
      <c r="H25" s="47">
        <f>IF(B$25=0,0,G25/B$25)</f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112" t="s">
        <v>162</v>
      </c>
      <c r="B26" s="149">
        <v>5</v>
      </c>
      <c r="C26" s="150"/>
      <c r="E26" s="81" t="s">
        <v>89</v>
      </c>
      <c r="F26" s="77" t="s">
        <v>42</v>
      </c>
      <c r="G26" s="64">
        <v>0</v>
      </c>
      <c r="H26" s="47">
        <f>IF(B$25=0,0,G26/B$25)</f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5" t="s">
        <v>203</v>
      </c>
      <c r="B27" s="147">
        <v>103200</v>
      </c>
      <c r="C27" s="148"/>
      <c r="E27" s="81" t="s">
        <v>90</v>
      </c>
      <c r="F27" s="77" t="s">
        <v>43</v>
      </c>
      <c r="G27" s="64">
        <v>0</v>
      </c>
      <c r="H27" s="47">
        <f>IF(B$25=0,0,G27/B$25)</f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A28" s="74" t="s">
        <v>163</v>
      </c>
      <c r="B28" s="83">
        <v>2</v>
      </c>
      <c r="C28" s="51">
        <f>IF(B$3=0,0,B28/B$3)</f>
        <v>4.7961630695443642E-3</v>
      </c>
      <c r="E28" s="81" t="s">
        <v>92</v>
      </c>
      <c r="F28" s="77" t="s">
        <v>45</v>
      </c>
      <c r="G28" s="64">
        <v>0</v>
      </c>
      <c r="H28" s="47">
        <f>IF(B$25=0,0,G28/B$25)</f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>IF(B$25=0,0,G29/B$25)</f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>IF(B$25=0,0,G30/B$25)</f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>IF(B$25=0,0,G31/B$25)</f>
        <v>0</v>
      </c>
      <c r="I31" s="117">
        <v>8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</sheetData>
  <sortState ref="N10:Q16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19101-CF13-4B3A-B900-3F8A72B4339B}">
  <sheetPr codeName="Sheet21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137</v>
      </c>
      <c r="C1" s="13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39">
        <v>85</v>
      </c>
      <c r="C2" s="140"/>
      <c r="E2" s="80" t="s">
        <v>71</v>
      </c>
      <c r="F2" s="76" t="s">
        <v>25</v>
      </c>
      <c r="G2" s="63">
        <v>141</v>
      </c>
      <c r="H2" s="45">
        <f>IF(B$25=0,0,G2/B$25)</f>
        <v>0.87037037037037035</v>
      </c>
      <c r="I2" s="116">
        <v>8</v>
      </c>
      <c r="K2" s="44">
        <v>0</v>
      </c>
      <c r="L2" s="122">
        <v>0</v>
      </c>
      <c r="N2" s="44" t="s">
        <v>150</v>
      </c>
      <c r="O2" s="126">
        <f t="shared" ref="O2:O7" si="0">IF(Q2=0,0,P2/Q2)</f>
        <v>2555.4216867469881</v>
      </c>
      <c r="P2" s="59">
        <v>212100</v>
      </c>
      <c r="Q2" s="57">
        <v>83</v>
      </c>
    </row>
    <row r="3" spans="1:17" x14ac:dyDescent="0.4">
      <c r="A3" s="72" t="s">
        <v>8</v>
      </c>
      <c r="B3" s="141">
        <v>631</v>
      </c>
      <c r="C3" s="142"/>
      <c r="E3" s="81" t="s">
        <v>69</v>
      </c>
      <c r="F3" s="77" t="s">
        <v>23</v>
      </c>
      <c r="G3" s="64">
        <v>136</v>
      </c>
      <c r="H3" s="47">
        <f>IF(B$25=0,0,G3/B$25)</f>
        <v>0.83950617283950613</v>
      </c>
      <c r="I3" s="117">
        <v>3</v>
      </c>
      <c r="K3" s="46">
        <v>1</v>
      </c>
      <c r="L3" s="123">
        <v>-36.700000000000003</v>
      </c>
      <c r="N3" s="46" t="s">
        <v>151</v>
      </c>
      <c r="O3" s="127">
        <f t="shared" si="0"/>
        <v>726.92307692307691</v>
      </c>
      <c r="P3" s="60">
        <v>56700</v>
      </c>
      <c r="Q3" s="55">
        <v>78</v>
      </c>
    </row>
    <row r="4" spans="1:17" x14ac:dyDescent="0.4">
      <c r="A4" s="72" t="s">
        <v>6</v>
      </c>
      <c r="B4" s="143">
        <v>265.99999999999994</v>
      </c>
      <c r="C4" s="144"/>
      <c r="E4" s="81" t="s">
        <v>67</v>
      </c>
      <c r="F4" s="77" t="s">
        <v>21</v>
      </c>
      <c r="G4" s="64">
        <v>96</v>
      </c>
      <c r="H4" s="47">
        <f>IF(B$25=0,0,G4/B$25)</f>
        <v>0.59259259259259256</v>
      </c>
      <c r="I4" s="117">
        <v>7</v>
      </c>
      <c r="K4" s="46">
        <v>2</v>
      </c>
      <c r="L4" s="123">
        <v>-45.300000000000004</v>
      </c>
      <c r="N4" s="46" t="s">
        <v>152</v>
      </c>
      <c r="O4" s="127">
        <f t="shared" si="0"/>
        <v>-22.535211267605632</v>
      </c>
      <c r="P4" s="60">
        <v>-1600</v>
      </c>
      <c r="Q4" s="55">
        <v>71</v>
      </c>
    </row>
    <row r="5" spans="1:17" x14ac:dyDescent="0.4">
      <c r="A5" s="72" t="s">
        <v>7</v>
      </c>
      <c r="B5" s="145">
        <f>IF(B$2=0,0,B$4/B$2)</f>
        <v>3.1294117647058819</v>
      </c>
      <c r="C5" s="146"/>
      <c r="E5" s="81" t="s">
        <v>76</v>
      </c>
      <c r="F5" s="77" t="s">
        <v>29</v>
      </c>
      <c r="G5" s="64">
        <v>88</v>
      </c>
      <c r="H5" s="47">
        <f>IF(B$25=0,0,G5/B$25)</f>
        <v>0.54320987654320985</v>
      </c>
      <c r="I5" s="117">
        <v>7</v>
      </c>
      <c r="K5" s="46">
        <v>3</v>
      </c>
      <c r="L5" s="123">
        <v>-81.7</v>
      </c>
      <c r="N5" s="46" t="s">
        <v>153</v>
      </c>
      <c r="O5" s="127">
        <f t="shared" si="0"/>
        <v>-1139.3939393939395</v>
      </c>
      <c r="P5" s="60">
        <v>-75200</v>
      </c>
      <c r="Q5" s="55">
        <v>66</v>
      </c>
    </row>
    <row r="6" spans="1:17" x14ac:dyDescent="0.4">
      <c r="A6" s="72" t="s">
        <v>1</v>
      </c>
      <c r="B6" s="151">
        <f>IF(B$2=0,0,(B$7*1+B$8*2+B$9*3)/B$2)</f>
        <v>1.8941176470588235</v>
      </c>
      <c r="C6" s="152"/>
      <c r="E6" s="81" t="s">
        <v>70</v>
      </c>
      <c r="F6" s="77" t="s">
        <v>24</v>
      </c>
      <c r="G6" s="64">
        <v>63</v>
      </c>
      <c r="H6" s="47">
        <f>IF(B$25=0,0,G6/B$25)</f>
        <v>0.3888888888888889</v>
      </c>
      <c r="I6" s="117">
        <v>3</v>
      </c>
      <c r="K6" s="46">
        <v>4</v>
      </c>
      <c r="L6" s="123">
        <v>-114.30000000000001</v>
      </c>
      <c r="N6" s="46" t="s">
        <v>154</v>
      </c>
      <c r="O6" s="127">
        <f t="shared" si="0"/>
        <v>76.785714285714292</v>
      </c>
      <c r="P6" s="60">
        <v>4300</v>
      </c>
      <c r="Q6" s="55">
        <v>56</v>
      </c>
    </row>
    <row r="7" spans="1:17" x14ac:dyDescent="0.4">
      <c r="A7" s="72" t="s">
        <v>2</v>
      </c>
      <c r="B7" s="64">
        <v>34</v>
      </c>
      <c r="C7" s="47">
        <f>IF(B$2=0,0,B7/B$2)</f>
        <v>0.4</v>
      </c>
      <c r="E7" s="81" t="s">
        <v>72</v>
      </c>
      <c r="F7" s="77" t="s">
        <v>12</v>
      </c>
      <c r="G7" s="64">
        <v>55</v>
      </c>
      <c r="H7" s="47">
        <f>IF(B$25=0,0,G7/B$25)</f>
        <v>0.33950617283950618</v>
      </c>
      <c r="I7" s="117">
        <v>3</v>
      </c>
      <c r="K7" s="46">
        <v>5</v>
      </c>
      <c r="L7" s="123">
        <v>-136.30000000000001</v>
      </c>
      <c r="N7" s="50" t="s">
        <v>155</v>
      </c>
      <c r="O7" s="128">
        <f t="shared" si="0"/>
        <v>591.83673469387759</v>
      </c>
      <c r="P7" s="61">
        <v>29000</v>
      </c>
      <c r="Q7" s="56">
        <v>49</v>
      </c>
    </row>
    <row r="8" spans="1:17" x14ac:dyDescent="0.4">
      <c r="A8" s="72" t="s">
        <v>3</v>
      </c>
      <c r="B8" s="64">
        <v>26</v>
      </c>
      <c r="C8" s="47">
        <f t="shared" ref="C8:C9" si="1">IF(B$2=0,0,B8/B$2)</f>
        <v>0.30588235294117649</v>
      </c>
      <c r="E8" s="81" t="s">
        <v>73</v>
      </c>
      <c r="F8" s="77" t="s">
        <v>26</v>
      </c>
      <c r="G8" s="64">
        <v>30</v>
      </c>
      <c r="H8" s="47">
        <f>IF(B$25=0,0,G8/B$25)</f>
        <v>0.18518518518518517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25</v>
      </c>
      <c r="C9" s="48">
        <f t="shared" si="1"/>
        <v>0.29411764705882354</v>
      </c>
      <c r="E9" s="81" t="s">
        <v>94</v>
      </c>
      <c r="F9" s="77" t="s">
        <v>47</v>
      </c>
      <c r="G9" s="64">
        <v>28</v>
      </c>
      <c r="H9" s="47">
        <f>IF(B$25=0,0,G9/B$25)</f>
        <v>0.1728395061728395</v>
      </c>
      <c r="I9" s="117">
        <v>3</v>
      </c>
      <c r="K9" s="46">
        <v>7</v>
      </c>
      <c r="L9" s="123">
        <v>-106.20000000000002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0.12941176470588237</v>
      </c>
      <c r="E10" s="81" t="s">
        <v>68</v>
      </c>
      <c r="F10" s="77" t="s">
        <v>22</v>
      </c>
      <c r="G10" s="64">
        <v>22</v>
      </c>
      <c r="H10" s="47">
        <f>IF(B$25=0,0,G10/B$25)</f>
        <v>0.13580246913580246</v>
      </c>
      <c r="I10" s="117">
        <v>5</v>
      </c>
      <c r="K10" s="46">
        <v>8</v>
      </c>
      <c r="L10" s="123">
        <v>-52.300000000000018</v>
      </c>
      <c r="N10" s="44" t="s">
        <v>134</v>
      </c>
      <c r="O10" s="124">
        <f>IF(Q10=0,0,P10/Q10)</f>
        <v>22.462962962962962</v>
      </c>
      <c r="P10" s="130">
        <v>606.5</v>
      </c>
      <c r="Q10" s="57">
        <v>27</v>
      </c>
    </row>
    <row r="11" spans="1:17" x14ac:dyDescent="0.4">
      <c r="A11" s="74" t="s">
        <v>158</v>
      </c>
      <c r="B11" s="66">
        <v>16</v>
      </c>
      <c r="C11" s="51">
        <f>IF(B$2=0,0,B11/B$2)</f>
        <v>0.18823529411764706</v>
      </c>
      <c r="E11" s="81" t="s">
        <v>74</v>
      </c>
      <c r="F11" s="77" t="s">
        <v>27</v>
      </c>
      <c r="G11" s="64">
        <v>12</v>
      </c>
      <c r="H11" s="47">
        <f>IF(B$25=0,0,G11/B$25)</f>
        <v>7.407407407407407E-2</v>
      </c>
      <c r="I11" s="117">
        <v>7</v>
      </c>
      <c r="K11" s="46">
        <v>9</v>
      </c>
      <c r="L11" s="123">
        <v>-53.500000000000021</v>
      </c>
      <c r="N11" s="46" t="s">
        <v>161</v>
      </c>
      <c r="O11" s="125">
        <f>IF(Q11=0,0,P11/Q11)</f>
        <v>16.583333333333332</v>
      </c>
      <c r="P11" s="131">
        <v>99.5</v>
      </c>
      <c r="Q11" s="55">
        <v>6</v>
      </c>
    </row>
    <row r="12" spans="1:17" x14ac:dyDescent="0.4">
      <c r="A12" s="75" t="s">
        <v>128</v>
      </c>
      <c r="B12" s="67">
        <v>160</v>
      </c>
      <c r="C12" s="54">
        <f>IF(B$24=0,0,B12/B$24)</f>
        <v>0.31683168316831684</v>
      </c>
      <c r="E12" s="81" t="s">
        <v>82</v>
      </c>
      <c r="F12" s="77" t="s">
        <v>35</v>
      </c>
      <c r="G12" s="64">
        <v>11</v>
      </c>
      <c r="H12" s="47">
        <f>IF(B$25=0,0,G12/B$25)</f>
        <v>6.7901234567901231E-2</v>
      </c>
      <c r="I12" s="117">
        <v>1</v>
      </c>
      <c r="K12" s="46">
        <v>10</v>
      </c>
      <c r="L12" s="123">
        <v>-72.800000000000026</v>
      </c>
      <c r="N12" s="46" t="s">
        <v>139</v>
      </c>
      <c r="O12" s="125">
        <f>IF(Q12=0,0,P12/Q12)</f>
        <v>12.770967741935481</v>
      </c>
      <c r="P12" s="131">
        <v>395.89999999999992</v>
      </c>
      <c r="Q12" s="55">
        <v>31</v>
      </c>
    </row>
    <row r="13" spans="1:17" x14ac:dyDescent="0.4">
      <c r="A13" s="72" t="s">
        <v>123</v>
      </c>
      <c r="B13" s="64">
        <v>119</v>
      </c>
      <c r="C13" s="47">
        <f>IF(B$24=0,0,B13/B$24)</f>
        <v>0.23564356435643563</v>
      </c>
      <c r="E13" s="81" t="s">
        <v>75</v>
      </c>
      <c r="F13" s="77" t="s">
        <v>28</v>
      </c>
      <c r="G13" s="64">
        <v>10</v>
      </c>
      <c r="H13" s="47">
        <f>IF(B$25=0,0,G13/B$25)</f>
        <v>6.1728395061728392E-2</v>
      </c>
      <c r="I13" s="117">
        <v>3</v>
      </c>
      <c r="K13" s="46">
        <v>11</v>
      </c>
      <c r="L13" s="123">
        <v>-69.800000000000026</v>
      </c>
      <c r="N13" s="46" t="s">
        <v>138</v>
      </c>
      <c r="O13" s="125">
        <f>IF(Q13=0,0,P13/Q13)</f>
        <v>8.9</v>
      </c>
      <c r="P13" s="131">
        <v>8.9</v>
      </c>
      <c r="Q13" s="55">
        <v>1</v>
      </c>
    </row>
    <row r="14" spans="1:17" x14ac:dyDescent="0.4">
      <c r="A14" s="71" t="s">
        <v>130</v>
      </c>
      <c r="B14" s="63">
        <v>97</v>
      </c>
      <c r="C14" s="45">
        <f>IF(B$12=0,0,B14/B$12)</f>
        <v>0.60624999999999996</v>
      </c>
      <c r="E14" s="81" t="s">
        <v>91</v>
      </c>
      <c r="F14" s="77" t="s">
        <v>44</v>
      </c>
      <c r="G14" s="64">
        <v>7</v>
      </c>
      <c r="H14" s="47">
        <f>IF(B$25=0,0,G14/B$25)</f>
        <v>4.3209876543209874E-2</v>
      </c>
      <c r="I14" s="117">
        <v>11</v>
      </c>
      <c r="K14" s="46">
        <v>12</v>
      </c>
      <c r="L14" s="123">
        <v>-54.300000000000026</v>
      </c>
      <c r="N14" s="46" t="s">
        <v>133</v>
      </c>
      <c r="O14" s="125">
        <f>IF(Q14=0,0,P14/Q14)</f>
        <v>-0.23150684931506837</v>
      </c>
      <c r="P14" s="131">
        <v>-16.899999999999991</v>
      </c>
      <c r="Q14" s="55">
        <v>73</v>
      </c>
    </row>
    <row r="15" spans="1:17" x14ac:dyDescent="0.4">
      <c r="A15" s="71" t="s">
        <v>131</v>
      </c>
      <c r="B15" s="63">
        <v>44</v>
      </c>
      <c r="C15" s="45">
        <f>IF(B$13=0,0,B15/B$13)</f>
        <v>0.36974789915966388</v>
      </c>
      <c r="E15" s="81" t="s">
        <v>86</v>
      </c>
      <c r="F15" s="77" t="s">
        <v>39</v>
      </c>
      <c r="G15" s="64">
        <v>5</v>
      </c>
      <c r="H15" s="47">
        <f>IF(B$25=0,0,G15/B$25)</f>
        <v>3.0864197530864196E-2</v>
      </c>
      <c r="I15" s="117">
        <v>4</v>
      </c>
      <c r="K15" s="46">
        <v>13</v>
      </c>
      <c r="L15" s="123">
        <v>-43.200000000000024</v>
      </c>
      <c r="N15" s="46" t="s">
        <v>198</v>
      </c>
      <c r="O15" s="125">
        <f>IF(Q15=0,0,P15/Q15)</f>
        <v>-5.8666666666666671</v>
      </c>
      <c r="P15" s="131">
        <v>-17.600000000000001</v>
      </c>
      <c r="Q15" s="55">
        <v>3</v>
      </c>
    </row>
    <row r="16" spans="1:17" x14ac:dyDescent="0.4">
      <c r="A16" s="71" t="s">
        <v>10</v>
      </c>
      <c r="B16" s="63">
        <f>B18+B17</f>
        <v>199</v>
      </c>
      <c r="C16" s="45">
        <f>IF(B$3=0,0,B16/B$3)</f>
        <v>0.31537242472266241</v>
      </c>
      <c r="E16" s="81" t="s">
        <v>88</v>
      </c>
      <c r="F16" s="77" t="s">
        <v>41</v>
      </c>
      <c r="G16" s="64">
        <v>3</v>
      </c>
      <c r="H16" s="47">
        <f>IF(B$25=0,0,G16/B$25)</f>
        <v>1.8518518518518517E-2</v>
      </c>
      <c r="I16" s="117">
        <v>7</v>
      </c>
      <c r="K16" s="46">
        <v>14</v>
      </c>
      <c r="L16" s="123">
        <v>-50.400000000000027</v>
      </c>
      <c r="N16" s="46" t="s">
        <v>136</v>
      </c>
      <c r="O16" s="125">
        <f>IF(Q16=0,0,P16/Q16)</f>
        <v>-7.9863636363636381</v>
      </c>
      <c r="P16" s="131">
        <v>-175.70000000000005</v>
      </c>
      <c r="Q16" s="55">
        <v>22</v>
      </c>
    </row>
    <row r="17" spans="1:17" x14ac:dyDescent="0.4">
      <c r="A17" s="72" t="s">
        <v>12</v>
      </c>
      <c r="B17" s="64">
        <v>90</v>
      </c>
      <c r="C17" s="47">
        <f>IF(B$16=0,0,B17/B$16)</f>
        <v>0.45226130653266333</v>
      </c>
      <c r="E17" s="81" t="s">
        <v>77</v>
      </c>
      <c r="F17" s="77" t="s">
        <v>30</v>
      </c>
      <c r="G17" s="64">
        <v>2</v>
      </c>
      <c r="H17" s="47">
        <f>IF(B$25=0,0,G17/B$25)</f>
        <v>1.2345679012345678E-2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>IF(Q17=0,0,P17/Q17)</f>
        <v>-14.371428571428575</v>
      </c>
      <c r="P17" s="131">
        <v>-100.60000000000002</v>
      </c>
      <c r="Q17" s="55">
        <v>7</v>
      </c>
    </row>
    <row r="18" spans="1:17" x14ac:dyDescent="0.4">
      <c r="A18" s="72" t="s">
        <v>11</v>
      </c>
      <c r="B18" s="64">
        <v>109</v>
      </c>
      <c r="C18" s="47">
        <f>IF(B$16=0,0,B18/B$16)</f>
        <v>0.54773869346733672</v>
      </c>
      <c r="E18" s="81" t="s">
        <v>81</v>
      </c>
      <c r="F18" s="77" t="s">
        <v>34</v>
      </c>
      <c r="G18" s="64">
        <v>2</v>
      </c>
      <c r="H18" s="47">
        <f>IF(B$25=0,0,G18/B$25)</f>
        <v>1.2345679012345678E-2</v>
      </c>
      <c r="I18" s="117">
        <v>2</v>
      </c>
      <c r="K18" s="46">
        <v>16</v>
      </c>
      <c r="L18" s="123">
        <v>58.89999999999997</v>
      </c>
    </row>
    <row r="19" spans="1:17" x14ac:dyDescent="0.4">
      <c r="A19" s="72" t="s">
        <v>13</v>
      </c>
      <c r="B19" s="64">
        <v>101</v>
      </c>
      <c r="C19" s="47">
        <f>IF(B$3=0,0,B19/B$3)</f>
        <v>0.16006339144215531</v>
      </c>
      <c r="E19" s="81" t="s">
        <v>83</v>
      </c>
      <c r="F19" s="77" t="s">
        <v>36</v>
      </c>
      <c r="G19" s="64">
        <v>2</v>
      </c>
      <c r="H19" s="47">
        <f>IF(B$25=0,0,G19/B$25)</f>
        <v>1.2345679012345678E-2</v>
      </c>
      <c r="I19" s="117">
        <v>6</v>
      </c>
      <c r="K19" s="46">
        <v>17</v>
      </c>
      <c r="L19" s="123">
        <v>58.599999999999973</v>
      </c>
    </row>
    <row r="20" spans="1:17" x14ac:dyDescent="0.4">
      <c r="A20" s="72" t="s">
        <v>5</v>
      </c>
      <c r="B20" s="68">
        <f>IF(B$16=0,0,C20/B$16)</f>
        <v>10507.537688442211</v>
      </c>
      <c r="C20" s="49">
        <v>2091000</v>
      </c>
      <c r="E20" s="81" t="s">
        <v>96</v>
      </c>
      <c r="F20" s="77" t="s">
        <v>49</v>
      </c>
      <c r="G20" s="64">
        <v>2</v>
      </c>
      <c r="H20" s="47">
        <f>IF(B$25=0,0,G20/B$25)</f>
        <v>1.2345679012345678E-2</v>
      </c>
      <c r="I20" s="117">
        <v>6</v>
      </c>
      <c r="K20" s="46">
        <v>18</v>
      </c>
      <c r="L20" s="123">
        <v>122.59999999999997</v>
      </c>
    </row>
    <row r="21" spans="1:17" x14ac:dyDescent="0.4">
      <c r="A21" s="74" t="s">
        <v>14</v>
      </c>
      <c r="B21" s="69">
        <f>IF(B$19=0,0,C21/B$19)</f>
        <v>-9242.574257425742</v>
      </c>
      <c r="C21" s="62">
        <v>-933500</v>
      </c>
      <c r="E21" s="81" t="s">
        <v>78</v>
      </c>
      <c r="F21" s="77" t="s">
        <v>31</v>
      </c>
      <c r="G21" s="64">
        <v>1</v>
      </c>
      <c r="H21" s="47">
        <f>IF(B$25=0,0,G21/B$25)</f>
        <v>6.1728395061728392E-3</v>
      </c>
      <c r="I21" s="117">
        <v>1</v>
      </c>
      <c r="K21" s="46">
        <v>19</v>
      </c>
      <c r="L21" s="123">
        <v>125.69999999999996</v>
      </c>
    </row>
    <row r="22" spans="1:17" x14ac:dyDescent="0.4">
      <c r="A22" s="71" t="s">
        <v>147</v>
      </c>
      <c r="B22" s="63">
        <v>221</v>
      </c>
      <c r="C22" s="45">
        <f>IF(B$3=0,0,B22/B$3)</f>
        <v>0.35023771790808239</v>
      </c>
      <c r="E22" s="81" t="s">
        <v>79</v>
      </c>
      <c r="F22" s="77" t="s">
        <v>32</v>
      </c>
      <c r="G22" s="64">
        <v>1</v>
      </c>
      <c r="H22" s="47">
        <f>IF(B$25=0,0,G22/B$25)</f>
        <v>6.1728395061728392E-3</v>
      </c>
      <c r="I22" s="117">
        <v>5</v>
      </c>
      <c r="K22" s="46">
        <v>20</v>
      </c>
      <c r="L22" s="123">
        <v>126.89999999999996</v>
      </c>
    </row>
    <row r="23" spans="1:17" x14ac:dyDescent="0.4">
      <c r="A23" s="74" t="s">
        <v>148</v>
      </c>
      <c r="B23" s="66">
        <v>73</v>
      </c>
      <c r="C23" s="51">
        <f>IF(B$22=0,0,B23/B$22)</f>
        <v>0.33031674208144796</v>
      </c>
      <c r="E23" s="81" t="s">
        <v>89</v>
      </c>
      <c r="F23" s="77" t="s">
        <v>42</v>
      </c>
      <c r="G23" s="64">
        <v>1</v>
      </c>
      <c r="H23" s="47">
        <f>IF(B$25=0,0,G23/B$25)</f>
        <v>6.1728395061728392E-3</v>
      </c>
      <c r="I23" s="117">
        <v>2</v>
      </c>
      <c r="K23" s="46">
        <v>21</v>
      </c>
      <c r="L23" s="123">
        <v>129.69999999999996</v>
      </c>
    </row>
    <row r="24" spans="1:17" x14ac:dyDescent="0.4">
      <c r="A24" s="71" t="s">
        <v>126</v>
      </c>
      <c r="B24" s="139">
        <v>505</v>
      </c>
      <c r="C24" s="140"/>
      <c r="E24" s="81" t="s">
        <v>80</v>
      </c>
      <c r="F24" s="77" t="s">
        <v>33</v>
      </c>
      <c r="G24" s="64">
        <v>0</v>
      </c>
      <c r="H24" s="47">
        <f>IF(B$25=0,0,G24/B$25)</f>
        <v>0</v>
      </c>
      <c r="I24" s="117">
        <v>1</v>
      </c>
      <c r="K24" s="46">
        <v>22</v>
      </c>
      <c r="L24" s="123">
        <v>174.29999999999995</v>
      </c>
    </row>
    <row r="25" spans="1:17" x14ac:dyDescent="0.4">
      <c r="A25" s="74" t="s">
        <v>127</v>
      </c>
      <c r="B25" s="153">
        <v>162</v>
      </c>
      <c r="C25" s="154"/>
      <c r="E25" s="81" t="s">
        <v>84</v>
      </c>
      <c r="F25" s="77" t="s">
        <v>37</v>
      </c>
      <c r="G25" s="64">
        <v>0</v>
      </c>
      <c r="H25" s="47">
        <f>IF(B$25=0,0,G25/B$25)</f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112" t="s">
        <v>162</v>
      </c>
      <c r="B26" s="149">
        <v>9</v>
      </c>
      <c r="C26" s="150"/>
      <c r="E26" s="81" t="s">
        <v>85</v>
      </c>
      <c r="F26" s="77" t="s">
        <v>38</v>
      </c>
      <c r="G26" s="64">
        <v>0</v>
      </c>
      <c r="H26" s="47">
        <f>IF(B$25=0,0,G26/B$25)</f>
        <v>0</v>
      </c>
      <c r="I26" s="117">
        <v>3</v>
      </c>
      <c r="K26" s="46">
        <v>24</v>
      </c>
      <c r="L26" s="123">
        <v>133.19999999999993</v>
      </c>
    </row>
    <row r="27" spans="1:17" x14ac:dyDescent="0.4">
      <c r="A27" s="75" t="s">
        <v>203</v>
      </c>
      <c r="B27" s="147">
        <v>109300</v>
      </c>
      <c r="C27" s="148"/>
      <c r="E27" s="81" t="s">
        <v>87</v>
      </c>
      <c r="F27" s="77" t="s">
        <v>40</v>
      </c>
      <c r="G27" s="64">
        <v>0</v>
      </c>
      <c r="H27" s="47">
        <f>IF(B$25=0,0,G27/B$25)</f>
        <v>0</v>
      </c>
      <c r="I27" s="117">
        <v>1</v>
      </c>
      <c r="K27" s="46">
        <v>25</v>
      </c>
      <c r="L27" s="123">
        <v>117.39999999999993</v>
      </c>
    </row>
    <row r="28" spans="1:17" x14ac:dyDescent="0.4">
      <c r="A28" s="74" t="s">
        <v>163</v>
      </c>
      <c r="B28" s="83">
        <v>3</v>
      </c>
      <c r="C28" s="51">
        <f>IF(B$3=0,0,B28/B$3)</f>
        <v>4.7543581616481777E-3</v>
      </c>
      <c r="E28" s="81" t="s">
        <v>90</v>
      </c>
      <c r="F28" s="77" t="s">
        <v>43</v>
      </c>
      <c r="G28" s="64">
        <v>0</v>
      </c>
      <c r="H28" s="47">
        <f>IF(B$25=0,0,G28/B$25)</f>
        <v>0</v>
      </c>
      <c r="I28" s="117">
        <v>6</v>
      </c>
      <c r="K28" s="46">
        <v>26</v>
      </c>
      <c r="L28" s="123">
        <v>128.69999999999993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  <c r="K29" s="46">
        <v>27</v>
      </c>
      <c r="L29" s="123">
        <v>84.699999999999932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  <c r="K30" s="46">
        <v>28</v>
      </c>
      <c r="L30" s="123">
        <v>43.699999999999932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  <c r="K32" s="46">
        <v>30</v>
      </c>
      <c r="L32" s="123">
        <v>48.499999999999936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</sheetData>
  <sortState ref="N10:Q17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C7E26-FBBF-4FD0-889D-5982478D5963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138</v>
      </c>
      <c r="C1" s="13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39">
        <v>23</v>
      </c>
      <c r="C2" s="140"/>
      <c r="E2" s="80" t="s">
        <v>71</v>
      </c>
      <c r="F2" s="76" t="s">
        <v>25</v>
      </c>
      <c r="G2" s="63">
        <v>22</v>
      </c>
      <c r="H2" s="45">
        <f>IF(B$25=0,0,G2/B$25)</f>
        <v>0.95652173913043481</v>
      </c>
      <c r="I2" s="116">
        <v>2</v>
      </c>
      <c r="K2" s="44">
        <v>0</v>
      </c>
      <c r="L2" s="122">
        <v>0</v>
      </c>
      <c r="N2" s="44" t="s">
        <v>150</v>
      </c>
      <c r="O2" s="126">
        <f t="shared" ref="O2:O7" si="0">IF(Q2=0,0,P2/Q2)</f>
        <v>313.04347826086956</v>
      </c>
      <c r="P2" s="59">
        <v>7200</v>
      </c>
      <c r="Q2" s="57">
        <v>23</v>
      </c>
    </row>
    <row r="3" spans="1:17" x14ac:dyDescent="0.4">
      <c r="A3" s="72" t="s">
        <v>8</v>
      </c>
      <c r="B3" s="141">
        <v>183</v>
      </c>
      <c r="C3" s="142"/>
      <c r="E3" s="81" t="s">
        <v>67</v>
      </c>
      <c r="F3" s="77" t="s">
        <v>21</v>
      </c>
      <c r="G3" s="64">
        <v>17</v>
      </c>
      <c r="H3" s="47">
        <f>IF(B$25=0,0,G3/B$25)</f>
        <v>0.73913043478260865</v>
      </c>
      <c r="I3" s="117">
        <v>2</v>
      </c>
      <c r="K3" s="46">
        <v>1</v>
      </c>
      <c r="L3" s="123">
        <v>-14.4</v>
      </c>
      <c r="N3" s="46" t="s">
        <v>151</v>
      </c>
      <c r="O3" s="127">
        <f t="shared" si="0"/>
        <v>4776.1904761904761</v>
      </c>
      <c r="P3" s="60">
        <v>100300</v>
      </c>
      <c r="Q3" s="55">
        <v>21</v>
      </c>
    </row>
    <row r="4" spans="1:17" x14ac:dyDescent="0.4">
      <c r="A4" s="72" t="s">
        <v>6</v>
      </c>
      <c r="B4" s="143">
        <v>53.800000000000026</v>
      </c>
      <c r="C4" s="144"/>
      <c r="E4" s="81" t="s">
        <v>70</v>
      </c>
      <c r="F4" s="77" t="s">
        <v>24</v>
      </c>
      <c r="G4" s="64">
        <v>17</v>
      </c>
      <c r="H4" s="47">
        <f>IF(B$25=0,0,G4/B$25)</f>
        <v>0.73913043478260865</v>
      </c>
      <c r="I4" s="117">
        <v>2</v>
      </c>
      <c r="K4" s="46">
        <v>2</v>
      </c>
      <c r="L4" s="123">
        <v>37.6</v>
      </c>
      <c r="N4" s="46" t="s">
        <v>152</v>
      </c>
      <c r="O4" s="127">
        <f t="shared" si="0"/>
        <v>-4255.5555555555557</v>
      </c>
      <c r="P4" s="60">
        <v>-76600</v>
      </c>
      <c r="Q4" s="55">
        <v>18</v>
      </c>
    </row>
    <row r="5" spans="1:17" x14ac:dyDescent="0.4">
      <c r="A5" s="72" t="s">
        <v>7</v>
      </c>
      <c r="B5" s="145">
        <f>IF(B$2=0,0,B$4/B$2)</f>
        <v>2.3391304347826098</v>
      </c>
      <c r="C5" s="146"/>
      <c r="E5" s="81" t="s">
        <v>69</v>
      </c>
      <c r="F5" s="77" t="s">
        <v>23</v>
      </c>
      <c r="G5" s="64">
        <v>11</v>
      </c>
      <c r="H5" s="47">
        <f>IF(B$25=0,0,G5/B$25)</f>
        <v>0.47826086956521741</v>
      </c>
      <c r="I5" s="117">
        <v>10</v>
      </c>
      <c r="K5" s="46">
        <v>3</v>
      </c>
      <c r="L5" s="123">
        <v>-2.7999999999999972</v>
      </c>
      <c r="N5" s="46" t="s">
        <v>153</v>
      </c>
      <c r="O5" s="127">
        <f t="shared" si="0"/>
        <v>2970.5882352941176</v>
      </c>
      <c r="P5" s="60">
        <v>50500</v>
      </c>
      <c r="Q5" s="55">
        <v>17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72</v>
      </c>
      <c r="F6" s="77" t="s">
        <v>12</v>
      </c>
      <c r="G6" s="64">
        <v>9</v>
      </c>
      <c r="H6" s="47">
        <f>IF(B$25=0,0,G6/B$25)</f>
        <v>0.39130434782608697</v>
      </c>
      <c r="I6" s="117">
        <v>1</v>
      </c>
      <c r="K6" s="46">
        <v>4</v>
      </c>
      <c r="L6" s="123">
        <v>-44.3</v>
      </c>
      <c r="N6" s="46" t="s">
        <v>154</v>
      </c>
      <c r="O6" s="127">
        <f t="shared" si="0"/>
        <v>-950</v>
      </c>
      <c r="P6" s="60">
        <v>-13300</v>
      </c>
      <c r="Q6" s="55">
        <v>14</v>
      </c>
    </row>
    <row r="7" spans="1:17" x14ac:dyDescent="0.4">
      <c r="A7" s="72" t="s">
        <v>2</v>
      </c>
      <c r="B7" s="64">
        <v>8</v>
      </c>
      <c r="C7" s="47">
        <f>IF(B$2=0,0,B7/B$2)</f>
        <v>0.34782608695652173</v>
      </c>
      <c r="E7" s="81" t="s">
        <v>76</v>
      </c>
      <c r="F7" s="77" t="s">
        <v>29</v>
      </c>
      <c r="G7" s="64">
        <v>9</v>
      </c>
      <c r="H7" s="47">
        <f>IF(B$25=0,0,G7/B$25)</f>
        <v>0.39130434782608697</v>
      </c>
      <c r="I7" s="117">
        <v>11</v>
      </c>
      <c r="K7" s="46">
        <v>5</v>
      </c>
      <c r="L7" s="123">
        <v>8.2000000000000028</v>
      </c>
      <c r="N7" s="50" t="s">
        <v>155</v>
      </c>
      <c r="O7" s="128">
        <f t="shared" si="0"/>
        <v>-1191.6666666666667</v>
      </c>
      <c r="P7" s="61">
        <v>-14300</v>
      </c>
      <c r="Q7" s="56">
        <v>12</v>
      </c>
    </row>
    <row r="8" spans="1:17" x14ac:dyDescent="0.4">
      <c r="A8" s="72" t="s">
        <v>3</v>
      </c>
      <c r="B8" s="64">
        <v>7</v>
      </c>
      <c r="C8" s="47">
        <f t="shared" ref="C8:C9" si="1">IF(B$2=0,0,B8/B$2)</f>
        <v>0.30434782608695654</v>
      </c>
      <c r="E8" s="81" t="s">
        <v>68</v>
      </c>
      <c r="F8" s="77" t="s">
        <v>22</v>
      </c>
      <c r="G8" s="64">
        <v>4</v>
      </c>
      <c r="H8" s="47">
        <f>IF(B$25=0,0,G8/B$25)</f>
        <v>0.17391304347826086</v>
      </c>
      <c r="I8" s="117">
        <v>2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8</v>
      </c>
      <c r="C9" s="48">
        <f t="shared" si="1"/>
        <v>0.34782608695652173</v>
      </c>
      <c r="E9" s="81" t="s">
        <v>73</v>
      </c>
      <c r="F9" s="77" t="s">
        <v>26</v>
      </c>
      <c r="G9" s="64">
        <v>3</v>
      </c>
      <c r="H9" s="47">
        <f>IF(B$25=0,0,G9/B$25)</f>
        <v>0.13043478260869565</v>
      </c>
      <c r="I9" s="117">
        <v>8</v>
      </c>
      <c r="K9" s="46">
        <v>7</v>
      </c>
      <c r="L9" s="123">
        <v>40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0.21739130434782608</v>
      </c>
      <c r="E10" s="81" t="s">
        <v>74</v>
      </c>
      <c r="F10" s="77" t="s">
        <v>27</v>
      </c>
      <c r="G10" s="64">
        <v>1</v>
      </c>
      <c r="H10" s="47">
        <f>IF(B$25=0,0,G10/B$25)</f>
        <v>4.3478260869565216E-2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>IF(Q10=0,0,P10/Q10)</f>
        <v>24.993333333333332</v>
      </c>
      <c r="P10" s="130">
        <v>374.9</v>
      </c>
      <c r="Q10" s="57">
        <v>15</v>
      </c>
    </row>
    <row r="11" spans="1:17" x14ac:dyDescent="0.4">
      <c r="A11" s="74" t="s">
        <v>158</v>
      </c>
      <c r="B11" s="66">
        <v>4</v>
      </c>
      <c r="C11" s="51">
        <f>IF(B$2=0,0,B11/B$2)</f>
        <v>0.17391304347826086</v>
      </c>
      <c r="E11" s="81" t="s">
        <v>75</v>
      </c>
      <c r="F11" s="77" t="s">
        <v>28</v>
      </c>
      <c r="G11" s="64">
        <v>1</v>
      </c>
      <c r="H11" s="47">
        <f>IF(B$25=0,0,G11/B$25)</f>
        <v>4.3478260869565216E-2</v>
      </c>
      <c r="I11" s="117">
        <v>8</v>
      </c>
      <c r="K11" s="46">
        <v>9</v>
      </c>
      <c r="L11" s="123">
        <v>6.8000000000000025</v>
      </c>
      <c r="N11" s="46" t="s">
        <v>134</v>
      </c>
      <c r="O11" s="125">
        <f>IF(Q11=0,0,P11/Q11)</f>
        <v>1.2833333333333339</v>
      </c>
      <c r="P11" s="131">
        <v>7.7000000000000028</v>
      </c>
      <c r="Q11" s="55">
        <v>6</v>
      </c>
    </row>
    <row r="12" spans="1:17" x14ac:dyDescent="0.4">
      <c r="A12" s="75" t="s">
        <v>128</v>
      </c>
      <c r="B12" s="67">
        <v>34</v>
      </c>
      <c r="C12" s="54">
        <f>IF(B$24=0,0,B12/B$24)</f>
        <v>0.33663366336633666</v>
      </c>
      <c r="E12" s="81" t="s">
        <v>82</v>
      </c>
      <c r="F12" s="77" t="s">
        <v>35</v>
      </c>
      <c r="G12" s="64">
        <v>1</v>
      </c>
      <c r="H12" s="47">
        <f>IF(B$25=0,0,G12/B$25)</f>
        <v>4.3478260869565216E-2</v>
      </c>
      <c r="I12" s="117">
        <v>3</v>
      </c>
      <c r="K12" s="46">
        <v>10</v>
      </c>
      <c r="L12" s="123">
        <v>56.800000000000004</v>
      </c>
      <c r="N12" s="46" t="s">
        <v>133</v>
      </c>
      <c r="O12" s="125">
        <f>IF(Q12=0,0,P12/Q12)</f>
        <v>-6.60952380952381</v>
      </c>
      <c r="P12" s="131">
        <v>-138.80000000000001</v>
      </c>
      <c r="Q12" s="55">
        <v>21</v>
      </c>
    </row>
    <row r="13" spans="1:17" x14ac:dyDescent="0.4">
      <c r="A13" s="72" t="s">
        <v>123</v>
      </c>
      <c r="B13" s="64">
        <v>23</v>
      </c>
      <c r="C13" s="47">
        <f>IF(B$24=0,0,B13/B$24)</f>
        <v>0.22772277227722773</v>
      </c>
      <c r="E13" s="81" t="s">
        <v>91</v>
      </c>
      <c r="F13" s="77" t="s">
        <v>44</v>
      </c>
      <c r="G13" s="64">
        <v>1</v>
      </c>
      <c r="H13" s="47">
        <f>IF(B$25=0,0,G13/B$25)</f>
        <v>4.3478260869565216E-2</v>
      </c>
      <c r="I13" s="117">
        <v>10</v>
      </c>
      <c r="K13" s="46">
        <v>11</v>
      </c>
      <c r="L13" s="123">
        <v>69.300000000000011</v>
      </c>
      <c r="N13" s="46" t="s">
        <v>137</v>
      </c>
      <c r="O13" s="125">
        <f>IF(Q13=0,0,P13/Q13)</f>
        <v>-8.9</v>
      </c>
      <c r="P13" s="131">
        <v>-8.9</v>
      </c>
      <c r="Q13" s="55">
        <v>1</v>
      </c>
    </row>
    <row r="14" spans="1:17" x14ac:dyDescent="0.4">
      <c r="A14" s="71" t="s">
        <v>130</v>
      </c>
      <c r="B14" s="63">
        <v>16</v>
      </c>
      <c r="C14" s="45">
        <f>IF(B$12=0,0,B14/B$12)</f>
        <v>0.47058823529411764</v>
      </c>
      <c r="E14" s="81" t="s">
        <v>94</v>
      </c>
      <c r="F14" s="77" t="s">
        <v>47</v>
      </c>
      <c r="G14" s="64">
        <v>1</v>
      </c>
      <c r="H14" s="47">
        <f>IF(B$25=0,0,G14/B$25)</f>
        <v>4.3478260869565216E-2</v>
      </c>
      <c r="I14" s="117">
        <v>10</v>
      </c>
      <c r="K14" s="46">
        <v>12</v>
      </c>
      <c r="L14" s="123">
        <v>80.800000000000011</v>
      </c>
      <c r="N14" s="46" t="s">
        <v>139</v>
      </c>
      <c r="O14" s="125">
        <f>IF(Q14=0,0,P14/Q14)</f>
        <v>-19.750000000000004</v>
      </c>
      <c r="P14" s="131">
        <v>-39.500000000000007</v>
      </c>
      <c r="Q14" s="55">
        <v>2</v>
      </c>
    </row>
    <row r="15" spans="1:17" x14ac:dyDescent="0.4">
      <c r="A15" s="71" t="s">
        <v>131</v>
      </c>
      <c r="B15" s="63">
        <v>3</v>
      </c>
      <c r="C15" s="45">
        <f>IF(B$13=0,0,B15/B$13)</f>
        <v>0.13043478260869565</v>
      </c>
      <c r="E15" s="81" t="s">
        <v>97</v>
      </c>
      <c r="F15" s="77" t="s">
        <v>50</v>
      </c>
      <c r="G15" s="64">
        <v>1</v>
      </c>
      <c r="H15" s="47">
        <f>IF(B$25=0,0,G15/B$25)</f>
        <v>4.3478260869565216E-2</v>
      </c>
      <c r="I15" s="117">
        <v>1</v>
      </c>
      <c r="K15" s="46">
        <v>13</v>
      </c>
      <c r="L15" s="123">
        <v>155.10000000000002</v>
      </c>
      <c r="N15" s="46" t="s">
        <v>135</v>
      </c>
      <c r="O15" s="125">
        <f>IF(Q15=0,0,P15/Q15)</f>
        <v>-34</v>
      </c>
      <c r="P15" s="131">
        <v>-34</v>
      </c>
      <c r="Q15" s="55">
        <v>1</v>
      </c>
    </row>
    <row r="16" spans="1:17" x14ac:dyDescent="0.4">
      <c r="A16" s="71" t="s">
        <v>10</v>
      </c>
      <c r="B16" s="63">
        <f>B18+B17</f>
        <v>51</v>
      </c>
      <c r="C16" s="45">
        <f>IF(B$3=0,0,B16/B$3)</f>
        <v>0.27868852459016391</v>
      </c>
      <c r="E16" s="81" t="s">
        <v>77</v>
      </c>
      <c r="F16" s="77" t="s">
        <v>30</v>
      </c>
      <c r="G16" s="64">
        <v>0</v>
      </c>
      <c r="H16" s="47">
        <f>IF(B$25=0,0,G16/B$25)</f>
        <v>0</v>
      </c>
      <c r="I16" s="117">
        <v>5</v>
      </c>
      <c r="K16" s="46">
        <v>14</v>
      </c>
      <c r="L16" s="123">
        <v>147.10000000000002</v>
      </c>
    </row>
    <row r="17" spans="1:12" x14ac:dyDescent="0.4">
      <c r="A17" s="72" t="s">
        <v>12</v>
      </c>
      <c r="B17" s="64">
        <v>23</v>
      </c>
      <c r="C17" s="47">
        <f>IF(B$16=0,0,B17/B$16)</f>
        <v>0.45098039215686275</v>
      </c>
      <c r="E17" s="81" t="s">
        <v>78</v>
      </c>
      <c r="F17" s="77" t="s">
        <v>31</v>
      </c>
      <c r="G17" s="64">
        <v>0</v>
      </c>
      <c r="H17" s="47">
        <f>IF(B$25=0,0,G17/B$25)</f>
        <v>0</v>
      </c>
      <c r="I17" s="117">
        <v>4</v>
      </c>
      <c r="K17" s="46">
        <v>15</v>
      </c>
      <c r="L17" s="123">
        <v>148.80000000000001</v>
      </c>
    </row>
    <row r="18" spans="1:12" x14ac:dyDescent="0.4">
      <c r="A18" s="72" t="s">
        <v>11</v>
      </c>
      <c r="B18" s="64">
        <v>28</v>
      </c>
      <c r="C18" s="47">
        <f>IF(B$16=0,0,B18/B$16)</f>
        <v>0.5490196078431373</v>
      </c>
      <c r="E18" s="81" t="s">
        <v>79</v>
      </c>
      <c r="F18" s="77" t="s">
        <v>32</v>
      </c>
      <c r="G18" s="64">
        <v>0</v>
      </c>
      <c r="H18" s="47">
        <f>IF(B$25=0,0,G18/B$25)</f>
        <v>0</v>
      </c>
      <c r="I18" s="117">
        <v>6</v>
      </c>
      <c r="K18" s="46">
        <v>16</v>
      </c>
      <c r="L18" s="123">
        <v>152.30000000000001</v>
      </c>
    </row>
    <row r="19" spans="1:12" x14ac:dyDescent="0.4">
      <c r="A19" s="72" t="s">
        <v>13</v>
      </c>
      <c r="B19" s="64">
        <v>30</v>
      </c>
      <c r="C19" s="47">
        <f>IF(B$3=0,0,B19/B$3)</f>
        <v>0.16393442622950818</v>
      </c>
      <c r="E19" s="81" t="s">
        <v>80</v>
      </c>
      <c r="F19" s="77" t="s">
        <v>33</v>
      </c>
      <c r="G19" s="64">
        <v>0</v>
      </c>
      <c r="H19" s="47">
        <f>IF(B$25=0,0,G19/B$25)</f>
        <v>0</v>
      </c>
      <c r="I19" s="117">
        <v>1</v>
      </c>
      <c r="K19" s="46">
        <v>17</v>
      </c>
      <c r="L19" s="123">
        <v>178.10000000000002</v>
      </c>
    </row>
    <row r="20" spans="1:12" x14ac:dyDescent="0.4">
      <c r="A20" s="72" t="s">
        <v>5</v>
      </c>
      <c r="B20" s="68">
        <f>IF(B$16=0,0,C20/B$16)</f>
        <v>11427.450980392157</v>
      </c>
      <c r="C20" s="49">
        <v>582800</v>
      </c>
      <c r="E20" s="81" t="s">
        <v>81</v>
      </c>
      <c r="F20" s="77" t="s">
        <v>34</v>
      </c>
      <c r="G20" s="64">
        <v>0</v>
      </c>
      <c r="H20" s="47">
        <f>IF(B$25=0,0,G20/B$25)</f>
        <v>0</v>
      </c>
      <c r="I20" s="117">
        <v>6</v>
      </c>
      <c r="K20" s="46">
        <v>18</v>
      </c>
      <c r="L20" s="123">
        <v>155.00000000000003</v>
      </c>
    </row>
    <row r="21" spans="1:12" x14ac:dyDescent="0.4">
      <c r="A21" s="74" t="s">
        <v>14</v>
      </c>
      <c r="B21" s="69">
        <f>IF(B$19=0,0,C21/B$19)</f>
        <v>-9023.3333333333339</v>
      </c>
      <c r="C21" s="62">
        <v>-270700</v>
      </c>
      <c r="E21" s="81" t="s">
        <v>83</v>
      </c>
      <c r="F21" s="77" t="s">
        <v>36</v>
      </c>
      <c r="G21" s="64">
        <v>0</v>
      </c>
      <c r="H21" s="47">
        <f>IF(B$25=0,0,G21/B$25)</f>
        <v>0</v>
      </c>
      <c r="I21" s="117">
        <v>9</v>
      </c>
      <c r="K21" s="46">
        <v>19</v>
      </c>
      <c r="L21" s="123">
        <v>143.60000000000002</v>
      </c>
    </row>
    <row r="22" spans="1:12" x14ac:dyDescent="0.4">
      <c r="A22" s="71" t="s">
        <v>147</v>
      </c>
      <c r="B22" s="63">
        <v>69</v>
      </c>
      <c r="C22" s="45">
        <f>IF(B$3=0,0,B22/B$3)</f>
        <v>0.37704918032786883</v>
      </c>
      <c r="E22" s="81" t="s">
        <v>84</v>
      </c>
      <c r="F22" s="77" t="s">
        <v>37</v>
      </c>
      <c r="G22" s="64">
        <v>0</v>
      </c>
      <c r="H22" s="47">
        <f>IF(B$25=0,0,G22/B$25)</f>
        <v>0</v>
      </c>
      <c r="I22" s="117">
        <v>1</v>
      </c>
      <c r="K22" s="46">
        <v>20</v>
      </c>
      <c r="L22" s="123">
        <v>152.50000000000003</v>
      </c>
    </row>
    <row r="23" spans="1:12" x14ac:dyDescent="0.4">
      <c r="A23" s="74" t="s">
        <v>148</v>
      </c>
      <c r="B23" s="66">
        <v>28</v>
      </c>
      <c r="C23" s="51">
        <f>IF(B$22=0,0,B23/B$22)</f>
        <v>0.40579710144927539</v>
      </c>
      <c r="E23" s="81" t="s">
        <v>85</v>
      </c>
      <c r="F23" s="77" t="s">
        <v>38</v>
      </c>
      <c r="G23" s="64">
        <v>0</v>
      </c>
      <c r="H23" s="47">
        <f>IF(B$25=0,0,G23/B$25)</f>
        <v>0</v>
      </c>
      <c r="I23" s="117">
        <v>3</v>
      </c>
      <c r="K23" s="46">
        <v>21</v>
      </c>
      <c r="L23" s="123">
        <v>138.00000000000003</v>
      </c>
    </row>
    <row r="24" spans="1:12" x14ac:dyDescent="0.4">
      <c r="A24" s="71" t="s">
        <v>126</v>
      </c>
      <c r="B24" s="139">
        <v>101</v>
      </c>
      <c r="C24" s="140"/>
      <c r="E24" s="81" t="s">
        <v>86</v>
      </c>
      <c r="F24" s="77" t="s">
        <v>39</v>
      </c>
      <c r="G24" s="64">
        <v>0</v>
      </c>
      <c r="H24" s="47">
        <f>IF(B$25=0,0,G24/B$25)</f>
        <v>0</v>
      </c>
      <c r="I24" s="117">
        <v>9</v>
      </c>
      <c r="K24" s="46">
        <v>22</v>
      </c>
      <c r="L24" s="123">
        <v>101.30000000000003</v>
      </c>
    </row>
    <row r="25" spans="1:12" x14ac:dyDescent="0.4">
      <c r="A25" s="74" t="s">
        <v>127</v>
      </c>
      <c r="B25" s="153">
        <v>23</v>
      </c>
      <c r="C25" s="154"/>
      <c r="E25" s="81" t="s">
        <v>87</v>
      </c>
      <c r="F25" s="77" t="s">
        <v>40</v>
      </c>
      <c r="G25" s="64">
        <v>0</v>
      </c>
      <c r="H25" s="47">
        <f>IF(B$25=0,0,G25/B$25)</f>
        <v>0</v>
      </c>
      <c r="I25" s="117">
        <v>1</v>
      </c>
      <c r="K25" s="46">
        <v>23</v>
      </c>
      <c r="L25" s="123">
        <v>53.800000000000026</v>
      </c>
    </row>
    <row r="26" spans="1:12" x14ac:dyDescent="0.4">
      <c r="A26" s="112" t="s">
        <v>162</v>
      </c>
      <c r="B26" s="149">
        <v>7</v>
      </c>
      <c r="C26" s="150"/>
      <c r="E26" s="81" t="s">
        <v>88</v>
      </c>
      <c r="F26" s="77" t="s">
        <v>41</v>
      </c>
      <c r="G26" s="64">
        <v>0</v>
      </c>
      <c r="H26" s="47">
        <f>IF(B$25=0,0,G26/B$25)</f>
        <v>0</v>
      </c>
      <c r="I26" s="117">
        <v>9</v>
      </c>
    </row>
    <row r="27" spans="1:12" x14ac:dyDescent="0.4">
      <c r="A27" s="75" t="s">
        <v>203</v>
      </c>
      <c r="B27" s="147">
        <v>109300</v>
      </c>
      <c r="C27" s="148"/>
      <c r="E27" s="81" t="s">
        <v>89</v>
      </c>
      <c r="F27" s="77" t="s">
        <v>42</v>
      </c>
      <c r="G27" s="64">
        <v>0</v>
      </c>
      <c r="H27" s="47">
        <f>IF(B$25=0,0,G27/B$25)</f>
        <v>0</v>
      </c>
      <c r="I27" s="117">
        <v>5</v>
      </c>
    </row>
    <row r="28" spans="1:12" x14ac:dyDescent="0.4">
      <c r="A28" s="74" t="s">
        <v>163</v>
      </c>
      <c r="B28" s="83">
        <v>0</v>
      </c>
      <c r="C28" s="51">
        <f>IF(B$3=0,0,B28/B$3)</f>
        <v>0</v>
      </c>
      <c r="E28" s="81" t="s">
        <v>90</v>
      </c>
      <c r="F28" s="77" t="s">
        <v>43</v>
      </c>
      <c r="G28" s="64">
        <v>0</v>
      </c>
      <c r="H28" s="47">
        <f>IF(B$25=0,0,G28/B$25)</f>
        <v>0</v>
      </c>
      <c r="I28" s="117">
        <v>6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</row>
    <row r="32" spans="1:12" x14ac:dyDescent="0.4">
      <c r="E32" s="81" t="s">
        <v>96</v>
      </c>
      <c r="F32" s="77" t="s">
        <v>49</v>
      </c>
      <c r="G32" s="64">
        <v>0</v>
      </c>
      <c r="H32" s="47">
        <f>IF(B$25=0,0,G32/B$25)</f>
        <v>0</v>
      </c>
      <c r="I32" s="117">
        <v>8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5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DDDEE-5DA0-4515-B37B-28FFEE210C22}">
  <sheetPr codeName="Sheet25"/>
  <dimension ref="A1:Q92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139</v>
      </c>
      <c r="C1" s="13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39">
        <v>90</v>
      </c>
      <c r="C2" s="140"/>
      <c r="E2" s="80" t="s">
        <v>71</v>
      </c>
      <c r="F2" s="76" t="s">
        <v>25</v>
      </c>
      <c r="G2" s="63">
        <v>179</v>
      </c>
      <c r="H2" s="45">
        <f>IF(B$25=0,0,G2/B$25)</f>
        <v>0.94708994708994709</v>
      </c>
      <c r="I2" s="116">
        <v>3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-1534.8837209302326</v>
      </c>
      <c r="P2" s="59">
        <v>-132000</v>
      </c>
      <c r="Q2" s="57">
        <v>86</v>
      </c>
    </row>
    <row r="3" spans="1:17" x14ac:dyDescent="0.4">
      <c r="A3" s="72" t="s">
        <v>8</v>
      </c>
      <c r="B3" s="141">
        <v>690</v>
      </c>
      <c r="C3" s="142"/>
      <c r="E3" s="81" t="s">
        <v>69</v>
      </c>
      <c r="F3" s="77" t="s">
        <v>23</v>
      </c>
      <c r="G3" s="64">
        <v>160</v>
      </c>
      <c r="H3" s="47">
        <f>IF(B$25=0,0,G3/B$25)</f>
        <v>0.84656084656084651</v>
      </c>
      <c r="I3" s="117">
        <v>2</v>
      </c>
      <c r="K3" s="46">
        <v>1</v>
      </c>
      <c r="L3" s="123">
        <v>3.9</v>
      </c>
      <c r="N3" s="46" t="s">
        <v>151</v>
      </c>
      <c r="O3" s="127">
        <f t="shared" si="0"/>
        <v>15.294117647058824</v>
      </c>
      <c r="P3" s="60">
        <v>1300</v>
      </c>
      <c r="Q3" s="55">
        <v>85</v>
      </c>
    </row>
    <row r="4" spans="1:17" x14ac:dyDescent="0.4">
      <c r="A4" s="72" t="s">
        <v>6</v>
      </c>
      <c r="B4" s="143">
        <v>-481.59999999999991</v>
      </c>
      <c r="C4" s="144"/>
      <c r="E4" s="81" t="s">
        <v>76</v>
      </c>
      <c r="F4" s="77" t="s">
        <v>29</v>
      </c>
      <c r="G4" s="64">
        <v>123</v>
      </c>
      <c r="H4" s="47">
        <f>IF(B$25=0,0,G4/B$25)</f>
        <v>0.65079365079365081</v>
      </c>
      <c r="I4" s="117">
        <v>3</v>
      </c>
      <c r="K4" s="46">
        <v>2</v>
      </c>
      <c r="L4" s="123">
        <v>-33.9</v>
      </c>
      <c r="N4" s="46" t="s">
        <v>152</v>
      </c>
      <c r="O4" s="127">
        <f t="shared" si="0"/>
        <v>-1632.5</v>
      </c>
      <c r="P4" s="60">
        <v>-130600</v>
      </c>
      <c r="Q4" s="55">
        <v>80</v>
      </c>
    </row>
    <row r="5" spans="1:17" x14ac:dyDescent="0.4">
      <c r="A5" s="72" t="s">
        <v>7</v>
      </c>
      <c r="B5" s="145">
        <f>IF(B$2=0,0,B$4/B$2)</f>
        <v>-5.35111111111111</v>
      </c>
      <c r="C5" s="146"/>
      <c r="E5" s="81" t="s">
        <v>67</v>
      </c>
      <c r="F5" s="77" t="s">
        <v>21</v>
      </c>
      <c r="G5" s="64">
        <v>116</v>
      </c>
      <c r="H5" s="47">
        <f>IF(B$25=0,0,G5/B$25)</f>
        <v>0.61375661375661372</v>
      </c>
      <c r="I5" s="117">
        <v>5</v>
      </c>
      <c r="K5" s="46">
        <v>3</v>
      </c>
      <c r="L5" s="123">
        <v>-70.099999999999994</v>
      </c>
      <c r="N5" s="46" t="s">
        <v>153</v>
      </c>
      <c r="O5" s="127">
        <f t="shared" si="0"/>
        <v>-568.49315068493149</v>
      </c>
      <c r="P5" s="60">
        <v>-41500</v>
      </c>
      <c r="Q5" s="55">
        <v>73</v>
      </c>
    </row>
    <row r="6" spans="1:17" x14ac:dyDescent="0.4">
      <c r="A6" s="72" t="s">
        <v>1</v>
      </c>
      <c r="B6" s="151">
        <f>IF(B$2=0,0,(B$7*1+B$8*2+B$9*3)/B$2)</f>
        <v>2.2000000000000002</v>
      </c>
      <c r="C6" s="152"/>
      <c r="E6" s="81" t="s">
        <v>70</v>
      </c>
      <c r="F6" s="77" t="s">
        <v>24</v>
      </c>
      <c r="G6" s="64">
        <v>73</v>
      </c>
      <c r="H6" s="47">
        <f>IF(B$25=0,0,G6/B$25)</f>
        <v>0.38624338624338622</v>
      </c>
      <c r="I6" s="117">
        <v>4</v>
      </c>
      <c r="K6" s="46">
        <v>4</v>
      </c>
      <c r="L6" s="123">
        <v>-35.099999999999994</v>
      </c>
      <c r="N6" s="46" t="s">
        <v>154</v>
      </c>
      <c r="O6" s="127">
        <f t="shared" si="0"/>
        <v>-2213.4328358208954</v>
      </c>
      <c r="P6" s="60">
        <v>-148300</v>
      </c>
      <c r="Q6" s="55">
        <v>67</v>
      </c>
    </row>
    <row r="7" spans="1:17" x14ac:dyDescent="0.4">
      <c r="A7" s="72" t="s">
        <v>2</v>
      </c>
      <c r="B7" s="64">
        <v>22</v>
      </c>
      <c r="C7" s="47">
        <f>IF(B$2=0,0,B7/B$2)</f>
        <v>0.24444444444444444</v>
      </c>
      <c r="E7" s="81" t="s">
        <v>72</v>
      </c>
      <c r="F7" s="77" t="s">
        <v>12</v>
      </c>
      <c r="G7" s="64">
        <v>63</v>
      </c>
      <c r="H7" s="47">
        <f>IF(B$25=0,0,G7/B$25)</f>
        <v>0.33333333333333331</v>
      </c>
      <c r="I7" s="117">
        <v>4</v>
      </c>
      <c r="K7" s="46">
        <v>5</v>
      </c>
      <c r="L7" s="123">
        <v>-80.099999999999994</v>
      </c>
      <c r="N7" s="50" t="s">
        <v>155</v>
      </c>
      <c r="O7" s="128">
        <f t="shared" si="0"/>
        <v>1573.0769230769231</v>
      </c>
      <c r="P7" s="61">
        <v>81800</v>
      </c>
      <c r="Q7" s="56">
        <v>52</v>
      </c>
    </row>
    <row r="8" spans="1:17" x14ac:dyDescent="0.4">
      <c r="A8" s="72" t="s">
        <v>3</v>
      </c>
      <c r="B8" s="64">
        <v>28</v>
      </c>
      <c r="C8" s="47">
        <f t="shared" ref="C8:C9" si="1">IF(B$2=0,0,B8/B$2)</f>
        <v>0.31111111111111112</v>
      </c>
      <c r="E8" s="81" t="s">
        <v>73</v>
      </c>
      <c r="F8" s="77" t="s">
        <v>26</v>
      </c>
      <c r="G8" s="64">
        <v>26</v>
      </c>
      <c r="H8" s="47">
        <f>IF(B$25=0,0,G8/B$25)</f>
        <v>0.13756613756613756</v>
      </c>
      <c r="I8" s="117">
        <v>7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40</v>
      </c>
      <c r="C9" s="48">
        <f t="shared" si="1"/>
        <v>0.44444444444444442</v>
      </c>
      <c r="E9" s="81" t="s">
        <v>94</v>
      </c>
      <c r="F9" s="77" t="s">
        <v>47</v>
      </c>
      <c r="G9" s="64">
        <v>26</v>
      </c>
      <c r="H9" s="47">
        <f>IF(B$25=0,0,G9/B$25)</f>
        <v>0.13756613756613756</v>
      </c>
      <c r="I9" s="117">
        <v>7</v>
      </c>
      <c r="K9" s="46">
        <v>7</v>
      </c>
      <c r="L9" s="123">
        <v>-147.4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20</v>
      </c>
      <c r="C10" s="48">
        <f>IF(B$2=0,0,B10/B$2)</f>
        <v>0.22222222222222221</v>
      </c>
      <c r="E10" s="81" t="s">
        <v>74</v>
      </c>
      <c r="F10" s="77" t="s">
        <v>27</v>
      </c>
      <c r="G10" s="64">
        <v>24</v>
      </c>
      <c r="H10" s="47">
        <f>IF(B$25=0,0,G10/B$25)</f>
        <v>0.12698412698412698</v>
      </c>
      <c r="I10" s="117">
        <v>4</v>
      </c>
      <c r="K10" s="46">
        <v>8</v>
      </c>
      <c r="L10" s="123">
        <v>-146</v>
      </c>
      <c r="N10" s="44" t="s">
        <v>198</v>
      </c>
      <c r="O10" s="124">
        <f>IF(Q10=0,0,P10/Q10)</f>
        <v>25.3</v>
      </c>
      <c r="P10" s="130">
        <v>50.6</v>
      </c>
      <c r="Q10" s="57">
        <v>2</v>
      </c>
    </row>
    <row r="11" spans="1:17" x14ac:dyDescent="0.4">
      <c r="A11" s="74" t="s">
        <v>158</v>
      </c>
      <c r="B11" s="66">
        <v>12</v>
      </c>
      <c r="C11" s="51">
        <f>IF(B$2=0,0,B11/B$2)</f>
        <v>0.13333333333333333</v>
      </c>
      <c r="E11" s="81" t="s">
        <v>68</v>
      </c>
      <c r="F11" s="77" t="s">
        <v>22</v>
      </c>
      <c r="G11" s="64">
        <v>16</v>
      </c>
      <c r="H11" s="47">
        <f>IF(B$25=0,0,G11/B$25)</f>
        <v>8.4656084656084651E-2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>IF(Q11=0,0,P11/Q11)</f>
        <v>19.75</v>
      </c>
      <c r="P11" s="131">
        <v>39.5</v>
      </c>
      <c r="Q11" s="55">
        <v>2</v>
      </c>
    </row>
    <row r="12" spans="1:17" x14ac:dyDescent="0.4">
      <c r="A12" s="75" t="s">
        <v>128</v>
      </c>
      <c r="B12" s="67">
        <v>202</v>
      </c>
      <c r="C12" s="54">
        <f>IF(B$24=0,0,B12/B$24)</f>
        <v>0.30934150076569678</v>
      </c>
      <c r="E12" s="81" t="s">
        <v>91</v>
      </c>
      <c r="F12" s="77" t="s">
        <v>44</v>
      </c>
      <c r="G12" s="64">
        <v>13</v>
      </c>
      <c r="H12" s="47">
        <f>IF(B$25=0,0,G12/B$25)</f>
        <v>6.8783068783068779E-2</v>
      </c>
      <c r="I12" s="117">
        <v>5</v>
      </c>
      <c r="K12" s="46">
        <v>10</v>
      </c>
      <c r="L12" s="123">
        <v>-206.1</v>
      </c>
      <c r="N12" s="46" t="s">
        <v>161</v>
      </c>
      <c r="O12" s="125">
        <f>IF(Q12=0,0,P12/Q12)</f>
        <v>10.761111111111113</v>
      </c>
      <c r="P12" s="131">
        <v>193.70000000000002</v>
      </c>
      <c r="Q12" s="55">
        <v>18</v>
      </c>
    </row>
    <row r="13" spans="1:17" x14ac:dyDescent="0.4">
      <c r="A13" s="72" t="s">
        <v>123</v>
      </c>
      <c r="B13" s="64">
        <v>136</v>
      </c>
      <c r="C13" s="47">
        <f>IF(B$24=0,0,B13/B$24)</f>
        <v>0.20826952526799389</v>
      </c>
      <c r="E13" s="81" t="s">
        <v>82</v>
      </c>
      <c r="F13" s="77" t="s">
        <v>35</v>
      </c>
      <c r="G13" s="64">
        <v>9</v>
      </c>
      <c r="H13" s="47">
        <f>IF(B$25=0,0,G13/B$25)</f>
        <v>4.7619047619047616E-2</v>
      </c>
      <c r="I13" s="117">
        <v>2</v>
      </c>
      <c r="K13" s="46">
        <v>11</v>
      </c>
      <c r="L13" s="123">
        <v>-174</v>
      </c>
      <c r="N13" s="46" t="s">
        <v>135</v>
      </c>
      <c r="O13" s="125">
        <f>IF(Q13=0,0,P13/Q13)</f>
        <v>7.7199999999999989</v>
      </c>
      <c r="P13" s="131">
        <v>77.199999999999989</v>
      </c>
      <c r="Q13" s="55">
        <v>10</v>
      </c>
    </row>
    <row r="14" spans="1:17" x14ac:dyDescent="0.4">
      <c r="A14" s="71" t="s">
        <v>130</v>
      </c>
      <c r="B14" s="63">
        <v>119</v>
      </c>
      <c r="C14" s="45">
        <f>IF(B$12=0,0,B14/B$12)</f>
        <v>0.58910891089108908</v>
      </c>
      <c r="E14" s="81" t="s">
        <v>88</v>
      </c>
      <c r="F14" s="77" t="s">
        <v>41</v>
      </c>
      <c r="G14" s="64">
        <v>6</v>
      </c>
      <c r="H14" s="47">
        <f>IF(B$25=0,0,G14/B$25)</f>
        <v>3.1746031746031744E-2</v>
      </c>
      <c r="I14" s="117">
        <v>5</v>
      </c>
      <c r="K14" s="46">
        <v>12</v>
      </c>
      <c r="L14" s="123">
        <v>-197</v>
      </c>
      <c r="N14" s="46" t="s">
        <v>171</v>
      </c>
      <c r="O14" s="125">
        <f>IF(Q14=0,0,P14/Q14)</f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131</v>
      </c>
      <c r="B15" s="63">
        <v>50</v>
      </c>
      <c r="C15" s="45">
        <f>IF(B$13=0,0,B15/B$13)</f>
        <v>0.36764705882352944</v>
      </c>
      <c r="E15" s="81" t="s">
        <v>75</v>
      </c>
      <c r="F15" s="77" t="s">
        <v>28</v>
      </c>
      <c r="G15" s="64">
        <v>5</v>
      </c>
      <c r="H15" s="47">
        <f>IF(B$25=0,0,G15/B$25)</f>
        <v>2.6455026455026454E-2</v>
      </c>
      <c r="I15" s="117">
        <v>9</v>
      </c>
      <c r="K15" s="46">
        <v>13</v>
      </c>
      <c r="L15" s="123">
        <v>-235</v>
      </c>
      <c r="N15" s="46" t="s">
        <v>134</v>
      </c>
      <c r="O15" s="125">
        <f>IF(Q15=0,0,P15/Q15)</f>
        <v>-6.3028571428571407</v>
      </c>
      <c r="P15" s="131">
        <v>-220.59999999999994</v>
      </c>
      <c r="Q15" s="55">
        <v>35</v>
      </c>
    </row>
    <row r="16" spans="1:17" x14ac:dyDescent="0.4">
      <c r="A16" s="71" t="s">
        <v>10</v>
      </c>
      <c r="B16" s="63">
        <f>B18+B17</f>
        <v>199</v>
      </c>
      <c r="C16" s="45">
        <f>IF(B$3=0,0,B16/B$3)</f>
        <v>0.28840579710144926</v>
      </c>
      <c r="E16" s="81" t="s">
        <v>77</v>
      </c>
      <c r="F16" s="77" t="s">
        <v>30</v>
      </c>
      <c r="G16" s="64">
        <v>4</v>
      </c>
      <c r="H16" s="47">
        <f>IF(B$25=0,0,G16/B$25)</f>
        <v>2.1164021164021163E-2</v>
      </c>
      <c r="I16" s="117">
        <v>1</v>
      </c>
      <c r="K16" s="46">
        <v>14</v>
      </c>
      <c r="L16" s="123">
        <v>-231</v>
      </c>
      <c r="N16" s="46" t="s">
        <v>136</v>
      </c>
      <c r="O16" s="125">
        <f>IF(Q16=0,0,P16/Q16)</f>
        <v>-9.06</v>
      </c>
      <c r="P16" s="131">
        <v>-45.300000000000004</v>
      </c>
      <c r="Q16" s="55">
        <v>5</v>
      </c>
    </row>
    <row r="17" spans="1:17" x14ac:dyDescent="0.4">
      <c r="A17" s="72" t="s">
        <v>12</v>
      </c>
      <c r="B17" s="64">
        <v>91</v>
      </c>
      <c r="C17" s="47">
        <f>IF(B$16=0,0,B17/B$16)</f>
        <v>0.457286432160804</v>
      </c>
      <c r="E17" s="81" t="s">
        <v>86</v>
      </c>
      <c r="F17" s="77" t="s">
        <v>39</v>
      </c>
      <c r="G17" s="64">
        <v>4</v>
      </c>
      <c r="H17" s="47">
        <f>IF(B$25=0,0,G17/B$25)</f>
        <v>2.1164021164021163E-2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>IF(Q17=0,0,P17/Q17)</f>
        <v>-12.770967741935483</v>
      </c>
      <c r="P17" s="131">
        <v>-395.9</v>
      </c>
      <c r="Q17" s="55">
        <v>31</v>
      </c>
    </row>
    <row r="18" spans="1:17" x14ac:dyDescent="0.4">
      <c r="A18" s="72" t="s">
        <v>11</v>
      </c>
      <c r="B18" s="64">
        <v>108</v>
      </c>
      <c r="C18" s="47">
        <f>IF(B$16=0,0,B18/B$16)</f>
        <v>0.542713567839196</v>
      </c>
      <c r="E18" s="81" t="s">
        <v>79</v>
      </c>
      <c r="F18" s="77" t="s">
        <v>32</v>
      </c>
      <c r="G18" s="64">
        <v>3</v>
      </c>
      <c r="H18" s="47">
        <f>IF(B$25=0,0,G18/B$25)</f>
        <v>1.5873015873015872E-2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>IF(Q18=0,0,P18/Q18)</f>
        <v>-15.167123287671231</v>
      </c>
      <c r="P18" s="131">
        <v>-1107.1999999999998</v>
      </c>
      <c r="Q18" s="55">
        <v>73</v>
      </c>
    </row>
    <row r="19" spans="1:17" x14ac:dyDescent="0.4">
      <c r="A19" s="72" t="s">
        <v>13</v>
      </c>
      <c r="B19" s="64">
        <v>153</v>
      </c>
      <c r="C19" s="47">
        <f>IF(B$3=0,0,B19/B$3)</f>
        <v>0.22173913043478261</v>
      </c>
      <c r="E19" s="81" t="s">
        <v>96</v>
      </c>
      <c r="F19" s="77" t="s">
        <v>49</v>
      </c>
      <c r="G19" s="64">
        <v>3</v>
      </c>
      <c r="H19" s="47">
        <f>IF(B$25=0,0,G19/B$25)</f>
        <v>1.5873015873015872E-2</v>
      </c>
      <c r="I19" s="117">
        <v>5</v>
      </c>
      <c r="K19" s="46">
        <v>17</v>
      </c>
      <c r="L19" s="123">
        <v>-268.7</v>
      </c>
      <c r="N19" s="46" t="s">
        <v>175</v>
      </c>
      <c r="O19" s="125">
        <f>IF(Q19=0,0,P19/Q19)</f>
        <v>-17.200000000000003</v>
      </c>
      <c r="P19" s="131">
        <v>-34.400000000000006</v>
      </c>
      <c r="Q19" s="55">
        <v>2</v>
      </c>
    </row>
    <row r="20" spans="1:17" x14ac:dyDescent="0.4">
      <c r="A20" s="72" t="s">
        <v>5</v>
      </c>
      <c r="B20" s="68">
        <f>IF(B$16=0,0,C20/B$16)</f>
        <v>10833.668341708542</v>
      </c>
      <c r="C20" s="49">
        <v>2155900</v>
      </c>
      <c r="E20" s="81" t="s">
        <v>81</v>
      </c>
      <c r="F20" s="77" t="s">
        <v>34</v>
      </c>
      <c r="G20" s="64">
        <v>1</v>
      </c>
      <c r="H20" s="47">
        <f>IF(B$25=0,0,G20/B$25)</f>
        <v>5.2910052910052907E-3</v>
      </c>
      <c r="I20" s="117">
        <v>5</v>
      </c>
      <c r="K20" s="46">
        <v>18</v>
      </c>
      <c r="L20" s="123">
        <v>-295.8</v>
      </c>
    </row>
    <row r="21" spans="1:17" x14ac:dyDescent="0.4">
      <c r="A21" s="74" t="s">
        <v>14</v>
      </c>
      <c r="B21" s="69">
        <f>IF(B$19=0,0,C21/B$19)</f>
        <v>-9810.4575163398695</v>
      </c>
      <c r="C21" s="62">
        <v>-1501000</v>
      </c>
      <c r="E21" s="81" t="s">
        <v>83</v>
      </c>
      <c r="F21" s="77" t="s">
        <v>36</v>
      </c>
      <c r="G21" s="64">
        <v>1</v>
      </c>
      <c r="H21" s="47">
        <f>IF(B$25=0,0,G21/B$25)</f>
        <v>5.2910052910052907E-3</v>
      </c>
      <c r="I21" s="117">
        <v>8</v>
      </c>
      <c r="K21" s="46">
        <v>19</v>
      </c>
      <c r="L21" s="123">
        <v>-273.2</v>
      </c>
    </row>
    <row r="22" spans="1:17" x14ac:dyDescent="0.4">
      <c r="A22" s="71" t="s">
        <v>147</v>
      </c>
      <c r="B22" s="63">
        <v>224</v>
      </c>
      <c r="C22" s="45">
        <f>IF(B$3=0,0,B22/B$3)</f>
        <v>0.32463768115942027</v>
      </c>
      <c r="E22" s="81" t="s">
        <v>89</v>
      </c>
      <c r="F22" s="77" t="s">
        <v>42</v>
      </c>
      <c r="G22" s="64">
        <v>1</v>
      </c>
      <c r="H22" s="47">
        <f>IF(B$25=0,0,G22/B$25)</f>
        <v>5.2910052910052907E-3</v>
      </c>
      <c r="I22" s="117">
        <v>3</v>
      </c>
      <c r="K22" s="46">
        <v>20</v>
      </c>
      <c r="L22" s="123">
        <v>-270</v>
      </c>
    </row>
    <row r="23" spans="1:17" x14ac:dyDescent="0.4">
      <c r="A23" s="74" t="s">
        <v>148</v>
      </c>
      <c r="B23" s="66">
        <v>73</v>
      </c>
      <c r="C23" s="51">
        <f>IF(B$22=0,0,B23/B$22)</f>
        <v>0.32589285714285715</v>
      </c>
      <c r="E23" s="81" t="s">
        <v>90</v>
      </c>
      <c r="F23" s="77" t="s">
        <v>43</v>
      </c>
      <c r="G23" s="64">
        <v>1</v>
      </c>
      <c r="H23" s="47">
        <f>IF(B$25=0,0,G23/B$25)</f>
        <v>5.2910052910052907E-3</v>
      </c>
      <c r="I23" s="117">
        <v>3</v>
      </c>
      <c r="K23" s="46">
        <v>21</v>
      </c>
      <c r="L23" s="123">
        <v>-242</v>
      </c>
    </row>
    <row r="24" spans="1:17" x14ac:dyDescent="0.4">
      <c r="A24" s="71" t="s">
        <v>126</v>
      </c>
      <c r="B24" s="139">
        <v>653</v>
      </c>
      <c r="C24" s="140"/>
      <c r="E24" s="81" t="s">
        <v>97</v>
      </c>
      <c r="F24" s="77" t="s">
        <v>50</v>
      </c>
      <c r="G24" s="64">
        <v>1</v>
      </c>
      <c r="H24" s="47">
        <f>IF(B$25=0,0,G24/B$25)</f>
        <v>5.2910052910052907E-3</v>
      </c>
      <c r="I24" s="117">
        <v>5</v>
      </c>
      <c r="K24" s="46">
        <v>22</v>
      </c>
      <c r="L24" s="123">
        <v>-202.9</v>
      </c>
    </row>
    <row r="25" spans="1:17" x14ac:dyDescent="0.4">
      <c r="A25" s="74" t="s">
        <v>127</v>
      </c>
      <c r="B25" s="153">
        <v>189</v>
      </c>
      <c r="C25" s="154"/>
      <c r="E25" s="81" t="s">
        <v>98</v>
      </c>
      <c r="F25" s="77" t="s">
        <v>51</v>
      </c>
      <c r="G25" s="64">
        <v>1</v>
      </c>
      <c r="H25" s="47">
        <f>IF(B$25=0,0,G25/B$25)</f>
        <v>5.2910052910052907E-3</v>
      </c>
      <c r="I25" s="117">
        <v>2</v>
      </c>
      <c r="K25" s="46">
        <v>23</v>
      </c>
      <c r="L25" s="123">
        <v>-200.9</v>
      </c>
    </row>
    <row r="26" spans="1:17" x14ac:dyDescent="0.4">
      <c r="A26" s="112" t="s">
        <v>162</v>
      </c>
      <c r="B26" s="149">
        <v>7</v>
      </c>
      <c r="C26" s="150"/>
      <c r="E26" s="81" t="s">
        <v>78</v>
      </c>
      <c r="F26" s="77" t="s">
        <v>31</v>
      </c>
      <c r="G26" s="64">
        <v>0</v>
      </c>
      <c r="H26" s="47">
        <f>IF(B$25=0,0,G26/B$25)</f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5" t="s">
        <v>203</v>
      </c>
      <c r="B27" s="147">
        <v>124700</v>
      </c>
      <c r="C27" s="148"/>
      <c r="E27" s="81" t="s">
        <v>80</v>
      </c>
      <c r="F27" s="77" t="s">
        <v>33</v>
      </c>
      <c r="G27" s="64">
        <v>0</v>
      </c>
      <c r="H27" s="47">
        <f>IF(B$25=0,0,G27/B$25)</f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A28" s="74" t="s">
        <v>163</v>
      </c>
      <c r="B28" s="83">
        <v>7</v>
      </c>
      <c r="C28" s="51">
        <f>IF(B$3=0,0,B28/B$3)</f>
        <v>1.0144927536231883E-2</v>
      </c>
      <c r="E28" s="81" t="s">
        <v>84</v>
      </c>
      <c r="F28" s="77" t="s">
        <v>37</v>
      </c>
      <c r="G28" s="64">
        <v>0</v>
      </c>
      <c r="H28" s="47">
        <f>IF(B$25=0,0,G28/B$25)</f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>IF(B$25=0,0,G29/B$25)</f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>IF(B$25=0,0,G30/B$25)</f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>IF(B$25=0,0,G31/B$25)</f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>IF(B$25=0,0,G32/B$25)</f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>IF(B$25=0,0,G33/B$25)</f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</sheetData>
  <sortState ref="N10:Q19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D2118-ECC3-4A4D-97DB-7B9BE7E579FC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198</v>
      </c>
      <c r="C1" s="13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39">
        <v>6</v>
      </c>
      <c r="C2" s="140"/>
      <c r="E2" s="80" t="s">
        <v>67</v>
      </c>
      <c r="F2" s="76" t="s">
        <v>21</v>
      </c>
      <c r="G2" s="63">
        <v>12</v>
      </c>
      <c r="H2" s="45">
        <f>IF(B$25=0,0,G2/B$25)</f>
        <v>0.63157894736842102</v>
      </c>
      <c r="I2" s="116">
        <v>4</v>
      </c>
      <c r="K2" s="44">
        <v>0</v>
      </c>
      <c r="L2" s="122">
        <v>0</v>
      </c>
      <c r="N2" s="44" t="s">
        <v>150</v>
      </c>
      <c r="O2" s="126">
        <f t="shared" ref="O2:O7" si="0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1">
        <v>50</v>
      </c>
      <c r="C3" s="142"/>
      <c r="E3" s="81" t="s">
        <v>69</v>
      </c>
      <c r="F3" s="77" t="s">
        <v>23</v>
      </c>
      <c r="G3" s="64">
        <v>12</v>
      </c>
      <c r="H3" s="47">
        <f>IF(B$25=0,0,G3/B$25)</f>
        <v>0.63157894736842102</v>
      </c>
      <c r="I3" s="117">
        <v>9</v>
      </c>
      <c r="K3" s="46">
        <v>1</v>
      </c>
      <c r="L3" s="123">
        <v>28.3</v>
      </c>
      <c r="N3" s="46" t="s">
        <v>151</v>
      </c>
      <c r="O3" s="127">
        <f t="shared" si="0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43">
        <v>47</v>
      </c>
      <c r="C4" s="144"/>
      <c r="E4" s="81" t="s">
        <v>71</v>
      </c>
      <c r="F4" s="77" t="s">
        <v>25</v>
      </c>
      <c r="G4" s="64">
        <v>12</v>
      </c>
      <c r="H4" s="47">
        <f>IF(B$25=0,0,G4/B$25)</f>
        <v>0.63157894736842102</v>
      </c>
      <c r="I4" s="117">
        <v>11</v>
      </c>
      <c r="K4" s="46">
        <v>2</v>
      </c>
      <c r="L4" s="123">
        <v>71.3</v>
      </c>
      <c r="N4" s="46" t="s">
        <v>152</v>
      </c>
      <c r="O4" s="127">
        <f t="shared" si="0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45">
        <f>IF(B$2=0,0,B$4/B$2)</f>
        <v>7.833333333333333</v>
      </c>
      <c r="C5" s="146"/>
      <c r="E5" s="81" t="s">
        <v>76</v>
      </c>
      <c r="F5" s="77" t="s">
        <v>29</v>
      </c>
      <c r="G5" s="64">
        <v>10</v>
      </c>
      <c r="H5" s="47">
        <f>IF(B$25=0,0,G5/B$25)</f>
        <v>0.52631578947368418</v>
      </c>
      <c r="I5" s="117">
        <v>9</v>
      </c>
      <c r="K5" s="46">
        <v>3</v>
      </c>
      <c r="L5" s="123">
        <v>57.3</v>
      </c>
      <c r="N5" s="46" t="s">
        <v>153</v>
      </c>
      <c r="O5" s="127">
        <f t="shared" si="0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51">
        <f>IF(B$2=0,0,(B$7*1+B$8*2+B$9*3)/B$2)</f>
        <v>1.8333333333333333</v>
      </c>
      <c r="C6" s="152"/>
      <c r="E6" s="81" t="s">
        <v>70</v>
      </c>
      <c r="F6" s="77" t="s">
        <v>24</v>
      </c>
      <c r="G6" s="64">
        <v>7</v>
      </c>
      <c r="H6" s="47">
        <f>IF(B$25=0,0,G6/B$25)</f>
        <v>0.36842105263157893</v>
      </c>
      <c r="I6" s="117">
        <v>5</v>
      </c>
      <c r="K6" s="46">
        <v>4</v>
      </c>
      <c r="L6" s="123">
        <v>64.5</v>
      </c>
      <c r="N6" s="46" t="s">
        <v>154</v>
      </c>
      <c r="O6" s="127">
        <f t="shared" si="0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>IF(B$25=0,0,G7/B$25)</f>
        <v>0.21052631578947367</v>
      </c>
      <c r="I7" s="117">
        <v>10</v>
      </c>
      <c r="K7" s="46">
        <v>5</v>
      </c>
      <c r="L7" s="123">
        <v>89</v>
      </c>
      <c r="N7" s="50" t="s">
        <v>155</v>
      </c>
      <c r="O7" s="128">
        <f t="shared" si="0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 t="shared" ref="C8:C9" si="1">IF(B$2=0,0,B8/B$2)</f>
        <v>0.16666666666666666</v>
      </c>
      <c r="E8" s="81" t="s">
        <v>74</v>
      </c>
      <c r="F8" s="77" t="s">
        <v>27</v>
      </c>
      <c r="G8" s="64">
        <v>4</v>
      </c>
      <c r="H8" s="47">
        <f>IF(B$25=0,0,G8/B$25)</f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si="1"/>
        <v>0.33333333333333331</v>
      </c>
      <c r="E9" s="81" t="s">
        <v>68</v>
      </c>
      <c r="F9" s="77" t="s">
        <v>22</v>
      </c>
      <c r="G9" s="64">
        <v>3</v>
      </c>
      <c r="H9" s="47">
        <f>IF(B$25=0,0,G9/B$25)</f>
        <v>0.15789473684210525</v>
      </c>
      <c r="I9" s="117">
        <v>3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>IF(B$25=0,0,G10/B$25)</f>
        <v>0.15789473684210525</v>
      </c>
      <c r="I10" s="117">
        <v>3</v>
      </c>
      <c r="N10" s="44" t="s">
        <v>175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4" t="s">
        <v>158</v>
      </c>
      <c r="B11" s="66">
        <v>1</v>
      </c>
      <c r="C11" s="51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>IF(B$25=0,0,G11/B$25)</f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5" t="s">
        <v>128</v>
      </c>
      <c r="B12" s="67">
        <v>21</v>
      </c>
      <c r="C12" s="54">
        <f>IF(B$24=0,0,B12/B$24)</f>
        <v>0.42</v>
      </c>
      <c r="E12" s="81" t="s">
        <v>94</v>
      </c>
      <c r="F12" s="77" t="s">
        <v>47</v>
      </c>
      <c r="G12" s="64">
        <v>3</v>
      </c>
      <c r="H12" s="47">
        <f>IF(B$25=0,0,G12/B$25)</f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2" t="s">
        <v>123</v>
      </c>
      <c r="B13" s="64">
        <v>6</v>
      </c>
      <c r="C13" s="47">
        <f>IF(B$24=0,0,B13/B$24)</f>
        <v>0.12</v>
      </c>
      <c r="E13" s="81" t="s">
        <v>75</v>
      </c>
      <c r="F13" s="77" t="s">
        <v>28</v>
      </c>
      <c r="G13" s="64">
        <v>1</v>
      </c>
      <c r="H13" s="47">
        <f>IF(B$25=0,0,G13/B$25)</f>
        <v>5.2631578947368418E-2</v>
      </c>
      <c r="I13" s="117">
        <v>5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1" t="s">
        <v>130</v>
      </c>
      <c r="B14" s="63">
        <v>13</v>
      </c>
      <c r="C14" s="45">
        <f>IF(B$12=0,0,B14/B$12)</f>
        <v>0.61904761904761907</v>
      </c>
      <c r="E14" s="81" t="s">
        <v>96</v>
      </c>
      <c r="F14" s="77" t="s">
        <v>49</v>
      </c>
      <c r="G14" s="64">
        <v>1</v>
      </c>
      <c r="H14" s="47">
        <f>IF(B$25=0,0,G14/B$25)</f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131</v>
      </c>
      <c r="B15" s="63">
        <v>3</v>
      </c>
      <c r="C15" s="45">
        <f>IF(B$13=0,0,B15/B$13)</f>
        <v>0.5</v>
      </c>
      <c r="E15" s="81" t="s">
        <v>77</v>
      </c>
      <c r="F15" s="77" t="s">
        <v>30</v>
      </c>
      <c r="G15" s="64">
        <v>0</v>
      </c>
      <c r="H15" s="47">
        <f>IF(B$25=0,0,G15/B$25)</f>
        <v>0</v>
      </c>
      <c r="I15" s="117">
        <v>5</v>
      </c>
    </row>
    <row r="16" spans="1:17" x14ac:dyDescent="0.4">
      <c r="A16" s="71" t="s">
        <v>10</v>
      </c>
      <c r="B16" s="63">
        <f>B18+B17</f>
        <v>19</v>
      </c>
      <c r="C16" s="45">
        <f>IF(B$3=0,0,B16/B$3)</f>
        <v>0.38</v>
      </c>
      <c r="E16" s="81" t="s">
        <v>78</v>
      </c>
      <c r="F16" s="77" t="s">
        <v>31</v>
      </c>
      <c r="G16" s="64">
        <v>0</v>
      </c>
      <c r="H16" s="47">
        <f>IF(B$25=0,0,G16/B$25)</f>
        <v>0</v>
      </c>
      <c r="I16" s="117">
        <v>4</v>
      </c>
    </row>
    <row r="17" spans="1:9" x14ac:dyDescent="0.4">
      <c r="A17" s="72" t="s">
        <v>12</v>
      </c>
      <c r="B17" s="64">
        <v>6</v>
      </c>
      <c r="C17" s="47">
        <f>IF(B$16=0,0,B17/B$16)</f>
        <v>0.31578947368421051</v>
      </c>
      <c r="E17" s="81" t="s">
        <v>79</v>
      </c>
      <c r="F17" s="77" t="s">
        <v>32</v>
      </c>
      <c r="G17" s="64">
        <v>0</v>
      </c>
      <c r="H17" s="47">
        <f>IF(B$25=0,0,G17/B$25)</f>
        <v>0</v>
      </c>
      <c r="I17" s="117">
        <v>6</v>
      </c>
    </row>
    <row r="18" spans="1:9" x14ac:dyDescent="0.4">
      <c r="A18" s="72" t="s">
        <v>11</v>
      </c>
      <c r="B18" s="64">
        <v>13</v>
      </c>
      <c r="C18" s="47">
        <f>IF(B$16=0,0,B18/B$16)</f>
        <v>0.68421052631578949</v>
      </c>
      <c r="E18" s="81" t="s">
        <v>80</v>
      </c>
      <c r="F18" s="77" t="s">
        <v>33</v>
      </c>
      <c r="G18" s="64">
        <v>0</v>
      </c>
      <c r="H18" s="47">
        <f>IF(B$25=0,0,G18/B$25)</f>
        <v>0</v>
      </c>
      <c r="I18" s="117">
        <v>1</v>
      </c>
    </row>
    <row r="19" spans="1:9" x14ac:dyDescent="0.4">
      <c r="A19" s="72" t="s">
        <v>13</v>
      </c>
      <c r="B19" s="64">
        <v>4</v>
      </c>
      <c r="C19" s="47">
        <f>IF(B$3=0,0,B19/B$3)</f>
        <v>0.08</v>
      </c>
      <c r="E19" s="81" t="s">
        <v>81</v>
      </c>
      <c r="F19" s="77" t="s">
        <v>34</v>
      </c>
      <c r="G19" s="64">
        <v>0</v>
      </c>
      <c r="H19" s="47">
        <f>IF(B$25=0,0,G19/B$25)</f>
        <v>0</v>
      </c>
      <c r="I19" s="117">
        <v>6</v>
      </c>
    </row>
    <row r="20" spans="1:9" x14ac:dyDescent="0.4">
      <c r="A20" s="72" t="s">
        <v>5</v>
      </c>
      <c r="B20" s="68">
        <f>IF(B$16=0,0,C20/B$16)</f>
        <v>9163.1578947368416</v>
      </c>
      <c r="C20" s="49">
        <v>174100</v>
      </c>
      <c r="E20" s="81" t="s">
        <v>82</v>
      </c>
      <c r="F20" s="77" t="s">
        <v>35</v>
      </c>
      <c r="G20" s="64">
        <v>0</v>
      </c>
      <c r="H20" s="47">
        <f>IF(B$25=0,0,G20/B$25)</f>
        <v>0</v>
      </c>
      <c r="I20" s="117">
        <v>10</v>
      </c>
    </row>
    <row r="21" spans="1:9" x14ac:dyDescent="0.4">
      <c r="A21" s="74" t="s">
        <v>14</v>
      </c>
      <c r="B21" s="69">
        <f>IF(B$19=0,0,C21/B$19)</f>
        <v>-10025</v>
      </c>
      <c r="C21" s="62">
        <v>-40100</v>
      </c>
      <c r="E21" s="81" t="s">
        <v>83</v>
      </c>
      <c r="F21" s="77" t="s">
        <v>36</v>
      </c>
      <c r="G21" s="64">
        <v>0</v>
      </c>
      <c r="H21" s="47">
        <f>IF(B$25=0,0,G21/B$25)</f>
        <v>0</v>
      </c>
      <c r="I21" s="117">
        <v>9</v>
      </c>
    </row>
    <row r="22" spans="1:9" x14ac:dyDescent="0.4">
      <c r="A22" s="71" t="s">
        <v>147</v>
      </c>
      <c r="B22" s="63">
        <v>16</v>
      </c>
      <c r="C22" s="45">
        <f>IF(B$3=0,0,B22/B$3)</f>
        <v>0.32</v>
      </c>
      <c r="E22" s="81" t="s">
        <v>84</v>
      </c>
      <c r="F22" s="77" t="s">
        <v>37</v>
      </c>
      <c r="G22" s="64">
        <v>0</v>
      </c>
      <c r="H22" s="47">
        <f>IF(B$25=0,0,G22/B$25)</f>
        <v>0</v>
      </c>
      <c r="I22" s="117">
        <v>1</v>
      </c>
    </row>
    <row r="23" spans="1:9" x14ac:dyDescent="0.4">
      <c r="A23" s="74" t="s">
        <v>148</v>
      </c>
      <c r="B23" s="66">
        <v>7</v>
      </c>
      <c r="C23" s="51">
        <f>IF(B$22=0,0,B23/B$22)</f>
        <v>0.4375</v>
      </c>
      <c r="E23" s="81" t="s">
        <v>85</v>
      </c>
      <c r="F23" s="77" t="s">
        <v>38</v>
      </c>
      <c r="G23" s="64">
        <v>0</v>
      </c>
      <c r="H23" s="47">
        <f>IF(B$25=0,0,G23/B$25)</f>
        <v>0</v>
      </c>
      <c r="I23" s="117">
        <v>3</v>
      </c>
    </row>
    <row r="24" spans="1:9" x14ac:dyDescent="0.4">
      <c r="A24" s="71" t="s">
        <v>126</v>
      </c>
      <c r="B24" s="139">
        <v>50</v>
      </c>
      <c r="C24" s="140"/>
      <c r="E24" s="81" t="s">
        <v>86</v>
      </c>
      <c r="F24" s="77" t="s">
        <v>39</v>
      </c>
      <c r="G24" s="64">
        <v>0</v>
      </c>
      <c r="H24" s="47">
        <f>IF(B$25=0,0,G24/B$25)</f>
        <v>0</v>
      </c>
      <c r="I24" s="117">
        <v>9</v>
      </c>
    </row>
    <row r="25" spans="1:9" x14ac:dyDescent="0.4">
      <c r="A25" s="74" t="s">
        <v>127</v>
      </c>
      <c r="B25" s="153">
        <v>19</v>
      </c>
      <c r="C25" s="154"/>
      <c r="E25" s="81" t="s">
        <v>87</v>
      </c>
      <c r="F25" s="77" t="s">
        <v>40</v>
      </c>
      <c r="G25" s="64">
        <v>0</v>
      </c>
      <c r="H25" s="47">
        <f>IF(B$25=0,0,G25/B$25)</f>
        <v>0</v>
      </c>
      <c r="I25" s="117">
        <v>1</v>
      </c>
    </row>
    <row r="26" spans="1:9" x14ac:dyDescent="0.4">
      <c r="A26" s="112" t="s">
        <v>162</v>
      </c>
      <c r="B26" s="149">
        <v>5</v>
      </c>
      <c r="C26" s="150"/>
      <c r="E26" s="81" t="s">
        <v>88</v>
      </c>
      <c r="F26" s="77" t="s">
        <v>41</v>
      </c>
      <c r="G26" s="64">
        <v>0</v>
      </c>
      <c r="H26" s="47">
        <f>IF(B$25=0,0,G26/B$25)</f>
        <v>0</v>
      </c>
      <c r="I26" s="117">
        <v>9</v>
      </c>
    </row>
    <row r="27" spans="1:9" x14ac:dyDescent="0.4">
      <c r="A27" s="75" t="s">
        <v>203</v>
      </c>
      <c r="B27" s="147">
        <v>78000</v>
      </c>
      <c r="C27" s="148"/>
      <c r="E27" s="81" t="s">
        <v>89</v>
      </c>
      <c r="F27" s="77" t="s">
        <v>42</v>
      </c>
      <c r="G27" s="64">
        <v>0</v>
      </c>
      <c r="H27" s="47">
        <f>IF(B$25=0,0,G27/B$25)</f>
        <v>0</v>
      </c>
      <c r="I27" s="117">
        <v>5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90</v>
      </c>
      <c r="F28" s="77" t="s">
        <v>43</v>
      </c>
      <c r="G28" s="64">
        <v>0</v>
      </c>
      <c r="H28" s="47">
        <f>IF(B$25=0,0,G28/B$25)</f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4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AB8EB-CADF-4805-8641-242B2C1C5E25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161</v>
      </c>
      <c r="C1" s="13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39">
        <v>25</v>
      </c>
      <c r="C2" s="140"/>
      <c r="E2" s="80" t="s">
        <v>71</v>
      </c>
      <c r="F2" s="76" t="s">
        <v>25</v>
      </c>
      <c r="G2" s="63">
        <v>46</v>
      </c>
      <c r="H2" s="45">
        <f>IF(B$25=0,0,G2/B$25)</f>
        <v>1.0454545454545454</v>
      </c>
      <c r="I2" s="116">
        <v>1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1">
        <v>196</v>
      </c>
      <c r="C3" s="142"/>
      <c r="E3" s="81" t="s">
        <v>69</v>
      </c>
      <c r="F3" s="77" t="s">
        <v>23</v>
      </c>
      <c r="G3" s="64">
        <v>32</v>
      </c>
      <c r="H3" s="47">
        <f>IF(B$25=0,0,G3/B$25)</f>
        <v>0.72727272727272729</v>
      </c>
      <c r="I3" s="117">
        <v>4</v>
      </c>
      <c r="K3" s="46">
        <v>1</v>
      </c>
      <c r="L3" s="123">
        <v>15</v>
      </c>
      <c r="N3" s="46" t="s">
        <v>151</v>
      </c>
      <c r="O3" s="127">
        <f t="shared" si="0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43">
        <v>-240.00000000000003</v>
      </c>
      <c r="C4" s="144"/>
      <c r="E4" s="81" t="s">
        <v>76</v>
      </c>
      <c r="F4" s="77" t="s">
        <v>29</v>
      </c>
      <c r="G4" s="64">
        <v>32</v>
      </c>
      <c r="H4" s="47">
        <f>IF(B$25=0,0,G4/B$25)</f>
        <v>0.72727272727272729</v>
      </c>
      <c r="I4" s="117">
        <v>1</v>
      </c>
      <c r="K4" s="46">
        <v>2</v>
      </c>
      <c r="L4" s="123">
        <v>-24.299999999999997</v>
      </c>
      <c r="N4" s="46" t="s">
        <v>152</v>
      </c>
      <c r="O4" s="127">
        <f t="shared" si="0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45">
        <f>IF(B$2=0,0,B$4/B$2)</f>
        <v>-9.6000000000000014</v>
      </c>
      <c r="C5" s="146"/>
      <c r="E5" s="81" t="s">
        <v>67</v>
      </c>
      <c r="F5" s="77" t="s">
        <v>21</v>
      </c>
      <c r="G5" s="64">
        <v>13</v>
      </c>
      <c r="H5" s="47">
        <f>IF(B$25=0,0,G5/B$25)</f>
        <v>0.29545454545454547</v>
      </c>
      <c r="I5" s="117">
        <v>12</v>
      </c>
      <c r="K5" s="46">
        <v>3</v>
      </c>
      <c r="L5" s="123">
        <v>-15.599999999999998</v>
      </c>
      <c r="N5" s="46" t="s">
        <v>153</v>
      </c>
      <c r="O5" s="127">
        <f t="shared" si="0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51">
        <f>IF(B$2=0,0,(B$7*1+B$8*2+B$9*3)/B$2)</f>
        <v>2.3199999999999998</v>
      </c>
      <c r="C6" s="152"/>
      <c r="E6" s="81" t="s">
        <v>88</v>
      </c>
      <c r="F6" s="77" t="s">
        <v>41</v>
      </c>
      <c r="G6" s="64">
        <v>9</v>
      </c>
      <c r="H6" s="47">
        <f>IF(B$25=0,0,G6/B$25)</f>
        <v>0.20454545454545456</v>
      </c>
      <c r="I6" s="117">
        <v>1</v>
      </c>
      <c r="K6" s="46">
        <v>4</v>
      </c>
      <c r="L6" s="123">
        <v>5.1000000000000014</v>
      </c>
      <c r="N6" s="46" t="s">
        <v>154</v>
      </c>
      <c r="O6" s="127">
        <f t="shared" si="0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>IF(B$25=0,0,G7/B$25)</f>
        <v>0.18181818181818182</v>
      </c>
      <c r="I7" s="117">
        <v>11</v>
      </c>
      <c r="K7" s="46">
        <v>5</v>
      </c>
      <c r="L7" s="123">
        <v>9.6000000000000014</v>
      </c>
      <c r="N7" s="50" t="s">
        <v>155</v>
      </c>
      <c r="O7" s="128">
        <f t="shared" si="0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 t="shared" ref="C8:C9" si="1">IF(B$2=0,0,B8/B$2)</f>
        <v>0.28000000000000003</v>
      </c>
      <c r="E8" s="81" t="s">
        <v>94</v>
      </c>
      <c r="F8" s="77" t="s">
        <v>47</v>
      </c>
      <c r="G8" s="64">
        <v>8</v>
      </c>
      <c r="H8" s="47">
        <f>IF(B$25=0,0,G8/B$25)</f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si="1"/>
        <v>0.52</v>
      </c>
      <c r="E9" s="81" t="s">
        <v>74</v>
      </c>
      <c r="F9" s="77" t="s">
        <v>27</v>
      </c>
      <c r="G9" s="64">
        <v>6</v>
      </c>
      <c r="H9" s="47">
        <f>IF(B$25=0,0,G9/B$25)</f>
        <v>0.13636363636363635</v>
      </c>
      <c r="I9" s="117">
        <v>3</v>
      </c>
      <c r="K9" s="46">
        <v>7</v>
      </c>
      <c r="L9" s="123">
        <v>27.200000000000003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>IF(B$25=0,0,G10/B$25)</f>
        <v>0.11363636363636363</v>
      </c>
      <c r="I10" s="117">
        <v>8</v>
      </c>
      <c r="K10" s="46">
        <v>8</v>
      </c>
      <c r="L10" s="123">
        <v>-4.4999999999999964</v>
      </c>
      <c r="N10" s="44" t="s">
        <v>175</v>
      </c>
      <c r="O10" s="124">
        <f>IF(Q10=0,0,P10/Q10)</f>
        <v>13.450000000000001</v>
      </c>
      <c r="P10" s="130">
        <v>26.900000000000002</v>
      </c>
      <c r="Q10" s="57">
        <v>2</v>
      </c>
    </row>
    <row r="11" spans="1:17" x14ac:dyDescent="0.4">
      <c r="A11" s="74" t="s">
        <v>158</v>
      </c>
      <c r="B11" s="66">
        <v>2</v>
      </c>
      <c r="C11" s="51">
        <f>IF(B$2=0,0,B11/B$2)</f>
        <v>0.08</v>
      </c>
      <c r="E11" s="81" t="s">
        <v>70</v>
      </c>
      <c r="F11" s="77" t="s">
        <v>24</v>
      </c>
      <c r="G11" s="64">
        <v>5</v>
      </c>
      <c r="H11" s="47">
        <f>IF(B$25=0,0,G11/B$25)</f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>IF(Q11=0,0,P11/Q11)</f>
        <v>10.366666666666665</v>
      </c>
      <c r="P11" s="131">
        <v>31.099999999999998</v>
      </c>
      <c r="Q11" s="55">
        <v>3</v>
      </c>
    </row>
    <row r="12" spans="1:17" x14ac:dyDescent="0.4">
      <c r="A12" s="75" t="s">
        <v>128</v>
      </c>
      <c r="B12" s="67">
        <v>30</v>
      </c>
      <c r="C12" s="54">
        <f>IF(B$24=0,0,B12/B$24)</f>
        <v>0.15306122448979592</v>
      </c>
      <c r="E12" s="81" t="s">
        <v>91</v>
      </c>
      <c r="F12" s="77" t="s">
        <v>44</v>
      </c>
      <c r="G12" s="64">
        <v>4</v>
      </c>
      <c r="H12" s="47">
        <f>IF(B$25=0,0,G12/B$25)</f>
        <v>9.0909090909090912E-2</v>
      </c>
      <c r="I12" s="117">
        <v>3</v>
      </c>
      <c r="K12" s="46">
        <v>10</v>
      </c>
      <c r="L12" s="123">
        <v>-24.299999999999997</v>
      </c>
      <c r="N12" s="46" t="s">
        <v>139</v>
      </c>
      <c r="O12" s="125">
        <f>IF(Q12=0,0,P12/Q12)</f>
        <v>-10.761111111111111</v>
      </c>
      <c r="P12" s="131">
        <v>-193.7</v>
      </c>
      <c r="Q12" s="55">
        <v>18</v>
      </c>
    </row>
    <row r="13" spans="1:17" x14ac:dyDescent="0.4">
      <c r="A13" s="72" t="s">
        <v>123</v>
      </c>
      <c r="B13" s="64">
        <v>76</v>
      </c>
      <c r="C13" s="47">
        <f>IF(B$24=0,0,B13/B$24)</f>
        <v>0.38775510204081631</v>
      </c>
      <c r="E13" s="81" t="s">
        <v>73</v>
      </c>
      <c r="F13" s="77" t="s">
        <v>26</v>
      </c>
      <c r="G13" s="64">
        <v>2</v>
      </c>
      <c r="H13" s="47">
        <f>IF(B$25=0,0,G13/B$25)</f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>IF(Q13=0,0,P13/Q13)</f>
        <v>-16.583333333333332</v>
      </c>
      <c r="P13" s="131">
        <v>-99.5</v>
      </c>
      <c r="Q13" s="55">
        <v>6</v>
      </c>
    </row>
    <row r="14" spans="1:17" x14ac:dyDescent="0.4">
      <c r="A14" s="71" t="s">
        <v>130</v>
      </c>
      <c r="B14" s="63">
        <v>14</v>
      </c>
      <c r="C14" s="45">
        <f>IF(B$12=0,0,B14/B$12)</f>
        <v>0.46666666666666667</v>
      </c>
      <c r="E14" s="81" t="s">
        <v>75</v>
      </c>
      <c r="F14" s="77" t="s">
        <v>28</v>
      </c>
      <c r="G14" s="64">
        <v>2</v>
      </c>
      <c r="H14" s="47">
        <f>IF(B$25=0,0,G14/B$25)</f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>IF(Q14=0,0,P14/Q14)</f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131</v>
      </c>
      <c r="B15" s="63">
        <v>24</v>
      </c>
      <c r="C15" s="45">
        <f>IF(B$13=0,0,B15/B$13)</f>
        <v>0.31578947368421051</v>
      </c>
      <c r="E15" s="81" t="s">
        <v>83</v>
      </c>
      <c r="F15" s="77" t="s">
        <v>36</v>
      </c>
      <c r="G15" s="64">
        <v>2</v>
      </c>
      <c r="H15" s="47">
        <f>IF(B$25=0,0,G15/B$25)</f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>IF(Q15=0,0,P15/Q15)</f>
        <v>-26.049999999999997</v>
      </c>
      <c r="P15" s="131">
        <v>-52.099999999999994</v>
      </c>
      <c r="Q15" s="55">
        <v>2</v>
      </c>
    </row>
    <row r="16" spans="1:17" x14ac:dyDescent="0.4">
      <c r="A16" s="71" t="s">
        <v>10</v>
      </c>
      <c r="B16" s="63">
        <f>B18+B17</f>
        <v>44</v>
      </c>
      <c r="C16" s="45">
        <f>IF(B$3=0,0,B16/B$3)</f>
        <v>0.22448979591836735</v>
      </c>
      <c r="E16" s="81" t="s">
        <v>86</v>
      </c>
      <c r="F16" s="77" t="s">
        <v>39</v>
      </c>
      <c r="G16" s="64">
        <v>2</v>
      </c>
      <c r="H16" s="47">
        <f>IF(B$25=0,0,G16/B$25)</f>
        <v>4.5454545454545456E-2</v>
      </c>
      <c r="I16" s="117">
        <v>2</v>
      </c>
      <c r="K16" s="46">
        <v>14</v>
      </c>
      <c r="L16" s="123">
        <v>-5.7999999999999945</v>
      </c>
    </row>
    <row r="17" spans="1:12" x14ac:dyDescent="0.4">
      <c r="A17" s="72" t="s">
        <v>12</v>
      </c>
      <c r="B17" s="64">
        <v>13</v>
      </c>
      <c r="C17" s="47">
        <f>IF(B$16=0,0,B17/B$16)</f>
        <v>0.29545454545454547</v>
      </c>
      <c r="E17" s="81" t="s">
        <v>81</v>
      </c>
      <c r="F17" s="77" t="s">
        <v>34</v>
      </c>
      <c r="G17" s="64">
        <v>1</v>
      </c>
      <c r="H17" s="47">
        <f>IF(B$25=0,0,G17/B$25)</f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11</v>
      </c>
      <c r="B18" s="64">
        <v>31</v>
      </c>
      <c r="C18" s="47">
        <f>IF(B$16=0,0,B18/B$16)</f>
        <v>0.70454545454545459</v>
      </c>
      <c r="E18" s="81" t="s">
        <v>82</v>
      </c>
      <c r="F18" s="77" t="s">
        <v>35</v>
      </c>
      <c r="G18" s="64">
        <v>1</v>
      </c>
      <c r="H18" s="47">
        <f>IF(B$25=0,0,G18/B$25)</f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13</v>
      </c>
      <c r="B19" s="64">
        <v>34</v>
      </c>
      <c r="C19" s="47">
        <f>IF(B$3=0,0,B19/B$3)</f>
        <v>0.17346938775510204</v>
      </c>
      <c r="E19" s="81" t="s">
        <v>90</v>
      </c>
      <c r="F19" s="77" t="s">
        <v>43</v>
      </c>
      <c r="G19" s="64">
        <v>1</v>
      </c>
      <c r="H19" s="47">
        <f>IF(B$25=0,0,G19/B$25)</f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5</v>
      </c>
      <c r="B20" s="68">
        <f>IF(B$16=0,0,C20/B$16)</f>
        <v>9343.181818181818</v>
      </c>
      <c r="C20" s="49">
        <v>411100</v>
      </c>
      <c r="E20" s="81" t="s">
        <v>96</v>
      </c>
      <c r="F20" s="77" t="s">
        <v>49</v>
      </c>
      <c r="G20" s="64">
        <v>1</v>
      </c>
      <c r="H20" s="47">
        <f>IF(B$25=0,0,G20/B$25)</f>
        <v>2.2727272727272728E-2</v>
      </c>
      <c r="I20" s="117">
        <v>3</v>
      </c>
      <c r="K20" s="46">
        <v>18</v>
      </c>
      <c r="L20" s="123">
        <v>-60.4</v>
      </c>
    </row>
    <row r="21" spans="1:12" x14ac:dyDescent="0.4">
      <c r="A21" s="74" t="s">
        <v>14</v>
      </c>
      <c r="B21" s="69">
        <f>IF(B$19=0,0,C21/B$19)</f>
        <v>-8441.176470588236</v>
      </c>
      <c r="C21" s="62">
        <v>-287000</v>
      </c>
      <c r="E21" s="81" t="s">
        <v>77</v>
      </c>
      <c r="F21" s="77" t="s">
        <v>30</v>
      </c>
      <c r="G21" s="64">
        <v>0</v>
      </c>
      <c r="H21" s="47">
        <f>IF(B$25=0,0,G21/B$25)</f>
        <v>0</v>
      </c>
      <c r="I21" s="117">
        <v>5</v>
      </c>
      <c r="K21" s="46">
        <v>19</v>
      </c>
      <c r="L21" s="123">
        <v>-60</v>
      </c>
    </row>
    <row r="22" spans="1:12" x14ac:dyDescent="0.4">
      <c r="A22" s="71" t="s">
        <v>147</v>
      </c>
      <c r="B22" s="63">
        <v>57</v>
      </c>
      <c r="C22" s="45">
        <f>IF(B$3=0,0,B22/B$3)</f>
        <v>0.29081632653061223</v>
      </c>
      <c r="E22" s="81" t="s">
        <v>78</v>
      </c>
      <c r="F22" s="77" t="s">
        <v>31</v>
      </c>
      <c r="G22" s="64">
        <v>0</v>
      </c>
      <c r="H22" s="47">
        <f>IF(B$25=0,0,G22/B$25)</f>
        <v>0</v>
      </c>
      <c r="I22" s="117">
        <v>4</v>
      </c>
      <c r="K22" s="46">
        <v>20</v>
      </c>
      <c r="L22" s="123">
        <v>-88.2</v>
      </c>
    </row>
    <row r="23" spans="1:12" x14ac:dyDescent="0.4">
      <c r="A23" s="74" t="s">
        <v>148</v>
      </c>
      <c r="B23" s="66">
        <v>13</v>
      </c>
      <c r="C23" s="51">
        <f>IF(B$22=0,0,B23/B$22)</f>
        <v>0.22807017543859648</v>
      </c>
      <c r="E23" s="81" t="s">
        <v>79</v>
      </c>
      <c r="F23" s="77" t="s">
        <v>32</v>
      </c>
      <c r="G23" s="64">
        <v>0</v>
      </c>
      <c r="H23" s="47">
        <f>IF(B$25=0,0,G23/B$25)</f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1" t="s">
        <v>126</v>
      </c>
      <c r="B24" s="139">
        <v>196</v>
      </c>
      <c r="C24" s="140"/>
      <c r="E24" s="81" t="s">
        <v>80</v>
      </c>
      <c r="F24" s="77" t="s">
        <v>33</v>
      </c>
      <c r="G24" s="64">
        <v>0</v>
      </c>
      <c r="H24" s="47">
        <f>IF(B$25=0,0,G24/B$25)</f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127</v>
      </c>
      <c r="B25" s="153">
        <v>44</v>
      </c>
      <c r="C25" s="154"/>
      <c r="E25" s="81" t="s">
        <v>84</v>
      </c>
      <c r="F25" s="77" t="s">
        <v>37</v>
      </c>
      <c r="G25" s="64">
        <v>0</v>
      </c>
      <c r="H25" s="47">
        <f>IF(B$25=0,0,G25/B$25)</f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112" t="s">
        <v>162</v>
      </c>
      <c r="B26" s="149">
        <v>5</v>
      </c>
      <c r="C26" s="150"/>
      <c r="E26" s="81" t="s">
        <v>85</v>
      </c>
      <c r="F26" s="77" t="s">
        <v>38</v>
      </c>
      <c r="G26" s="64">
        <v>0</v>
      </c>
      <c r="H26" s="47">
        <f>IF(B$25=0,0,G26/B$25)</f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5" t="s">
        <v>203</v>
      </c>
      <c r="B27" s="147">
        <v>67700</v>
      </c>
      <c r="C27" s="148"/>
      <c r="E27" s="81" t="s">
        <v>87</v>
      </c>
      <c r="F27" s="77" t="s">
        <v>40</v>
      </c>
      <c r="G27" s="64">
        <v>0</v>
      </c>
      <c r="H27" s="47">
        <f>IF(B$25=0,0,G27/B$25)</f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A28" s="74" t="s">
        <v>163</v>
      </c>
      <c r="B28" s="83">
        <v>0</v>
      </c>
      <c r="C28" s="51">
        <f>IF(B$3=0,0,B28/B$3)</f>
        <v>0</v>
      </c>
      <c r="E28" s="81" t="s">
        <v>89</v>
      </c>
      <c r="F28" s="77" t="s">
        <v>42</v>
      </c>
      <c r="G28" s="64">
        <v>0</v>
      </c>
      <c r="H28" s="47">
        <f>IF(B$25=0,0,G28/B$25)</f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5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5FA06-08E6-47CD-964C-E886F3EC5EC1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161</v>
      </c>
      <c r="B1" s="88" t="s">
        <v>161</v>
      </c>
      <c r="C1" s="88" t="s">
        <v>161</v>
      </c>
      <c r="D1" s="89" t="s">
        <v>161</v>
      </c>
      <c r="E1" s="88" t="s">
        <v>161</v>
      </c>
      <c r="F1" s="88" t="s">
        <v>161</v>
      </c>
      <c r="G1" s="88" t="s">
        <v>161</v>
      </c>
      <c r="H1" s="88" t="s">
        <v>161</v>
      </c>
      <c r="I1" s="88" t="s">
        <v>161</v>
      </c>
      <c r="J1" s="88" t="s">
        <v>161</v>
      </c>
      <c r="K1" s="88" t="s">
        <v>161</v>
      </c>
      <c r="L1" s="88" t="s">
        <v>161</v>
      </c>
      <c r="M1" s="88" t="s">
        <v>161</v>
      </c>
      <c r="N1" s="88" t="s">
        <v>161</v>
      </c>
      <c r="O1" s="88" t="s">
        <v>161</v>
      </c>
      <c r="P1" s="88" t="s">
        <v>161</v>
      </c>
      <c r="Q1" s="88" t="s">
        <v>161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0.8571428571428571</v>
      </c>
      <c r="N4" s="85">
        <v>0</v>
      </c>
      <c r="O4" s="85">
        <v>0.33333333333333331</v>
      </c>
      <c r="P4" s="85">
        <v>0</v>
      </c>
      <c r="Q4" s="85">
        <v>0.5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0.5</v>
      </c>
      <c r="N5" s="85">
        <v>0</v>
      </c>
      <c r="O5" s="85">
        <v>0.2857142857142857</v>
      </c>
      <c r="P5" s="85">
        <v>0</v>
      </c>
      <c r="Q5" s="85">
        <v>0.33333333333333331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4.1666666666666664E-2</v>
      </c>
      <c r="M6" s="85">
        <v>0.54166666666666663</v>
      </c>
      <c r="N6" s="85">
        <v>0</v>
      </c>
      <c r="O6" s="85">
        <v>0.46153846153846156</v>
      </c>
      <c r="P6" s="85">
        <v>0</v>
      </c>
      <c r="Q6" s="85">
        <v>0.16666666666666666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6.8965517241379309E-2</v>
      </c>
      <c r="M7" s="85">
        <v>0.51724137931034486</v>
      </c>
      <c r="N7" s="85">
        <v>0.5</v>
      </c>
      <c r="O7" s="85">
        <v>0.46666666666666667</v>
      </c>
      <c r="P7" s="85">
        <v>0</v>
      </c>
      <c r="Q7" s="85">
        <v>0.16666666666666666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6.0606060606060608E-2</v>
      </c>
      <c r="M8" s="85">
        <v>0.48484848484848486</v>
      </c>
      <c r="N8" s="85">
        <v>0.5</v>
      </c>
      <c r="O8" s="85">
        <v>0.5</v>
      </c>
      <c r="P8" s="85">
        <v>0</v>
      </c>
      <c r="Q8" s="85">
        <v>0.14285714285714285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6.9767441860465115E-2</v>
      </c>
      <c r="M9" s="85">
        <v>0.48837209302325579</v>
      </c>
      <c r="N9" s="85">
        <v>0.33333333333333331</v>
      </c>
      <c r="O9" s="85">
        <v>0.38095238095238093</v>
      </c>
      <c r="P9" s="85">
        <v>0</v>
      </c>
      <c r="Q9" s="85">
        <v>0.1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6.25E-2</v>
      </c>
      <c r="M10" s="85">
        <v>0.47916666666666669</v>
      </c>
      <c r="N10" s="85">
        <v>0.33333333333333331</v>
      </c>
      <c r="O10" s="85">
        <v>0.43478260869565216</v>
      </c>
      <c r="P10" s="85">
        <v>9.0909090909090912E-2</v>
      </c>
      <c r="Q10" s="85">
        <v>0.18181818181818182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7.0175438596491224E-2</v>
      </c>
      <c r="M11" s="85">
        <v>0.43859649122807015</v>
      </c>
      <c r="N11" s="85">
        <v>0.25</v>
      </c>
      <c r="O11" s="85">
        <v>0.4</v>
      </c>
      <c r="P11" s="85">
        <v>8.3333333333333329E-2</v>
      </c>
      <c r="Q11" s="85">
        <v>0.15384615384615385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7.575757575757576E-2</v>
      </c>
      <c r="M12" s="85">
        <v>0.46969696969696972</v>
      </c>
      <c r="N12" s="85">
        <v>0.4</v>
      </c>
      <c r="O12" s="85">
        <v>0.38709677419354838</v>
      </c>
      <c r="P12" s="85">
        <v>6.6666666666666666E-2</v>
      </c>
      <c r="Q12" s="85">
        <v>0.1875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0.10256410256410256</v>
      </c>
      <c r="M13" s="85">
        <v>0.47435897435897434</v>
      </c>
      <c r="N13" s="85">
        <v>0.5</v>
      </c>
      <c r="O13" s="85">
        <v>0.32432432432432434</v>
      </c>
      <c r="P13" s="85">
        <v>0.16666666666666666</v>
      </c>
      <c r="Q13" s="85">
        <v>0.15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9.4117647058823528E-2</v>
      </c>
      <c r="M14" s="85">
        <v>0.47058823529411764</v>
      </c>
      <c r="N14" s="85">
        <v>0.5</v>
      </c>
      <c r="O14" s="85">
        <v>0.3</v>
      </c>
      <c r="P14" s="85">
        <v>0.16666666666666666</v>
      </c>
      <c r="Q14" s="85">
        <v>0.13636363636363635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0.11702127659574468</v>
      </c>
      <c r="M15" s="85">
        <v>0.43617021276595747</v>
      </c>
      <c r="N15" s="85">
        <v>0.54545454545454541</v>
      </c>
      <c r="O15" s="85">
        <v>0.31707317073170732</v>
      </c>
      <c r="P15" s="85">
        <v>0.18181818181818182</v>
      </c>
      <c r="Q15" s="85">
        <v>0.15384615384615385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0.16190476190476191</v>
      </c>
      <c r="M16" s="85">
        <v>0.40952380952380951</v>
      </c>
      <c r="N16" s="85">
        <v>0.58823529411764708</v>
      </c>
      <c r="O16" s="85">
        <v>0.32558139534883723</v>
      </c>
      <c r="P16" s="85">
        <v>0.22222222222222221</v>
      </c>
      <c r="Q16" s="85">
        <v>0.22580645161290322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0.17543859649122806</v>
      </c>
      <c r="M17" s="85">
        <v>0.41228070175438597</v>
      </c>
      <c r="N17" s="85">
        <v>0.6</v>
      </c>
      <c r="O17" s="85">
        <v>0.2978723404255319</v>
      </c>
      <c r="P17" s="85">
        <v>0.2413793103448276</v>
      </c>
      <c r="Q17" s="85">
        <v>0.25714285714285712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0.1864406779661017</v>
      </c>
      <c r="M18" s="85">
        <v>0.39830508474576271</v>
      </c>
      <c r="N18" s="85">
        <v>0.54545454545454541</v>
      </c>
      <c r="O18" s="85">
        <v>0.2978723404255319</v>
      </c>
      <c r="P18" s="85">
        <v>0.2413793103448276</v>
      </c>
      <c r="Q18" s="85">
        <v>0.25714285714285712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0.2</v>
      </c>
      <c r="M19" s="85">
        <v>0.39200000000000002</v>
      </c>
      <c r="N19" s="85">
        <v>0.56000000000000005</v>
      </c>
      <c r="O19" s="85">
        <v>0.30612244897959184</v>
      </c>
      <c r="P19" s="85">
        <v>0.24242424242424243</v>
      </c>
      <c r="Q19" s="85">
        <v>0.27027027027027029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0.19402985074626866</v>
      </c>
      <c r="M20" s="85">
        <v>0.38059701492537312</v>
      </c>
      <c r="N20" s="85">
        <v>0.53846153846153844</v>
      </c>
      <c r="O20" s="85">
        <v>0.33333333333333331</v>
      </c>
      <c r="P20" s="85">
        <v>0.25714285714285712</v>
      </c>
      <c r="Q20" s="85">
        <v>0.27500000000000002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0.18181818181818182</v>
      </c>
      <c r="M21" s="85">
        <v>0.3776223776223776</v>
      </c>
      <c r="N21" s="85">
        <v>0.53846153846153844</v>
      </c>
      <c r="O21" s="85">
        <v>0.33333333333333331</v>
      </c>
      <c r="P21" s="85">
        <v>0.29729729729729731</v>
      </c>
      <c r="Q21" s="85">
        <v>0.26190476190476192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0.17880794701986755</v>
      </c>
      <c r="M22" s="85">
        <v>0.38410596026490068</v>
      </c>
      <c r="N22" s="85">
        <v>0.51851851851851849</v>
      </c>
      <c r="O22" s="85">
        <v>0.36206896551724138</v>
      </c>
      <c r="P22" s="85">
        <v>0.27500000000000002</v>
      </c>
      <c r="Q22" s="85">
        <v>0.26666666666666666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0.16666666666666666</v>
      </c>
      <c r="M23" s="85">
        <v>0.3888888888888889</v>
      </c>
      <c r="N23" s="85">
        <v>0.51851851851851849</v>
      </c>
      <c r="O23" s="85">
        <v>0.33333333333333331</v>
      </c>
      <c r="P23" s="85">
        <v>0.29268292682926828</v>
      </c>
      <c r="Q23" s="85">
        <v>0.27083333333333331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0.15976331360946747</v>
      </c>
      <c r="M24" s="85">
        <v>0.38461538461538464</v>
      </c>
      <c r="N24" s="85">
        <v>0.51851851851851849</v>
      </c>
      <c r="O24" s="85">
        <v>0.32307692307692309</v>
      </c>
      <c r="P24" s="85">
        <v>0.29268292682926828</v>
      </c>
      <c r="Q24" s="85">
        <v>0.26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0.15819209039548024</v>
      </c>
      <c r="M25" s="85">
        <v>0.38983050847457629</v>
      </c>
      <c r="N25" s="85">
        <v>0.5</v>
      </c>
      <c r="O25" s="85">
        <v>0.3188405797101449</v>
      </c>
      <c r="P25" s="85">
        <v>0.2857142857142857</v>
      </c>
      <c r="Q25" s="85">
        <v>0.24528301886792453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0.15135135135135136</v>
      </c>
      <c r="M26" s="85">
        <v>0.38918918918918921</v>
      </c>
      <c r="N26" s="85">
        <v>0.5</v>
      </c>
      <c r="O26" s="85">
        <v>0.31944444444444442</v>
      </c>
      <c r="P26" s="85">
        <v>0.27906976744186046</v>
      </c>
      <c r="Q26" s="85">
        <v>0.23636363636363636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0.15183246073298429</v>
      </c>
      <c r="M27" s="85">
        <v>0.39267015706806285</v>
      </c>
      <c r="N27" s="85">
        <v>0.48275862068965519</v>
      </c>
      <c r="O27" s="85">
        <v>0.32</v>
      </c>
      <c r="P27" s="85">
        <v>0.29545454545454547</v>
      </c>
      <c r="Q27" s="85">
        <v>0.23214285714285715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0.15306122448979592</v>
      </c>
      <c r="M28" s="85">
        <v>0.38775510204081631</v>
      </c>
      <c r="N28" s="85">
        <v>0.46666666666666667</v>
      </c>
      <c r="O28" s="85">
        <v>0.31578947368421051</v>
      </c>
      <c r="P28" s="85">
        <v>0.29545454545454547</v>
      </c>
      <c r="Q28" s="85">
        <v>0.22807017543859648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AB3D1-1C35-4CB9-B84A-F51142A76DAD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198</v>
      </c>
      <c r="B1" s="88" t="s">
        <v>198</v>
      </c>
      <c r="C1" s="88" t="s">
        <v>198</v>
      </c>
      <c r="D1" s="89" t="s">
        <v>198</v>
      </c>
      <c r="E1" s="88" t="s">
        <v>198</v>
      </c>
      <c r="F1" s="88" t="s">
        <v>198</v>
      </c>
      <c r="G1" s="88" t="s">
        <v>198</v>
      </c>
      <c r="H1" s="88" t="s">
        <v>198</v>
      </c>
      <c r="I1" s="88" t="s">
        <v>198</v>
      </c>
      <c r="J1" s="88" t="s">
        <v>198</v>
      </c>
      <c r="K1" s="88" t="s">
        <v>198</v>
      </c>
      <c r="L1" s="88" t="s">
        <v>198</v>
      </c>
      <c r="M1" s="88" t="s">
        <v>198</v>
      </c>
      <c r="N1" s="88" t="s">
        <v>198</v>
      </c>
      <c r="O1" s="88" t="s">
        <v>198</v>
      </c>
      <c r="P1" s="88" t="s">
        <v>198</v>
      </c>
      <c r="Q1" s="88" t="s">
        <v>198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0.45454545454545453</v>
      </c>
      <c r="M4" s="85">
        <v>0.18181818181818182</v>
      </c>
      <c r="N4" s="85">
        <v>0.8</v>
      </c>
      <c r="O4" s="85">
        <v>0.5</v>
      </c>
      <c r="P4" s="85">
        <v>0.16666666666666666</v>
      </c>
      <c r="Q4" s="85">
        <v>0.66666666666666663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0.5714285714285714</v>
      </c>
      <c r="M5" s="85">
        <v>0.14285714285714285</v>
      </c>
      <c r="N5" s="85">
        <v>0.75</v>
      </c>
      <c r="O5" s="85">
        <v>0.5</v>
      </c>
      <c r="P5" s="85">
        <v>0.125</v>
      </c>
      <c r="Q5" s="85">
        <v>0.7142857142857143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0.48148148148148145</v>
      </c>
      <c r="M6" s="85">
        <v>0.14814814814814814</v>
      </c>
      <c r="N6" s="85">
        <v>0.69230769230769229</v>
      </c>
      <c r="O6" s="85">
        <v>0.25</v>
      </c>
      <c r="P6" s="85">
        <v>0.18181818181818182</v>
      </c>
      <c r="Q6" s="85">
        <v>0.54545454545454541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0.43243243243243246</v>
      </c>
      <c r="M7" s="85">
        <v>0.13513513513513514</v>
      </c>
      <c r="N7" s="85">
        <v>0.6875</v>
      </c>
      <c r="O7" s="85">
        <v>0.4</v>
      </c>
      <c r="P7" s="85">
        <v>0.26666666666666666</v>
      </c>
      <c r="Q7" s="85">
        <v>0.46153846153846156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0.43478260869565216</v>
      </c>
      <c r="M8" s="85">
        <v>0.13043478260869565</v>
      </c>
      <c r="N8" s="85">
        <v>0.6</v>
      </c>
      <c r="O8" s="85">
        <v>0.5</v>
      </c>
      <c r="P8" s="85">
        <v>0.27777777777777779</v>
      </c>
      <c r="Q8" s="85">
        <v>0.46666666666666667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0.42</v>
      </c>
      <c r="M9" s="85">
        <v>0.12</v>
      </c>
      <c r="N9" s="85">
        <v>0.61904761904761907</v>
      </c>
      <c r="O9" s="85">
        <v>0.5</v>
      </c>
      <c r="P9" s="85">
        <v>0.31578947368421051</v>
      </c>
      <c r="Q9" s="85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06551-8CD0-4FA8-8A6E-9621BABFB584}">
  <sheetPr codeName="Sheet26"/>
  <dimension ref="A1:Q9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P4" s="85">
        <v>0.4</v>
      </c>
      <c r="Q4" s="85">
        <v>0.5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P5" s="85">
        <v>0.5</v>
      </c>
      <c r="Q5" s="85">
        <v>0.33333333333333331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P6" s="85">
        <v>0.42857142857142855</v>
      </c>
      <c r="Q6" s="85">
        <v>0.25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P7" s="85">
        <v>0.5</v>
      </c>
      <c r="Q7" s="85">
        <v>0.3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P8" s="85">
        <v>0.5</v>
      </c>
      <c r="Q8" s="85">
        <v>0.3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P9" s="85">
        <v>0.5</v>
      </c>
      <c r="Q9" s="85">
        <v>0.3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P10" s="85">
        <v>0.5</v>
      </c>
      <c r="Q10" s="85">
        <v>0.3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0.42857142857142855</v>
      </c>
      <c r="M11" s="85">
        <v>0.14285714285714285</v>
      </c>
      <c r="N11" s="85">
        <v>0.33333333333333331</v>
      </c>
      <c r="O11" s="85">
        <v>0</v>
      </c>
      <c r="P11" s="85">
        <v>0.5</v>
      </c>
      <c r="Q11" s="85">
        <v>0.27272727272727271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0.33333333333333331</v>
      </c>
      <c r="M12" s="85">
        <v>0.13333333333333333</v>
      </c>
      <c r="N12" s="85">
        <v>0.6</v>
      </c>
      <c r="O12" s="85">
        <v>0.5</v>
      </c>
      <c r="P12" s="85">
        <v>0.53333333333333333</v>
      </c>
      <c r="Q12" s="85">
        <v>0.33333333333333331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0.2608695652173913</v>
      </c>
      <c r="M13" s="85">
        <v>0.21739130434782608</v>
      </c>
      <c r="N13" s="85">
        <v>0.5</v>
      </c>
      <c r="O13" s="85">
        <v>0.2</v>
      </c>
      <c r="P13" s="85">
        <v>0.53333333333333333</v>
      </c>
      <c r="Q13" s="85">
        <v>0.29411764705882354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0.25806451612903225</v>
      </c>
      <c r="M14" s="85">
        <v>0.22580645161290322</v>
      </c>
      <c r="N14" s="85">
        <v>0.5</v>
      </c>
      <c r="O14" s="85">
        <v>0.14285714285714285</v>
      </c>
      <c r="P14" s="85">
        <v>0.58823529411764708</v>
      </c>
      <c r="Q14" s="85">
        <v>0.31578947368421051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0.27906976744186046</v>
      </c>
      <c r="M15" s="85">
        <v>0.20930232558139536</v>
      </c>
      <c r="N15" s="85">
        <v>0.41666666666666669</v>
      </c>
      <c r="O15" s="85">
        <v>0.1111111111111111</v>
      </c>
      <c r="P15" s="85">
        <v>0.61111111111111116</v>
      </c>
      <c r="Q15" s="85">
        <v>0.31818181818181818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0.2857142857142857</v>
      </c>
      <c r="M16" s="85">
        <v>0.19642857142857142</v>
      </c>
      <c r="N16" s="85">
        <v>0.375</v>
      </c>
      <c r="O16" s="85">
        <v>0.18181818181818182</v>
      </c>
      <c r="P16" s="85">
        <v>0.5714285714285714</v>
      </c>
      <c r="Q16" s="85">
        <v>0.36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0.27868852459016391</v>
      </c>
      <c r="M17" s="85">
        <v>0.21311475409836064</v>
      </c>
      <c r="N17" s="85">
        <v>0.41176470588235292</v>
      </c>
      <c r="O17" s="85">
        <v>0.15384615384615385</v>
      </c>
      <c r="P17" s="85">
        <v>0.59090909090909094</v>
      </c>
      <c r="Q17" s="85">
        <v>0.35714285714285715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0.28985507246376813</v>
      </c>
      <c r="M18" s="85">
        <v>0.21739130434782608</v>
      </c>
      <c r="N18" s="85">
        <v>0.5</v>
      </c>
      <c r="O18" s="85">
        <v>0.13333333333333333</v>
      </c>
      <c r="P18" s="85">
        <v>0.6</v>
      </c>
      <c r="Q18" s="85">
        <v>0.34482758620689657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0.27272727272727271</v>
      </c>
      <c r="M19" s="85">
        <v>0.20779220779220781</v>
      </c>
      <c r="N19" s="85">
        <v>0.52380952380952384</v>
      </c>
      <c r="O19" s="85">
        <v>0.125</v>
      </c>
      <c r="P19" s="85">
        <v>0.57692307692307687</v>
      </c>
      <c r="Q19" s="85">
        <v>0.3125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0.25609756097560976</v>
      </c>
      <c r="M20" s="85">
        <v>0.21951219512195122</v>
      </c>
      <c r="N20" s="85">
        <v>0.52380952380952384</v>
      </c>
      <c r="O20" s="85">
        <v>0.1111111111111111</v>
      </c>
      <c r="P20" s="85">
        <v>0.59259259259259256</v>
      </c>
      <c r="Q20" s="85">
        <v>0.31428571428571428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0.23958333333333334</v>
      </c>
      <c r="M21" s="85">
        <v>0.21875</v>
      </c>
      <c r="N21" s="85">
        <v>0.52173913043478259</v>
      </c>
      <c r="O21" s="85">
        <v>0.14285714285714285</v>
      </c>
      <c r="P21" s="85">
        <v>0.58620689655172409</v>
      </c>
      <c r="Q21" s="85">
        <v>0.31578947368421051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0.24038461538461539</v>
      </c>
      <c r="M22" s="85">
        <v>0.22115384615384615</v>
      </c>
      <c r="N22" s="85">
        <v>0.56000000000000005</v>
      </c>
      <c r="O22" s="85">
        <v>0.21739130434782608</v>
      </c>
      <c r="P22" s="85">
        <v>0.5757575757575758</v>
      </c>
      <c r="Q22" s="85">
        <v>0.3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0.22413793103448276</v>
      </c>
      <c r="M23" s="85">
        <v>0.23275862068965517</v>
      </c>
      <c r="N23" s="85">
        <v>0.53846153846153844</v>
      </c>
      <c r="O23" s="85">
        <v>0.29629629629629628</v>
      </c>
      <c r="P23" s="85">
        <v>0.56756756756756754</v>
      </c>
      <c r="Q23" s="85">
        <v>0.2857142857142857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0.22764227642276422</v>
      </c>
      <c r="M24" s="85">
        <v>0.22764227642276422</v>
      </c>
      <c r="N24" s="85">
        <v>0.5714285714285714</v>
      </c>
      <c r="O24" s="85">
        <v>0.32142857142857145</v>
      </c>
      <c r="P24" s="85">
        <v>0.52500000000000002</v>
      </c>
      <c r="Q24" s="85">
        <v>0.29545454545454547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0.22727272727272727</v>
      </c>
      <c r="M25" s="85">
        <v>0.23484848484848486</v>
      </c>
      <c r="N25" s="85">
        <v>0.6</v>
      </c>
      <c r="O25" s="85">
        <v>0.35483870967741937</v>
      </c>
      <c r="P25" s="85">
        <v>0.53333333333333333</v>
      </c>
      <c r="Q25" s="85">
        <v>0.33333333333333331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0.23571428571428571</v>
      </c>
      <c r="M26" s="85">
        <v>0.24285714285714285</v>
      </c>
      <c r="N26" s="85">
        <v>0.5757575757575758</v>
      </c>
      <c r="O26" s="85">
        <v>0.35294117647058826</v>
      </c>
      <c r="P26" s="85">
        <v>0.53191489361702127</v>
      </c>
      <c r="Q26" s="85">
        <v>0.33333333333333331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0.25827814569536423</v>
      </c>
      <c r="M27" s="85">
        <v>0.2251655629139073</v>
      </c>
      <c r="N27" s="85">
        <v>0.61538461538461542</v>
      </c>
      <c r="O27" s="85">
        <v>0.35294117647058826</v>
      </c>
      <c r="P27" s="85">
        <v>0.51923076923076927</v>
      </c>
      <c r="Q27" s="85">
        <v>0.36842105263157893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0.24223602484472051</v>
      </c>
      <c r="M28" s="85">
        <v>0.22981366459627328</v>
      </c>
      <c r="N28" s="85">
        <v>0.61538461538461542</v>
      </c>
      <c r="O28" s="85">
        <v>0.3783783783783784</v>
      </c>
      <c r="P28" s="85">
        <v>0.5</v>
      </c>
      <c r="Q28" s="85">
        <v>0.3559322033898305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0.23809523809523808</v>
      </c>
      <c r="M29" s="85">
        <v>0.23214285714285715</v>
      </c>
      <c r="N29" s="85">
        <v>0.625</v>
      </c>
      <c r="O29" s="85">
        <v>0.35897435897435898</v>
      </c>
      <c r="P29" s="85">
        <v>0.49090909090909091</v>
      </c>
      <c r="Q29" s="85">
        <v>0.34426229508196721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0.23976608187134502</v>
      </c>
      <c r="M30" s="85">
        <v>0.22807017543859648</v>
      </c>
      <c r="N30" s="85">
        <v>0.6097560975609756</v>
      </c>
      <c r="O30" s="85">
        <v>0.35897435897435898</v>
      </c>
      <c r="P30" s="85">
        <v>0.49090909090909091</v>
      </c>
      <c r="Q30" s="85">
        <v>0.33870967741935482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0.25139664804469275</v>
      </c>
      <c r="M31" s="85">
        <v>0.24022346368715083</v>
      </c>
      <c r="N31" s="85">
        <v>0.6</v>
      </c>
      <c r="O31" s="85">
        <v>0.34883720930232559</v>
      </c>
      <c r="P31" s="85">
        <v>0.48275862068965519</v>
      </c>
      <c r="Q31" s="85">
        <v>0.33846153846153848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0.26486486486486488</v>
      </c>
      <c r="M32" s="85">
        <v>0.23243243243243245</v>
      </c>
      <c r="N32" s="85">
        <v>0.63265306122448983</v>
      </c>
      <c r="O32" s="85">
        <v>0.34883720930232559</v>
      </c>
      <c r="P32" s="85">
        <v>0.5</v>
      </c>
      <c r="Q32" s="85">
        <v>0.36231884057971014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0.26178010471204188</v>
      </c>
      <c r="M33" s="85">
        <v>0.22513089005235601</v>
      </c>
      <c r="N33" s="85">
        <v>0.62</v>
      </c>
      <c r="O33" s="85">
        <v>0.34883720930232559</v>
      </c>
      <c r="P33" s="85">
        <v>0.5</v>
      </c>
      <c r="Q33" s="85">
        <v>0.352112676056338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0.25742574257425743</v>
      </c>
      <c r="M34" s="85">
        <v>0.21782178217821782</v>
      </c>
      <c r="N34" s="85">
        <v>0.63461538461538458</v>
      </c>
      <c r="O34" s="85">
        <v>0.36363636363636365</v>
      </c>
      <c r="P34" s="85">
        <v>0.49230769230769234</v>
      </c>
      <c r="Q34" s="85">
        <v>0.34246575342465752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0.25490196078431371</v>
      </c>
      <c r="M35" s="85">
        <v>0.21568627450980393</v>
      </c>
      <c r="N35" s="85">
        <v>0.63461538461538458</v>
      </c>
      <c r="O35" s="85">
        <v>0.36363636363636365</v>
      </c>
      <c r="P35" s="85">
        <v>0.49230769230769234</v>
      </c>
      <c r="Q35" s="85">
        <v>0.34246575342465752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0.25592417061611372</v>
      </c>
      <c r="M36" s="85">
        <v>0.2132701421800948</v>
      </c>
      <c r="N36" s="85">
        <v>0.62962962962962965</v>
      </c>
      <c r="O36" s="85">
        <v>0.35555555555555557</v>
      </c>
      <c r="P36" s="85">
        <v>0.5</v>
      </c>
      <c r="Q36" s="85">
        <v>0.33333333333333331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0.26363636363636361</v>
      </c>
      <c r="M37" s="85">
        <v>0.20909090909090908</v>
      </c>
      <c r="N37" s="85">
        <v>0.60344827586206895</v>
      </c>
      <c r="O37" s="85">
        <v>0.34782608695652173</v>
      </c>
      <c r="P37" s="85">
        <v>0.48529411764705882</v>
      </c>
      <c r="Q37" s="85">
        <v>0.33333333333333331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0.26106194690265488</v>
      </c>
      <c r="M38" s="85">
        <v>0.21238938053097345</v>
      </c>
      <c r="N38" s="85">
        <v>0.61016949152542377</v>
      </c>
      <c r="O38" s="85">
        <v>0.33333333333333331</v>
      </c>
      <c r="P38" s="85">
        <v>0.47826086956521741</v>
      </c>
      <c r="Q38" s="85">
        <v>0.32911392405063289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0.25847457627118642</v>
      </c>
      <c r="M39" s="85">
        <v>0.22033898305084745</v>
      </c>
      <c r="N39" s="85">
        <v>0.5901639344262295</v>
      </c>
      <c r="O39" s="85">
        <v>0.34615384615384615</v>
      </c>
      <c r="P39" s="85">
        <v>0.47222222222222221</v>
      </c>
      <c r="Q39" s="85">
        <v>0.32926829268292684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0.26141078838174275</v>
      </c>
      <c r="M40" s="85">
        <v>0.21576763485477179</v>
      </c>
      <c r="N40" s="85">
        <v>0.5714285714285714</v>
      </c>
      <c r="O40" s="85">
        <v>0.34615384615384615</v>
      </c>
      <c r="P40" s="85">
        <v>0.47222222222222221</v>
      </c>
      <c r="Q40" s="85">
        <v>0.3253012048192771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0.26400000000000001</v>
      </c>
      <c r="M41" s="85">
        <v>0.20799999999999999</v>
      </c>
      <c r="N41" s="85">
        <v>0.59090909090909094</v>
      </c>
      <c r="O41" s="85">
        <v>0.34615384615384615</v>
      </c>
      <c r="P41" s="85">
        <v>0.48</v>
      </c>
      <c r="Q41" s="85">
        <v>0.32558139534883723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0.2734375</v>
      </c>
      <c r="M42" s="85">
        <v>0.20703125</v>
      </c>
      <c r="N42" s="85">
        <v>0.6</v>
      </c>
      <c r="O42" s="85">
        <v>0.33962264150943394</v>
      </c>
      <c r="P42" s="85">
        <v>0.46153846153846156</v>
      </c>
      <c r="Q42" s="85">
        <v>0.31818181818181818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0.27547169811320754</v>
      </c>
      <c r="M43" s="85">
        <v>0.21509433962264152</v>
      </c>
      <c r="N43" s="85">
        <v>0.60273972602739723</v>
      </c>
      <c r="O43" s="85">
        <v>0.33333333333333331</v>
      </c>
      <c r="P43" s="85">
        <v>0.46913580246913578</v>
      </c>
      <c r="Q43" s="85">
        <v>0.32608695652173914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0.27407407407407408</v>
      </c>
      <c r="M44" s="85">
        <v>0.21481481481481482</v>
      </c>
      <c r="N44" s="85">
        <v>0.60810810810810811</v>
      </c>
      <c r="O44" s="85">
        <v>0.32758620689655171</v>
      </c>
      <c r="P44" s="85">
        <v>0.46987951807228917</v>
      </c>
      <c r="Q44" s="85">
        <v>0.32978723404255317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0.27272727272727271</v>
      </c>
      <c r="M45" s="85">
        <v>0.21454545454545454</v>
      </c>
      <c r="N45" s="85">
        <v>0.61333333333333329</v>
      </c>
      <c r="O45" s="85">
        <v>0.32203389830508472</v>
      </c>
      <c r="P45" s="85">
        <v>0.47619047619047616</v>
      </c>
      <c r="Q45" s="85">
        <v>0.32631578947368423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0.27598566308243727</v>
      </c>
      <c r="M46" s="85">
        <v>0.21863799283154123</v>
      </c>
      <c r="N46" s="85">
        <v>0.62337662337662336</v>
      </c>
      <c r="O46" s="85">
        <v>0.34426229508196721</v>
      </c>
      <c r="P46" s="85">
        <v>0.47727272727272729</v>
      </c>
      <c r="Q46" s="85">
        <v>0.34693877551020408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0.28027681660899656</v>
      </c>
      <c r="M47" s="85">
        <v>0.22491349480968859</v>
      </c>
      <c r="N47" s="85">
        <v>0.62962962962962965</v>
      </c>
      <c r="O47" s="85">
        <v>0.36923076923076925</v>
      </c>
      <c r="P47" s="85">
        <v>0.45744680851063829</v>
      </c>
      <c r="Q47" s="85">
        <v>0.35294117647058826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0.28000000000000003</v>
      </c>
      <c r="M48" s="85">
        <v>0.22666666666666666</v>
      </c>
      <c r="N48" s="85">
        <v>0.6428571428571429</v>
      </c>
      <c r="O48" s="85">
        <v>0.38235294117647056</v>
      </c>
      <c r="P48" s="85">
        <v>0.45454545454545453</v>
      </c>
      <c r="Q48" s="85">
        <v>0.35514018691588783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0.28155339805825241</v>
      </c>
      <c r="M49" s="85">
        <v>0.22653721682847897</v>
      </c>
      <c r="N49" s="85">
        <v>0.62068965517241381</v>
      </c>
      <c r="O49" s="85">
        <v>0.38571428571428573</v>
      </c>
      <c r="P49" s="85">
        <v>0.46</v>
      </c>
      <c r="Q49" s="85">
        <v>0.34862385321100919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0.29153605015673983</v>
      </c>
      <c r="M50" s="85">
        <v>0.21943573667711599</v>
      </c>
      <c r="N50" s="85">
        <v>0.60215053763440862</v>
      </c>
      <c r="O50" s="85">
        <v>0.38571428571428573</v>
      </c>
      <c r="P50" s="85">
        <v>0.44660194174757284</v>
      </c>
      <c r="Q50" s="85">
        <v>0.34513274336283184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0.29357798165137616</v>
      </c>
      <c r="M51" s="85">
        <v>0.22018348623853212</v>
      </c>
      <c r="N51" s="85">
        <v>0.59375</v>
      </c>
      <c r="O51" s="85">
        <v>0.3888888888888889</v>
      </c>
      <c r="P51" s="85">
        <v>0.44761904761904764</v>
      </c>
      <c r="Q51" s="85">
        <v>0.33620689655172414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0.29850746268656714</v>
      </c>
      <c r="M52" s="85">
        <v>0.22089552238805971</v>
      </c>
      <c r="N52" s="85">
        <v>0.57999999999999996</v>
      </c>
      <c r="O52" s="85">
        <v>0.39189189189189189</v>
      </c>
      <c r="P52" s="85">
        <v>0.46296296296296297</v>
      </c>
      <c r="Q52" s="85">
        <v>0.33613445378151263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0.29705882352941176</v>
      </c>
      <c r="M53" s="85">
        <v>0.22058823529411764</v>
      </c>
      <c r="N53" s="85">
        <v>0.57425742574257421</v>
      </c>
      <c r="O53" s="85">
        <v>0.38666666666666666</v>
      </c>
      <c r="P53" s="85">
        <v>0.46296296296296297</v>
      </c>
      <c r="Q53" s="85">
        <v>0.33333333333333331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0.29682997118155618</v>
      </c>
      <c r="M54" s="85">
        <v>0.21902017291066284</v>
      </c>
      <c r="N54" s="85">
        <v>0.58252427184466016</v>
      </c>
      <c r="O54" s="85">
        <v>0.39473684210526316</v>
      </c>
      <c r="P54" s="85">
        <v>0.45945945945945948</v>
      </c>
      <c r="Q54" s="85">
        <v>0.32786885245901637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0.29775280898876405</v>
      </c>
      <c r="M55" s="85">
        <v>0.21629213483146068</v>
      </c>
      <c r="N55" s="85">
        <v>0.58490566037735847</v>
      </c>
      <c r="O55" s="85">
        <v>0.38961038961038963</v>
      </c>
      <c r="P55" s="85">
        <v>0.45132743362831856</v>
      </c>
      <c r="Q55" s="85">
        <v>0.32800000000000001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0.29863013698630136</v>
      </c>
      <c r="M56" s="85">
        <v>0.21369863013698631</v>
      </c>
      <c r="N56" s="85">
        <v>0.59633027522935778</v>
      </c>
      <c r="O56" s="85">
        <v>0.39743589743589741</v>
      </c>
      <c r="P56" s="85">
        <v>0.46153846153846156</v>
      </c>
      <c r="Q56" s="85">
        <v>0.33333333333333331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0.30213903743315507</v>
      </c>
      <c r="M57" s="85">
        <v>0.21390374331550802</v>
      </c>
      <c r="N57" s="85">
        <v>0.59292035398230092</v>
      </c>
      <c r="O57" s="85">
        <v>0.38750000000000001</v>
      </c>
      <c r="P57" s="85">
        <v>0.46218487394957986</v>
      </c>
      <c r="Q57" s="85">
        <v>0.3282442748091603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0.29792746113989638</v>
      </c>
      <c r="M58" s="85">
        <v>0.21502590673575128</v>
      </c>
      <c r="N58" s="85">
        <v>0.59130434782608698</v>
      </c>
      <c r="O58" s="85">
        <v>0.38554216867469882</v>
      </c>
      <c r="P58" s="85">
        <v>0.47107438016528924</v>
      </c>
      <c r="Q58" s="85">
        <v>0.32835820895522388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0.2951653944020356</v>
      </c>
      <c r="M59" s="85">
        <v>0.21882951653944022</v>
      </c>
      <c r="N59" s="85">
        <v>0.59482758620689657</v>
      </c>
      <c r="O59" s="85">
        <v>0.39534883720930231</v>
      </c>
      <c r="P59" s="85">
        <v>0.46774193548387094</v>
      </c>
      <c r="Q59" s="85">
        <v>0.3235294117647059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0.29104477611940299</v>
      </c>
      <c r="M60" s="85">
        <v>0.22139303482587064</v>
      </c>
      <c r="N60" s="85">
        <v>0.58974358974358976</v>
      </c>
      <c r="O60" s="85">
        <v>0.39325842696629215</v>
      </c>
      <c r="P60" s="85">
        <v>0.47199999999999998</v>
      </c>
      <c r="Q60" s="85">
        <v>0.31654676258992803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0.29055690072639223</v>
      </c>
      <c r="M61" s="85">
        <v>0.21791767554479419</v>
      </c>
      <c r="N61" s="85">
        <v>0.58333333333333337</v>
      </c>
      <c r="O61" s="85">
        <v>0.3888888888888889</v>
      </c>
      <c r="P61" s="85">
        <v>0.46825396825396826</v>
      </c>
      <c r="Q61" s="85">
        <v>0.31205673758865249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0.29146919431279622</v>
      </c>
      <c r="M62" s="85">
        <v>0.21800947867298578</v>
      </c>
      <c r="N62" s="85">
        <v>0.5934959349593496</v>
      </c>
      <c r="O62" s="85">
        <v>0.38043478260869568</v>
      </c>
      <c r="P62" s="85">
        <v>0.47286821705426357</v>
      </c>
      <c r="Q62" s="85">
        <v>0.30769230769230771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0.29534883720930233</v>
      </c>
      <c r="M63" s="85">
        <v>0.21860465116279071</v>
      </c>
      <c r="N63" s="85">
        <v>0.59055118110236215</v>
      </c>
      <c r="O63" s="85">
        <v>0.38297872340425532</v>
      </c>
      <c r="P63" s="85">
        <v>0.4621212121212121</v>
      </c>
      <c r="Q63" s="85">
        <v>0.30821917808219179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0.29680365296803651</v>
      </c>
      <c r="M64" s="85">
        <v>0.21917808219178081</v>
      </c>
      <c r="N64" s="85">
        <v>0.57692307692307687</v>
      </c>
      <c r="O64" s="85">
        <v>0.375</v>
      </c>
      <c r="P64" s="85">
        <v>0.46616541353383456</v>
      </c>
      <c r="Q64" s="85">
        <v>0.30405405405405406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0.29464285714285715</v>
      </c>
      <c r="M65" s="85">
        <v>0.21651785714285715</v>
      </c>
      <c r="N65" s="85">
        <v>0.58333333333333337</v>
      </c>
      <c r="O65" s="85">
        <v>0.38144329896907214</v>
      </c>
      <c r="P65" s="85">
        <v>0.47058823529411764</v>
      </c>
      <c r="Q65" s="85">
        <v>0.30463576158940397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0.30434782608695654</v>
      </c>
      <c r="M66" s="85">
        <v>0.21304347826086956</v>
      </c>
      <c r="N66" s="85">
        <v>0.6</v>
      </c>
      <c r="O66" s="85">
        <v>0.37755102040816324</v>
      </c>
      <c r="P66" s="85">
        <v>0.46527777777777779</v>
      </c>
      <c r="Q66" s="85">
        <v>0.32278481012658228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0.30472103004291845</v>
      </c>
      <c r="M67" s="85">
        <v>0.21030042918454936</v>
      </c>
      <c r="N67" s="85">
        <v>0.59859154929577463</v>
      </c>
      <c r="O67" s="85">
        <v>0.37755102040816324</v>
      </c>
      <c r="P67" s="85">
        <v>0.46206896551724136</v>
      </c>
      <c r="Q67" s="85">
        <v>0.31874999999999998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0.30360934182590232</v>
      </c>
      <c r="M68" s="85">
        <v>0.21019108280254778</v>
      </c>
      <c r="N68" s="85">
        <v>0.59440559440559437</v>
      </c>
      <c r="O68" s="85">
        <v>0.37373737373737376</v>
      </c>
      <c r="P68" s="85">
        <v>0.46575342465753422</v>
      </c>
      <c r="Q68" s="85">
        <v>0.31677018633540371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0.30062630480167013</v>
      </c>
      <c r="M69" s="85">
        <v>0.21085594989561587</v>
      </c>
      <c r="N69" s="85">
        <v>0.59027777777777779</v>
      </c>
      <c r="O69" s="85">
        <v>0.36633663366336633</v>
      </c>
      <c r="P69" s="85">
        <v>0.46575342465753422</v>
      </c>
      <c r="Q69" s="85">
        <v>0.31288343558282211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0.29713114754098363</v>
      </c>
      <c r="M70" s="85">
        <v>0.21106557377049182</v>
      </c>
      <c r="N70" s="85">
        <v>0.59310344827586203</v>
      </c>
      <c r="O70" s="85">
        <v>0.35922330097087379</v>
      </c>
      <c r="P70" s="85">
        <v>0.46938775510204084</v>
      </c>
      <c r="Q70" s="85">
        <v>0.30909090909090908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0.29959514170040485</v>
      </c>
      <c r="M71" s="85">
        <v>0.20850202429149797</v>
      </c>
      <c r="N71" s="85">
        <v>0.60135135135135132</v>
      </c>
      <c r="O71" s="85">
        <v>0.35922330097087379</v>
      </c>
      <c r="P71" s="85">
        <v>0.46052631578947367</v>
      </c>
      <c r="Q71" s="85">
        <v>0.32941176470588235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0.30297029702970296</v>
      </c>
      <c r="M72" s="85">
        <v>0.20594059405940593</v>
      </c>
      <c r="N72" s="85">
        <v>0.6143790849673203</v>
      </c>
      <c r="O72" s="85">
        <v>0.36538461538461536</v>
      </c>
      <c r="P72" s="85">
        <v>0.46202531645569622</v>
      </c>
      <c r="Q72" s="85">
        <v>0.33333333333333331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0.3046875</v>
      </c>
      <c r="M73" s="85">
        <v>0.205078125</v>
      </c>
      <c r="N73" s="85">
        <v>0.62179487179487181</v>
      </c>
      <c r="O73" s="85">
        <v>0.37142857142857144</v>
      </c>
      <c r="P73" s="85">
        <v>0.46012269938650308</v>
      </c>
      <c r="Q73" s="85">
        <v>0.33333333333333331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0.30426356589147285</v>
      </c>
      <c r="M74" s="85">
        <v>0.20348837209302326</v>
      </c>
      <c r="N74" s="85">
        <v>0.61783439490445857</v>
      </c>
      <c r="O74" s="85">
        <v>0.37142857142857144</v>
      </c>
      <c r="P74" s="85">
        <v>0.46012269938650308</v>
      </c>
      <c r="Q74" s="85">
        <v>0.33146067415730335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0.30367504835589942</v>
      </c>
      <c r="M75" s="85">
        <v>0.20502901353965183</v>
      </c>
      <c r="N75" s="85">
        <v>0.61783439490445857</v>
      </c>
      <c r="O75" s="85">
        <v>0.36792452830188677</v>
      </c>
      <c r="P75" s="85">
        <v>0.46012269938650308</v>
      </c>
      <c r="Q75" s="85">
        <v>0.33146067415730335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0.30418250950570341</v>
      </c>
      <c r="M76" s="85">
        <v>0.20532319391634982</v>
      </c>
      <c r="N76" s="85">
        <v>0.625</v>
      </c>
      <c r="O76" s="85">
        <v>0.3611111111111111</v>
      </c>
      <c r="P76" s="85">
        <v>0.46385542168674698</v>
      </c>
      <c r="Q76" s="85">
        <v>0.32777777777777778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0.30524344569288392</v>
      </c>
      <c r="M77" s="85">
        <v>0.20411985018726592</v>
      </c>
      <c r="N77" s="85">
        <v>0.62576687116564422</v>
      </c>
      <c r="O77" s="85">
        <v>0.3669724770642202</v>
      </c>
      <c r="P77" s="85">
        <v>0.46153846153846156</v>
      </c>
      <c r="Q77" s="85">
        <v>0.32967032967032966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0.30868761552680224</v>
      </c>
      <c r="M78" s="85">
        <v>0.20517560073937152</v>
      </c>
      <c r="N78" s="85">
        <v>0.61676646706586824</v>
      </c>
      <c r="O78" s="85">
        <v>0.36036036036036034</v>
      </c>
      <c r="P78" s="85">
        <v>0.45882352941176469</v>
      </c>
      <c r="Q78" s="85">
        <v>0.32608695652173914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0.31034482758620691</v>
      </c>
      <c r="M79" s="85">
        <v>0.20689655172413793</v>
      </c>
      <c r="N79" s="85">
        <v>0.6257309941520468</v>
      </c>
      <c r="O79" s="85">
        <v>0.35964912280701755</v>
      </c>
      <c r="P79" s="85">
        <v>0.45714285714285713</v>
      </c>
      <c r="Q79" s="85">
        <v>0.33333333333333331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0.30948121645796062</v>
      </c>
      <c r="M80" s="85">
        <v>0.2075134168157424</v>
      </c>
      <c r="N80" s="85">
        <v>0.62427745664739887</v>
      </c>
      <c r="O80" s="85">
        <v>0.35344827586206895</v>
      </c>
      <c r="P80" s="85">
        <v>0.45454545454545453</v>
      </c>
      <c r="Q80" s="85">
        <v>0.328125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0.31040564373897706</v>
      </c>
      <c r="M81" s="85">
        <v>0.20987654320987653</v>
      </c>
      <c r="N81" s="85">
        <v>0.61931818181818177</v>
      </c>
      <c r="O81" s="85">
        <v>0.35294117647058826</v>
      </c>
      <c r="P81" s="85">
        <v>0.4606741573033708</v>
      </c>
      <c r="Q81" s="85">
        <v>0.32474226804123713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0.30608695652173912</v>
      </c>
      <c r="M82" s="85">
        <v>0.20869565217391303</v>
      </c>
      <c r="N82" s="85">
        <v>0.61931818181818177</v>
      </c>
      <c r="O82" s="85">
        <v>0.35833333333333334</v>
      </c>
      <c r="P82" s="85">
        <v>0.46666666666666667</v>
      </c>
      <c r="Q82" s="85">
        <v>0.32487309644670048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0.30636833046471601</v>
      </c>
      <c r="M83" s="85">
        <v>0.20826161790017211</v>
      </c>
      <c r="N83" s="85">
        <v>0.61235955056179781</v>
      </c>
      <c r="O83" s="85">
        <v>0.35537190082644626</v>
      </c>
      <c r="P83" s="85">
        <v>0.46961325966850831</v>
      </c>
      <c r="Q83" s="85">
        <v>0.32500000000000001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0.30716723549488056</v>
      </c>
      <c r="M84" s="85">
        <v>0.20989761092150169</v>
      </c>
      <c r="N84" s="85">
        <v>0.6166666666666667</v>
      </c>
      <c r="O84" s="85">
        <v>0.36585365853658536</v>
      </c>
      <c r="P84" s="85">
        <v>0.4702702702702703</v>
      </c>
      <c r="Q84" s="85">
        <v>0.3316831683168317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0.30847457627118646</v>
      </c>
      <c r="M85" s="85">
        <v>0.20847457627118643</v>
      </c>
      <c r="N85" s="85">
        <v>0.61538461538461542</v>
      </c>
      <c r="O85" s="85">
        <v>0.36585365853658536</v>
      </c>
      <c r="P85" s="85">
        <v>0.4731182795698925</v>
      </c>
      <c r="Q85" s="85">
        <v>0.33497536945812806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0.30897009966777411</v>
      </c>
      <c r="M86" s="85">
        <v>0.20764119601328904</v>
      </c>
      <c r="N86" s="85">
        <v>0.60752688172043012</v>
      </c>
      <c r="O86" s="85">
        <v>0.376</v>
      </c>
      <c r="P86" s="85">
        <v>0.46560846560846558</v>
      </c>
      <c r="Q86" s="85">
        <v>0.33816425120772947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0.31198686371100165</v>
      </c>
      <c r="M87" s="85">
        <v>0.20689655172413793</v>
      </c>
      <c r="N87" s="85">
        <v>0.60526315789473684</v>
      </c>
      <c r="O87" s="85">
        <v>0.38095238095238093</v>
      </c>
      <c r="P87" s="85">
        <v>0.46354166666666669</v>
      </c>
      <c r="Q87" s="85">
        <v>0.3349282296650718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0.31168831168831168</v>
      </c>
      <c r="M88" s="85">
        <v>0.20779220779220781</v>
      </c>
      <c r="N88" s="85">
        <v>0.59895833333333337</v>
      </c>
      <c r="O88" s="85">
        <v>0.3828125</v>
      </c>
      <c r="P88" s="85">
        <v>0.46113989637305697</v>
      </c>
      <c r="Q88" s="85">
        <v>0.33175355450236965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0.3108974358974359</v>
      </c>
      <c r="M89" s="85">
        <v>0.20673076923076922</v>
      </c>
      <c r="N89" s="85">
        <v>0.59793814432989689</v>
      </c>
      <c r="O89" s="85">
        <v>0.37984496124031009</v>
      </c>
      <c r="P89" s="85">
        <v>0.45876288659793812</v>
      </c>
      <c r="Q89" s="85">
        <v>0.32863849765258218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0.310126582278481</v>
      </c>
      <c r="M90" s="85">
        <v>0.20886075949367089</v>
      </c>
      <c r="N90" s="85">
        <v>0.59693877551020413</v>
      </c>
      <c r="O90" s="85">
        <v>0.37121212121212122</v>
      </c>
      <c r="P90" s="85">
        <v>0.46153846153846156</v>
      </c>
      <c r="Q90" s="85">
        <v>0.32870370370370372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0.30866141732283464</v>
      </c>
      <c r="M91" s="85">
        <v>0.20787401574803149</v>
      </c>
      <c r="N91" s="85">
        <v>0.59693877551020413</v>
      </c>
      <c r="O91" s="85">
        <v>0.37121212121212122</v>
      </c>
      <c r="P91" s="85">
        <v>0.46153846153846156</v>
      </c>
      <c r="Q91" s="85">
        <v>0.32718894009216593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0.30697674418604654</v>
      </c>
      <c r="M92" s="85">
        <v>0.20775193798449612</v>
      </c>
      <c r="N92" s="85">
        <v>0.59090909090909094</v>
      </c>
      <c r="O92" s="85">
        <v>0.36567164179104478</v>
      </c>
      <c r="P92" s="85">
        <v>0.46153846153846156</v>
      </c>
      <c r="Q92" s="85">
        <v>0.32272727272727275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0.30934150076569678</v>
      </c>
      <c r="M93" s="85">
        <v>0.20826952526799389</v>
      </c>
      <c r="N93" s="85">
        <v>0.58910891089108908</v>
      </c>
      <c r="O93" s="85">
        <v>0.36764705882352944</v>
      </c>
      <c r="P93" s="85">
        <v>0.457286432160804</v>
      </c>
      <c r="Q93" s="85">
        <v>0.32589285714285715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36F3D-19B5-4EFB-BF2B-D4D08E693A8C}">
  <sheetPr codeName="Sheet24"/>
  <dimension ref="A1:Q2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P4" s="85">
        <v>1</v>
      </c>
      <c r="Q4" s="85">
        <v>0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P5" s="85">
        <v>1</v>
      </c>
      <c r="Q5" s="85">
        <v>0.5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P6" s="85">
        <v>0.8</v>
      </c>
      <c r="Q6" s="85">
        <v>0.42857142857142855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P7" s="85">
        <v>0.8</v>
      </c>
      <c r="Q7" s="85">
        <v>0.42857142857142855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P8" s="85">
        <v>0.8</v>
      </c>
      <c r="Q8" s="85">
        <v>0.5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P9" s="85">
        <v>0.69230769230769229</v>
      </c>
      <c r="Q9" s="85">
        <v>0.46666666666666667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P10" s="85">
        <v>0.625</v>
      </c>
      <c r="Q10" s="85">
        <v>0.42105263157894735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P11" s="85">
        <v>0.58823529411764708</v>
      </c>
      <c r="Q11" s="85">
        <v>0.42857142857142855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P12" s="85">
        <v>0.55555555555555558</v>
      </c>
      <c r="Q12" s="85">
        <v>0.42857142857142855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P13" s="85">
        <v>0.5</v>
      </c>
      <c r="Q13" s="85">
        <v>0.52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P14" s="85">
        <v>0.48</v>
      </c>
      <c r="Q14" s="85">
        <v>0.48148148148148145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P15" s="85">
        <v>0.4642857142857143</v>
      </c>
      <c r="Q15" s="85">
        <v>0.45454545454545453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0.33333333333333331</v>
      </c>
      <c r="M16" s="85">
        <v>0.16666666666666666</v>
      </c>
      <c r="N16" s="85">
        <v>1</v>
      </c>
      <c r="O16" s="85">
        <v>1</v>
      </c>
      <c r="P16" s="85">
        <v>0.46875</v>
      </c>
      <c r="Q16" s="85">
        <v>0.51351351351351349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0.25</v>
      </c>
      <c r="M17" s="85">
        <v>0.375</v>
      </c>
      <c r="N17" s="85">
        <v>0.5</v>
      </c>
      <c r="O17" s="85">
        <v>0.33333333333333331</v>
      </c>
      <c r="P17" s="85">
        <v>0.47058823529411764</v>
      </c>
      <c r="Q17" s="85">
        <v>0.5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0.2608695652173913</v>
      </c>
      <c r="M18" s="85">
        <v>0.30434782608695654</v>
      </c>
      <c r="N18" s="85">
        <v>0.5</v>
      </c>
      <c r="O18" s="85">
        <v>0.2857142857142857</v>
      </c>
      <c r="P18" s="85">
        <v>0.45714285714285713</v>
      </c>
      <c r="Q18" s="85">
        <v>0.48837209302325579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0.30303030303030304</v>
      </c>
      <c r="M19" s="85">
        <v>0.24242424242424243</v>
      </c>
      <c r="N19" s="85">
        <v>0.7</v>
      </c>
      <c r="O19" s="85">
        <v>0.25</v>
      </c>
      <c r="P19" s="85">
        <v>0.48717948717948717</v>
      </c>
      <c r="Q19" s="85">
        <v>0.47826086956521741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0.30232558139534882</v>
      </c>
      <c r="M20" s="85">
        <v>0.27906976744186046</v>
      </c>
      <c r="N20" s="85">
        <v>0.76923076923076927</v>
      </c>
      <c r="O20" s="85">
        <v>0.25</v>
      </c>
      <c r="P20" s="85">
        <v>0.46511627906976744</v>
      </c>
      <c r="Q20" s="85">
        <v>0.47058823529411764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0.33333333333333331</v>
      </c>
      <c r="M21" s="85">
        <v>0.27777777777777779</v>
      </c>
      <c r="N21" s="85">
        <v>0.61111111111111116</v>
      </c>
      <c r="O21" s="85">
        <v>0.2</v>
      </c>
      <c r="P21" s="85">
        <v>0.44444444444444442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0.38805970149253732</v>
      </c>
      <c r="M22" s="85">
        <v>0.22388059701492538</v>
      </c>
      <c r="N22" s="85">
        <v>0.53846153846153844</v>
      </c>
      <c r="O22" s="85">
        <v>0.2</v>
      </c>
      <c r="P22" s="85">
        <v>0.4375</v>
      </c>
      <c r="Q22" s="85">
        <v>0.44827586206896552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0.36</v>
      </c>
      <c r="M23" s="85">
        <v>0.22666666666666666</v>
      </c>
      <c r="N23" s="85">
        <v>0.55555555555555558</v>
      </c>
      <c r="O23" s="85">
        <v>0.17647058823529413</v>
      </c>
      <c r="P23" s="85">
        <v>0.44</v>
      </c>
      <c r="Q23" s="85">
        <v>0.44262295081967212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0.37647058823529411</v>
      </c>
      <c r="M24" s="85">
        <v>0.22352941176470589</v>
      </c>
      <c r="N24" s="85">
        <v>0.5</v>
      </c>
      <c r="O24" s="85">
        <v>0.15789473684210525</v>
      </c>
      <c r="P24" s="85">
        <v>0.45098039215686275</v>
      </c>
      <c r="Q24" s="85">
        <v>0.42424242424242425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0.34408602150537637</v>
      </c>
      <c r="M25" s="85">
        <v>0.22580645161290322</v>
      </c>
      <c r="N25" s="85">
        <v>0.5</v>
      </c>
      <c r="O25" s="85">
        <v>0.14285714285714285</v>
      </c>
      <c r="P25" s="85">
        <v>0.45098039215686275</v>
      </c>
      <c r="Q25" s="85">
        <v>0.41791044776119401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0.33663366336633666</v>
      </c>
      <c r="M26" s="85">
        <v>0.22772277227722773</v>
      </c>
      <c r="N26" s="85">
        <v>0.47058823529411764</v>
      </c>
      <c r="O26" s="85">
        <v>0.13043478260869565</v>
      </c>
      <c r="P26" s="85">
        <v>0.45098039215686275</v>
      </c>
      <c r="Q26" s="85">
        <v>0.40579710144927539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1271D-0BA4-4531-A1A6-747C79FAD8E7}">
  <sheetPr codeName="Sheet22"/>
  <dimension ref="A1:Q8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P5" s="85">
        <v>0.5</v>
      </c>
      <c r="Q5" s="85">
        <v>0.25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P6" s="85">
        <v>0.5</v>
      </c>
      <c r="Q6" s="85">
        <v>0.25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P7" s="85">
        <v>0.42857142857142855</v>
      </c>
      <c r="Q7" s="85">
        <v>0.33333333333333331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P8" s="85">
        <v>0.33333333333333331</v>
      </c>
      <c r="Q8" s="85">
        <v>0.30769230769230771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P9" s="85">
        <v>0.27272727272727271</v>
      </c>
      <c r="Q9" s="85">
        <v>0.375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P10" s="85">
        <v>0.30769230769230771</v>
      </c>
      <c r="Q10" s="85">
        <v>0.4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P11" s="85">
        <v>0.3888888888888889</v>
      </c>
      <c r="Q11" s="85">
        <v>0.5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P12" s="85">
        <v>0.35</v>
      </c>
      <c r="Q12" s="85">
        <v>0.48148148148148145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P13" s="85">
        <v>0.33333333333333331</v>
      </c>
      <c r="Q13" s="85">
        <v>0.44827586206896552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P14" s="85">
        <v>0.375</v>
      </c>
      <c r="Q14" s="85">
        <v>0.45454545454545453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P15" s="85">
        <v>0.37931034482758619</v>
      </c>
      <c r="Q15" s="85">
        <v>0.43243243243243246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P16" s="85">
        <v>0.38709677419354838</v>
      </c>
      <c r="Q16" s="85">
        <v>0.42499999999999999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P17" s="85">
        <v>0.36363636363636365</v>
      </c>
      <c r="Q17" s="85">
        <v>0.41860465116279072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P18" s="85">
        <v>0.3783783783783784</v>
      </c>
      <c r="Q18" s="85">
        <v>0.42553191489361702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P19" s="85">
        <v>0.3783783783783784</v>
      </c>
      <c r="Q19" s="85">
        <v>0.42553191489361702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P20" s="85">
        <v>0.3783783783783784</v>
      </c>
      <c r="Q20" s="85">
        <v>0.42553191489361702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1</v>
      </c>
      <c r="M21" s="85">
        <v>0</v>
      </c>
      <c r="N21" s="85">
        <v>1</v>
      </c>
      <c r="O21" s="85">
        <v>0</v>
      </c>
      <c r="P21" s="85">
        <v>0.4</v>
      </c>
      <c r="Q21" s="85">
        <v>0.46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0.45454545454545453</v>
      </c>
      <c r="M22" s="85">
        <v>9.0909090909090912E-2</v>
      </c>
      <c r="N22" s="85">
        <v>1</v>
      </c>
      <c r="O22" s="85">
        <v>0</v>
      </c>
      <c r="P22" s="85">
        <v>0.36363636363636365</v>
      </c>
      <c r="Q22" s="85">
        <v>0.44230769230769229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0.47368421052631576</v>
      </c>
      <c r="M23" s="85">
        <v>0.10526315789473684</v>
      </c>
      <c r="N23" s="85">
        <v>0.88888888888888884</v>
      </c>
      <c r="O23" s="85">
        <v>0</v>
      </c>
      <c r="P23" s="85">
        <v>0.38297872340425532</v>
      </c>
      <c r="Q23" s="85">
        <v>0.44444444444444442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0.48</v>
      </c>
      <c r="M24" s="85">
        <v>0.12</v>
      </c>
      <c r="N24" s="85">
        <v>0.75</v>
      </c>
      <c r="O24" s="85">
        <v>0.33333333333333331</v>
      </c>
      <c r="P24" s="85">
        <v>0.36734693877551022</v>
      </c>
      <c r="Q24" s="85">
        <v>0.44642857142857145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0.46875</v>
      </c>
      <c r="M25" s="85">
        <v>0.21875</v>
      </c>
      <c r="N25" s="85">
        <v>0.8</v>
      </c>
      <c r="O25" s="85">
        <v>0.2857142857142857</v>
      </c>
      <c r="P25" s="85">
        <v>0.35849056603773582</v>
      </c>
      <c r="Q25" s="85">
        <v>0.46666666666666667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0.42499999999999999</v>
      </c>
      <c r="M26" s="85">
        <v>0.22500000000000001</v>
      </c>
      <c r="N26" s="85">
        <v>0.70588235294117652</v>
      </c>
      <c r="O26" s="85">
        <v>0.22222222222222221</v>
      </c>
      <c r="P26" s="85">
        <v>0.37037037037037035</v>
      </c>
      <c r="Q26" s="85">
        <v>0.45161290322580644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0.43478260869565216</v>
      </c>
      <c r="M27" s="85">
        <v>0.21739130434782608</v>
      </c>
      <c r="N27" s="85">
        <v>0.6</v>
      </c>
      <c r="O27" s="85">
        <v>0.2</v>
      </c>
      <c r="P27" s="85">
        <v>0.37037037037037035</v>
      </c>
      <c r="Q27" s="85">
        <v>0.44444444444444442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0.42307692307692307</v>
      </c>
      <c r="M28" s="85">
        <v>0.19230769230769232</v>
      </c>
      <c r="N28" s="85">
        <v>0.59090909090909094</v>
      </c>
      <c r="O28" s="85">
        <v>0.2</v>
      </c>
      <c r="P28" s="85">
        <v>0.36363636363636365</v>
      </c>
      <c r="Q28" s="85">
        <v>0.42424242424242425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0.40677966101694918</v>
      </c>
      <c r="M29" s="85">
        <v>0.1864406779661017</v>
      </c>
      <c r="N29" s="85">
        <v>0.625</v>
      </c>
      <c r="O29" s="85">
        <v>0.27272727272727271</v>
      </c>
      <c r="P29" s="85">
        <v>0.36206896551724138</v>
      </c>
      <c r="Q29" s="85">
        <v>0.41176470588235292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0.390625</v>
      </c>
      <c r="M30" s="85">
        <v>0.1875</v>
      </c>
      <c r="N30" s="85">
        <v>0.6</v>
      </c>
      <c r="O30" s="85">
        <v>0.25</v>
      </c>
      <c r="P30" s="85">
        <v>0.36206896551724138</v>
      </c>
      <c r="Q30" s="85">
        <v>0.40579710144927539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0.3888888888888889</v>
      </c>
      <c r="M31" s="85">
        <v>0.20833333333333334</v>
      </c>
      <c r="N31" s="85">
        <v>0.5357142857142857</v>
      </c>
      <c r="O31" s="85">
        <v>0.2</v>
      </c>
      <c r="P31" s="85">
        <v>0.36206896551724138</v>
      </c>
      <c r="Q31" s="85">
        <v>0.39436619718309857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0.375</v>
      </c>
      <c r="M32" s="85">
        <v>0.21249999999999999</v>
      </c>
      <c r="N32" s="85">
        <v>0.56666666666666665</v>
      </c>
      <c r="O32" s="85">
        <v>0.17647058823529413</v>
      </c>
      <c r="P32" s="85">
        <v>0.35</v>
      </c>
      <c r="Q32" s="85">
        <v>0.3783783783783784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0.38636363636363635</v>
      </c>
      <c r="M33" s="85">
        <v>0.20454545454545456</v>
      </c>
      <c r="N33" s="85">
        <v>0.61764705882352944</v>
      </c>
      <c r="O33" s="85">
        <v>0.16666666666666666</v>
      </c>
      <c r="P33" s="85">
        <v>0.359375</v>
      </c>
      <c r="Q33" s="85">
        <v>0.38961038961038963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0.36</v>
      </c>
      <c r="M34" s="85">
        <v>0.21</v>
      </c>
      <c r="N34" s="85">
        <v>0.61111111111111116</v>
      </c>
      <c r="O34" s="85">
        <v>0.23809523809523808</v>
      </c>
      <c r="P34" s="85">
        <v>0.35820895522388058</v>
      </c>
      <c r="Q34" s="85">
        <v>0.38750000000000001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0.35454545454545455</v>
      </c>
      <c r="M35" s="85">
        <v>0.21818181818181817</v>
      </c>
      <c r="N35" s="85">
        <v>0.61538461538461542</v>
      </c>
      <c r="O35" s="85">
        <v>0.25</v>
      </c>
      <c r="P35" s="85">
        <v>0.34285714285714286</v>
      </c>
      <c r="Q35" s="85">
        <v>0.37209302325581395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0.33613445378151263</v>
      </c>
      <c r="M36" s="85">
        <v>0.25210084033613445</v>
      </c>
      <c r="N36" s="85">
        <v>0.625</v>
      </c>
      <c r="O36" s="85">
        <v>0.3</v>
      </c>
      <c r="P36" s="85">
        <v>0.35135135135135137</v>
      </c>
      <c r="Q36" s="85">
        <v>0.3707865168539326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0.33333333333333331</v>
      </c>
      <c r="M37" s="85">
        <v>0.26190476190476192</v>
      </c>
      <c r="N37" s="85">
        <v>0.59523809523809523</v>
      </c>
      <c r="O37" s="85">
        <v>0.30303030303030304</v>
      </c>
      <c r="P37" s="85">
        <v>0.36</v>
      </c>
      <c r="Q37" s="85">
        <v>0.37362637362637363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0.34108527131782945</v>
      </c>
      <c r="M38" s="85">
        <v>0.2558139534883721</v>
      </c>
      <c r="N38" s="85">
        <v>0.61363636363636365</v>
      </c>
      <c r="O38" s="85">
        <v>0.30303030303030304</v>
      </c>
      <c r="P38" s="85">
        <v>0.37662337662337664</v>
      </c>
      <c r="Q38" s="85">
        <v>0.38297872340425532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0.33823529411764708</v>
      </c>
      <c r="M39" s="85">
        <v>0.25735294117647056</v>
      </c>
      <c r="N39" s="85">
        <v>0.58695652173913049</v>
      </c>
      <c r="O39" s="85">
        <v>0.31428571428571428</v>
      </c>
      <c r="P39" s="85">
        <v>0.38461538461538464</v>
      </c>
      <c r="Q39" s="85">
        <v>0.375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0.34722222222222221</v>
      </c>
      <c r="M40" s="85">
        <v>0.2638888888888889</v>
      </c>
      <c r="N40" s="85">
        <v>0.6</v>
      </c>
      <c r="O40" s="85">
        <v>0.34210526315789475</v>
      </c>
      <c r="P40" s="85">
        <v>0.42168674698795183</v>
      </c>
      <c r="Q40" s="85">
        <v>0.39215686274509803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0.33766233766233766</v>
      </c>
      <c r="M41" s="85">
        <v>0.26623376623376621</v>
      </c>
      <c r="N41" s="85">
        <v>0.59615384615384615</v>
      </c>
      <c r="O41" s="85">
        <v>0.36585365853658536</v>
      </c>
      <c r="P41" s="85">
        <v>0.41860465116279072</v>
      </c>
      <c r="Q41" s="85">
        <v>0.39423076923076922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0.33750000000000002</v>
      </c>
      <c r="M42" s="85">
        <v>0.26250000000000001</v>
      </c>
      <c r="N42" s="85">
        <v>0.61111111111111116</v>
      </c>
      <c r="O42" s="85">
        <v>0.38095238095238093</v>
      </c>
      <c r="P42" s="85">
        <v>0.43333333333333335</v>
      </c>
      <c r="Q42" s="85">
        <v>0.40740740740740738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0.34545454545454546</v>
      </c>
      <c r="M43" s="85">
        <v>0.25454545454545452</v>
      </c>
      <c r="N43" s="85">
        <v>0.61403508771929827</v>
      </c>
      <c r="O43" s="85">
        <v>0.38095238095238093</v>
      </c>
      <c r="P43" s="85">
        <v>0.43478260869565216</v>
      </c>
      <c r="Q43" s="85">
        <v>0.4144144144144144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0.33707865168539325</v>
      </c>
      <c r="M44" s="85">
        <v>0.25842696629213485</v>
      </c>
      <c r="N44" s="85">
        <v>0.6</v>
      </c>
      <c r="O44" s="85">
        <v>0.39130434782608697</v>
      </c>
      <c r="P44" s="85">
        <v>0.42708333333333331</v>
      </c>
      <c r="Q44" s="85">
        <v>0.42608695652173911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0.33689839572192515</v>
      </c>
      <c r="M45" s="85">
        <v>0.24598930481283424</v>
      </c>
      <c r="N45" s="85">
        <v>0.61904761904761907</v>
      </c>
      <c r="O45" s="85">
        <v>0.39130434782608697</v>
      </c>
      <c r="P45" s="85">
        <v>0.42424242424242425</v>
      </c>
      <c r="Q45" s="85">
        <v>0.42372881355932202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0.3383838383838384</v>
      </c>
      <c r="M46" s="85">
        <v>0.25252525252525254</v>
      </c>
      <c r="N46" s="85">
        <v>0.61194029850746268</v>
      </c>
      <c r="O46" s="85">
        <v>0.38</v>
      </c>
      <c r="P46" s="85">
        <v>0.40776699029126212</v>
      </c>
      <c r="Q46" s="85">
        <v>0.42622950819672129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0.33658536585365856</v>
      </c>
      <c r="M47" s="85">
        <v>0.24390243902439024</v>
      </c>
      <c r="N47" s="85">
        <v>0.59420289855072461</v>
      </c>
      <c r="O47" s="85">
        <v>0.38</v>
      </c>
      <c r="P47" s="85">
        <v>0.41346153846153844</v>
      </c>
      <c r="Q47" s="85">
        <v>0.42276422764227645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0.34433962264150941</v>
      </c>
      <c r="M48" s="85">
        <v>0.24056603773584906</v>
      </c>
      <c r="N48" s="85">
        <v>0.61643835616438358</v>
      </c>
      <c r="O48" s="85">
        <v>0.39215686274509803</v>
      </c>
      <c r="P48" s="85">
        <v>0.41284403669724773</v>
      </c>
      <c r="Q48" s="85">
        <v>0.42519685039370081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0.35</v>
      </c>
      <c r="M49" s="85">
        <v>0.23181818181818181</v>
      </c>
      <c r="N49" s="85">
        <v>0.62337662337662336</v>
      </c>
      <c r="O49" s="85">
        <v>0.39215686274509803</v>
      </c>
      <c r="P49" s="85">
        <v>0.41964285714285715</v>
      </c>
      <c r="Q49" s="85">
        <v>0.41860465116279072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0.34782608695652173</v>
      </c>
      <c r="M50" s="85">
        <v>0.23043478260869565</v>
      </c>
      <c r="N50" s="85">
        <v>0.625</v>
      </c>
      <c r="O50" s="85">
        <v>0.39622641509433965</v>
      </c>
      <c r="P50" s="85">
        <v>0.41739130434782606</v>
      </c>
      <c r="Q50" s="85">
        <v>0.41666666666666669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0.34728033472803349</v>
      </c>
      <c r="M51" s="85">
        <v>0.2384937238493724</v>
      </c>
      <c r="N51" s="85">
        <v>0.61445783132530118</v>
      </c>
      <c r="O51" s="85">
        <v>0.40350877192982454</v>
      </c>
      <c r="P51" s="85">
        <v>0.40677966101694918</v>
      </c>
      <c r="Q51" s="85">
        <v>0.4148148148148148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0.34399999999999997</v>
      </c>
      <c r="M52" s="85">
        <v>0.23599999999999999</v>
      </c>
      <c r="N52" s="85">
        <v>0.61627906976744184</v>
      </c>
      <c r="O52" s="85">
        <v>0.38983050847457629</v>
      </c>
      <c r="P52" s="85">
        <v>0.4049586776859504</v>
      </c>
      <c r="Q52" s="85">
        <v>0.41007194244604317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0.33852140077821014</v>
      </c>
      <c r="M53" s="85">
        <v>0.23346303501945526</v>
      </c>
      <c r="N53" s="85">
        <v>0.60919540229885061</v>
      </c>
      <c r="O53" s="85">
        <v>0.38333333333333336</v>
      </c>
      <c r="P53" s="85">
        <v>0.4049586776859504</v>
      </c>
      <c r="Q53" s="85">
        <v>0.40425531914893614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0.33962264150943394</v>
      </c>
      <c r="M54" s="85">
        <v>0.23018867924528302</v>
      </c>
      <c r="N54" s="85">
        <v>0.61111111111111116</v>
      </c>
      <c r="O54" s="85">
        <v>0.37704918032786883</v>
      </c>
      <c r="P54" s="85">
        <v>0.41463414634146339</v>
      </c>
      <c r="Q54" s="85">
        <v>0.40277777777777779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0.33699633699633702</v>
      </c>
      <c r="M55" s="85">
        <v>0.23809523809523808</v>
      </c>
      <c r="N55" s="85">
        <v>0.61956521739130432</v>
      </c>
      <c r="O55" s="85">
        <v>0.38461538461538464</v>
      </c>
      <c r="P55" s="85">
        <v>0.4140625</v>
      </c>
      <c r="Q55" s="85">
        <v>0.40136054421768708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0.33922261484098942</v>
      </c>
      <c r="M56" s="85">
        <v>0.22968197879858657</v>
      </c>
      <c r="N56" s="85">
        <v>0.63541666666666663</v>
      </c>
      <c r="O56" s="85">
        <v>0.38461538461538464</v>
      </c>
      <c r="P56" s="85">
        <v>0.40909090909090912</v>
      </c>
      <c r="Q56" s="85">
        <v>0.39735099337748342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0.34146341463414637</v>
      </c>
      <c r="M57" s="85">
        <v>0.2264808362369338</v>
      </c>
      <c r="N57" s="85">
        <v>0.6428571428571429</v>
      </c>
      <c r="O57" s="85">
        <v>0.38461538461538464</v>
      </c>
      <c r="P57" s="85">
        <v>0.40740740740740738</v>
      </c>
      <c r="Q57" s="85">
        <v>0.40259740259740262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0.33333333333333331</v>
      </c>
      <c r="M58" s="85">
        <v>0.22448979591836735</v>
      </c>
      <c r="N58" s="85">
        <v>0.6428571428571429</v>
      </c>
      <c r="O58" s="85">
        <v>0.39393939393939392</v>
      </c>
      <c r="P58" s="85">
        <v>0.40441176470588236</v>
      </c>
      <c r="Q58" s="85">
        <v>0.39743589743589741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0.33559322033898303</v>
      </c>
      <c r="M59" s="85">
        <v>0.22372881355932203</v>
      </c>
      <c r="N59" s="85">
        <v>0.64646464646464652</v>
      </c>
      <c r="O59" s="85">
        <v>0.39393939393939392</v>
      </c>
      <c r="P59" s="85">
        <v>0.40145985401459855</v>
      </c>
      <c r="Q59" s="85">
        <v>0.40127388535031849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0.33223684210526316</v>
      </c>
      <c r="M60" s="85">
        <v>0.22368421052631579</v>
      </c>
      <c r="N60" s="85">
        <v>0.63366336633663367</v>
      </c>
      <c r="O60" s="85">
        <v>0.39705882352941174</v>
      </c>
      <c r="P60" s="85">
        <v>0.39855072463768115</v>
      </c>
      <c r="Q60" s="85">
        <v>0.39622641509433965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0.33546325878594252</v>
      </c>
      <c r="M61" s="85">
        <v>0.22044728434504793</v>
      </c>
      <c r="N61" s="85">
        <v>0.62857142857142856</v>
      </c>
      <c r="O61" s="85">
        <v>0.39130434782608697</v>
      </c>
      <c r="P61" s="85">
        <v>0.3971631205673759</v>
      </c>
      <c r="Q61" s="85">
        <v>0.39506172839506171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0.32919254658385094</v>
      </c>
      <c r="M62" s="85">
        <v>0.2267080745341615</v>
      </c>
      <c r="N62" s="85">
        <v>0.63207547169811318</v>
      </c>
      <c r="O62" s="85">
        <v>0.38356164383561642</v>
      </c>
      <c r="P62" s="85">
        <v>0.40689655172413791</v>
      </c>
      <c r="Q62" s="85">
        <v>0.3902439024390244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0.32826747720364741</v>
      </c>
      <c r="M63" s="85">
        <v>0.22492401215805471</v>
      </c>
      <c r="N63" s="85">
        <v>0.62962962962962965</v>
      </c>
      <c r="O63" s="85">
        <v>0.39189189189189189</v>
      </c>
      <c r="P63" s="85">
        <v>0.40816326530612246</v>
      </c>
      <c r="Q63" s="85">
        <v>0.38554216867469882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0.3303834808259587</v>
      </c>
      <c r="M64" s="85">
        <v>0.22418879056047197</v>
      </c>
      <c r="N64" s="85">
        <v>0.6428571428571429</v>
      </c>
      <c r="O64" s="85">
        <v>0.38157894736842107</v>
      </c>
      <c r="P64" s="85">
        <v>0.41059602649006621</v>
      </c>
      <c r="Q64" s="85">
        <v>0.38235294117647056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0.32853025936599423</v>
      </c>
      <c r="M65" s="85">
        <v>0.22478386167146974</v>
      </c>
      <c r="N65" s="85">
        <v>0.64035087719298245</v>
      </c>
      <c r="O65" s="85">
        <v>0.37179487179487181</v>
      </c>
      <c r="P65" s="85">
        <v>0.42207792207792205</v>
      </c>
      <c r="Q65" s="85">
        <v>0.37790697674418605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0.3342696629213483</v>
      </c>
      <c r="M66" s="85">
        <v>0.2247191011235955</v>
      </c>
      <c r="N66" s="85">
        <v>0.63025210084033612</v>
      </c>
      <c r="O66" s="85">
        <v>0.375</v>
      </c>
      <c r="P66" s="85">
        <v>0.43312101910828027</v>
      </c>
      <c r="Q66" s="85">
        <v>0.37142857142857144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0.3324175824175824</v>
      </c>
      <c r="M67" s="85">
        <v>0.23076923076923078</v>
      </c>
      <c r="N67" s="85">
        <v>0.6198347107438017</v>
      </c>
      <c r="O67" s="85">
        <v>0.36904761904761907</v>
      </c>
      <c r="P67" s="85">
        <v>0.43037974683544306</v>
      </c>
      <c r="Q67" s="85">
        <v>0.3672316384180791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0.33243243243243242</v>
      </c>
      <c r="M68" s="85">
        <v>0.23243243243243245</v>
      </c>
      <c r="N68" s="85">
        <v>0.62601626016260159</v>
      </c>
      <c r="O68" s="85">
        <v>0.38372093023255816</v>
      </c>
      <c r="P68" s="85">
        <v>0.41975308641975306</v>
      </c>
      <c r="Q68" s="85">
        <v>0.36312849162011174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0.33333333333333331</v>
      </c>
      <c r="M69" s="85">
        <v>0.23280423280423279</v>
      </c>
      <c r="N69" s="85">
        <v>0.62698412698412698</v>
      </c>
      <c r="O69" s="85">
        <v>0.38636363636363635</v>
      </c>
      <c r="P69" s="85">
        <v>0.42424242424242425</v>
      </c>
      <c r="Q69" s="85">
        <v>0.35911602209944754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0.328125</v>
      </c>
      <c r="M70" s="85">
        <v>0.234375</v>
      </c>
      <c r="N70" s="85">
        <v>0.62698412698412698</v>
      </c>
      <c r="O70" s="85">
        <v>0.4</v>
      </c>
      <c r="P70" s="85">
        <v>0.43113772455089822</v>
      </c>
      <c r="Q70" s="85">
        <v>0.35714285714285715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0.32647814910025708</v>
      </c>
      <c r="M71" s="85">
        <v>0.23393316195372751</v>
      </c>
      <c r="N71" s="85">
        <v>0.62204724409448819</v>
      </c>
      <c r="O71" s="85">
        <v>0.39560439560439559</v>
      </c>
      <c r="P71" s="85">
        <v>0.43113772455089822</v>
      </c>
      <c r="Q71" s="85">
        <v>0.3551912568306011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0.32241813602015112</v>
      </c>
      <c r="M72" s="85">
        <v>0.23425692695214106</v>
      </c>
      <c r="N72" s="85">
        <v>0.625</v>
      </c>
      <c r="O72" s="85">
        <v>0.39784946236559138</v>
      </c>
      <c r="P72" s="85">
        <v>0.42603550295857989</v>
      </c>
      <c r="Q72" s="85">
        <v>0.35135135135135137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0.32758620689655171</v>
      </c>
      <c r="M73" s="85">
        <v>0.23399014778325122</v>
      </c>
      <c r="N73" s="85">
        <v>0.62406015037593987</v>
      </c>
      <c r="O73" s="85">
        <v>0.38947368421052631</v>
      </c>
      <c r="P73" s="85">
        <v>0.43352601156069365</v>
      </c>
      <c r="Q73" s="85">
        <v>0.34920634920634919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0.32524271844660196</v>
      </c>
      <c r="M74" s="85">
        <v>0.2354368932038835</v>
      </c>
      <c r="N74" s="85">
        <v>0.61940298507462688</v>
      </c>
      <c r="O74" s="85">
        <v>0.38144329896907214</v>
      </c>
      <c r="P74" s="85">
        <v>0.43352601156069365</v>
      </c>
      <c r="Q74" s="85">
        <v>0.3473684210526316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0.32451923076923078</v>
      </c>
      <c r="M75" s="85">
        <v>0.23557692307692307</v>
      </c>
      <c r="N75" s="85">
        <v>0.61481481481481481</v>
      </c>
      <c r="O75" s="85">
        <v>0.37755102040816324</v>
      </c>
      <c r="P75" s="85">
        <v>0.43352601156069365</v>
      </c>
      <c r="Q75" s="85">
        <v>0.34554973821989526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0.32613908872901681</v>
      </c>
      <c r="M76" s="85">
        <v>0.23501199040767387</v>
      </c>
      <c r="N76" s="85">
        <v>0.61764705882352944</v>
      </c>
      <c r="O76" s="85">
        <v>0.37755102040816324</v>
      </c>
      <c r="P76" s="85">
        <v>0.43103448275862066</v>
      </c>
      <c r="Q76" s="85">
        <v>0.34895833333333331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0.32629107981220656</v>
      </c>
      <c r="M77" s="85">
        <v>0.23708920187793428</v>
      </c>
      <c r="N77" s="85">
        <v>0.62589928057553956</v>
      </c>
      <c r="O77" s="85">
        <v>0.38613861386138615</v>
      </c>
      <c r="P77" s="85">
        <v>0.44134078212290501</v>
      </c>
      <c r="Q77" s="85">
        <v>0.35204081632653061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0.32563510392609701</v>
      </c>
      <c r="M78" s="85">
        <v>0.24018475750577367</v>
      </c>
      <c r="N78" s="85">
        <v>0.62411347517730498</v>
      </c>
      <c r="O78" s="85">
        <v>0.375</v>
      </c>
      <c r="P78" s="85">
        <v>0.44198895027624308</v>
      </c>
      <c r="Q78" s="85">
        <v>0.34848484848484851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0.31828442437923249</v>
      </c>
      <c r="M79" s="85">
        <v>0.24153498871331827</v>
      </c>
      <c r="N79" s="85">
        <v>0.62411347517730498</v>
      </c>
      <c r="O79" s="85">
        <v>0.38317757009345793</v>
      </c>
      <c r="P79" s="85">
        <v>0.43478260869565216</v>
      </c>
      <c r="Q79" s="85">
        <v>0.34499999999999997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0.31767337807606266</v>
      </c>
      <c r="M80" s="85">
        <v>0.24161073825503357</v>
      </c>
      <c r="N80" s="85">
        <v>0.61971830985915488</v>
      </c>
      <c r="O80" s="85">
        <v>0.3888888888888889</v>
      </c>
      <c r="P80" s="85">
        <v>0.43243243243243246</v>
      </c>
      <c r="Q80" s="85">
        <v>0.34653465346534651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0.31277533039647576</v>
      </c>
      <c r="M81" s="85">
        <v>0.24008810572687225</v>
      </c>
      <c r="N81" s="85">
        <v>0.61971830985915488</v>
      </c>
      <c r="O81" s="85">
        <v>0.38532110091743121</v>
      </c>
      <c r="P81" s="85">
        <v>0.43548387096774194</v>
      </c>
      <c r="Q81" s="85">
        <v>0.34313725490196079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0.31019522776572667</v>
      </c>
      <c r="M82" s="85">
        <v>0.24078091106290672</v>
      </c>
      <c r="N82" s="85">
        <v>0.61538461538461542</v>
      </c>
      <c r="O82" s="85">
        <v>0.3783783783783784</v>
      </c>
      <c r="P82" s="85">
        <v>0.43548387096774194</v>
      </c>
      <c r="Q82" s="85">
        <v>0.33816425120772947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0.31196581196581197</v>
      </c>
      <c r="M83" s="85">
        <v>0.23931623931623933</v>
      </c>
      <c r="N83" s="85">
        <v>0.62328767123287676</v>
      </c>
      <c r="O83" s="85">
        <v>0.375</v>
      </c>
      <c r="P83" s="85">
        <v>0.43915343915343913</v>
      </c>
      <c r="Q83" s="85">
        <v>0.33971291866028708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0.31512605042016806</v>
      </c>
      <c r="M84" s="85">
        <v>0.23949579831932774</v>
      </c>
      <c r="N84" s="85">
        <v>0.62</v>
      </c>
      <c r="O84" s="85">
        <v>0.37719298245614036</v>
      </c>
      <c r="P84" s="85">
        <v>0.4375</v>
      </c>
      <c r="Q84" s="85">
        <v>0.33962264150943394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0.31198347107438018</v>
      </c>
      <c r="M85" s="85">
        <v>0.23966942148760331</v>
      </c>
      <c r="N85" s="85">
        <v>0.62251655629139069</v>
      </c>
      <c r="O85" s="85">
        <v>0.37068965517241381</v>
      </c>
      <c r="P85" s="85">
        <v>0.44102564102564101</v>
      </c>
      <c r="Q85" s="85">
        <v>0.3364485981308411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0.31211498973305957</v>
      </c>
      <c r="M86" s="85">
        <v>0.2402464065708419</v>
      </c>
      <c r="N86" s="85">
        <v>0.61842105263157898</v>
      </c>
      <c r="O86" s="85">
        <v>0.36752136752136755</v>
      </c>
      <c r="P86" s="85">
        <v>0.44102564102564101</v>
      </c>
      <c r="Q86" s="85">
        <v>0.3364485981308411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0.31991951710261568</v>
      </c>
      <c r="M87" s="85">
        <v>0.23742454728370221</v>
      </c>
      <c r="N87" s="85">
        <v>0.60377358490566035</v>
      </c>
      <c r="O87" s="85">
        <v>0.3728813559322034</v>
      </c>
      <c r="P87" s="85">
        <v>0.4494949494949495</v>
      </c>
      <c r="Q87" s="85">
        <v>0.33333333333333331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0.31683168316831684</v>
      </c>
      <c r="M88" s="85">
        <v>0.23564356435643563</v>
      </c>
      <c r="N88" s="85">
        <v>0.60624999999999996</v>
      </c>
      <c r="O88" s="85">
        <v>0.36974789915966388</v>
      </c>
      <c r="P88" s="85">
        <v>0.45226130653266333</v>
      </c>
      <c r="Q88" s="85">
        <v>0.33031674208144796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C652-CB3F-4657-9635-62B47109EBC4}">
  <sheetPr codeName="Sheet20"/>
  <dimension ref="A1:Q5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P4" s="85">
        <v>0</v>
      </c>
      <c r="Q4" s="85">
        <v>1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P5" s="85">
        <v>0.33333333333333331</v>
      </c>
      <c r="Q5" s="85">
        <v>0.5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P6" s="85">
        <v>0.375</v>
      </c>
      <c r="Q6" s="85">
        <v>0.6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P7" s="85">
        <v>0.45454545454545453</v>
      </c>
      <c r="Q7" s="85">
        <v>0.6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P8" s="85">
        <v>0.5</v>
      </c>
      <c r="Q8" s="85">
        <v>0.61538461538461542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P9" s="85">
        <v>0.5</v>
      </c>
      <c r="Q9" s="85">
        <v>0.61538461538461542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P10" s="85">
        <v>0.55555555555555558</v>
      </c>
      <c r="Q10" s="85">
        <v>0.66666666666666663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P11" s="85">
        <v>0.55555555555555558</v>
      </c>
      <c r="Q11" s="85">
        <v>0.625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P12" s="85">
        <v>0.55000000000000004</v>
      </c>
      <c r="Q12" s="85">
        <v>0.57894736842105265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P13" s="85">
        <v>0.52173913043478259</v>
      </c>
      <c r="Q13" s="85">
        <v>0.54545454545454541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P14" s="85">
        <v>0.54166666666666663</v>
      </c>
      <c r="Q14" s="85">
        <v>0.52173913043478259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P15" s="85">
        <v>0.54166666666666663</v>
      </c>
      <c r="Q15" s="85">
        <v>0.52173913043478259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P16" s="85">
        <v>0.48148148148148145</v>
      </c>
      <c r="Q16" s="85">
        <v>0.52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P17" s="85">
        <v>0.48148148148148145</v>
      </c>
      <c r="Q17" s="85">
        <v>0.52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P18" s="85">
        <v>0.4642857142857143</v>
      </c>
      <c r="Q18" s="85">
        <v>0.5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P19" s="85">
        <v>0.5</v>
      </c>
      <c r="Q19" s="85">
        <v>0.4642857142857143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P20" s="85">
        <v>0.46875</v>
      </c>
      <c r="Q20" s="85">
        <v>0.43333333333333335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P21" s="85">
        <v>0.45945945945945948</v>
      </c>
      <c r="Q21" s="85">
        <v>0.45714285714285713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P22" s="85">
        <v>0.44736842105263158</v>
      </c>
      <c r="Q22" s="85">
        <v>0.47222222222222221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P23" s="85">
        <v>0.44736842105263158</v>
      </c>
      <c r="Q23" s="85">
        <v>0.45945945945945948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P24" s="85">
        <v>0.45</v>
      </c>
      <c r="Q24" s="85">
        <v>0.4358974358974359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P25" s="85">
        <v>0.46666666666666667</v>
      </c>
      <c r="Q25" s="85">
        <v>0.43902439024390244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P26" s="85">
        <v>0.46938775510204084</v>
      </c>
      <c r="Q26" s="85">
        <v>0.44444444444444442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P27" s="85">
        <v>0.45098039215686275</v>
      </c>
      <c r="Q27" s="85">
        <v>0.45652173913043476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</v>
      </c>
      <c r="M28" s="85">
        <v>0.33333333333333331</v>
      </c>
      <c r="N28" s="85">
        <v>0</v>
      </c>
      <c r="O28" s="85">
        <v>0.5</v>
      </c>
      <c r="P28" s="85">
        <v>0.44230769230769229</v>
      </c>
      <c r="Q28" s="85">
        <v>0.4375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0.1111111111111111</v>
      </c>
      <c r="M29" s="85">
        <v>0.33333333333333331</v>
      </c>
      <c r="N29" s="85">
        <v>0.5</v>
      </c>
      <c r="O29" s="85">
        <v>0.5</v>
      </c>
      <c r="P29" s="85">
        <v>0.45454545454545453</v>
      </c>
      <c r="Q29" s="85">
        <v>0.44230769230769229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0.16129032258064516</v>
      </c>
      <c r="M30" s="85">
        <v>0.35483870967741937</v>
      </c>
      <c r="N30" s="85">
        <v>0.4</v>
      </c>
      <c r="O30" s="85">
        <v>0.45454545454545453</v>
      </c>
      <c r="P30" s="85">
        <v>0.4576271186440678</v>
      </c>
      <c r="Q30" s="85">
        <v>0.44642857142857145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0.15384615384615385</v>
      </c>
      <c r="M31" s="85">
        <v>0.38461538461538464</v>
      </c>
      <c r="N31" s="85">
        <v>0.5</v>
      </c>
      <c r="O31" s="85">
        <v>0.46666666666666667</v>
      </c>
      <c r="P31" s="85">
        <v>0.45161290322580644</v>
      </c>
      <c r="Q31" s="85">
        <v>0.45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0.17647058823529413</v>
      </c>
      <c r="M32" s="85">
        <v>0.37254901960784315</v>
      </c>
      <c r="N32" s="85">
        <v>0.44444444444444442</v>
      </c>
      <c r="O32" s="85">
        <v>0.47368421052631576</v>
      </c>
      <c r="P32" s="85">
        <v>0.43283582089552236</v>
      </c>
      <c r="Q32" s="85">
        <v>0.44776119402985076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0.21052631578947367</v>
      </c>
      <c r="M33" s="85">
        <v>0.35087719298245612</v>
      </c>
      <c r="N33" s="85">
        <v>0.33333333333333331</v>
      </c>
      <c r="O33" s="85">
        <v>0.45</v>
      </c>
      <c r="P33" s="85">
        <v>0.44117647058823528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0.19696969696969696</v>
      </c>
      <c r="M34" s="85">
        <v>0.30303030303030304</v>
      </c>
      <c r="N34" s="85">
        <v>0.38461538461538464</v>
      </c>
      <c r="O34" s="85">
        <v>0.45</v>
      </c>
      <c r="P34" s="85">
        <v>0.43478260869565216</v>
      </c>
      <c r="Q34" s="85">
        <v>0.42857142857142855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0.20547945205479451</v>
      </c>
      <c r="M35" s="85">
        <v>0.28767123287671231</v>
      </c>
      <c r="N35" s="85">
        <v>0.4</v>
      </c>
      <c r="O35" s="85">
        <v>0.42857142857142855</v>
      </c>
      <c r="P35" s="85">
        <v>0.42253521126760563</v>
      </c>
      <c r="Q35" s="85">
        <v>0.42857142857142855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0.19753086419753085</v>
      </c>
      <c r="M36" s="85">
        <v>0.27160493827160492</v>
      </c>
      <c r="N36" s="85">
        <v>0.375</v>
      </c>
      <c r="O36" s="85">
        <v>0.40909090909090912</v>
      </c>
      <c r="P36" s="85">
        <v>0.41666666666666669</v>
      </c>
      <c r="Q36" s="85">
        <v>0.42253521126760563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0.19540229885057472</v>
      </c>
      <c r="M37" s="85">
        <v>0.28735632183908044</v>
      </c>
      <c r="N37" s="85">
        <v>0.41176470588235292</v>
      </c>
      <c r="O37" s="85">
        <v>0.4</v>
      </c>
      <c r="P37" s="85">
        <v>0.40540540540540543</v>
      </c>
      <c r="Q37" s="85">
        <v>0.41666666666666669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0.22340425531914893</v>
      </c>
      <c r="M38" s="85">
        <v>0.2978723404255319</v>
      </c>
      <c r="N38" s="85">
        <v>0.42857142857142855</v>
      </c>
      <c r="O38" s="85">
        <v>0.42857142857142855</v>
      </c>
      <c r="P38" s="85">
        <v>0.42307692307692307</v>
      </c>
      <c r="Q38" s="85">
        <v>0.43421052631578949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0.22772277227722773</v>
      </c>
      <c r="M39" s="85">
        <v>0.30693069306930693</v>
      </c>
      <c r="N39" s="85">
        <v>0.39130434782608697</v>
      </c>
      <c r="O39" s="85">
        <v>0.4838709677419355</v>
      </c>
      <c r="P39" s="85">
        <v>0.41975308641975306</v>
      </c>
      <c r="Q39" s="85">
        <v>0.4358974358974359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0.21100917431192662</v>
      </c>
      <c r="M40" s="85">
        <v>0.31192660550458717</v>
      </c>
      <c r="N40" s="85">
        <v>0.39130434782608697</v>
      </c>
      <c r="O40" s="85">
        <v>0.44117647058823528</v>
      </c>
      <c r="P40" s="85">
        <v>0.41975308641975306</v>
      </c>
      <c r="Q40" s="85">
        <v>0.42499999999999999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0.21238938053097345</v>
      </c>
      <c r="M41" s="85">
        <v>0.30973451327433627</v>
      </c>
      <c r="N41" s="85">
        <v>0.41666666666666669</v>
      </c>
      <c r="O41" s="85">
        <v>0.42857142857142855</v>
      </c>
      <c r="P41" s="85">
        <v>0.41463414634146339</v>
      </c>
      <c r="Q41" s="85">
        <v>0.41975308641975306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0.21666666666666667</v>
      </c>
      <c r="M42" s="85">
        <v>0.31666666666666665</v>
      </c>
      <c r="N42" s="85">
        <v>0.38461538461538464</v>
      </c>
      <c r="O42" s="85">
        <v>0.42105263157894735</v>
      </c>
      <c r="P42" s="85">
        <v>0.40963855421686746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0.20472440944881889</v>
      </c>
      <c r="M43" s="85">
        <v>0.30708661417322836</v>
      </c>
      <c r="N43" s="85">
        <v>0.38461538461538464</v>
      </c>
      <c r="O43" s="85">
        <v>0.41025641025641024</v>
      </c>
      <c r="P43" s="85">
        <v>0.40963855421686746</v>
      </c>
      <c r="Q43" s="85">
        <v>0.39534883720930231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0.21481481481481482</v>
      </c>
      <c r="M44" s="85">
        <v>0.3037037037037037</v>
      </c>
      <c r="N44" s="85">
        <v>0.34482758620689657</v>
      </c>
      <c r="O44" s="85">
        <v>0.3902439024390244</v>
      </c>
      <c r="P44" s="85">
        <v>0.40963855421686746</v>
      </c>
      <c r="Q44" s="85">
        <v>0.38636363636363635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0.21379310344827587</v>
      </c>
      <c r="M45" s="85">
        <v>0.30344827586206896</v>
      </c>
      <c r="N45" s="85">
        <v>0.35483870967741937</v>
      </c>
      <c r="O45" s="85">
        <v>0.38636363636363635</v>
      </c>
      <c r="P45" s="85">
        <v>0.4</v>
      </c>
      <c r="Q45" s="85">
        <v>0.37777777777777777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0.2251655629139073</v>
      </c>
      <c r="M46" s="85">
        <v>0.29139072847682118</v>
      </c>
      <c r="N46" s="85">
        <v>0.35294117647058826</v>
      </c>
      <c r="O46" s="85">
        <v>0.38636363636363635</v>
      </c>
      <c r="P46" s="85">
        <v>0.40697674418604651</v>
      </c>
      <c r="Q46" s="85">
        <v>0.36956521739130432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0.22839506172839505</v>
      </c>
      <c r="M47" s="85">
        <v>0.2839506172839506</v>
      </c>
      <c r="N47" s="85">
        <v>0.35135135135135137</v>
      </c>
      <c r="O47" s="85">
        <v>0.39130434782608697</v>
      </c>
      <c r="P47" s="85">
        <v>0.42045454545454547</v>
      </c>
      <c r="Q47" s="85">
        <v>0.36842105263157893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0.22754491017964071</v>
      </c>
      <c r="M48" s="85">
        <v>0.28143712574850299</v>
      </c>
      <c r="N48" s="85">
        <v>0.34210526315789475</v>
      </c>
      <c r="O48" s="85">
        <v>0.38297872340425532</v>
      </c>
      <c r="P48" s="85">
        <v>0.42045454545454547</v>
      </c>
      <c r="Q48" s="85">
        <v>0.36082474226804123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0.22285714285714286</v>
      </c>
      <c r="M49" s="85">
        <v>0.28000000000000003</v>
      </c>
      <c r="N49" s="85">
        <v>0.35897435897435898</v>
      </c>
      <c r="O49" s="85">
        <v>0.36734693877551022</v>
      </c>
      <c r="P49" s="85">
        <v>0.42696629213483145</v>
      </c>
      <c r="Q49" s="85">
        <v>0.35714285714285715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0.22826086956521738</v>
      </c>
      <c r="M50" s="85">
        <v>0.27717391304347827</v>
      </c>
      <c r="N50" s="85">
        <v>0.35714285714285715</v>
      </c>
      <c r="O50" s="85">
        <v>0.37254901960784315</v>
      </c>
      <c r="P50" s="85">
        <v>0.42857142857142855</v>
      </c>
      <c r="Q50" s="85">
        <v>0.35643564356435642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0.22631578947368422</v>
      </c>
      <c r="M51" s="85">
        <v>0.27368421052631581</v>
      </c>
      <c r="N51" s="85">
        <v>0.37209302325581395</v>
      </c>
      <c r="O51" s="85">
        <v>0.36538461538461536</v>
      </c>
      <c r="P51" s="85">
        <v>0.42391304347826086</v>
      </c>
      <c r="Q51" s="85">
        <v>0.35922330097087379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0.22222222222222221</v>
      </c>
      <c r="M52" s="85">
        <v>0.27777777777777779</v>
      </c>
      <c r="N52" s="85">
        <v>0.38636363636363635</v>
      </c>
      <c r="O52" s="85">
        <v>0.38181818181818183</v>
      </c>
      <c r="P52" s="85">
        <v>0.43157894736842106</v>
      </c>
      <c r="Q52" s="85">
        <v>0.35849056603773582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0.23076923076923078</v>
      </c>
      <c r="M53" s="85">
        <v>0.27403846153846156</v>
      </c>
      <c r="N53" s="85">
        <v>0.41666666666666669</v>
      </c>
      <c r="O53" s="85">
        <v>0.36842105263157893</v>
      </c>
      <c r="P53" s="85">
        <v>0.43877551020408162</v>
      </c>
      <c r="Q53" s="85">
        <v>0.3577981651376147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0.23853211009174313</v>
      </c>
      <c r="M54" s="85">
        <v>0.27064220183486237</v>
      </c>
      <c r="N54" s="85">
        <v>0.40384615384615385</v>
      </c>
      <c r="O54" s="85">
        <v>0.3728813559322034</v>
      </c>
      <c r="P54" s="85">
        <v>0.44554455445544555</v>
      </c>
      <c r="Q54" s="85">
        <v>0.35135135135135137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0.24</v>
      </c>
      <c r="M55" s="85">
        <v>0.27111111111111114</v>
      </c>
      <c r="N55" s="85">
        <v>0.3888888888888889</v>
      </c>
      <c r="O55" s="85">
        <v>0.37704918032786883</v>
      </c>
      <c r="P55" s="85">
        <v>0.45098039215686275</v>
      </c>
      <c r="Q55" s="85">
        <v>0.35087719298245612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0.24050632911392406</v>
      </c>
      <c r="M56" s="85">
        <v>0.27004219409282698</v>
      </c>
      <c r="N56" s="85">
        <v>0.40350877192982454</v>
      </c>
      <c r="O56" s="85">
        <v>0.375</v>
      </c>
      <c r="P56" s="85">
        <v>0.45283018867924529</v>
      </c>
      <c r="Q56" s="85">
        <v>0.3559322033898305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A801-0B65-4167-B61B-A5C3750027AA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175</v>
      </c>
      <c r="B1" s="88" t="s">
        <v>175</v>
      </c>
      <c r="C1" s="88" t="s">
        <v>175</v>
      </c>
      <c r="D1" s="89" t="s">
        <v>175</v>
      </c>
      <c r="E1" s="88" t="s">
        <v>175</v>
      </c>
      <c r="F1" s="88" t="s">
        <v>175</v>
      </c>
      <c r="G1" s="88" t="s">
        <v>175</v>
      </c>
      <c r="H1" s="88" t="s">
        <v>175</v>
      </c>
      <c r="I1" s="88" t="s">
        <v>175</v>
      </c>
      <c r="J1" s="88" t="s">
        <v>175</v>
      </c>
      <c r="K1" s="88" t="s">
        <v>175</v>
      </c>
      <c r="L1" s="88" t="s">
        <v>175</v>
      </c>
      <c r="M1" s="88" t="s">
        <v>175</v>
      </c>
      <c r="N1" s="88" t="s">
        <v>175</v>
      </c>
      <c r="O1" s="88" t="s">
        <v>175</v>
      </c>
      <c r="P1" s="88" t="s">
        <v>175</v>
      </c>
      <c r="Q1" s="88" t="s">
        <v>175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0.33333333333333331</v>
      </c>
      <c r="N5" s="85">
        <v>0</v>
      </c>
      <c r="O5" s="85">
        <v>1</v>
      </c>
      <c r="P5" s="85">
        <v>0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0.25</v>
      </c>
      <c r="M6" s="85">
        <v>0.25</v>
      </c>
      <c r="N6" s="85">
        <v>0.75</v>
      </c>
      <c r="O6" s="85">
        <v>0.25</v>
      </c>
      <c r="P6" s="85">
        <v>0.4</v>
      </c>
      <c r="Q6" s="85">
        <v>0.2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0.23076923076923078</v>
      </c>
      <c r="M7" s="85">
        <v>0.19230769230769232</v>
      </c>
      <c r="N7" s="85">
        <v>0.83333333333333337</v>
      </c>
      <c r="O7" s="85">
        <v>0.2</v>
      </c>
      <c r="P7" s="85">
        <v>0.2857142857142857</v>
      </c>
      <c r="Q7" s="85">
        <v>0.33333333333333331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0.25806451612903225</v>
      </c>
      <c r="M8" s="85">
        <v>0.16129032258064516</v>
      </c>
      <c r="N8" s="85">
        <v>0.75</v>
      </c>
      <c r="O8" s="85">
        <v>0.2</v>
      </c>
      <c r="P8" s="85">
        <v>0.3</v>
      </c>
      <c r="Q8" s="85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5C00-BABF-4100-97E4-0AF27A330CA9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P5" s="85">
        <v>0</v>
      </c>
      <c r="Q5" s="85">
        <v>0.5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P6" s="85">
        <v>0</v>
      </c>
      <c r="Q6" s="85">
        <v>0.33333333333333331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P7" s="85">
        <v>0.16666666666666666</v>
      </c>
      <c r="Q7" s="85">
        <v>0.25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P8" s="85">
        <v>0.14285714285714285</v>
      </c>
      <c r="Q8" s="85">
        <v>0.25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P9" s="85">
        <v>0.1111111111111111</v>
      </c>
      <c r="Q9" s="85">
        <v>0.16666666666666666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P10" s="85">
        <v>0.27272727272727271</v>
      </c>
      <c r="Q10" s="85">
        <v>0.1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P11" s="85">
        <v>0.25</v>
      </c>
      <c r="Q11" s="85">
        <v>8.3333333333333329E-2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P12" s="85">
        <v>0.26666666666666666</v>
      </c>
      <c r="Q12" s="85">
        <v>7.6923076923076927E-2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P13" s="85">
        <v>0.27777777777777779</v>
      </c>
      <c r="Q13" s="85">
        <v>6.6666666666666666E-2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P14" s="85">
        <v>0.26315789473684209</v>
      </c>
      <c r="Q14" s="85">
        <v>0.11764705882352941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P15" s="85">
        <v>0.22222222222222221</v>
      </c>
      <c r="Q15" s="85">
        <v>0.30434782608695654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P16" s="85">
        <v>0.26666666666666666</v>
      </c>
      <c r="Q16" s="85">
        <v>0.29629629629629628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P17" s="85">
        <v>0.27272727272727271</v>
      </c>
      <c r="Q17" s="85">
        <v>0.33333333333333331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P18" s="85">
        <v>0.34210526315789475</v>
      </c>
      <c r="Q18" s="85">
        <v>0.36363636363636365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P19" s="85">
        <v>0.36585365853658536</v>
      </c>
      <c r="Q19" s="85">
        <v>0.34285714285714286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P20" s="85">
        <v>0.38095238095238093</v>
      </c>
      <c r="Q20" s="85">
        <v>0.33333333333333331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P21" s="85">
        <v>0.37209302325581395</v>
      </c>
      <c r="Q21" s="85">
        <v>0.31578947368421051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P22" s="85">
        <v>0.38636363636363635</v>
      </c>
      <c r="Q22" s="85">
        <v>0.3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P23" s="85">
        <v>0.38</v>
      </c>
      <c r="Q23" s="85">
        <v>0.33333333333333331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P24" s="85">
        <v>0.41818181818181815</v>
      </c>
      <c r="Q24" s="85">
        <v>0.33333333333333331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P25" s="85">
        <v>0.43859649122807015</v>
      </c>
      <c r="Q25" s="85">
        <v>0.33333333333333331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P26" s="85">
        <v>0.42622950819672129</v>
      </c>
      <c r="Q26" s="85">
        <v>0.32142857142857145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P27" s="85">
        <v>0.41935483870967744</v>
      </c>
      <c r="Q27" s="85">
        <v>0.31578947368421051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P28" s="85">
        <v>0.4375</v>
      </c>
      <c r="Q28" s="85">
        <v>0.31666666666666665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P29" s="85">
        <v>0.44927536231884058</v>
      </c>
      <c r="Q29" s="85">
        <v>0.34375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P30" s="85">
        <v>0.45070422535211269</v>
      </c>
      <c r="Q30" s="85">
        <v>0.35294117647058826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P31" s="85">
        <v>0.43835616438356162</v>
      </c>
      <c r="Q31" s="85">
        <v>0.34285714285714286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P32" s="85">
        <v>0.41558441558441561</v>
      </c>
      <c r="Q32" s="85">
        <v>0.34246575342465752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P33" s="85">
        <v>0.41558441558441561</v>
      </c>
      <c r="Q33" s="85">
        <v>0.34246575342465752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P34" s="85">
        <v>0.42307692307692307</v>
      </c>
      <c r="Q34" s="85">
        <v>0.33333333333333331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P35" s="85">
        <v>0.41975308641975306</v>
      </c>
      <c r="Q35" s="85">
        <v>0.34177215189873417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P36" s="85">
        <v>0.43529411764705883</v>
      </c>
      <c r="Q36" s="85">
        <v>0.35365853658536583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P37" s="85">
        <v>0.43678160919540232</v>
      </c>
      <c r="Q37" s="85">
        <v>0.3411764705882353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0.14285714285714285</v>
      </c>
      <c r="M38" s="85">
        <v>0.42857142857142855</v>
      </c>
      <c r="N38" s="85">
        <v>0</v>
      </c>
      <c r="O38" s="85">
        <v>0</v>
      </c>
      <c r="P38" s="85">
        <v>0.43678160919540232</v>
      </c>
      <c r="Q38" s="85">
        <v>0.33333333333333331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0.30769230769230771</v>
      </c>
      <c r="M39" s="85">
        <v>0.38461538461538464</v>
      </c>
      <c r="N39" s="85">
        <v>0.5</v>
      </c>
      <c r="O39" s="85">
        <v>0.2</v>
      </c>
      <c r="P39" s="85">
        <v>0.43956043956043955</v>
      </c>
      <c r="Q39" s="85">
        <v>0.35164835164835168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0.23809523809523808</v>
      </c>
      <c r="M40" s="85">
        <v>0.38095238095238093</v>
      </c>
      <c r="N40" s="85">
        <v>0.4</v>
      </c>
      <c r="O40" s="85">
        <v>0.375</v>
      </c>
      <c r="P40" s="85">
        <v>0.45263157894736844</v>
      </c>
      <c r="Q40" s="85">
        <v>0.35789473684210527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0.20689655172413793</v>
      </c>
      <c r="M41" s="85">
        <v>0.37931034482758619</v>
      </c>
      <c r="N41" s="85">
        <v>0.33333333333333331</v>
      </c>
      <c r="O41" s="85">
        <v>0.36363636363636365</v>
      </c>
      <c r="P41" s="85">
        <v>0.45833333333333331</v>
      </c>
      <c r="Q41" s="85">
        <v>0.35051546391752575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0.21212121212121213</v>
      </c>
      <c r="M42" s="85">
        <v>0.33333333333333331</v>
      </c>
      <c r="N42" s="85">
        <v>0.42857142857142855</v>
      </c>
      <c r="O42" s="85">
        <v>0.36363636363636365</v>
      </c>
      <c r="P42" s="85">
        <v>0.45360824742268041</v>
      </c>
      <c r="Q42" s="85">
        <v>0.34693877551020408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0.17391304347826086</v>
      </c>
      <c r="M43" s="85">
        <v>0.34782608695652173</v>
      </c>
      <c r="N43" s="85">
        <v>0.5</v>
      </c>
      <c r="O43" s="85">
        <v>0.375</v>
      </c>
      <c r="P43" s="85">
        <v>0.47</v>
      </c>
      <c r="Q43" s="85">
        <v>0.35294117647058826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0.16326530612244897</v>
      </c>
      <c r="M44" s="85">
        <v>0.34693877551020408</v>
      </c>
      <c r="N44" s="85">
        <v>0.5</v>
      </c>
      <c r="O44" s="85">
        <v>0.35294117647058826</v>
      </c>
      <c r="P44" s="85">
        <v>0.47</v>
      </c>
      <c r="Q44" s="85">
        <v>0.34951456310679613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0.20967741935483872</v>
      </c>
      <c r="M45" s="85">
        <v>0.32258064516129031</v>
      </c>
      <c r="N45" s="85">
        <v>0.53846153846153844</v>
      </c>
      <c r="O45" s="85">
        <v>0.35</v>
      </c>
      <c r="P45" s="85">
        <v>0.47619047619047616</v>
      </c>
      <c r="Q45" s="85">
        <v>0.3577981651376147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0.21212121212121213</v>
      </c>
      <c r="M46" s="85">
        <v>0.34848484848484851</v>
      </c>
      <c r="N46" s="85">
        <v>0.5714285714285714</v>
      </c>
      <c r="O46" s="85">
        <v>0.39130434782608697</v>
      </c>
      <c r="P46" s="85">
        <v>0.46296296296296297</v>
      </c>
      <c r="Q46" s="85">
        <v>0.36936936936936937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0.20547945205479451</v>
      </c>
      <c r="M47" s="85">
        <v>0.35616438356164382</v>
      </c>
      <c r="N47" s="85">
        <v>0.53333333333333333</v>
      </c>
      <c r="O47" s="85">
        <v>0.38461538461538464</v>
      </c>
      <c r="P47" s="85">
        <v>0.45454545454545453</v>
      </c>
      <c r="Q47" s="85">
        <v>0.36283185840707965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0.20253164556962025</v>
      </c>
      <c r="M48" s="85">
        <v>0.35443037974683544</v>
      </c>
      <c r="N48" s="85">
        <v>0.5625</v>
      </c>
      <c r="O48" s="85">
        <v>0.35714285714285715</v>
      </c>
      <c r="P48" s="85">
        <v>0.45045045045045046</v>
      </c>
      <c r="Q48" s="85">
        <v>0.35652173913043478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0.18390804597701149</v>
      </c>
      <c r="M49" s="85">
        <v>0.34482758620689657</v>
      </c>
      <c r="N49" s="85">
        <v>0.5625</v>
      </c>
      <c r="O49" s="85">
        <v>0.33333333333333331</v>
      </c>
      <c r="P49" s="85">
        <v>0.45045045045045046</v>
      </c>
      <c r="Q49" s="85">
        <v>0.3504273504273504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0.17894736842105263</v>
      </c>
      <c r="M50" s="85">
        <v>0.33684210526315789</v>
      </c>
      <c r="N50" s="85">
        <v>0.58823529411764708</v>
      </c>
      <c r="O50" s="85">
        <v>0.375</v>
      </c>
      <c r="P50" s="85">
        <v>0.43859649122807015</v>
      </c>
      <c r="Q50" s="85">
        <v>0.35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0.20952380952380953</v>
      </c>
      <c r="M51" s="85">
        <v>0.32380952380952382</v>
      </c>
      <c r="N51" s="85">
        <v>0.68181818181818177</v>
      </c>
      <c r="O51" s="85">
        <v>0.38235294117647056</v>
      </c>
      <c r="P51" s="85">
        <v>0.42148760330578511</v>
      </c>
      <c r="Q51" s="85">
        <v>0.36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0.22321428571428573</v>
      </c>
      <c r="M52" s="85">
        <v>0.33035714285714285</v>
      </c>
      <c r="N52" s="85">
        <v>0.68</v>
      </c>
      <c r="O52" s="85">
        <v>0.35135135135135137</v>
      </c>
      <c r="P52" s="85">
        <v>0.43089430894308944</v>
      </c>
      <c r="Q52" s="85">
        <v>0.359375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0.22123893805309736</v>
      </c>
      <c r="M53" s="85">
        <v>0.32743362831858408</v>
      </c>
      <c r="N53" s="85">
        <v>0.68</v>
      </c>
      <c r="O53" s="85">
        <v>0.35135135135135137</v>
      </c>
      <c r="P53" s="85">
        <v>0.43089430894308944</v>
      </c>
      <c r="Q53" s="85">
        <v>0.359375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0.22131147540983606</v>
      </c>
      <c r="M54" s="85">
        <v>0.31147540983606559</v>
      </c>
      <c r="N54" s="85">
        <v>0.66666666666666663</v>
      </c>
      <c r="O54" s="85">
        <v>0.36842105263157893</v>
      </c>
      <c r="P54" s="85">
        <v>0.4573643410852713</v>
      </c>
      <c r="Q54" s="85">
        <v>0.37593984962406013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0.22900763358778625</v>
      </c>
      <c r="M55" s="85">
        <v>0.29770992366412213</v>
      </c>
      <c r="N55" s="85">
        <v>0.66666666666666663</v>
      </c>
      <c r="O55" s="85">
        <v>0.38461538461538464</v>
      </c>
      <c r="P55" s="85">
        <v>0.46616541353383456</v>
      </c>
      <c r="Q55" s="85">
        <v>0.375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0.22058823529411764</v>
      </c>
      <c r="M56" s="85">
        <v>0.3014705882352941</v>
      </c>
      <c r="N56" s="85">
        <v>0.66666666666666663</v>
      </c>
      <c r="O56" s="85">
        <v>0.36585365853658536</v>
      </c>
      <c r="P56" s="85">
        <v>0.46616541353383456</v>
      </c>
      <c r="Q56" s="85">
        <v>0.36956521739130432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0.22448979591836735</v>
      </c>
      <c r="M57" s="85">
        <v>0.32653061224489793</v>
      </c>
      <c r="N57" s="85">
        <v>0.66666666666666663</v>
      </c>
      <c r="O57" s="85">
        <v>0.35416666666666669</v>
      </c>
      <c r="P57" s="85">
        <v>0.45985401459854014</v>
      </c>
      <c r="Q57" s="85">
        <v>0.37323943661971831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0.23376623376623376</v>
      </c>
      <c r="M58" s="85">
        <v>0.32467532467532467</v>
      </c>
      <c r="N58" s="85">
        <v>0.63888888888888884</v>
      </c>
      <c r="O58" s="85">
        <v>0.38</v>
      </c>
      <c r="P58" s="85">
        <v>0.46099290780141844</v>
      </c>
      <c r="Q58" s="85">
        <v>0.3724137931034483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0.23170731707317074</v>
      </c>
      <c r="M59" s="85">
        <v>0.31707317073170732</v>
      </c>
      <c r="N59" s="85">
        <v>0.63157894736842102</v>
      </c>
      <c r="O59" s="85">
        <v>0.38461538461538464</v>
      </c>
      <c r="P59" s="85">
        <v>0.46853146853146854</v>
      </c>
      <c r="Q59" s="85">
        <v>0.3716216216216216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0.22674418604651161</v>
      </c>
      <c r="M60" s="85">
        <v>0.31976744186046513</v>
      </c>
      <c r="N60" s="85">
        <v>0.61538461538461542</v>
      </c>
      <c r="O60" s="85">
        <v>0.38181818181818183</v>
      </c>
      <c r="P60" s="85">
        <v>0.46527777777777779</v>
      </c>
      <c r="Q60" s="85">
        <v>0.37086092715231789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1FEB7-EC52-4010-8AF5-D79E3E6330A2}">
  <sheetPr codeName="Sheet14"/>
  <dimension ref="A1:Q114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P4" s="85">
        <v>0.33333333333333331</v>
      </c>
      <c r="Q4" s="85">
        <v>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P5" s="85">
        <v>0.33333333333333331</v>
      </c>
      <c r="Q5" s="85">
        <v>0.6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P6" s="85">
        <v>0.33333333333333331</v>
      </c>
      <c r="Q6" s="85">
        <v>0.42857142857142855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P7" s="85">
        <v>0.25</v>
      </c>
      <c r="Q7" s="85">
        <v>0.5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P8" s="85">
        <v>0.16666666666666666</v>
      </c>
      <c r="Q8" s="85">
        <v>0.4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P9" s="85">
        <v>0.1111111111111111</v>
      </c>
      <c r="Q9" s="85">
        <v>0.33333333333333331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P10" s="85">
        <v>0.15384615384615385</v>
      </c>
      <c r="Q10" s="85">
        <v>0.375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P11" s="85">
        <v>0.13333333333333333</v>
      </c>
      <c r="Q11" s="85">
        <v>0.35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P12" s="85">
        <v>0.13333333333333333</v>
      </c>
      <c r="Q12" s="85">
        <v>0.33333333333333331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P13" s="85">
        <v>0.13333333333333333</v>
      </c>
      <c r="Q13" s="85">
        <v>0.31818181818181818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P14" s="85">
        <v>0.17647058823529413</v>
      </c>
      <c r="Q14" s="85">
        <v>0.28000000000000003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P15" s="85">
        <v>0.16666666666666666</v>
      </c>
      <c r="Q15" s="85">
        <v>0.25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P16" s="85">
        <v>0.25</v>
      </c>
      <c r="Q16" s="85">
        <v>0.25806451612903225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P17" s="85">
        <v>0.30434782608695654</v>
      </c>
      <c r="Q17" s="85">
        <v>0.29411764705882354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P18" s="85">
        <v>0.32</v>
      </c>
      <c r="Q18" s="85">
        <v>0.30555555555555558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P19" s="85">
        <v>0.34615384615384615</v>
      </c>
      <c r="Q19" s="85">
        <v>0.28947368421052633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P20" s="85">
        <v>0.37931034482758619</v>
      </c>
      <c r="Q20" s="85">
        <v>0.29268292682926828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P21" s="85">
        <v>0.37931034482758619</v>
      </c>
      <c r="Q21" s="85">
        <v>0.2857142857142857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P22" s="85">
        <v>0.375</v>
      </c>
      <c r="Q22" s="85">
        <v>0.27272727272727271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P23" s="85">
        <v>0.39393939393939392</v>
      </c>
      <c r="Q23" s="85">
        <v>0.2608695652173913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P24" s="85">
        <v>0.39393939393939392</v>
      </c>
      <c r="Q24" s="85">
        <v>0.25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P25" s="85">
        <v>0.37142857142857144</v>
      </c>
      <c r="Q25" s="85">
        <v>0.26923076923076922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P26" s="85">
        <v>0.3783783783783784</v>
      </c>
      <c r="Q26" s="85">
        <v>0.27272727272727271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P27" s="85">
        <v>0.4</v>
      </c>
      <c r="Q27" s="85">
        <v>0.31034482758620691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P28" s="85">
        <v>0.38095238095238093</v>
      </c>
      <c r="Q28" s="85">
        <v>0.3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P29" s="85">
        <v>0.37209302325581395</v>
      </c>
      <c r="Q29" s="85">
        <v>0.29032258064516131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P30" s="85">
        <v>0.38636363636363635</v>
      </c>
      <c r="Q30" s="85">
        <v>0.2857142857142857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P31" s="85">
        <v>0.4</v>
      </c>
      <c r="Q31" s="85">
        <v>0.27692307692307694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P32" s="85">
        <v>0.39583333333333331</v>
      </c>
      <c r="Q32" s="85">
        <v>0.28985507246376813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P33" s="85">
        <v>0.39583333333333331</v>
      </c>
      <c r="Q33" s="85">
        <v>0.2857142857142857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P34" s="85">
        <v>0.39583333333333331</v>
      </c>
      <c r="Q34" s="85">
        <v>0.2857142857142857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P35" s="85">
        <v>0.37735849056603776</v>
      </c>
      <c r="Q35" s="85">
        <v>0.29729729729729731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P36" s="85">
        <v>0.35087719298245612</v>
      </c>
      <c r="Q36" s="85">
        <v>0.30263157894736842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P37" s="85">
        <v>0.3559322033898305</v>
      </c>
      <c r="Q37" s="85">
        <v>0.3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P38" s="85">
        <v>0.37704918032786883</v>
      </c>
      <c r="Q38" s="85">
        <v>0.30120481927710846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P39" s="85">
        <v>0.37704918032786883</v>
      </c>
      <c r="Q39" s="85">
        <v>0.30120481927710846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0.33333333333333331</v>
      </c>
      <c r="M40" s="85">
        <v>0.33333333333333331</v>
      </c>
      <c r="N40" s="85">
        <v>0</v>
      </c>
      <c r="O40" s="85">
        <v>0</v>
      </c>
      <c r="P40" s="85">
        <v>0.37704918032786883</v>
      </c>
      <c r="Q40" s="85">
        <v>0.30120481927710846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0.45454545454545453</v>
      </c>
      <c r="M41" s="85">
        <v>0.18181818181818182</v>
      </c>
      <c r="N41" s="85">
        <v>0.4</v>
      </c>
      <c r="O41" s="85">
        <v>0</v>
      </c>
      <c r="P41" s="85">
        <v>0.3968253968253968</v>
      </c>
      <c r="Q41" s="85">
        <v>0.29411764705882354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0.42105263157894735</v>
      </c>
      <c r="M42" s="85">
        <v>0.15789473684210525</v>
      </c>
      <c r="N42" s="85">
        <v>0.375</v>
      </c>
      <c r="O42" s="85">
        <v>0.33333333333333331</v>
      </c>
      <c r="P42" s="85">
        <v>0.4</v>
      </c>
      <c r="Q42" s="85">
        <v>0.28735632183908044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0.32</v>
      </c>
      <c r="M43" s="85">
        <v>0.16</v>
      </c>
      <c r="N43" s="85">
        <v>0.375</v>
      </c>
      <c r="O43" s="85">
        <v>0.25</v>
      </c>
      <c r="P43" s="85">
        <v>0.4</v>
      </c>
      <c r="Q43" s="85">
        <v>0.2808988764044944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0.27586206896551724</v>
      </c>
      <c r="M44" s="85">
        <v>0.13793103448275862</v>
      </c>
      <c r="N44" s="85">
        <v>0.375</v>
      </c>
      <c r="O44" s="85">
        <v>0.25</v>
      </c>
      <c r="P44" s="85">
        <v>0.4</v>
      </c>
      <c r="Q44" s="85">
        <v>0.27777777777777779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0.31428571428571428</v>
      </c>
      <c r="M45" s="85">
        <v>0.11428571428571428</v>
      </c>
      <c r="N45" s="85">
        <v>0.45454545454545453</v>
      </c>
      <c r="O45" s="85">
        <v>0.25</v>
      </c>
      <c r="P45" s="85">
        <v>0.41791044776119401</v>
      </c>
      <c r="Q45" s="85">
        <v>0.27173913043478259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0.31707317073170732</v>
      </c>
      <c r="M46" s="85">
        <v>0.14634146341463414</v>
      </c>
      <c r="N46" s="85">
        <v>0.53846153846153844</v>
      </c>
      <c r="O46" s="85">
        <v>0.16666666666666666</v>
      </c>
      <c r="P46" s="85">
        <v>0.44285714285714284</v>
      </c>
      <c r="Q46" s="85">
        <v>0.26881720430107525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0.28301886792452829</v>
      </c>
      <c r="M47" s="85">
        <v>0.16981132075471697</v>
      </c>
      <c r="N47" s="85">
        <v>0.6</v>
      </c>
      <c r="O47" s="85">
        <v>0.33333333333333331</v>
      </c>
      <c r="P47" s="85">
        <v>0.44736842105263158</v>
      </c>
      <c r="Q47" s="85">
        <v>0.2857142857142857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0.3</v>
      </c>
      <c r="M48" s="85">
        <v>0.16666666666666666</v>
      </c>
      <c r="N48" s="85">
        <v>0.55555555555555558</v>
      </c>
      <c r="O48" s="85">
        <v>0.3</v>
      </c>
      <c r="P48" s="85">
        <v>0.45454545454545453</v>
      </c>
      <c r="Q48" s="85">
        <v>0.28000000000000003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0.30769230769230771</v>
      </c>
      <c r="M49" s="85">
        <v>0.18461538461538463</v>
      </c>
      <c r="N49" s="85">
        <v>0.6</v>
      </c>
      <c r="O49" s="85">
        <v>0.25</v>
      </c>
      <c r="P49" s="85">
        <v>0.45569620253164556</v>
      </c>
      <c r="Q49" s="85">
        <v>0.27722772277227725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0.30379746835443039</v>
      </c>
      <c r="M50" s="85">
        <v>0.21518987341772153</v>
      </c>
      <c r="N50" s="85">
        <v>0.58333333333333337</v>
      </c>
      <c r="O50" s="85">
        <v>0.29411764705882354</v>
      </c>
      <c r="P50" s="85">
        <v>0.4642857142857143</v>
      </c>
      <c r="Q50" s="85">
        <v>0.28301886792452829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0.31034482758620691</v>
      </c>
      <c r="M51" s="85">
        <v>0.22988505747126436</v>
      </c>
      <c r="N51" s="85">
        <v>0.55555555555555558</v>
      </c>
      <c r="O51" s="85">
        <v>0.25</v>
      </c>
      <c r="P51" s="85">
        <v>0.47058823529411764</v>
      </c>
      <c r="Q51" s="85">
        <v>0.27777777777777779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0.28421052631578947</v>
      </c>
      <c r="M52" s="85">
        <v>0.23157894736842105</v>
      </c>
      <c r="N52" s="85">
        <v>0.55555555555555558</v>
      </c>
      <c r="O52" s="85">
        <v>0.31818181818181818</v>
      </c>
      <c r="P52" s="85">
        <v>0.47126436781609193</v>
      </c>
      <c r="Q52" s="85">
        <v>0.27272727272727271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0.27184466019417475</v>
      </c>
      <c r="M53" s="85">
        <v>0.22330097087378642</v>
      </c>
      <c r="N53" s="85">
        <v>0.5714285714285714</v>
      </c>
      <c r="O53" s="85">
        <v>0.34782608695652173</v>
      </c>
      <c r="P53" s="85">
        <v>0.4606741573033708</v>
      </c>
      <c r="Q53" s="85">
        <v>0.26785714285714285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0.2818181818181818</v>
      </c>
      <c r="M54" s="85">
        <v>0.22727272727272727</v>
      </c>
      <c r="N54" s="85">
        <v>0.54838709677419351</v>
      </c>
      <c r="O54" s="85">
        <v>0.32</v>
      </c>
      <c r="P54" s="85">
        <v>0.45555555555555555</v>
      </c>
      <c r="Q54" s="85">
        <v>0.27192982456140352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0.27731092436974791</v>
      </c>
      <c r="M55" s="85">
        <v>0.21848739495798319</v>
      </c>
      <c r="N55" s="85">
        <v>0.51515151515151514</v>
      </c>
      <c r="O55" s="85">
        <v>0.30769230769230771</v>
      </c>
      <c r="P55" s="85">
        <v>0.45555555555555555</v>
      </c>
      <c r="Q55" s="85">
        <v>0.26724137931034481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0.27559055118110237</v>
      </c>
      <c r="M56" s="85">
        <v>0.22047244094488189</v>
      </c>
      <c r="N56" s="85">
        <v>0.54285714285714282</v>
      </c>
      <c r="O56" s="85">
        <v>0.32142857142857145</v>
      </c>
      <c r="P56" s="85">
        <v>0.44086021505376344</v>
      </c>
      <c r="Q56" s="85">
        <v>0.26890756302521007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0.28985507246376813</v>
      </c>
      <c r="M57" s="85">
        <v>0.20289855072463769</v>
      </c>
      <c r="N57" s="85">
        <v>0.5</v>
      </c>
      <c r="O57" s="85">
        <v>0.32142857142857145</v>
      </c>
      <c r="P57" s="85">
        <v>0.43617021276595747</v>
      </c>
      <c r="Q57" s="85">
        <v>0.26446280991735538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0.28472222222222221</v>
      </c>
      <c r="M58" s="85">
        <v>0.2013888888888889</v>
      </c>
      <c r="N58" s="85">
        <v>0.51219512195121952</v>
      </c>
      <c r="O58" s="85">
        <v>0.31034482758620691</v>
      </c>
      <c r="P58" s="85">
        <v>0.44210526315789472</v>
      </c>
      <c r="Q58" s="85">
        <v>0.26229508196721313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0.27272727272727271</v>
      </c>
      <c r="M59" s="85">
        <v>0.18831168831168832</v>
      </c>
      <c r="N59" s="85">
        <v>0.52380952380952384</v>
      </c>
      <c r="O59" s="85">
        <v>0.31034482758620691</v>
      </c>
      <c r="P59" s="85">
        <v>0.44329896907216493</v>
      </c>
      <c r="Q59" s="85">
        <v>0.2661290322580645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0.26993865030674846</v>
      </c>
      <c r="M60" s="85">
        <v>0.19018404907975461</v>
      </c>
      <c r="N60" s="85">
        <v>0.54545454545454541</v>
      </c>
      <c r="O60" s="85">
        <v>0.29032258064516131</v>
      </c>
      <c r="P60" s="85">
        <v>0.44</v>
      </c>
      <c r="Q60" s="85">
        <v>0.2734375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0.2807017543859649</v>
      </c>
      <c r="M61" s="85">
        <v>0.19298245614035087</v>
      </c>
      <c r="N61" s="85">
        <v>0.5625</v>
      </c>
      <c r="O61" s="85">
        <v>0.33333333333333331</v>
      </c>
      <c r="P61" s="85">
        <v>0.43809523809523809</v>
      </c>
      <c r="Q61" s="85">
        <v>0.29545454545454547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0.2824858757062147</v>
      </c>
      <c r="M62" s="85">
        <v>0.19209039548022599</v>
      </c>
      <c r="N62" s="85">
        <v>0.56000000000000005</v>
      </c>
      <c r="O62" s="85">
        <v>0.35294117647058826</v>
      </c>
      <c r="P62" s="85">
        <v>0.44444444444444442</v>
      </c>
      <c r="Q62" s="85">
        <v>0.3014705882352941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0.28333333333333333</v>
      </c>
      <c r="M63" s="85">
        <v>0.19444444444444445</v>
      </c>
      <c r="N63" s="85">
        <v>0.56862745098039214</v>
      </c>
      <c r="O63" s="85">
        <v>0.34285714285714286</v>
      </c>
      <c r="P63" s="85">
        <v>0.44036697247706424</v>
      </c>
      <c r="Q63" s="85">
        <v>0.3014705882352941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0.27807486631016043</v>
      </c>
      <c r="M64" s="85">
        <v>0.18716577540106952</v>
      </c>
      <c r="N64" s="85">
        <v>0.57692307692307687</v>
      </c>
      <c r="O64" s="85">
        <v>0.34285714285714286</v>
      </c>
      <c r="P64" s="85">
        <v>0.43636363636363634</v>
      </c>
      <c r="Q64" s="85">
        <v>0.29496402877697842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0.27692307692307694</v>
      </c>
      <c r="M65" s="85">
        <v>0.17948717948717949</v>
      </c>
      <c r="N65" s="85">
        <v>0.55555555555555558</v>
      </c>
      <c r="O65" s="85">
        <v>0.34285714285714286</v>
      </c>
      <c r="P65" s="85">
        <v>0.43636363636363634</v>
      </c>
      <c r="Q65" s="85">
        <v>0.29285714285714287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0.2780487804878049</v>
      </c>
      <c r="M66" s="85">
        <v>0.17073170731707318</v>
      </c>
      <c r="N66" s="85">
        <v>0.54385964912280704</v>
      </c>
      <c r="O66" s="85">
        <v>0.34285714285714286</v>
      </c>
      <c r="P66" s="85">
        <v>0.43243243243243246</v>
      </c>
      <c r="Q66" s="85">
        <v>0.29078014184397161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0.28436018957345971</v>
      </c>
      <c r="M67" s="85">
        <v>0.16587677725118483</v>
      </c>
      <c r="N67" s="85">
        <v>0.51666666666666672</v>
      </c>
      <c r="O67" s="85">
        <v>0.34285714285714286</v>
      </c>
      <c r="P67" s="85">
        <v>0.43243243243243246</v>
      </c>
      <c r="Q67" s="85">
        <v>0.28873239436619719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0.28240740740740738</v>
      </c>
      <c r="M68" s="85">
        <v>0.16666666666666666</v>
      </c>
      <c r="N68" s="85">
        <v>0.50819672131147542</v>
      </c>
      <c r="O68" s="85">
        <v>0.33333333333333331</v>
      </c>
      <c r="P68" s="85">
        <v>0.42857142857142855</v>
      </c>
      <c r="Q68" s="85">
        <v>0.28671328671328672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0.29257641921397382</v>
      </c>
      <c r="M69" s="85">
        <v>0.16593886462882096</v>
      </c>
      <c r="N69" s="85">
        <v>0.5074626865671642</v>
      </c>
      <c r="O69" s="85">
        <v>0.31578947368421051</v>
      </c>
      <c r="P69" s="85">
        <v>0.42241379310344829</v>
      </c>
      <c r="Q69" s="85">
        <v>0.29530201342281881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0.28991596638655465</v>
      </c>
      <c r="M70" s="85">
        <v>0.1638655462184874</v>
      </c>
      <c r="N70" s="85">
        <v>0.52173913043478259</v>
      </c>
      <c r="O70" s="85">
        <v>0.33333333333333331</v>
      </c>
      <c r="P70" s="85">
        <v>0.42857142857142855</v>
      </c>
      <c r="Q70" s="85">
        <v>0.29605263157894735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0.28514056224899598</v>
      </c>
      <c r="M71" s="85">
        <v>0.1606425702811245</v>
      </c>
      <c r="N71" s="85">
        <v>0.52112676056338025</v>
      </c>
      <c r="O71" s="85">
        <v>0.35</v>
      </c>
      <c r="P71" s="85">
        <v>0.41803278688524592</v>
      </c>
      <c r="Q71" s="85">
        <v>0.29677419354838708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0.2890625</v>
      </c>
      <c r="M72" s="85">
        <v>0.16015625</v>
      </c>
      <c r="N72" s="85">
        <v>0.54054054054054057</v>
      </c>
      <c r="O72" s="85">
        <v>0.34146341463414637</v>
      </c>
      <c r="P72" s="85">
        <v>0.41599999999999998</v>
      </c>
      <c r="Q72" s="85">
        <v>0.30379746835443039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0.29343629343629346</v>
      </c>
      <c r="M73" s="85">
        <v>0.15830115830115829</v>
      </c>
      <c r="N73" s="85">
        <v>0.55263157894736847</v>
      </c>
      <c r="O73" s="85">
        <v>0.34146341463414637</v>
      </c>
      <c r="P73" s="85">
        <v>0.41732283464566927</v>
      </c>
      <c r="Q73" s="85">
        <v>0.3081761006289308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0.29588014981273408</v>
      </c>
      <c r="M74" s="85">
        <v>0.15355805243445692</v>
      </c>
      <c r="N74" s="85">
        <v>0.54430379746835444</v>
      </c>
      <c r="O74" s="85">
        <v>0.34146341463414637</v>
      </c>
      <c r="P74" s="85">
        <v>0.41538461538461541</v>
      </c>
      <c r="Q74" s="85">
        <v>0.30434782608695654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0.29304029304029305</v>
      </c>
      <c r="M75" s="85">
        <v>0.15018315018315018</v>
      </c>
      <c r="N75" s="85">
        <v>0.53749999999999998</v>
      </c>
      <c r="O75" s="85">
        <v>0.34146341463414637</v>
      </c>
      <c r="P75" s="85">
        <v>0.41538461538461541</v>
      </c>
      <c r="Q75" s="85">
        <v>0.30246913580246915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0.29020979020979021</v>
      </c>
      <c r="M76" s="85">
        <v>0.16783216783216784</v>
      </c>
      <c r="N76" s="85">
        <v>0.55421686746987953</v>
      </c>
      <c r="O76" s="85">
        <v>0.35416666666666669</v>
      </c>
      <c r="P76" s="85">
        <v>0.40441176470588236</v>
      </c>
      <c r="Q76" s="85">
        <v>0.31137724550898205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0.2910958904109589</v>
      </c>
      <c r="M77" s="85">
        <v>0.16438356164383561</v>
      </c>
      <c r="N77" s="85">
        <v>0.55294117647058827</v>
      </c>
      <c r="O77" s="85">
        <v>0.35416666666666669</v>
      </c>
      <c r="P77" s="85">
        <v>0.40579710144927539</v>
      </c>
      <c r="Q77" s="85">
        <v>0.30769230769230771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0.28382838283828382</v>
      </c>
      <c r="M78" s="85">
        <v>0.16831683168316833</v>
      </c>
      <c r="N78" s="85">
        <v>0.54651162790697672</v>
      </c>
      <c r="O78" s="85">
        <v>0.37254901960784315</v>
      </c>
      <c r="P78" s="85">
        <v>0.40714285714285714</v>
      </c>
      <c r="Q78" s="85">
        <v>0.30813953488372092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0.28852459016393445</v>
      </c>
      <c r="M79" s="85">
        <v>0.16721311475409836</v>
      </c>
      <c r="N79" s="85">
        <v>0.55681818181818177</v>
      </c>
      <c r="O79" s="85">
        <v>0.37254901960784315</v>
      </c>
      <c r="P79" s="85">
        <v>0.40845070422535212</v>
      </c>
      <c r="Q79" s="85">
        <v>0.31609195402298851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0.28525641025641024</v>
      </c>
      <c r="M80" s="85">
        <v>0.16987179487179488</v>
      </c>
      <c r="N80" s="85">
        <v>0.5617977528089888</v>
      </c>
      <c r="O80" s="85">
        <v>0.37735849056603776</v>
      </c>
      <c r="P80" s="85">
        <v>0.40972222222222221</v>
      </c>
      <c r="Q80" s="85">
        <v>0.3125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0.28660436137071649</v>
      </c>
      <c r="M81" s="85">
        <v>0.17445482866043613</v>
      </c>
      <c r="N81" s="85">
        <v>0.55434782608695654</v>
      </c>
      <c r="O81" s="85">
        <v>0.39285714285714285</v>
      </c>
      <c r="P81" s="85">
        <v>0.40540540540540543</v>
      </c>
      <c r="Q81" s="85">
        <v>0.31111111111111112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0.29051987767584098</v>
      </c>
      <c r="M82" s="85">
        <v>0.1743119266055046</v>
      </c>
      <c r="N82" s="85">
        <v>0.5368421052631579</v>
      </c>
      <c r="O82" s="85">
        <v>0.40350877192982454</v>
      </c>
      <c r="P82" s="85">
        <v>0.40666666666666668</v>
      </c>
      <c r="Q82" s="85">
        <v>0.30939226519337015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0.28869047619047616</v>
      </c>
      <c r="M83" s="85">
        <v>0.17261904761904762</v>
      </c>
      <c r="N83" s="85">
        <v>0.54639175257731953</v>
      </c>
      <c r="O83" s="85">
        <v>0.39655172413793105</v>
      </c>
      <c r="P83" s="85">
        <v>0.40131578947368424</v>
      </c>
      <c r="Q83" s="85">
        <v>0.30601092896174864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0.28901734104046245</v>
      </c>
      <c r="M84" s="85">
        <v>0.17341040462427745</v>
      </c>
      <c r="N84" s="85">
        <v>0.55000000000000004</v>
      </c>
      <c r="O84" s="85">
        <v>0.4</v>
      </c>
      <c r="P84" s="85">
        <v>0.4</v>
      </c>
      <c r="Q84" s="85">
        <v>0.31382978723404253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0.28732394366197184</v>
      </c>
      <c r="M85" s="85">
        <v>0.17746478873239438</v>
      </c>
      <c r="N85" s="85">
        <v>0.5490196078431373</v>
      </c>
      <c r="O85" s="85">
        <v>0.38095238095238093</v>
      </c>
      <c r="P85" s="85">
        <v>0.40384615384615385</v>
      </c>
      <c r="Q85" s="85">
        <v>0.30729166666666669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0.28846153846153844</v>
      </c>
      <c r="M86" s="85">
        <v>0.18131868131868131</v>
      </c>
      <c r="N86" s="85">
        <v>0.55238095238095242</v>
      </c>
      <c r="O86" s="85">
        <v>0.37878787878787878</v>
      </c>
      <c r="P86" s="85">
        <v>0.40251572327044027</v>
      </c>
      <c r="Q86" s="85">
        <v>0.30412371134020616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0.2872628726287263</v>
      </c>
      <c r="M87" s="85">
        <v>0.18157181571815717</v>
      </c>
      <c r="N87" s="85">
        <v>0.55660377358490565</v>
      </c>
      <c r="O87" s="85">
        <v>0.38805970149253732</v>
      </c>
      <c r="P87" s="85">
        <v>0.40372670807453415</v>
      </c>
      <c r="Q87" s="85">
        <v>0.30612244897959184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0.28342245989304815</v>
      </c>
      <c r="M88" s="85">
        <v>0.17914438502673796</v>
      </c>
      <c r="N88" s="85">
        <v>0.55660377358490565</v>
      </c>
      <c r="O88" s="85">
        <v>0.38805970149253732</v>
      </c>
      <c r="P88" s="85">
        <v>0.40372670807453415</v>
      </c>
      <c r="Q88" s="85">
        <v>0.30612244897959184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0.2879581151832461</v>
      </c>
      <c r="M89" s="85">
        <v>0.17801047120418848</v>
      </c>
      <c r="N89" s="85">
        <v>0.55454545454545456</v>
      </c>
      <c r="O89" s="85">
        <v>0.38235294117647056</v>
      </c>
      <c r="P89" s="85">
        <v>0.41104294478527609</v>
      </c>
      <c r="Q89" s="85">
        <v>0.30499999999999999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0.28900255754475701</v>
      </c>
      <c r="M90" s="85">
        <v>0.17902813299232737</v>
      </c>
      <c r="N90" s="85">
        <v>0.5663716814159292</v>
      </c>
      <c r="O90" s="85">
        <v>0.38571428571428573</v>
      </c>
      <c r="P90" s="85">
        <v>0.41916167664670656</v>
      </c>
      <c r="Q90" s="85">
        <v>0.30882352941176472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0.28678304239401498</v>
      </c>
      <c r="M91" s="85">
        <v>0.18453865336658354</v>
      </c>
      <c r="N91" s="85">
        <v>0.57391304347826089</v>
      </c>
      <c r="O91" s="85">
        <v>0.3783783783783784</v>
      </c>
      <c r="P91" s="85">
        <v>0.41764705882352943</v>
      </c>
      <c r="Q91" s="85">
        <v>0.3125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0.28223844282238442</v>
      </c>
      <c r="M92" s="85">
        <v>0.18734793187347931</v>
      </c>
      <c r="N92" s="85">
        <v>0.56896551724137934</v>
      </c>
      <c r="O92" s="85">
        <v>0.36363636363636365</v>
      </c>
      <c r="P92" s="85">
        <v>0.41764705882352943</v>
      </c>
      <c r="Q92" s="85">
        <v>0.30952380952380953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0.28297362110311752</v>
      </c>
      <c r="M93" s="85">
        <v>0.18465227817745802</v>
      </c>
      <c r="N93" s="85">
        <v>0.56779661016949157</v>
      </c>
      <c r="O93" s="85">
        <v>0.36363636363636365</v>
      </c>
      <c r="P93" s="85">
        <v>0.41520467836257308</v>
      </c>
      <c r="Q93" s="85">
        <v>0.30985915492957744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0.28199052132701424</v>
      </c>
      <c r="M94" s="85">
        <v>0.19194312796208532</v>
      </c>
      <c r="N94" s="85">
        <v>0.56302521008403361</v>
      </c>
      <c r="O94" s="85">
        <v>0.37037037037037035</v>
      </c>
      <c r="P94" s="85">
        <v>0.41618497109826591</v>
      </c>
      <c r="Q94" s="85">
        <v>0.31018518518518517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0.28205128205128205</v>
      </c>
      <c r="M95" s="85">
        <v>0.1888111888111888</v>
      </c>
      <c r="N95" s="85">
        <v>0.57024793388429751</v>
      </c>
      <c r="O95" s="85">
        <v>0.37037037037037035</v>
      </c>
      <c r="P95" s="85">
        <v>0.41142857142857142</v>
      </c>
      <c r="Q95" s="85">
        <v>0.30733944954128439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0.27954545454545454</v>
      </c>
      <c r="M96" s="85">
        <v>0.18863636363636363</v>
      </c>
      <c r="N96" s="85">
        <v>0.56097560975609762</v>
      </c>
      <c r="O96" s="85">
        <v>0.36144578313253012</v>
      </c>
      <c r="P96" s="85">
        <v>0.41142857142857142</v>
      </c>
      <c r="Q96" s="85">
        <v>0.30593607305936071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0.27640449438202247</v>
      </c>
      <c r="M97" s="85">
        <v>0.19101123595505617</v>
      </c>
      <c r="N97" s="85">
        <v>0.56097560975609762</v>
      </c>
      <c r="O97" s="85">
        <v>0.36470588235294116</v>
      </c>
      <c r="P97" s="85">
        <v>0.4101123595505618</v>
      </c>
      <c r="Q97" s="85">
        <v>0.30769230769230771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0.27814569536423839</v>
      </c>
      <c r="M98" s="85">
        <v>0.18984547461368653</v>
      </c>
      <c r="N98" s="85">
        <v>0.55555555555555558</v>
      </c>
      <c r="O98" s="85">
        <v>0.36046511627906974</v>
      </c>
      <c r="P98" s="85">
        <v>0.40782122905027934</v>
      </c>
      <c r="Q98" s="85">
        <v>0.30630630630630629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0.2813852813852814</v>
      </c>
      <c r="M99" s="85">
        <v>0.18831168831168832</v>
      </c>
      <c r="N99" s="85">
        <v>0.56153846153846154</v>
      </c>
      <c r="O99" s="85">
        <v>0.36781609195402298</v>
      </c>
      <c r="P99" s="85">
        <v>0.40760869565217389</v>
      </c>
      <c r="Q99" s="85">
        <v>0.30530973451327431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0.28025477707006369</v>
      </c>
      <c r="M100" s="85">
        <v>0.18683651804670912</v>
      </c>
      <c r="N100" s="85">
        <v>0.56818181818181823</v>
      </c>
      <c r="O100" s="85">
        <v>0.375</v>
      </c>
      <c r="P100" s="85">
        <v>0.40641711229946526</v>
      </c>
      <c r="Q100" s="85">
        <v>0.3056768558951965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0.28361344537815125</v>
      </c>
      <c r="M101" s="85">
        <v>0.18907563025210083</v>
      </c>
      <c r="N101" s="85">
        <v>0.57037037037037042</v>
      </c>
      <c r="O101" s="85">
        <v>0.37777777777777777</v>
      </c>
      <c r="P101" s="85">
        <v>0.41052631578947368</v>
      </c>
      <c r="Q101" s="85">
        <v>0.30869565217391304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0.28747433264887062</v>
      </c>
      <c r="M102" s="85">
        <v>0.18480492813141683</v>
      </c>
      <c r="N102" s="85">
        <v>0.55714285714285716</v>
      </c>
      <c r="O102" s="85">
        <v>0.37777777777777777</v>
      </c>
      <c r="P102" s="85">
        <v>0.41361256544502617</v>
      </c>
      <c r="Q102" s="85">
        <v>0.30603448275862066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0.2834008097165992</v>
      </c>
      <c r="M103" s="85">
        <v>0.19028340080971659</v>
      </c>
      <c r="N103" s="85">
        <v>0.55714285714285716</v>
      </c>
      <c r="O103" s="85">
        <v>0.38297872340425532</v>
      </c>
      <c r="P103" s="85">
        <v>0.40932642487046633</v>
      </c>
      <c r="Q103" s="85">
        <v>0.30638297872340425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0.28628230616302186</v>
      </c>
      <c r="M104" s="85">
        <v>0.18886679920477137</v>
      </c>
      <c r="N104" s="85">
        <v>0.5625</v>
      </c>
      <c r="O104" s="85">
        <v>0.37894736842105264</v>
      </c>
      <c r="P104" s="85">
        <v>0.41836734693877553</v>
      </c>
      <c r="Q104" s="85">
        <v>0.30962343096234307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0.28627450980392155</v>
      </c>
      <c r="M105" s="85">
        <v>0.18823529411764706</v>
      </c>
      <c r="N105" s="85">
        <v>0.56164383561643838</v>
      </c>
      <c r="O105" s="85">
        <v>0.375</v>
      </c>
      <c r="P105" s="85">
        <v>0.41624365482233505</v>
      </c>
      <c r="Q105" s="85">
        <v>0.30705394190871371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0.28820116054158607</v>
      </c>
      <c r="M106" s="85">
        <v>0.18762088974854932</v>
      </c>
      <c r="N106" s="85">
        <v>0.56375838926174493</v>
      </c>
      <c r="O106" s="85">
        <v>0.37113402061855671</v>
      </c>
      <c r="P106" s="85">
        <v>0.41708542713567837</v>
      </c>
      <c r="Q106" s="85">
        <v>0.30452674897119342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0.2884250474383302</v>
      </c>
      <c r="M107" s="85">
        <v>0.1859582542694497</v>
      </c>
      <c r="N107" s="85">
        <v>0.55921052631578949</v>
      </c>
      <c r="O107" s="85">
        <v>0.37755102040816324</v>
      </c>
      <c r="P107" s="85">
        <v>0.41293532338308458</v>
      </c>
      <c r="Q107" s="85">
        <v>0.30364372469635625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0.2899628252788104</v>
      </c>
      <c r="M108" s="85">
        <v>0.18401486988847585</v>
      </c>
      <c r="N108" s="85">
        <v>0.55769230769230771</v>
      </c>
      <c r="O108" s="85">
        <v>0.38383838383838381</v>
      </c>
      <c r="P108" s="85">
        <v>0.40975609756097559</v>
      </c>
      <c r="Q108" s="85">
        <v>0.30830039525691699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0.29401088929219599</v>
      </c>
      <c r="M109" s="85">
        <v>0.18148820326678766</v>
      </c>
      <c r="N109" s="85">
        <v>0.55555555555555558</v>
      </c>
      <c r="O109" s="85">
        <v>0.38</v>
      </c>
      <c r="P109" s="85">
        <v>0.41626794258373206</v>
      </c>
      <c r="Q109" s="85">
        <v>0.31007751937984496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0.29443447037701975</v>
      </c>
      <c r="M110" s="85">
        <v>0.18312387791741472</v>
      </c>
      <c r="N110" s="85">
        <v>0.55487804878048785</v>
      </c>
      <c r="O110" s="85">
        <v>0.37254901960784315</v>
      </c>
      <c r="P110" s="85">
        <v>0.41904761904761906</v>
      </c>
      <c r="Q110" s="85">
        <v>0.30769230769230771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0.2938053097345133</v>
      </c>
      <c r="M111" s="85">
        <v>0.18230088495575222</v>
      </c>
      <c r="N111" s="85">
        <v>0.56024096385542166</v>
      </c>
      <c r="O111" s="85">
        <v>0.37864077669902912</v>
      </c>
      <c r="P111" s="85">
        <v>0.41784037558685444</v>
      </c>
      <c r="Q111" s="85">
        <v>0.30798479087452474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0.29116117850953205</v>
      </c>
      <c r="M112" s="85">
        <v>0.17850953206239167</v>
      </c>
      <c r="N112" s="85">
        <v>0.56547619047619047</v>
      </c>
      <c r="O112" s="85">
        <v>0.37864077669902912</v>
      </c>
      <c r="P112" s="85">
        <v>0.42325581395348838</v>
      </c>
      <c r="Q112" s="85">
        <v>0.31086142322097376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0.29059829059829062</v>
      </c>
      <c r="M113" s="85">
        <v>0.17777777777777778</v>
      </c>
      <c r="N113" s="85">
        <v>0.56470588235294117</v>
      </c>
      <c r="O113" s="85">
        <v>0.38461538461538464</v>
      </c>
      <c r="P113" s="85">
        <v>0.42396313364055299</v>
      </c>
      <c r="Q113" s="85">
        <v>0.31111111111111112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0.29075630252100843</v>
      </c>
      <c r="M114" s="85">
        <v>0.17815126050420169</v>
      </c>
      <c r="N114" s="85">
        <v>0.56647398843930641</v>
      </c>
      <c r="O114" s="85">
        <v>0.3867924528301887</v>
      </c>
      <c r="P114" s="85">
        <v>0.42272727272727273</v>
      </c>
      <c r="Q114" s="85">
        <v>0.30882352941176472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9A3BD-8F38-4C83-BE2E-4089A0CBAEBD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171</v>
      </c>
      <c r="B1" s="88" t="s">
        <v>171</v>
      </c>
      <c r="C1" s="88" t="s">
        <v>171</v>
      </c>
      <c r="D1" s="89" t="s">
        <v>171</v>
      </c>
      <c r="E1" s="88" t="s">
        <v>171</v>
      </c>
      <c r="F1" s="88" t="s">
        <v>171</v>
      </c>
      <c r="G1" s="88" t="s">
        <v>171</v>
      </c>
      <c r="H1" s="88" t="s">
        <v>171</v>
      </c>
      <c r="I1" s="88" t="s">
        <v>171</v>
      </c>
      <c r="J1" s="88" t="s">
        <v>171</v>
      </c>
      <c r="K1" s="88" t="s">
        <v>171</v>
      </c>
      <c r="L1" s="88" t="s">
        <v>171</v>
      </c>
      <c r="M1" s="88" t="s">
        <v>171</v>
      </c>
      <c r="N1" s="88" t="s">
        <v>171</v>
      </c>
      <c r="O1" s="88" t="s">
        <v>171</v>
      </c>
      <c r="P1" s="88" t="s">
        <v>171</v>
      </c>
      <c r="Q1" s="88" t="s">
        <v>171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0.5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0.45454545454545453</v>
      </c>
      <c r="M6" s="85">
        <v>0</v>
      </c>
      <c r="N6" s="85">
        <v>0.2</v>
      </c>
      <c r="O6" s="85">
        <v>0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6B42B-39ED-4E1C-9D8B-E1277D7E049D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170</v>
      </c>
      <c r="B1" s="88" t="s">
        <v>170</v>
      </c>
      <c r="C1" s="88" t="s">
        <v>170</v>
      </c>
      <c r="D1" s="89" t="s">
        <v>170</v>
      </c>
      <c r="E1" s="88" t="s">
        <v>170</v>
      </c>
      <c r="F1" s="88" t="s">
        <v>170</v>
      </c>
      <c r="G1" s="88" t="s">
        <v>170</v>
      </c>
      <c r="H1" s="88" t="s">
        <v>170</v>
      </c>
      <c r="I1" s="88" t="s">
        <v>170</v>
      </c>
      <c r="J1" s="88" t="s">
        <v>170</v>
      </c>
      <c r="K1" s="88" t="s">
        <v>170</v>
      </c>
      <c r="L1" s="88" t="s">
        <v>170</v>
      </c>
      <c r="M1" s="88" t="s">
        <v>170</v>
      </c>
      <c r="N1" s="88" t="s">
        <v>170</v>
      </c>
      <c r="O1" s="88" t="s">
        <v>170</v>
      </c>
      <c r="P1" s="88" t="s">
        <v>170</v>
      </c>
      <c r="Q1" s="88" t="s">
        <v>170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P6" s="85">
        <v>1</v>
      </c>
      <c r="Q6" s="85">
        <v>0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P7" s="85">
        <v>1</v>
      </c>
      <c r="Q7" s="85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A4099-EE79-4B7E-A457-F71AD73A3836}">
  <sheetPr codeName="Sheet8"/>
  <dimension ref="A1:Q195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P4" s="85">
        <v>0</v>
      </c>
      <c r="Q4" s="85">
        <v>0.66666666666666663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P5" s="85">
        <v>0</v>
      </c>
      <c r="Q5" s="85">
        <v>0.66666666666666663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P6" s="85">
        <v>0.2857142857142857</v>
      </c>
      <c r="Q6" s="85">
        <v>0.5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P7" s="85">
        <v>0.27272727272727271</v>
      </c>
      <c r="Q7" s="85">
        <v>0.5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P8" s="85">
        <v>0.2857142857142857</v>
      </c>
      <c r="Q8" s="85">
        <v>0.5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P9" s="85">
        <v>0.2857142857142857</v>
      </c>
      <c r="Q9" s="85">
        <v>0.46153846153846156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P10" s="85">
        <v>0.29411764705882354</v>
      </c>
      <c r="Q10" s="85">
        <v>0.4375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P11" s="85">
        <v>0.27777777777777779</v>
      </c>
      <c r="Q11" s="85">
        <v>0.3888888888888889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P12" s="85">
        <v>0.27777777777777779</v>
      </c>
      <c r="Q12" s="85">
        <v>0.35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P13" s="85">
        <v>0.27777777777777779</v>
      </c>
      <c r="Q13" s="85">
        <v>0.33333333333333331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P14" s="85">
        <v>0.33333333333333331</v>
      </c>
      <c r="Q14" s="85">
        <v>0.39285714285714285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P15" s="85">
        <v>0.37037037037037035</v>
      </c>
      <c r="Q15" s="85">
        <v>0.4375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P16" s="85">
        <v>0.33333333333333331</v>
      </c>
      <c r="Q16" s="85">
        <v>0.44444444444444442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P17" s="85">
        <v>0.33333333333333331</v>
      </c>
      <c r="Q17" s="85">
        <v>0.43243243243243246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P18" s="85">
        <v>0.33333333333333331</v>
      </c>
      <c r="Q18" s="85">
        <v>0.43243243243243246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P19" s="85">
        <v>0.34285714285714286</v>
      </c>
      <c r="Q19" s="85">
        <v>0.41025641025641024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P20" s="85">
        <v>0.34285714285714286</v>
      </c>
      <c r="Q20" s="85">
        <v>0.41025641025641024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P21" s="85">
        <v>0.31707317073170732</v>
      </c>
      <c r="Q21" s="85">
        <v>0.45454545454545453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P22" s="85">
        <v>0.32608695652173914</v>
      </c>
      <c r="Q22" s="85">
        <v>0.47916666666666669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P23" s="85">
        <v>0.32</v>
      </c>
      <c r="Q23" s="85">
        <v>0.46153846153846156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P24" s="85">
        <v>0.32692307692307693</v>
      </c>
      <c r="Q24" s="85">
        <v>0.47169811320754718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P25" s="85">
        <v>0.32692307692307693</v>
      </c>
      <c r="Q25" s="85">
        <v>0.46296296296296297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P26" s="85">
        <v>0.36363636363636365</v>
      </c>
      <c r="Q26" s="85">
        <v>0.45614035087719296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P27" s="85">
        <v>0.35714285714285715</v>
      </c>
      <c r="Q27" s="85">
        <v>0.45614035087719296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P28" s="85">
        <v>0.35087719298245612</v>
      </c>
      <c r="Q28" s="85">
        <v>0.45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P29" s="85">
        <v>0.33333333333333331</v>
      </c>
      <c r="Q29" s="85">
        <v>0.46031746031746029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P30" s="85">
        <v>0.33333333333333331</v>
      </c>
      <c r="Q30" s="85">
        <v>0.453125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P31" s="85">
        <v>0.34375</v>
      </c>
      <c r="Q31" s="85">
        <v>0.46268656716417911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P32" s="85">
        <v>0.35820895522388058</v>
      </c>
      <c r="Q32" s="85">
        <v>0.44927536231884058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P33" s="85">
        <v>0.34246575342465752</v>
      </c>
      <c r="Q33" s="85">
        <v>0.46052631578947367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P34" s="85">
        <v>0.33783783783783783</v>
      </c>
      <c r="Q34" s="85">
        <v>0.46753246753246752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P35" s="85">
        <v>0.35443037974683544</v>
      </c>
      <c r="Q35" s="85">
        <v>0.48780487804878048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P36" s="85">
        <v>0.35365853658536583</v>
      </c>
      <c r="Q36" s="85">
        <v>0.5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P37" s="85">
        <v>0.35714285714285715</v>
      </c>
      <c r="Q37" s="85">
        <v>0.5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P38" s="85">
        <v>0.34883720930232559</v>
      </c>
      <c r="Q38" s="85">
        <v>0.48888888888888887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P39" s="85">
        <v>0.35227272727272729</v>
      </c>
      <c r="Q39" s="85">
        <v>0.47826086956521741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P40" s="85">
        <v>0.38043478260869568</v>
      </c>
      <c r="Q40" s="85">
        <v>0.47368421052631576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P41" s="85">
        <v>0.38043478260869568</v>
      </c>
      <c r="Q41" s="85">
        <v>0.47368421052631576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P42" s="85">
        <v>0.38709677419354838</v>
      </c>
      <c r="Q42" s="85">
        <v>0.47368421052631576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P43" s="85">
        <v>0.39361702127659576</v>
      </c>
      <c r="Q43" s="85">
        <v>0.46391752577319589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P44" s="85">
        <v>0.38947368421052631</v>
      </c>
      <c r="Q44" s="85">
        <v>0.45454545454545453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P45" s="85">
        <v>0.40816326530612246</v>
      </c>
      <c r="Q45" s="85">
        <v>0.44117647058823528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P46" s="85">
        <v>0.40196078431372551</v>
      </c>
      <c r="Q46" s="85">
        <v>0.44859813084112149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P47" s="85">
        <v>0.39047619047619048</v>
      </c>
      <c r="Q47" s="85">
        <v>0.44036697247706424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P48" s="85">
        <v>0.37614678899082571</v>
      </c>
      <c r="Q48" s="85">
        <v>0.44144144144144143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P49" s="85">
        <v>0.375</v>
      </c>
      <c r="Q49" s="85">
        <v>0.43859649122807015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P50" s="85">
        <v>0.37168141592920356</v>
      </c>
      <c r="Q50" s="85">
        <v>0.43103448275862066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P51" s="85">
        <v>0.36752136752136755</v>
      </c>
      <c r="Q51" s="85">
        <v>0.43220338983050849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P52" s="85">
        <v>0.36974789915966388</v>
      </c>
      <c r="Q52" s="85">
        <v>0.42622950819672129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P53" s="85">
        <v>0.37096774193548387</v>
      </c>
      <c r="Q53" s="85">
        <v>0.43307086614173229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P54" s="85">
        <v>0.37007874015748032</v>
      </c>
      <c r="Q54" s="85">
        <v>0.43846153846153846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P55" s="85">
        <v>0.37209302325581395</v>
      </c>
      <c r="Q55" s="85">
        <v>0.43181818181818182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P56" s="85">
        <v>0.36923076923076925</v>
      </c>
      <c r="Q56" s="85">
        <v>0.42857142857142855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P57" s="85">
        <v>0.36842105263157893</v>
      </c>
      <c r="Q57" s="85">
        <v>0.42537313432835822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P58" s="85">
        <v>0.36842105263157893</v>
      </c>
      <c r="Q58" s="85">
        <v>0.41605839416058393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P59" s="85">
        <v>0.36956521739130432</v>
      </c>
      <c r="Q59" s="85">
        <v>0.42142857142857143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P60" s="85">
        <v>0.36428571428571427</v>
      </c>
      <c r="Q60" s="85">
        <v>0.42253521126760563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P61" s="85">
        <v>0.36363636363636365</v>
      </c>
      <c r="Q61" s="85">
        <v>0.43448275862068964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P62" s="85">
        <v>0.36054421768707484</v>
      </c>
      <c r="Q62" s="85">
        <v>0.43624161073825501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P63" s="85">
        <v>0.36054421768707484</v>
      </c>
      <c r="Q63" s="85">
        <v>0.43333333333333335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P64" s="85">
        <v>0.35526315789473684</v>
      </c>
      <c r="Q64" s="85">
        <v>0.43506493506493504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P65" s="85">
        <v>0.35256410256410259</v>
      </c>
      <c r="Q65" s="85">
        <v>0.44025157232704404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P66" s="85">
        <v>0.35256410256410259</v>
      </c>
      <c r="Q66" s="85">
        <v>0.44025157232704404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P67" s="85">
        <v>0.35256410256410259</v>
      </c>
      <c r="Q67" s="85">
        <v>0.44025157232704404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P68" s="85">
        <v>0.35256410256410259</v>
      </c>
      <c r="Q68" s="85">
        <v>0.44025157232704404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0</v>
      </c>
      <c r="M69" s="85">
        <v>0</v>
      </c>
      <c r="N69" s="85">
        <v>0</v>
      </c>
      <c r="O69" s="85">
        <v>0</v>
      </c>
      <c r="P69" s="85">
        <v>0.35256410256410259</v>
      </c>
      <c r="Q69" s="85">
        <v>0.44025157232704404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0.18181818181818182</v>
      </c>
      <c r="M70" s="85">
        <v>0.27272727272727271</v>
      </c>
      <c r="N70" s="85">
        <v>0.5</v>
      </c>
      <c r="O70" s="85">
        <v>0.33333333333333331</v>
      </c>
      <c r="P70" s="85">
        <v>0.34810126582278483</v>
      </c>
      <c r="Q70" s="85">
        <v>0.44171779141104295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0.15789473684210525</v>
      </c>
      <c r="M71" s="85">
        <v>0.26315789473684209</v>
      </c>
      <c r="N71" s="85">
        <v>0.66666666666666663</v>
      </c>
      <c r="O71" s="85">
        <v>0.4</v>
      </c>
      <c r="P71" s="85">
        <v>0.34782608695652173</v>
      </c>
      <c r="Q71" s="85">
        <v>0.44311377245508982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0.2</v>
      </c>
      <c r="M72" s="85">
        <v>0.28000000000000003</v>
      </c>
      <c r="N72" s="85">
        <v>0.8</v>
      </c>
      <c r="O72" s="85">
        <v>0.42857142857142855</v>
      </c>
      <c r="P72" s="85">
        <v>0.35365853658536583</v>
      </c>
      <c r="Q72" s="85">
        <v>0.4437869822485207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0.21212121212121213</v>
      </c>
      <c r="M73" s="85">
        <v>0.33333333333333331</v>
      </c>
      <c r="N73" s="85">
        <v>0.8571428571428571</v>
      </c>
      <c r="O73" s="85">
        <v>0.36363636363636365</v>
      </c>
      <c r="P73" s="85">
        <v>0.3592814371257485</v>
      </c>
      <c r="Q73" s="85">
        <v>0.43859649122807015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0.20512820512820512</v>
      </c>
      <c r="M74" s="85">
        <v>0.30769230769230771</v>
      </c>
      <c r="N74" s="85">
        <v>0.875</v>
      </c>
      <c r="O74" s="85">
        <v>0.33333333333333331</v>
      </c>
      <c r="P74" s="85">
        <v>0.35714285714285715</v>
      </c>
      <c r="Q74" s="85">
        <v>0.43604651162790697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0.21276595744680851</v>
      </c>
      <c r="M75" s="85">
        <v>0.31914893617021278</v>
      </c>
      <c r="N75" s="85">
        <v>0.8</v>
      </c>
      <c r="O75" s="85">
        <v>0.4</v>
      </c>
      <c r="P75" s="85">
        <v>0.35087719298245612</v>
      </c>
      <c r="Q75" s="85">
        <v>0.43678160919540232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0.21818181818181817</v>
      </c>
      <c r="M76" s="85">
        <v>0.32727272727272727</v>
      </c>
      <c r="N76" s="85">
        <v>0.75</v>
      </c>
      <c r="O76" s="85">
        <v>0.5</v>
      </c>
      <c r="P76" s="85">
        <v>0.35428571428571426</v>
      </c>
      <c r="Q76" s="85">
        <v>0.43258426966292135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0.23728813559322035</v>
      </c>
      <c r="M77" s="85">
        <v>0.32203389830508472</v>
      </c>
      <c r="N77" s="85">
        <v>0.7857142857142857</v>
      </c>
      <c r="O77" s="85">
        <v>0.52631578947368418</v>
      </c>
      <c r="P77" s="85">
        <v>0.3539325842696629</v>
      </c>
      <c r="Q77" s="85">
        <v>0.43333333333333335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0.26153846153846155</v>
      </c>
      <c r="M78" s="85">
        <v>0.30769230769230771</v>
      </c>
      <c r="N78" s="85">
        <v>0.76470588235294112</v>
      </c>
      <c r="O78" s="85">
        <v>0.5</v>
      </c>
      <c r="P78" s="85">
        <v>0.35911602209944754</v>
      </c>
      <c r="Q78" s="85">
        <v>0.42857142857142855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0.25352112676056338</v>
      </c>
      <c r="M79" s="85">
        <v>0.29577464788732394</v>
      </c>
      <c r="N79" s="85">
        <v>0.77777777777777779</v>
      </c>
      <c r="O79" s="85">
        <v>0.47619047619047616</v>
      </c>
      <c r="P79" s="85">
        <v>0.35714285714285715</v>
      </c>
      <c r="Q79" s="85">
        <v>0.42391304347826086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0.28205128205128205</v>
      </c>
      <c r="M80" s="85">
        <v>0.29487179487179488</v>
      </c>
      <c r="N80" s="85">
        <v>0.77272727272727271</v>
      </c>
      <c r="O80" s="85">
        <v>0.43478260869565216</v>
      </c>
      <c r="P80" s="85">
        <v>0.35675675675675678</v>
      </c>
      <c r="Q80" s="85">
        <v>0.42245989304812837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0.25274725274725274</v>
      </c>
      <c r="M81" s="85">
        <v>0.30769230769230771</v>
      </c>
      <c r="N81" s="85">
        <v>0.78260869565217395</v>
      </c>
      <c r="O81" s="85">
        <v>0.42857142857142855</v>
      </c>
      <c r="P81" s="85">
        <v>0.3473684210526316</v>
      </c>
      <c r="Q81" s="85">
        <v>0.41968911917098445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0.27083333333333331</v>
      </c>
      <c r="M82" s="85">
        <v>0.29166666666666669</v>
      </c>
      <c r="N82" s="85">
        <v>0.76923076923076927</v>
      </c>
      <c r="O82" s="85">
        <v>0.42857142857142855</v>
      </c>
      <c r="P82" s="85">
        <v>0.34196891191709844</v>
      </c>
      <c r="Q82" s="85">
        <v>0.42268041237113402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0.25961538461538464</v>
      </c>
      <c r="M83" s="85">
        <v>0.28846153846153844</v>
      </c>
      <c r="N83" s="85">
        <v>0.77777777777777779</v>
      </c>
      <c r="O83" s="85">
        <v>0.46666666666666667</v>
      </c>
      <c r="P83" s="85">
        <v>0.34343434343434343</v>
      </c>
      <c r="Q83" s="85">
        <v>0.42713567839195982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0.25892857142857145</v>
      </c>
      <c r="M84" s="85">
        <v>0.2767857142857143</v>
      </c>
      <c r="N84" s="85">
        <v>0.75862068965517238</v>
      </c>
      <c r="O84" s="85">
        <v>0.45161290322580644</v>
      </c>
      <c r="P84" s="85">
        <v>0.35323383084577115</v>
      </c>
      <c r="Q84" s="85">
        <v>0.4228855721393035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0.26495726495726496</v>
      </c>
      <c r="M85" s="85">
        <v>0.26495726495726496</v>
      </c>
      <c r="N85" s="85">
        <v>0.74193548387096775</v>
      </c>
      <c r="O85" s="85">
        <v>0.45161290322580644</v>
      </c>
      <c r="P85" s="85">
        <v>0.35960591133004927</v>
      </c>
      <c r="Q85" s="85">
        <v>0.42079207920792078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0.27480916030534353</v>
      </c>
      <c r="M86" s="85">
        <v>0.25190839694656486</v>
      </c>
      <c r="N86" s="85">
        <v>0.75</v>
      </c>
      <c r="O86" s="85">
        <v>0.45454545454545453</v>
      </c>
      <c r="P86" s="85">
        <v>0.35406698564593303</v>
      </c>
      <c r="Q86" s="85">
        <v>0.42788461538461536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0.28776978417266186</v>
      </c>
      <c r="M87" s="85">
        <v>0.2446043165467626</v>
      </c>
      <c r="N87" s="85">
        <v>0.72499999999999998</v>
      </c>
      <c r="O87" s="85">
        <v>0.44117647058823528</v>
      </c>
      <c r="P87" s="85">
        <v>0.35071090047393366</v>
      </c>
      <c r="Q87" s="85">
        <v>0.42452830188679247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0.29251700680272108</v>
      </c>
      <c r="M88" s="85">
        <v>0.23129251700680273</v>
      </c>
      <c r="N88" s="85">
        <v>0.72093023255813948</v>
      </c>
      <c r="O88" s="85">
        <v>0.44117647058823528</v>
      </c>
      <c r="P88" s="85">
        <v>0.352112676056338</v>
      </c>
      <c r="Q88" s="85">
        <v>0.42325581395348838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0.29032258064516131</v>
      </c>
      <c r="M89" s="85">
        <v>0.23225806451612904</v>
      </c>
      <c r="N89" s="85">
        <v>0.71111111111111114</v>
      </c>
      <c r="O89" s="85">
        <v>0.47222222222222221</v>
      </c>
      <c r="P89" s="85">
        <v>0.34722222222222221</v>
      </c>
      <c r="Q89" s="85">
        <v>0.41935483870967744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0.29012345679012347</v>
      </c>
      <c r="M90" s="85">
        <v>0.23456790123456789</v>
      </c>
      <c r="N90" s="85">
        <v>0.7021276595744681</v>
      </c>
      <c r="O90" s="85">
        <v>0.47368421052631576</v>
      </c>
      <c r="P90" s="85">
        <v>0.34862385321100919</v>
      </c>
      <c r="Q90" s="85">
        <v>0.41818181818181815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0.29239766081871343</v>
      </c>
      <c r="M91" s="85">
        <v>0.23391812865497075</v>
      </c>
      <c r="N91" s="85">
        <v>0.72</v>
      </c>
      <c r="O91" s="85">
        <v>0.47499999999999998</v>
      </c>
      <c r="P91" s="85">
        <v>0.34684684684684686</v>
      </c>
      <c r="Q91" s="85">
        <v>0.42152466367713004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0.29050279329608941</v>
      </c>
      <c r="M92" s="85">
        <v>0.22346368715083798</v>
      </c>
      <c r="N92" s="85">
        <v>0.73076923076923073</v>
      </c>
      <c r="O92" s="85">
        <v>0.47499999999999998</v>
      </c>
      <c r="P92" s="85">
        <v>0.35267857142857145</v>
      </c>
      <c r="Q92" s="85">
        <v>0.4177777777777778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0.28421052631578947</v>
      </c>
      <c r="M93" s="85">
        <v>0.23157894736842105</v>
      </c>
      <c r="N93" s="85">
        <v>0.7407407407407407</v>
      </c>
      <c r="O93" s="85">
        <v>0.45454545454545453</v>
      </c>
      <c r="P93" s="85">
        <v>0.35087719298245612</v>
      </c>
      <c r="Q93" s="85">
        <v>0.42105263157894735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0.29081632653061223</v>
      </c>
      <c r="M94" s="85">
        <v>0.23469387755102042</v>
      </c>
      <c r="N94" s="85">
        <v>0.75438596491228072</v>
      </c>
      <c r="O94" s="85">
        <v>0.45652173913043476</v>
      </c>
      <c r="P94" s="85">
        <v>0.34913793103448276</v>
      </c>
      <c r="Q94" s="85">
        <v>0.42241379310344829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0.29556650246305421</v>
      </c>
      <c r="M95" s="85">
        <v>0.23645320197044334</v>
      </c>
      <c r="N95" s="85">
        <v>0.75</v>
      </c>
      <c r="O95" s="85">
        <v>0.47916666666666669</v>
      </c>
      <c r="P95" s="85">
        <v>0.35169491525423729</v>
      </c>
      <c r="Q95" s="85">
        <v>0.42616033755274263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0.29383886255924169</v>
      </c>
      <c r="M96" s="85">
        <v>0.22748815165876776</v>
      </c>
      <c r="N96" s="85">
        <v>0.74193548387096775</v>
      </c>
      <c r="O96" s="85">
        <v>0.47916666666666669</v>
      </c>
      <c r="P96" s="85">
        <v>0.35294117647058826</v>
      </c>
      <c r="Q96" s="85">
        <v>0.42916666666666664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0.29032258064516131</v>
      </c>
      <c r="M97" s="85">
        <v>0.22580645161290322</v>
      </c>
      <c r="N97" s="85">
        <v>0.73015873015873012</v>
      </c>
      <c r="O97" s="85">
        <v>0.46938775510204084</v>
      </c>
      <c r="P97" s="85">
        <v>0.35294117647058826</v>
      </c>
      <c r="Q97" s="85">
        <v>0.42738589211618255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0.29090909090909089</v>
      </c>
      <c r="M98" s="85">
        <v>0.22272727272727272</v>
      </c>
      <c r="N98" s="85">
        <v>0.71875</v>
      </c>
      <c r="O98" s="85">
        <v>0.46938775510204084</v>
      </c>
      <c r="P98" s="85">
        <v>0.35294117647058826</v>
      </c>
      <c r="Q98" s="85">
        <v>0.42738589211618255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0.29515418502202645</v>
      </c>
      <c r="M99" s="85">
        <v>0.22466960352422907</v>
      </c>
      <c r="N99" s="85">
        <v>0.71641791044776115</v>
      </c>
      <c r="O99" s="85">
        <v>0.47058823529411764</v>
      </c>
      <c r="P99" s="85">
        <v>0.35537190082644626</v>
      </c>
      <c r="Q99" s="85">
        <v>0.42386831275720166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0.2978723404255319</v>
      </c>
      <c r="M100" s="85">
        <v>0.21702127659574469</v>
      </c>
      <c r="N100" s="85">
        <v>0.7142857142857143</v>
      </c>
      <c r="O100" s="85">
        <v>0.47058823529411764</v>
      </c>
      <c r="P100" s="85">
        <v>0.36065573770491804</v>
      </c>
      <c r="Q100" s="85">
        <v>0.42213114754098363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0.29795918367346941</v>
      </c>
      <c r="M101" s="85">
        <v>0.22448979591836735</v>
      </c>
      <c r="N101" s="85">
        <v>0.71232876712328763</v>
      </c>
      <c r="O101" s="85">
        <v>0.49090909090909091</v>
      </c>
      <c r="P101" s="85">
        <v>0.35856573705179284</v>
      </c>
      <c r="Q101" s="85">
        <v>0.43426294820717132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0.30278884462151395</v>
      </c>
      <c r="M102" s="85">
        <v>0.21912350597609562</v>
      </c>
      <c r="N102" s="85">
        <v>0.71052631578947367</v>
      </c>
      <c r="O102" s="85">
        <v>0.49090909090909091</v>
      </c>
      <c r="P102" s="85">
        <v>0.35968379446640314</v>
      </c>
      <c r="Q102" s="85">
        <v>0.43253968253968256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0.30078125</v>
      </c>
      <c r="M103" s="85">
        <v>0.21875</v>
      </c>
      <c r="N103" s="85">
        <v>0.7142857142857143</v>
      </c>
      <c r="O103" s="85">
        <v>0.48214285714285715</v>
      </c>
      <c r="P103" s="85">
        <v>0.36220472440944884</v>
      </c>
      <c r="Q103" s="85">
        <v>0.43083003952569171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0.29368029739776952</v>
      </c>
      <c r="M104" s="85">
        <v>0.21561338289962825</v>
      </c>
      <c r="N104" s="85">
        <v>0.70886075949367089</v>
      </c>
      <c r="O104" s="85">
        <v>0.46551724137931033</v>
      </c>
      <c r="P104" s="85">
        <v>0.35797665369649806</v>
      </c>
      <c r="Q104" s="85">
        <v>0.43359375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0.29496402877697842</v>
      </c>
      <c r="M105" s="85">
        <v>0.21582733812949639</v>
      </c>
      <c r="N105" s="85">
        <v>0.70731707317073167</v>
      </c>
      <c r="O105" s="85">
        <v>0.45</v>
      </c>
      <c r="P105" s="85">
        <v>0.36153846153846153</v>
      </c>
      <c r="Q105" s="85">
        <v>0.43243243243243246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0.28719723183391005</v>
      </c>
      <c r="M106" s="85">
        <v>0.2179930795847751</v>
      </c>
      <c r="N106" s="85">
        <v>0.6987951807228916</v>
      </c>
      <c r="O106" s="85">
        <v>0.44444444444444442</v>
      </c>
      <c r="P106" s="85">
        <v>0.36501901140684412</v>
      </c>
      <c r="Q106" s="85">
        <v>0.43346007604562736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0.28716216216216217</v>
      </c>
      <c r="M107" s="85">
        <v>0.2195945945945946</v>
      </c>
      <c r="N107" s="85">
        <v>0.70588235294117652</v>
      </c>
      <c r="O107" s="85">
        <v>0.44615384615384618</v>
      </c>
      <c r="P107" s="85">
        <v>0.36842105263157893</v>
      </c>
      <c r="Q107" s="85">
        <v>0.43396226415094341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0.28428093645484948</v>
      </c>
      <c r="M108" s="85">
        <v>0.21739130434782608</v>
      </c>
      <c r="N108" s="85">
        <v>0.70588235294117652</v>
      </c>
      <c r="O108" s="85">
        <v>0.44615384615384618</v>
      </c>
      <c r="P108" s="85">
        <v>0.36704119850187267</v>
      </c>
      <c r="Q108" s="85">
        <v>0.43233082706766918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0.28338762214983715</v>
      </c>
      <c r="M109" s="85">
        <v>0.21824104234527689</v>
      </c>
      <c r="N109" s="85">
        <v>0.70114942528735635</v>
      </c>
      <c r="O109" s="85">
        <v>0.44776119402985076</v>
      </c>
      <c r="P109" s="85">
        <v>0.36431226765799257</v>
      </c>
      <c r="Q109" s="85">
        <v>0.43122676579925651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0.28115015974440893</v>
      </c>
      <c r="M110" s="85">
        <v>0.21725239616613418</v>
      </c>
      <c r="N110" s="85">
        <v>0.70454545454545459</v>
      </c>
      <c r="O110" s="85">
        <v>0.45588235294117646</v>
      </c>
      <c r="P110" s="85">
        <v>0.36900369003690037</v>
      </c>
      <c r="Q110" s="85">
        <v>0.42962962962962964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0.2822085889570552</v>
      </c>
      <c r="M111" s="85">
        <v>0.21779141104294478</v>
      </c>
      <c r="N111" s="85">
        <v>0.70652173913043481</v>
      </c>
      <c r="O111" s="85">
        <v>0.45070422535211269</v>
      </c>
      <c r="P111" s="85">
        <v>0.37454545454545457</v>
      </c>
      <c r="Q111" s="85">
        <v>0.43065693430656932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0.28313253012048195</v>
      </c>
      <c r="M112" s="85">
        <v>0.22289156626506024</v>
      </c>
      <c r="N112" s="85">
        <v>0.71276595744680848</v>
      </c>
      <c r="O112" s="85">
        <v>0.44594594594594594</v>
      </c>
      <c r="P112" s="85">
        <v>0.37410071942446044</v>
      </c>
      <c r="Q112" s="85">
        <v>0.4311594202898551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0.28613569321533922</v>
      </c>
      <c r="M113" s="85">
        <v>0.22123893805309736</v>
      </c>
      <c r="N113" s="85">
        <v>0.72164948453608246</v>
      </c>
      <c r="O113" s="85">
        <v>0.44</v>
      </c>
      <c r="P113" s="85">
        <v>0.37722419928825623</v>
      </c>
      <c r="Q113" s="85">
        <v>0.4265232974910394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0.28735632183908044</v>
      </c>
      <c r="M114" s="85">
        <v>0.21551724137931033</v>
      </c>
      <c r="N114" s="85">
        <v>0.72</v>
      </c>
      <c r="O114" s="85">
        <v>0.44</v>
      </c>
      <c r="P114" s="85">
        <v>0.37809187279151946</v>
      </c>
      <c r="Q114" s="85">
        <v>0.42348754448398579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0.28813559322033899</v>
      </c>
      <c r="M115" s="85">
        <v>0.2175141242937853</v>
      </c>
      <c r="N115" s="85">
        <v>0.71568627450980393</v>
      </c>
      <c r="O115" s="85">
        <v>0.45454545454545453</v>
      </c>
      <c r="P115" s="85">
        <v>0.37412587412587411</v>
      </c>
      <c r="Q115" s="85">
        <v>0.42807017543859649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0.29005524861878451</v>
      </c>
      <c r="M116" s="85">
        <v>0.21546961325966851</v>
      </c>
      <c r="N116" s="85">
        <v>0.70476190476190481</v>
      </c>
      <c r="O116" s="85">
        <v>0.46153846153846156</v>
      </c>
      <c r="P116" s="85">
        <v>0.37024221453287198</v>
      </c>
      <c r="Q116" s="85">
        <v>0.42560553633217996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0.28688524590163933</v>
      </c>
      <c r="M117" s="85">
        <v>0.21311475409836064</v>
      </c>
      <c r="N117" s="85">
        <v>0.70476190476190481</v>
      </c>
      <c r="O117" s="85">
        <v>0.46153846153846156</v>
      </c>
      <c r="P117" s="85">
        <v>0.37024221453287198</v>
      </c>
      <c r="Q117" s="85">
        <v>0.42413793103448277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0.28418230563002683</v>
      </c>
      <c r="M118" s="85">
        <v>0.21179624664879357</v>
      </c>
      <c r="N118" s="85">
        <v>0.70754716981132071</v>
      </c>
      <c r="O118" s="85">
        <v>0.46835443037974683</v>
      </c>
      <c r="P118" s="85">
        <v>0.3651877133105802</v>
      </c>
      <c r="Q118" s="85">
        <v>0.42320819112627989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0.2879581151832461</v>
      </c>
      <c r="M119" s="85">
        <v>0.20942408376963351</v>
      </c>
      <c r="N119" s="85">
        <v>0.70909090909090911</v>
      </c>
      <c r="O119" s="85">
        <v>0.46250000000000002</v>
      </c>
      <c r="P119" s="85">
        <v>0.36148648648648651</v>
      </c>
      <c r="Q119" s="85">
        <v>0.4208754208754209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0.28865979381443296</v>
      </c>
      <c r="M120" s="85">
        <v>0.20876288659793815</v>
      </c>
      <c r="N120" s="85">
        <v>0.7142857142857143</v>
      </c>
      <c r="O120" s="85">
        <v>0.4567901234567901</v>
      </c>
      <c r="P120" s="85">
        <v>0.36241610738255031</v>
      </c>
      <c r="Q120" s="85">
        <v>0.41806020066889632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0.2871536523929471</v>
      </c>
      <c r="M121" s="85">
        <v>0.20906801007556675</v>
      </c>
      <c r="N121" s="85">
        <v>0.71052631578947367</v>
      </c>
      <c r="O121" s="85">
        <v>0.44578313253012047</v>
      </c>
      <c r="P121" s="85">
        <v>0.36333333333333334</v>
      </c>
      <c r="Q121" s="85">
        <v>0.42052980132450329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0.28358208955223879</v>
      </c>
      <c r="M122" s="85">
        <v>0.20895522388059701</v>
      </c>
      <c r="N122" s="85">
        <v>0.71052631578947367</v>
      </c>
      <c r="O122" s="85">
        <v>0.44047619047619047</v>
      </c>
      <c r="P122" s="85">
        <v>0.36333333333333334</v>
      </c>
      <c r="Q122" s="85">
        <v>0.41914191419141916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0.28501228501228504</v>
      </c>
      <c r="M123" s="85">
        <v>0.20638820638820637</v>
      </c>
      <c r="N123" s="85">
        <v>0.71551724137931039</v>
      </c>
      <c r="O123" s="85">
        <v>0.44047619047619047</v>
      </c>
      <c r="P123" s="85">
        <v>0.36513157894736842</v>
      </c>
      <c r="Q123" s="85">
        <v>0.42345276872964172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0.28467153284671531</v>
      </c>
      <c r="M124" s="85">
        <v>0.20681265206812652</v>
      </c>
      <c r="N124" s="85">
        <v>0.70940170940170943</v>
      </c>
      <c r="O124" s="85">
        <v>0.43529411764705883</v>
      </c>
      <c r="P124" s="85">
        <v>0.36513157894736842</v>
      </c>
      <c r="Q124" s="85">
        <v>0.42345276872964172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0.28503562945368172</v>
      </c>
      <c r="M125" s="85">
        <v>0.20902612826603326</v>
      </c>
      <c r="N125" s="85">
        <v>0.69166666666666665</v>
      </c>
      <c r="O125" s="85">
        <v>0.43181818181818182</v>
      </c>
      <c r="P125" s="85">
        <v>0.36601307189542481</v>
      </c>
      <c r="Q125" s="85">
        <v>0.42258064516129035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0.28472222222222221</v>
      </c>
      <c r="M126" s="85">
        <v>0.20833333333333334</v>
      </c>
      <c r="N126" s="85">
        <v>0.68292682926829273</v>
      </c>
      <c r="O126" s="85">
        <v>0.42222222222222222</v>
      </c>
      <c r="P126" s="85">
        <v>0.36482084690553745</v>
      </c>
      <c r="Q126" s="85">
        <v>0.41987179487179488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0.2847380410022779</v>
      </c>
      <c r="M127" s="85">
        <v>0.20956719817767655</v>
      </c>
      <c r="N127" s="85">
        <v>0.68</v>
      </c>
      <c r="O127" s="85">
        <v>0.43478260869565216</v>
      </c>
      <c r="P127" s="85">
        <v>0.36334405144694532</v>
      </c>
      <c r="Q127" s="85">
        <v>0.42038216560509556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0.28635346756152125</v>
      </c>
      <c r="M128" s="85">
        <v>0.21252796420581654</v>
      </c>
      <c r="N128" s="85">
        <v>0.6796875</v>
      </c>
      <c r="O128" s="85">
        <v>0.45263157894736844</v>
      </c>
      <c r="P128" s="85">
        <v>0.36075949367088606</v>
      </c>
      <c r="Q128" s="85">
        <v>0.42088607594936711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0.28289473684210525</v>
      </c>
      <c r="M129" s="85">
        <v>0.21710526315789475</v>
      </c>
      <c r="N129" s="85">
        <v>0.68217054263565891</v>
      </c>
      <c r="O129" s="85">
        <v>0.46464646464646464</v>
      </c>
      <c r="P129" s="85">
        <v>0.36562499999999998</v>
      </c>
      <c r="Q129" s="85">
        <v>0.42006269592476492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0.28232758620689657</v>
      </c>
      <c r="M130" s="85">
        <v>0.21982758620689655</v>
      </c>
      <c r="N130" s="85">
        <v>0.68702290076335881</v>
      </c>
      <c r="O130" s="85">
        <v>0.48039215686274511</v>
      </c>
      <c r="P130" s="85">
        <v>0.36615384615384616</v>
      </c>
      <c r="Q130" s="85">
        <v>0.42236024844720499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0.28177966101694918</v>
      </c>
      <c r="M131" s="85">
        <v>0.22033898305084745</v>
      </c>
      <c r="N131" s="85">
        <v>0.69172932330827064</v>
      </c>
      <c r="O131" s="85">
        <v>0.47115384615384615</v>
      </c>
      <c r="P131" s="85">
        <v>0.37003058103975534</v>
      </c>
      <c r="Q131" s="85">
        <v>0.41975308641975306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0.28215767634854771</v>
      </c>
      <c r="M132" s="85">
        <v>0.22199170124481327</v>
      </c>
      <c r="N132" s="85">
        <v>0.68382352941176472</v>
      </c>
      <c r="O132" s="85">
        <v>0.46728971962616822</v>
      </c>
      <c r="P132" s="85">
        <v>0.37082066869300911</v>
      </c>
      <c r="Q132" s="85">
        <v>0.41590214067278286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0.28688524590163933</v>
      </c>
      <c r="M133" s="85">
        <v>0.22131147540983606</v>
      </c>
      <c r="N133" s="85">
        <v>0.6785714285714286</v>
      </c>
      <c r="O133" s="85">
        <v>0.47222222222222221</v>
      </c>
      <c r="P133" s="85">
        <v>0.37349397590361444</v>
      </c>
      <c r="Q133" s="85">
        <v>0.41463414634146339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0.28282828282828282</v>
      </c>
      <c r="M134" s="85">
        <v>0.22222222222222221</v>
      </c>
      <c r="N134" s="85">
        <v>0.6785714285714286</v>
      </c>
      <c r="O134" s="85">
        <v>0.47272727272727272</v>
      </c>
      <c r="P134" s="85">
        <v>0.37237237237237236</v>
      </c>
      <c r="Q134" s="85">
        <v>0.41087613293051362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0.28063241106719367</v>
      </c>
      <c r="M135" s="85">
        <v>0.22332015810276679</v>
      </c>
      <c r="N135" s="85">
        <v>0.676056338028169</v>
      </c>
      <c r="O135" s="85">
        <v>0.48672566371681414</v>
      </c>
      <c r="P135" s="85">
        <v>0.36950146627565983</v>
      </c>
      <c r="Q135" s="85">
        <v>0.42011834319526625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0.28375733855185908</v>
      </c>
      <c r="M136" s="85">
        <v>0.22309197651663404</v>
      </c>
      <c r="N136" s="85">
        <v>0.66896551724137931</v>
      </c>
      <c r="O136" s="85">
        <v>0.48245614035087719</v>
      </c>
      <c r="P136" s="85">
        <v>0.36842105263157893</v>
      </c>
      <c r="Q136" s="85">
        <v>0.41887905604719766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0.28709055876685935</v>
      </c>
      <c r="M137" s="85">
        <v>0.22157996146435452</v>
      </c>
      <c r="N137" s="85">
        <v>0.67785234899328861</v>
      </c>
      <c r="O137" s="85">
        <v>0.48695652173913045</v>
      </c>
      <c r="P137" s="85">
        <v>0.37068965517241381</v>
      </c>
      <c r="Q137" s="85">
        <v>0.42318840579710143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0.28977272727272729</v>
      </c>
      <c r="M138" s="85">
        <v>0.2196969696969697</v>
      </c>
      <c r="N138" s="85">
        <v>0.6797385620915033</v>
      </c>
      <c r="O138" s="85">
        <v>0.48275862068965519</v>
      </c>
      <c r="P138" s="85">
        <v>0.36931818181818182</v>
      </c>
      <c r="Q138" s="85">
        <v>0.42241379310344829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0.29422718808193671</v>
      </c>
      <c r="M139" s="85">
        <v>0.21601489757914338</v>
      </c>
      <c r="N139" s="85">
        <v>0.67088607594936711</v>
      </c>
      <c r="O139" s="85">
        <v>0.48275862068965519</v>
      </c>
      <c r="P139" s="85">
        <v>0.36901408450704226</v>
      </c>
      <c r="Q139" s="85">
        <v>0.42045454545454547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0.29326047358834245</v>
      </c>
      <c r="M140" s="85">
        <v>0.21493624772313297</v>
      </c>
      <c r="N140" s="85">
        <v>0.67080745341614911</v>
      </c>
      <c r="O140" s="85">
        <v>0.48305084745762711</v>
      </c>
      <c r="P140" s="85">
        <v>0.36768802228412256</v>
      </c>
      <c r="Q140" s="85">
        <v>0.42016806722689076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0.29316546762589929</v>
      </c>
      <c r="M141" s="85">
        <v>0.21762589928057555</v>
      </c>
      <c r="N141" s="85">
        <v>0.66871165644171782</v>
      </c>
      <c r="O141" s="85">
        <v>0.48760330578512395</v>
      </c>
      <c r="P141" s="85">
        <v>0.36464088397790057</v>
      </c>
      <c r="Q141" s="85">
        <v>0.42222222222222222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0.29203539823008851</v>
      </c>
      <c r="M142" s="85">
        <v>0.21592920353982301</v>
      </c>
      <c r="N142" s="85">
        <v>0.67272727272727273</v>
      </c>
      <c r="O142" s="85">
        <v>0.48360655737704916</v>
      </c>
      <c r="P142" s="85">
        <v>0.36538461538461536</v>
      </c>
      <c r="Q142" s="85">
        <v>0.41988950276243092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0.296875</v>
      </c>
      <c r="M143" s="85">
        <v>0.2170138888888889</v>
      </c>
      <c r="N143" s="85">
        <v>0.67251461988304095</v>
      </c>
      <c r="O143" s="85">
        <v>0.47199999999999998</v>
      </c>
      <c r="P143" s="85">
        <v>0.37127371273712739</v>
      </c>
      <c r="Q143" s="85">
        <v>0.42076502732240439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0.29401709401709403</v>
      </c>
      <c r="M144" s="85">
        <v>0.22222222222222221</v>
      </c>
      <c r="N144" s="85">
        <v>0.66860465116279066</v>
      </c>
      <c r="O144" s="85">
        <v>0.46923076923076923</v>
      </c>
      <c r="P144" s="85">
        <v>0.37096774193548387</v>
      </c>
      <c r="Q144" s="85">
        <v>0.42005420054200543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0.29342327150084319</v>
      </c>
      <c r="M145" s="85">
        <v>0.22259696458684655</v>
      </c>
      <c r="N145" s="85">
        <v>0.66666666666666663</v>
      </c>
      <c r="O145" s="85">
        <v>0.46969696969696972</v>
      </c>
      <c r="P145" s="85">
        <v>0.37165775401069517</v>
      </c>
      <c r="Q145" s="85">
        <v>0.41778975741239893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0.28951747088186358</v>
      </c>
      <c r="M146" s="85">
        <v>0.22296173044925124</v>
      </c>
      <c r="N146" s="85">
        <v>0.66666666666666663</v>
      </c>
      <c r="O146" s="85">
        <v>0.47014925373134331</v>
      </c>
      <c r="P146" s="85">
        <v>0.36968085106382981</v>
      </c>
      <c r="Q146" s="85">
        <v>0.41711229946524064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0.28641571194762683</v>
      </c>
      <c r="M147" s="85">
        <v>0.22422258592471359</v>
      </c>
      <c r="N147" s="85">
        <v>0.66285714285714281</v>
      </c>
      <c r="O147" s="85">
        <v>0.46715328467153283</v>
      </c>
      <c r="P147" s="85">
        <v>0.3687002652519894</v>
      </c>
      <c r="Q147" s="85">
        <v>0.41644562334217505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0.28780487804878047</v>
      </c>
      <c r="M148" s="85">
        <v>0.22439024390243903</v>
      </c>
      <c r="N148" s="85">
        <v>0.66101694915254239</v>
      </c>
      <c r="O148" s="85">
        <v>0.47101449275362317</v>
      </c>
      <c r="P148" s="85">
        <v>0.36675461741424803</v>
      </c>
      <c r="Q148" s="85">
        <v>0.41798941798941797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0.2861736334405145</v>
      </c>
      <c r="M149" s="85">
        <v>0.22990353697749197</v>
      </c>
      <c r="N149" s="85">
        <v>0.6629213483146067</v>
      </c>
      <c r="O149" s="85">
        <v>0.47552447552447552</v>
      </c>
      <c r="P149" s="85">
        <v>0.36292428198433418</v>
      </c>
      <c r="Q149" s="85">
        <v>0.41842105263157897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0.2857142857142857</v>
      </c>
      <c r="M150" s="85">
        <v>0.22953451043338685</v>
      </c>
      <c r="N150" s="85">
        <v>0.6629213483146067</v>
      </c>
      <c r="O150" s="85">
        <v>0.47552447552447552</v>
      </c>
      <c r="P150" s="85">
        <v>0.36292428198433418</v>
      </c>
      <c r="Q150" s="85">
        <v>0.41842105263157897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0.2848101265822785</v>
      </c>
      <c r="M151" s="85">
        <v>0.23259493670886075</v>
      </c>
      <c r="N151" s="85">
        <v>0.66111111111111109</v>
      </c>
      <c r="O151" s="85">
        <v>0.46938775510204084</v>
      </c>
      <c r="P151" s="85">
        <v>0.36623376623376624</v>
      </c>
      <c r="Q151" s="85">
        <v>0.41884816753926701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0.28705148205928238</v>
      </c>
      <c r="M152" s="85">
        <v>0.23244929797191888</v>
      </c>
      <c r="N152" s="85">
        <v>0.65760869565217395</v>
      </c>
      <c r="O152" s="85">
        <v>0.47651006711409394</v>
      </c>
      <c r="P152" s="85">
        <v>0.36503856041131105</v>
      </c>
      <c r="Q152" s="85">
        <v>0.41818181818181815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0.2846153846153846</v>
      </c>
      <c r="M153" s="85">
        <v>0.23692307692307693</v>
      </c>
      <c r="N153" s="85">
        <v>0.6594594594594595</v>
      </c>
      <c r="O153" s="85">
        <v>0.46753246753246752</v>
      </c>
      <c r="P153" s="85">
        <v>0.3631713554987212</v>
      </c>
      <c r="Q153" s="85">
        <v>0.4175257731958763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0.28396946564885495</v>
      </c>
      <c r="M154" s="85">
        <v>0.23511450381679388</v>
      </c>
      <c r="N154" s="85">
        <v>0.66129032258064513</v>
      </c>
      <c r="O154" s="85">
        <v>0.46753246753246752</v>
      </c>
      <c r="P154" s="85">
        <v>0.36479591836734693</v>
      </c>
      <c r="Q154" s="85">
        <v>0.41794871794871796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0.28378378378378377</v>
      </c>
      <c r="M155" s="85">
        <v>0.23273273273273273</v>
      </c>
      <c r="N155" s="85">
        <v>0.65608465608465605</v>
      </c>
      <c r="O155" s="85">
        <v>0.47096774193548385</v>
      </c>
      <c r="P155" s="85">
        <v>0.36775818639798491</v>
      </c>
      <c r="Q155" s="85">
        <v>0.42025316455696204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0.2838038632986627</v>
      </c>
      <c r="M156" s="85">
        <v>0.23179791976225855</v>
      </c>
      <c r="N156" s="85">
        <v>0.65445026178010468</v>
      </c>
      <c r="O156" s="85">
        <v>0.46794871794871795</v>
      </c>
      <c r="P156" s="85">
        <v>0.36683417085427134</v>
      </c>
      <c r="Q156" s="85">
        <v>0.41813602015113349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0.2838235294117647</v>
      </c>
      <c r="M157" s="85">
        <v>0.23088235294117648</v>
      </c>
      <c r="N157" s="85">
        <v>0.65803108808290156</v>
      </c>
      <c r="O157" s="85">
        <v>0.46496815286624205</v>
      </c>
      <c r="P157" s="85">
        <v>0.36907730673316708</v>
      </c>
      <c r="Q157" s="85">
        <v>0.41749999999999998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0.28425655976676384</v>
      </c>
      <c r="M158" s="85">
        <v>0.22886297376093295</v>
      </c>
      <c r="N158" s="85">
        <v>0.65641025641025641</v>
      </c>
      <c r="O158" s="85">
        <v>0.46496815286624205</v>
      </c>
      <c r="P158" s="85">
        <v>0.36815920398009949</v>
      </c>
      <c r="Q158" s="85">
        <v>0.41749999999999998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0.28591954022988508</v>
      </c>
      <c r="M159" s="85">
        <v>0.22557471264367815</v>
      </c>
      <c r="N159" s="85">
        <v>0.65326633165829151</v>
      </c>
      <c r="O159" s="85">
        <v>0.46496815286624205</v>
      </c>
      <c r="P159" s="85">
        <v>0.36633663366336633</v>
      </c>
      <c r="Q159" s="85">
        <v>0.4143920595533499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0.28267045454545453</v>
      </c>
      <c r="M160" s="85">
        <v>0.22443181818181818</v>
      </c>
      <c r="N160" s="85">
        <v>0.65326633165829151</v>
      </c>
      <c r="O160" s="85">
        <v>0.46835443037974683</v>
      </c>
      <c r="P160" s="85">
        <v>0.36945812807881773</v>
      </c>
      <c r="Q160" s="85">
        <v>0.41379310344827586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0.28270042194092826</v>
      </c>
      <c r="M161" s="85">
        <v>0.22222222222222221</v>
      </c>
      <c r="N161" s="85">
        <v>0.65671641791044777</v>
      </c>
      <c r="O161" s="85">
        <v>0.46835443037974683</v>
      </c>
      <c r="P161" s="85">
        <v>0.36829268292682926</v>
      </c>
      <c r="Q161" s="85">
        <v>0.41421568627450983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0.28710124826629679</v>
      </c>
      <c r="M162" s="85">
        <v>0.22052704576976423</v>
      </c>
      <c r="N162" s="85">
        <v>0.64734299516908211</v>
      </c>
      <c r="O162" s="85">
        <v>0.46540880503144655</v>
      </c>
      <c r="P162" s="85">
        <v>0.36650485436893204</v>
      </c>
      <c r="Q162" s="85">
        <v>0.41362530413625304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0.28767123287671231</v>
      </c>
      <c r="M163" s="85">
        <v>0.22054794520547946</v>
      </c>
      <c r="N163" s="85">
        <v>0.64761904761904765</v>
      </c>
      <c r="O163" s="85">
        <v>0.46583850931677018</v>
      </c>
      <c r="P163" s="85">
        <v>0.36867469879518072</v>
      </c>
      <c r="Q163" s="85">
        <v>0.41445783132530123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0.2872628726287263</v>
      </c>
      <c r="M164" s="85">
        <v>0.22086720867208673</v>
      </c>
      <c r="N164" s="85">
        <v>0.65094339622641506</v>
      </c>
      <c r="O164" s="85">
        <v>0.47239263803680981</v>
      </c>
      <c r="P164" s="85">
        <v>0.37231503579952269</v>
      </c>
      <c r="Q164" s="85">
        <v>0.41626794258373206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0.28838451268357812</v>
      </c>
      <c r="M165" s="85">
        <v>0.22162883845126835</v>
      </c>
      <c r="N165" s="85">
        <v>0.64351851851851849</v>
      </c>
      <c r="O165" s="85">
        <v>0.4759036144578313</v>
      </c>
      <c r="P165" s="85">
        <v>0.37677725118483413</v>
      </c>
      <c r="Q165" s="85">
        <v>0.41666666666666669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0.28477690288713908</v>
      </c>
      <c r="M166" s="85">
        <v>0.2230971128608924</v>
      </c>
      <c r="N166" s="85">
        <v>0.64055299539170507</v>
      </c>
      <c r="O166" s="85">
        <v>0.48823529411764705</v>
      </c>
      <c r="P166" s="85">
        <v>0.3779342723004695</v>
      </c>
      <c r="Q166" s="85">
        <v>0.41745283018867924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0.28385416666666669</v>
      </c>
      <c r="M167" s="85">
        <v>0.22135416666666666</v>
      </c>
      <c r="N167" s="85">
        <v>0.63761467889908252</v>
      </c>
      <c r="O167" s="85">
        <v>0.48823529411764705</v>
      </c>
      <c r="P167" s="85">
        <v>0.37939110070257609</v>
      </c>
      <c r="Q167" s="85">
        <v>0.41549295774647887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0.28479381443298968</v>
      </c>
      <c r="M168" s="85">
        <v>0.22293814432989692</v>
      </c>
      <c r="N168" s="85">
        <v>0.63348416289592757</v>
      </c>
      <c r="O168" s="85">
        <v>0.48554913294797686</v>
      </c>
      <c r="P168" s="85">
        <v>0.38228438228438227</v>
      </c>
      <c r="Q168" s="85">
        <v>0.41491841491841491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0.28172588832487311</v>
      </c>
      <c r="M169" s="85">
        <v>0.22461928934010153</v>
      </c>
      <c r="N169" s="85">
        <v>0.63063063063063063</v>
      </c>
      <c r="O169" s="85">
        <v>0.47457627118644069</v>
      </c>
      <c r="P169" s="85">
        <v>0.38139534883720932</v>
      </c>
      <c r="Q169" s="85">
        <v>0.413953488372093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0.28211586901763225</v>
      </c>
      <c r="M170" s="85">
        <v>0.22418136020151133</v>
      </c>
      <c r="N170" s="85">
        <v>0.6294642857142857</v>
      </c>
      <c r="O170" s="85">
        <v>0.47752808988764045</v>
      </c>
      <c r="P170" s="85">
        <v>0.38106235565819863</v>
      </c>
      <c r="Q170" s="85">
        <v>0.41339491916859122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0.28410513141426785</v>
      </c>
      <c r="M171" s="85">
        <v>0.2227784730913642</v>
      </c>
      <c r="N171" s="85">
        <v>0.63436123348017626</v>
      </c>
      <c r="O171" s="85">
        <v>0.47752808988764045</v>
      </c>
      <c r="P171" s="85">
        <v>0.37986270022883295</v>
      </c>
      <c r="Q171" s="85">
        <v>0.41513761467889909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0.28376703841387857</v>
      </c>
      <c r="M172" s="85">
        <v>0.22304832713754646</v>
      </c>
      <c r="N172" s="85">
        <v>0.63755458515283847</v>
      </c>
      <c r="O172" s="85">
        <v>0.48333333333333334</v>
      </c>
      <c r="P172" s="85">
        <v>0.3832199546485261</v>
      </c>
      <c r="Q172" s="85">
        <v>0.41590909090909089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0.28431372549019607</v>
      </c>
      <c r="M173" s="85">
        <v>0.22426470588235295</v>
      </c>
      <c r="N173" s="85">
        <v>0.64224137931034486</v>
      </c>
      <c r="O173" s="85">
        <v>0.47540983606557374</v>
      </c>
      <c r="P173" s="85">
        <v>0.38288288288288286</v>
      </c>
      <c r="Q173" s="85">
        <v>0.41760722347629797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0.28223844282238442</v>
      </c>
      <c r="M174" s="85">
        <v>0.22384428223844283</v>
      </c>
      <c r="N174" s="85">
        <v>0.64224137931034486</v>
      </c>
      <c r="O174" s="85">
        <v>0.47826086956521741</v>
      </c>
      <c r="P174" s="85">
        <v>0.38426966292134829</v>
      </c>
      <c r="Q174" s="85">
        <v>0.41760722347629797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0.28331332533013204</v>
      </c>
      <c r="M175" s="85">
        <v>0.22448979591836735</v>
      </c>
      <c r="N175" s="85">
        <v>0.63983050847457623</v>
      </c>
      <c r="O175" s="85">
        <v>0.47593582887700536</v>
      </c>
      <c r="P175" s="85">
        <v>0.38392857142857145</v>
      </c>
      <c r="Q175" s="85">
        <v>0.41610738255033558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0.28333333333333333</v>
      </c>
      <c r="M176" s="85">
        <v>0.22261904761904761</v>
      </c>
      <c r="N176" s="85">
        <v>0.6386554621848739</v>
      </c>
      <c r="O176" s="85">
        <v>0.47593582887700536</v>
      </c>
      <c r="P176" s="85">
        <v>0.38530066815144765</v>
      </c>
      <c r="Q176" s="85">
        <v>0.41425389755011138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0.28436018957345971</v>
      </c>
      <c r="M177" s="85">
        <v>0.22393364928909953</v>
      </c>
      <c r="N177" s="85">
        <v>0.64166666666666672</v>
      </c>
      <c r="O177" s="85">
        <v>0.48148148148148145</v>
      </c>
      <c r="P177" s="85">
        <v>0.38189845474613687</v>
      </c>
      <c r="Q177" s="85">
        <v>0.41685144124168516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0.28402366863905326</v>
      </c>
      <c r="M178" s="85">
        <v>0.22366863905325443</v>
      </c>
      <c r="N178" s="85">
        <v>0.64166666666666672</v>
      </c>
      <c r="O178" s="85">
        <v>0.48148148148148145</v>
      </c>
      <c r="P178" s="85">
        <v>0.38189845474613687</v>
      </c>
      <c r="Q178" s="85">
        <v>0.41685144124168516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0.28337236533957844</v>
      </c>
      <c r="M179" s="85">
        <v>0.22131147540983606</v>
      </c>
      <c r="N179" s="85">
        <v>0.64049586776859502</v>
      </c>
      <c r="O179" s="85">
        <v>0.48148148148148145</v>
      </c>
      <c r="P179" s="85">
        <v>0.38105726872246698</v>
      </c>
      <c r="Q179" s="85">
        <v>0.41629955947136565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0.28703703703703703</v>
      </c>
      <c r="M180" s="85">
        <v>0.22106481481481483</v>
      </c>
      <c r="N180" s="85">
        <v>0.63709677419354838</v>
      </c>
      <c r="O180" s="85">
        <v>0.47643979057591623</v>
      </c>
      <c r="P180" s="85">
        <v>0.38074398249452956</v>
      </c>
      <c r="Q180" s="85">
        <v>0.41356673960612689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0.29128440366972475</v>
      </c>
      <c r="M181" s="85">
        <v>0.22018348623853212</v>
      </c>
      <c r="N181" s="85">
        <v>0.63779527559055116</v>
      </c>
      <c r="O181" s="85">
        <v>0.47916666666666669</v>
      </c>
      <c r="P181" s="85">
        <v>0.38012958963282939</v>
      </c>
      <c r="Q181" s="85">
        <v>0.41648590021691972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0.29090909090909089</v>
      </c>
      <c r="M182" s="85">
        <v>0.21818181818181817</v>
      </c>
      <c r="N182" s="85">
        <v>0.640625</v>
      </c>
      <c r="O182" s="85">
        <v>0.47916666666666669</v>
      </c>
      <c r="P182" s="85">
        <v>0.38329764453961457</v>
      </c>
      <c r="Q182" s="85">
        <v>0.42025862068965519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0.29166666666666669</v>
      </c>
      <c r="M183" s="85">
        <v>0.21734234234234234</v>
      </c>
      <c r="N183" s="85">
        <v>0.64478764478764483</v>
      </c>
      <c r="O183" s="85">
        <v>0.48186528497409326</v>
      </c>
      <c r="P183" s="85">
        <v>0.38004246284501064</v>
      </c>
      <c r="Q183" s="85">
        <v>0.41970021413276232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0.29464285714285715</v>
      </c>
      <c r="M184" s="85">
        <v>0.21651785714285715</v>
      </c>
      <c r="N184" s="85">
        <v>0.64772727272727271</v>
      </c>
      <c r="O184" s="85">
        <v>0.47938144329896909</v>
      </c>
      <c r="P184" s="85">
        <v>0.38105263157894737</v>
      </c>
      <c r="Q184" s="85">
        <v>0.41914893617021276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0.29490022172949004</v>
      </c>
      <c r="M185" s="85">
        <v>0.21507760532150777</v>
      </c>
      <c r="N185" s="85">
        <v>0.65037593984962405</v>
      </c>
      <c r="O185" s="85">
        <v>0.47938144329896909</v>
      </c>
      <c r="P185" s="85">
        <v>0.38284518828451886</v>
      </c>
      <c r="Q185" s="85">
        <v>0.41949152542372881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0.29547960308710031</v>
      </c>
      <c r="M186" s="85">
        <v>0.21499448732083792</v>
      </c>
      <c r="N186" s="85">
        <v>0.64552238805970152</v>
      </c>
      <c r="O186" s="85">
        <v>0.47692307692307695</v>
      </c>
      <c r="P186" s="85">
        <v>0.38204592901878914</v>
      </c>
      <c r="Q186" s="85">
        <v>0.41772151898734178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0.2964989059080963</v>
      </c>
      <c r="M187" s="85">
        <v>0.21444201312910285</v>
      </c>
      <c r="N187" s="85">
        <v>0.64944649446494462</v>
      </c>
      <c r="O187" s="85">
        <v>0.47959183673469385</v>
      </c>
      <c r="P187" s="85">
        <v>0.38095238095238093</v>
      </c>
      <c r="Q187" s="85">
        <v>0.41806722689075632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0.29697624190064797</v>
      </c>
      <c r="M188" s="85">
        <v>0.21274298056155508</v>
      </c>
      <c r="N188" s="85">
        <v>0.65090909090909088</v>
      </c>
      <c r="O188" s="85">
        <v>0.48223350253807107</v>
      </c>
      <c r="P188" s="85">
        <v>0.38114754098360654</v>
      </c>
      <c r="Q188" s="85">
        <v>0.41875000000000001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0.29796355841371919</v>
      </c>
      <c r="M189" s="85">
        <v>0.21221864951768488</v>
      </c>
      <c r="N189" s="85">
        <v>0.65107913669064743</v>
      </c>
      <c r="O189" s="85">
        <v>0.48484848484848486</v>
      </c>
      <c r="P189" s="85">
        <v>0.38289205702647655</v>
      </c>
      <c r="Q189" s="85">
        <v>0.4170124481327801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0.29680851063829788</v>
      </c>
      <c r="M190" s="85">
        <v>0.21063829787234042</v>
      </c>
      <c r="N190" s="85">
        <v>0.6523297491039427</v>
      </c>
      <c r="O190" s="85">
        <v>0.48484848484848486</v>
      </c>
      <c r="P190" s="85">
        <v>0.38259109311740891</v>
      </c>
      <c r="Q190" s="85">
        <v>0.41855670103092785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0.29852320675105487</v>
      </c>
      <c r="M191" s="85">
        <v>0.20991561181434598</v>
      </c>
      <c r="N191" s="85">
        <v>0.65017667844522964</v>
      </c>
      <c r="O191" s="85">
        <v>0.48241206030150752</v>
      </c>
      <c r="P191" s="85">
        <v>0.38104838709677419</v>
      </c>
      <c r="Q191" s="85">
        <v>0.41803278688524592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0.30020920502092052</v>
      </c>
      <c r="M192" s="85">
        <v>0.20815899581589958</v>
      </c>
      <c r="N192" s="85">
        <v>0.65156794425087106</v>
      </c>
      <c r="O192" s="85">
        <v>0.48241206030150752</v>
      </c>
      <c r="P192" s="85">
        <v>0.38076152304609218</v>
      </c>
      <c r="Q192" s="85">
        <v>0.41547861507128309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0.30239833159541191</v>
      </c>
      <c r="M193" s="85">
        <v>0.20750782064650677</v>
      </c>
      <c r="N193" s="85">
        <v>0.65517241379310343</v>
      </c>
      <c r="O193" s="85">
        <v>0.48241206030150752</v>
      </c>
      <c r="P193" s="85">
        <v>0.38047808764940239</v>
      </c>
      <c r="Q193" s="85">
        <v>0.41784989858012173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0.30237358101135192</v>
      </c>
      <c r="M194" s="85">
        <v>0.20536635706914344</v>
      </c>
      <c r="N194" s="85">
        <v>0.65529010238907848</v>
      </c>
      <c r="O194" s="85">
        <v>0.48241206030150752</v>
      </c>
      <c r="P194" s="85">
        <v>0.37944664031620551</v>
      </c>
      <c r="Q194" s="85">
        <v>0.41616161616161618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0.30399181166837258</v>
      </c>
      <c r="M195" s="85">
        <v>0.20368474923234392</v>
      </c>
      <c r="N195" s="85">
        <v>0.65656565656565657</v>
      </c>
      <c r="O195" s="85">
        <v>0.48241206030150752</v>
      </c>
      <c r="P195" s="85">
        <v>0.37917485265225931</v>
      </c>
      <c r="Q195" s="85">
        <v>0.4164989939637827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2A8F9-A45E-4EB5-B8F5-CA1890FDAF4D}">
  <sheetPr codeName="Sheet6"/>
  <dimension ref="A1:Q221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165</v>
      </c>
      <c r="B1" s="88" t="s">
        <v>165</v>
      </c>
      <c r="C1" s="88" t="s">
        <v>165</v>
      </c>
      <c r="D1" s="89" t="s">
        <v>165</v>
      </c>
      <c r="E1" s="88" t="s">
        <v>165</v>
      </c>
      <c r="F1" s="88" t="s">
        <v>165</v>
      </c>
      <c r="G1" s="88" t="s">
        <v>165</v>
      </c>
      <c r="H1" s="88" t="s">
        <v>165</v>
      </c>
      <c r="I1" s="88" t="s">
        <v>165</v>
      </c>
      <c r="J1" s="88" t="s">
        <v>165</v>
      </c>
      <c r="K1" s="88" t="s">
        <v>165</v>
      </c>
      <c r="L1" s="88" t="s">
        <v>165</v>
      </c>
      <c r="M1" s="88" t="s">
        <v>165</v>
      </c>
      <c r="N1" s="88" t="s">
        <v>165</v>
      </c>
      <c r="O1" s="88" t="s">
        <v>165</v>
      </c>
      <c r="P1" s="88" t="s">
        <v>165</v>
      </c>
      <c r="Q1" s="88" t="s">
        <v>165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P4" s="85">
        <v>0</v>
      </c>
      <c r="Q4" s="85">
        <v>0.5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P5" s="85">
        <v>0.1111111111111111</v>
      </c>
      <c r="Q5" s="85">
        <v>0.7142857142857143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P6" s="85">
        <v>0.21428571428571427</v>
      </c>
      <c r="Q6" s="85">
        <v>0.5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P7" s="85">
        <v>0.21052631578947367</v>
      </c>
      <c r="Q7" s="85">
        <v>0.44444444444444442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P8" s="85">
        <v>0.23076923076923078</v>
      </c>
      <c r="Q8" s="85">
        <v>0.4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P9" s="85">
        <v>0.21428571428571427</v>
      </c>
      <c r="Q9" s="85">
        <v>0.40740740740740738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P10" s="85">
        <v>0.2</v>
      </c>
      <c r="Q10" s="85">
        <v>0.35294117647058826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P11" s="85">
        <v>0.21951219512195122</v>
      </c>
      <c r="Q11" s="85">
        <v>0.2857142857142857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P12" s="85">
        <v>0.21739130434782608</v>
      </c>
      <c r="Q12" s="85">
        <v>0.28000000000000003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P13" s="85">
        <v>0.2</v>
      </c>
      <c r="Q13" s="85">
        <v>0.2807017543859649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P14" s="85">
        <v>0.27419354838709675</v>
      </c>
      <c r="Q14" s="85">
        <v>0.31428571428571428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P15" s="85">
        <v>0.29850746268656714</v>
      </c>
      <c r="Q15" s="85">
        <v>0.34666666666666668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P16" s="85">
        <v>0.30379746835443039</v>
      </c>
      <c r="Q16" s="85">
        <v>0.375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P17" s="85">
        <v>0.30952380952380953</v>
      </c>
      <c r="Q17" s="85">
        <v>0.37634408602150538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P18" s="85">
        <v>0.30232558139534882</v>
      </c>
      <c r="Q18" s="85">
        <v>0.38541666666666669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P19" s="85">
        <v>0.32978723404255317</v>
      </c>
      <c r="Q19" s="85">
        <v>0.39423076923076922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P20" s="85">
        <v>0.34343434343434343</v>
      </c>
      <c r="Q20" s="85">
        <v>0.41284403669724773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P21" s="85">
        <v>0.33027522935779818</v>
      </c>
      <c r="Q21" s="85">
        <v>0.42499999999999999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P22" s="85">
        <v>0.33898305084745761</v>
      </c>
      <c r="Q22" s="85">
        <v>0.432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P23" s="85">
        <v>0.33600000000000002</v>
      </c>
      <c r="Q23" s="85">
        <v>0.41984732824427479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P24" s="85">
        <v>0.3359375</v>
      </c>
      <c r="Q24" s="85">
        <v>0.42537313432835822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P25" s="85">
        <v>0.3188405797101449</v>
      </c>
      <c r="Q25" s="85">
        <v>0.43448275862068964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P26" s="85">
        <v>0.34027777777777779</v>
      </c>
      <c r="Q26" s="85">
        <v>0.42483660130718953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P27" s="85">
        <v>0.33783783783783783</v>
      </c>
      <c r="Q27" s="85">
        <v>0.42675159235668791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P28" s="85">
        <v>0.35256410256410259</v>
      </c>
      <c r="Q28" s="85">
        <v>0.42168674698795183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P29" s="85">
        <v>0.34969325153374231</v>
      </c>
      <c r="Q29" s="85">
        <v>0.41379310344827586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P30" s="85">
        <v>0.36144578313253012</v>
      </c>
      <c r="Q30" s="85">
        <v>0.40782122905027934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P31" s="85">
        <v>0.36781609195402298</v>
      </c>
      <c r="Q31" s="85">
        <v>0.41176470588235292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P32" s="85">
        <v>0.37016574585635359</v>
      </c>
      <c r="Q32" s="85">
        <v>0.40206185567010311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P33" s="85">
        <v>0.37037037037037035</v>
      </c>
      <c r="Q33" s="85">
        <v>0.4039408866995074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P34" s="85">
        <v>0.375</v>
      </c>
      <c r="Q34" s="85">
        <v>0.41062801932367149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P35" s="85">
        <v>0.37623762376237624</v>
      </c>
      <c r="Q35" s="85">
        <v>0.41935483870967744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P36" s="85">
        <v>0.37560975609756098</v>
      </c>
      <c r="Q36" s="85">
        <v>0.42533936651583709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P37" s="85">
        <v>0.38497652582159625</v>
      </c>
      <c r="Q37" s="85">
        <v>0.42794759825327511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P38" s="85">
        <v>0.38636363636363635</v>
      </c>
      <c r="Q38" s="85">
        <v>0.41949152542372881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P39" s="85">
        <v>0.38325991189427311</v>
      </c>
      <c r="Q39" s="85">
        <v>0.4098360655737705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P40" s="85">
        <v>0.39240506329113922</v>
      </c>
      <c r="Q40" s="85">
        <v>0.41338582677165353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P41" s="85">
        <v>0.38912133891213391</v>
      </c>
      <c r="Q41" s="85">
        <v>0.41568627450980394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P42" s="85">
        <v>0.38934426229508196</v>
      </c>
      <c r="Q42" s="85">
        <v>0.42307692307692307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P43" s="85">
        <v>0.39200000000000002</v>
      </c>
      <c r="Q43" s="85">
        <v>0.41353383458646614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P44" s="85">
        <v>0.39382239382239381</v>
      </c>
      <c r="Q44" s="85">
        <v>0.40942028985507245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P45" s="85">
        <v>0.4044943820224719</v>
      </c>
      <c r="Q45" s="85">
        <v>0.40701754385964911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P46" s="85">
        <v>0.40433212996389889</v>
      </c>
      <c r="Q46" s="85">
        <v>0.40540540540540543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P47" s="85">
        <v>0.40350877192982454</v>
      </c>
      <c r="Q47" s="85">
        <v>0.40131578947368424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P48" s="85">
        <v>0.4</v>
      </c>
      <c r="Q48" s="85">
        <v>0.39805825242718446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P49" s="85">
        <v>0.39735099337748342</v>
      </c>
      <c r="Q49" s="85">
        <v>0.39751552795031053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P50" s="85">
        <v>0.4045307443365696</v>
      </c>
      <c r="Q50" s="85">
        <v>0.39209726443769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P51" s="85">
        <v>0.40634920634920635</v>
      </c>
      <c r="Q51" s="85">
        <v>0.38988095238095238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P52" s="85">
        <v>0.4024767801857585</v>
      </c>
      <c r="Q52" s="85">
        <v>0.38728323699421963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P53" s="85">
        <v>0.40298507462686567</v>
      </c>
      <c r="Q53" s="85">
        <v>0.39106145251396646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P54" s="85">
        <v>0.40350877192982454</v>
      </c>
      <c r="Q54" s="85">
        <v>0.39726027397260272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P55" s="85">
        <v>0.40517241379310343</v>
      </c>
      <c r="Q55" s="85">
        <v>0.39247311827956988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P56" s="85">
        <v>0.40563380281690142</v>
      </c>
      <c r="Q56" s="85">
        <v>0.39313984168865435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P57" s="85">
        <v>0.40720221606648199</v>
      </c>
      <c r="Q57" s="85">
        <v>0.39220779220779223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P58" s="85">
        <v>0.40659340659340659</v>
      </c>
      <c r="Q58" s="85">
        <v>0.38520408163265307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P59" s="85">
        <v>0.40750670241286863</v>
      </c>
      <c r="Q59" s="85">
        <v>0.38653366583541149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P60" s="85">
        <v>0.40105540897097625</v>
      </c>
      <c r="Q60" s="85">
        <v>0.38574938574938578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P61" s="85">
        <v>0.40052356020942409</v>
      </c>
      <c r="Q61" s="85">
        <v>0.3902439024390244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P62" s="85">
        <v>0.39795918367346939</v>
      </c>
      <c r="Q62" s="85">
        <v>0.39047619047619048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P63" s="85">
        <v>0.39250000000000002</v>
      </c>
      <c r="Q63" s="85">
        <v>0.39018691588785048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P64" s="85">
        <v>0.39655172413793105</v>
      </c>
      <c r="Q64" s="85">
        <v>0.38990825688073394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P65" s="85">
        <v>0.40193704600484259</v>
      </c>
      <c r="Q65" s="85">
        <v>0.38738738738738737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P66" s="85">
        <v>0.39858490566037735</v>
      </c>
      <c r="Q66" s="85">
        <v>0.38901098901098902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P67" s="85">
        <v>0.39631336405529954</v>
      </c>
      <c r="Q67" s="85">
        <v>0.3935483870967742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P68" s="85">
        <v>0.39631336405529954</v>
      </c>
      <c r="Q68" s="85">
        <v>0.3935483870967742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P69" s="85">
        <v>0.39631336405529954</v>
      </c>
      <c r="Q69" s="85">
        <v>0.3935483870967742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P70" s="85">
        <v>0.39631336405529954</v>
      </c>
      <c r="Q70" s="85">
        <v>0.3935483870967742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0.44444444444444442</v>
      </c>
      <c r="M71" s="85">
        <v>0.1111111111111111</v>
      </c>
      <c r="N71" s="85">
        <v>0.75</v>
      </c>
      <c r="O71" s="85">
        <v>0</v>
      </c>
      <c r="P71" s="85">
        <v>0.39816933638443935</v>
      </c>
      <c r="Q71" s="85">
        <v>0.39743589743589741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0.36363636363636365</v>
      </c>
      <c r="M72" s="85">
        <v>0.18181818181818182</v>
      </c>
      <c r="N72" s="85">
        <v>0.66666666666666663</v>
      </c>
      <c r="O72" s="85">
        <v>0.16666666666666666</v>
      </c>
      <c r="P72" s="85">
        <v>0.39550561797752809</v>
      </c>
      <c r="Q72" s="85">
        <v>0.3949579831932773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0.35087719298245612</v>
      </c>
      <c r="M73" s="85">
        <v>0.17543859649122806</v>
      </c>
      <c r="N73" s="85">
        <v>0.65</v>
      </c>
      <c r="O73" s="85">
        <v>0.3</v>
      </c>
      <c r="P73" s="85">
        <v>0.39735099337748342</v>
      </c>
      <c r="Q73" s="85">
        <v>0.39462809917355374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0.33333333333333331</v>
      </c>
      <c r="M74" s="85">
        <v>0.18666666666666668</v>
      </c>
      <c r="N74" s="85">
        <v>0.64</v>
      </c>
      <c r="O74" s="85">
        <v>0.35714285714285715</v>
      </c>
      <c r="P74" s="85">
        <v>0.39737991266375544</v>
      </c>
      <c r="Q74" s="85">
        <v>0.39387755102040817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0.33333333333333331</v>
      </c>
      <c r="M75" s="85">
        <v>0.22916666666666666</v>
      </c>
      <c r="N75" s="85">
        <v>0.625</v>
      </c>
      <c r="O75" s="85">
        <v>0.27272727272727271</v>
      </c>
      <c r="P75" s="85">
        <v>0.39655172413793105</v>
      </c>
      <c r="Q75" s="85">
        <v>0.39436619718309857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0.31666666666666665</v>
      </c>
      <c r="M76" s="85">
        <v>0.24166666666666667</v>
      </c>
      <c r="N76" s="85">
        <v>0.63157894736842102</v>
      </c>
      <c r="O76" s="85">
        <v>0.27586206896551724</v>
      </c>
      <c r="P76" s="85">
        <v>0.40127388535031849</v>
      </c>
      <c r="Q76" s="85">
        <v>0.39207920792079209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0.32608695652173914</v>
      </c>
      <c r="M77" s="85">
        <v>0.2391304347826087</v>
      </c>
      <c r="N77" s="85">
        <v>0.6</v>
      </c>
      <c r="O77" s="85">
        <v>0.27272727272727271</v>
      </c>
      <c r="P77" s="85">
        <v>0.40126050420168069</v>
      </c>
      <c r="Q77" s="85">
        <v>0.39334637964774949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0.30246913580246915</v>
      </c>
      <c r="M78" s="85">
        <v>0.25925925925925924</v>
      </c>
      <c r="N78" s="85">
        <v>0.5714285714285714</v>
      </c>
      <c r="O78" s="85">
        <v>0.30952380952380953</v>
      </c>
      <c r="P78" s="85">
        <v>0.40165631469979296</v>
      </c>
      <c r="Q78" s="85">
        <v>0.39306358381502893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0.29032258064516131</v>
      </c>
      <c r="M79" s="85">
        <v>0.26881720430107525</v>
      </c>
      <c r="N79" s="85">
        <v>0.55555555555555558</v>
      </c>
      <c r="O79" s="85">
        <v>0.34</v>
      </c>
      <c r="P79" s="85">
        <v>0.40612244897959182</v>
      </c>
      <c r="Q79" s="85">
        <v>0.39089184060721061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0.2878787878787879</v>
      </c>
      <c r="M80" s="85">
        <v>0.25757575757575757</v>
      </c>
      <c r="N80" s="85">
        <v>0.57894736842105265</v>
      </c>
      <c r="O80" s="85">
        <v>0.35294117647058826</v>
      </c>
      <c r="P80" s="85">
        <v>0.40485829959514169</v>
      </c>
      <c r="Q80" s="85">
        <v>0.38983050847457629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0.29166666666666669</v>
      </c>
      <c r="M81" s="85">
        <v>0.25</v>
      </c>
      <c r="N81" s="85">
        <v>0.58730158730158732</v>
      </c>
      <c r="O81" s="85">
        <v>0.35185185185185186</v>
      </c>
      <c r="P81" s="85">
        <v>0.40799999999999997</v>
      </c>
      <c r="Q81" s="85">
        <v>0.38547486033519551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0.29059829059829062</v>
      </c>
      <c r="M82" s="85">
        <v>0.24358974358974358</v>
      </c>
      <c r="N82" s="85">
        <v>0.6029411764705882</v>
      </c>
      <c r="O82" s="85">
        <v>0.33333333333333331</v>
      </c>
      <c r="P82" s="85">
        <v>0.40990099009900988</v>
      </c>
      <c r="Q82" s="85">
        <v>0.38121546961325969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0.2814814814814815</v>
      </c>
      <c r="M83" s="85">
        <v>0.24444444444444444</v>
      </c>
      <c r="N83" s="85">
        <v>0.59210526315789469</v>
      </c>
      <c r="O83" s="85">
        <v>0.34848484848484851</v>
      </c>
      <c r="P83" s="85">
        <v>0.41359223300970877</v>
      </c>
      <c r="Q83" s="85">
        <v>0.38378378378378381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0.29209621993127149</v>
      </c>
      <c r="M84" s="85">
        <v>0.24054982817869416</v>
      </c>
      <c r="N84" s="85">
        <v>0.6</v>
      </c>
      <c r="O84" s="85">
        <v>0.34285714285714286</v>
      </c>
      <c r="P84" s="85">
        <v>0.41379310344827586</v>
      </c>
      <c r="Q84" s="85">
        <v>0.38078291814946619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0.2818181818181818</v>
      </c>
      <c r="M85" s="85">
        <v>0.24848484848484848</v>
      </c>
      <c r="N85" s="85">
        <v>0.58064516129032262</v>
      </c>
      <c r="O85" s="85">
        <v>0.35365853658536583</v>
      </c>
      <c r="P85" s="85">
        <v>0.4101123595505618</v>
      </c>
      <c r="Q85" s="85">
        <v>0.38260869565217392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0.28405797101449276</v>
      </c>
      <c r="M86" s="85">
        <v>0.24637681159420291</v>
      </c>
      <c r="N86" s="85">
        <v>0.58163265306122447</v>
      </c>
      <c r="O86" s="85">
        <v>0.3411764705882353</v>
      </c>
      <c r="P86" s="85">
        <v>0.40892193308550184</v>
      </c>
      <c r="Q86" s="85">
        <v>0.38275862068965516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0.28455284552845528</v>
      </c>
      <c r="M87" s="85">
        <v>0.24932249322493225</v>
      </c>
      <c r="N87" s="85">
        <v>0.580952380952381</v>
      </c>
      <c r="O87" s="85">
        <v>0.33695652173913043</v>
      </c>
      <c r="P87" s="85">
        <v>0.41025641025641024</v>
      </c>
      <c r="Q87" s="85">
        <v>0.38265306122448978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0.27989821882951654</v>
      </c>
      <c r="M88" s="85">
        <v>0.24427480916030533</v>
      </c>
      <c r="N88" s="85">
        <v>0.59090909090909094</v>
      </c>
      <c r="O88" s="85">
        <v>0.32291666666666669</v>
      </c>
      <c r="P88" s="85">
        <v>0.41123188405797101</v>
      </c>
      <c r="Q88" s="85">
        <v>0.37751677852348992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0.27941176470588236</v>
      </c>
      <c r="M89" s="85">
        <v>0.24509803921568626</v>
      </c>
      <c r="N89" s="85">
        <v>0.59649122807017541</v>
      </c>
      <c r="O89" s="85">
        <v>0.31</v>
      </c>
      <c r="P89" s="85">
        <v>0.414721723518851</v>
      </c>
      <c r="Q89" s="85">
        <v>0.37603993344425957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0.27777777777777779</v>
      </c>
      <c r="M90" s="85">
        <v>0.24444444444444444</v>
      </c>
      <c r="N90" s="85">
        <v>0.6</v>
      </c>
      <c r="O90" s="85">
        <v>0.31818181818181818</v>
      </c>
      <c r="P90" s="85">
        <v>0.41403508771929826</v>
      </c>
      <c r="Q90" s="85">
        <v>0.37886178861788616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0.28270042194092826</v>
      </c>
      <c r="M91" s="85">
        <v>0.24472573839662448</v>
      </c>
      <c r="N91" s="85">
        <v>0.59701492537313428</v>
      </c>
      <c r="O91" s="85">
        <v>0.31896551724137934</v>
      </c>
      <c r="P91" s="85">
        <v>0.41421143847487002</v>
      </c>
      <c r="Q91" s="85">
        <v>0.3756019261637239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0.28313253012048195</v>
      </c>
      <c r="M92" s="85">
        <v>0.23895582329317269</v>
      </c>
      <c r="N92" s="85">
        <v>0.60992907801418439</v>
      </c>
      <c r="O92" s="85">
        <v>0.32773109243697479</v>
      </c>
      <c r="P92" s="85">
        <v>0.41538461538461541</v>
      </c>
      <c r="Q92" s="85">
        <v>0.37559429477020601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0.27777777777777779</v>
      </c>
      <c r="M93" s="85">
        <v>0.2413793103448276</v>
      </c>
      <c r="N93" s="85">
        <v>0.61379310344827587</v>
      </c>
      <c r="O93" s="85">
        <v>0.34920634920634919</v>
      </c>
      <c r="P93" s="85">
        <v>0.41146711635750421</v>
      </c>
      <c r="Q93" s="85">
        <v>0.37402190923317685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0.27060931899641577</v>
      </c>
      <c r="M94" s="85">
        <v>0.24551971326164876</v>
      </c>
      <c r="N94" s="85">
        <v>0.60264900662251653</v>
      </c>
      <c r="O94" s="85">
        <v>0.37226277372262773</v>
      </c>
      <c r="P94" s="85">
        <v>0.40991735537190083</v>
      </c>
      <c r="Q94" s="85">
        <v>0.37327188940092165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0.27288428324697755</v>
      </c>
      <c r="M95" s="85">
        <v>0.24525043177892919</v>
      </c>
      <c r="N95" s="85">
        <v>0.60126582278481011</v>
      </c>
      <c r="O95" s="85">
        <v>0.37323943661971831</v>
      </c>
      <c r="P95" s="85">
        <v>0.40752864157119478</v>
      </c>
      <c r="Q95" s="85">
        <v>0.37386018237082069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0.2722772277227723</v>
      </c>
      <c r="M96" s="85">
        <v>0.24422442244224424</v>
      </c>
      <c r="N96" s="85">
        <v>0.60606060606060608</v>
      </c>
      <c r="O96" s="85">
        <v>0.3783783783783784</v>
      </c>
      <c r="P96" s="85">
        <v>0.40806451612903227</v>
      </c>
      <c r="Q96" s="85">
        <v>0.37631184407796103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0.27301587301587299</v>
      </c>
      <c r="M97" s="85">
        <v>0.24285714285714285</v>
      </c>
      <c r="N97" s="85">
        <v>0.61046511627906974</v>
      </c>
      <c r="O97" s="85">
        <v>0.37908496732026142</v>
      </c>
      <c r="P97" s="85">
        <v>0.40829346092503987</v>
      </c>
      <c r="Q97" s="85">
        <v>0.37481481481481482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0.27903469079939669</v>
      </c>
      <c r="M98" s="85">
        <v>0.2368024132730015</v>
      </c>
      <c r="N98" s="85">
        <v>0.61081081081081079</v>
      </c>
      <c r="O98" s="85">
        <v>0.37579617834394907</v>
      </c>
      <c r="P98" s="85">
        <v>0.40659340659340659</v>
      </c>
      <c r="Q98" s="85">
        <v>0.37755102040816324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0.28193832599118945</v>
      </c>
      <c r="M99" s="85">
        <v>0.23641703377386197</v>
      </c>
      <c r="N99" s="85">
        <v>0.609375</v>
      </c>
      <c r="O99" s="85">
        <v>0.37267080745341613</v>
      </c>
      <c r="P99" s="85">
        <v>0.40746500777604977</v>
      </c>
      <c r="Q99" s="85">
        <v>0.37716763005780346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0.27566807313642755</v>
      </c>
      <c r="M100" s="85">
        <v>0.23488045007032349</v>
      </c>
      <c r="N100" s="85">
        <v>0.61224489795918369</v>
      </c>
      <c r="O100" s="85">
        <v>0.3772455089820359</v>
      </c>
      <c r="P100" s="85">
        <v>0.4046153846153846</v>
      </c>
      <c r="Q100" s="85">
        <v>0.37464387464387466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0.27100271002710025</v>
      </c>
      <c r="M101" s="85">
        <v>0.23712737127371275</v>
      </c>
      <c r="N101" s="85">
        <v>0.62</v>
      </c>
      <c r="O101" s="85">
        <v>0.37714285714285717</v>
      </c>
      <c r="P101" s="85">
        <v>0.40425531914893614</v>
      </c>
      <c r="Q101" s="85">
        <v>0.37412095639943743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0.27272727272727271</v>
      </c>
      <c r="M102" s="85">
        <v>0.23847167325428195</v>
      </c>
      <c r="N102" s="85">
        <v>0.61352657004830913</v>
      </c>
      <c r="O102" s="85">
        <v>0.38121546961325969</v>
      </c>
      <c r="P102" s="85">
        <v>0.40451127819548871</v>
      </c>
      <c r="Q102" s="85">
        <v>0.37604456824512533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0.27330779054916987</v>
      </c>
      <c r="M103" s="85">
        <v>0.23499361430395913</v>
      </c>
      <c r="N103" s="85">
        <v>0.61214953271028039</v>
      </c>
      <c r="O103" s="85">
        <v>0.3858695652173913</v>
      </c>
      <c r="P103" s="85">
        <v>0.40416047548291234</v>
      </c>
      <c r="Q103" s="85">
        <v>0.38016528925619836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0.27215980024968789</v>
      </c>
      <c r="M104" s="85">
        <v>0.23595505617977527</v>
      </c>
      <c r="N104" s="85">
        <v>0.61009174311926606</v>
      </c>
      <c r="O104" s="85">
        <v>0.38624338624338622</v>
      </c>
      <c r="P104" s="85">
        <v>0.40412979351032446</v>
      </c>
      <c r="Q104" s="85">
        <v>0.3797814207650273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0.27407407407407408</v>
      </c>
      <c r="M105" s="85">
        <v>0.23456790123456789</v>
      </c>
      <c r="N105" s="85">
        <v>0.61261261261261257</v>
      </c>
      <c r="O105" s="85">
        <v>0.38421052631578945</v>
      </c>
      <c r="P105" s="85">
        <v>0.40528634361233479</v>
      </c>
      <c r="Q105" s="85">
        <v>0.38095238095238093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0.27436823104693142</v>
      </c>
      <c r="M106" s="85">
        <v>0.23345367027677497</v>
      </c>
      <c r="N106" s="85">
        <v>0.60964912280701755</v>
      </c>
      <c r="O106" s="85">
        <v>0.38659793814432991</v>
      </c>
      <c r="P106" s="85">
        <v>0.40611353711790393</v>
      </c>
      <c r="Q106" s="85">
        <v>0.37735849056603776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0.27719298245614032</v>
      </c>
      <c r="M107" s="85">
        <v>0.2304093567251462</v>
      </c>
      <c r="N107" s="85">
        <v>0.60759493670886078</v>
      </c>
      <c r="O107" s="85">
        <v>0.39086294416243655</v>
      </c>
      <c r="P107" s="85">
        <v>0.41210374639769454</v>
      </c>
      <c r="Q107" s="85">
        <v>0.37866666666666665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0.2768361581920904</v>
      </c>
      <c r="M108" s="85">
        <v>0.23050847457627119</v>
      </c>
      <c r="N108" s="85">
        <v>0.60408163265306125</v>
      </c>
      <c r="O108" s="85">
        <v>0.40196078431372551</v>
      </c>
      <c r="P108" s="85">
        <v>0.40992907801418438</v>
      </c>
      <c r="Q108" s="85">
        <v>0.38289473684210529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0.28017718715393136</v>
      </c>
      <c r="M109" s="85">
        <v>0.22702104097452935</v>
      </c>
      <c r="N109" s="85">
        <v>0.60079051383399207</v>
      </c>
      <c r="O109" s="85">
        <v>0.40487804878048783</v>
      </c>
      <c r="P109" s="85">
        <v>0.41209563994374121</v>
      </c>
      <c r="Q109" s="85">
        <v>0.3838120104438642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0.28104575163398693</v>
      </c>
      <c r="M110" s="85">
        <v>0.22549019607843138</v>
      </c>
      <c r="N110" s="85">
        <v>0.60077519379844957</v>
      </c>
      <c r="O110" s="85">
        <v>0.40096618357487923</v>
      </c>
      <c r="P110" s="85">
        <v>0.41258741258741261</v>
      </c>
      <c r="Q110" s="85">
        <v>0.383916990920882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0.28108672936259144</v>
      </c>
      <c r="M111" s="85">
        <v>0.22466039707419017</v>
      </c>
      <c r="N111" s="85">
        <v>0.59479553903345728</v>
      </c>
      <c r="O111" s="85">
        <v>0.39534883720930231</v>
      </c>
      <c r="P111" s="85">
        <v>0.40909090909090912</v>
      </c>
      <c r="Q111" s="85">
        <v>0.38775510204081631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0.2815040650406504</v>
      </c>
      <c r="M112" s="85">
        <v>0.22154471544715448</v>
      </c>
      <c r="N112" s="85">
        <v>0.6028880866425993</v>
      </c>
      <c r="O112" s="85">
        <v>0.39449541284403672</v>
      </c>
      <c r="P112" s="85">
        <v>0.41088435374149662</v>
      </c>
      <c r="Q112" s="85">
        <v>0.38713745271122318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0.27925270403146507</v>
      </c>
      <c r="M113" s="85">
        <v>0.22222222222222221</v>
      </c>
      <c r="N113" s="85">
        <v>0.59859154929577463</v>
      </c>
      <c r="O113" s="85">
        <v>0.39380530973451328</v>
      </c>
      <c r="P113" s="85">
        <v>0.40805369127516777</v>
      </c>
      <c r="Q113" s="85">
        <v>0.38805970149253732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0.279383429672447</v>
      </c>
      <c r="M114" s="85">
        <v>0.22254335260115607</v>
      </c>
      <c r="N114" s="85">
        <v>0.60689655172413792</v>
      </c>
      <c r="O114" s="85">
        <v>0.38961038961038963</v>
      </c>
      <c r="P114" s="85">
        <v>0.40824468085106386</v>
      </c>
      <c r="Q114" s="85">
        <v>0.38840937114673241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0.279847182425979</v>
      </c>
      <c r="M115" s="85">
        <v>0.22063037249283668</v>
      </c>
      <c r="N115" s="85">
        <v>0.60750853242320824</v>
      </c>
      <c r="O115" s="85">
        <v>0.38961038961038963</v>
      </c>
      <c r="P115" s="85">
        <v>0.40794701986754967</v>
      </c>
      <c r="Q115" s="85">
        <v>0.3882063882063882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0.28197945845004668</v>
      </c>
      <c r="M116" s="85">
        <v>0.22128851540616246</v>
      </c>
      <c r="N116" s="85">
        <v>0.60264900662251653</v>
      </c>
      <c r="O116" s="85">
        <v>0.3881856540084388</v>
      </c>
      <c r="P116" s="85">
        <v>0.40629095674967236</v>
      </c>
      <c r="Q116" s="85">
        <v>0.38686131386861317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0.28282828282828282</v>
      </c>
      <c r="M117" s="85">
        <v>0.21854912764003673</v>
      </c>
      <c r="N117" s="85">
        <v>0.6071428571428571</v>
      </c>
      <c r="O117" s="85">
        <v>0.3907563025210084</v>
      </c>
      <c r="P117" s="85">
        <v>0.4096228868660598</v>
      </c>
      <c r="Q117" s="85">
        <v>0.38768115942028986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0.28014184397163122</v>
      </c>
      <c r="M118" s="85">
        <v>0.22429078014184398</v>
      </c>
      <c r="N118" s="85">
        <v>0.61392405063291144</v>
      </c>
      <c r="O118" s="85">
        <v>0.39130434782608697</v>
      </c>
      <c r="P118" s="85">
        <v>0.41176470588235292</v>
      </c>
      <c r="Q118" s="85">
        <v>0.39001189060642094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0.28010471204188481</v>
      </c>
      <c r="M119" s="85">
        <v>0.22338568935427575</v>
      </c>
      <c r="N119" s="85">
        <v>0.61370716510903423</v>
      </c>
      <c r="O119" s="85">
        <v>0.390625</v>
      </c>
      <c r="P119" s="85">
        <v>0.41168996188055906</v>
      </c>
      <c r="Q119" s="85">
        <v>0.38842975206611569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0.27905004240882103</v>
      </c>
      <c r="M120" s="85">
        <v>0.22222222222222221</v>
      </c>
      <c r="N120" s="85">
        <v>0.61702127659574468</v>
      </c>
      <c r="O120" s="85">
        <v>0.39694656488549618</v>
      </c>
      <c r="P120" s="85">
        <v>0.40977443609022557</v>
      </c>
      <c r="Q120" s="85">
        <v>0.38927738927738925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0.28016877637130799</v>
      </c>
      <c r="M121" s="85">
        <v>0.22109704641350211</v>
      </c>
      <c r="N121" s="85">
        <v>0.61746987951807231</v>
      </c>
      <c r="O121" s="85">
        <v>0.39694656488549618</v>
      </c>
      <c r="P121" s="85">
        <v>0.41</v>
      </c>
      <c r="Q121" s="85">
        <v>0.39069767441860465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0.28026533996683251</v>
      </c>
      <c r="M122" s="85">
        <v>0.22056384742951907</v>
      </c>
      <c r="N122" s="85">
        <v>0.62130177514792895</v>
      </c>
      <c r="O122" s="85">
        <v>0.39473684210526316</v>
      </c>
      <c r="P122" s="85">
        <v>0.41191066997518611</v>
      </c>
      <c r="Q122" s="85">
        <v>0.38754325259515571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0.28223844282238442</v>
      </c>
      <c r="M123" s="85">
        <v>0.21897810218978103</v>
      </c>
      <c r="N123" s="85">
        <v>0.61494252873563215</v>
      </c>
      <c r="O123" s="85">
        <v>0.39629629629629631</v>
      </c>
      <c r="P123" s="85">
        <v>0.41031941031941033</v>
      </c>
      <c r="Q123" s="85">
        <v>0.38584474885844749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0.28297362110311752</v>
      </c>
      <c r="M124" s="85">
        <v>0.21982414068745004</v>
      </c>
      <c r="N124" s="85">
        <v>0.61016949152542377</v>
      </c>
      <c r="O124" s="85">
        <v>0.4</v>
      </c>
      <c r="P124" s="85">
        <v>0.40853658536585363</v>
      </c>
      <c r="Q124" s="85">
        <v>0.38662131519274379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0.28333333333333333</v>
      </c>
      <c r="M125" s="85">
        <v>0.21984126984126984</v>
      </c>
      <c r="N125" s="85">
        <v>0.61064425770308128</v>
      </c>
      <c r="O125" s="85">
        <v>0.4007220216606498</v>
      </c>
      <c r="P125" s="85">
        <v>0.40704738760631837</v>
      </c>
      <c r="Q125" s="85">
        <v>0.38644067796610171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0.28560431100846806</v>
      </c>
      <c r="M126" s="85">
        <v>0.21939953810623555</v>
      </c>
      <c r="N126" s="85">
        <v>0.61185983827493262</v>
      </c>
      <c r="O126" s="85">
        <v>0.39298245614035088</v>
      </c>
      <c r="P126" s="85">
        <v>0.40887290167865709</v>
      </c>
      <c r="Q126" s="85">
        <v>0.38641425389755013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0.28560606060606059</v>
      </c>
      <c r="M127" s="85">
        <v>0.22272727272727272</v>
      </c>
      <c r="N127" s="85">
        <v>0.60742705570291777</v>
      </c>
      <c r="O127" s="85">
        <v>0.39455782312925169</v>
      </c>
      <c r="P127" s="85">
        <v>0.41022592152199761</v>
      </c>
      <c r="Q127" s="85">
        <v>0.38784530386740329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0.28560775540641314</v>
      </c>
      <c r="M128" s="85">
        <v>0.22296793437733034</v>
      </c>
      <c r="N128" s="85">
        <v>0.60835509138381205</v>
      </c>
      <c r="O128" s="85">
        <v>0.40133779264214048</v>
      </c>
      <c r="P128" s="85">
        <v>0.40989399293286222</v>
      </c>
      <c r="Q128" s="85">
        <v>0.38815789473684209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0.2857142857142857</v>
      </c>
      <c r="M129" s="85">
        <v>0.22197802197802197</v>
      </c>
      <c r="N129" s="85">
        <v>0.60769230769230764</v>
      </c>
      <c r="O129" s="85">
        <v>0.39933993399339934</v>
      </c>
      <c r="P129" s="85">
        <v>0.40935672514619881</v>
      </c>
      <c r="Q129" s="85">
        <v>0.3858695652173913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0.28467683369644153</v>
      </c>
      <c r="M130" s="85">
        <v>0.22294843863471314</v>
      </c>
      <c r="N130" s="85">
        <v>0.60969387755102045</v>
      </c>
      <c r="O130" s="85">
        <v>0.40065146579804561</v>
      </c>
      <c r="P130" s="85">
        <v>0.40745052386495928</v>
      </c>
      <c r="Q130" s="85">
        <v>0.38636363636363635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0.2832618025751073</v>
      </c>
      <c r="M131" s="85">
        <v>0.22460658082975679</v>
      </c>
      <c r="N131" s="85">
        <v>0.60606060606060608</v>
      </c>
      <c r="O131" s="85">
        <v>0.40127388535031849</v>
      </c>
      <c r="P131" s="85">
        <v>0.40415704387990764</v>
      </c>
      <c r="Q131" s="85">
        <v>0.38453276047261009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0.28081232492997199</v>
      </c>
      <c r="M132" s="85">
        <v>0.22759103641456582</v>
      </c>
      <c r="N132" s="85">
        <v>0.60349127182044893</v>
      </c>
      <c r="O132" s="85">
        <v>0.40615384615384614</v>
      </c>
      <c r="P132" s="85">
        <v>0.40114285714285713</v>
      </c>
      <c r="Q132" s="85">
        <v>0.38363443145589798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0.28135828135828134</v>
      </c>
      <c r="M133" s="85">
        <v>0.22661122661122662</v>
      </c>
      <c r="N133" s="85">
        <v>0.60098522167487689</v>
      </c>
      <c r="O133" s="85">
        <v>0.40672782874617736</v>
      </c>
      <c r="P133" s="85">
        <v>0.4</v>
      </c>
      <c r="Q133" s="85">
        <v>0.38477801268498946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0.28231292517006801</v>
      </c>
      <c r="M134" s="85">
        <v>0.22380952380952382</v>
      </c>
      <c r="N134" s="85">
        <v>0.60722891566265058</v>
      </c>
      <c r="O134" s="85">
        <v>0.40425531914893614</v>
      </c>
      <c r="P134" s="85">
        <v>0.39864864864864863</v>
      </c>
      <c r="Q134" s="85">
        <v>0.3832460732984293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0.28360215053763443</v>
      </c>
      <c r="M135" s="85">
        <v>0.22379032258064516</v>
      </c>
      <c r="N135" s="85">
        <v>0.61137440758293837</v>
      </c>
      <c r="O135" s="85">
        <v>0.39939939939939939</v>
      </c>
      <c r="P135" s="85">
        <v>0.3970917225950783</v>
      </c>
      <c r="Q135" s="85">
        <v>0.38085327783558792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0.28392621870882739</v>
      </c>
      <c r="M136" s="85">
        <v>0.22266139657444006</v>
      </c>
      <c r="N136" s="85">
        <v>0.61252900232018559</v>
      </c>
      <c r="O136" s="85">
        <v>0.40236686390532544</v>
      </c>
      <c r="P136" s="85">
        <v>0.39712389380530971</v>
      </c>
      <c r="Q136" s="85">
        <v>0.38105046343975285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0.28478964401294499</v>
      </c>
      <c r="M137" s="85">
        <v>0.22394822006472492</v>
      </c>
      <c r="N137" s="85">
        <v>0.60681818181818181</v>
      </c>
      <c r="O137" s="85">
        <v>0.40173410404624277</v>
      </c>
      <c r="P137" s="85">
        <v>0.39626783754116357</v>
      </c>
      <c r="Q137" s="85">
        <v>0.37959183673469388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0.28498727735368956</v>
      </c>
      <c r="M138" s="85">
        <v>0.22582697201017812</v>
      </c>
      <c r="N138" s="85">
        <v>0.6071428571428571</v>
      </c>
      <c r="O138" s="85">
        <v>0.39718309859154932</v>
      </c>
      <c r="P138" s="85">
        <v>0.397170837867247</v>
      </c>
      <c r="Q138" s="85">
        <v>0.38018200202224467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0.28355387523629488</v>
      </c>
      <c r="M139" s="85">
        <v>0.22558286074354128</v>
      </c>
      <c r="N139" s="85">
        <v>0.60888888888888892</v>
      </c>
      <c r="O139" s="85">
        <v>0.39664804469273746</v>
      </c>
      <c r="P139" s="85">
        <v>0.39761646803900325</v>
      </c>
      <c r="Q139" s="85">
        <v>0.38028169014084506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0.28277153558052437</v>
      </c>
      <c r="M140" s="85">
        <v>0.22409488139825218</v>
      </c>
      <c r="N140" s="85">
        <v>0.61147902869757176</v>
      </c>
      <c r="O140" s="85">
        <v>0.3955431754874652</v>
      </c>
      <c r="P140" s="85">
        <v>0.39870689655172414</v>
      </c>
      <c r="Q140" s="85">
        <v>0.38138138138138139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0.28252788104089221</v>
      </c>
      <c r="M141" s="85">
        <v>0.22490706319702602</v>
      </c>
      <c r="N141" s="85">
        <v>0.61184210526315785</v>
      </c>
      <c r="O141" s="85">
        <v>0.39944903581267216</v>
      </c>
      <c r="P141" s="85">
        <v>0.3987138263665595</v>
      </c>
      <c r="Q141" s="85">
        <v>0.38285144566301099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0.28223844282238442</v>
      </c>
      <c r="M142" s="85">
        <v>0.2281021897810219</v>
      </c>
      <c r="N142" s="85">
        <v>0.60775862068965514</v>
      </c>
      <c r="O142" s="85">
        <v>0.39733333333333332</v>
      </c>
      <c r="P142" s="85">
        <v>0.39744952178533477</v>
      </c>
      <c r="Q142" s="85">
        <v>0.3820335636722606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0.28205128205128205</v>
      </c>
      <c r="M143" s="85">
        <v>0.22778771615980919</v>
      </c>
      <c r="N143" s="85">
        <v>0.60887949260042284</v>
      </c>
      <c r="O143" s="85">
        <v>0.39528795811518325</v>
      </c>
      <c r="P143" s="85">
        <v>0.39684210526315788</v>
      </c>
      <c r="Q143" s="85">
        <v>0.380859375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0.28032979976442873</v>
      </c>
      <c r="M144" s="85">
        <v>0.22732626619552415</v>
      </c>
      <c r="N144" s="85">
        <v>0.6071428571428571</v>
      </c>
      <c r="O144" s="85">
        <v>0.39637305699481867</v>
      </c>
      <c r="P144" s="85">
        <v>0.39622641509433965</v>
      </c>
      <c r="Q144" s="85">
        <v>0.37924345295829293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0.28222996515679444</v>
      </c>
      <c r="M145" s="85">
        <v>0.22764227642276422</v>
      </c>
      <c r="N145" s="85">
        <v>0.60288065843621397</v>
      </c>
      <c r="O145" s="85">
        <v>0.39795918367346939</v>
      </c>
      <c r="P145" s="85">
        <v>0.39646201873048909</v>
      </c>
      <c r="Q145" s="85">
        <v>0.3782483156881617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0.28187535734705543</v>
      </c>
      <c r="M146" s="85">
        <v>0.22870211549456831</v>
      </c>
      <c r="N146" s="85">
        <v>0.60243407707910746</v>
      </c>
      <c r="O146" s="85">
        <v>0.40250000000000002</v>
      </c>
      <c r="P146" s="85">
        <v>0.4</v>
      </c>
      <c r="Q146" s="85">
        <v>0.37786259541984735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0.28274311410905001</v>
      </c>
      <c r="M147" s="85">
        <v>0.22878021360314785</v>
      </c>
      <c r="N147" s="85">
        <v>0.60039761431411531</v>
      </c>
      <c r="O147" s="85">
        <v>0.40049140049140047</v>
      </c>
      <c r="P147" s="85">
        <v>0.39775051124744376</v>
      </c>
      <c r="Q147" s="85">
        <v>0.3771266540642722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0.28175263449805882</v>
      </c>
      <c r="M148" s="85">
        <v>0.22961730449251247</v>
      </c>
      <c r="N148" s="85">
        <v>0.60039370078740162</v>
      </c>
      <c r="O148" s="85">
        <v>0.40338164251207731</v>
      </c>
      <c r="P148" s="85">
        <v>0.39796954314720812</v>
      </c>
      <c r="Q148" s="85">
        <v>0.37617260787992496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0.28188286808976465</v>
      </c>
      <c r="M149" s="85">
        <v>0.22988505747126436</v>
      </c>
      <c r="N149" s="85">
        <v>0.6</v>
      </c>
      <c r="O149" s="85">
        <v>0.40476190476190477</v>
      </c>
      <c r="P149" s="85">
        <v>0.3997985901309164</v>
      </c>
      <c r="Q149" s="85">
        <v>0.37523277467411548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0.28217555196553579</v>
      </c>
      <c r="M150" s="85">
        <v>0.23047926763597198</v>
      </c>
      <c r="N150" s="85">
        <v>0.60114503816793896</v>
      </c>
      <c r="O150" s="85">
        <v>0.40186915887850466</v>
      </c>
      <c r="P150" s="85">
        <v>0.39820359281437123</v>
      </c>
      <c r="Q150" s="85">
        <v>0.37453874538745385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0.28426666666666667</v>
      </c>
      <c r="M151" s="85">
        <v>0.2288</v>
      </c>
      <c r="N151" s="85">
        <v>0.59849906191369606</v>
      </c>
      <c r="O151" s="85">
        <v>0.40326340326340326</v>
      </c>
      <c r="P151" s="85">
        <v>0.39920556107249255</v>
      </c>
      <c r="Q151" s="85">
        <v>0.37339449541284403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0.28306878306878308</v>
      </c>
      <c r="M152" s="85">
        <v>0.23068783068783069</v>
      </c>
      <c r="N152" s="85">
        <v>0.5962616822429907</v>
      </c>
      <c r="O152" s="85">
        <v>0.40596330275229359</v>
      </c>
      <c r="P152" s="85">
        <v>0.39960435212660733</v>
      </c>
      <c r="Q152" s="85">
        <v>0.37351598173515982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0.28205128205128205</v>
      </c>
      <c r="M153" s="85">
        <v>0.22972265829408686</v>
      </c>
      <c r="N153" s="85">
        <v>0.5992578849721707</v>
      </c>
      <c r="O153" s="85">
        <v>0.40774487471526194</v>
      </c>
      <c r="P153" s="85">
        <v>0.39823008849557523</v>
      </c>
      <c r="Q153" s="85">
        <v>0.37114337568058076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0.28086419753086422</v>
      </c>
      <c r="M154" s="85">
        <v>0.22942386831275721</v>
      </c>
      <c r="N154" s="85">
        <v>0.59523809523809523</v>
      </c>
      <c r="O154" s="85">
        <v>0.4103139013452915</v>
      </c>
      <c r="P154" s="85">
        <v>0.39824732229795523</v>
      </c>
      <c r="Q154" s="85">
        <v>0.37376460017969454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0.28075548749361917</v>
      </c>
      <c r="M155" s="85">
        <v>0.22970903522205208</v>
      </c>
      <c r="N155" s="85">
        <v>0.59272727272727277</v>
      </c>
      <c r="O155" s="85">
        <v>0.40888888888888891</v>
      </c>
      <c r="P155" s="85">
        <v>0.39767216294859359</v>
      </c>
      <c r="Q155" s="85">
        <v>0.37298747763864043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0.28139183055975792</v>
      </c>
      <c r="M156" s="85">
        <v>0.22894604135148763</v>
      </c>
      <c r="N156" s="85">
        <v>0.59498207885304655</v>
      </c>
      <c r="O156" s="85">
        <v>0.40748898678414097</v>
      </c>
      <c r="P156" s="85">
        <v>0.39846005774783444</v>
      </c>
      <c r="Q156" s="85">
        <v>0.37388987566607462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0.28308457711442786</v>
      </c>
      <c r="M157" s="85">
        <v>0.22686567164179106</v>
      </c>
      <c r="N157" s="85">
        <v>0.59402460456942008</v>
      </c>
      <c r="O157" s="85">
        <v>0.40789473684210525</v>
      </c>
      <c r="P157" s="85">
        <v>0.39732569245463228</v>
      </c>
      <c r="Q157" s="85">
        <v>0.37268722466960352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0.28325969563082964</v>
      </c>
      <c r="M158" s="85">
        <v>0.22582228767795778</v>
      </c>
      <c r="N158" s="85">
        <v>0.59618717504332752</v>
      </c>
      <c r="O158" s="85">
        <v>0.40652173913043477</v>
      </c>
      <c r="P158" s="85">
        <v>0.39772727272727271</v>
      </c>
      <c r="Q158" s="85">
        <v>0.3723776223776224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0.28439922480620156</v>
      </c>
      <c r="M159" s="85">
        <v>0.22674418604651161</v>
      </c>
      <c r="N159" s="85">
        <v>0.59454855195911416</v>
      </c>
      <c r="O159" s="85">
        <v>0.40384615384615385</v>
      </c>
      <c r="P159" s="85">
        <v>0.39661654135338348</v>
      </c>
      <c r="Q159" s="85">
        <v>0.37120555073720729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0.28333333333333333</v>
      </c>
      <c r="M160" s="85">
        <v>0.2280952380952381</v>
      </c>
      <c r="N160" s="85">
        <v>0.59495798319327731</v>
      </c>
      <c r="O160" s="85">
        <v>0.39874739039665968</v>
      </c>
      <c r="P160" s="85">
        <v>0.39794967381174279</v>
      </c>
      <c r="Q160" s="85">
        <v>0.3699570815450644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0.28194247996228194</v>
      </c>
      <c r="M161" s="85">
        <v>0.23008015087223008</v>
      </c>
      <c r="N161" s="85">
        <v>0.59531772575250841</v>
      </c>
      <c r="O161" s="85">
        <v>0.39959016393442626</v>
      </c>
      <c r="P161" s="85">
        <v>0.39666357738646896</v>
      </c>
      <c r="Q161" s="85">
        <v>0.36945392491467577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0.28119180633147112</v>
      </c>
      <c r="M162" s="85">
        <v>0.22951582867783984</v>
      </c>
      <c r="N162" s="85">
        <v>0.59602649006622521</v>
      </c>
      <c r="O162" s="85">
        <v>0.39959432048681542</v>
      </c>
      <c r="P162" s="85">
        <v>0.39686924493554326</v>
      </c>
      <c r="Q162" s="85">
        <v>0.3674851820491109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0.28381476386978449</v>
      </c>
      <c r="M163" s="85">
        <v>0.22879413113250802</v>
      </c>
      <c r="N163" s="85">
        <v>0.59612277867528274</v>
      </c>
      <c r="O163" s="85">
        <v>0.39679358717434871</v>
      </c>
      <c r="P163" s="85">
        <v>0.39835916134913402</v>
      </c>
      <c r="Q163" s="85">
        <v>0.36828859060402686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0.28351449275362317</v>
      </c>
      <c r="M164" s="85">
        <v>0.23097826086956522</v>
      </c>
      <c r="N164" s="85">
        <v>0.597444089456869</v>
      </c>
      <c r="O164" s="85">
        <v>0.39215686274509803</v>
      </c>
      <c r="P164" s="85">
        <v>0.39909502262443441</v>
      </c>
      <c r="Q164" s="85">
        <v>0.36802664446294753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0.28449820788530467</v>
      </c>
      <c r="M165" s="85">
        <v>0.2307347670250896</v>
      </c>
      <c r="N165" s="85">
        <v>0.59685039370078741</v>
      </c>
      <c r="O165" s="85">
        <v>0.39223300970873787</v>
      </c>
      <c r="P165" s="85">
        <v>0.39928057553956836</v>
      </c>
      <c r="Q165" s="85">
        <v>0.36724565756823824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0.28368794326241137</v>
      </c>
      <c r="M166" s="85">
        <v>0.23182624113475178</v>
      </c>
      <c r="N166" s="85">
        <v>0.59531250000000002</v>
      </c>
      <c r="O166" s="85">
        <v>0.39196940726577439</v>
      </c>
      <c r="P166" s="85">
        <v>0.39910714285714288</v>
      </c>
      <c r="Q166" s="85">
        <v>0.36647493837304845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0.28302712160979876</v>
      </c>
      <c r="M167" s="85">
        <v>0.23053368328958881</v>
      </c>
      <c r="N167" s="85">
        <v>0.59814528593508498</v>
      </c>
      <c r="O167" s="85">
        <v>0.39278937381404172</v>
      </c>
      <c r="P167" s="85">
        <v>0.39893617021276595</v>
      </c>
      <c r="Q167" s="85">
        <v>0.36593317033414835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0.28416013925152306</v>
      </c>
      <c r="M168" s="85">
        <v>0.2297650130548303</v>
      </c>
      <c r="N168" s="85">
        <v>0.59724349157733536</v>
      </c>
      <c r="O168" s="85">
        <v>0.39393939393939392</v>
      </c>
      <c r="P168" s="85">
        <v>0.39805825242718446</v>
      </c>
      <c r="Q168" s="85">
        <v>0.36718115353371245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0.2833117723156533</v>
      </c>
      <c r="M169" s="85">
        <v>0.23156532988357051</v>
      </c>
      <c r="N169" s="85">
        <v>0.59817351598173518</v>
      </c>
      <c r="O169" s="85">
        <v>0.39478584729981381</v>
      </c>
      <c r="P169" s="85">
        <v>0.39736842105263159</v>
      </c>
      <c r="Q169" s="85">
        <v>0.3667205169628433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0.2833763996554694</v>
      </c>
      <c r="M170" s="85">
        <v>0.23126614987080105</v>
      </c>
      <c r="N170" s="85">
        <v>0.59878419452887544</v>
      </c>
      <c r="O170" s="85">
        <v>0.39478584729981381</v>
      </c>
      <c r="P170" s="85">
        <v>0.39702015775635408</v>
      </c>
      <c r="Q170" s="85">
        <v>0.3672316384180791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0.28267347807577692</v>
      </c>
      <c r="M171" s="85">
        <v>0.23158790974882928</v>
      </c>
      <c r="N171" s="85">
        <v>0.59638554216867468</v>
      </c>
      <c r="O171" s="85">
        <v>0.3952205882352941</v>
      </c>
      <c r="P171" s="85">
        <v>0.40086956521739131</v>
      </c>
      <c r="Q171" s="85">
        <v>0.36858974358974361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0.28409090909090912</v>
      </c>
      <c r="M172" s="85">
        <v>0.23106060606060605</v>
      </c>
      <c r="N172" s="85">
        <v>0.59407407407407409</v>
      </c>
      <c r="O172" s="85">
        <v>0.39708561020036431</v>
      </c>
      <c r="P172" s="85">
        <v>0.40034512510785158</v>
      </c>
      <c r="Q172" s="85">
        <v>0.36833731105807477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0.28339575530586769</v>
      </c>
      <c r="M173" s="85">
        <v>0.23137744486059092</v>
      </c>
      <c r="N173" s="85">
        <v>0.59618208516886928</v>
      </c>
      <c r="O173" s="85">
        <v>0.39748201438848924</v>
      </c>
      <c r="P173" s="85">
        <v>0.40068493150684931</v>
      </c>
      <c r="Q173" s="85">
        <v>0.36808846761453395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0.28329197684036395</v>
      </c>
      <c r="M174" s="85">
        <v>0.23159636062861869</v>
      </c>
      <c r="N174" s="85">
        <v>0.59708029197080292</v>
      </c>
      <c r="O174" s="85">
        <v>0.39642857142857141</v>
      </c>
      <c r="P174" s="85">
        <v>0.40187713310580203</v>
      </c>
      <c r="Q174" s="85">
        <v>0.36821400472069238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0.28396572827417382</v>
      </c>
      <c r="M175" s="85">
        <v>0.2317421460628315</v>
      </c>
      <c r="N175" s="85">
        <v>0.5933908045977011</v>
      </c>
      <c r="O175" s="85">
        <v>0.39612676056338031</v>
      </c>
      <c r="P175" s="85">
        <v>0.40270727580372251</v>
      </c>
      <c r="Q175" s="85">
        <v>0.36895475819032764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0.28357605177993528</v>
      </c>
      <c r="M176" s="85">
        <v>0.23260517799352751</v>
      </c>
      <c r="N176" s="85">
        <v>0.59343794579172615</v>
      </c>
      <c r="O176" s="85">
        <v>0.39652173913043476</v>
      </c>
      <c r="P176" s="85">
        <v>0.40117746005046256</v>
      </c>
      <c r="Q176" s="85">
        <v>0.36850271528316525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0.28291316526610644</v>
      </c>
      <c r="M177" s="85">
        <v>0.23289315726290516</v>
      </c>
      <c r="N177" s="85">
        <v>0.59405940594059403</v>
      </c>
      <c r="O177" s="85">
        <v>0.39690721649484534</v>
      </c>
      <c r="P177" s="85">
        <v>0.40400667779632721</v>
      </c>
      <c r="Q177" s="85">
        <v>0.36825885978428352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0.28293650793650793</v>
      </c>
      <c r="M178" s="85">
        <v>0.23214285714285715</v>
      </c>
      <c r="N178" s="85">
        <v>0.5946704067321178</v>
      </c>
      <c r="O178" s="85">
        <v>0.39658119658119656</v>
      </c>
      <c r="P178" s="85">
        <v>0.40448504983388706</v>
      </c>
      <c r="Q178" s="85">
        <v>0.36704980842911877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0.28289992119779356</v>
      </c>
      <c r="M179" s="85">
        <v>0.23128447596532703</v>
      </c>
      <c r="N179" s="85">
        <v>0.59610027855153203</v>
      </c>
      <c r="O179" s="85">
        <v>0.39693356047700168</v>
      </c>
      <c r="P179" s="85">
        <v>0.40413223140495869</v>
      </c>
      <c r="Q179" s="85">
        <v>0.36918382913806252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0.2834890965732087</v>
      </c>
      <c r="M180" s="85">
        <v>0.23130841121495327</v>
      </c>
      <c r="N180" s="85">
        <v>0.59615384615384615</v>
      </c>
      <c r="O180" s="85">
        <v>0.39393939393939392</v>
      </c>
      <c r="P180" s="85">
        <v>0.4039408866995074</v>
      </c>
      <c r="Q180" s="85">
        <v>0.36790310370931112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0.28202160493827161</v>
      </c>
      <c r="M181" s="85">
        <v>0.23148148148148148</v>
      </c>
      <c r="N181" s="85">
        <v>0.59644322845417241</v>
      </c>
      <c r="O181" s="85">
        <v>0.39500000000000002</v>
      </c>
      <c r="P181" s="85">
        <v>0.40701468189233281</v>
      </c>
      <c r="Q181" s="85">
        <v>0.36719337848006017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0.28243398392652125</v>
      </c>
      <c r="M182" s="85">
        <v>0.23038652889399158</v>
      </c>
      <c r="N182" s="85">
        <v>0.59756097560975607</v>
      </c>
      <c r="O182" s="85">
        <v>0.39368770764119604</v>
      </c>
      <c r="P182" s="85">
        <v>0.40632603406326034</v>
      </c>
      <c r="Q182" s="85">
        <v>0.36676646706586824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0.2833900870223231</v>
      </c>
      <c r="M183" s="85">
        <v>0.22928490351872871</v>
      </c>
      <c r="N183" s="85">
        <v>0.59946595460614149</v>
      </c>
      <c r="O183" s="85">
        <v>0.39273927392739272</v>
      </c>
      <c r="P183" s="85">
        <v>0.40740740740740738</v>
      </c>
      <c r="Q183" s="85">
        <v>0.36627043090638928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0.28507295173961839</v>
      </c>
      <c r="M184" s="85">
        <v>0.22933034044145156</v>
      </c>
      <c r="N184" s="85">
        <v>0.59711286089238846</v>
      </c>
      <c r="O184" s="85">
        <v>0.39151712887438828</v>
      </c>
      <c r="P184" s="85">
        <v>0.40687450039968026</v>
      </c>
      <c r="Q184" s="85">
        <v>0.36578171091445427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0.28518518518518521</v>
      </c>
      <c r="M185" s="85">
        <v>0.22962962962962963</v>
      </c>
      <c r="N185" s="85">
        <v>0.59610389610389614</v>
      </c>
      <c r="O185" s="85">
        <v>0.39193548387096772</v>
      </c>
      <c r="P185" s="85">
        <v>0.40984908657664815</v>
      </c>
      <c r="Q185" s="85">
        <v>0.36483516483516482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0.28450807635829661</v>
      </c>
      <c r="M186" s="85">
        <v>0.23127753303964757</v>
      </c>
      <c r="N186" s="85">
        <v>0.59483870967741936</v>
      </c>
      <c r="O186" s="85">
        <v>0.39523809523809522</v>
      </c>
      <c r="P186" s="85">
        <v>0.409629044988161</v>
      </c>
      <c r="Q186" s="85">
        <v>0.36489439184268024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0.28581791802684076</v>
      </c>
      <c r="M187" s="85">
        <v>0.23104824084149439</v>
      </c>
      <c r="N187" s="85">
        <v>0.59010152284263961</v>
      </c>
      <c r="O187" s="85">
        <v>0.39560439560439559</v>
      </c>
      <c r="P187" s="85">
        <v>0.40987460815047022</v>
      </c>
      <c r="Q187" s="85">
        <v>0.36488439306358383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0.28719599427753933</v>
      </c>
      <c r="M188" s="85">
        <v>0.2296137339055794</v>
      </c>
      <c r="N188" s="85">
        <v>0.58655043586550437</v>
      </c>
      <c r="O188" s="85">
        <v>0.39875389408099687</v>
      </c>
      <c r="P188" s="85">
        <v>0.41103341103341101</v>
      </c>
      <c r="Q188" s="85">
        <v>0.36578382247673585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0.28713574982231699</v>
      </c>
      <c r="M189" s="85">
        <v>0.22956645344705046</v>
      </c>
      <c r="N189" s="85">
        <v>0.5866336633663366</v>
      </c>
      <c r="O189" s="85">
        <v>0.39938080495356038</v>
      </c>
      <c r="P189" s="85">
        <v>0.41067285382830626</v>
      </c>
      <c r="Q189" s="85">
        <v>0.36421952957947257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0.28752642706131076</v>
      </c>
      <c r="M190" s="85">
        <v>0.22973925299506695</v>
      </c>
      <c r="N190" s="85">
        <v>0.58700980392156865</v>
      </c>
      <c r="O190" s="85">
        <v>0.40030674846625769</v>
      </c>
      <c r="P190" s="85">
        <v>0.41199077632590314</v>
      </c>
      <c r="Q190" s="85">
        <v>0.36357193479801558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0.28775226165622825</v>
      </c>
      <c r="M191" s="85">
        <v>0.22860125260960334</v>
      </c>
      <c r="N191" s="85">
        <v>0.59008464328899635</v>
      </c>
      <c r="O191" s="85">
        <v>0.39726027397260272</v>
      </c>
      <c r="P191" s="85">
        <v>0.41234756097560976</v>
      </c>
      <c r="Q191" s="85">
        <v>0.36542515811665494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0.28734439834024894</v>
      </c>
      <c r="M192" s="85">
        <v>0.22821576763485477</v>
      </c>
      <c r="N192" s="85">
        <v>0.58965102286401927</v>
      </c>
      <c r="O192" s="85">
        <v>0.4</v>
      </c>
      <c r="P192" s="85">
        <v>0.41274658573596357</v>
      </c>
      <c r="Q192" s="85">
        <v>0.36459062281315607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0.28758169934640521</v>
      </c>
      <c r="M193" s="85">
        <v>0.22772617819057447</v>
      </c>
      <c r="N193" s="85">
        <v>0.58971291866028708</v>
      </c>
      <c r="O193" s="85">
        <v>0.3987915407854985</v>
      </c>
      <c r="P193" s="85">
        <v>0.41269841269841268</v>
      </c>
      <c r="Q193" s="85">
        <v>0.36471408647140863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0.2865916069600819</v>
      </c>
      <c r="M194" s="85">
        <v>0.22790856363016035</v>
      </c>
      <c r="N194" s="85">
        <v>0.59047619047619049</v>
      </c>
      <c r="O194" s="85">
        <v>0.39970059880239522</v>
      </c>
      <c r="P194" s="85">
        <v>0.41309255079006774</v>
      </c>
      <c r="Q194" s="85">
        <v>0.36407766990291263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0.2870182555780933</v>
      </c>
      <c r="M195" s="85">
        <v>0.2281947261663286</v>
      </c>
      <c r="N195" s="85">
        <v>0.59246171967020023</v>
      </c>
      <c r="O195" s="85">
        <v>0.39555555555555555</v>
      </c>
      <c r="P195" s="85">
        <v>0.41436050860134632</v>
      </c>
      <c r="Q195" s="85">
        <v>0.36388697450034457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0.2866263440860215</v>
      </c>
      <c r="M196" s="85">
        <v>0.22782258064516128</v>
      </c>
      <c r="N196" s="85">
        <v>0.59320046893317702</v>
      </c>
      <c r="O196" s="85">
        <v>0.39528023598820061</v>
      </c>
      <c r="P196" s="85">
        <v>0.41399851079672373</v>
      </c>
      <c r="Q196" s="85">
        <v>0.36582017844886755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0.28647391159853774</v>
      </c>
      <c r="M197" s="85">
        <v>0.22831505483549352</v>
      </c>
      <c r="N197" s="85">
        <v>0.59512761020881666</v>
      </c>
      <c r="O197" s="85">
        <v>0.3930131004366812</v>
      </c>
      <c r="P197" s="85">
        <v>0.41463414634146339</v>
      </c>
      <c r="Q197" s="85">
        <v>0.36580381471389645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0.28613861386138612</v>
      </c>
      <c r="M198" s="85">
        <v>0.22772277227722773</v>
      </c>
      <c r="N198" s="85">
        <v>0.59630911188004609</v>
      </c>
      <c r="O198" s="85">
        <v>0.39275362318840579</v>
      </c>
      <c r="P198" s="85">
        <v>0.41501103752759383</v>
      </c>
      <c r="Q198" s="85">
        <v>0.36474576271186443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0.28632478632478631</v>
      </c>
      <c r="M199" s="85">
        <v>0.22781065088757396</v>
      </c>
      <c r="N199" s="85">
        <v>0.59586681974741673</v>
      </c>
      <c r="O199" s="85">
        <v>0.39393939393939392</v>
      </c>
      <c r="P199" s="85">
        <v>0.41379310344827586</v>
      </c>
      <c r="Q199" s="85">
        <v>0.36511156186612576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0.28637110016420364</v>
      </c>
      <c r="M200" s="85">
        <v>0.22791461412151068</v>
      </c>
      <c r="N200" s="85">
        <v>0.59633027522935778</v>
      </c>
      <c r="O200" s="85">
        <v>0.39337175792507206</v>
      </c>
      <c r="P200" s="85">
        <v>0.41348973607038125</v>
      </c>
      <c r="Q200" s="85">
        <v>0.36554054054054053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0.28645833333333331</v>
      </c>
      <c r="M201" s="85">
        <v>0.2275390625</v>
      </c>
      <c r="N201" s="85">
        <v>0.59886363636363638</v>
      </c>
      <c r="O201" s="85">
        <v>0.39341917024320455</v>
      </c>
      <c r="P201" s="85">
        <v>0.41514930808448652</v>
      </c>
      <c r="Q201" s="85">
        <v>0.36534586971121558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0.28617571059431524</v>
      </c>
      <c r="M202" s="85">
        <v>0.2270671834625323</v>
      </c>
      <c r="N202" s="85">
        <v>0.59932279909706543</v>
      </c>
      <c r="O202" s="85">
        <v>0.39402560455192032</v>
      </c>
      <c r="P202" s="85">
        <v>0.41521739130434782</v>
      </c>
      <c r="Q202" s="85">
        <v>0.36539746158984637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0.287135065768367</v>
      </c>
      <c r="M203" s="85">
        <v>0.22778312479948667</v>
      </c>
      <c r="N203" s="85">
        <v>0.59664804469273747</v>
      </c>
      <c r="O203" s="85">
        <v>0.39295774647887322</v>
      </c>
      <c r="P203" s="85">
        <v>0.41528478731074259</v>
      </c>
      <c r="Q203" s="85">
        <v>0.36436170212765956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0.28884652049571019</v>
      </c>
      <c r="M204" s="85">
        <v>0.22751827136955832</v>
      </c>
      <c r="N204" s="85">
        <v>0.59405940594059403</v>
      </c>
      <c r="O204" s="85">
        <v>0.39106145251396646</v>
      </c>
      <c r="P204" s="85">
        <v>0.41535150645624103</v>
      </c>
      <c r="Q204" s="85">
        <v>0.36261558784676357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0.28800755429650615</v>
      </c>
      <c r="M205" s="85">
        <v>0.22788794460182563</v>
      </c>
      <c r="N205" s="85">
        <v>0.59562841530054644</v>
      </c>
      <c r="O205" s="85">
        <v>0.39226519337016574</v>
      </c>
      <c r="P205" s="85">
        <v>0.41524216524216523</v>
      </c>
      <c r="Q205" s="85">
        <v>0.36286089238845143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0.28834739144017496</v>
      </c>
      <c r="M206" s="85">
        <v>0.22774133083411435</v>
      </c>
      <c r="N206" s="85">
        <v>0.59588299024918745</v>
      </c>
      <c r="O206" s="85">
        <v>0.39094650205761317</v>
      </c>
      <c r="P206" s="85">
        <v>0.41459957476966691</v>
      </c>
      <c r="Q206" s="85">
        <v>0.36292428198433418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0.28775193798449611</v>
      </c>
      <c r="M207" s="85">
        <v>0.22759689922480619</v>
      </c>
      <c r="N207" s="85">
        <v>0.59482758620689657</v>
      </c>
      <c r="O207" s="85">
        <v>0.38964577656675747</v>
      </c>
      <c r="P207" s="85">
        <v>0.4152542372881356</v>
      </c>
      <c r="Q207" s="85">
        <v>0.36363636363636365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0.28778085564789163</v>
      </c>
      <c r="M208" s="85">
        <v>0.22837796244998462</v>
      </c>
      <c r="N208" s="85">
        <v>0.59465240641711226</v>
      </c>
      <c r="O208" s="85">
        <v>0.38948787061994611</v>
      </c>
      <c r="P208" s="85">
        <v>0.41461700632466619</v>
      </c>
      <c r="Q208" s="85">
        <v>0.36240310077519378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0.2871982890314696</v>
      </c>
      <c r="M209" s="85">
        <v>0.22823098075160403</v>
      </c>
      <c r="N209" s="85">
        <v>0.5957446808510638</v>
      </c>
      <c r="O209" s="85">
        <v>0.38955823293172692</v>
      </c>
      <c r="P209" s="85">
        <v>0.41538461538461541</v>
      </c>
      <c r="Q209" s="85">
        <v>0.36182519280205655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0.2871467639015497</v>
      </c>
      <c r="M210" s="85">
        <v>0.22819811607414159</v>
      </c>
      <c r="N210" s="85">
        <v>0.59470899470899474</v>
      </c>
      <c r="O210" s="85">
        <v>0.38881491344873503</v>
      </c>
      <c r="P210" s="85">
        <v>0.41672473867595816</v>
      </c>
      <c r="Q210" s="85">
        <v>0.36171574903969272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0.28735632183908044</v>
      </c>
      <c r="M211" s="85">
        <v>0.22837265577737448</v>
      </c>
      <c r="N211" s="85">
        <v>0.59368421052631581</v>
      </c>
      <c r="O211" s="85">
        <v>0.38940397350993378</v>
      </c>
      <c r="P211" s="85">
        <v>0.41666666666666669</v>
      </c>
      <c r="Q211" s="85">
        <v>0.36183790682833439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0.28752260397830021</v>
      </c>
      <c r="M212" s="85">
        <v>0.22784810126582278</v>
      </c>
      <c r="N212" s="85">
        <v>0.59329140461215935</v>
      </c>
      <c r="O212" s="85">
        <v>0.39021164021164023</v>
      </c>
      <c r="P212" s="85">
        <v>0.41718641718641719</v>
      </c>
      <c r="Q212" s="85">
        <v>0.36218968809675367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0.28721174004192873</v>
      </c>
      <c r="M213" s="85">
        <v>0.22761305780173705</v>
      </c>
      <c r="N213" s="85">
        <v>0.59332638164754958</v>
      </c>
      <c r="O213" s="85">
        <v>0.39078947368421052</v>
      </c>
      <c r="P213" s="85">
        <v>0.41752933057280883</v>
      </c>
      <c r="Q213" s="85">
        <v>0.36185044359949303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0.28740740740740739</v>
      </c>
      <c r="M214" s="85">
        <v>0.22696296296296295</v>
      </c>
      <c r="N214" s="85">
        <v>0.59278350515463918</v>
      </c>
      <c r="O214" s="85">
        <v>0.39295039164490864</v>
      </c>
      <c r="P214" s="85">
        <v>0.41683778234086244</v>
      </c>
      <c r="Q214" s="85">
        <v>0.36289308176100626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0.28798586572438162</v>
      </c>
      <c r="M215" s="85">
        <v>0.22673733804475854</v>
      </c>
      <c r="N215" s="85">
        <v>0.59202453987730064</v>
      </c>
      <c r="O215" s="85">
        <v>0.39350649350649353</v>
      </c>
      <c r="P215" s="85">
        <v>0.41717791411042943</v>
      </c>
      <c r="Q215" s="85">
        <v>0.36130244207889795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0.28797190517998245</v>
      </c>
      <c r="M216" s="85">
        <v>0.22622183201638865</v>
      </c>
      <c r="N216" s="85">
        <v>0.59247967479674801</v>
      </c>
      <c r="O216" s="85">
        <v>0.39327296248382926</v>
      </c>
      <c r="P216" s="85">
        <v>0.41723202170963364</v>
      </c>
      <c r="Q216" s="85">
        <v>0.36159600997506236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0.28886951467596628</v>
      </c>
      <c r="M217" s="85">
        <v>0.22580645161290322</v>
      </c>
      <c r="N217" s="85">
        <v>0.59154929577464788</v>
      </c>
      <c r="O217" s="85">
        <v>0.39253539253539255</v>
      </c>
      <c r="P217" s="85">
        <v>0.41621621621621624</v>
      </c>
      <c r="Q217" s="85">
        <v>0.36104218362282881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0.28888888888888886</v>
      </c>
      <c r="M218" s="85">
        <v>0.22568542568542568</v>
      </c>
      <c r="N218" s="85">
        <v>0.59240759240759244</v>
      </c>
      <c r="O218" s="85">
        <v>0.39002557544757033</v>
      </c>
      <c r="P218" s="85">
        <v>0.41694687289845328</v>
      </c>
      <c r="Q218" s="85">
        <v>0.35987654320987655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0.28929188255613125</v>
      </c>
      <c r="M219" s="85">
        <v>0.22538860103626943</v>
      </c>
      <c r="N219" s="85">
        <v>0.59303482587064682</v>
      </c>
      <c r="O219" s="85">
        <v>0.38952745849297571</v>
      </c>
      <c r="P219" s="85">
        <v>0.41677852348993288</v>
      </c>
      <c r="Q219" s="85">
        <v>0.36044362292051757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0.29023972602739728</v>
      </c>
      <c r="M220" s="85">
        <v>0.22431506849315069</v>
      </c>
      <c r="N220" s="85">
        <v>0.58997050147492625</v>
      </c>
      <c r="O220" s="85">
        <v>0.38931297709923662</v>
      </c>
      <c r="P220" s="85">
        <v>0.41750167000668004</v>
      </c>
      <c r="Q220" s="85">
        <v>0.35884874464176364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0.29081632653061223</v>
      </c>
      <c r="M221" s="85">
        <v>0.22363945578231292</v>
      </c>
      <c r="N221" s="85">
        <v>0.59064327485380119</v>
      </c>
      <c r="O221" s="85">
        <v>0.38910012674271227</v>
      </c>
      <c r="P221" s="85">
        <v>0.41727574750830565</v>
      </c>
      <c r="Q221" s="85">
        <v>0.35892748324192564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2019-02-06T12:46:41Z</dcterms:modified>
</cp:coreProperties>
</file>