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1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2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3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4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5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6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7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9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2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3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4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5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三人麻雀\"/>
    </mc:Choice>
  </mc:AlternateContent>
  <xr:revisionPtr revIDLastSave="0" documentId="13_ncr:1_{8EA11397-8A2F-4646-A781-7A3E3254950C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370" r:id="rId6"/>
    <sheet name="だいち" sheetId="4372" r:id="rId7"/>
    <sheet name="りくと" sheetId="4374" r:id="rId8"/>
    <sheet name="ただ" sheetId="4376" r:id="rId9"/>
    <sheet name="れんたろう" sheetId="4378" r:id="rId10"/>
    <sheet name="たかの" sheetId="4380" r:id="rId11"/>
    <sheet name="ぱぱ" sheetId="4382" r:id="rId12"/>
    <sheet name="ぱぱ2" sheetId="4383" state="hidden" r:id="rId13"/>
    <sheet name="たかの2" sheetId="4381" state="hidden" r:id="rId14"/>
    <sheet name="れんたろう2" sheetId="4379" state="hidden" r:id="rId15"/>
    <sheet name="ただ2" sheetId="4377" state="hidden" r:id="rId16"/>
    <sheet name="りくと2" sheetId="4375" state="hidden" r:id="rId17"/>
    <sheet name="だいち2" sheetId="4373" state="hidden" r:id="rId18"/>
    <sheet name="全体2" sheetId="4371" state="hidden" r:id="rId19"/>
    <sheet name="通算スコア" sheetId="3331" state="hidden" r:id="rId20"/>
    <sheet name="平均スコア" sheetId="3493" state="hidden" r:id="rId21"/>
    <sheet name="平均順位" sheetId="3183" state="hidden" r:id="rId22"/>
    <sheet name="トップ率" sheetId="3185" state="hidden" r:id="rId23"/>
    <sheet name="アガリ率" sheetId="3189" state="hidden" r:id="rId24"/>
    <sheet name="放銃率" sheetId="3190" state="hidden" r:id="rId25"/>
    <sheet name="平均アガリ点" sheetId="3520" state="hidden" r:id="rId26"/>
    <sheet name="平均放銃点" sheetId="3521" state="hidden" r:id="rId27"/>
    <sheet name="ふっとび率" sheetId="3522" state="hidden" r:id="rId28"/>
    <sheet name="ふっとばし率" sheetId="3523" state="hidden" r:id="rId29"/>
    <sheet name="リーチ率" sheetId="3524" state="hidden" r:id="rId30"/>
    <sheet name="副露率" sheetId="3525" state="hidden" r:id="rId31"/>
    <sheet name="リーチ成功率" sheetId="3526" state="hidden" r:id="rId32"/>
    <sheet name="副露成功率" sheetId="3527" state="hidden" r:id="rId33"/>
    <sheet name="ツモ率" sheetId="3528" state="hidden" r:id="rId34"/>
    <sheet name="逆転率" sheetId="3529" state="hidden" r:id="rId3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4376" l="1"/>
  <c r="O16" i="4382"/>
  <c r="O15" i="4382"/>
  <c r="H51" i="4382"/>
  <c r="H50" i="4382"/>
  <c r="H49" i="4382"/>
  <c r="H48" i="4382"/>
  <c r="H47" i="4382"/>
  <c r="H46" i="4382"/>
  <c r="H45" i="4382"/>
  <c r="H44" i="4382"/>
  <c r="H43" i="4382"/>
  <c r="H42" i="4382"/>
  <c r="H41" i="4382"/>
  <c r="H40" i="4382"/>
  <c r="H39" i="4382"/>
  <c r="H38" i="4382"/>
  <c r="H37" i="4382"/>
  <c r="H36" i="4382"/>
  <c r="H35" i="4382"/>
  <c r="H34" i="4382"/>
  <c r="H33" i="4382"/>
  <c r="H32" i="4382"/>
  <c r="H31" i="4382"/>
  <c r="H30" i="4382"/>
  <c r="H29" i="4382"/>
  <c r="H28" i="4382"/>
  <c r="H27" i="4382"/>
  <c r="H26" i="4382"/>
  <c r="H25" i="4382"/>
  <c r="C25" i="4382"/>
  <c r="H24" i="4382"/>
  <c r="H23" i="4382"/>
  <c r="H22" i="4382"/>
  <c r="B22" i="4382"/>
  <c r="H21" i="4382"/>
  <c r="H20" i="4382"/>
  <c r="C20" i="4382"/>
  <c r="H19" i="4382"/>
  <c r="C19" i="4382"/>
  <c r="H18" i="4382"/>
  <c r="C18" i="4382"/>
  <c r="H17" i="4382"/>
  <c r="C17" i="4382"/>
  <c r="B17" i="4382"/>
  <c r="B21" i="4382" s="1"/>
  <c r="H16" i="4382"/>
  <c r="C16" i="4382"/>
  <c r="H15" i="4382"/>
  <c r="C15" i="4382"/>
  <c r="H14" i="4382"/>
  <c r="C14" i="4382"/>
  <c r="H13" i="4382"/>
  <c r="C13" i="4382"/>
  <c r="O12" i="4382"/>
  <c r="H12" i="4382"/>
  <c r="C12" i="4382"/>
  <c r="O11" i="4382"/>
  <c r="H11" i="4382"/>
  <c r="C11" i="4382"/>
  <c r="O10" i="4382"/>
  <c r="H10" i="4382"/>
  <c r="C10" i="4382"/>
  <c r="H4" i="4382"/>
  <c r="C9" i="4382"/>
  <c r="H9" i="4382"/>
  <c r="C8" i="4382"/>
  <c r="O7" i="4382"/>
  <c r="H3" i="4382"/>
  <c r="C7" i="4382"/>
  <c r="O6" i="4382"/>
  <c r="H8" i="4382"/>
  <c r="B6" i="4382"/>
  <c r="O5" i="4382"/>
  <c r="H7" i="4382"/>
  <c r="B5" i="4382"/>
  <c r="O4" i="4382"/>
  <c r="H2" i="4382"/>
  <c r="O3" i="4382"/>
  <c r="H6" i="4382"/>
  <c r="O2" i="4382"/>
  <c r="H5" i="4382"/>
  <c r="O15" i="4372"/>
  <c r="O15" i="4370"/>
  <c r="O17" i="4380" l="1"/>
  <c r="O15" i="4374"/>
  <c r="O16" i="4374"/>
  <c r="O17" i="4378"/>
  <c r="O15" i="4380"/>
  <c r="O16" i="4380"/>
  <c r="H51" i="4380"/>
  <c r="H50" i="4380"/>
  <c r="H49" i="4380"/>
  <c r="H48" i="4380"/>
  <c r="H47" i="4380"/>
  <c r="H46" i="4380"/>
  <c r="H45" i="4380"/>
  <c r="H44" i="4380"/>
  <c r="H43" i="4380"/>
  <c r="H42" i="4380"/>
  <c r="H41" i="4380"/>
  <c r="H40" i="4380"/>
  <c r="H39" i="4380"/>
  <c r="H38" i="4380"/>
  <c r="H37" i="4380"/>
  <c r="H36" i="4380"/>
  <c r="H35" i="4380"/>
  <c r="H34" i="4380"/>
  <c r="H33" i="4380"/>
  <c r="H32" i="4380"/>
  <c r="H31" i="4380"/>
  <c r="H30" i="4380"/>
  <c r="H3" i="4380"/>
  <c r="H29" i="4380"/>
  <c r="H28" i="4380"/>
  <c r="H27" i="4380"/>
  <c r="H26" i="4380"/>
  <c r="C25" i="4380"/>
  <c r="H25" i="4380"/>
  <c r="H24" i="4380"/>
  <c r="H23" i="4380"/>
  <c r="B22" i="4380"/>
  <c r="H22" i="4380"/>
  <c r="H21" i="4380"/>
  <c r="C20" i="4380"/>
  <c r="H20" i="4380"/>
  <c r="H19" i="4380"/>
  <c r="H18" i="4380"/>
  <c r="B17" i="4380"/>
  <c r="B21" i="4380" s="1"/>
  <c r="H17" i="4380"/>
  <c r="C16" i="4380"/>
  <c r="H16" i="4380"/>
  <c r="C15" i="4380"/>
  <c r="H15" i="4380"/>
  <c r="C14" i="4380"/>
  <c r="H14" i="4380"/>
  <c r="C13" i="4380"/>
  <c r="O12" i="4380"/>
  <c r="H13" i="4380"/>
  <c r="C12" i="4380"/>
  <c r="O11" i="4380"/>
  <c r="H2" i="4380"/>
  <c r="C11" i="4380"/>
  <c r="O10" i="4380"/>
  <c r="H12" i="4380"/>
  <c r="C10" i="4380"/>
  <c r="H11" i="4380"/>
  <c r="C9" i="4380"/>
  <c r="H10" i="4380"/>
  <c r="C8" i="4380"/>
  <c r="O7" i="4380"/>
  <c r="H9" i="4380"/>
  <c r="C7" i="4380"/>
  <c r="O6" i="4380"/>
  <c r="H8" i="4380"/>
  <c r="B6" i="4380"/>
  <c r="O5" i="4380"/>
  <c r="H7" i="4380"/>
  <c r="B5" i="4380"/>
  <c r="O4" i="4380"/>
  <c r="H6" i="4380"/>
  <c r="O3" i="4380"/>
  <c r="H5" i="4380"/>
  <c r="O2" i="4380"/>
  <c r="H4" i="4380"/>
  <c r="O16" i="4378"/>
  <c r="O15" i="4378"/>
  <c r="H51" i="4378"/>
  <c r="H50" i="4378"/>
  <c r="H49" i="4378"/>
  <c r="H48" i="4378"/>
  <c r="H47" i="4378"/>
  <c r="H46" i="4378"/>
  <c r="H45" i="4378"/>
  <c r="H44" i="4378"/>
  <c r="H43" i="4378"/>
  <c r="H42" i="4378"/>
  <c r="H41" i="4378"/>
  <c r="H40" i="4378"/>
  <c r="H39" i="4378"/>
  <c r="H38" i="4378"/>
  <c r="H37" i="4378"/>
  <c r="H36" i="4378"/>
  <c r="H35" i="4378"/>
  <c r="H34" i="4378"/>
  <c r="H33" i="4378"/>
  <c r="H32" i="4378"/>
  <c r="H31" i="4378"/>
  <c r="H30" i="4378"/>
  <c r="H29" i="4378"/>
  <c r="H28" i="4378"/>
  <c r="H27" i="4378"/>
  <c r="H26" i="4378"/>
  <c r="H25" i="4378"/>
  <c r="C25" i="4378"/>
  <c r="H24" i="4378"/>
  <c r="H23" i="4378"/>
  <c r="H22" i="4378"/>
  <c r="B22" i="4378"/>
  <c r="H21" i="4378"/>
  <c r="H20" i="4378"/>
  <c r="C20" i="4378"/>
  <c r="H19" i="4378"/>
  <c r="C19" i="4378"/>
  <c r="H18" i="4378"/>
  <c r="H17" i="4378"/>
  <c r="B17" i="4378"/>
  <c r="C17" i="4378" s="1"/>
  <c r="H16" i="4378"/>
  <c r="C16" i="4378"/>
  <c r="H15" i="4378"/>
  <c r="C15" i="4378"/>
  <c r="H14" i="4378"/>
  <c r="C14" i="4378"/>
  <c r="H13" i="4378"/>
  <c r="C13" i="4378"/>
  <c r="O12" i="4378"/>
  <c r="H12" i="4378"/>
  <c r="C12" i="4378"/>
  <c r="O11" i="4378"/>
  <c r="H11" i="4378"/>
  <c r="C11" i="4378"/>
  <c r="O10" i="4378"/>
  <c r="H10" i="4378"/>
  <c r="C10" i="4378"/>
  <c r="H9" i="4378"/>
  <c r="C9" i="4378"/>
  <c r="H3" i="4378"/>
  <c r="C8" i="4378"/>
  <c r="O7" i="4378"/>
  <c r="H8" i="4378"/>
  <c r="C7" i="4378"/>
  <c r="O6" i="4378"/>
  <c r="H7" i="4378"/>
  <c r="B6" i="4378"/>
  <c r="O5" i="4378"/>
  <c r="H6" i="4378"/>
  <c r="B5" i="4378"/>
  <c r="O4" i="4378"/>
  <c r="H2" i="4378"/>
  <c r="O3" i="4378"/>
  <c r="H5" i="4378"/>
  <c r="O2" i="4378"/>
  <c r="H4" i="4378"/>
  <c r="O19" i="4372"/>
  <c r="O16" i="4372"/>
  <c r="O18" i="4370"/>
  <c r="O16" i="4370"/>
  <c r="O16" i="4376"/>
  <c r="O17" i="4376"/>
  <c r="H51" i="4376"/>
  <c r="H50" i="4376"/>
  <c r="H49" i="4376"/>
  <c r="H48" i="4376"/>
  <c r="H47" i="4376"/>
  <c r="H46" i="4376"/>
  <c r="H45" i="4376"/>
  <c r="H44" i="4376"/>
  <c r="H43" i="4376"/>
  <c r="H42" i="4376"/>
  <c r="H41" i="4376"/>
  <c r="H40" i="4376"/>
  <c r="H39" i="4376"/>
  <c r="H38" i="4376"/>
  <c r="H37" i="4376"/>
  <c r="H36" i="4376"/>
  <c r="H35" i="4376"/>
  <c r="H34" i="4376"/>
  <c r="H33" i="4376"/>
  <c r="H32" i="4376"/>
  <c r="H31" i="4376"/>
  <c r="H30" i="4376"/>
  <c r="H8" i="4376"/>
  <c r="H29" i="4376"/>
  <c r="H28" i="4376"/>
  <c r="H9" i="4376"/>
  <c r="H27" i="4376"/>
  <c r="C25" i="4376"/>
  <c r="H26" i="4376"/>
  <c r="H25" i="4376"/>
  <c r="H24" i="4376"/>
  <c r="B22" i="4376"/>
  <c r="H23" i="4376"/>
  <c r="H22" i="4376"/>
  <c r="C20" i="4376"/>
  <c r="H21" i="4376"/>
  <c r="H20" i="4376"/>
  <c r="H12" i="4376"/>
  <c r="B17" i="4376"/>
  <c r="B21" i="4376" s="1"/>
  <c r="H19" i="4376"/>
  <c r="C16" i="4376"/>
  <c r="H18" i="4376"/>
  <c r="C15" i="4376"/>
  <c r="H17" i="4376"/>
  <c r="C14" i="4376"/>
  <c r="H16" i="4376"/>
  <c r="C13" i="4376"/>
  <c r="O12" i="4376"/>
  <c r="H15" i="4376"/>
  <c r="C12" i="4376"/>
  <c r="O11" i="4376"/>
  <c r="H5" i="4376"/>
  <c r="C11" i="4376"/>
  <c r="O10" i="4376"/>
  <c r="H7" i="4376"/>
  <c r="C10" i="4376"/>
  <c r="H14" i="4376"/>
  <c r="C9" i="4376"/>
  <c r="H11" i="4376"/>
  <c r="C8" i="4376"/>
  <c r="O7" i="4376"/>
  <c r="H6" i="4376"/>
  <c r="C7" i="4376"/>
  <c r="O6" i="4376"/>
  <c r="H13" i="4376"/>
  <c r="B6" i="4376"/>
  <c r="O5" i="4376"/>
  <c r="H4" i="4376"/>
  <c r="B5" i="4376"/>
  <c r="O4" i="4376"/>
  <c r="H2" i="4376"/>
  <c r="O3" i="4376"/>
  <c r="H10" i="4376"/>
  <c r="O2" i="4376"/>
  <c r="H3" i="4376"/>
  <c r="O18" i="4374"/>
  <c r="O17" i="4374"/>
  <c r="H51" i="4374"/>
  <c r="H50" i="4374"/>
  <c r="H49" i="4374"/>
  <c r="H48" i="4374"/>
  <c r="H47" i="4374"/>
  <c r="H46" i="4374"/>
  <c r="H45" i="4374"/>
  <c r="H44" i="4374"/>
  <c r="H43" i="4374"/>
  <c r="H42" i="4374"/>
  <c r="H41" i="4374"/>
  <c r="H40" i="4374"/>
  <c r="H39" i="4374"/>
  <c r="H38" i="4374"/>
  <c r="H37" i="4374"/>
  <c r="H36" i="4374"/>
  <c r="H35" i="4374"/>
  <c r="H34" i="4374"/>
  <c r="H33" i="4374"/>
  <c r="H32" i="4374"/>
  <c r="H12" i="4374"/>
  <c r="H31" i="4374"/>
  <c r="H11" i="4374"/>
  <c r="H30" i="4374"/>
  <c r="H29" i="4374"/>
  <c r="H10" i="4374"/>
  <c r="H28" i="4374"/>
  <c r="C25" i="4374"/>
  <c r="H27" i="4374"/>
  <c r="H26" i="4374"/>
  <c r="H25" i="4374"/>
  <c r="B22" i="4374"/>
  <c r="H24" i="4374"/>
  <c r="H23" i="4374"/>
  <c r="C20" i="4374"/>
  <c r="H22" i="4374"/>
  <c r="H21" i="4374"/>
  <c r="H20" i="4374"/>
  <c r="B17" i="4374"/>
  <c r="B21" i="4374" s="1"/>
  <c r="H19" i="4374"/>
  <c r="C16" i="4374"/>
  <c r="H18" i="4374"/>
  <c r="C15" i="4374"/>
  <c r="H17" i="4374"/>
  <c r="C14" i="4374"/>
  <c r="H16" i="4374"/>
  <c r="C13" i="4374"/>
  <c r="O12" i="4374"/>
  <c r="H15" i="4374"/>
  <c r="C12" i="4374"/>
  <c r="O11" i="4374"/>
  <c r="H5" i="4374"/>
  <c r="C11" i="4374"/>
  <c r="O10" i="4374"/>
  <c r="H14" i="4374"/>
  <c r="C10" i="4374"/>
  <c r="H9" i="4374"/>
  <c r="C9" i="4374"/>
  <c r="H8" i="4374"/>
  <c r="C8" i="4374"/>
  <c r="O7" i="4374"/>
  <c r="H7" i="4374"/>
  <c r="C7" i="4374"/>
  <c r="O6" i="4374"/>
  <c r="H13" i="4374"/>
  <c r="B6" i="4374"/>
  <c r="O5" i="4374"/>
  <c r="H4" i="4374"/>
  <c r="B5" i="4374"/>
  <c r="O4" i="4374"/>
  <c r="H3" i="4374"/>
  <c r="O3" i="4374"/>
  <c r="H6" i="4374"/>
  <c r="O2" i="4374"/>
  <c r="H2" i="4374"/>
  <c r="O20" i="4370"/>
  <c r="O17" i="4372"/>
  <c r="O18" i="4372"/>
  <c r="H51" i="4372"/>
  <c r="H50" i="4372"/>
  <c r="H49" i="4372"/>
  <c r="H48" i="4372"/>
  <c r="H47" i="4372"/>
  <c r="H46" i="4372"/>
  <c r="H45" i="4372"/>
  <c r="H44" i="4372"/>
  <c r="H43" i="4372"/>
  <c r="H42" i="4372"/>
  <c r="H41" i="4372"/>
  <c r="H40" i="4372"/>
  <c r="H39" i="4372"/>
  <c r="H38" i="4372"/>
  <c r="H37" i="4372"/>
  <c r="H36" i="4372"/>
  <c r="H35" i="4372"/>
  <c r="H34" i="4372"/>
  <c r="H33" i="4372"/>
  <c r="H32" i="4372"/>
  <c r="H31" i="4372"/>
  <c r="H30" i="4372"/>
  <c r="H5" i="4372"/>
  <c r="H29" i="4372"/>
  <c r="H28" i="4372"/>
  <c r="H10" i="4372"/>
  <c r="H27" i="4372"/>
  <c r="C25" i="4372"/>
  <c r="H26" i="4372"/>
  <c r="H25" i="4372"/>
  <c r="H24" i="4372"/>
  <c r="B22" i="4372"/>
  <c r="H23" i="4372"/>
  <c r="H22" i="4372"/>
  <c r="C20" i="4372"/>
  <c r="H21" i="4372"/>
  <c r="H20" i="4372"/>
  <c r="H12" i="4372"/>
  <c r="B17" i="4372"/>
  <c r="B21" i="4372" s="1"/>
  <c r="H19" i="4372"/>
  <c r="C16" i="4372"/>
  <c r="H18" i="4372"/>
  <c r="C15" i="4372"/>
  <c r="H17" i="4372"/>
  <c r="C14" i="4372"/>
  <c r="H16" i="4372"/>
  <c r="C13" i="4372"/>
  <c r="O12" i="4372"/>
  <c r="H15" i="4372"/>
  <c r="C12" i="4372"/>
  <c r="O11" i="4372"/>
  <c r="H2" i="4372"/>
  <c r="C11" i="4372"/>
  <c r="O10" i="4372"/>
  <c r="H14" i="4372"/>
  <c r="C10" i="4372"/>
  <c r="H11" i="4372"/>
  <c r="C9" i="4372"/>
  <c r="H7" i="4372"/>
  <c r="C8" i="4372"/>
  <c r="O7" i="4372"/>
  <c r="H8" i="4372"/>
  <c r="C7" i="4372"/>
  <c r="O6" i="4372"/>
  <c r="H13" i="4372"/>
  <c r="B6" i="4372"/>
  <c r="O5" i="4372"/>
  <c r="H6" i="4372"/>
  <c r="B5" i="4372"/>
  <c r="O4" i="4372"/>
  <c r="H3" i="4372"/>
  <c r="O3" i="4372"/>
  <c r="H9" i="4372"/>
  <c r="O2" i="4372"/>
  <c r="H4" i="4372"/>
  <c r="O17" i="4370"/>
  <c r="O19" i="4370"/>
  <c r="H51" i="4370"/>
  <c r="H50" i="4370"/>
  <c r="H49" i="4370"/>
  <c r="H48" i="4370"/>
  <c r="H47" i="4370"/>
  <c r="H46" i="4370"/>
  <c r="H45" i="4370"/>
  <c r="H44" i="4370"/>
  <c r="H43" i="4370"/>
  <c r="H42" i="4370"/>
  <c r="H41" i="4370"/>
  <c r="H40" i="4370"/>
  <c r="H39" i="4370"/>
  <c r="H38" i="4370"/>
  <c r="H37" i="4370"/>
  <c r="H36" i="4370"/>
  <c r="H35" i="4370"/>
  <c r="H34" i="4370"/>
  <c r="H33" i="4370"/>
  <c r="H32" i="4370"/>
  <c r="H14" i="4370"/>
  <c r="H31" i="4370"/>
  <c r="H7" i="4370"/>
  <c r="H30" i="4370"/>
  <c r="H29" i="4370"/>
  <c r="H10" i="4370"/>
  <c r="H28" i="4370"/>
  <c r="C25" i="4370"/>
  <c r="H27" i="4370"/>
  <c r="H26" i="4370"/>
  <c r="H25" i="4370"/>
  <c r="B22" i="4370"/>
  <c r="H24" i="4370"/>
  <c r="H23" i="4370"/>
  <c r="C20" i="4370"/>
  <c r="H22" i="4370"/>
  <c r="H21" i="4370"/>
  <c r="H13" i="4370"/>
  <c r="B17" i="4370"/>
  <c r="B21" i="4370" s="1"/>
  <c r="H20" i="4370"/>
  <c r="C16" i="4370"/>
  <c r="H19" i="4370"/>
  <c r="C15" i="4370"/>
  <c r="H18" i="4370"/>
  <c r="C14" i="4370"/>
  <c r="H17" i="4370"/>
  <c r="C13" i="4370"/>
  <c r="O12" i="4370"/>
  <c r="H16" i="4370"/>
  <c r="C12" i="4370"/>
  <c r="O11" i="4370"/>
  <c r="H3" i="4370"/>
  <c r="C11" i="4370"/>
  <c r="O10" i="4370"/>
  <c r="H12" i="4370"/>
  <c r="C10" i="4370"/>
  <c r="H11" i="4370"/>
  <c r="C9" i="4370"/>
  <c r="H8" i="4370"/>
  <c r="C8" i="4370"/>
  <c r="O7" i="4370"/>
  <c r="H6" i="4370"/>
  <c r="C7" i="4370"/>
  <c r="O6" i="4370"/>
  <c r="H15" i="4370"/>
  <c r="B6" i="4370"/>
  <c r="O5" i="4370"/>
  <c r="H5" i="4370"/>
  <c r="B5" i="4370"/>
  <c r="O4" i="4370"/>
  <c r="H2" i="4370"/>
  <c r="O3" i="4370"/>
  <c r="H9" i="4370"/>
  <c r="O2" i="4370"/>
  <c r="H4" i="4370"/>
  <c r="C19" i="4376" l="1"/>
  <c r="C17" i="4380"/>
  <c r="C18" i="4380"/>
  <c r="C19" i="4380"/>
  <c r="C18" i="4378"/>
  <c r="B21" i="4378"/>
  <c r="C18" i="4376"/>
  <c r="C18" i="4372"/>
  <c r="C19" i="4372"/>
  <c r="C17" i="4376"/>
  <c r="C18" i="4370"/>
  <c r="C19" i="4370"/>
  <c r="C18" i="4374"/>
  <c r="C19" i="4374"/>
  <c r="C17" i="4374"/>
  <c r="C17" i="4372"/>
  <c r="C17" i="4370"/>
  <c r="O12" i="2228" l="1"/>
  <c r="O11" i="2228"/>
  <c r="O10" i="2228"/>
  <c r="O6" i="2228"/>
  <c r="H2" i="2228" l="1"/>
  <c r="C12" i="2228"/>
  <c r="C11" i="2228"/>
  <c r="C10" i="2228"/>
  <c r="C8" i="2228"/>
  <c r="O2" i="2228" l="1"/>
  <c r="O7" i="2228"/>
  <c r="O5" i="2228"/>
  <c r="O4" i="2228"/>
  <c r="O3" i="2228"/>
  <c r="C25" i="2228" l="1"/>
  <c r="C14" i="2228" l="1"/>
  <c r="C13" i="2228"/>
  <c r="C20" i="2228" l="1"/>
  <c r="B22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7" i="2228"/>
  <c r="B17" i="2228"/>
  <c r="H14" i="2228"/>
  <c r="C16" i="2228"/>
  <c r="H13" i="2228"/>
  <c r="C15" i="2228"/>
  <c r="H12" i="2228"/>
  <c r="H11" i="2228"/>
  <c r="H10" i="2228"/>
  <c r="H9" i="2228"/>
  <c r="C9" i="2228"/>
  <c r="H8" i="2228"/>
  <c r="H7" i="2228"/>
  <c r="C7" i="2228"/>
  <c r="H6" i="2228"/>
  <c r="B6" i="2228"/>
  <c r="H5" i="2228"/>
  <c r="B5" i="2228"/>
  <c r="H4" i="2228"/>
  <c r="H3" i="2228"/>
  <c r="B21" i="2228" l="1"/>
  <c r="C18" i="2228"/>
  <c r="C19" i="2228"/>
</calcChain>
</file>

<file path=xl/sharedStrings.xml><?xml version="1.0" encoding="utf-8"?>
<sst xmlns="http://schemas.openxmlformats.org/spreadsheetml/2006/main" count="1706" uniqueCount="186">
  <si>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</si>
  <si>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</si>
  <si>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</si>
  <si>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</si>
  <si>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</si>
  <si>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</si>
  <si>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</si>
  <si>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</si>
  <si>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</si>
  <si>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</si>
  <si>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</si>
  <si>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</si>
  <si>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</si>
  <si>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</si>
  <si>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</si>
  <si>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</si>
  <si>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</si>
  <si>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</si>
  <si>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</si>
  <si>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</si>
  <si>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</si>
  <si>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</si>
  <si>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</si>
  <si>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</si>
  <si>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</si>
  <si>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</si>
  <si>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</si>
  <si>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</si>
  <si>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</si>
  <si>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</si>
  <si>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</si>
  <si>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</si>
  <si>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</si>
  <si>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</si>
  <si>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</si>
  <si>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</si>
  <si>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</si>
  <si>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</si>
  <si>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</si>
  <si>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</si>
  <si>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</si>
  <si>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</si>
  <si>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</si>
  <si>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</si>
  <si>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</si>
  <si>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</si>
  <si>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</si>
  <si>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</si>
  <si>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</si>
  <si>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</si>
  <si>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</si>
  <si>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</si>
  <si>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</si>
  <si>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</si>
  <si>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</si>
  <si>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</si>
  <si>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</si>
  <si>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</si>
  <si>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</si>
  <si>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</si>
  <si>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</si>
  <si>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</si>
  <si>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</si>
  <si>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</si>
  <si>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</si>
  <si>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</si>
  <si>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</si>
  <si>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</si>
  <si>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</si>
  <si>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</si>
  <si>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</si>
  <si>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</si>
  <si>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</si>
  <si>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</si>
  <si>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</si>
  <si>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</si>
  <si>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</si>
  <si>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</si>
  <si>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</si>
  <si>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</si>
  <si>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</si>
  <si>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</si>
  <si>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</si>
  <si>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</si>
  <si>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</si>
  <si>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</si>
  <si>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</si>
  <si>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</si>
  <si>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</si>
  <si>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</si>
  <si>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</si>
  <si>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</si>
  <si>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</si>
  <si>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</si>
  <si>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</si>
  <si>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</si>
  <si>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</si>
  <si>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</si>
  <si>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</si>
  <si>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</si>
  <si>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</si>
  <si>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</si>
  <si>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</si>
  <si>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</si>
  <si>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</si>
  <si>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</si>
  <si>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</si>
  <si>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</si>
  <si>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</si>
  <si>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</si>
  <si>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</si>
  <si>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</si>
  <si>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</si>
  <si>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</si>
  <si>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</si>
  <si>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</si>
  <si>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</si>
  <si>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</si>
  <si>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</si>
  <si>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</si>
  <si>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</si>
  <si>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</si>
  <si>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</si>
  <si>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</si>
  <si>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</si>
  <si>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</si>
  <si>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</si>
  <si>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</si>
  <si>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</si>
  <si>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</si>
  <si>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</si>
  <si>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</si>
  <si>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</si>
  <si>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</si>
  <si>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</si>
  <si>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</si>
  <si>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</si>
  <si>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</si>
  <si>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</si>
  <si>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</si>
  <si>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</si>
  <si>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</si>
  <si>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</si>
  <si>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</si>
  <si>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</si>
  <si>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</si>
  <si>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</si>
  <si>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</si>
  <si>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</si>
  <si>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</si>
  <si>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</si>
  <si>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</si>
  <si>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</si>
  <si>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</si>
  <si>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</si>
  <si>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</si>
  <si>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</si>
  <si>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</si>
  <si>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</si>
  <si>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</si>
  <si>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</si>
  <si>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</si>
  <si>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</si>
  <si>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</si>
  <si>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</si>
  <si>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</si>
  <si>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</si>
  <si>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</si>
  <si>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逆転率</t>
    <rPh sb="0" eb="2">
      <t>ギャクテン</t>
    </rPh>
    <rPh sb="2" eb="3">
      <t>リツ</t>
    </rPh>
    <phoneticPr fontId="1"/>
  </si>
  <si>
    <t>逆転率</t>
    <rPh sb="0" eb="2">
      <t>ギャクテン</t>
    </rPh>
    <rPh sb="2" eb="3">
      <t>リツ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</si>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</sst>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9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2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2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9" xfId="0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1" fontId="2" fillId="0" borderId="52" xfId="0" applyNumberFormat="1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0" fontId="3" fillId="0" borderId="52" xfId="0" applyFont="1" applyBorder="1" applyAlignment="1">
      <alignment horizontal="center" vertical="center" shrinkToFit="1"/>
    </xf>
    <xf numFmtId="1" fontId="2" fillId="0" borderId="41" xfId="0" applyNumberFormat="1" applyFont="1" applyBorder="1" applyAlignment="1">
      <alignment horizontal="center" vertical="center" shrinkToFit="1"/>
    </xf>
    <xf numFmtId="0" fontId="0" fillId="0" borderId="41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76" fontId="5" fillId="0" borderId="44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1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5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0" fontId="0" fillId="0" borderId="4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40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7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2.xml"/><Relationship Id="rId34" Type="http://schemas.openxmlformats.org/officeDocument/2006/relationships/chartsheet" Target="chartsheets/sheet1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6.xml"/><Relationship Id="rId33" Type="http://schemas.openxmlformats.org/officeDocument/2006/relationships/chartsheet" Target="chartsheets/sheet14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hartsheet" Target="chartsheets/sheet1.xml"/><Relationship Id="rId29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5.xml"/><Relationship Id="rId32" Type="http://schemas.openxmlformats.org/officeDocument/2006/relationships/chartsheet" Target="chartsheets/sheet13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4.xml"/><Relationship Id="rId28" Type="http://schemas.openxmlformats.org/officeDocument/2006/relationships/chartsheet" Target="chartsheets/sheet9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3.xml"/><Relationship Id="rId27" Type="http://schemas.openxmlformats.org/officeDocument/2006/relationships/chartsheet" Target="chartsheets/sheet8.xml"/><Relationship Id="rId30" Type="http://schemas.openxmlformats.org/officeDocument/2006/relationships/chartsheet" Target="chartsheets/sheet11.xml"/><Relationship Id="rId35" Type="http://schemas.openxmlformats.org/officeDocument/2006/relationships/chartsheet" Target="chartsheets/sheet1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全体!$L$2:$L$26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0D-4531-BC2A-EDAFDB9F3C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-125</c:v>
                </c:pt>
                <c:pt idx="1">
                  <c:v>-41.666666666666664</c:v>
                </c:pt>
                <c:pt idx="2">
                  <c:v>190.47619047619048</c:v>
                </c:pt>
                <c:pt idx="3">
                  <c:v>0</c:v>
                </c:pt>
                <c:pt idx="4">
                  <c:v>-47.61904761904762</c:v>
                </c:pt>
                <c:pt idx="5">
                  <c:v>55.555555555555557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BD-4413-AA60-1428D95CE9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だいち!$L$2:$L$9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EB-4305-B282-9F5C313F0D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-557.14285714285711</c:v>
                </c:pt>
                <c:pt idx="1">
                  <c:v>10028.571428571429</c:v>
                </c:pt>
                <c:pt idx="2">
                  <c:v>8033.333333333333</c:v>
                </c:pt>
                <c:pt idx="3">
                  <c:v>5800</c:v>
                </c:pt>
                <c:pt idx="4">
                  <c:v>633.33333333333337</c:v>
                </c:pt>
                <c:pt idx="5">
                  <c:v>-400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B6-42CD-B87C-91E7874D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りくと!$L$2:$L$8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2E-4C4E-960A-1508DD067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-2233.3333333333335</c:v>
                </c:pt>
                <c:pt idx="1">
                  <c:v>-1666.6666666666667</c:v>
                </c:pt>
                <c:pt idx="2">
                  <c:v>-3483.3333333333335</c:v>
                </c:pt>
                <c:pt idx="3">
                  <c:v>750</c:v>
                </c:pt>
                <c:pt idx="4">
                  <c:v>5300</c:v>
                </c:pt>
                <c:pt idx="5">
                  <c:v>2333.3333333333335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49-41E9-B780-A4E0DA1C4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ただ!$L$2:$L$8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2D-442C-A5AB-62C9905C53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1466.6666666666667</c:v>
                </c:pt>
                <c:pt idx="1">
                  <c:v>566.66666666666663</c:v>
                </c:pt>
                <c:pt idx="2">
                  <c:v>-540</c:v>
                </c:pt>
                <c:pt idx="3">
                  <c:v>-7140</c:v>
                </c:pt>
                <c:pt idx="4">
                  <c:v>-1860</c:v>
                </c:pt>
                <c:pt idx="5">
                  <c:v>-600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AA-44E8-B2FB-27C3A62BB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れんたろう!$L$2:$L$4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BC-4A55-9779-547DD7CBA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-6250</c:v>
                </c:pt>
                <c:pt idx="1">
                  <c:v>2950</c:v>
                </c:pt>
                <c:pt idx="2">
                  <c:v>-6550</c:v>
                </c:pt>
                <c:pt idx="3">
                  <c:v>-1800</c:v>
                </c:pt>
                <c:pt idx="4">
                  <c:v>-7000</c:v>
                </c:pt>
                <c:pt idx="5">
                  <c:v>-8000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FE-4DCC-8E97-FDE2806B05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たかの!$L$2:$L$4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25-4445-8241-24CBDCCD78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7000</c:v>
                </c:pt>
                <c:pt idx="1">
                  <c:v>-1950</c:v>
                </c:pt>
                <c:pt idx="2">
                  <c:v>-3750</c:v>
                </c:pt>
                <c:pt idx="3">
                  <c:v>0</c:v>
                </c:pt>
                <c:pt idx="4">
                  <c:v>-6650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8-42C8-84FC-2AEA20700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-82.6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A5-4692-970F-31237FD5D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4000</c:v>
                </c:pt>
                <c:pt idx="1">
                  <c:v>-66600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7C-44EE-B70B-0A27FC8FE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ぱぱ2!$B$3:$B$4</c:f>
              <c:numCache>
                <c:formatCode>\+0.0;\-0.0;\±0</c:formatCode>
                <c:ptCount val="2"/>
                <c:pt idx="0">
                  <c:v>0</c:v>
                </c:pt>
                <c:pt idx="1">
                  <c:v>-82.6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ぱぱ2!$C$3:$C$4</c:f>
              <c:numCache>
                <c:formatCode>\+0.0;\-0.0;\±0</c:formatCode>
                <c:ptCount val="2"/>
                <c:pt idx="1">
                  <c:v>-82.6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ぱぱ2!$D$3:$D$4</c:f>
              <c:numCache>
                <c:formatCode>0.00\ "位"</c:formatCode>
                <c:ptCount val="2"/>
                <c:pt idx="1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ぱぱ2!$E$3:$E$4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ぱぱ2!$F$3:$F$4</c:f>
              <c:numCache>
                <c:formatCode>0.0%</c:formatCode>
                <c:ptCount val="2"/>
                <c:pt idx="1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ぱぱ2!$G$3:$G$4</c:f>
              <c:numCache>
                <c:formatCode>0.0%</c:formatCode>
                <c:ptCount val="2"/>
                <c:pt idx="1">
                  <c:v>0.2857142857142857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ぱぱ2!$H$3:$H$4</c:f>
              <c:numCache>
                <c:formatCode>0</c:formatCode>
                <c:ptCount val="2"/>
                <c:pt idx="1">
                  <c:v>4000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ぱぱ2!$I$3:$I$4</c:f>
              <c:numCache>
                <c:formatCode>0</c:formatCode>
                <c:ptCount val="2"/>
                <c:pt idx="1">
                  <c:v>-20800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ぱぱ2!$J$3:$J$4</c:f>
              <c:numCache>
                <c:formatCode>0.0%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ぱぱ2!$K$3:$K$4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ぱぱ2!$M$3:$M$4</c:f>
              <c:numCache>
                <c:formatCode>0.0%</c:formatCode>
                <c:ptCount val="2"/>
                <c:pt idx="1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ぱぱ2!$N$3:$N$4</c:f>
              <c:numCache>
                <c:formatCode>0.0%</c:formatCode>
                <c:ptCount val="2"/>
                <c:pt idx="1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ぱぱ2!$O$3:$O$4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ぱぱ2!$P$3:$P$4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ぱぱ2!$Q$1:$Q$2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ぱぱ2!$Q$3:$Q$4</c:f>
              <c:numCache>
                <c:formatCode>0.0%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逆転率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ぱぱ2!$L$3:$L$4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530B0A4-7A52-4351-BF28-B81CC11365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7FE9547-E719-4914-924D-A0F7EDC4FD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4" bestFit="1" customWidth="1"/>
    <col min="6" max="6" width="11" style="10" bestFit="1" customWidth="1"/>
    <col min="7" max="8" width="9" style="1" customWidth="1"/>
    <col min="9" max="9" width="9" style="35" customWidth="1"/>
    <col min="10" max="10" width="3.625" style="1" customWidth="1"/>
    <col min="11" max="11" width="3.5" style="5" customWidth="1"/>
    <col min="12" max="12" width="9" style="105" customWidth="1"/>
    <col min="13" max="13" width="3.625" style="1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1"/>
  </cols>
  <sheetData>
    <row r="1" spans="1:17" x14ac:dyDescent="0.4">
      <c r="A1" s="21" t="s">
        <v>0</v>
      </c>
      <c r="B1" s="155"/>
      <c r="C1" s="156"/>
      <c r="E1" s="135" t="s">
        <v>177</v>
      </c>
      <c r="F1" s="12" t="s">
        <v>120</v>
      </c>
      <c r="G1" s="27" t="s">
        <v>121</v>
      </c>
      <c r="H1" s="136" t="s">
        <v>122</v>
      </c>
      <c r="I1" s="106" t="s">
        <v>161</v>
      </c>
      <c r="K1" s="2" t="s">
        <v>20</v>
      </c>
      <c r="L1" s="37" t="s">
        <v>125</v>
      </c>
      <c r="M1" s="137"/>
      <c r="N1" s="119" t="s">
        <v>144</v>
      </c>
      <c r="O1" s="36" t="s">
        <v>145</v>
      </c>
      <c r="P1" s="123" t="s">
        <v>121</v>
      </c>
      <c r="Q1" s="107" t="s">
        <v>166</v>
      </c>
    </row>
    <row r="2" spans="1:17" x14ac:dyDescent="0.4">
      <c r="A2" s="22" t="s">
        <v>9</v>
      </c>
      <c r="B2" s="151">
        <v>0</v>
      </c>
      <c r="C2" s="152"/>
      <c r="E2" s="64" t="s">
        <v>67</v>
      </c>
      <c r="F2" s="28" t="s">
        <v>21</v>
      </c>
      <c r="G2" s="14">
        <v>0</v>
      </c>
      <c r="H2" s="138">
        <f t="shared" ref="H2:H33" si="0">IF(B$27=0,0,G2/B$27)</f>
        <v>0</v>
      </c>
      <c r="I2" s="99"/>
      <c r="K2" s="3">
        <v>0</v>
      </c>
      <c r="L2" s="104">
        <v>0</v>
      </c>
      <c r="N2" s="120" t="s">
        <v>138</v>
      </c>
      <c r="O2" s="127">
        <f t="shared" ref="O2:O7" si="1">IF(P2=0,0,Q2/P2)</f>
        <v>0</v>
      </c>
      <c r="P2" s="124">
        <v>0</v>
      </c>
      <c r="Q2" s="108">
        <v>0</v>
      </c>
    </row>
    <row r="3" spans="1:17" x14ac:dyDescent="0.4">
      <c r="A3" s="23" t="s">
        <v>8</v>
      </c>
      <c r="B3" s="157">
        <v>0</v>
      </c>
      <c r="C3" s="158"/>
      <c r="E3" s="65" t="s">
        <v>68</v>
      </c>
      <c r="F3" s="29" t="s">
        <v>22</v>
      </c>
      <c r="G3" s="15">
        <v>0</v>
      </c>
      <c r="H3" s="139">
        <f t="shared" si="0"/>
        <v>0</v>
      </c>
      <c r="I3" s="100"/>
      <c r="N3" s="121" t="s">
        <v>139</v>
      </c>
      <c r="O3" s="128">
        <f t="shared" si="1"/>
        <v>0</v>
      </c>
      <c r="P3" s="125">
        <v>0</v>
      </c>
      <c r="Q3" s="109">
        <v>0</v>
      </c>
    </row>
    <row r="4" spans="1:17" x14ac:dyDescent="0.4">
      <c r="A4" s="23" t="s">
        <v>6</v>
      </c>
      <c r="B4" s="159">
        <v>0</v>
      </c>
      <c r="C4" s="160"/>
      <c r="E4" s="65" t="s">
        <v>69</v>
      </c>
      <c r="F4" s="29" t="s">
        <v>23</v>
      </c>
      <c r="G4" s="15">
        <v>0</v>
      </c>
      <c r="H4" s="139">
        <f t="shared" si="0"/>
        <v>0</v>
      </c>
      <c r="I4" s="100"/>
      <c r="N4" s="121" t="s">
        <v>140</v>
      </c>
      <c r="O4" s="128">
        <f t="shared" si="1"/>
        <v>0</v>
      </c>
      <c r="P4" s="125">
        <v>0</v>
      </c>
      <c r="Q4" s="109">
        <v>0</v>
      </c>
    </row>
    <row r="5" spans="1:17" x14ac:dyDescent="0.4">
      <c r="A5" s="23" t="s">
        <v>7</v>
      </c>
      <c r="B5" s="161">
        <f>IF(B$2=0,0,B$4/B$2)</f>
        <v>0</v>
      </c>
      <c r="C5" s="162"/>
      <c r="E5" s="65" t="s">
        <v>70</v>
      </c>
      <c r="F5" s="29" t="s">
        <v>24</v>
      </c>
      <c r="G5" s="15">
        <v>0</v>
      </c>
      <c r="H5" s="139">
        <f t="shared" si="0"/>
        <v>0</v>
      </c>
      <c r="I5" s="100"/>
      <c r="N5" s="121" t="s">
        <v>141</v>
      </c>
      <c r="O5" s="128">
        <f t="shared" si="1"/>
        <v>0</v>
      </c>
      <c r="P5" s="125">
        <v>0</v>
      </c>
      <c r="Q5" s="109">
        <v>0</v>
      </c>
    </row>
    <row r="6" spans="1:17" x14ac:dyDescent="0.4">
      <c r="A6" s="23" t="s">
        <v>1</v>
      </c>
      <c r="B6" s="149">
        <f>IF(B$2=0,0,(B$7*1+B$8*2+B$9*3)/B$2)</f>
        <v>0</v>
      </c>
      <c r="C6" s="150"/>
      <c r="E6" s="65" t="s">
        <v>71</v>
      </c>
      <c r="F6" s="29" t="s">
        <v>25</v>
      </c>
      <c r="G6" s="15">
        <v>0</v>
      </c>
      <c r="H6" s="139">
        <f t="shared" si="0"/>
        <v>0</v>
      </c>
      <c r="I6" s="100"/>
      <c r="N6" s="121" t="s">
        <v>142</v>
      </c>
      <c r="O6" s="128">
        <f t="shared" si="1"/>
        <v>0</v>
      </c>
      <c r="P6" s="125">
        <v>0</v>
      </c>
      <c r="Q6" s="109">
        <v>0</v>
      </c>
    </row>
    <row r="7" spans="1:17" x14ac:dyDescent="0.4">
      <c r="A7" s="23" t="s">
        <v>2</v>
      </c>
      <c r="B7" s="15">
        <v>0</v>
      </c>
      <c r="C7" s="6">
        <f>IF(B$2=0,0,B7/B$2)</f>
        <v>0</v>
      </c>
      <c r="E7" s="65" t="s">
        <v>72</v>
      </c>
      <c r="F7" s="29" t="s">
        <v>12</v>
      </c>
      <c r="G7" s="15">
        <v>0</v>
      </c>
      <c r="H7" s="139">
        <f t="shared" si="0"/>
        <v>0</v>
      </c>
      <c r="I7" s="100"/>
      <c r="N7" s="122" t="s">
        <v>143</v>
      </c>
      <c r="O7" s="129">
        <f t="shared" si="1"/>
        <v>0</v>
      </c>
      <c r="P7" s="126">
        <v>0</v>
      </c>
      <c r="Q7" s="110">
        <v>0</v>
      </c>
    </row>
    <row r="8" spans="1:17" x14ac:dyDescent="0.4">
      <c r="A8" s="23" t="s">
        <v>3</v>
      </c>
      <c r="B8" s="15">
        <v>0</v>
      </c>
      <c r="C8" s="6">
        <f>IF(B$2=0,0,B8/B$2)</f>
        <v>0</v>
      </c>
      <c r="E8" s="65" t="s">
        <v>73</v>
      </c>
      <c r="F8" s="29" t="s">
        <v>26</v>
      </c>
      <c r="G8" s="15">
        <v>0</v>
      </c>
      <c r="H8" s="139">
        <f t="shared" si="0"/>
        <v>0</v>
      </c>
      <c r="I8" s="100"/>
      <c r="N8" s="45"/>
      <c r="O8" s="133"/>
      <c r="P8" s="117"/>
      <c r="Q8" s="115"/>
    </row>
    <row r="9" spans="1:17" x14ac:dyDescent="0.4">
      <c r="A9" s="24" t="s">
        <v>4</v>
      </c>
      <c r="B9" s="16">
        <v>0</v>
      </c>
      <c r="C9" s="7">
        <f t="shared" ref="C9" si="2">IF(B$2=0,0,B9/B$2)</f>
        <v>0</v>
      </c>
      <c r="E9" s="65" t="s">
        <v>74</v>
      </c>
      <c r="F9" s="29" t="s">
        <v>27</v>
      </c>
      <c r="G9" s="15">
        <v>0</v>
      </c>
      <c r="H9" s="139">
        <f t="shared" si="0"/>
        <v>0</v>
      </c>
      <c r="I9" s="100"/>
      <c r="N9" s="119" t="s">
        <v>173</v>
      </c>
      <c r="O9" s="36" t="s">
        <v>125</v>
      </c>
      <c r="P9" s="123" t="s">
        <v>121</v>
      </c>
      <c r="Q9" s="111" t="s">
        <v>165</v>
      </c>
    </row>
    <row r="10" spans="1:17" x14ac:dyDescent="0.4">
      <c r="A10" s="24" t="s">
        <v>19</v>
      </c>
      <c r="B10" s="16">
        <v>0</v>
      </c>
      <c r="C10" s="7">
        <f>IF(B$2=0,0,B10/B$2)</f>
        <v>0</v>
      </c>
      <c r="E10" s="65" t="s">
        <v>75</v>
      </c>
      <c r="F10" s="29" t="s">
        <v>28</v>
      </c>
      <c r="G10" s="15">
        <v>0</v>
      </c>
      <c r="H10" s="139">
        <f t="shared" si="0"/>
        <v>0</v>
      </c>
      <c r="I10" s="100"/>
      <c r="N10" s="120" t="s">
        <v>174</v>
      </c>
      <c r="O10" s="130">
        <f>IF(P10=0,0,Q10/P10)</f>
        <v>0</v>
      </c>
      <c r="P10" s="124">
        <v>0</v>
      </c>
      <c r="Q10" s="112">
        <v>0</v>
      </c>
    </row>
    <row r="11" spans="1:17" x14ac:dyDescent="0.4">
      <c r="A11" s="58" t="s">
        <v>146</v>
      </c>
      <c r="B11" s="50">
        <v>0</v>
      </c>
      <c r="C11" s="42">
        <f>IF(B$2=0,0,B11/B$2)</f>
        <v>0</v>
      </c>
      <c r="E11" s="65" t="s">
        <v>76</v>
      </c>
      <c r="F11" s="29" t="s">
        <v>29</v>
      </c>
      <c r="G11" s="15">
        <v>0</v>
      </c>
      <c r="H11" s="139">
        <f t="shared" si="0"/>
        <v>0</v>
      </c>
      <c r="I11" s="100"/>
      <c r="N11" s="121" t="s">
        <v>175</v>
      </c>
      <c r="O11" s="131">
        <f>IF(P11=0,0,Q11/P11)</f>
        <v>0</v>
      </c>
      <c r="P11" s="125">
        <v>0</v>
      </c>
      <c r="Q11" s="113">
        <v>0</v>
      </c>
    </row>
    <row r="12" spans="1:17" x14ac:dyDescent="0.4">
      <c r="A12" s="59" t="s">
        <v>167</v>
      </c>
      <c r="B12" s="51">
        <v>0</v>
      </c>
      <c r="C12" s="44">
        <f>IF(B$2=0,0,B12/B$2)</f>
        <v>0</v>
      </c>
      <c r="E12" s="65" t="s">
        <v>77</v>
      </c>
      <c r="F12" s="29" t="s">
        <v>30</v>
      </c>
      <c r="G12" s="15">
        <v>0</v>
      </c>
      <c r="H12" s="139">
        <f t="shared" si="0"/>
        <v>0</v>
      </c>
      <c r="I12" s="100"/>
      <c r="N12" s="122" t="s">
        <v>176</v>
      </c>
      <c r="O12" s="132">
        <f>IF(P12=0,0,Q12/P12)</f>
        <v>0</v>
      </c>
      <c r="P12" s="126">
        <v>0</v>
      </c>
      <c r="Q12" s="114">
        <v>0</v>
      </c>
    </row>
    <row r="13" spans="1:17" x14ac:dyDescent="0.4">
      <c r="A13" s="26" t="s">
        <v>128</v>
      </c>
      <c r="B13" s="18">
        <v>0</v>
      </c>
      <c r="C13" s="11">
        <f>IF(B$26=0,0,B13/B$26)</f>
        <v>0</v>
      </c>
      <c r="E13" s="65" t="s">
        <v>78</v>
      </c>
      <c r="F13" s="29" t="s">
        <v>31</v>
      </c>
      <c r="G13" s="15">
        <v>0</v>
      </c>
      <c r="H13" s="139">
        <f t="shared" si="0"/>
        <v>0</v>
      </c>
      <c r="I13" s="100"/>
      <c r="N13" s="35"/>
      <c r="O13" s="116"/>
      <c r="P13" s="118"/>
      <c r="Q13" s="116"/>
    </row>
    <row r="14" spans="1:17" x14ac:dyDescent="0.4">
      <c r="A14" s="23" t="s">
        <v>123</v>
      </c>
      <c r="B14" s="15">
        <v>0</v>
      </c>
      <c r="C14" s="6">
        <f>IF(B$26=0,0,B14/B$26)</f>
        <v>0</v>
      </c>
      <c r="E14" s="65" t="s">
        <v>79</v>
      </c>
      <c r="F14" s="29" t="s">
        <v>32</v>
      </c>
      <c r="G14" s="15">
        <v>0</v>
      </c>
      <c r="H14" s="139">
        <f t="shared" si="0"/>
        <v>0</v>
      </c>
      <c r="I14" s="100"/>
      <c r="N14" s="119" t="s">
        <v>162</v>
      </c>
      <c r="O14" s="36" t="s">
        <v>163</v>
      </c>
      <c r="P14" s="123" t="s">
        <v>164</v>
      </c>
      <c r="Q14" s="111" t="s">
        <v>165</v>
      </c>
    </row>
    <row r="15" spans="1:17" x14ac:dyDescent="0.4">
      <c r="A15" s="22" t="s">
        <v>130</v>
      </c>
      <c r="B15" s="14">
        <v>0</v>
      </c>
      <c r="C15" s="4">
        <f>IF(B$13=0,0,B15/B$13)</f>
        <v>0</v>
      </c>
      <c r="E15" s="65" t="s">
        <v>80</v>
      </c>
      <c r="F15" s="29" t="s">
        <v>33</v>
      </c>
      <c r="G15" s="15">
        <v>0</v>
      </c>
      <c r="H15" s="139">
        <f t="shared" si="0"/>
        <v>0</v>
      </c>
      <c r="I15" s="100"/>
      <c r="N15" s="120"/>
      <c r="O15" s="130"/>
      <c r="P15" s="124"/>
      <c r="Q15" s="112"/>
    </row>
    <row r="16" spans="1:17" x14ac:dyDescent="0.4">
      <c r="A16" s="22" t="s">
        <v>131</v>
      </c>
      <c r="B16" s="14">
        <v>0</v>
      </c>
      <c r="C16" s="4">
        <f>IF(B$14=0,0,B16/B$14)</f>
        <v>0</v>
      </c>
      <c r="E16" s="65" t="s">
        <v>81</v>
      </c>
      <c r="F16" s="29" t="s">
        <v>34</v>
      </c>
      <c r="G16" s="15">
        <v>0</v>
      </c>
      <c r="H16" s="139">
        <f t="shared" si="0"/>
        <v>0</v>
      </c>
      <c r="I16" s="100"/>
    </row>
    <row r="17" spans="1:9" x14ac:dyDescent="0.4">
      <c r="A17" s="22" t="s">
        <v>10</v>
      </c>
      <c r="B17" s="14">
        <f>B19+B18</f>
        <v>0</v>
      </c>
      <c r="C17" s="4">
        <f>IF(B$3=0,0,B17/B$3)</f>
        <v>0</v>
      </c>
      <c r="E17" s="65" t="s">
        <v>82</v>
      </c>
      <c r="F17" s="29" t="s">
        <v>35</v>
      </c>
      <c r="G17" s="15">
        <v>0</v>
      </c>
      <c r="H17" s="139">
        <f t="shared" si="0"/>
        <v>0</v>
      </c>
      <c r="I17" s="100"/>
    </row>
    <row r="18" spans="1:9" x14ac:dyDescent="0.4">
      <c r="A18" s="23" t="s">
        <v>12</v>
      </c>
      <c r="B18" s="15">
        <v>0</v>
      </c>
      <c r="C18" s="6">
        <f>IF(B$17=0,0,B18/B$17)</f>
        <v>0</v>
      </c>
      <c r="E18" s="65" t="s">
        <v>83</v>
      </c>
      <c r="F18" s="29" t="s">
        <v>36</v>
      </c>
      <c r="G18" s="15">
        <v>0</v>
      </c>
      <c r="H18" s="139">
        <f t="shared" si="0"/>
        <v>0</v>
      </c>
      <c r="I18" s="100"/>
    </row>
    <row r="19" spans="1:9" x14ac:dyDescent="0.4">
      <c r="A19" s="23" t="s">
        <v>11</v>
      </c>
      <c r="B19" s="15">
        <v>0</v>
      </c>
      <c r="C19" s="6">
        <f>IF(B$17=0,0,B19/B$17)</f>
        <v>0</v>
      </c>
      <c r="E19" s="65" t="s">
        <v>84</v>
      </c>
      <c r="F19" s="29" t="s">
        <v>37</v>
      </c>
      <c r="G19" s="15">
        <v>0</v>
      </c>
      <c r="H19" s="139">
        <f t="shared" si="0"/>
        <v>0</v>
      </c>
      <c r="I19" s="100"/>
    </row>
    <row r="20" spans="1:9" x14ac:dyDescent="0.4">
      <c r="A20" s="23" t="s">
        <v>13</v>
      </c>
      <c r="B20" s="15">
        <v>0</v>
      </c>
      <c r="C20" s="6">
        <f>IF(B$3=0,0,B20/B$3)</f>
        <v>0</v>
      </c>
      <c r="E20" s="65" t="s">
        <v>85</v>
      </c>
      <c r="F20" s="29" t="s">
        <v>38</v>
      </c>
      <c r="G20" s="15">
        <v>0</v>
      </c>
      <c r="H20" s="139">
        <f t="shared" si="0"/>
        <v>0</v>
      </c>
      <c r="I20" s="100"/>
    </row>
    <row r="21" spans="1:9" x14ac:dyDescent="0.4">
      <c r="A21" s="23" t="s">
        <v>5</v>
      </c>
      <c r="B21" s="19">
        <f>IF(B$17=0,0,C21/B$17)</f>
        <v>0</v>
      </c>
      <c r="C21" s="8">
        <v>0</v>
      </c>
      <c r="E21" s="65" t="s">
        <v>86</v>
      </c>
      <c r="F21" s="29" t="s">
        <v>39</v>
      </c>
      <c r="G21" s="15">
        <v>0</v>
      </c>
      <c r="H21" s="139">
        <f t="shared" si="0"/>
        <v>0</v>
      </c>
      <c r="I21" s="100"/>
    </row>
    <row r="22" spans="1:9" x14ac:dyDescent="0.4">
      <c r="A22" s="25" t="s">
        <v>14</v>
      </c>
      <c r="B22" s="20">
        <f>IF(B$20=0,0,C22/B$20)</f>
        <v>0</v>
      </c>
      <c r="C22" s="13">
        <v>0</v>
      </c>
      <c r="E22" s="65" t="s">
        <v>87</v>
      </c>
      <c r="F22" s="29" t="s">
        <v>40</v>
      </c>
      <c r="G22" s="15">
        <v>0</v>
      </c>
      <c r="H22" s="139">
        <f t="shared" si="0"/>
        <v>0</v>
      </c>
      <c r="I22" s="100"/>
    </row>
    <row r="23" spans="1:9" x14ac:dyDescent="0.4">
      <c r="A23" s="96" t="s">
        <v>148</v>
      </c>
      <c r="B23" s="147">
        <v>0</v>
      </c>
      <c r="C23" s="148"/>
      <c r="E23" s="65" t="s">
        <v>88</v>
      </c>
      <c r="F23" s="29" t="s">
        <v>41</v>
      </c>
      <c r="G23" s="15">
        <v>0</v>
      </c>
      <c r="H23" s="139">
        <f t="shared" si="0"/>
        <v>0</v>
      </c>
      <c r="I23" s="100"/>
    </row>
    <row r="24" spans="1:9" x14ac:dyDescent="0.4">
      <c r="A24" s="60" t="s">
        <v>159</v>
      </c>
      <c r="B24" s="145">
        <v>0</v>
      </c>
      <c r="C24" s="146"/>
      <c r="E24" s="65" t="s">
        <v>89</v>
      </c>
      <c r="F24" s="29" t="s">
        <v>42</v>
      </c>
      <c r="G24" s="15">
        <v>0</v>
      </c>
      <c r="H24" s="139">
        <f t="shared" si="0"/>
        <v>0</v>
      </c>
      <c r="I24" s="100"/>
    </row>
    <row r="25" spans="1:9" x14ac:dyDescent="0.4">
      <c r="A25" s="25" t="s">
        <v>149</v>
      </c>
      <c r="B25" s="34">
        <v>0</v>
      </c>
      <c r="C25" s="9">
        <f>IF(B$3=0,0,B25/B$3)</f>
        <v>0</v>
      </c>
      <c r="E25" s="65" t="s">
        <v>90</v>
      </c>
      <c r="F25" s="29" t="s">
        <v>43</v>
      </c>
      <c r="G25" s="15">
        <v>0</v>
      </c>
      <c r="H25" s="139">
        <f t="shared" si="0"/>
        <v>0</v>
      </c>
      <c r="I25" s="100"/>
    </row>
    <row r="26" spans="1:9" x14ac:dyDescent="0.4">
      <c r="A26" s="22" t="s">
        <v>126</v>
      </c>
      <c r="B26" s="151">
        <v>0</v>
      </c>
      <c r="C26" s="152"/>
      <c r="E26" s="65" t="s">
        <v>91</v>
      </c>
      <c r="F26" s="29" t="s">
        <v>44</v>
      </c>
      <c r="G26" s="15">
        <v>0</v>
      </c>
      <c r="H26" s="139">
        <f t="shared" si="0"/>
        <v>0</v>
      </c>
      <c r="I26" s="100"/>
    </row>
    <row r="27" spans="1:9" x14ac:dyDescent="0.4">
      <c r="A27" s="25" t="s">
        <v>127</v>
      </c>
      <c r="B27" s="153">
        <v>0</v>
      </c>
      <c r="C27" s="154"/>
      <c r="E27" s="65" t="s">
        <v>92</v>
      </c>
      <c r="F27" s="29" t="s">
        <v>45</v>
      </c>
      <c r="G27" s="15">
        <v>0</v>
      </c>
      <c r="H27" s="139">
        <f t="shared" si="0"/>
        <v>0</v>
      </c>
      <c r="I27" s="100"/>
    </row>
    <row r="28" spans="1:9" x14ac:dyDescent="0.4">
      <c r="E28" s="65" t="s">
        <v>93</v>
      </c>
      <c r="F28" s="29" t="s">
        <v>46</v>
      </c>
      <c r="G28" s="15">
        <v>0</v>
      </c>
      <c r="H28" s="139">
        <f t="shared" si="0"/>
        <v>0</v>
      </c>
      <c r="I28" s="100"/>
    </row>
    <row r="29" spans="1:9" x14ac:dyDescent="0.4">
      <c r="E29" s="65" t="s">
        <v>94</v>
      </c>
      <c r="F29" s="29" t="s">
        <v>47</v>
      </c>
      <c r="G29" s="15">
        <v>0</v>
      </c>
      <c r="H29" s="139">
        <f t="shared" si="0"/>
        <v>0</v>
      </c>
      <c r="I29" s="100"/>
    </row>
    <row r="30" spans="1:9" x14ac:dyDescent="0.4">
      <c r="E30" s="65" t="s">
        <v>95</v>
      </c>
      <c r="F30" s="29" t="s">
        <v>48</v>
      </c>
      <c r="G30" s="15">
        <v>0</v>
      </c>
      <c r="H30" s="139">
        <f t="shared" si="0"/>
        <v>0</v>
      </c>
      <c r="I30" s="100"/>
    </row>
    <row r="31" spans="1:9" x14ac:dyDescent="0.4">
      <c r="E31" s="65" t="s">
        <v>96</v>
      </c>
      <c r="F31" s="29" t="s">
        <v>49</v>
      </c>
      <c r="G31" s="15">
        <v>0</v>
      </c>
      <c r="H31" s="139">
        <f t="shared" si="0"/>
        <v>0</v>
      </c>
      <c r="I31" s="100"/>
    </row>
    <row r="32" spans="1:9" x14ac:dyDescent="0.4">
      <c r="E32" s="65" t="s">
        <v>97</v>
      </c>
      <c r="F32" s="29" t="s">
        <v>50</v>
      </c>
      <c r="G32" s="15">
        <v>0</v>
      </c>
      <c r="H32" s="139">
        <f t="shared" si="0"/>
        <v>0</v>
      </c>
      <c r="I32" s="100"/>
    </row>
    <row r="33" spans="5:9" x14ac:dyDescent="0.4">
      <c r="E33" s="65" t="s">
        <v>98</v>
      </c>
      <c r="F33" s="29" t="s">
        <v>51</v>
      </c>
      <c r="G33" s="15">
        <v>0</v>
      </c>
      <c r="H33" s="139">
        <f t="shared" si="0"/>
        <v>0</v>
      </c>
      <c r="I33" s="100"/>
    </row>
    <row r="34" spans="5:9" x14ac:dyDescent="0.4">
      <c r="E34" s="65" t="s">
        <v>99</v>
      </c>
      <c r="F34" s="29" t="s">
        <v>52</v>
      </c>
      <c r="G34" s="15">
        <v>0</v>
      </c>
      <c r="H34" s="139">
        <f t="shared" ref="H34:H51" si="3">IF(B$27=0,0,G34/B$27)</f>
        <v>0</v>
      </c>
      <c r="I34" s="100"/>
    </row>
    <row r="35" spans="5:9" x14ac:dyDescent="0.4">
      <c r="E35" s="65" t="s">
        <v>100</v>
      </c>
      <c r="F35" s="29" t="s">
        <v>53</v>
      </c>
      <c r="G35" s="15">
        <v>0</v>
      </c>
      <c r="H35" s="139">
        <f t="shared" si="3"/>
        <v>0</v>
      </c>
      <c r="I35" s="100"/>
    </row>
    <row r="36" spans="5:9" x14ac:dyDescent="0.4">
      <c r="E36" s="65" t="s">
        <v>101</v>
      </c>
      <c r="F36" s="29" t="s">
        <v>54</v>
      </c>
      <c r="G36" s="15">
        <v>0</v>
      </c>
      <c r="H36" s="139">
        <f t="shared" si="3"/>
        <v>0</v>
      </c>
      <c r="I36" s="100"/>
    </row>
    <row r="37" spans="5:9" x14ac:dyDescent="0.4">
      <c r="E37" s="65" t="s">
        <v>102</v>
      </c>
      <c r="F37" s="29" t="s">
        <v>55</v>
      </c>
      <c r="G37" s="15">
        <v>0</v>
      </c>
      <c r="H37" s="139">
        <f t="shared" si="3"/>
        <v>0</v>
      </c>
      <c r="I37" s="100"/>
    </row>
    <row r="38" spans="5:9" x14ac:dyDescent="0.4">
      <c r="E38" s="65" t="s">
        <v>103</v>
      </c>
      <c r="F38" s="29" t="s">
        <v>56</v>
      </c>
      <c r="G38" s="15">
        <v>0</v>
      </c>
      <c r="H38" s="139">
        <f t="shared" si="3"/>
        <v>0</v>
      </c>
      <c r="I38" s="100"/>
    </row>
    <row r="39" spans="5:9" x14ac:dyDescent="0.4">
      <c r="E39" s="65" t="s">
        <v>104</v>
      </c>
      <c r="F39" s="29" t="s">
        <v>57</v>
      </c>
      <c r="G39" s="15">
        <v>0</v>
      </c>
      <c r="H39" s="139">
        <f t="shared" si="3"/>
        <v>0</v>
      </c>
      <c r="I39" s="100"/>
    </row>
    <row r="40" spans="5:9" x14ac:dyDescent="0.4">
      <c r="E40" s="65" t="s">
        <v>105</v>
      </c>
      <c r="F40" s="29" t="s">
        <v>58</v>
      </c>
      <c r="G40" s="15">
        <v>0</v>
      </c>
      <c r="H40" s="139">
        <f t="shared" si="3"/>
        <v>0</v>
      </c>
      <c r="I40" s="100"/>
    </row>
    <row r="41" spans="5:9" x14ac:dyDescent="0.4">
      <c r="E41" s="65" t="s">
        <v>106</v>
      </c>
      <c r="F41" s="29" t="s">
        <v>59</v>
      </c>
      <c r="G41" s="15">
        <v>0</v>
      </c>
      <c r="H41" s="139">
        <f t="shared" si="3"/>
        <v>0</v>
      </c>
      <c r="I41" s="100"/>
    </row>
    <row r="42" spans="5:9" x14ac:dyDescent="0.4">
      <c r="E42" s="65" t="s">
        <v>107</v>
      </c>
      <c r="F42" s="29" t="s">
        <v>60</v>
      </c>
      <c r="G42" s="15">
        <v>0</v>
      </c>
      <c r="H42" s="139">
        <f t="shared" si="3"/>
        <v>0</v>
      </c>
      <c r="I42" s="100"/>
    </row>
    <row r="43" spans="5:9" x14ac:dyDescent="0.4">
      <c r="E43" s="65" t="s">
        <v>108</v>
      </c>
      <c r="F43" s="29" t="s">
        <v>61</v>
      </c>
      <c r="G43" s="15">
        <v>0</v>
      </c>
      <c r="H43" s="139">
        <f t="shared" si="3"/>
        <v>0</v>
      </c>
      <c r="I43" s="100"/>
    </row>
    <row r="44" spans="5:9" x14ac:dyDescent="0.4">
      <c r="E44" s="65" t="s">
        <v>109</v>
      </c>
      <c r="F44" s="29" t="s">
        <v>62</v>
      </c>
      <c r="G44" s="15">
        <v>0</v>
      </c>
      <c r="H44" s="139">
        <f t="shared" si="3"/>
        <v>0</v>
      </c>
      <c r="I44" s="100"/>
    </row>
    <row r="45" spans="5:9" x14ac:dyDescent="0.4">
      <c r="E45" s="65" t="s">
        <v>110</v>
      </c>
      <c r="F45" s="29" t="s">
        <v>117</v>
      </c>
      <c r="G45" s="15">
        <v>0</v>
      </c>
      <c r="H45" s="139">
        <f t="shared" si="3"/>
        <v>0</v>
      </c>
      <c r="I45" s="100"/>
    </row>
    <row r="46" spans="5:9" x14ac:dyDescent="0.4">
      <c r="E46" s="65" t="s">
        <v>111</v>
      </c>
      <c r="F46" s="29" t="s">
        <v>118</v>
      </c>
      <c r="G46" s="15">
        <v>0</v>
      </c>
      <c r="H46" s="139">
        <f t="shared" si="3"/>
        <v>0</v>
      </c>
      <c r="I46" s="100"/>
    </row>
    <row r="47" spans="5:9" x14ac:dyDescent="0.4">
      <c r="E47" s="65" t="s">
        <v>112</v>
      </c>
      <c r="F47" s="29" t="s">
        <v>119</v>
      </c>
      <c r="G47" s="15">
        <v>0</v>
      </c>
      <c r="H47" s="139">
        <f t="shared" si="3"/>
        <v>0</v>
      </c>
      <c r="I47" s="100"/>
    </row>
    <row r="48" spans="5:9" x14ac:dyDescent="0.4">
      <c r="E48" s="65" t="s">
        <v>113</v>
      </c>
      <c r="F48" s="29" t="s">
        <v>63</v>
      </c>
      <c r="G48" s="15">
        <v>0</v>
      </c>
      <c r="H48" s="139">
        <f t="shared" si="3"/>
        <v>0</v>
      </c>
      <c r="I48" s="100"/>
    </row>
    <row r="49" spans="5:9" x14ac:dyDescent="0.4">
      <c r="E49" s="65" t="s">
        <v>114</v>
      </c>
      <c r="F49" s="29" t="s">
        <v>64</v>
      </c>
      <c r="G49" s="15">
        <v>0</v>
      </c>
      <c r="H49" s="139">
        <f t="shared" si="3"/>
        <v>0</v>
      </c>
      <c r="I49" s="100"/>
    </row>
    <row r="50" spans="5:9" x14ac:dyDescent="0.4">
      <c r="E50" s="65" t="s">
        <v>115</v>
      </c>
      <c r="F50" s="29" t="s">
        <v>65</v>
      </c>
      <c r="G50" s="15">
        <v>0</v>
      </c>
      <c r="H50" s="139">
        <f t="shared" si="3"/>
        <v>0</v>
      </c>
      <c r="I50" s="100"/>
    </row>
    <row r="51" spans="5:9" x14ac:dyDescent="0.4">
      <c r="E51" s="66" t="s">
        <v>116</v>
      </c>
      <c r="F51" s="30" t="s">
        <v>66</v>
      </c>
      <c r="G51" s="17">
        <v>0</v>
      </c>
      <c r="H51" s="140">
        <f t="shared" si="3"/>
        <v>0</v>
      </c>
      <c r="I51" s="101"/>
    </row>
  </sheetData>
  <mergeCells count="10">
    <mergeCell ref="B1:C1"/>
    <mergeCell ref="B2:C2"/>
    <mergeCell ref="B3:C3"/>
    <mergeCell ref="B4:C4"/>
    <mergeCell ref="B5:C5"/>
    <mergeCell ref="B24:C24"/>
    <mergeCell ref="B23:C23"/>
    <mergeCell ref="B6:C6"/>
    <mergeCell ref="B26:C26"/>
    <mergeCell ref="B27:C27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G3"/>
  <sheetViews>
    <sheetView workbookViewId="0"/>
  </sheetViews>
  <sheetFormatPr defaultColWidth="9" defaultRowHeight="18.75" x14ac:dyDescent="0.4"/>
  <cols>
    <col min="1" max="1" width="16.375" style="32" bestFit="1" customWidth="1"/>
    <col min="2" max="2" width="16.875" style="33" bestFit="1" customWidth="1"/>
    <col min="3" max="16384" width="9" style="32"/>
  </cols>
  <sheetData>
    <row r="1" spans="1:7" x14ac:dyDescent="0.4">
      <c r="A1" s="31">
        <v>32874</v>
      </c>
      <c r="B1" s="31">
        <v>2958465</v>
      </c>
    </row>
    <row r="2" spans="1:7" x14ac:dyDescent="0.4">
      <c r="A2" s="32" t="s">
        <v>178</v>
      </c>
      <c r="B2" s="33">
        <v>43555.865243055552</v>
      </c>
      <c r="C2" s="32" t="s">
        <v>136</v>
      </c>
      <c r="D2" s="32" t="s">
        <v>137</v>
      </c>
      <c r="E2" s="32" t="s">
        <v>179</v>
      </c>
    </row>
    <row r="3" spans="1:7" x14ac:dyDescent="0.4">
      <c r="A3" s="32" t="s">
        <v>180</v>
      </c>
      <c r="B3" s="33">
        <v>43557.861076388886</v>
      </c>
      <c r="C3" s="32" t="s">
        <v>136</v>
      </c>
      <c r="D3" s="32" t="s">
        <v>137</v>
      </c>
      <c r="E3" s="32" t="s">
        <v>179</v>
      </c>
      <c r="F3" s="32" t="s">
        <v>184</v>
      </c>
      <c r="G3" s="32" t="s">
        <v>185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/>
      <c r="B1" s="72"/>
      <c r="C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153</v>
      </c>
      <c r="G2" s="72" t="s">
        <v>152</v>
      </c>
      <c r="H2" s="72" t="s">
        <v>5</v>
      </c>
      <c r="I2" s="72" t="s">
        <v>17</v>
      </c>
      <c r="J2" s="72" t="s">
        <v>18</v>
      </c>
      <c r="K2" s="72" t="s">
        <v>147</v>
      </c>
      <c r="L2" s="72" t="s">
        <v>168</v>
      </c>
      <c r="M2" s="72" t="s">
        <v>129</v>
      </c>
      <c r="N2" s="72" t="s">
        <v>124</v>
      </c>
      <c r="O2" s="72" t="s">
        <v>132</v>
      </c>
      <c r="P2" s="72" t="s">
        <v>154</v>
      </c>
      <c r="Q2" s="72" t="s">
        <v>150</v>
      </c>
    </row>
    <row r="3" spans="1:17" x14ac:dyDescent="0.4">
      <c r="A3" s="71">
        <v>0</v>
      </c>
      <c r="B3" s="68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7"/>
  <sheetViews>
    <sheetView workbookViewId="0"/>
  </sheetViews>
  <sheetFormatPr defaultRowHeight="18.75" x14ac:dyDescent="0.4"/>
  <sheetData>
    <row r="1" spans="1:1" x14ac:dyDescent="0.4">
      <c r="A1" t="s">
        <v>151</v>
      </c>
    </row>
    <row r="2" spans="1:1" x14ac:dyDescent="0.4">
      <c r="A2" t="s">
        <v>133</v>
      </c>
    </row>
    <row r="3" spans="1:1" x14ac:dyDescent="0.4">
      <c r="A3" t="s">
        <v>134</v>
      </c>
    </row>
    <row r="4" spans="1:1" x14ac:dyDescent="0.4">
      <c r="A4" t="s">
        <v>135</v>
      </c>
    </row>
    <row r="5" spans="1:1" x14ac:dyDescent="0.4">
      <c r="A5" t="s">
        <v>181</v>
      </c>
    </row>
    <row r="6" spans="1:1" x14ac:dyDescent="0.4">
      <c r="A6" t="s">
        <v>182</v>
      </c>
    </row>
    <row r="7" spans="1:1" x14ac:dyDescent="0.4">
      <c r="A7" t="s">
        <v>183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O9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86" customWidth="1"/>
    <col min="2" max="2" width="10.75" style="87" customWidth="1"/>
    <col min="3" max="3" width="10.75" style="88" customWidth="1"/>
    <col min="4" max="4" width="10.75" style="89" customWidth="1"/>
    <col min="5" max="5" width="10.75" style="103" customWidth="1"/>
    <col min="6" max="6" width="10.75" style="89" customWidth="1"/>
    <col min="7" max="7" width="10.75" style="90" customWidth="1"/>
    <col min="8" max="8" width="10.75" style="89" customWidth="1"/>
    <col min="9" max="9" width="10.75" style="91" customWidth="1"/>
    <col min="10" max="10" width="10.75" style="89" customWidth="1"/>
    <col min="11" max="11" width="10.75" style="91" customWidth="1"/>
    <col min="12" max="12" width="10.75" style="89" customWidth="1"/>
    <col min="13" max="13" width="10.75" style="92" customWidth="1"/>
    <col min="14" max="14" width="10.75" style="89" customWidth="1"/>
    <col min="15" max="15" width="10.75" style="92" customWidth="1"/>
    <col min="16" max="16" width="10.75" style="89" customWidth="1"/>
    <col min="17" max="17" width="10.75" style="93" customWidth="1"/>
    <col min="18" max="18" width="10.75" style="89" customWidth="1"/>
    <col min="19" max="19" width="10.75" style="93" customWidth="1"/>
    <col min="20" max="20" width="10.75" style="89" customWidth="1"/>
    <col min="21" max="21" width="10.75" style="91" customWidth="1"/>
    <col min="22" max="22" width="10.75" style="89" customWidth="1"/>
    <col min="23" max="23" width="10.75" style="91" customWidth="1"/>
    <col min="24" max="24" width="10.75" style="89" customWidth="1"/>
    <col min="25" max="25" width="10.75" style="91" customWidth="1"/>
    <col min="26" max="26" width="10.75" style="89" customWidth="1"/>
    <col min="27" max="27" width="10.75" style="92" customWidth="1"/>
    <col min="28" max="28" width="10.75" style="89" customWidth="1"/>
    <col min="29" max="29" width="10.75" style="92" customWidth="1"/>
    <col min="30" max="30" width="10.75" style="89" customWidth="1"/>
    <col min="31" max="31" width="10.75" style="92" customWidth="1"/>
    <col min="32" max="32" width="10.75" style="89" customWidth="1"/>
    <col min="33" max="33" width="10.75" style="92" customWidth="1"/>
    <col min="34" max="34" width="10.75" style="89" customWidth="1"/>
    <col min="35" max="35" width="10.75" style="92" customWidth="1"/>
    <col min="36" max="36" width="10.75" style="89" customWidth="1"/>
    <col min="37" max="37" width="10.75" style="94" customWidth="1"/>
    <col min="38" max="38" width="10.75" style="89" customWidth="1"/>
    <col min="39" max="39" width="10.75" style="98" customWidth="1"/>
    <col min="40" max="40" width="10.75" style="89" customWidth="1"/>
    <col min="41" max="41" width="10.75" style="95" customWidth="1"/>
    <col min="42" max="16384" width="9" style="75"/>
  </cols>
  <sheetData>
    <row r="1" spans="1:41" x14ac:dyDescent="0.4">
      <c r="A1" s="74"/>
      <c r="B1" s="163" t="s">
        <v>6</v>
      </c>
      <c r="C1" s="164"/>
      <c r="D1" s="163" t="s">
        <v>7</v>
      </c>
      <c r="E1" s="164"/>
      <c r="F1" s="163" t="s">
        <v>16</v>
      </c>
      <c r="G1" s="164"/>
      <c r="H1" s="163" t="s">
        <v>15</v>
      </c>
      <c r="I1" s="164"/>
      <c r="J1" s="163" t="s">
        <v>171</v>
      </c>
      <c r="K1" s="164"/>
      <c r="L1" s="163" t="s">
        <v>155</v>
      </c>
      <c r="M1" s="164"/>
      <c r="N1" s="163" t="s">
        <v>156</v>
      </c>
      <c r="O1" s="164"/>
      <c r="P1" s="163" t="s">
        <v>5</v>
      </c>
      <c r="Q1" s="164"/>
      <c r="R1" s="163" t="s">
        <v>17</v>
      </c>
      <c r="S1" s="164"/>
      <c r="T1" s="163" t="s">
        <v>18</v>
      </c>
      <c r="U1" s="164"/>
      <c r="V1" s="163" t="s">
        <v>147</v>
      </c>
      <c r="W1" s="164"/>
      <c r="X1" s="163" t="s">
        <v>169</v>
      </c>
      <c r="Y1" s="164"/>
      <c r="Z1" s="163" t="s">
        <v>129</v>
      </c>
      <c r="AA1" s="164"/>
      <c r="AB1" s="163" t="s">
        <v>124</v>
      </c>
      <c r="AC1" s="164"/>
      <c r="AD1" s="163" t="s">
        <v>132</v>
      </c>
      <c r="AE1" s="164"/>
      <c r="AF1" s="163" t="s">
        <v>157</v>
      </c>
      <c r="AG1" s="164"/>
      <c r="AH1" s="163" t="s">
        <v>150</v>
      </c>
      <c r="AI1" s="164"/>
      <c r="AJ1" s="163" t="s">
        <v>158</v>
      </c>
      <c r="AK1" s="164"/>
      <c r="AL1" s="163" t="s">
        <v>160</v>
      </c>
      <c r="AM1" s="164"/>
      <c r="AN1" s="163" t="s">
        <v>172</v>
      </c>
      <c r="AO1" s="164"/>
    </row>
    <row r="2" spans="1:41" x14ac:dyDescent="0.4">
      <c r="A2" s="74" t="s">
        <v>170</v>
      </c>
      <c r="B2" s="165"/>
      <c r="C2" s="166"/>
      <c r="D2" s="165"/>
      <c r="E2" s="166"/>
      <c r="F2" s="167" t="e">
        <v>#DIV/0!</v>
      </c>
      <c r="G2" s="168"/>
      <c r="H2" s="167" t="e">
        <v>#DIV/0!</v>
      </c>
      <c r="I2" s="168"/>
      <c r="J2" s="167" t="e">
        <v>#DIV/0!</v>
      </c>
      <c r="K2" s="168"/>
      <c r="L2" s="167" t="e">
        <v>#DIV/0!</v>
      </c>
      <c r="M2" s="168"/>
      <c r="N2" s="167" t="e">
        <v>#DIV/0!</v>
      </c>
      <c r="O2" s="168"/>
      <c r="P2" s="167" t="e">
        <v>#DIV/0!</v>
      </c>
      <c r="Q2" s="168"/>
      <c r="R2" s="167" t="e">
        <v>#DIV/0!</v>
      </c>
      <c r="S2" s="168"/>
      <c r="T2" s="167" t="e">
        <v>#DIV/0!</v>
      </c>
      <c r="U2" s="168"/>
      <c r="V2" s="167" t="e">
        <v>#DIV/0!</v>
      </c>
      <c r="W2" s="168"/>
      <c r="X2" s="167" t="e">
        <v>#DIV/0!</v>
      </c>
      <c r="Y2" s="168"/>
      <c r="Z2" s="167" t="e">
        <v>#DIV/0!</v>
      </c>
      <c r="AA2" s="168"/>
      <c r="AB2" s="167" t="e">
        <v>#DIV/0!</v>
      </c>
      <c r="AC2" s="168"/>
      <c r="AD2" s="167" t="e">
        <v>#DIV/0!</v>
      </c>
      <c r="AE2" s="168"/>
      <c r="AF2" s="167" t="e">
        <v>#DIV/0!</v>
      </c>
      <c r="AG2" s="168"/>
      <c r="AH2" s="167" t="e">
        <v>#DIV/0!</v>
      </c>
      <c r="AI2" s="168"/>
      <c r="AJ2" s="167" t="e">
        <v>#DIV/0!</v>
      </c>
      <c r="AK2" s="168"/>
      <c r="AL2" s="167" t="e">
        <v>#DIV/0!</v>
      </c>
      <c r="AM2" s="168"/>
      <c r="AN2" s="167" t="e">
        <v>#DIV/0!</v>
      </c>
      <c r="AO2" s="168"/>
    </row>
    <row r="3" spans="1:41" x14ac:dyDescent="0.4">
      <c r="A3" s="76">
        <v>1</v>
      </c>
      <c r="B3" s="77" t="s">
        <v>133</v>
      </c>
      <c r="C3" s="78">
        <v>256.10000000000002</v>
      </c>
      <c r="D3" s="79" t="s">
        <v>133</v>
      </c>
      <c r="E3" s="102">
        <v>36.585714285714289</v>
      </c>
      <c r="F3" s="79" t="s">
        <v>133</v>
      </c>
      <c r="G3" s="80">
        <v>1.2857142857142858</v>
      </c>
      <c r="H3" s="79" t="s">
        <v>133</v>
      </c>
      <c r="I3" s="81">
        <v>0.7142857142857143</v>
      </c>
      <c r="J3" s="79" t="s">
        <v>133</v>
      </c>
      <c r="K3" s="81">
        <v>0</v>
      </c>
      <c r="L3" s="79" t="s">
        <v>133</v>
      </c>
      <c r="M3" s="82">
        <v>0.44067796610169491</v>
      </c>
      <c r="N3" s="79" t="s">
        <v>182</v>
      </c>
      <c r="O3" s="82">
        <v>0.125</v>
      </c>
      <c r="P3" s="79" t="s">
        <v>133</v>
      </c>
      <c r="Q3" s="83">
        <v>8938.461538461539</v>
      </c>
      <c r="R3" s="79" t="s">
        <v>181</v>
      </c>
      <c r="S3" s="83">
        <v>-5014.2857142857147</v>
      </c>
      <c r="T3" s="79" t="s">
        <v>133</v>
      </c>
      <c r="U3" s="81">
        <v>0</v>
      </c>
      <c r="V3" s="79" t="s">
        <v>133</v>
      </c>
      <c r="W3" s="81">
        <v>0.14285714285714285</v>
      </c>
      <c r="X3" s="79" t="s">
        <v>133</v>
      </c>
      <c r="Y3" s="81">
        <v>0.42857142857142855</v>
      </c>
      <c r="Z3" s="79" t="s">
        <v>133</v>
      </c>
      <c r="AA3" s="82">
        <v>0.3728813559322034</v>
      </c>
      <c r="AB3" s="79" t="s">
        <v>182</v>
      </c>
      <c r="AC3" s="82">
        <v>0.375</v>
      </c>
      <c r="AD3" s="79" t="s">
        <v>134</v>
      </c>
      <c r="AE3" s="82">
        <v>0.6470588235294118</v>
      </c>
      <c r="AF3" s="79" t="s">
        <v>133</v>
      </c>
      <c r="AG3" s="82">
        <v>0.625</v>
      </c>
      <c r="AH3" s="79" t="s">
        <v>183</v>
      </c>
      <c r="AI3" s="82">
        <v>1</v>
      </c>
      <c r="AJ3" s="79" t="s">
        <v>151</v>
      </c>
      <c r="AK3" s="84">
        <v>7</v>
      </c>
      <c r="AL3" s="79" t="s">
        <v>151</v>
      </c>
      <c r="AM3" s="97">
        <v>105900</v>
      </c>
      <c r="AN3" s="79" t="s">
        <v>151</v>
      </c>
      <c r="AO3" s="85">
        <v>2</v>
      </c>
    </row>
    <row r="4" spans="1:41" x14ac:dyDescent="0.4">
      <c r="A4" s="86">
        <v>2</v>
      </c>
      <c r="B4" s="87" t="s">
        <v>151</v>
      </c>
      <c r="C4" s="88">
        <v>-3.5527136788005009E-15</v>
      </c>
      <c r="D4" s="89" t="s">
        <v>151</v>
      </c>
      <c r="E4" s="103">
        <v>-1.4802973661668753E-16</v>
      </c>
      <c r="F4" s="89" t="s">
        <v>151</v>
      </c>
      <c r="G4" s="90">
        <v>2</v>
      </c>
      <c r="H4" s="89" t="s">
        <v>151</v>
      </c>
      <c r="I4" s="91">
        <v>0.33333333333333331</v>
      </c>
      <c r="J4" s="89" t="s">
        <v>182</v>
      </c>
      <c r="K4" s="91">
        <v>0</v>
      </c>
      <c r="L4" s="89" t="s">
        <v>151</v>
      </c>
      <c r="M4" s="92">
        <v>0.30392156862745096</v>
      </c>
      <c r="N4" s="89" t="s">
        <v>133</v>
      </c>
      <c r="O4" s="92">
        <v>0.15254237288135594</v>
      </c>
      <c r="P4" s="89" t="s">
        <v>134</v>
      </c>
      <c r="Q4" s="93">
        <v>8231.25</v>
      </c>
      <c r="R4" s="89" t="s">
        <v>182</v>
      </c>
      <c r="S4" s="93">
        <v>-6750</v>
      </c>
      <c r="T4" s="89" t="s">
        <v>134</v>
      </c>
      <c r="U4" s="91">
        <v>0</v>
      </c>
      <c r="V4" s="89" t="s">
        <v>151</v>
      </c>
      <c r="W4" s="91">
        <v>4.1666666666666664E-2</v>
      </c>
      <c r="X4" s="89" t="s">
        <v>151</v>
      </c>
      <c r="Y4" s="91">
        <v>0.20833333333333334</v>
      </c>
      <c r="Z4" s="89" t="s">
        <v>134</v>
      </c>
      <c r="AA4" s="92">
        <v>0.31481481481481483</v>
      </c>
      <c r="AB4" s="89" t="s">
        <v>133</v>
      </c>
      <c r="AC4" s="92">
        <v>0.2711864406779661</v>
      </c>
      <c r="AD4" s="89" t="s">
        <v>135</v>
      </c>
      <c r="AE4" s="92">
        <v>0.63636363636363635</v>
      </c>
      <c r="AF4" s="89" t="s">
        <v>151</v>
      </c>
      <c r="AG4" s="92">
        <v>0.40909090909090912</v>
      </c>
      <c r="AH4" s="89" t="s">
        <v>182</v>
      </c>
      <c r="AI4" s="92">
        <v>0.5</v>
      </c>
      <c r="AJ4" s="89" t="s">
        <v>135</v>
      </c>
      <c r="AK4" s="94">
        <v>7</v>
      </c>
      <c r="AL4" s="89" t="s">
        <v>133</v>
      </c>
      <c r="AM4" s="98">
        <v>105900</v>
      </c>
      <c r="AN4" s="89" t="s">
        <v>134</v>
      </c>
      <c r="AO4" s="95">
        <v>1</v>
      </c>
    </row>
    <row r="5" spans="1:41" x14ac:dyDescent="0.4">
      <c r="A5" s="86">
        <v>3</v>
      </c>
      <c r="B5" s="87" t="s">
        <v>182</v>
      </c>
      <c r="C5" s="88">
        <v>-7.7000000000000011</v>
      </c>
      <c r="D5" s="89" t="s">
        <v>134</v>
      </c>
      <c r="E5" s="103">
        <v>-2.3333333333333344</v>
      </c>
      <c r="F5" s="89" t="s">
        <v>182</v>
      </c>
      <c r="G5" s="90">
        <v>2</v>
      </c>
      <c r="H5" s="89" t="s">
        <v>134</v>
      </c>
      <c r="I5" s="91">
        <v>0.33333333333333331</v>
      </c>
      <c r="J5" s="89" t="s">
        <v>151</v>
      </c>
      <c r="K5" s="91">
        <v>0.33333333333333331</v>
      </c>
      <c r="L5" s="89" t="s">
        <v>134</v>
      </c>
      <c r="M5" s="92">
        <v>0.29629629629629628</v>
      </c>
      <c r="N5" s="89" t="s">
        <v>134</v>
      </c>
      <c r="O5" s="92">
        <v>0.16666666666666666</v>
      </c>
      <c r="P5" s="89" t="s">
        <v>151</v>
      </c>
      <c r="Q5" s="93">
        <v>8124.1935483870966</v>
      </c>
      <c r="R5" s="89" t="s">
        <v>134</v>
      </c>
      <c r="S5" s="93">
        <v>-6755.5555555555557</v>
      </c>
      <c r="T5" s="89" t="s">
        <v>135</v>
      </c>
      <c r="U5" s="91">
        <v>0</v>
      </c>
      <c r="V5" s="89" t="s">
        <v>134</v>
      </c>
      <c r="W5" s="91">
        <v>0</v>
      </c>
      <c r="X5" s="89" t="s">
        <v>134</v>
      </c>
      <c r="Y5" s="91">
        <v>0.16666666666666666</v>
      </c>
      <c r="Z5" s="89" t="s">
        <v>151</v>
      </c>
      <c r="AA5" s="92">
        <v>0.27941176470588236</v>
      </c>
      <c r="AB5" s="89" t="s">
        <v>134</v>
      </c>
      <c r="AC5" s="92">
        <v>0.22222222222222221</v>
      </c>
      <c r="AD5" s="89" t="s">
        <v>151</v>
      </c>
      <c r="AE5" s="92">
        <v>0.50877192982456143</v>
      </c>
      <c r="AF5" s="89" t="s">
        <v>135</v>
      </c>
      <c r="AG5" s="92">
        <v>0.375</v>
      </c>
      <c r="AH5" s="89" t="s">
        <v>135</v>
      </c>
      <c r="AI5" s="92">
        <v>0.33333333333333331</v>
      </c>
      <c r="AJ5" s="89" t="s">
        <v>133</v>
      </c>
      <c r="AK5" s="94">
        <v>4</v>
      </c>
      <c r="AL5" s="89" t="s">
        <v>134</v>
      </c>
      <c r="AM5" s="98">
        <v>75900</v>
      </c>
      <c r="AN5" s="89" t="s">
        <v>181</v>
      </c>
      <c r="AO5" s="95">
        <v>1</v>
      </c>
    </row>
    <row r="6" spans="1:41" x14ac:dyDescent="0.4">
      <c r="A6" s="86">
        <v>4</v>
      </c>
      <c r="B6" s="87" t="s">
        <v>134</v>
      </c>
      <c r="C6" s="88">
        <v>-14.000000000000005</v>
      </c>
      <c r="D6" s="89" t="s">
        <v>182</v>
      </c>
      <c r="E6" s="103">
        <v>-3.8500000000000005</v>
      </c>
      <c r="F6" s="89" t="s">
        <v>134</v>
      </c>
      <c r="G6" s="90">
        <v>2.1666666666666665</v>
      </c>
      <c r="H6" s="89" t="s">
        <v>135</v>
      </c>
      <c r="I6" s="91">
        <v>0.16666666666666666</v>
      </c>
      <c r="J6" s="89" t="s">
        <v>135</v>
      </c>
      <c r="K6" s="91">
        <v>0.33333333333333331</v>
      </c>
      <c r="L6" s="89" t="s">
        <v>135</v>
      </c>
      <c r="M6" s="92">
        <v>0.28846153846153844</v>
      </c>
      <c r="N6" s="89" t="s">
        <v>151</v>
      </c>
      <c r="O6" s="92">
        <v>0.2107843137254902</v>
      </c>
      <c r="P6" s="89" t="s">
        <v>135</v>
      </c>
      <c r="Q6" s="93">
        <v>7973.333333333333</v>
      </c>
      <c r="R6" s="89" t="s">
        <v>133</v>
      </c>
      <c r="S6" s="93">
        <v>-7733.333333333333</v>
      </c>
      <c r="T6" s="89" t="s">
        <v>181</v>
      </c>
      <c r="U6" s="91">
        <v>0</v>
      </c>
      <c r="V6" s="89" t="s">
        <v>135</v>
      </c>
      <c r="W6" s="91">
        <v>0</v>
      </c>
      <c r="X6" s="89" t="s">
        <v>135</v>
      </c>
      <c r="Y6" s="91">
        <v>0.16666666666666666</v>
      </c>
      <c r="Z6" s="89" t="s">
        <v>181</v>
      </c>
      <c r="AA6" s="92">
        <v>0.25</v>
      </c>
      <c r="AB6" s="89" t="s">
        <v>151</v>
      </c>
      <c r="AC6" s="92">
        <v>0.21568627450980393</v>
      </c>
      <c r="AD6" s="89" t="s">
        <v>133</v>
      </c>
      <c r="AE6" s="92">
        <v>0.45454545454545453</v>
      </c>
      <c r="AF6" s="89" t="s">
        <v>134</v>
      </c>
      <c r="AG6" s="92">
        <v>0.33333333333333331</v>
      </c>
      <c r="AH6" s="89" t="s">
        <v>151</v>
      </c>
      <c r="AI6" s="92">
        <v>0.29032258064516131</v>
      </c>
      <c r="AJ6" s="89" t="s">
        <v>134</v>
      </c>
      <c r="AK6" s="94">
        <v>4</v>
      </c>
      <c r="AL6" s="89" t="s">
        <v>135</v>
      </c>
      <c r="AM6" s="98">
        <v>52000</v>
      </c>
      <c r="AN6" s="89" t="s">
        <v>133</v>
      </c>
      <c r="AO6" s="95">
        <v>0</v>
      </c>
    </row>
    <row r="7" spans="1:41" x14ac:dyDescent="0.4">
      <c r="A7" s="86">
        <v>5</v>
      </c>
      <c r="B7" s="87" t="s">
        <v>135</v>
      </c>
      <c r="C7" s="88">
        <v>-58.5</v>
      </c>
      <c r="D7" s="89" t="s">
        <v>135</v>
      </c>
      <c r="E7" s="103">
        <v>-9.75</v>
      </c>
      <c r="F7" s="89" t="s">
        <v>135</v>
      </c>
      <c r="G7" s="90">
        <v>2.1666666666666665</v>
      </c>
      <c r="H7" s="89" t="s">
        <v>181</v>
      </c>
      <c r="I7" s="91">
        <v>0</v>
      </c>
      <c r="J7" s="89" t="s">
        <v>134</v>
      </c>
      <c r="K7" s="91">
        <v>0.5</v>
      </c>
      <c r="L7" s="89" t="s">
        <v>183</v>
      </c>
      <c r="M7" s="92">
        <v>0.14285714285714285</v>
      </c>
      <c r="N7" s="89" t="s">
        <v>135</v>
      </c>
      <c r="O7" s="92">
        <v>0.26923076923076922</v>
      </c>
      <c r="P7" s="89" t="s">
        <v>182</v>
      </c>
      <c r="Q7" s="93">
        <v>5050</v>
      </c>
      <c r="R7" s="89" t="s">
        <v>151</v>
      </c>
      <c r="S7" s="93">
        <v>-7848.8372093023254</v>
      </c>
      <c r="T7" s="89" t="s">
        <v>182</v>
      </c>
      <c r="U7" s="91">
        <v>0</v>
      </c>
      <c r="V7" s="89" t="s">
        <v>181</v>
      </c>
      <c r="W7" s="91">
        <v>0</v>
      </c>
      <c r="X7" s="89" t="s">
        <v>181</v>
      </c>
      <c r="Y7" s="91">
        <v>0</v>
      </c>
      <c r="Z7" s="89" t="s">
        <v>135</v>
      </c>
      <c r="AA7" s="92">
        <v>0.21153846153846154</v>
      </c>
      <c r="AB7" s="89" t="s">
        <v>135</v>
      </c>
      <c r="AC7" s="92">
        <v>0.15384615384615385</v>
      </c>
      <c r="AD7" s="89" t="s">
        <v>181</v>
      </c>
      <c r="AE7" s="92">
        <v>0.25</v>
      </c>
      <c r="AF7" s="89" t="s">
        <v>182</v>
      </c>
      <c r="AG7" s="92">
        <v>0.16666666666666666</v>
      </c>
      <c r="AH7" s="89" t="s">
        <v>133</v>
      </c>
      <c r="AI7" s="92">
        <v>0.26923076923076922</v>
      </c>
      <c r="AJ7" s="89" t="s">
        <v>181</v>
      </c>
      <c r="AK7" s="94">
        <v>1</v>
      </c>
      <c r="AL7" s="89" t="s">
        <v>182</v>
      </c>
      <c r="AM7" s="98">
        <v>46100</v>
      </c>
      <c r="AN7" s="89" t="s">
        <v>135</v>
      </c>
      <c r="AO7" s="95">
        <v>0</v>
      </c>
    </row>
    <row r="8" spans="1:41" x14ac:dyDescent="0.4">
      <c r="A8" s="86">
        <v>6</v>
      </c>
      <c r="B8" s="87" t="s">
        <v>183</v>
      </c>
      <c r="C8" s="88">
        <v>-82.6</v>
      </c>
      <c r="D8" s="89" t="s">
        <v>181</v>
      </c>
      <c r="E8" s="103">
        <v>-46.650000000000006</v>
      </c>
      <c r="F8" s="89" t="s">
        <v>181</v>
      </c>
      <c r="G8" s="90">
        <v>3</v>
      </c>
      <c r="H8" s="89" t="s">
        <v>182</v>
      </c>
      <c r="I8" s="91">
        <v>0</v>
      </c>
      <c r="J8" s="89" t="s">
        <v>181</v>
      </c>
      <c r="K8" s="91">
        <v>1</v>
      </c>
      <c r="L8" s="89" t="s">
        <v>181</v>
      </c>
      <c r="M8" s="92">
        <v>0.125</v>
      </c>
      <c r="N8" s="89" t="s">
        <v>183</v>
      </c>
      <c r="O8" s="92">
        <v>0.2857142857142857</v>
      </c>
      <c r="P8" s="89" t="s">
        <v>183</v>
      </c>
      <c r="Q8" s="93">
        <v>4000</v>
      </c>
      <c r="R8" s="89" t="s">
        <v>135</v>
      </c>
      <c r="S8" s="93">
        <v>-8350</v>
      </c>
      <c r="T8" s="89" t="s">
        <v>151</v>
      </c>
      <c r="U8" s="91">
        <v>4.1666666666666664E-2</v>
      </c>
      <c r="V8" s="89" t="s">
        <v>182</v>
      </c>
      <c r="W8" s="91">
        <v>0</v>
      </c>
      <c r="X8" s="89" t="s">
        <v>182</v>
      </c>
      <c r="Y8" s="91">
        <v>0</v>
      </c>
      <c r="Z8" s="89" t="s">
        <v>183</v>
      </c>
      <c r="AA8" s="92">
        <v>0.14285714285714285</v>
      </c>
      <c r="AB8" s="89" t="s">
        <v>183</v>
      </c>
      <c r="AC8" s="92">
        <v>0.14285714285714285</v>
      </c>
      <c r="AD8" s="89" t="s">
        <v>182</v>
      </c>
      <c r="AE8" s="92">
        <v>0</v>
      </c>
      <c r="AF8" s="89" t="s">
        <v>181</v>
      </c>
      <c r="AG8" s="92">
        <v>0</v>
      </c>
      <c r="AH8" s="89" t="s">
        <v>134</v>
      </c>
      <c r="AI8" s="92">
        <v>0.25</v>
      </c>
      <c r="AJ8" s="89" t="s">
        <v>182</v>
      </c>
      <c r="AK8" s="94">
        <v>1</v>
      </c>
      <c r="AL8" s="89" t="s">
        <v>181</v>
      </c>
      <c r="AM8" s="98">
        <v>12900</v>
      </c>
      <c r="AN8" s="89" t="s">
        <v>182</v>
      </c>
      <c r="AO8" s="95">
        <v>0</v>
      </c>
    </row>
    <row r="9" spans="1:41" x14ac:dyDescent="0.4">
      <c r="A9" s="86">
        <v>7</v>
      </c>
      <c r="B9" s="87" t="s">
        <v>181</v>
      </c>
      <c r="C9" s="88">
        <v>-93.300000000000011</v>
      </c>
      <c r="D9" s="89" t="s">
        <v>183</v>
      </c>
      <c r="E9" s="103">
        <v>-82.6</v>
      </c>
      <c r="F9" s="89" t="s">
        <v>183</v>
      </c>
      <c r="G9" s="90">
        <v>3</v>
      </c>
      <c r="H9" s="89" t="s">
        <v>183</v>
      </c>
      <c r="I9" s="91">
        <v>0</v>
      </c>
      <c r="J9" s="89" t="s">
        <v>183</v>
      </c>
      <c r="K9" s="91">
        <v>1</v>
      </c>
      <c r="L9" s="89" t="s">
        <v>182</v>
      </c>
      <c r="M9" s="92">
        <v>0.125</v>
      </c>
      <c r="N9" s="89" t="s">
        <v>181</v>
      </c>
      <c r="O9" s="92">
        <v>0.4375</v>
      </c>
      <c r="P9" s="89" t="s">
        <v>181</v>
      </c>
      <c r="Q9" s="93">
        <v>2950</v>
      </c>
      <c r="R9" s="89" t="s">
        <v>183</v>
      </c>
      <c r="S9" s="93">
        <v>-20800</v>
      </c>
      <c r="T9" s="89" t="s">
        <v>183</v>
      </c>
      <c r="U9" s="91">
        <v>1</v>
      </c>
      <c r="V9" s="89" t="s">
        <v>183</v>
      </c>
      <c r="W9" s="91">
        <v>0</v>
      </c>
      <c r="X9" s="89" t="s">
        <v>183</v>
      </c>
      <c r="Y9" s="91">
        <v>0</v>
      </c>
      <c r="Z9" s="89" t="s">
        <v>182</v>
      </c>
      <c r="AA9" s="92">
        <v>0.125</v>
      </c>
      <c r="AB9" s="89" t="s">
        <v>181</v>
      </c>
      <c r="AC9" s="92">
        <v>6.25E-2</v>
      </c>
      <c r="AD9" s="89" t="s">
        <v>183</v>
      </c>
      <c r="AE9" s="92">
        <v>0</v>
      </c>
      <c r="AF9" s="89" t="s">
        <v>183</v>
      </c>
      <c r="AG9" s="92">
        <v>0</v>
      </c>
      <c r="AH9" s="89" t="s">
        <v>181</v>
      </c>
      <c r="AI9" s="92">
        <v>0</v>
      </c>
      <c r="AJ9" s="89" t="s">
        <v>183</v>
      </c>
      <c r="AK9" s="94">
        <v>1</v>
      </c>
      <c r="AL9" s="89" t="s">
        <v>183</v>
      </c>
      <c r="AM9" s="98">
        <v>0</v>
      </c>
      <c r="AN9" s="89" t="s">
        <v>183</v>
      </c>
      <c r="AO9" s="95">
        <v>0</v>
      </c>
    </row>
  </sheetData>
  <sortState ref="AN3:AO36">
    <sortCondition descending="1" ref="AO1"/>
  </sortState>
  <mergeCells count="40">
    <mergeCell ref="AH2:AI2"/>
    <mergeCell ref="AJ2:AK2"/>
    <mergeCell ref="AL2:AM2"/>
    <mergeCell ref="AN2:AO2"/>
    <mergeCell ref="X2:Y2"/>
    <mergeCell ref="Z2:AA2"/>
    <mergeCell ref="AB2:AC2"/>
    <mergeCell ref="AD2:AE2"/>
    <mergeCell ref="AF2:AG2"/>
    <mergeCell ref="N2:O2"/>
    <mergeCell ref="P2:Q2"/>
    <mergeCell ref="R2:S2"/>
    <mergeCell ref="T2:U2"/>
    <mergeCell ref="V2:W2"/>
    <mergeCell ref="B2:C2"/>
    <mergeCell ref="D2:E2"/>
    <mergeCell ref="F2:G2"/>
    <mergeCell ref="H2:I2"/>
    <mergeCell ref="L2:M2"/>
    <mergeCell ref="J2:K2"/>
    <mergeCell ref="AN1:AO1"/>
    <mergeCell ref="P1:Q1"/>
    <mergeCell ref="R1:S1"/>
    <mergeCell ref="T1:U1"/>
    <mergeCell ref="V1:W1"/>
    <mergeCell ref="Z1:AA1"/>
    <mergeCell ref="AB1:AC1"/>
    <mergeCell ref="AD1:AE1"/>
    <mergeCell ref="AF1:AG1"/>
    <mergeCell ref="AH1:AI1"/>
    <mergeCell ref="AJ1:AK1"/>
    <mergeCell ref="N1:O1"/>
    <mergeCell ref="AL1:AM1"/>
    <mergeCell ref="B1:C1"/>
    <mergeCell ref="D1:E1"/>
    <mergeCell ref="F1:G1"/>
    <mergeCell ref="H1:I1"/>
    <mergeCell ref="L1:M1"/>
    <mergeCell ref="X1:Y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534D8-668A-45C6-986F-EAD8697F9EB3}">
  <sheetPr codeName="Sheet4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5" t="s">
        <v>151</v>
      </c>
      <c r="C1" s="156"/>
      <c r="E1" s="135" t="s">
        <v>177</v>
      </c>
      <c r="F1" s="142" t="s">
        <v>120</v>
      </c>
      <c r="G1" s="141" t="s">
        <v>121</v>
      </c>
      <c r="H1" s="136" t="s">
        <v>122</v>
      </c>
      <c r="I1" s="142" t="s">
        <v>161</v>
      </c>
      <c r="K1" s="36" t="s">
        <v>20</v>
      </c>
      <c r="L1" s="37" t="s">
        <v>125</v>
      </c>
      <c r="M1" s="137"/>
      <c r="N1" s="119" t="s">
        <v>144</v>
      </c>
      <c r="O1" s="36" t="s">
        <v>145</v>
      </c>
      <c r="P1" s="123" t="s">
        <v>121</v>
      </c>
      <c r="Q1" s="107" t="s">
        <v>165</v>
      </c>
    </row>
    <row r="2" spans="1:17" x14ac:dyDescent="0.4">
      <c r="A2" s="56" t="s">
        <v>9</v>
      </c>
      <c r="B2" s="151">
        <v>24</v>
      </c>
      <c r="C2" s="152"/>
      <c r="E2" s="64" t="s">
        <v>69</v>
      </c>
      <c r="F2" s="61" t="s">
        <v>23</v>
      </c>
      <c r="G2" s="48">
        <v>45</v>
      </c>
      <c r="H2" s="138">
        <f>IF(B$27=0,0,G2/B$27)</f>
        <v>0.72580645161290325</v>
      </c>
      <c r="I2" s="99">
        <v>4</v>
      </c>
      <c r="K2" s="38">
        <v>0</v>
      </c>
      <c r="L2" s="104">
        <v>0</v>
      </c>
      <c r="N2" s="120" t="s">
        <v>138</v>
      </c>
      <c r="O2" s="127">
        <f t="shared" ref="O2:O7" si="0">IF(P2=0,0,Q2/P2)</f>
        <v>-125</v>
      </c>
      <c r="P2" s="124">
        <v>24</v>
      </c>
      <c r="Q2" s="108">
        <v>-3000</v>
      </c>
    </row>
    <row r="3" spans="1:17" x14ac:dyDescent="0.4">
      <c r="A3" s="57" t="s">
        <v>8</v>
      </c>
      <c r="B3" s="157">
        <v>204</v>
      </c>
      <c r="C3" s="158"/>
      <c r="E3" s="65" t="s">
        <v>76</v>
      </c>
      <c r="F3" s="62" t="s">
        <v>29</v>
      </c>
      <c r="G3" s="49">
        <v>34</v>
      </c>
      <c r="H3" s="139">
        <f>IF(B$27=0,0,G3/B$27)</f>
        <v>0.54838709677419351</v>
      </c>
      <c r="I3" s="100">
        <v>3</v>
      </c>
      <c r="K3" s="40">
        <v>1</v>
      </c>
      <c r="L3" s="105">
        <v>-5.0999999999999996</v>
      </c>
      <c r="N3" s="121" t="s">
        <v>139</v>
      </c>
      <c r="O3" s="128">
        <f t="shared" si="0"/>
        <v>-41.666666666666664</v>
      </c>
      <c r="P3" s="125">
        <v>24</v>
      </c>
      <c r="Q3" s="109">
        <v>-1000</v>
      </c>
    </row>
    <row r="4" spans="1:17" x14ac:dyDescent="0.4">
      <c r="A4" s="57" t="s">
        <v>6</v>
      </c>
      <c r="B4" s="159">
        <v>-3.5527136788005009E-15</v>
      </c>
      <c r="C4" s="160"/>
      <c r="E4" s="65" t="s">
        <v>67</v>
      </c>
      <c r="F4" s="62" t="s">
        <v>21</v>
      </c>
      <c r="G4" s="49">
        <v>28</v>
      </c>
      <c r="H4" s="139">
        <f>IF(B$27=0,0,G4/B$27)</f>
        <v>0.45161290322580644</v>
      </c>
      <c r="I4" s="100">
        <v>4</v>
      </c>
      <c r="K4" s="40">
        <v>2</v>
      </c>
      <c r="L4" s="105">
        <v>40.4</v>
      </c>
      <c r="N4" s="121" t="s">
        <v>140</v>
      </c>
      <c r="O4" s="128">
        <f t="shared" si="0"/>
        <v>190.47619047619048</v>
      </c>
      <c r="P4" s="125">
        <v>21</v>
      </c>
      <c r="Q4" s="109">
        <v>4000</v>
      </c>
    </row>
    <row r="5" spans="1:17" x14ac:dyDescent="0.4">
      <c r="A5" s="57" t="s">
        <v>7</v>
      </c>
      <c r="B5" s="161">
        <f>IF(B$2=0,0,B$4/B$2)</f>
        <v>-1.4802973661668753E-16</v>
      </c>
      <c r="C5" s="162"/>
      <c r="E5" s="65" t="s">
        <v>70</v>
      </c>
      <c r="F5" s="62" t="s">
        <v>24</v>
      </c>
      <c r="G5" s="49">
        <v>19</v>
      </c>
      <c r="H5" s="139">
        <f>IF(B$27=0,0,G5/B$27)</f>
        <v>0.30645161290322581</v>
      </c>
      <c r="I5" s="100">
        <v>3</v>
      </c>
      <c r="K5" s="40">
        <v>3</v>
      </c>
      <c r="L5" s="105">
        <v>0</v>
      </c>
      <c r="N5" s="121" t="s">
        <v>141</v>
      </c>
      <c r="O5" s="128">
        <f t="shared" si="0"/>
        <v>0</v>
      </c>
      <c r="P5" s="125">
        <v>21</v>
      </c>
      <c r="Q5" s="109">
        <v>0</v>
      </c>
    </row>
    <row r="6" spans="1:17" x14ac:dyDescent="0.4">
      <c r="A6" s="57" t="s">
        <v>1</v>
      </c>
      <c r="B6" s="149">
        <f>IF(B$2=0,0,(B$7*1+B$8*2+B$9*3)/B$2)</f>
        <v>2</v>
      </c>
      <c r="C6" s="150"/>
      <c r="E6" s="65" t="s">
        <v>72</v>
      </c>
      <c r="F6" s="62" t="s">
        <v>12</v>
      </c>
      <c r="G6" s="49">
        <v>13</v>
      </c>
      <c r="H6" s="139">
        <f>IF(B$27=0,0,G6/B$27)</f>
        <v>0.20967741935483872</v>
      </c>
      <c r="I6" s="100">
        <v>4</v>
      </c>
      <c r="K6" s="40">
        <v>4</v>
      </c>
      <c r="L6" s="105">
        <v>2.2000000000000002</v>
      </c>
      <c r="N6" s="121" t="s">
        <v>142</v>
      </c>
      <c r="O6" s="128">
        <f t="shared" si="0"/>
        <v>-47.61904761904762</v>
      </c>
      <c r="P6" s="125">
        <v>21</v>
      </c>
      <c r="Q6" s="109">
        <v>-1000</v>
      </c>
    </row>
    <row r="7" spans="1:17" x14ac:dyDescent="0.4">
      <c r="A7" s="57" t="s">
        <v>2</v>
      </c>
      <c r="B7" s="49">
        <v>8</v>
      </c>
      <c r="C7" s="41">
        <f>IF(B$2=0,0,B7/B$2)</f>
        <v>0.33333333333333331</v>
      </c>
      <c r="E7" s="65" t="s">
        <v>94</v>
      </c>
      <c r="F7" s="62" t="s">
        <v>47</v>
      </c>
      <c r="G7" s="49">
        <v>13</v>
      </c>
      <c r="H7" s="139">
        <f>IF(B$27=0,0,G7/B$27)</f>
        <v>0.20967741935483872</v>
      </c>
      <c r="I7" s="100">
        <v>3</v>
      </c>
      <c r="K7" s="40">
        <v>5</v>
      </c>
      <c r="L7" s="105">
        <v>-37</v>
      </c>
      <c r="N7" s="122" t="s">
        <v>143</v>
      </c>
      <c r="O7" s="129">
        <f t="shared" si="0"/>
        <v>55.555555555555557</v>
      </c>
      <c r="P7" s="126">
        <v>18</v>
      </c>
      <c r="Q7" s="110">
        <v>1000</v>
      </c>
    </row>
    <row r="8" spans="1:17" x14ac:dyDescent="0.4">
      <c r="A8" s="57" t="s">
        <v>3</v>
      </c>
      <c r="B8" s="49">
        <v>8</v>
      </c>
      <c r="C8" s="41">
        <f>IF(B$2=0,0,B8/B$2)</f>
        <v>0.33333333333333331</v>
      </c>
      <c r="E8" s="65" t="s">
        <v>73</v>
      </c>
      <c r="F8" s="62" t="s">
        <v>26</v>
      </c>
      <c r="G8" s="49">
        <v>11</v>
      </c>
      <c r="H8" s="139">
        <f>IF(B$27=0,0,G8/B$27)</f>
        <v>0.17741935483870969</v>
      </c>
      <c r="I8" s="100">
        <v>4</v>
      </c>
      <c r="K8" s="40">
        <v>6</v>
      </c>
      <c r="L8" s="105">
        <v>0</v>
      </c>
      <c r="N8" s="45"/>
      <c r="O8" s="133"/>
      <c r="P8" s="117"/>
      <c r="Q8" s="115"/>
    </row>
    <row r="9" spans="1:17" x14ac:dyDescent="0.4">
      <c r="A9" s="58" t="s">
        <v>4</v>
      </c>
      <c r="B9" s="50">
        <v>8</v>
      </c>
      <c r="C9" s="42">
        <f t="shared" ref="C9" si="1">IF(B$2=0,0,B9/B$2)</f>
        <v>0.33333333333333331</v>
      </c>
      <c r="E9" s="65" t="s">
        <v>68</v>
      </c>
      <c r="F9" s="62" t="s">
        <v>22</v>
      </c>
      <c r="G9" s="49">
        <v>8</v>
      </c>
      <c r="H9" s="139">
        <f>IF(B$27=0,0,G9/B$27)</f>
        <v>0.12903225806451613</v>
      </c>
      <c r="I9" s="100">
        <v>2</v>
      </c>
      <c r="K9" s="40">
        <v>7</v>
      </c>
      <c r="L9" s="105">
        <v>73.3</v>
      </c>
      <c r="N9" s="119" t="s">
        <v>173</v>
      </c>
      <c r="O9" s="36" t="s">
        <v>125</v>
      </c>
      <c r="P9" s="123" t="s">
        <v>121</v>
      </c>
      <c r="Q9" s="111" t="s">
        <v>165</v>
      </c>
    </row>
    <row r="10" spans="1:17" x14ac:dyDescent="0.4">
      <c r="A10" s="58" t="s">
        <v>19</v>
      </c>
      <c r="B10" s="50">
        <v>1</v>
      </c>
      <c r="C10" s="42">
        <f>IF(B$2=0,0,B10/B$2)</f>
        <v>4.1666666666666664E-2</v>
      </c>
      <c r="E10" s="65" t="s">
        <v>91</v>
      </c>
      <c r="F10" s="62" t="s">
        <v>44</v>
      </c>
      <c r="G10" s="49">
        <v>6</v>
      </c>
      <c r="H10" s="139">
        <f>IF(B$27=0,0,G10/B$27)</f>
        <v>9.6774193548387094E-2</v>
      </c>
      <c r="I10" s="100">
        <v>3</v>
      </c>
      <c r="K10" s="40">
        <v>8</v>
      </c>
      <c r="L10" s="105">
        <v>19.699999999999996</v>
      </c>
      <c r="N10" s="120" t="s">
        <v>174</v>
      </c>
      <c r="O10" s="130">
        <f>IF(P10=0,0,Q10/P10)</f>
        <v>-31.237500000000001</v>
      </c>
      <c r="P10" s="124">
        <v>8</v>
      </c>
      <c r="Q10" s="112">
        <v>-249.9</v>
      </c>
    </row>
    <row r="11" spans="1:17" x14ac:dyDescent="0.4">
      <c r="A11" s="58" t="s">
        <v>146</v>
      </c>
      <c r="B11" s="50">
        <v>1</v>
      </c>
      <c r="C11" s="42">
        <f>IF(B$2=0,0,B11/B$2)</f>
        <v>4.1666666666666664E-2</v>
      </c>
      <c r="E11" s="65" t="s">
        <v>74</v>
      </c>
      <c r="F11" s="62" t="s">
        <v>27</v>
      </c>
      <c r="G11" s="49">
        <v>4</v>
      </c>
      <c r="H11" s="139">
        <f>IF(B$27=0,0,G11/B$27)</f>
        <v>6.4516129032258063E-2</v>
      </c>
      <c r="I11" s="100">
        <v>3</v>
      </c>
      <c r="K11" s="40">
        <v>9</v>
      </c>
      <c r="L11" s="105">
        <v>-3.5527136788005009E-15</v>
      </c>
      <c r="N11" s="121" t="s">
        <v>175</v>
      </c>
      <c r="O11" s="131">
        <f>IF(P11=0,0,Q11/P11)</f>
        <v>15.225000000000001</v>
      </c>
      <c r="P11" s="125">
        <v>8</v>
      </c>
      <c r="Q11" s="113">
        <v>121.80000000000001</v>
      </c>
    </row>
    <row r="12" spans="1:17" x14ac:dyDescent="0.4">
      <c r="A12" s="59" t="s">
        <v>167</v>
      </c>
      <c r="B12" s="51">
        <v>5</v>
      </c>
      <c r="C12" s="44">
        <f>IF(B$2=0,0,B12/B$2)</f>
        <v>0.20833333333333334</v>
      </c>
      <c r="E12" s="65" t="s">
        <v>75</v>
      </c>
      <c r="F12" s="62" t="s">
        <v>28</v>
      </c>
      <c r="G12" s="49">
        <v>3</v>
      </c>
      <c r="H12" s="139">
        <f>IF(B$27=0,0,G12/B$27)</f>
        <v>4.8387096774193547E-2</v>
      </c>
      <c r="I12" s="100">
        <v>2</v>
      </c>
      <c r="K12" s="40">
        <v>10</v>
      </c>
      <c r="L12" s="105">
        <v>40.099999999999994</v>
      </c>
      <c r="N12" s="122" t="s">
        <v>176</v>
      </c>
      <c r="O12" s="132">
        <f>IF(P12=0,0,Q12/P12)</f>
        <v>16.012499999999999</v>
      </c>
      <c r="P12" s="126">
        <v>8</v>
      </c>
      <c r="Q12" s="114">
        <v>128.1</v>
      </c>
    </row>
    <row r="13" spans="1:17" x14ac:dyDescent="0.4">
      <c r="A13" s="60" t="s">
        <v>128</v>
      </c>
      <c r="B13" s="52">
        <v>57</v>
      </c>
      <c r="C13" s="46">
        <f>IF(B$26=0,0,B13/B$26)</f>
        <v>0.27941176470588236</v>
      </c>
      <c r="E13" s="65" t="s">
        <v>82</v>
      </c>
      <c r="F13" s="62" t="s">
        <v>35</v>
      </c>
      <c r="G13" s="49">
        <v>2</v>
      </c>
      <c r="H13" s="139">
        <f>IF(B$27=0,0,G13/B$27)</f>
        <v>3.2258064516129031E-2</v>
      </c>
      <c r="I13" s="100">
        <v>3</v>
      </c>
      <c r="K13" s="40">
        <v>11</v>
      </c>
      <c r="L13" s="105">
        <v>-11.100000000000009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44</v>
      </c>
      <c r="C14" s="41">
        <f>IF(B$26=0,0,B14/B$26)</f>
        <v>0.21568627450980393</v>
      </c>
      <c r="E14" s="65" t="s">
        <v>96</v>
      </c>
      <c r="F14" s="62" t="s">
        <v>49</v>
      </c>
      <c r="G14" s="49">
        <v>1</v>
      </c>
      <c r="H14" s="139">
        <f>IF(B$27=0,0,G14/B$27)</f>
        <v>1.6129032258064516E-2</v>
      </c>
      <c r="I14" s="100">
        <v>2</v>
      </c>
      <c r="K14" s="40">
        <v>12</v>
      </c>
      <c r="L14" s="105">
        <v>-8.8817841970012523E-15</v>
      </c>
      <c r="N14" s="119" t="s">
        <v>162</v>
      </c>
      <c r="O14" s="36" t="s">
        <v>125</v>
      </c>
      <c r="P14" s="123" t="s">
        <v>121</v>
      </c>
      <c r="Q14" s="111" t="s">
        <v>165</v>
      </c>
    </row>
    <row r="15" spans="1:17" x14ac:dyDescent="0.4">
      <c r="A15" s="56" t="s">
        <v>130</v>
      </c>
      <c r="B15" s="48">
        <v>29</v>
      </c>
      <c r="C15" s="39">
        <f>IF(B$13=0,0,B15/B$13)</f>
        <v>0.50877192982456143</v>
      </c>
      <c r="E15" s="65" t="s">
        <v>71</v>
      </c>
      <c r="F15" s="62" t="s">
        <v>25</v>
      </c>
      <c r="G15" s="49">
        <v>0</v>
      </c>
      <c r="H15" s="139">
        <f>IF(B$27=0,0,G15/B$27)</f>
        <v>0</v>
      </c>
      <c r="I15" s="100">
        <v>1</v>
      </c>
      <c r="K15" s="40">
        <v>13</v>
      </c>
      <c r="L15" s="105">
        <v>-42.100000000000009</v>
      </c>
      <c r="N15" s="120" t="s">
        <v>183</v>
      </c>
      <c r="O15" s="130">
        <f>IF(P15=0,0,Q15/P15)</f>
        <v>123.89999999999999</v>
      </c>
      <c r="P15" s="124">
        <v>2</v>
      </c>
      <c r="Q15" s="112">
        <v>247.79999999999998</v>
      </c>
    </row>
    <row r="16" spans="1:17" x14ac:dyDescent="0.4">
      <c r="A16" s="56" t="s">
        <v>131</v>
      </c>
      <c r="B16" s="48">
        <v>18</v>
      </c>
      <c r="C16" s="39">
        <f>IF(B$14=0,0,B16/B$14)</f>
        <v>0.40909090909090912</v>
      </c>
      <c r="E16" s="65" t="s">
        <v>77</v>
      </c>
      <c r="F16" s="62" t="s">
        <v>30</v>
      </c>
      <c r="G16" s="49">
        <v>0</v>
      </c>
      <c r="H16" s="139">
        <f>IF(B$27=0,0,G16/B$27)</f>
        <v>0</v>
      </c>
      <c r="I16" s="100">
        <v>1</v>
      </c>
      <c r="K16" s="40">
        <v>14</v>
      </c>
      <c r="L16" s="105">
        <v>18.79999999999999</v>
      </c>
      <c r="N16" s="121" t="s">
        <v>181</v>
      </c>
      <c r="O16" s="131">
        <f>IF(P16=0,0,Q16/P16)</f>
        <v>69.975000000000009</v>
      </c>
      <c r="P16" s="125">
        <v>4</v>
      </c>
      <c r="Q16" s="113">
        <v>279.90000000000003</v>
      </c>
    </row>
    <row r="17" spans="1:17" x14ac:dyDescent="0.4">
      <c r="A17" s="56" t="s">
        <v>10</v>
      </c>
      <c r="B17" s="48">
        <f>B19+B18</f>
        <v>62</v>
      </c>
      <c r="C17" s="39">
        <f>IF(B$3=0,0,B17/B$3)</f>
        <v>0.30392156862745096</v>
      </c>
      <c r="E17" s="65" t="s">
        <v>78</v>
      </c>
      <c r="F17" s="62" t="s">
        <v>31</v>
      </c>
      <c r="G17" s="49">
        <v>0</v>
      </c>
      <c r="H17" s="139">
        <f>IF(B$27=0,0,G17/B$27)</f>
        <v>0</v>
      </c>
      <c r="I17" s="100">
        <v>1</v>
      </c>
      <c r="K17" s="40">
        <v>15</v>
      </c>
      <c r="L17" s="105">
        <v>-1.0658141036401503E-14</v>
      </c>
      <c r="N17" s="121" t="s">
        <v>135</v>
      </c>
      <c r="O17" s="131">
        <f>IF(P17=0,0,Q17/P17)</f>
        <v>14.625</v>
      </c>
      <c r="P17" s="125">
        <v>12</v>
      </c>
      <c r="Q17" s="113">
        <v>175.5</v>
      </c>
    </row>
    <row r="18" spans="1:17" x14ac:dyDescent="0.4">
      <c r="A18" s="57" t="s">
        <v>12</v>
      </c>
      <c r="B18" s="49">
        <v>18</v>
      </c>
      <c r="C18" s="41">
        <f>IF(B$17=0,0,B18/B$17)</f>
        <v>0.29032258064516131</v>
      </c>
      <c r="E18" s="65" t="s">
        <v>79</v>
      </c>
      <c r="F18" s="62" t="s">
        <v>32</v>
      </c>
      <c r="G18" s="49">
        <v>0</v>
      </c>
      <c r="H18" s="139">
        <f>IF(B$27=0,0,G18/B$27)</f>
        <v>0</v>
      </c>
      <c r="I18" s="100">
        <v>1</v>
      </c>
      <c r="K18" s="40">
        <v>16</v>
      </c>
      <c r="L18" s="105">
        <v>90.899999999999991</v>
      </c>
      <c r="N18" s="121" t="s">
        <v>182</v>
      </c>
      <c r="O18" s="131">
        <f>IF(P18=0,0,Q18/P18)</f>
        <v>5.7749999999999977</v>
      </c>
      <c r="P18" s="125">
        <v>4</v>
      </c>
      <c r="Q18" s="113">
        <v>23.099999999999991</v>
      </c>
    </row>
    <row r="19" spans="1:17" x14ac:dyDescent="0.4">
      <c r="A19" s="57" t="s">
        <v>11</v>
      </c>
      <c r="B19" s="49">
        <v>44</v>
      </c>
      <c r="C19" s="41">
        <f>IF(B$17=0,0,B19/B$17)</f>
        <v>0.70967741935483875</v>
      </c>
      <c r="E19" s="65" t="s">
        <v>80</v>
      </c>
      <c r="F19" s="62" t="s">
        <v>33</v>
      </c>
      <c r="G19" s="49">
        <v>0</v>
      </c>
      <c r="H19" s="139">
        <f>IF(B$27=0,0,G19/B$27)</f>
        <v>0</v>
      </c>
      <c r="I19" s="100">
        <v>1</v>
      </c>
      <c r="K19" s="40">
        <v>17</v>
      </c>
      <c r="L19" s="105">
        <v>8.2999999999999972</v>
      </c>
      <c r="N19" s="121" t="s">
        <v>134</v>
      </c>
      <c r="O19" s="131">
        <f>IF(P19=0,0,Q19/P19)</f>
        <v>3.5000000000000018</v>
      </c>
      <c r="P19" s="125">
        <v>12</v>
      </c>
      <c r="Q19" s="113">
        <v>42.000000000000021</v>
      </c>
    </row>
    <row r="20" spans="1:17" x14ac:dyDescent="0.4">
      <c r="A20" s="57" t="s">
        <v>13</v>
      </c>
      <c r="B20" s="49">
        <v>43</v>
      </c>
      <c r="C20" s="41">
        <f>IF(B$3=0,0,B20/B$3)</f>
        <v>0.2107843137254902</v>
      </c>
      <c r="E20" s="65" t="s">
        <v>81</v>
      </c>
      <c r="F20" s="62" t="s">
        <v>34</v>
      </c>
      <c r="G20" s="49">
        <v>0</v>
      </c>
      <c r="H20" s="139">
        <f>IF(B$27=0,0,G20/B$27)</f>
        <v>0</v>
      </c>
      <c r="I20" s="100">
        <v>1</v>
      </c>
      <c r="K20" s="40">
        <v>18</v>
      </c>
      <c r="L20" s="105">
        <v>-3.5527136788005009E-15</v>
      </c>
      <c r="N20" s="121" t="s">
        <v>133</v>
      </c>
      <c r="O20" s="131">
        <f>IF(P20=0,0,Q20/P20)</f>
        <v>-54.878571428571426</v>
      </c>
      <c r="P20" s="125">
        <v>14</v>
      </c>
      <c r="Q20" s="113">
        <v>-768.3</v>
      </c>
    </row>
    <row r="21" spans="1:17" x14ac:dyDescent="0.4">
      <c r="A21" s="57" t="s">
        <v>5</v>
      </c>
      <c r="B21" s="53">
        <f>IF(B$17=0,0,C21/B$17)</f>
        <v>8124.1935483870966</v>
      </c>
      <c r="C21" s="43">
        <v>503700</v>
      </c>
      <c r="E21" s="65" t="s">
        <v>83</v>
      </c>
      <c r="F21" s="62" t="s">
        <v>36</v>
      </c>
      <c r="G21" s="49">
        <v>0</v>
      </c>
      <c r="H21" s="139">
        <f>IF(B$27=0,0,G21/B$27)</f>
        <v>0</v>
      </c>
      <c r="I21" s="100">
        <v>1</v>
      </c>
      <c r="K21" s="40">
        <v>19</v>
      </c>
      <c r="L21" s="105">
        <v>30.999999999999996</v>
      </c>
    </row>
    <row r="22" spans="1:17" x14ac:dyDescent="0.4">
      <c r="A22" s="59" t="s">
        <v>14</v>
      </c>
      <c r="B22" s="54">
        <f>IF(B$20=0,0,C22/B$20)</f>
        <v>-7848.8372093023254</v>
      </c>
      <c r="C22" s="47">
        <v>-337500</v>
      </c>
      <c r="E22" s="65" t="s">
        <v>84</v>
      </c>
      <c r="F22" s="62" t="s">
        <v>37</v>
      </c>
      <c r="G22" s="49">
        <v>0</v>
      </c>
      <c r="H22" s="139">
        <f>IF(B$27=0,0,G22/B$27)</f>
        <v>0</v>
      </c>
      <c r="I22" s="100">
        <v>1</v>
      </c>
      <c r="K22" s="40">
        <v>20</v>
      </c>
      <c r="L22" s="105">
        <v>0.79999999999999716</v>
      </c>
    </row>
    <row r="23" spans="1:17" x14ac:dyDescent="0.4">
      <c r="A23" s="96" t="s">
        <v>148</v>
      </c>
      <c r="B23" s="147">
        <v>7</v>
      </c>
      <c r="C23" s="148"/>
      <c r="E23" s="65" t="s">
        <v>85</v>
      </c>
      <c r="F23" s="62" t="s">
        <v>38</v>
      </c>
      <c r="G23" s="49">
        <v>0</v>
      </c>
      <c r="H23" s="139">
        <f>IF(B$27=0,0,G23/B$27)</f>
        <v>0</v>
      </c>
      <c r="I23" s="100">
        <v>1</v>
      </c>
      <c r="K23" s="40">
        <v>21</v>
      </c>
      <c r="L23" s="105">
        <v>-2.886579864025407E-15</v>
      </c>
    </row>
    <row r="24" spans="1:17" x14ac:dyDescent="0.4">
      <c r="A24" s="60" t="s">
        <v>159</v>
      </c>
      <c r="B24" s="145">
        <v>105900</v>
      </c>
      <c r="C24" s="146"/>
      <c r="E24" s="65" t="s">
        <v>86</v>
      </c>
      <c r="F24" s="62" t="s">
        <v>39</v>
      </c>
      <c r="G24" s="49">
        <v>0</v>
      </c>
      <c r="H24" s="139">
        <f>IF(B$27=0,0,G24/B$27)</f>
        <v>0</v>
      </c>
      <c r="I24" s="100">
        <v>1</v>
      </c>
      <c r="K24" s="40">
        <v>22</v>
      </c>
      <c r="L24" s="105">
        <v>23.699999999999996</v>
      </c>
    </row>
    <row r="25" spans="1:17" x14ac:dyDescent="0.4">
      <c r="A25" s="59" t="s">
        <v>149</v>
      </c>
      <c r="B25" s="67">
        <v>2</v>
      </c>
      <c r="C25" s="44">
        <f>IF(B$3=0,0,B25/B$3)</f>
        <v>9.8039215686274508E-3</v>
      </c>
      <c r="E25" s="65" t="s">
        <v>87</v>
      </c>
      <c r="F25" s="62" t="s">
        <v>40</v>
      </c>
      <c r="G25" s="49">
        <v>0</v>
      </c>
      <c r="H25" s="139">
        <f>IF(B$27=0,0,G25/B$27)</f>
        <v>0</v>
      </c>
      <c r="I25" s="100">
        <v>1</v>
      </c>
      <c r="K25" s="40">
        <v>23</v>
      </c>
      <c r="L25" s="105">
        <v>26.299999999999997</v>
      </c>
    </row>
    <row r="26" spans="1:17" x14ac:dyDescent="0.4">
      <c r="A26" s="56" t="s">
        <v>126</v>
      </c>
      <c r="B26" s="151">
        <v>204</v>
      </c>
      <c r="C26" s="152"/>
      <c r="E26" s="65" t="s">
        <v>88</v>
      </c>
      <c r="F26" s="62" t="s">
        <v>41</v>
      </c>
      <c r="G26" s="49">
        <v>0</v>
      </c>
      <c r="H26" s="139">
        <f>IF(B$27=0,0,G26/B$27)</f>
        <v>0</v>
      </c>
      <c r="I26" s="100">
        <v>1</v>
      </c>
      <c r="K26" s="40">
        <v>24</v>
      </c>
      <c r="L26" s="105">
        <v>-3.5527136788005009E-15</v>
      </c>
    </row>
    <row r="27" spans="1:17" x14ac:dyDescent="0.4">
      <c r="A27" s="59" t="s">
        <v>127</v>
      </c>
      <c r="B27" s="153">
        <v>62</v>
      </c>
      <c r="C27" s="154"/>
      <c r="E27" s="65" t="s">
        <v>89</v>
      </c>
      <c r="F27" s="62" t="s">
        <v>42</v>
      </c>
      <c r="G27" s="49">
        <v>0</v>
      </c>
      <c r="H27" s="139">
        <f>IF(B$27=0,0,G27/B$27)</f>
        <v>0</v>
      </c>
      <c r="I27" s="100">
        <v>1</v>
      </c>
    </row>
    <row r="28" spans="1:17" x14ac:dyDescent="0.4">
      <c r="E28" s="65" t="s">
        <v>90</v>
      </c>
      <c r="F28" s="62" t="s">
        <v>43</v>
      </c>
      <c r="G28" s="49">
        <v>0</v>
      </c>
      <c r="H28" s="139">
        <f>IF(B$27=0,0,G28/B$27)</f>
        <v>0</v>
      </c>
      <c r="I28" s="100">
        <v>1</v>
      </c>
    </row>
    <row r="29" spans="1:17" x14ac:dyDescent="0.4">
      <c r="E29" s="65" t="s">
        <v>92</v>
      </c>
      <c r="F29" s="62" t="s">
        <v>45</v>
      </c>
      <c r="G29" s="49">
        <v>0</v>
      </c>
      <c r="H29" s="139">
        <f>IF(B$27=0,0,G29/B$27)</f>
        <v>0</v>
      </c>
      <c r="I29" s="100">
        <v>1</v>
      </c>
    </row>
    <row r="30" spans="1:17" x14ac:dyDescent="0.4">
      <c r="E30" s="65" t="s">
        <v>93</v>
      </c>
      <c r="F30" s="62" t="s">
        <v>46</v>
      </c>
      <c r="G30" s="49">
        <v>0</v>
      </c>
      <c r="H30" s="139">
        <f>IF(B$27=0,0,G30/B$27)</f>
        <v>0</v>
      </c>
      <c r="I30" s="100">
        <v>1</v>
      </c>
    </row>
    <row r="31" spans="1:17" x14ac:dyDescent="0.4">
      <c r="E31" s="65" t="s">
        <v>95</v>
      </c>
      <c r="F31" s="62" t="s">
        <v>48</v>
      </c>
      <c r="G31" s="49">
        <v>0</v>
      </c>
      <c r="H31" s="139">
        <f>IF(B$27=0,0,G31/B$27)</f>
        <v>0</v>
      </c>
      <c r="I31" s="100">
        <v>1</v>
      </c>
    </row>
    <row r="32" spans="1:17" x14ac:dyDescent="0.4">
      <c r="E32" s="65" t="s">
        <v>97</v>
      </c>
      <c r="F32" s="62" t="s">
        <v>50</v>
      </c>
      <c r="G32" s="49">
        <v>0</v>
      </c>
      <c r="H32" s="139">
        <f>IF(B$27=0,0,G32/B$27)</f>
        <v>0</v>
      </c>
      <c r="I32" s="100">
        <v>1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20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0F39B-7944-47CE-8874-B65A42EC51B8}">
  <sheetPr codeName="Sheet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5" t="s">
        <v>133</v>
      </c>
      <c r="C1" s="156"/>
      <c r="E1" s="135" t="s">
        <v>177</v>
      </c>
      <c r="F1" s="142" t="s">
        <v>120</v>
      </c>
      <c r="G1" s="141" t="s">
        <v>121</v>
      </c>
      <c r="H1" s="136" t="s">
        <v>122</v>
      </c>
      <c r="I1" s="142" t="s">
        <v>161</v>
      </c>
      <c r="K1" s="36" t="s">
        <v>20</v>
      </c>
      <c r="L1" s="37" t="s">
        <v>125</v>
      </c>
      <c r="M1" s="137"/>
      <c r="N1" s="119" t="s">
        <v>144</v>
      </c>
      <c r="O1" s="36" t="s">
        <v>145</v>
      </c>
      <c r="P1" s="123" t="s">
        <v>121</v>
      </c>
      <c r="Q1" s="107" t="s">
        <v>165</v>
      </c>
    </row>
    <row r="2" spans="1:17" x14ac:dyDescent="0.4">
      <c r="A2" s="56" t="s">
        <v>9</v>
      </c>
      <c r="B2" s="151">
        <v>7</v>
      </c>
      <c r="C2" s="152"/>
      <c r="E2" s="64" t="s">
        <v>76</v>
      </c>
      <c r="F2" s="61" t="s">
        <v>29</v>
      </c>
      <c r="G2" s="48">
        <v>21</v>
      </c>
      <c r="H2" s="138">
        <f>IF(B$27=0,0,G2/B$27)</f>
        <v>0.80769230769230771</v>
      </c>
      <c r="I2" s="99">
        <v>2</v>
      </c>
      <c r="K2" s="38">
        <v>0</v>
      </c>
      <c r="L2" s="104">
        <v>0</v>
      </c>
      <c r="N2" s="120" t="s">
        <v>138</v>
      </c>
      <c r="O2" s="127">
        <f t="shared" ref="O2:O7" si="0">IF(P2=0,0,Q2/P2)</f>
        <v>-557.14285714285711</v>
      </c>
      <c r="P2" s="124">
        <v>7</v>
      </c>
      <c r="Q2" s="108">
        <v>-3900</v>
      </c>
    </row>
    <row r="3" spans="1:17" x14ac:dyDescent="0.4">
      <c r="A3" s="57" t="s">
        <v>8</v>
      </c>
      <c r="B3" s="157">
        <v>59</v>
      </c>
      <c r="C3" s="158"/>
      <c r="E3" s="65" t="s">
        <v>69</v>
      </c>
      <c r="F3" s="62" t="s">
        <v>23</v>
      </c>
      <c r="G3" s="49">
        <v>18</v>
      </c>
      <c r="H3" s="139">
        <f>IF(B$27=0,0,G3/B$27)</f>
        <v>0.69230769230769229</v>
      </c>
      <c r="I3" s="100">
        <v>5</v>
      </c>
      <c r="K3" s="40">
        <v>1</v>
      </c>
      <c r="L3" s="105">
        <v>-5.0999999999999996</v>
      </c>
      <c r="N3" s="121" t="s">
        <v>139</v>
      </c>
      <c r="O3" s="128">
        <f t="shared" si="0"/>
        <v>10028.571428571429</v>
      </c>
      <c r="P3" s="125">
        <v>7</v>
      </c>
      <c r="Q3" s="109">
        <v>70200</v>
      </c>
    </row>
    <row r="4" spans="1:17" x14ac:dyDescent="0.4">
      <c r="A4" s="57" t="s">
        <v>6</v>
      </c>
      <c r="B4" s="159">
        <v>256.10000000000002</v>
      </c>
      <c r="C4" s="160"/>
      <c r="E4" s="65" t="s">
        <v>67</v>
      </c>
      <c r="F4" s="62" t="s">
        <v>21</v>
      </c>
      <c r="G4" s="49">
        <v>9</v>
      </c>
      <c r="H4" s="139">
        <f>IF(B$27=0,0,G4/B$27)</f>
        <v>0.34615384615384615</v>
      </c>
      <c r="I4" s="100">
        <v>5</v>
      </c>
      <c r="K4" s="40">
        <v>2</v>
      </c>
      <c r="L4" s="105">
        <v>-2.8999999999999995</v>
      </c>
      <c r="N4" s="121" t="s">
        <v>140</v>
      </c>
      <c r="O4" s="128">
        <f t="shared" si="0"/>
        <v>8033.333333333333</v>
      </c>
      <c r="P4" s="125">
        <v>6</v>
      </c>
      <c r="Q4" s="109">
        <v>48200</v>
      </c>
    </row>
    <row r="5" spans="1:17" x14ac:dyDescent="0.4">
      <c r="A5" s="57" t="s">
        <v>7</v>
      </c>
      <c r="B5" s="161">
        <f>IF(B$2=0,0,B$4/B$2)</f>
        <v>36.585714285714289</v>
      </c>
      <c r="C5" s="162"/>
      <c r="E5" s="65" t="s">
        <v>94</v>
      </c>
      <c r="F5" s="62" t="s">
        <v>47</v>
      </c>
      <c r="G5" s="49">
        <v>8</v>
      </c>
      <c r="H5" s="139">
        <f>IF(B$27=0,0,G5/B$27)</f>
        <v>0.30769230769230771</v>
      </c>
      <c r="I5" s="100">
        <v>2</v>
      </c>
      <c r="K5" s="40">
        <v>3</v>
      </c>
      <c r="L5" s="105">
        <v>70.399999999999991</v>
      </c>
      <c r="N5" s="121" t="s">
        <v>141</v>
      </c>
      <c r="O5" s="128">
        <f t="shared" si="0"/>
        <v>5800</v>
      </c>
      <c r="P5" s="125">
        <v>6</v>
      </c>
      <c r="Q5" s="109">
        <v>34800</v>
      </c>
    </row>
    <row r="6" spans="1:17" x14ac:dyDescent="0.4">
      <c r="A6" s="57" t="s">
        <v>1</v>
      </c>
      <c r="B6" s="149">
        <f>IF(B$2=0,0,(B$7*1+B$8*2+B$9*3)/B$2)</f>
        <v>1.2857142857142858</v>
      </c>
      <c r="C6" s="150"/>
      <c r="E6" s="65" t="s">
        <v>70</v>
      </c>
      <c r="F6" s="62" t="s">
        <v>24</v>
      </c>
      <c r="G6" s="49">
        <v>5</v>
      </c>
      <c r="H6" s="139">
        <f>IF(B$27=0,0,G6/B$27)</f>
        <v>0.19230769230769232</v>
      </c>
      <c r="I6" s="100">
        <v>4</v>
      </c>
      <c r="K6" s="40">
        <v>4</v>
      </c>
      <c r="L6" s="105">
        <v>110.5</v>
      </c>
      <c r="N6" s="121" t="s">
        <v>142</v>
      </c>
      <c r="O6" s="128">
        <f t="shared" si="0"/>
        <v>633.33333333333337</v>
      </c>
      <c r="P6" s="125">
        <v>6</v>
      </c>
      <c r="Q6" s="109">
        <v>3800</v>
      </c>
    </row>
    <row r="7" spans="1:17" x14ac:dyDescent="0.4">
      <c r="A7" s="57" t="s">
        <v>2</v>
      </c>
      <c r="B7" s="49">
        <v>5</v>
      </c>
      <c r="C7" s="41">
        <f>IF(B$2=0,0,B7/B$2)</f>
        <v>0.7142857142857143</v>
      </c>
      <c r="E7" s="65" t="s">
        <v>73</v>
      </c>
      <c r="F7" s="62" t="s">
        <v>26</v>
      </c>
      <c r="G7" s="49">
        <v>5</v>
      </c>
      <c r="H7" s="139">
        <f>IF(B$27=0,0,G7/B$27)</f>
        <v>0.19230769230769232</v>
      </c>
      <c r="I7" s="100">
        <v>2</v>
      </c>
      <c r="K7" s="40">
        <v>5</v>
      </c>
      <c r="L7" s="105">
        <v>201.4</v>
      </c>
      <c r="N7" s="122" t="s">
        <v>143</v>
      </c>
      <c r="O7" s="129">
        <f t="shared" si="0"/>
        <v>-400</v>
      </c>
      <c r="P7" s="126">
        <v>5</v>
      </c>
      <c r="Q7" s="110">
        <v>-2000</v>
      </c>
    </row>
    <row r="8" spans="1:17" x14ac:dyDescent="0.4">
      <c r="A8" s="57" t="s">
        <v>3</v>
      </c>
      <c r="B8" s="49">
        <v>2</v>
      </c>
      <c r="C8" s="41">
        <f>IF(B$2=0,0,B8/B$2)</f>
        <v>0.2857142857142857</v>
      </c>
      <c r="E8" s="65" t="s">
        <v>72</v>
      </c>
      <c r="F8" s="62" t="s">
        <v>12</v>
      </c>
      <c r="G8" s="49">
        <v>4</v>
      </c>
      <c r="H8" s="139">
        <f>IF(B$27=0,0,G8/B$27)</f>
        <v>0.15384615384615385</v>
      </c>
      <c r="I8" s="100">
        <v>5</v>
      </c>
      <c r="K8" s="40">
        <v>6</v>
      </c>
      <c r="L8" s="105">
        <v>232.4</v>
      </c>
      <c r="N8" s="45"/>
      <c r="O8" s="133"/>
      <c r="P8" s="117"/>
      <c r="Q8" s="115"/>
    </row>
    <row r="9" spans="1:17" x14ac:dyDescent="0.4">
      <c r="A9" s="58" t="s">
        <v>4</v>
      </c>
      <c r="B9" s="50">
        <v>0</v>
      </c>
      <c r="C9" s="42">
        <f t="shared" ref="C9" si="1">IF(B$2=0,0,B9/B$2)</f>
        <v>0</v>
      </c>
      <c r="E9" s="65" t="s">
        <v>68</v>
      </c>
      <c r="F9" s="62" t="s">
        <v>22</v>
      </c>
      <c r="G9" s="49">
        <v>3</v>
      </c>
      <c r="H9" s="139">
        <f>IF(B$27=0,0,G9/B$27)</f>
        <v>0.11538461538461539</v>
      </c>
      <c r="I9" s="100">
        <v>3</v>
      </c>
      <c r="K9" s="40">
        <v>7</v>
      </c>
      <c r="L9" s="105">
        <v>256.10000000000002</v>
      </c>
      <c r="N9" s="119" t="s">
        <v>173</v>
      </c>
      <c r="O9" s="36" t="s">
        <v>125</v>
      </c>
      <c r="P9" s="123" t="s">
        <v>121</v>
      </c>
      <c r="Q9" s="111" t="s">
        <v>165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91</v>
      </c>
      <c r="F10" s="62" t="s">
        <v>44</v>
      </c>
      <c r="G10" s="49">
        <v>2</v>
      </c>
      <c r="H10" s="139">
        <f>IF(B$27=0,0,G10/B$27)</f>
        <v>7.6923076923076927E-2</v>
      </c>
      <c r="I10" s="100">
        <v>4</v>
      </c>
      <c r="N10" s="120" t="s">
        <v>174</v>
      </c>
      <c r="O10" s="130">
        <f>IF(P10=0,0,Q10/P10)</f>
        <v>2.2000000000000002</v>
      </c>
      <c r="P10" s="124">
        <v>1</v>
      </c>
      <c r="Q10" s="112">
        <v>2.2000000000000002</v>
      </c>
    </row>
    <row r="11" spans="1:17" x14ac:dyDescent="0.4">
      <c r="A11" s="58" t="s">
        <v>146</v>
      </c>
      <c r="B11" s="50">
        <v>1</v>
      </c>
      <c r="C11" s="42">
        <f>IF(B$2=0,0,B11/B$2)</f>
        <v>0.14285714285714285</v>
      </c>
      <c r="E11" s="65" t="s">
        <v>74</v>
      </c>
      <c r="F11" s="62" t="s">
        <v>27</v>
      </c>
      <c r="G11" s="49">
        <v>1</v>
      </c>
      <c r="H11" s="139">
        <f>IF(B$27=0,0,G11/B$27)</f>
        <v>3.8461538461538464E-2</v>
      </c>
      <c r="I11" s="100">
        <v>4</v>
      </c>
      <c r="N11" s="121" t="s">
        <v>175</v>
      </c>
      <c r="O11" s="131">
        <f>IF(P11=0,0,Q11/P11)</f>
        <v>36.500000000000007</v>
      </c>
      <c r="P11" s="125">
        <v>3</v>
      </c>
      <c r="Q11" s="113">
        <v>109.50000000000001</v>
      </c>
    </row>
    <row r="12" spans="1:17" x14ac:dyDescent="0.4">
      <c r="A12" s="59" t="s">
        <v>167</v>
      </c>
      <c r="B12" s="51">
        <v>3</v>
      </c>
      <c r="C12" s="44">
        <f>IF(B$2=0,0,B12/B$2)</f>
        <v>0.42857142857142855</v>
      </c>
      <c r="E12" s="65" t="s">
        <v>82</v>
      </c>
      <c r="F12" s="62" t="s">
        <v>35</v>
      </c>
      <c r="G12" s="49">
        <v>1</v>
      </c>
      <c r="H12" s="139">
        <f>IF(B$27=0,0,G12/B$27)</f>
        <v>3.8461538461538464E-2</v>
      </c>
      <c r="I12" s="100">
        <v>2</v>
      </c>
      <c r="N12" s="122" t="s">
        <v>176</v>
      </c>
      <c r="O12" s="132">
        <f>IF(P12=0,0,Q12/P12)</f>
        <v>48.133333333333333</v>
      </c>
      <c r="P12" s="126">
        <v>3</v>
      </c>
      <c r="Q12" s="114">
        <v>144.4</v>
      </c>
    </row>
    <row r="13" spans="1:17" x14ac:dyDescent="0.4">
      <c r="A13" s="60" t="s">
        <v>128</v>
      </c>
      <c r="B13" s="52">
        <v>22</v>
      </c>
      <c r="C13" s="46">
        <f>IF(B$26=0,0,B13/B$26)</f>
        <v>0.3728813559322034</v>
      </c>
      <c r="E13" s="65" t="s">
        <v>71</v>
      </c>
      <c r="F13" s="62" t="s">
        <v>25</v>
      </c>
      <c r="G13" s="49">
        <v>0</v>
      </c>
      <c r="H13" s="139">
        <f>IF(B$27=0,0,G13/B$27)</f>
        <v>0</v>
      </c>
      <c r="I13" s="100">
        <v>1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16</v>
      </c>
      <c r="C14" s="41">
        <f>IF(B$26=0,0,B14/B$26)</f>
        <v>0.2711864406779661</v>
      </c>
      <c r="E14" s="65" t="s">
        <v>75</v>
      </c>
      <c r="F14" s="62" t="s">
        <v>28</v>
      </c>
      <c r="G14" s="49">
        <v>0</v>
      </c>
      <c r="H14" s="139">
        <f>IF(B$27=0,0,G14/B$27)</f>
        <v>0</v>
      </c>
      <c r="I14" s="100">
        <v>3</v>
      </c>
      <c r="N14" s="119" t="s">
        <v>162</v>
      </c>
      <c r="O14" s="36" t="s">
        <v>125</v>
      </c>
      <c r="P14" s="123" t="s">
        <v>121</v>
      </c>
      <c r="Q14" s="111" t="s">
        <v>165</v>
      </c>
    </row>
    <row r="15" spans="1:17" x14ac:dyDescent="0.4">
      <c r="A15" s="56" t="s">
        <v>130</v>
      </c>
      <c r="B15" s="48">
        <v>10</v>
      </c>
      <c r="C15" s="39">
        <f>IF(B$13=0,0,B15/B$13)</f>
        <v>0.45454545454545453</v>
      </c>
      <c r="E15" s="65" t="s">
        <v>77</v>
      </c>
      <c r="F15" s="62" t="s">
        <v>30</v>
      </c>
      <c r="G15" s="49">
        <v>0</v>
      </c>
      <c r="H15" s="139">
        <f>IF(B$27=0,0,G15/B$27)</f>
        <v>0</v>
      </c>
      <c r="I15" s="100">
        <v>1</v>
      </c>
      <c r="N15" s="120" t="s">
        <v>183</v>
      </c>
      <c r="O15" s="130">
        <f>IF(P15=0,0,Q15/P15)</f>
        <v>173.5</v>
      </c>
      <c r="P15" s="124">
        <v>1</v>
      </c>
      <c r="Q15" s="112">
        <v>173.5</v>
      </c>
    </row>
    <row r="16" spans="1:17" x14ac:dyDescent="0.4">
      <c r="A16" s="56" t="s">
        <v>131</v>
      </c>
      <c r="B16" s="48">
        <v>10</v>
      </c>
      <c r="C16" s="39">
        <f>IF(B$14=0,0,B16/B$14)</f>
        <v>0.625</v>
      </c>
      <c r="E16" s="65" t="s">
        <v>78</v>
      </c>
      <c r="F16" s="62" t="s">
        <v>31</v>
      </c>
      <c r="G16" s="49">
        <v>0</v>
      </c>
      <c r="H16" s="139">
        <f>IF(B$27=0,0,G16/B$27)</f>
        <v>0</v>
      </c>
      <c r="I16" s="100">
        <v>1</v>
      </c>
      <c r="N16" s="121" t="s">
        <v>181</v>
      </c>
      <c r="O16" s="131">
        <f>IF(P16=0,0,Q16/P16)</f>
        <v>91.300000000000011</v>
      </c>
      <c r="P16" s="125">
        <v>1</v>
      </c>
      <c r="Q16" s="113">
        <v>91.300000000000011</v>
      </c>
    </row>
    <row r="17" spans="1:17" x14ac:dyDescent="0.4">
      <c r="A17" s="56" t="s">
        <v>10</v>
      </c>
      <c r="B17" s="48">
        <f>B19+B18</f>
        <v>26</v>
      </c>
      <c r="C17" s="39">
        <f>IF(B$3=0,0,B17/B$3)</f>
        <v>0.44067796610169491</v>
      </c>
      <c r="E17" s="65" t="s">
        <v>79</v>
      </c>
      <c r="F17" s="62" t="s">
        <v>32</v>
      </c>
      <c r="G17" s="49">
        <v>0</v>
      </c>
      <c r="H17" s="139">
        <f>IF(B$27=0,0,G17/B$27)</f>
        <v>0</v>
      </c>
      <c r="I17" s="100">
        <v>1</v>
      </c>
      <c r="N17" s="121" t="s">
        <v>135</v>
      </c>
      <c r="O17" s="131">
        <f>IF(P17=0,0,Q17/P17)</f>
        <v>45.75</v>
      </c>
      <c r="P17" s="125">
        <v>6</v>
      </c>
      <c r="Q17" s="113">
        <v>274.5</v>
      </c>
    </row>
    <row r="18" spans="1:17" x14ac:dyDescent="0.4">
      <c r="A18" s="57" t="s">
        <v>12</v>
      </c>
      <c r="B18" s="49">
        <v>7</v>
      </c>
      <c r="C18" s="41">
        <f>IF(B$17=0,0,B18/B$17)</f>
        <v>0.26923076923076922</v>
      </c>
      <c r="E18" s="65" t="s">
        <v>80</v>
      </c>
      <c r="F18" s="62" t="s">
        <v>33</v>
      </c>
      <c r="G18" s="49">
        <v>0</v>
      </c>
      <c r="H18" s="139">
        <f>IF(B$27=0,0,G18/B$27)</f>
        <v>0</v>
      </c>
      <c r="I18" s="100">
        <v>1</v>
      </c>
      <c r="N18" s="121" t="s">
        <v>134</v>
      </c>
      <c r="O18" s="131">
        <f>IF(P18=0,0,Q18/P18)</f>
        <v>39.999999999999993</v>
      </c>
      <c r="P18" s="125">
        <v>5</v>
      </c>
      <c r="Q18" s="113">
        <v>199.99999999999997</v>
      </c>
    </row>
    <row r="19" spans="1:17" x14ac:dyDescent="0.4">
      <c r="A19" s="57" t="s">
        <v>11</v>
      </c>
      <c r="B19" s="49">
        <v>19</v>
      </c>
      <c r="C19" s="41">
        <f>IF(B$17=0,0,B19/B$17)</f>
        <v>0.73076923076923073</v>
      </c>
      <c r="E19" s="65" t="s">
        <v>81</v>
      </c>
      <c r="F19" s="62" t="s">
        <v>34</v>
      </c>
      <c r="G19" s="49">
        <v>0</v>
      </c>
      <c r="H19" s="139">
        <f>IF(B$27=0,0,G19/B$27)</f>
        <v>0</v>
      </c>
      <c r="I19" s="100">
        <v>1</v>
      </c>
      <c r="N19" s="121" t="s">
        <v>182</v>
      </c>
      <c r="O19" s="131">
        <f>IF(P19=0,0,Q19/P19)</f>
        <v>29</v>
      </c>
      <c r="P19" s="125">
        <v>1</v>
      </c>
      <c r="Q19" s="113">
        <v>29</v>
      </c>
    </row>
    <row r="20" spans="1:17" x14ac:dyDescent="0.4">
      <c r="A20" s="57" t="s">
        <v>13</v>
      </c>
      <c r="B20" s="49">
        <v>9</v>
      </c>
      <c r="C20" s="41">
        <f>IF(B$3=0,0,B20/B$3)</f>
        <v>0.15254237288135594</v>
      </c>
      <c r="E20" s="65" t="s">
        <v>83</v>
      </c>
      <c r="F20" s="62" t="s">
        <v>36</v>
      </c>
      <c r="G20" s="49">
        <v>0</v>
      </c>
      <c r="H20" s="139">
        <f>IF(B$27=0,0,G20/B$27)</f>
        <v>0</v>
      </c>
      <c r="I20" s="100">
        <v>1</v>
      </c>
    </row>
    <row r="21" spans="1:17" x14ac:dyDescent="0.4">
      <c r="A21" s="57" t="s">
        <v>5</v>
      </c>
      <c r="B21" s="53">
        <f>IF(B$17=0,0,C21/B$17)</f>
        <v>8938.461538461539</v>
      </c>
      <c r="C21" s="43">
        <v>232400</v>
      </c>
      <c r="E21" s="65" t="s">
        <v>84</v>
      </c>
      <c r="F21" s="62" t="s">
        <v>37</v>
      </c>
      <c r="G21" s="49">
        <v>0</v>
      </c>
      <c r="H21" s="139">
        <f>IF(B$27=0,0,G21/B$27)</f>
        <v>0</v>
      </c>
      <c r="I21" s="100">
        <v>1</v>
      </c>
    </row>
    <row r="22" spans="1:17" x14ac:dyDescent="0.4">
      <c r="A22" s="59" t="s">
        <v>14</v>
      </c>
      <c r="B22" s="54">
        <f>IF(B$20=0,0,C22/B$20)</f>
        <v>-7733.333333333333</v>
      </c>
      <c r="C22" s="47">
        <v>-69600</v>
      </c>
      <c r="E22" s="65" t="s">
        <v>85</v>
      </c>
      <c r="F22" s="62" t="s">
        <v>38</v>
      </c>
      <c r="G22" s="49">
        <v>0</v>
      </c>
      <c r="H22" s="139">
        <f>IF(B$27=0,0,G22/B$27)</f>
        <v>0</v>
      </c>
      <c r="I22" s="100">
        <v>1</v>
      </c>
    </row>
    <row r="23" spans="1:17" x14ac:dyDescent="0.4">
      <c r="A23" s="96" t="s">
        <v>148</v>
      </c>
      <c r="B23" s="147">
        <v>4</v>
      </c>
      <c r="C23" s="148"/>
      <c r="E23" s="65" t="s">
        <v>86</v>
      </c>
      <c r="F23" s="62" t="s">
        <v>39</v>
      </c>
      <c r="G23" s="49">
        <v>0</v>
      </c>
      <c r="H23" s="139">
        <f>IF(B$27=0,0,G23/B$27)</f>
        <v>0</v>
      </c>
      <c r="I23" s="100">
        <v>1</v>
      </c>
    </row>
    <row r="24" spans="1:17" x14ac:dyDescent="0.4">
      <c r="A24" s="60" t="s">
        <v>159</v>
      </c>
      <c r="B24" s="145">
        <v>105900</v>
      </c>
      <c r="C24" s="146"/>
      <c r="E24" s="65" t="s">
        <v>87</v>
      </c>
      <c r="F24" s="62" t="s">
        <v>40</v>
      </c>
      <c r="G24" s="49">
        <v>0</v>
      </c>
      <c r="H24" s="139">
        <f>IF(B$27=0,0,G24/B$27)</f>
        <v>0</v>
      </c>
      <c r="I24" s="100">
        <v>1</v>
      </c>
    </row>
    <row r="25" spans="1:17" x14ac:dyDescent="0.4">
      <c r="A25" s="59" t="s">
        <v>149</v>
      </c>
      <c r="B25" s="67">
        <v>0</v>
      </c>
      <c r="C25" s="44">
        <f>IF(B$3=0,0,B25/B$3)</f>
        <v>0</v>
      </c>
      <c r="E25" s="65" t="s">
        <v>88</v>
      </c>
      <c r="F25" s="62" t="s">
        <v>41</v>
      </c>
      <c r="G25" s="49">
        <v>0</v>
      </c>
      <c r="H25" s="139">
        <f>IF(B$27=0,0,G25/B$27)</f>
        <v>0</v>
      </c>
      <c r="I25" s="100">
        <v>1</v>
      </c>
    </row>
    <row r="26" spans="1:17" x14ac:dyDescent="0.4">
      <c r="A26" s="56" t="s">
        <v>126</v>
      </c>
      <c r="B26" s="151">
        <v>59</v>
      </c>
      <c r="C26" s="152"/>
      <c r="E26" s="65" t="s">
        <v>89</v>
      </c>
      <c r="F26" s="62" t="s">
        <v>42</v>
      </c>
      <c r="G26" s="49">
        <v>0</v>
      </c>
      <c r="H26" s="139">
        <f>IF(B$27=0,0,G26/B$27)</f>
        <v>0</v>
      </c>
      <c r="I26" s="100">
        <v>1</v>
      </c>
    </row>
    <row r="27" spans="1:17" x14ac:dyDescent="0.4">
      <c r="A27" s="59" t="s">
        <v>127</v>
      </c>
      <c r="B27" s="153">
        <v>26</v>
      </c>
      <c r="C27" s="154"/>
      <c r="E27" s="65" t="s">
        <v>90</v>
      </c>
      <c r="F27" s="62" t="s">
        <v>43</v>
      </c>
      <c r="G27" s="49">
        <v>0</v>
      </c>
      <c r="H27" s="139">
        <f>IF(B$27=0,0,G27/B$27)</f>
        <v>0</v>
      </c>
      <c r="I27" s="100">
        <v>1</v>
      </c>
    </row>
    <row r="28" spans="1:17" x14ac:dyDescent="0.4">
      <c r="E28" s="65" t="s">
        <v>92</v>
      </c>
      <c r="F28" s="62" t="s">
        <v>45</v>
      </c>
      <c r="G28" s="49">
        <v>0</v>
      </c>
      <c r="H28" s="139">
        <f>IF(B$27=0,0,G28/B$27)</f>
        <v>0</v>
      </c>
      <c r="I28" s="100">
        <v>1</v>
      </c>
    </row>
    <row r="29" spans="1:17" x14ac:dyDescent="0.4">
      <c r="E29" s="65" t="s">
        <v>93</v>
      </c>
      <c r="F29" s="62" t="s">
        <v>46</v>
      </c>
      <c r="G29" s="49">
        <v>0</v>
      </c>
      <c r="H29" s="139">
        <f>IF(B$27=0,0,G29/B$27)</f>
        <v>0</v>
      </c>
      <c r="I29" s="100">
        <v>1</v>
      </c>
    </row>
    <row r="30" spans="1:17" x14ac:dyDescent="0.4">
      <c r="E30" s="65" t="s">
        <v>95</v>
      </c>
      <c r="F30" s="62" t="s">
        <v>48</v>
      </c>
      <c r="G30" s="49">
        <v>0</v>
      </c>
      <c r="H30" s="139">
        <f>IF(B$27=0,0,G30/B$27)</f>
        <v>0</v>
      </c>
      <c r="I30" s="100">
        <v>1</v>
      </c>
    </row>
    <row r="31" spans="1:17" x14ac:dyDescent="0.4">
      <c r="E31" s="65" t="s">
        <v>96</v>
      </c>
      <c r="F31" s="62" t="s">
        <v>49</v>
      </c>
      <c r="G31" s="49">
        <v>0</v>
      </c>
      <c r="H31" s="139">
        <f>IF(B$27=0,0,G31/B$27)</f>
        <v>0</v>
      </c>
      <c r="I31" s="100">
        <v>3</v>
      </c>
    </row>
    <row r="32" spans="1:17" x14ac:dyDescent="0.4">
      <c r="E32" s="65" t="s">
        <v>97</v>
      </c>
      <c r="F32" s="62" t="s">
        <v>50</v>
      </c>
      <c r="G32" s="49">
        <v>0</v>
      </c>
      <c r="H32" s="139">
        <f>IF(B$27=0,0,G32/B$27)</f>
        <v>0</v>
      </c>
      <c r="I32" s="100">
        <v>1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CD7D3-32F2-4B57-8B0E-7CB2DAB88892}">
  <sheetPr codeName="Sheet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5" t="s">
        <v>134</v>
      </c>
      <c r="C1" s="156"/>
      <c r="E1" s="135" t="s">
        <v>177</v>
      </c>
      <c r="F1" s="142" t="s">
        <v>120</v>
      </c>
      <c r="G1" s="141" t="s">
        <v>121</v>
      </c>
      <c r="H1" s="136" t="s">
        <v>122</v>
      </c>
      <c r="I1" s="142" t="s">
        <v>161</v>
      </c>
      <c r="K1" s="36" t="s">
        <v>20</v>
      </c>
      <c r="L1" s="37" t="s">
        <v>125</v>
      </c>
      <c r="M1" s="137"/>
      <c r="N1" s="119" t="s">
        <v>144</v>
      </c>
      <c r="O1" s="36" t="s">
        <v>145</v>
      </c>
      <c r="P1" s="123" t="s">
        <v>121</v>
      </c>
      <c r="Q1" s="107" t="s">
        <v>165</v>
      </c>
    </row>
    <row r="2" spans="1:17" x14ac:dyDescent="0.4">
      <c r="A2" s="56" t="s">
        <v>9</v>
      </c>
      <c r="B2" s="151">
        <v>6</v>
      </c>
      <c r="C2" s="152"/>
      <c r="E2" s="64" t="s">
        <v>67</v>
      </c>
      <c r="F2" s="61" t="s">
        <v>21</v>
      </c>
      <c r="G2" s="48">
        <v>11</v>
      </c>
      <c r="H2" s="138">
        <f>IF(B$27=0,0,G2/B$27)</f>
        <v>0.6875</v>
      </c>
      <c r="I2" s="99">
        <v>1</v>
      </c>
      <c r="K2" s="38">
        <v>0</v>
      </c>
      <c r="L2" s="104">
        <v>0</v>
      </c>
      <c r="N2" s="120" t="s">
        <v>138</v>
      </c>
      <c r="O2" s="127">
        <f t="shared" ref="O2:O7" si="0">IF(P2=0,0,Q2/P2)</f>
        <v>-2233.3333333333335</v>
      </c>
      <c r="P2" s="124">
        <v>6</v>
      </c>
      <c r="Q2" s="108">
        <v>-13400</v>
      </c>
    </row>
    <row r="3" spans="1:17" x14ac:dyDescent="0.4">
      <c r="A3" s="57" t="s">
        <v>8</v>
      </c>
      <c r="B3" s="157">
        <v>54</v>
      </c>
      <c r="C3" s="158"/>
      <c r="E3" s="65" t="s">
        <v>69</v>
      </c>
      <c r="F3" s="62" t="s">
        <v>23</v>
      </c>
      <c r="G3" s="49">
        <v>8</v>
      </c>
      <c r="H3" s="139">
        <f>IF(B$27=0,0,G3/B$27)</f>
        <v>0.5</v>
      </c>
      <c r="I3" s="100">
        <v>6</v>
      </c>
      <c r="K3" s="40">
        <v>1</v>
      </c>
      <c r="L3" s="105">
        <v>45.5</v>
      </c>
      <c r="N3" s="121" t="s">
        <v>139</v>
      </c>
      <c r="O3" s="128">
        <f t="shared" si="0"/>
        <v>-1666.6666666666667</v>
      </c>
      <c r="P3" s="125">
        <v>6</v>
      </c>
      <c r="Q3" s="109">
        <v>-10000</v>
      </c>
    </row>
    <row r="4" spans="1:17" x14ac:dyDescent="0.4">
      <c r="A4" s="57" t="s">
        <v>6</v>
      </c>
      <c r="B4" s="159">
        <v>-14.000000000000005</v>
      </c>
      <c r="C4" s="160"/>
      <c r="E4" s="65" t="s">
        <v>70</v>
      </c>
      <c r="F4" s="62" t="s">
        <v>24</v>
      </c>
      <c r="G4" s="49">
        <v>7</v>
      </c>
      <c r="H4" s="139">
        <f>IF(B$27=0,0,G4/B$27)</f>
        <v>0.4375</v>
      </c>
      <c r="I4" s="100">
        <v>2</v>
      </c>
      <c r="K4" s="40">
        <v>2</v>
      </c>
      <c r="L4" s="105">
        <v>6.2999999999999972</v>
      </c>
      <c r="N4" s="121" t="s">
        <v>140</v>
      </c>
      <c r="O4" s="128">
        <f t="shared" si="0"/>
        <v>-3483.3333333333335</v>
      </c>
      <c r="P4" s="125">
        <v>6</v>
      </c>
      <c r="Q4" s="109">
        <v>-20900</v>
      </c>
    </row>
    <row r="5" spans="1:17" x14ac:dyDescent="0.4">
      <c r="A5" s="57" t="s">
        <v>7</v>
      </c>
      <c r="B5" s="161">
        <f>IF(B$2=0,0,B$4/B$2)</f>
        <v>-2.3333333333333344</v>
      </c>
      <c r="C5" s="162"/>
      <c r="E5" s="65" t="s">
        <v>76</v>
      </c>
      <c r="F5" s="62" t="s">
        <v>29</v>
      </c>
      <c r="G5" s="49">
        <v>5</v>
      </c>
      <c r="H5" s="139">
        <f>IF(B$27=0,0,G5/B$27)</f>
        <v>0.3125</v>
      </c>
      <c r="I5" s="100">
        <v>5</v>
      </c>
      <c r="K5" s="40">
        <v>3</v>
      </c>
      <c r="L5" s="105">
        <v>-47.300000000000004</v>
      </c>
      <c r="N5" s="121" t="s">
        <v>141</v>
      </c>
      <c r="O5" s="128">
        <f t="shared" si="0"/>
        <v>750</v>
      </c>
      <c r="P5" s="125">
        <v>6</v>
      </c>
      <c r="Q5" s="109">
        <v>4500</v>
      </c>
    </row>
    <row r="6" spans="1:17" x14ac:dyDescent="0.4">
      <c r="A6" s="57" t="s">
        <v>1</v>
      </c>
      <c r="B6" s="149">
        <f>IF(B$2=0,0,(B$7*1+B$8*2+B$9*3)/B$2)</f>
        <v>2.1666666666666665</v>
      </c>
      <c r="C6" s="150"/>
      <c r="E6" s="65" t="s">
        <v>68</v>
      </c>
      <c r="F6" s="62" t="s">
        <v>22</v>
      </c>
      <c r="G6" s="49">
        <v>4</v>
      </c>
      <c r="H6" s="139">
        <f>IF(B$27=0,0,G6/B$27)</f>
        <v>0.25</v>
      </c>
      <c r="I6" s="100">
        <v>1</v>
      </c>
      <c r="K6" s="40">
        <v>4</v>
      </c>
      <c r="L6" s="105">
        <v>13.599999999999994</v>
      </c>
      <c r="N6" s="121" t="s">
        <v>142</v>
      </c>
      <c r="O6" s="128">
        <f t="shared" si="0"/>
        <v>5300</v>
      </c>
      <c r="P6" s="125">
        <v>6</v>
      </c>
      <c r="Q6" s="109">
        <v>31800</v>
      </c>
    </row>
    <row r="7" spans="1:17" x14ac:dyDescent="0.4">
      <c r="A7" s="57" t="s">
        <v>2</v>
      </c>
      <c r="B7" s="49">
        <v>2</v>
      </c>
      <c r="C7" s="41">
        <f>IF(B$2=0,0,B7/B$2)</f>
        <v>0.33333333333333331</v>
      </c>
      <c r="E7" s="65" t="s">
        <v>72</v>
      </c>
      <c r="F7" s="62" t="s">
        <v>12</v>
      </c>
      <c r="G7" s="49">
        <v>4</v>
      </c>
      <c r="H7" s="139">
        <f>IF(B$27=0,0,G7/B$27)</f>
        <v>0.25</v>
      </c>
      <c r="I7" s="100">
        <v>3</v>
      </c>
      <c r="K7" s="40">
        <v>5</v>
      </c>
      <c r="L7" s="105">
        <v>-16.600000000000005</v>
      </c>
      <c r="N7" s="122" t="s">
        <v>143</v>
      </c>
      <c r="O7" s="129">
        <f t="shared" si="0"/>
        <v>2333.3333333333335</v>
      </c>
      <c r="P7" s="126">
        <v>6</v>
      </c>
      <c r="Q7" s="110">
        <v>14000</v>
      </c>
    </row>
    <row r="8" spans="1:17" x14ac:dyDescent="0.4">
      <c r="A8" s="57" t="s">
        <v>3</v>
      </c>
      <c r="B8" s="49">
        <v>1</v>
      </c>
      <c r="C8" s="41">
        <f>IF(B$2=0,0,B8/B$2)</f>
        <v>0.16666666666666666</v>
      </c>
      <c r="E8" s="65" t="s">
        <v>73</v>
      </c>
      <c r="F8" s="62" t="s">
        <v>26</v>
      </c>
      <c r="G8" s="49">
        <v>3</v>
      </c>
      <c r="H8" s="139">
        <f>IF(B$27=0,0,G8/B$27)</f>
        <v>0.1875</v>
      </c>
      <c r="I8" s="100">
        <v>3</v>
      </c>
      <c r="K8" s="40">
        <v>6</v>
      </c>
      <c r="L8" s="105">
        <v>-14.000000000000005</v>
      </c>
      <c r="N8" s="45"/>
      <c r="O8" s="133"/>
      <c r="P8" s="117"/>
      <c r="Q8" s="115"/>
    </row>
    <row r="9" spans="1:17" x14ac:dyDescent="0.4">
      <c r="A9" s="58" t="s">
        <v>4</v>
      </c>
      <c r="B9" s="50">
        <v>3</v>
      </c>
      <c r="C9" s="42">
        <f t="shared" ref="C9" si="1">IF(B$2=0,0,B9/B$2)</f>
        <v>0.5</v>
      </c>
      <c r="E9" s="65" t="s">
        <v>74</v>
      </c>
      <c r="F9" s="62" t="s">
        <v>27</v>
      </c>
      <c r="G9" s="49">
        <v>2</v>
      </c>
      <c r="H9" s="139">
        <f>IF(B$27=0,0,G9/B$27)</f>
        <v>0.125</v>
      </c>
      <c r="I9" s="100">
        <v>2</v>
      </c>
      <c r="N9" s="119" t="s">
        <v>173</v>
      </c>
      <c r="O9" s="36" t="s">
        <v>125</v>
      </c>
      <c r="P9" s="123" t="s">
        <v>121</v>
      </c>
      <c r="Q9" s="111" t="s">
        <v>165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91</v>
      </c>
      <c r="F10" s="62" t="s">
        <v>44</v>
      </c>
      <c r="G10" s="49">
        <v>2</v>
      </c>
      <c r="H10" s="139">
        <f>IF(B$27=0,0,G10/B$27)</f>
        <v>0.125</v>
      </c>
      <c r="I10" s="100">
        <v>2</v>
      </c>
      <c r="N10" s="120" t="s">
        <v>174</v>
      </c>
      <c r="O10" s="130">
        <f>IF(P10=0,0,Q10/P10)</f>
        <v>-41.9</v>
      </c>
      <c r="P10" s="124">
        <v>2</v>
      </c>
      <c r="Q10" s="112">
        <v>-83.8</v>
      </c>
    </row>
    <row r="11" spans="1:17" x14ac:dyDescent="0.4">
      <c r="A11" s="58" t="s">
        <v>146</v>
      </c>
      <c r="B11" s="50">
        <v>0</v>
      </c>
      <c r="C11" s="42">
        <f>IF(B$2=0,0,B11/B$2)</f>
        <v>0</v>
      </c>
      <c r="E11" s="65" t="s">
        <v>94</v>
      </c>
      <c r="F11" s="62" t="s">
        <v>47</v>
      </c>
      <c r="G11" s="49">
        <v>1</v>
      </c>
      <c r="H11" s="139">
        <f>IF(B$27=0,0,G11/B$27)</f>
        <v>6.25E-2</v>
      </c>
      <c r="I11" s="100">
        <v>5</v>
      </c>
      <c r="N11" s="121" t="s">
        <v>175</v>
      </c>
      <c r="O11" s="131">
        <f>IF(P11=0,0,Q11/P11)</f>
        <v>10.849999999999998</v>
      </c>
      <c r="P11" s="125">
        <v>2</v>
      </c>
      <c r="Q11" s="113">
        <v>21.699999999999996</v>
      </c>
    </row>
    <row r="12" spans="1:17" x14ac:dyDescent="0.4">
      <c r="A12" s="59" t="s">
        <v>167</v>
      </c>
      <c r="B12" s="51">
        <v>1</v>
      </c>
      <c r="C12" s="44">
        <f>IF(B$2=0,0,B12/B$2)</f>
        <v>0.16666666666666666</v>
      </c>
      <c r="E12" s="65" t="s">
        <v>96</v>
      </c>
      <c r="F12" s="62" t="s">
        <v>49</v>
      </c>
      <c r="G12" s="49">
        <v>1</v>
      </c>
      <c r="H12" s="139">
        <f>IF(B$27=0,0,G12/B$27)</f>
        <v>6.25E-2</v>
      </c>
      <c r="I12" s="100">
        <v>1</v>
      </c>
      <c r="N12" s="122" t="s">
        <v>176</v>
      </c>
      <c r="O12" s="132">
        <f>IF(P12=0,0,Q12/P12)</f>
        <v>24.05</v>
      </c>
      <c r="P12" s="126">
        <v>2</v>
      </c>
      <c r="Q12" s="114">
        <v>48.1</v>
      </c>
    </row>
    <row r="13" spans="1:17" x14ac:dyDescent="0.4">
      <c r="A13" s="60" t="s">
        <v>128</v>
      </c>
      <c r="B13" s="52">
        <v>17</v>
      </c>
      <c r="C13" s="46">
        <f>IF(B$26=0,0,B13/B$26)</f>
        <v>0.31481481481481483</v>
      </c>
      <c r="E13" s="65" t="s">
        <v>71</v>
      </c>
      <c r="F13" s="62" t="s">
        <v>25</v>
      </c>
      <c r="G13" s="49">
        <v>0</v>
      </c>
      <c r="H13" s="139">
        <f>IF(B$27=0,0,G13/B$27)</f>
        <v>0</v>
      </c>
      <c r="I13" s="100">
        <v>1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12</v>
      </c>
      <c r="C14" s="41">
        <f>IF(B$26=0,0,B14/B$26)</f>
        <v>0.22222222222222221</v>
      </c>
      <c r="E14" s="65" t="s">
        <v>75</v>
      </c>
      <c r="F14" s="62" t="s">
        <v>28</v>
      </c>
      <c r="G14" s="49">
        <v>0</v>
      </c>
      <c r="H14" s="139">
        <f>IF(B$27=0,0,G14/B$27)</f>
        <v>0</v>
      </c>
      <c r="I14" s="100">
        <v>3</v>
      </c>
      <c r="N14" s="119" t="s">
        <v>162</v>
      </c>
      <c r="O14" s="36" t="s">
        <v>125</v>
      </c>
      <c r="P14" s="123" t="s">
        <v>121</v>
      </c>
      <c r="Q14" s="111" t="s">
        <v>165</v>
      </c>
    </row>
    <row r="15" spans="1:17" x14ac:dyDescent="0.4">
      <c r="A15" s="56" t="s">
        <v>130</v>
      </c>
      <c r="B15" s="48">
        <v>11</v>
      </c>
      <c r="C15" s="39">
        <f>IF(B$13=0,0,B15/B$13)</f>
        <v>0.6470588235294118</v>
      </c>
      <c r="E15" s="65" t="s">
        <v>77</v>
      </c>
      <c r="F15" s="62" t="s">
        <v>30</v>
      </c>
      <c r="G15" s="49">
        <v>0</v>
      </c>
      <c r="H15" s="139">
        <f>IF(B$27=0,0,G15/B$27)</f>
        <v>0</v>
      </c>
      <c r="I15" s="100">
        <v>1</v>
      </c>
      <c r="N15" s="120" t="s">
        <v>181</v>
      </c>
      <c r="O15" s="130">
        <f>IF(P15=0,0,Q15/P15)</f>
        <v>103</v>
      </c>
      <c r="P15" s="124">
        <v>1</v>
      </c>
      <c r="Q15" s="112">
        <v>103</v>
      </c>
    </row>
    <row r="16" spans="1:17" x14ac:dyDescent="0.4">
      <c r="A16" s="56" t="s">
        <v>131</v>
      </c>
      <c r="B16" s="48">
        <v>4</v>
      </c>
      <c r="C16" s="39">
        <f>IF(B$14=0,0,B16/B$14)</f>
        <v>0.33333333333333331</v>
      </c>
      <c r="E16" s="65" t="s">
        <v>78</v>
      </c>
      <c r="F16" s="62" t="s">
        <v>31</v>
      </c>
      <c r="G16" s="49">
        <v>0</v>
      </c>
      <c r="H16" s="139">
        <f>IF(B$27=0,0,G16/B$27)</f>
        <v>0</v>
      </c>
      <c r="I16" s="100">
        <v>1</v>
      </c>
      <c r="N16" s="121" t="s">
        <v>182</v>
      </c>
      <c r="O16" s="131">
        <f>IF(P16=0,0,Q16/P16)</f>
        <v>79.7</v>
      </c>
      <c r="P16" s="125">
        <v>1</v>
      </c>
      <c r="Q16" s="113">
        <v>79.7</v>
      </c>
    </row>
    <row r="17" spans="1:17" x14ac:dyDescent="0.4">
      <c r="A17" s="56" t="s">
        <v>10</v>
      </c>
      <c r="B17" s="48">
        <f>B19+B18</f>
        <v>16</v>
      </c>
      <c r="C17" s="39">
        <f>IF(B$3=0,0,B17/B$3)</f>
        <v>0.29629629629629628</v>
      </c>
      <c r="E17" s="65" t="s">
        <v>79</v>
      </c>
      <c r="F17" s="62" t="s">
        <v>32</v>
      </c>
      <c r="G17" s="49">
        <v>0</v>
      </c>
      <c r="H17" s="139">
        <f>IF(B$27=0,0,G17/B$27)</f>
        <v>0</v>
      </c>
      <c r="I17" s="100">
        <v>1</v>
      </c>
      <c r="N17" s="121" t="s">
        <v>135</v>
      </c>
      <c r="O17" s="131">
        <f>IF(P17=0,0,Q17/P17)</f>
        <v>-4.9399999999999995</v>
      </c>
      <c r="P17" s="125">
        <v>5</v>
      </c>
      <c r="Q17" s="113">
        <v>-24.7</v>
      </c>
    </row>
    <row r="18" spans="1:17" x14ac:dyDescent="0.4">
      <c r="A18" s="57" t="s">
        <v>12</v>
      </c>
      <c r="B18" s="49">
        <v>4</v>
      </c>
      <c r="C18" s="41">
        <f>IF(B$17=0,0,B18/B$17)</f>
        <v>0.25</v>
      </c>
      <c r="E18" s="65" t="s">
        <v>80</v>
      </c>
      <c r="F18" s="62" t="s">
        <v>33</v>
      </c>
      <c r="G18" s="49">
        <v>0</v>
      </c>
      <c r="H18" s="139">
        <f>IF(B$27=0,0,G18/B$27)</f>
        <v>0</v>
      </c>
      <c r="I18" s="100">
        <v>1</v>
      </c>
      <c r="N18" s="121" t="s">
        <v>133</v>
      </c>
      <c r="O18" s="131">
        <f>IF(P18=0,0,Q18/P18)</f>
        <v>-40</v>
      </c>
      <c r="P18" s="125">
        <v>5</v>
      </c>
      <c r="Q18" s="113">
        <v>-200</v>
      </c>
    </row>
    <row r="19" spans="1:17" x14ac:dyDescent="0.4">
      <c r="A19" s="57" t="s">
        <v>11</v>
      </c>
      <c r="B19" s="49">
        <v>12</v>
      </c>
      <c r="C19" s="41">
        <f>IF(B$17=0,0,B19/B$17)</f>
        <v>0.75</v>
      </c>
      <c r="E19" s="65" t="s">
        <v>81</v>
      </c>
      <c r="F19" s="62" t="s">
        <v>34</v>
      </c>
      <c r="G19" s="49">
        <v>0</v>
      </c>
      <c r="H19" s="139">
        <f>IF(B$27=0,0,G19/B$27)</f>
        <v>0</v>
      </c>
      <c r="I19" s="100">
        <v>1</v>
      </c>
    </row>
    <row r="20" spans="1:17" x14ac:dyDescent="0.4">
      <c r="A20" s="57" t="s">
        <v>13</v>
      </c>
      <c r="B20" s="49">
        <v>9</v>
      </c>
      <c r="C20" s="41">
        <f>IF(B$3=0,0,B20/B$3)</f>
        <v>0.16666666666666666</v>
      </c>
      <c r="E20" s="65" t="s">
        <v>82</v>
      </c>
      <c r="F20" s="62" t="s">
        <v>35</v>
      </c>
      <c r="G20" s="49">
        <v>0</v>
      </c>
      <c r="H20" s="139">
        <f>IF(B$27=0,0,G20/B$27)</f>
        <v>0</v>
      </c>
      <c r="I20" s="100">
        <v>4</v>
      </c>
    </row>
    <row r="21" spans="1:17" x14ac:dyDescent="0.4">
      <c r="A21" s="57" t="s">
        <v>5</v>
      </c>
      <c r="B21" s="53">
        <f>IF(B$17=0,0,C21/B$17)</f>
        <v>8231.25</v>
      </c>
      <c r="C21" s="43">
        <v>131700</v>
      </c>
      <c r="E21" s="65" t="s">
        <v>83</v>
      </c>
      <c r="F21" s="62" t="s">
        <v>36</v>
      </c>
      <c r="G21" s="49">
        <v>0</v>
      </c>
      <c r="H21" s="139">
        <f>IF(B$27=0,0,G21/B$27)</f>
        <v>0</v>
      </c>
      <c r="I21" s="100">
        <v>1</v>
      </c>
    </row>
    <row r="22" spans="1:17" x14ac:dyDescent="0.4">
      <c r="A22" s="59" t="s">
        <v>14</v>
      </c>
      <c r="B22" s="54">
        <f>IF(B$20=0,0,C22/B$20)</f>
        <v>-6755.5555555555557</v>
      </c>
      <c r="C22" s="47">
        <v>-60800</v>
      </c>
      <c r="E22" s="65" t="s">
        <v>84</v>
      </c>
      <c r="F22" s="62" t="s">
        <v>37</v>
      </c>
      <c r="G22" s="49">
        <v>0</v>
      </c>
      <c r="H22" s="139">
        <f>IF(B$27=0,0,G22/B$27)</f>
        <v>0</v>
      </c>
      <c r="I22" s="100">
        <v>1</v>
      </c>
    </row>
    <row r="23" spans="1:17" x14ac:dyDescent="0.4">
      <c r="A23" s="96" t="s">
        <v>148</v>
      </c>
      <c r="B23" s="147">
        <v>4</v>
      </c>
      <c r="C23" s="148"/>
      <c r="E23" s="65" t="s">
        <v>85</v>
      </c>
      <c r="F23" s="62" t="s">
        <v>38</v>
      </c>
      <c r="G23" s="49">
        <v>0</v>
      </c>
      <c r="H23" s="139">
        <f>IF(B$27=0,0,G23/B$27)</f>
        <v>0</v>
      </c>
      <c r="I23" s="100">
        <v>1</v>
      </c>
    </row>
    <row r="24" spans="1:17" x14ac:dyDescent="0.4">
      <c r="A24" s="60" t="s">
        <v>159</v>
      </c>
      <c r="B24" s="145">
        <v>75900</v>
      </c>
      <c r="C24" s="146"/>
      <c r="E24" s="65" t="s">
        <v>86</v>
      </c>
      <c r="F24" s="62" t="s">
        <v>39</v>
      </c>
      <c r="G24" s="49">
        <v>0</v>
      </c>
      <c r="H24" s="139">
        <f>IF(B$27=0,0,G24/B$27)</f>
        <v>0</v>
      </c>
      <c r="I24" s="100">
        <v>1</v>
      </c>
    </row>
    <row r="25" spans="1:17" x14ac:dyDescent="0.4">
      <c r="A25" s="59" t="s">
        <v>149</v>
      </c>
      <c r="B25" s="67">
        <v>1</v>
      </c>
      <c r="C25" s="44">
        <f>IF(B$3=0,0,B25/B$3)</f>
        <v>1.8518518518518517E-2</v>
      </c>
      <c r="E25" s="65" t="s">
        <v>87</v>
      </c>
      <c r="F25" s="62" t="s">
        <v>40</v>
      </c>
      <c r="G25" s="49">
        <v>0</v>
      </c>
      <c r="H25" s="139">
        <f>IF(B$27=0,0,G25/B$27)</f>
        <v>0</v>
      </c>
      <c r="I25" s="100">
        <v>1</v>
      </c>
    </row>
    <row r="26" spans="1:17" x14ac:dyDescent="0.4">
      <c r="A26" s="56" t="s">
        <v>126</v>
      </c>
      <c r="B26" s="151">
        <v>54</v>
      </c>
      <c r="C26" s="152"/>
      <c r="E26" s="65" t="s">
        <v>88</v>
      </c>
      <c r="F26" s="62" t="s">
        <v>41</v>
      </c>
      <c r="G26" s="49">
        <v>0</v>
      </c>
      <c r="H26" s="139">
        <f>IF(B$27=0,0,G26/B$27)</f>
        <v>0</v>
      </c>
      <c r="I26" s="100">
        <v>1</v>
      </c>
    </row>
    <row r="27" spans="1:17" x14ac:dyDescent="0.4">
      <c r="A27" s="59" t="s">
        <v>127</v>
      </c>
      <c r="B27" s="153">
        <v>16</v>
      </c>
      <c r="C27" s="154"/>
      <c r="E27" s="65" t="s">
        <v>89</v>
      </c>
      <c r="F27" s="62" t="s">
        <v>42</v>
      </c>
      <c r="G27" s="49">
        <v>0</v>
      </c>
      <c r="H27" s="139">
        <f>IF(B$27=0,0,G27/B$27)</f>
        <v>0</v>
      </c>
      <c r="I27" s="100">
        <v>1</v>
      </c>
    </row>
    <row r="28" spans="1:17" x14ac:dyDescent="0.4">
      <c r="E28" s="65" t="s">
        <v>90</v>
      </c>
      <c r="F28" s="62" t="s">
        <v>43</v>
      </c>
      <c r="G28" s="49">
        <v>0</v>
      </c>
      <c r="H28" s="139">
        <f>IF(B$27=0,0,G28/B$27)</f>
        <v>0</v>
      </c>
      <c r="I28" s="100">
        <v>1</v>
      </c>
    </row>
    <row r="29" spans="1:17" x14ac:dyDescent="0.4">
      <c r="E29" s="65" t="s">
        <v>92</v>
      </c>
      <c r="F29" s="62" t="s">
        <v>45</v>
      </c>
      <c r="G29" s="49">
        <v>0</v>
      </c>
      <c r="H29" s="139">
        <f>IF(B$27=0,0,G29/B$27)</f>
        <v>0</v>
      </c>
      <c r="I29" s="100">
        <v>1</v>
      </c>
    </row>
    <row r="30" spans="1:17" x14ac:dyDescent="0.4">
      <c r="E30" s="65" t="s">
        <v>93</v>
      </c>
      <c r="F30" s="62" t="s">
        <v>46</v>
      </c>
      <c r="G30" s="49">
        <v>0</v>
      </c>
      <c r="H30" s="139">
        <f>IF(B$27=0,0,G30/B$27)</f>
        <v>0</v>
      </c>
      <c r="I30" s="100">
        <v>1</v>
      </c>
    </row>
    <row r="31" spans="1:17" x14ac:dyDescent="0.4">
      <c r="E31" s="65" t="s">
        <v>95</v>
      </c>
      <c r="F31" s="62" t="s">
        <v>48</v>
      </c>
      <c r="G31" s="49">
        <v>0</v>
      </c>
      <c r="H31" s="139">
        <f>IF(B$27=0,0,G31/B$27)</f>
        <v>0</v>
      </c>
      <c r="I31" s="100">
        <v>1</v>
      </c>
    </row>
    <row r="32" spans="1:17" x14ac:dyDescent="0.4">
      <c r="E32" s="65" t="s">
        <v>97</v>
      </c>
      <c r="F32" s="62" t="s">
        <v>50</v>
      </c>
      <c r="G32" s="49">
        <v>0</v>
      </c>
      <c r="H32" s="139">
        <f>IF(B$27=0,0,G32/B$27)</f>
        <v>0</v>
      </c>
      <c r="I32" s="100">
        <v>1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18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13F6B-7505-41E4-A9E3-0893F639CA4D}">
  <sheetPr codeName="Sheet11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5" t="s">
        <v>135</v>
      </c>
      <c r="C1" s="156"/>
      <c r="E1" s="135" t="s">
        <v>177</v>
      </c>
      <c r="F1" s="142" t="s">
        <v>120</v>
      </c>
      <c r="G1" s="141" t="s">
        <v>121</v>
      </c>
      <c r="H1" s="136" t="s">
        <v>122</v>
      </c>
      <c r="I1" s="142" t="s">
        <v>161</v>
      </c>
      <c r="K1" s="36" t="s">
        <v>20</v>
      </c>
      <c r="L1" s="37" t="s">
        <v>125</v>
      </c>
      <c r="M1" s="137"/>
      <c r="N1" s="119" t="s">
        <v>144</v>
      </c>
      <c r="O1" s="36" t="s">
        <v>145</v>
      </c>
      <c r="P1" s="123" t="s">
        <v>121</v>
      </c>
      <c r="Q1" s="107" t="s">
        <v>165</v>
      </c>
    </row>
    <row r="2" spans="1:17" x14ac:dyDescent="0.4">
      <c r="A2" s="56" t="s">
        <v>9</v>
      </c>
      <c r="B2" s="151">
        <v>6</v>
      </c>
      <c r="C2" s="152"/>
      <c r="E2" s="64" t="s">
        <v>69</v>
      </c>
      <c r="F2" s="61" t="s">
        <v>23</v>
      </c>
      <c r="G2" s="48">
        <v>16</v>
      </c>
      <c r="H2" s="138">
        <f>IF(B$27=0,0,G2/B$27)</f>
        <v>1.0666666666666667</v>
      </c>
      <c r="I2" s="99">
        <v>1</v>
      </c>
      <c r="K2" s="38">
        <v>0</v>
      </c>
      <c r="L2" s="104">
        <v>0</v>
      </c>
      <c r="N2" s="120" t="s">
        <v>138</v>
      </c>
      <c r="O2" s="127">
        <f t="shared" ref="O2:O7" si="0">IF(P2=0,0,Q2/P2)</f>
        <v>1466.6666666666667</v>
      </c>
      <c r="P2" s="124">
        <v>6</v>
      </c>
      <c r="Q2" s="108">
        <v>8800</v>
      </c>
    </row>
    <row r="3" spans="1:17" x14ac:dyDescent="0.4">
      <c r="A3" s="57" t="s">
        <v>8</v>
      </c>
      <c r="B3" s="157">
        <v>52</v>
      </c>
      <c r="C3" s="158"/>
      <c r="E3" s="65" t="s">
        <v>67</v>
      </c>
      <c r="F3" s="62" t="s">
        <v>21</v>
      </c>
      <c r="G3" s="49">
        <v>7</v>
      </c>
      <c r="H3" s="139">
        <f>IF(B$27=0,0,G3/B$27)</f>
        <v>0.46666666666666667</v>
      </c>
      <c r="I3" s="100">
        <v>3</v>
      </c>
      <c r="K3" s="40">
        <v>1</v>
      </c>
      <c r="L3" s="105">
        <v>-40.4</v>
      </c>
      <c r="N3" s="121" t="s">
        <v>139</v>
      </c>
      <c r="O3" s="128">
        <f t="shared" si="0"/>
        <v>566.66666666666663</v>
      </c>
      <c r="P3" s="125">
        <v>6</v>
      </c>
      <c r="Q3" s="109">
        <v>3400</v>
      </c>
    </row>
    <row r="4" spans="1:17" x14ac:dyDescent="0.4">
      <c r="A4" s="57" t="s">
        <v>6</v>
      </c>
      <c r="B4" s="159">
        <v>-58.5</v>
      </c>
      <c r="C4" s="160"/>
      <c r="E4" s="65" t="s">
        <v>70</v>
      </c>
      <c r="F4" s="62" t="s">
        <v>24</v>
      </c>
      <c r="G4" s="49">
        <v>7</v>
      </c>
      <c r="H4" s="139">
        <f>IF(B$27=0,0,G4/B$27)</f>
        <v>0.46666666666666667</v>
      </c>
      <c r="I4" s="100">
        <v>1</v>
      </c>
      <c r="K4" s="40">
        <v>2</v>
      </c>
      <c r="L4" s="105">
        <v>-3.3999999999999986</v>
      </c>
      <c r="N4" s="121" t="s">
        <v>140</v>
      </c>
      <c r="O4" s="128">
        <f t="shared" si="0"/>
        <v>-540</v>
      </c>
      <c r="P4" s="125">
        <v>5</v>
      </c>
      <c r="Q4" s="109">
        <v>-2700</v>
      </c>
    </row>
    <row r="5" spans="1:17" x14ac:dyDescent="0.4">
      <c r="A5" s="57" t="s">
        <v>7</v>
      </c>
      <c r="B5" s="161">
        <f>IF(B$2=0,0,B$4/B$2)</f>
        <v>-9.75</v>
      </c>
      <c r="C5" s="162"/>
      <c r="E5" s="65" t="s">
        <v>76</v>
      </c>
      <c r="F5" s="62" t="s">
        <v>29</v>
      </c>
      <c r="G5" s="49">
        <v>6</v>
      </c>
      <c r="H5" s="139">
        <f>IF(B$27=0,0,G5/B$27)</f>
        <v>0.4</v>
      </c>
      <c r="I5" s="100">
        <v>4</v>
      </c>
      <c r="K5" s="40">
        <v>3</v>
      </c>
      <c r="L5" s="105">
        <v>-23.099999999999998</v>
      </c>
      <c r="N5" s="121" t="s">
        <v>141</v>
      </c>
      <c r="O5" s="128">
        <f t="shared" si="0"/>
        <v>-7140</v>
      </c>
      <c r="P5" s="125">
        <v>5</v>
      </c>
      <c r="Q5" s="109">
        <v>-35700</v>
      </c>
    </row>
    <row r="6" spans="1:17" x14ac:dyDescent="0.4">
      <c r="A6" s="57" t="s">
        <v>1</v>
      </c>
      <c r="B6" s="149">
        <f>IF(B$2=0,0,(B$7*1+B$8*2+B$9*3)/B$2)</f>
        <v>2.1666666666666665</v>
      </c>
      <c r="C6" s="150"/>
      <c r="E6" s="65" t="s">
        <v>72</v>
      </c>
      <c r="F6" s="62" t="s">
        <v>12</v>
      </c>
      <c r="G6" s="49">
        <v>4</v>
      </c>
      <c r="H6" s="139">
        <f>IF(B$27=0,0,G6/B$27)</f>
        <v>0.26666666666666666</v>
      </c>
      <c r="I6" s="100">
        <v>2</v>
      </c>
      <c r="K6" s="40">
        <v>4</v>
      </c>
      <c r="L6" s="105">
        <v>-31.4</v>
      </c>
      <c r="N6" s="121" t="s">
        <v>142</v>
      </c>
      <c r="O6" s="128">
        <f t="shared" si="0"/>
        <v>-1860</v>
      </c>
      <c r="P6" s="125">
        <v>5</v>
      </c>
      <c r="Q6" s="109">
        <v>-9300</v>
      </c>
    </row>
    <row r="7" spans="1:17" x14ac:dyDescent="0.4">
      <c r="A7" s="57" t="s">
        <v>2</v>
      </c>
      <c r="B7" s="49">
        <v>1</v>
      </c>
      <c r="C7" s="41">
        <f>IF(B$2=0,0,B7/B$2)</f>
        <v>0.16666666666666666</v>
      </c>
      <c r="E7" s="65" t="s">
        <v>75</v>
      </c>
      <c r="F7" s="62" t="s">
        <v>28</v>
      </c>
      <c r="G7" s="49">
        <v>3</v>
      </c>
      <c r="H7" s="139">
        <f>IF(B$27=0,0,G7/B$27)</f>
        <v>0.2</v>
      </c>
      <c r="I7" s="100">
        <v>1</v>
      </c>
      <c r="K7" s="40">
        <v>5</v>
      </c>
      <c r="L7" s="105">
        <v>-32.199999999999996</v>
      </c>
      <c r="N7" s="122" t="s">
        <v>143</v>
      </c>
      <c r="O7" s="129">
        <f t="shared" si="0"/>
        <v>-600</v>
      </c>
      <c r="P7" s="126">
        <v>5</v>
      </c>
      <c r="Q7" s="110">
        <v>-3000</v>
      </c>
    </row>
    <row r="8" spans="1:17" x14ac:dyDescent="0.4">
      <c r="A8" s="57" t="s">
        <v>3</v>
      </c>
      <c r="B8" s="49">
        <v>3</v>
      </c>
      <c r="C8" s="41">
        <f>IF(B$2=0,0,B8/B$2)</f>
        <v>0.5</v>
      </c>
      <c r="E8" s="65" t="s">
        <v>94</v>
      </c>
      <c r="F8" s="62" t="s">
        <v>47</v>
      </c>
      <c r="G8" s="49">
        <v>3</v>
      </c>
      <c r="H8" s="139">
        <f>IF(B$27=0,0,G8/B$27)</f>
        <v>0.2</v>
      </c>
      <c r="I8" s="100">
        <v>4</v>
      </c>
      <c r="K8" s="40">
        <v>6</v>
      </c>
      <c r="L8" s="105">
        <v>-58.5</v>
      </c>
      <c r="N8" s="45"/>
      <c r="O8" s="133"/>
      <c r="P8" s="117"/>
      <c r="Q8" s="115"/>
    </row>
    <row r="9" spans="1:17" x14ac:dyDescent="0.4">
      <c r="A9" s="58" t="s">
        <v>4</v>
      </c>
      <c r="B9" s="50">
        <v>2</v>
      </c>
      <c r="C9" s="42">
        <f t="shared" ref="C9" si="1">IF(B$2=0,0,B9/B$2)</f>
        <v>0.33333333333333331</v>
      </c>
      <c r="E9" s="65" t="s">
        <v>91</v>
      </c>
      <c r="F9" s="62" t="s">
        <v>44</v>
      </c>
      <c r="G9" s="49">
        <v>2</v>
      </c>
      <c r="H9" s="139">
        <f>IF(B$27=0,0,G9/B$27)</f>
        <v>0.13333333333333333</v>
      </c>
      <c r="I9" s="100">
        <v>1</v>
      </c>
      <c r="N9" s="119" t="s">
        <v>173</v>
      </c>
      <c r="O9" s="36" t="s">
        <v>125</v>
      </c>
      <c r="P9" s="123" t="s">
        <v>121</v>
      </c>
      <c r="Q9" s="111" t="s">
        <v>165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68</v>
      </c>
      <c r="F10" s="62" t="s">
        <v>22</v>
      </c>
      <c r="G10" s="49">
        <v>1</v>
      </c>
      <c r="H10" s="139">
        <f>IF(B$27=0,0,G10/B$27)</f>
        <v>6.6666666666666666E-2</v>
      </c>
      <c r="I10" s="100">
        <v>4</v>
      </c>
      <c r="N10" s="120" t="s">
        <v>174</v>
      </c>
      <c r="O10" s="130">
        <f>IF(P10=0,0,Q10/P10)</f>
        <v>-25</v>
      </c>
      <c r="P10" s="124">
        <v>3</v>
      </c>
      <c r="Q10" s="112">
        <v>-75</v>
      </c>
    </row>
    <row r="11" spans="1:17" x14ac:dyDescent="0.4">
      <c r="A11" s="58" t="s">
        <v>146</v>
      </c>
      <c r="B11" s="50">
        <v>0</v>
      </c>
      <c r="C11" s="42">
        <f>IF(B$2=0,0,B11/B$2)</f>
        <v>0</v>
      </c>
      <c r="E11" s="65" t="s">
        <v>73</v>
      </c>
      <c r="F11" s="62" t="s">
        <v>26</v>
      </c>
      <c r="G11" s="49">
        <v>1</v>
      </c>
      <c r="H11" s="139">
        <f>IF(B$27=0,0,G11/B$27)</f>
        <v>6.6666666666666666E-2</v>
      </c>
      <c r="I11" s="100">
        <v>5</v>
      </c>
      <c r="N11" s="121" t="s">
        <v>175</v>
      </c>
      <c r="O11" s="131">
        <f>IF(P11=0,0,Q11/P11)</f>
        <v>-10.25</v>
      </c>
      <c r="P11" s="125">
        <v>2</v>
      </c>
      <c r="Q11" s="113">
        <v>-20.5</v>
      </c>
    </row>
    <row r="12" spans="1:17" x14ac:dyDescent="0.4">
      <c r="A12" s="59" t="s">
        <v>167</v>
      </c>
      <c r="B12" s="51">
        <v>1</v>
      </c>
      <c r="C12" s="44">
        <f>IF(B$2=0,0,B12/B$2)</f>
        <v>0.16666666666666666</v>
      </c>
      <c r="E12" s="65" t="s">
        <v>82</v>
      </c>
      <c r="F12" s="62" t="s">
        <v>35</v>
      </c>
      <c r="G12" s="49">
        <v>1</v>
      </c>
      <c r="H12" s="139">
        <f>IF(B$27=0,0,G12/B$27)</f>
        <v>6.6666666666666666E-2</v>
      </c>
      <c r="I12" s="100">
        <v>1</v>
      </c>
      <c r="N12" s="122" t="s">
        <v>176</v>
      </c>
      <c r="O12" s="132">
        <f>IF(P12=0,0,Q12/P12)</f>
        <v>37</v>
      </c>
      <c r="P12" s="126">
        <v>1</v>
      </c>
      <c r="Q12" s="114">
        <v>37</v>
      </c>
    </row>
    <row r="13" spans="1:17" x14ac:dyDescent="0.4">
      <c r="A13" s="60" t="s">
        <v>128</v>
      </c>
      <c r="B13" s="52">
        <v>11</v>
      </c>
      <c r="C13" s="46">
        <f>IF(B$26=0,0,B13/B$26)</f>
        <v>0.21153846153846154</v>
      </c>
      <c r="E13" s="65" t="s">
        <v>71</v>
      </c>
      <c r="F13" s="62" t="s">
        <v>25</v>
      </c>
      <c r="G13" s="49">
        <v>0</v>
      </c>
      <c r="H13" s="139">
        <f>IF(B$27=0,0,G13/B$27)</f>
        <v>0</v>
      </c>
      <c r="I13" s="100">
        <v>1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8</v>
      </c>
      <c r="C14" s="41">
        <f>IF(B$26=0,0,B14/B$26)</f>
        <v>0.15384615384615385</v>
      </c>
      <c r="E14" s="65" t="s">
        <v>74</v>
      </c>
      <c r="F14" s="62" t="s">
        <v>27</v>
      </c>
      <c r="G14" s="49">
        <v>0</v>
      </c>
      <c r="H14" s="139">
        <f>IF(B$27=0,0,G14/B$27)</f>
        <v>0</v>
      </c>
      <c r="I14" s="100">
        <v>5</v>
      </c>
      <c r="N14" s="119" t="s">
        <v>162</v>
      </c>
      <c r="O14" s="36" t="s">
        <v>125</v>
      </c>
      <c r="P14" s="123" t="s">
        <v>121</v>
      </c>
      <c r="Q14" s="111" t="s">
        <v>165</v>
      </c>
    </row>
    <row r="15" spans="1:17" x14ac:dyDescent="0.4">
      <c r="A15" s="56" t="s">
        <v>130</v>
      </c>
      <c r="B15" s="48">
        <v>7</v>
      </c>
      <c r="C15" s="39">
        <f>IF(B$13=0,0,B15/B$13)</f>
        <v>0.63636363636363635</v>
      </c>
      <c r="E15" s="65" t="s">
        <v>77</v>
      </c>
      <c r="F15" s="62" t="s">
        <v>30</v>
      </c>
      <c r="G15" s="49">
        <v>0</v>
      </c>
      <c r="H15" s="139">
        <f>IF(B$27=0,0,G15/B$27)</f>
        <v>0</v>
      </c>
      <c r="I15" s="100">
        <v>1</v>
      </c>
      <c r="N15" s="120" t="s">
        <v>183</v>
      </c>
      <c r="O15" s="130">
        <f>IF(P15=0,0,Q15/P15)</f>
        <v>74.3</v>
      </c>
      <c r="P15" s="124">
        <v>1</v>
      </c>
      <c r="Q15" s="112">
        <v>74.3</v>
      </c>
    </row>
    <row r="16" spans="1:17" x14ac:dyDescent="0.4">
      <c r="A16" s="56" t="s">
        <v>131</v>
      </c>
      <c r="B16" s="48">
        <v>3</v>
      </c>
      <c r="C16" s="39">
        <f>IF(B$14=0,0,B16/B$14)</f>
        <v>0.375</v>
      </c>
      <c r="E16" s="65" t="s">
        <v>78</v>
      </c>
      <c r="F16" s="62" t="s">
        <v>31</v>
      </c>
      <c r="G16" s="49">
        <v>0</v>
      </c>
      <c r="H16" s="139">
        <f>IF(B$27=0,0,G16/B$27)</f>
        <v>0</v>
      </c>
      <c r="I16" s="100">
        <v>1</v>
      </c>
      <c r="N16" s="121" t="s">
        <v>134</v>
      </c>
      <c r="O16" s="131">
        <f>IF(P16=0,0,Q16/P16)</f>
        <v>4.9399999999999986</v>
      </c>
      <c r="P16" s="125">
        <v>5</v>
      </c>
      <c r="Q16" s="113">
        <v>24.699999999999992</v>
      </c>
    </row>
    <row r="17" spans="1:17" x14ac:dyDescent="0.4">
      <c r="A17" s="56" t="s">
        <v>10</v>
      </c>
      <c r="B17" s="48">
        <f>B19+B18</f>
        <v>15</v>
      </c>
      <c r="C17" s="39">
        <f>IF(B$3=0,0,B17/B$3)</f>
        <v>0.28846153846153844</v>
      </c>
      <c r="E17" s="65" t="s">
        <v>79</v>
      </c>
      <c r="F17" s="62" t="s">
        <v>32</v>
      </c>
      <c r="G17" s="49">
        <v>0</v>
      </c>
      <c r="H17" s="139">
        <f>IF(B$27=0,0,G17/B$27)</f>
        <v>0</v>
      </c>
      <c r="I17" s="100">
        <v>1</v>
      </c>
      <c r="N17" s="121" t="s">
        <v>133</v>
      </c>
      <c r="O17" s="131">
        <f>IF(P17=0,0,Q17/P17)</f>
        <v>-45.75</v>
      </c>
      <c r="P17" s="125">
        <v>6</v>
      </c>
      <c r="Q17" s="113">
        <v>-274.5</v>
      </c>
    </row>
    <row r="18" spans="1:17" x14ac:dyDescent="0.4">
      <c r="A18" s="57" t="s">
        <v>12</v>
      </c>
      <c r="B18" s="49">
        <v>5</v>
      </c>
      <c r="C18" s="41">
        <f>IF(B$17=0,0,B18/B$17)</f>
        <v>0.33333333333333331</v>
      </c>
      <c r="E18" s="65" t="s">
        <v>80</v>
      </c>
      <c r="F18" s="62" t="s">
        <v>33</v>
      </c>
      <c r="G18" s="49">
        <v>0</v>
      </c>
      <c r="H18" s="139">
        <f>IF(B$27=0,0,G18/B$27)</f>
        <v>0</v>
      </c>
      <c r="I18" s="100">
        <v>1</v>
      </c>
    </row>
    <row r="19" spans="1:17" x14ac:dyDescent="0.4">
      <c r="A19" s="57" t="s">
        <v>11</v>
      </c>
      <c r="B19" s="49">
        <v>10</v>
      </c>
      <c r="C19" s="41">
        <f>IF(B$17=0,0,B19/B$17)</f>
        <v>0.66666666666666663</v>
      </c>
      <c r="E19" s="65" t="s">
        <v>81</v>
      </c>
      <c r="F19" s="62" t="s">
        <v>34</v>
      </c>
      <c r="G19" s="49">
        <v>0</v>
      </c>
      <c r="H19" s="139">
        <f>IF(B$27=0,0,G19/B$27)</f>
        <v>0</v>
      </c>
      <c r="I19" s="100">
        <v>1</v>
      </c>
    </row>
    <row r="20" spans="1:17" x14ac:dyDescent="0.4">
      <c r="A20" s="57" t="s">
        <v>13</v>
      </c>
      <c r="B20" s="49">
        <v>14</v>
      </c>
      <c r="C20" s="41">
        <f>IF(B$3=0,0,B20/B$3)</f>
        <v>0.26923076923076922</v>
      </c>
      <c r="E20" s="65" t="s">
        <v>83</v>
      </c>
      <c r="F20" s="62" t="s">
        <v>36</v>
      </c>
      <c r="G20" s="49">
        <v>0</v>
      </c>
      <c r="H20" s="139">
        <f>IF(B$27=0,0,G20/B$27)</f>
        <v>0</v>
      </c>
      <c r="I20" s="100">
        <v>1</v>
      </c>
    </row>
    <row r="21" spans="1:17" x14ac:dyDescent="0.4">
      <c r="A21" s="57" t="s">
        <v>5</v>
      </c>
      <c r="B21" s="53">
        <f>IF(B$17=0,0,C21/B$17)</f>
        <v>7973.333333333333</v>
      </c>
      <c r="C21" s="43">
        <v>119600</v>
      </c>
      <c r="E21" s="65" t="s">
        <v>84</v>
      </c>
      <c r="F21" s="62" t="s">
        <v>37</v>
      </c>
      <c r="G21" s="49">
        <v>0</v>
      </c>
      <c r="H21" s="139">
        <f>IF(B$27=0,0,G21/B$27)</f>
        <v>0</v>
      </c>
      <c r="I21" s="100">
        <v>1</v>
      </c>
    </row>
    <row r="22" spans="1:17" x14ac:dyDescent="0.4">
      <c r="A22" s="59" t="s">
        <v>14</v>
      </c>
      <c r="B22" s="54">
        <f>IF(B$20=0,0,C22/B$20)</f>
        <v>-8350</v>
      </c>
      <c r="C22" s="47">
        <v>-116900</v>
      </c>
      <c r="E22" s="65" t="s">
        <v>85</v>
      </c>
      <c r="F22" s="62" t="s">
        <v>38</v>
      </c>
      <c r="G22" s="49">
        <v>0</v>
      </c>
      <c r="H22" s="139">
        <f>IF(B$27=0,0,G22/B$27)</f>
        <v>0</v>
      </c>
      <c r="I22" s="100">
        <v>1</v>
      </c>
    </row>
    <row r="23" spans="1:17" x14ac:dyDescent="0.4">
      <c r="A23" s="96" t="s">
        <v>148</v>
      </c>
      <c r="B23" s="147">
        <v>7</v>
      </c>
      <c r="C23" s="148"/>
      <c r="E23" s="65" t="s">
        <v>86</v>
      </c>
      <c r="F23" s="62" t="s">
        <v>39</v>
      </c>
      <c r="G23" s="49">
        <v>0</v>
      </c>
      <c r="H23" s="139">
        <f>IF(B$27=0,0,G23/B$27)</f>
        <v>0</v>
      </c>
      <c r="I23" s="100">
        <v>1</v>
      </c>
    </row>
    <row r="24" spans="1:17" x14ac:dyDescent="0.4">
      <c r="A24" s="60" t="s">
        <v>159</v>
      </c>
      <c r="B24" s="145">
        <v>52000</v>
      </c>
      <c r="C24" s="146"/>
      <c r="E24" s="65" t="s">
        <v>87</v>
      </c>
      <c r="F24" s="62" t="s">
        <v>40</v>
      </c>
      <c r="G24" s="49">
        <v>0</v>
      </c>
      <c r="H24" s="139">
        <f>IF(B$27=0,0,G24/B$27)</f>
        <v>0</v>
      </c>
      <c r="I24" s="100">
        <v>1</v>
      </c>
    </row>
    <row r="25" spans="1:17" x14ac:dyDescent="0.4">
      <c r="A25" s="59" t="s">
        <v>149</v>
      </c>
      <c r="B25" s="67">
        <v>0</v>
      </c>
      <c r="C25" s="44">
        <f>IF(B$3=0,0,B25/B$3)</f>
        <v>0</v>
      </c>
      <c r="E25" s="65" t="s">
        <v>88</v>
      </c>
      <c r="F25" s="62" t="s">
        <v>41</v>
      </c>
      <c r="G25" s="49">
        <v>0</v>
      </c>
      <c r="H25" s="139">
        <f>IF(B$27=0,0,G25/B$27)</f>
        <v>0</v>
      </c>
      <c r="I25" s="100">
        <v>1</v>
      </c>
    </row>
    <row r="26" spans="1:17" x14ac:dyDescent="0.4">
      <c r="A26" s="56" t="s">
        <v>126</v>
      </c>
      <c r="B26" s="151">
        <v>52</v>
      </c>
      <c r="C26" s="152"/>
      <c r="E26" s="65" t="s">
        <v>89</v>
      </c>
      <c r="F26" s="62" t="s">
        <v>42</v>
      </c>
      <c r="G26" s="49">
        <v>0</v>
      </c>
      <c r="H26" s="139">
        <f>IF(B$27=0,0,G26/B$27)</f>
        <v>0</v>
      </c>
      <c r="I26" s="100">
        <v>1</v>
      </c>
    </row>
    <row r="27" spans="1:17" x14ac:dyDescent="0.4">
      <c r="A27" s="59" t="s">
        <v>127</v>
      </c>
      <c r="B27" s="153">
        <v>15</v>
      </c>
      <c r="C27" s="154"/>
      <c r="E27" s="65" t="s">
        <v>90</v>
      </c>
      <c r="F27" s="62" t="s">
        <v>43</v>
      </c>
      <c r="G27" s="49">
        <v>0</v>
      </c>
      <c r="H27" s="139">
        <f>IF(B$27=0,0,G27/B$27)</f>
        <v>0</v>
      </c>
      <c r="I27" s="100">
        <v>1</v>
      </c>
    </row>
    <row r="28" spans="1:17" x14ac:dyDescent="0.4">
      <c r="E28" s="65" t="s">
        <v>92</v>
      </c>
      <c r="F28" s="62" t="s">
        <v>45</v>
      </c>
      <c r="G28" s="49">
        <v>0</v>
      </c>
      <c r="H28" s="139">
        <f>IF(B$27=0,0,G28/B$27)</f>
        <v>0</v>
      </c>
      <c r="I28" s="100">
        <v>1</v>
      </c>
    </row>
    <row r="29" spans="1:17" x14ac:dyDescent="0.4">
      <c r="E29" s="65" t="s">
        <v>93</v>
      </c>
      <c r="F29" s="62" t="s">
        <v>46</v>
      </c>
      <c r="G29" s="49">
        <v>0</v>
      </c>
      <c r="H29" s="139">
        <f>IF(B$27=0,0,G29/B$27)</f>
        <v>0</v>
      </c>
      <c r="I29" s="100">
        <v>1</v>
      </c>
    </row>
    <row r="30" spans="1:17" x14ac:dyDescent="0.4">
      <c r="E30" s="65" t="s">
        <v>95</v>
      </c>
      <c r="F30" s="62" t="s">
        <v>48</v>
      </c>
      <c r="G30" s="49">
        <v>0</v>
      </c>
      <c r="H30" s="139">
        <f>IF(B$27=0,0,G30/B$27)</f>
        <v>0</v>
      </c>
      <c r="I30" s="100">
        <v>1</v>
      </c>
    </row>
    <row r="31" spans="1:17" x14ac:dyDescent="0.4">
      <c r="E31" s="65" t="s">
        <v>96</v>
      </c>
      <c r="F31" s="62" t="s">
        <v>49</v>
      </c>
      <c r="G31" s="49">
        <v>0</v>
      </c>
      <c r="H31" s="139">
        <f>IF(B$27=0,0,G31/B$27)</f>
        <v>0</v>
      </c>
      <c r="I31" s="100">
        <v>3</v>
      </c>
    </row>
    <row r="32" spans="1:17" x14ac:dyDescent="0.4">
      <c r="E32" s="65" t="s">
        <v>97</v>
      </c>
      <c r="F32" s="62" t="s">
        <v>50</v>
      </c>
      <c r="G32" s="49">
        <v>0</v>
      </c>
      <c r="H32" s="139">
        <f>IF(B$27=0,0,G32/B$27)</f>
        <v>0</v>
      </c>
      <c r="I32" s="100">
        <v>1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17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4432D-3748-4976-B1E5-EE557B40B2E4}">
  <sheetPr codeName="Sheet13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5" t="s">
        <v>181</v>
      </c>
      <c r="C1" s="156"/>
      <c r="E1" s="135" t="s">
        <v>177</v>
      </c>
      <c r="F1" s="142" t="s">
        <v>120</v>
      </c>
      <c r="G1" s="141" t="s">
        <v>121</v>
      </c>
      <c r="H1" s="136" t="s">
        <v>122</v>
      </c>
      <c r="I1" s="142" t="s">
        <v>161</v>
      </c>
      <c r="K1" s="36" t="s">
        <v>20</v>
      </c>
      <c r="L1" s="37" t="s">
        <v>125</v>
      </c>
      <c r="M1" s="137"/>
      <c r="N1" s="119" t="s">
        <v>144</v>
      </c>
      <c r="O1" s="36" t="s">
        <v>145</v>
      </c>
      <c r="P1" s="123" t="s">
        <v>121</v>
      </c>
      <c r="Q1" s="107" t="s">
        <v>165</v>
      </c>
    </row>
    <row r="2" spans="1:17" x14ac:dyDescent="0.4">
      <c r="A2" s="56" t="s">
        <v>9</v>
      </c>
      <c r="B2" s="151">
        <v>2</v>
      </c>
      <c r="C2" s="152"/>
      <c r="E2" s="64" t="s">
        <v>69</v>
      </c>
      <c r="F2" s="61" t="s">
        <v>23</v>
      </c>
      <c r="G2" s="48">
        <v>2</v>
      </c>
      <c r="H2" s="138">
        <f>IF(B$27=0,0,G2/B$27)</f>
        <v>1</v>
      </c>
      <c r="I2" s="99">
        <v>2</v>
      </c>
      <c r="K2" s="38">
        <v>0</v>
      </c>
      <c r="L2" s="104">
        <v>0</v>
      </c>
      <c r="N2" s="120" t="s">
        <v>138</v>
      </c>
      <c r="O2" s="127">
        <f t="shared" ref="O2:O7" si="0">IF(P2=0,0,Q2/P2)</f>
        <v>-6250</v>
      </c>
      <c r="P2" s="124">
        <v>2</v>
      </c>
      <c r="Q2" s="108">
        <v>-12500</v>
      </c>
    </row>
    <row r="3" spans="1:17" x14ac:dyDescent="0.4">
      <c r="A3" s="57" t="s">
        <v>8</v>
      </c>
      <c r="B3" s="157">
        <v>16</v>
      </c>
      <c r="C3" s="158"/>
      <c r="E3" s="65" t="s">
        <v>73</v>
      </c>
      <c r="F3" s="62" t="s">
        <v>26</v>
      </c>
      <c r="G3" s="49">
        <v>2</v>
      </c>
      <c r="H3" s="139">
        <f>IF(B$27=0,0,G3/B$27)</f>
        <v>1</v>
      </c>
      <c r="I3" s="100">
        <v>1</v>
      </c>
      <c r="K3" s="40">
        <v>1</v>
      </c>
      <c r="L3" s="105">
        <v>-51.2</v>
      </c>
      <c r="N3" s="121" t="s">
        <v>139</v>
      </c>
      <c r="O3" s="128">
        <f t="shared" si="0"/>
        <v>2950</v>
      </c>
      <c r="P3" s="125">
        <v>2</v>
      </c>
      <c r="Q3" s="109">
        <v>5900</v>
      </c>
    </row>
    <row r="4" spans="1:17" x14ac:dyDescent="0.4">
      <c r="A4" s="57" t="s">
        <v>6</v>
      </c>
      <c r="B4" s="159">
        <v>-93.300000000000011</v>
      </c>
      <c r="C4" s="160"/>
      <c r="E4" s="65" t="s">
        <v>67</v>
      </c>
      <c r="F4" s="62" t="s">
        <v>21</v>
      </c>
      <c r="G4" s="49">
        <v>1</v>
      </c>
      <c r="H4" s="139">
        <f>IF(B$27=0,0,G4/B$27)</f>
        <v>0.5</v>
      </c>
      <c r="I4" s="100">
        <v>2</v>
      </c>
      <c r="K4" s="40">
        <v>2</v>
      </c>
      <c r="L4" s="105">
        <v>-93.300000000000011</v>
      </c>
      <c r="N4" s="121" t="s">
        <v>140</v>
      </c>
      <c r="O4" s="128">
        <f t="shared" si="0"/>
        <v>-6550</v>
      </c>
      <c r="P4" s="125">
        <v>2</v>
      </c>
      <c r="Q4" s="109">
        <v>-13100</v>
      </c>
    </row>
    <row r="5" spans="1:17" x14ac:dyDescent="0.4">
      <c r="A5" s="57" t="s">
        <v>7</v>
      </c>
      <c r="B5" s="161">
        <f>IF(B$2=0,0,B$4/B$2)</f>
        <v>-46.650000000000006</v>
      </c>
      <c r="C5" s="162"/>
      <c r="E5" s="65" t="s">
        <v>68</v>
      </c>
      <c r="F5" s="62" t="s">
        <v>22</v>
      </c>
      <c r="G5" s="49">
        <v>0</v>
      </c>
      <c r="H5" s="139">
        <f>IF(B$27=0,0,G5/B$27)</f>
        <v>0</v>
      </c>
      <c r="I5" s="100">
        <v>5</v>
      </c>
      <c r="N5" s="121" t="s">
        <v>141</v>
      </c>
      <c r="O5" s="128">
        <f t="shared" si="0"/>
        <v>-1800</v>
      </c>
      <c r="P5" s="125">
        <v>2</v>
      </c>
      <c r="Q5" s="109">
        <v>-3600</v>
      </c>
    </row>
    <row r="6" spans="1:17" x14ac:dyDescent="0.4">
      <c r="A6" s="57" t="s">
        <v>1</v>
      </c>
      <c r="B6" s="149">
        <f>IF(B$2=0,0,(B$7*1+B$8*2+B$9*3)/B$2)</f>
        <v>3</v>
      </c>
      <c r="C6" s="150"/>
      <c r="E6" s="65" t="s">
        <v>70</v>
      </c>
      <c r="F6" s="62" t="s">
        <v>24</v>
      </c>
      <c r="G6" s="49">
        <v>0</v>
      </c>
      <c r="H6" s="139">
        <f>IF(B$27=0,0,G6/B$27)</f>
        <v>0</v>
      </c>
      <c r="I6" s="100">
        <v>5</v>
      </c>
      <c r="N6" s="121" t="s">
        <v>142</v>
      </c>
      <c r="O6" s="128">
        <f t="shared" si="0"/>
        <v>-7000</v>
      </c>
      <c r="P6" s="125">
        <v>2</v>
      </c>
      <c r="Q6" s="109">
        <v>-14000</v>
      </c>
    </row>
    <row r="7" spans="1:17" x14ac:dyDescent="0.4">
      <c r="A7" s="57" t="s">
        <v>2</v>
      </c>
      <c r="B7" s="49">
        <v>0</v>
      </c>
      <c r="C7" s="41">
        <f>IF(B$2=0,0,B7/B$2)</f>
        <v>0</v>
      </c>
      <c r="E7" s="65" t="s">
        <v>71</v>
      </c>
      <c r="F7" s="62" t="s">
        <v>25</v>
      </c>
      <c r="G7" s="49">
        <v>0</v>
      </c>
      <c r="H7" s="139">
        <f>IF(B$27=0,0,G7/B$27)</f>
        <v>0</v>
      </c>
      <c r="I7" s="100">
        <v>1</v>
      </c>
      <c r="N7" s="122" t="s">
        <v>143</v>
      </c>
      <c r="O7" s="129">
        <f t="shared" si="0"/>
        <v>-8000</v>
      </c>
      <c r="P7" s="126">
        <v>1</v>
      </c>
      <c r="Q7" s="110">
        <v>-8000</v>
      </c>
    </row>
    <row r="8" spans="1:17" x14ac:dyDescent="0.4">
      <c r="A8" s="57" t="s">
        <v>3</v>
      </c>
      <c r="B8" s="49">
        <v>0</v>
      </c>
      <c r="C8" s="41">
        <f>IF(B$2=0,0,B8/B$2)</f>
        <v>0</v>
      </c>
      <c r="E8" s="65" t="s">
        <v>72</v>
      </c>
      <c r="F8" s="62" t="s">
        <v>12</v>
      </c>
      <c r="G8" s="49">
        <v>0</v>
      </c>
      <c r="H8" s="139">
        <f>IF(B$27=0,0,G8/B$27)</f>
        <v>0</v>
      </c>
      <c r="I8" s="100">
        <v>6</v>
      </c>
      <c r="N8" s="45"/>
      <c r="O8" s="133"/>
      <c r="P8" s="117"/>
      <c r="Q8" s="115"/>
    </row>
    <row r="9" spans="1:17" x14ac:dyDescent="0.4">
      <c r="A9" s="58" t="s">
        <v>4</v>
      </c>
      <c r="B9" s="50">
        <v>2</v>
      </c>
      <c r="C9" s="42">
        <f t="shared" ref="C9" si="1">IF(B$2=0,0,B9/B$2)</f>
        <v>1</v>
      </c>
      <c r="E9" s="65" t="s">
        <v>74</v>
      </c>
      <c r="F9" s="62" t="s">
        <v>27</v>
      </c>
      <c r="G9" s="49">
        <v>0</v>
      </c>
      <c r="H9" s="139">
        <f>IF(B$27=0,0,G9/B$27)</f>
        <v>0</v>
      </c>
      <c r="I9" s="100">
        <v>5</v>
      </c>
      <c r="N9" s="119" t="s">
        <v>173</v>
      </c>
      <c r="O9" s="36" t="s">
        <v>125</v>
      </c>
      <c r="P9" s="123" t="s">
        <v>121</v>
      </c>
      <c r="Q9" s="111" t="s">
        <v>165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75</v>
      </c>
      <c r="F10" s="62" t="s">
        <v>28</v>
      </c>
      <c r="G10" s="49">
        <v>0</v>
      </c>
      <c r="H10" s="139">
        <f>IF(B$27=0,0,G10/B$27)</f>
        <v>0</v>
      </c>
      <c r="I10" s="100">
        <v>3</v>
      </c>
      <c r="N10" s="120" t="s">
        <v>174</v>
      </c>
      <c r="O10" s="130">
        <f>IF(P10=0,0,Q10/P10)</f>
        <v>-46.650000000000006</v>
      </c>
      <c r="P10" s="124">
        <v>2</v>
      </c>
      <c r="Q10" s="112">
        <v>-93.300000000000011</v>
      </c>
    </row>
    <row r="11" spans="1:17" x14ac:dyDescent="0.4">
      <c r="A11" s="58" t="s">
        <v>146</v>
      </c>
      <c r="B11" s="50">
        <v>0</v>
      </c>
      <c r="C11" s="42">
        <f>IF(B$2=0,0,B11/B$2)</f>
        <v>0</v>
      </c>
      <c r="E11" s="65" t="s">
        <v>76</v>
      </c>
      <c r="F11" s="62" t="s">
        <v>29</v>
      </c>
      <c r="G11" s="49">
        <v>0</v>
      </c>
      <c r="H11" s="139">
        <f>IF(B$27=0,0,G11/B$27)</f>
        <v>0</v>
      </c>
      <c r="I11" s="100">
        <v>6</v>
      </c>
      <c r="N11" s="121" t="s">
        <v>175</v>
      </c>
      <c r="O11" s="131">
        <f>IF(P11=0,0,Q11/P11)</f>
        <v>0</v>
      </c>
      <c r="P11" s="125">
        <v>0</v>
      </c>
      <c r="Q11" s="113">
        <v>0</v>
      </c>
    </row>
    <row r="12" spans="1:17" x14ac:dyDescent="0.4">
      <c r="A12" s="59" t="s">
        <v>167</v>
      </c>
      <c r="B12" s="51">
        <v>0</v>
      </c>
      <c r="C12" s="44">
        <f>IF(B$2=0,0,B12/B$2)</f>
        <v>0</v>
      </c>
      <c r="E12" s="65" t="s">
        <v>77</v>
      </c>
      <c r="F12" s="62" t="s">
        <v>30</v>
      </c>
      <c r="G12" s="49">
        <v>0</v>
      </c>
      <c r="H12" s="139">
        <f>IF(B$27=0,0,G12/B$27)</f>
        <v>0</v>
      </c>
      <c r="I12" s="100">
        <v>1</v>
      </c>
      <c r="N12" s="122" t="s">
        <v>176</v>
      </c>
      <c r="O12" s="132">
        <f>IF(P12=0,0,Q12/P12)</f>
        <v>0</v>
      </c>
      <c r="P12" s="126">
        <v>0</v>
      </c>
      <c r="Q12" s="114">
        <v>0</v>
      </c>
    </row>
    <row r="13" spans="1:17" x14ac:dyDescent="0.4">
      <c r="A13" s="60" t="s">
        <v>128</v>
      </c>
      <c r="B13" s="52">
        <v>4</v>
      </c>
      <c r="C13" s="46">
        <f>IF(B$26=0,0,B13/B$26)</f>
        <v>0.25</v>
      </c>
      <c r="E13" s="65" t="s">
        <v>78</v>
      </c>
      <c r="F13" s="62" t="s">
        <v>31</v>
      </c>
      <c r="G13" s="49">
        <v>0</v>
      </c>
      <c r="H13" s="139">
        <f>IF(B$27=0,0,G13/B$27)</f>
        <v>0</v>
      </c>
      <c r="I13" s="100">
        <v>1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</v>
      </c>
      <c r="C14" s="41">
        <f>IF(B$26=0,0,B14/B$26)</f>
        <v>6.25E-2</v>
      </c>
      <c r="E14" s="65" t="s">
        <v>79</v>
      </c>
      <c r="F14" s="62" t="s">
        <v>32</v>
      </c>
      <c r="G14" s="49">
        <v>0</v>
      </c>
      <c r="H14" s="139">
        <f>IF(B$27=0,0,G14/B$27)</f>
        <v>0</v>
      </c>
      <c r="I14" s="100">
        <v>1</v>
      </c>
      <c r="N14" s="119" t="s">
        <v>162</v>
      </c>
      <c r="O14" s="36" t="s">
        <v>125</v>
      </c>
      <c r="P14" s="123" t="s">
        <v>121</v>
      </c>
      <c r="Q14" s="111" t="s">
        <v>165</v>
      </c>
    </row>
    <row r="15" spans="1:17" x14ac:dyDescent="0.4">
      <c r="A15" s="56" t="s">
        <v>130</v>
      </c>
      <c r="B15" s="48">
        <v>1</v>
      </c>
      <c r="C15" s="39">
        <f>IF(B$13=0,0,B15/B$13)</f>
        <v>0.25</v>
      </c>
      <c r="E15" s="65" t="s">
        <v>80</v>
      </c>
      <c r="F15" s="62" t="s">
        <v>33</v>
      </c>
      <c r="G15" s="49">
        <v>0</v>
      </c>
      <c r="H15" s="139">
        <f>IF(B$27=0,0,G15/B$27)</f>
        <v>0</v>
      </c>
      <c r="I15" s="100">
        <v>1</v>
      </c>
      <c r="N15" s="120" t="s">
        <v>182</v>
      </c>
      <c r="O15" s="130">
        <f>IF(P15=0,0,Q15/P15)</f>
        <v>-42.800000000000004</v>
      </c>
      <c r="P15" s="124">
        <v>2</v>
      </c>
      <c r="Q15" s="112">
        <v>-85.600000000000009</v>
      </c>
    </row>
    <row r="16" spans="1:17" x14ac:dyDescent="0.4">
      <c r="A16" s="56" t="s">
        <v>131</v>
      </c>
      <c r="B16" s="48">
        <v>0</v>
      </c>
      <c r="C16" s="39">
        <f>IF(B$14=0,0,B16/B$14)</f>
        <v>0</v>
      </c>
      <c r="E16" s="65" t="s">
        <v>81</v>
      </c>
      <c r="F16" s="62" t="s">
        <v>34</v>
      </c>
      <c r="G16" s="49">
        <v>0</v>
      </c>
      <c r="H16" s="139">
        <f>IF(B$27=0,0,G16/B$27)</f>
        <v>0</v>
      </c>
      <c r="I16" s="100">
        <v>1</v>
      </c>
      <c r="N16" s="121" t="s">
        <v>133</v>
      </c>
      <c r="O16" s="131">
        <f>IF(P16=0,0,Q16/P16)</f>
        <v>-91.300000000000011</v>
      </c>
      <c r="P16" s="125">
        <v>1</v>
      </c>
      <c r="Q16" s="113">
        <v>-91.300000000000011</v>
      </c>
    </row>
    <row r="17" spans="1:17" x14ac:dyDescent="0.4">
      <c r="A17" s="56" t="s">
        <v>10</v>
      </c>
      <c r="B17" s="48">
        <f>B19+B18</f>
        <v>2</v>
      </c>
      <c r="C17" s="39">
        <f>IF(B$3=0,0,B17/B$3)</f>
        <v>0.125</v>
      </c>
      <c r="E17" s="65" t="s">
        <v>82</v>
      </c>
      <c r="F17" s="62" t="s">
        <v>35</v>
      </c>
      <c r="G17" s="49">
        <v>0</v>
      </c>
      <c r="H17" s="139">
        <f>IF(B$27=0,0,G17/B$27)</f>
        <v>0</v>
      </c>
      <c r="I17" s="100">
        <v>4</v>
      </c>
      <c r="N17" s="121" t="s">
        <v>134</v>
      </c>
      <c r="O17" s="131">
        <f>IF(P17=0,0,Q17/P17)</f>
        <v>-103</v>
      </c>
      <c r="P17" s="125">
        <v>1</v>
      </c>
      <c r="Q17" s="113">
        <v>-103</v>
      </c>
    </row>
    <row r="18" spans="1:17" x14ac:dyDescent="0.4">
      <c r="A18" s="57" t="s">
        <v>12</v>
      </c>
      <c r="B18" s="49">
        <v>0</v>
      </c>
      <c r="C18" s="41">
        <f>IF(B$17=0,0,B18/B$17)</f>
        <v>0</v>
      </c>
      <c r="E18" s="65" t="s">
        <v>83</v>
      </c>
      <c r="F18" s="62" t="s">
        <v>36</v>
      </c>
      <c r="G18" s="49">
        <v>0</v>
      </c>
      <c r="H18" s="139">
        <f>IF(B$27=0,0,G18/B$27)</f>
        <v>0</v>
      </c>
      <c r="I18" s="100">
        <v>1</v>
      </c>
    </row>
    <row r="19" spans="1:17" x14ac:dyDescent="0.4">
      <c r="A19" s="57" t="s">
        <v>11</v>
      </c>
      <c r="B19" s="49">
        <v>2</v>
      </c>
      <c r="C19" s="41">
        <f>IF(B$17=0,0,B19/B$17)</f>
        <v>1</v>
      </c>
      <c r="E19" s="65" t="s">
        <v>84</v>
      </c>
      <c r="F19" s="62" t="s">
        <v>37</v>
      </c>
      <c r="G19" s="49">
        <v>0</v>
      </c>
      <c r="H19" s="139">
        <f>IF(B$27=0,0,G19/B$27)</f>
        <v>0</v>
      </c>
      <c r="I19" s="100">
        <v>1</v>
      </c>
    </row>
    <row r="20" spans="1:17" x14ac:dyDescent="0.4">
      <c r="A20" s="57" t="s">
        <v>13</v>
      </c>
      <c r="B20" s="49">
        <v>7</v>
      </c>
      <c r="C20" s="41">
        <f>IF(B$3=0,0,B20/B$3)</f>
        <v>0.4375</v>
      </c>
      <c r="E20" s="65" t="s">
        <v>85</v>
      </c>
      <c r="F20" s="62" t="s">
        <v>38</v>
      </c>
      <c r="G20" s="49">
        <v>0</v>
      </c>
      <c r="H20" s="139">
        <f>IF(B$27=0,0,G20/B$27)</f>
        <v>0</v>
      </c>
      <c r="I20" s="100">
        <v>1</v>
      </c>
    </row>
    <row r="21" spans="1:17" x14ac:dyDescent="0.4">
      <c r="A21" s="57" t="s">
        <v>5</v>
      </c>
      <c r="B21" s="53">
        <f>IF(B$17=0,0,C21/B$17)</f>
        <v>2950</v>
      </c>
      <c r="C21" s="43">
        <v>5900</v>
      </c>
      <c r="E21" s="65" t="s">
        <v>86</v>
      </c>
      <c r="F21" s="62" t="s">
        <v>39</v>
      </c>
      <c r="G21" s="49">
        <v>0</v>
      </c>
      <c r="H21" s="139">
        <f>IF(B$27=0,0,G21/B$27)</f>
        <v>0</v>
      </c>
      <c r="I21" s="100">
        <v>1</v>
      </c>
    </row>
    <row r="22" spans="1:17" x14ac:dyDescent="0.4">
      <c r="A22" s="59" t="s">
        <v>14</v>
      </c>
      <c r="B22" s="54">
        <f>IF(B$20=0,0,C22/B$20)</f>
        <v>-5014.2857142857147</v>
      </c>
      <c r="C22" s="47">
        <v>-35100</v>
      </c>
      <c r="E22" s="65" t="s">
        <v>87</v>
      </c>
      <c r="F22" s="62" t="s">
        <v>40</v>
      </c>
      <c r="G22" s="49">
        <v>0</v>
      </c>
      <c r="H22" s="139">
        <f>IF(B$27=0,0,G22/B$27)</f>
        <v>0</v>
      </c>
      <c r="I22" s="100">
        <v>1</v>
      </c>
    </row>
    <row r="23" spans="1:17" x14ac:dyDescent="0.4">
      <c r="A23" s="96" t="s">
        <v>148</v>
      </c>
      <c r="B23" s="147">
        <v>1</v>
      </c>
      <c r="C23" s="148"/>
      <c r="E23" s="65" t="s">
        <v>88</v>
      </c>
      <c r="F23" s="62" t="s">
        <v>41</v>
      </c>
      <c r="G23" s="49">
        <v>0</v>
      </c>
      <c r="H23" s="139">
        <f>IF(B$27=0,0,G23/B$27)</f>
        <v>0</v>
      </c>
      <c r="I23" s="100">
        <v>1</v>
      </c>
    </row>
    <row r="24" spans="1:17" x14ac:dyDescent="0.4">
      <c r="A24" s="60" t="s">
        <v>159</v>
      </c>
      <c r="B24" s="145">
        <v>12900</v>
      </c>
      <c r="C24" s="146"/>
      <c r="E24" s="65" t="s">
        <v>89</v>
      </c>
      <c r="F24" s="62" t="s">
        <v>42</v>
      </c>
      <c r="G24" s="49">
        <v>0</v>
      </c>
      <c r="H24" s="139">
        <f>IF(B$27=0,0,G24/B$27)</f>
        <v>0</v>
      </c>
      <c r="I24" s="100">
        <v>1</v>
      </c>
    </row>
    <row r="25" spans="1:17" x14ac:dyDescent="0.4">
      <c r="A25" s="59" t="s">
        <v>149</v>
      </c>
      <c r="B25" s="67">
        <v>1</v>
      </c>
      <c r="C25" s="44">
        <f>IF(B$3=0,0,B25/B$3)</f>
        <v>6.25E-2</v>
      </c>
      <c r="E25" s="65" t="s">
        <v>90</v>
      </c>
      <c r="F25" s="62" t="s">
        <v>43</v>
      </c>
      <c r="G25" s="49">
        <v>0</v>
      </c>
      <c r="H25" s="139">
        <f>IF(B$27=0,0,G25/B$27)</f>
        <v>0</v>
      </c>
      <c r="I25" s="100">
        <v>1</v>
      </c>
    </row>
    <row r="26" spans="1:17" x14ac:dyDescent="0.4">
      <c r="A26" s="56" t="s">
        <v>126</v>
      </c>
      <c r="B26" s="151">
        <v>16</v>
      </c>
      <c r="C26" s="152"/>
      <c r="E26" s="65" t="s">
        <v>91</v>
      </c>
      <c r="F26" s="62" t="s">
        <v>44</v>
      </c>
      <c r="G26" s="49">
        <v>0</v>
      </c>
      <c r="H26" s="139">
        <f>IF(B$27=0,0,G26/B$27)</f>
        <v>0</v>
      </c>
      <c r="I26" s="100">
        <v>5</v>
      </c>
    </row>
    <row r="27" spans="1:17" x14ac:dyDescent="0.4">
      <c r="A27" s="59" t="s">
        <v>127</v>
      </c>
      <c r="B27" s="153">
        <v>2</v>
      </c>
      <c r="C27" s="154"/>
      <c r="E27" s="65" t="s">
        <v>92</v>
      </c>
      <c r="F27" s="62" t="s">
        <v>45</v>
      </c>
      <c r="G27" s="49">
        <v>0</v>
      </c>
      <c r="H27" s="139">
        <f>IF(B$27=0,0,G27/B$27)</f>
        <v>0</v>
      </c>
      <c r="I27" s="100">
        <v>1</v>
      </c>
    </row>
    <row r="28" spans="1:17" x14ac:dyDescent="0.4">
      <c r="E28" s="65" t="s">
        <v>93</v>
      </c>
      <c r="F28" s="62" t="s">
        <v>46</v>
      </c>
      <c r="G28" s="49">
        <v>0</v>
      </c>
      <c r="H28" s="139">
        <f>IF(B$27=0,0,G28/B$27)</f>
        <v>0</v>
      </c>
      <c r="I28" s="100">
        <v>1</v>
      </c>
    </row>
    <row r="29" spans="1:17" x14ac:dyDescent="0.4">
      <c r="E29" s="65" t="s">
        <v>94</v>
      </c>
      <c r="F29" s="62" t="s">
        <v>47</v>
      </c>
      <c r="G29" s="49">
        <v>0</v>
      </c>
      <c r="H29" s="139">
        <f>IF(B$27=0,0,G29/B$27)</f>
        <v>0</v>
      </c>
      <c r="I29" s="100">
        <v>6</v>
      </c>
    </row>
    <row r="30" spans="1:17" x14ac:dyDescent="0.4">
      <c r="E30" s="65" t="s">
        <v>95</v>
      </c>
      <c r="F30" s="62" t="s">
        <v>48</v>
      </c>
      <c r="G30" s="49">
        <v>0</v>
      </c>
      <c r="H30" s="139">
        <f>IF(B$27=0,0,G30/B$27)</f>
        <v>0</v>
      </c>
      <c r="I30" s="100">
        <v>1</v>
      </c>
    </row>
    <row r="31" spans="1:17" x14ac:dyDescent="0.4">
      <c r="E31" s="65" t="s">
        <v>96</v>
      </c>
      <c r="F31" s="62" t="s">
        <v>49</v>
      </c>
      <c r="G31" s="49">
        <v>0</v>
      </c>
      <c r="H31" s="139">
        <f>IF(B$27=0,0,G31/B$27)</f>
        <v>0</v>
      </c>
      <c r="I31" s="100">
        <v>3</v>
      </c>
    </row>
    <row r="32" spans="1:17" x14ac:dyDescent="0.4">
      <c r="E32" s="65" t="s">
        <v>97</v>
      </c>
      <c r="F32" s="62" t="s">
        <v>50</v>
      </c>
      <c r="G32" s="49">
        <v>0</v>
      </c>
      <c r="H32" s="139">
        <f>IF(B$27=0,0,G32/B$27)</f>
        <v>0</v>
      </c>
      <c r="I32" s="100">
        <v>1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17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71235-DE34-4D00-8361-953D1DA6191F}">
  <sheetPr codeName="Sheet15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5" t="s">
        <v>182</v>
      </c>
      <c r="C1" s="156"/>
      <c r="E1" s="135" t="s">
        <v>177</v>
      </c>
      <c r="F1" s="142" t="s">
        <v>120</v>
      </c>
      <c r="G1" s="141" t="s">
        <v>121</v>
      </c>
      <c r="H1" s="136" t="s">
        <v>122</v>
      </c>
      <c r="I1" s="142" t="s">
        <v>161</v>
      </c>
      <c r="K1" s="36" t="s">
        <v>20</v>
      </c>
      <c r="L1" s="37" t="s">
        <v>125</v>
      </c>
      <c r="M1" s="137"/>
      <c r="N1" s="119" t="s">
        <v>144</v>
      </c>
      <c r="O1" s="36" t="s">
        <v>145</v>
      </c>
      <c r="P1" s="123" t="s">
        <v>121</v>
      </c>
      <c r="Q1" s="107" t="s">
        <v>165</v>
      </c>
    </row>
    <row r="2" spans="1:17" x14ac:dyDescent="0.4">
      <c r="A2" s="56" t="s">
        <v>9</v>
      </c>
      <c r="B2" s="151">
        <v>2</v>
      </c>
      <c r="C2" s="152"/>
      <c r="E2" s="64" t="s">
        <v>76</v>
      </c>
      <c r="F2" s="61" t="s">
        <v>29</v>
      </c>
      <c r="G2" s="48">
        <v>2</v>
      </c>
      <c r="H2" s="138">
        <f>IF(B$27=0,0,G2/B$27)</f>
        <v>1</v>
      </c>
      <c r="I2" s="99">
        <v>1</v>
      </c>
      <c r="K2" s="38">
        <v>0</v>
      </c>
      <c r="L2" s="104">
        <v>0</v>
      </c>
      <c r="N2" s="120" t="s">
        <v>138</v>
      </c>
      <c r="O2" s="127">
        <f t="shared" ref="O2:O7" si="0">IF(P2=0,0,Q2/P2)</f>
        <v>7000</v>
      </c>
      <c r="P2" s="124">
        <v>2</v>
      </c>
      <c r="Q2" s="108">
        <v>14000</v>
      </c>
    </row>
    <row r="3" spans="1:17" x14ac:dyDescent="0.4">
      <c r="A3" s="57" t="s">
        <v>8</v>
      </c>
      <c r="B3" s="157">
        <v>16</v>
      </c>
      <c r="C3" s="158"/>
      <c r="E3" s="65" t="s">
        <v>94</v>
      </c>
      <c r="F3" s="62" t="s">
        <v>47</v>
      </c>
      <c r="G3" s="49">
        <v>1</v>
      </c>
      <c r="H3" s="139">
        <f>IF(B$27=0,0,G3/B$27)</f>
        <v>0.5</v>
      </c>
      <c r="I3" s="100">
        <v>1</v>
      </c>
      <c r="K3" s="40">
        <v>1</v>
      </c>
      <c r="L3" s="105">
        <v>11.1</v>
      </c>
      <c r="N3" s="121" t="s">
        <v>139</v>
      </c>
      <c r="O3" s="128">
        <f t="shared" si="0"/>
        <v>-1950</v>
      </c>
      <c r="P3" s="125">
        <v>2</v>
      </c>
      <c r="Q3" s="109">
        <v>-3900</v>
      </c>
    </row>
    <row r="4" spans="1:17" x14ac:dyDescent="0.4">
      <c r="A4" s="57" t="s">
        <v>6</v>
      </c>
      <c r="B4" s="159">
        <v>-7.7000000000000011</v>
      </c>
      <c r="C4" s="160"/>
      <c r="E4" s="65" t="s">
        <v>67</v>
      </c>
      <c r="F4" s="62" t="s">
        <v>21</v>
      </c>
      <c r="G4" s="49">
        <v>0</v>
      </c>
      <c r="H4" s="139">
        <f>IF(B$27=0,0,G4/B$27)</f>
        <v>0</v>
      </c>
      <c r="I4" s="100">
        <v>6</v>
      </c>
      <c r="K4" s="40">
        <v>2</v>
      </c>
      <c r="L4" s="105">
        <v>-7.7000000000000011</v>
      </c>
      <c r="N4" s="121" t="s">
        <v>140</v>
      </c>
      <c r="O4" s="128">
        <f t="shared" si="0"/>
        <v>-3750</v>
      </c>
      <c r="P4" s="125">
        <v>2</v>
      </c>
      <c r="Q4" s="109">
        <v>-7500</v>
      </c>
    </row>
    <row r="5" spans="1:17" x14ac:dyDescent="0.4">
      <c r="A5" s="57" t="s">
        <v>7</v>
      </c>
      <c r="B5" s="161">
        <f>IF(B$2=0,0,B$4/B$2)</f>
        <v>-3.8500000000000005</v>
      </c>
      <c r="C5" s="162"/>
      <c r="E5" s="65" t="s">
        <v>68</v>
      </c>
      <c r="F5" s="62" t="s">
        <v>22</v>
      </c>
      <c r="G5" s="49">
        <v>0</v>
      </c>
      <c r="H5" s="139">
        <f>IF(B$27=0,0,G5/B$27)</f>
        <v>0</v>
      </c>
      <c r="I5" s="100">
        <v>5</v>
      </c>
      <c r="N5" s="121" t="s">
        <v>141</v>
      </c>
      <c r="O5" s="128">
        <f t="shared" si="0"/>
        <v>0</v>
      </c>
      <c r="P5" s="125">
        <v>2</v>
      </c>
      <c r="Q5" s="109">
        <v>0</v>
      </c>
    </row>
    <row r="6" spans="1:17" x14ac:dyDescent="0.4">
      <c r="A6" s="57" t="s">
        <v>1</v>
      </c>
      <c r="B6" s="149">
        <f>IF(B$2=0,0,(B$7*1+B$8*2+B$9*3)/B$2)</f>
        <v>2</v>
      </c>
      <c r="C6" s="150"/>
      <c r="E6" s="65" t="s">
        <v>69</v>
      </c>
      <c r="F6" s="62" t="s">
        <v>23</v>
      </c>
      <c r="G6" s="49">
        <v>0</v>
      </c>
      <c r="H6" s="139">
        <f>IF(B$27=0,0,G6/B$27)</f>
        <v>0</v>
      </c>
      <c r="I6" s="100">
        <v>7</v>
      </c>
      <c r="N6" s="121" t="s">
        <v>142</v>
      </c>
      <c r="O6" s="128">
        <f t="shared" si="0"/>
        <v>-6650</v>
      </c>
      <c r="P6" s="125">
        <v>2</v>
      </c>
      <c r="Q6" s="109">
        <v>-13300</v>
      </c>
    </row>
    <row r="7" spans="1:17" x14ac:dyDescent="0.4">
      <c r="A7" s="57" t="s">
        <v>2</v>
      </c>
      <c r="B7" s="49">
        <v>0</v>
      </c>
      <c r="C7" s="41">
        <f>IF(B$2=0,0,B7/B$2)</f>
        <v>0</v>
      </c>
      <c r="E7" s="65" t="s">
        <v>70</v>
      </c>
      <c r="F7" s="62" t="s">
        <v>24</v>
      </c>
      <c r="G7" s="49">
        <v>0</v>
      </c>
      <c r="H7" s="139">
        <f>IF(B$27=0,0,G7/B$27)</f>
        <v>0</v>
      </c>
      <c r="I7" s="100">
        <v>5</v>
      </c>
      <c r="N7" s="122" t="s">
        <v>143</v>
      </c>
      <c r="O7" s="129">
        <f t="shared" si="0"/>
        <v>0</v>
      </c>
      <c r="P7" s="126">
        <v>1</v>
      </c>
      <c r="Q7" s="110">
        <v>0</v>
      </c>
    </row>
    <row r="8" spans="1:17" x14ac:dyDescent="0.4">
      <c r="A8" s="57" t="s">
        <v>3</v>
      </c>
      <c r="B8" s="49">
        <v>2</v>
      </c>
      <c r="C8" s="41">
        <f>IF(B$2=0,0,B8/B$2)</f>
        <v>1</v>
      </c>
      <c r="E8" s="65" t="s">
        <v>71</v>
      </c>
      <c r="F8" s="62" t="s">
        <v>25</v>
      </c>
      <c r="G8" s="49">
        <v>0</v>
      </c>
      <c r="H8" s="139">
        <f>IF(B$27=0,0,G8/B$27)</f>
        <v>0</v>
      </c>
      <c r="I8" s="100">
        <v>1</v>
      </c>
      <c r="N8" s="45"/>
      <c r="O8" s="133"/>
      <c r="P8" s="117"/>
      <c r="Q8" s="115"/>
    </row>
    <row r="9" spans="1:17" x14ac:dyDescent="0.4">
      <c r="A9" s="58" t="s">
        <v>4</v>
      </c>
      <c r="B9" s="50">
        <v>0</v>
      </c>
      <c r="C9" s="42">
        <f t="shared" ref="C9" si="1">IF(B$2=0,0,B9/B$2)</f>
        <v>0</v>
      </c>
      <c r="E9" s="65" t="s">
        <v>72</v>
      </c>
      <c r="F9" s="62" t="s">
        <v>12</v>
      </c>
      <c r="G9" s="49">
        <v>0</v>
      </c>
      <c r="H9" s="139">
        <f>IF(B$27=0,0,G9/B$27)</f>
        <v>0</v>
      </c>
      <c r="I9" s="100">
        <v>6</v>
      </c>
      <c r="N9" s="119" t="s">
        <v>173</v>
      </c>
      <c r="O9" s="36" t="s">
        <v>125</v>
      </c>
      <c r="P9" s="123" t="s">
        <v>121</v>
      </c>
      <c r="Q9" s="111" t="s">
        <v>165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73</v>
      </c>
      <c r="F10" s="62" t="s">
        <v>26</v>
      </c>
      <c r="G10" s="49">
        <v>0</v>
      </c>
      <c r="H10" s="139">
        <f>IF(B$27=0,0,G10/B$27)</f>
        <v>0</v>
      </c>
      <c r="I10" s="100">
        <v>6</v>
      </c>
      <c r="N10" s="120" t="s">
        <v>174</v>
      </c>
      <c r="O10" s="130">
        <f>IF(P10=0,0,Q10/P10)</f>
        <v>0</v>
      </c>
      <c r="P10" s="124">
        <v>0</v>
      </c>
      <c r="Q10" s="112">
        <v>0</v>
      </c>
    </row>
    <row r="11" spans="1:17" x14ac:dyDescent="0.4">
      <c r="A11" s="58" t="s">
        <v>146</v>
      </c>
      <c r="B11" s="50">
        <v>0</v>
      </c>
      <c r="C11" s="42">
        <f>IF(B$2=0,0,B11/B$2)</f>
        <v>0</v>
      </c>
      <c r="E11" s="65" t="s">
        <v>74</v>
      </c>
      <c r="F11" s="62" t="s">
        <v>27</v>
      </c>
      <c r="G11" s="49">
        <v>0</v>
      </c>
      <c r="H11" s="139">
        <f>IF(B$27=0,0,G11/B$27)</f>
        <v>0</v>
      </c>
      <c r="I11" s="100">
        <v>5</v>
      </c>
      <c r="N11" s="121" t="s">
        <v>175</v>
      </c>
      <c r="O11" s="131">
        <f>IF(P11=0,0,Q11/P11)</f>
        <v>11.1</v>
      </c>
      <c r="P11" s="125">
        <v>1</v>
      </c>
      <c r="Q11" s="113">
        <v>11.1</v>
      </c>
    </row>
    <row r="12" spans="1:17" x14ac:dyDescent="0.4">
      <c r="A12" s="59" t="s">
        <v>167</v>
      </c>
      <c r="B12" s="51">
        <v>0</v>
      </c>
      <c r="C12" s="44">
        <f>IF(B$2=0,0,B12/B$2)</f>
        <v>0</v>
      </c>
      <c r="E12" s="65" t="s">
        <v>75</v>
      </c>
      <c r="F12" s="62" t="s">
        <v>28</v>
      </c>
      <c r="G12" s="49">
        <v>0</v>
      </c>
      <c r="H12" s="139">
        <f>IF(B$27=0,0,G12/B$27)</f>
        <v>0</v>
      </c>
      <c r="I12" s="100">
        <v>3</v>
      </c>
      <c r="N12" s="122" t="s">
        <v>176</v>
      </c>
      <c r="O12" s="132">
        <f>IF(P12=0,0,Q12/P12)</f>
        <v>-18.8</v>
      </c>
      <c r="P12" s="126">
        <v>1</v>
      </c>
      <c r="Q12" s="114">
        <v>-18.8</v>
      </c>
    </row>
    <row r="13" spans="1:17" x14ac:dyDescent="0.4">
      <c r="A13" s="60" t="s">
        <v>128</v>
      </c>
      <c r="B13" s="52">
        <v>2</v>
      </c>
      <c r="C13" s="46">
        <f>IF(B$26=0,0,B13/B$26)</f>
        <v>0.125</v>
      </c>
      <c r="E13" s="65" t="s">
        <v>77</v>
      </c>
      <c r="F13" s="62" t="s">
        <v>30</v>
      </c>
      <c r="G13" s="49">
        <v>0</v>
      </c>
      <c r="H13" s="139">
        <f>IF(B$27=0,0,G13/B$27)</f>
        <v>0</v>
      </c>
      <c r="I13" s="100">
        <v>1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6</v>
      </c>
      <c r="C14" s="41">
        <f>IF(B$26=0,0,B14/B$26)</f>
        <v>0.375</v>
      </c>
      <c r="E14" s="65" t="s">
        <v>78</v>
      </c>
      <c r="F14" s="62" t="s">
        <v>31</v>
      </c>
      <c r="G14" s="49">
        <v>0</v>
      </c>
      <c r="H14" s="139">
        <f>IF(B$27=0,0,G14/B$27)</f>
        <v>0</v>
      </c>
      <c r="I14" s="100">
        <v>1</v>
      </c>
      <c r="N14" s="119" t="s">
        <v>162</v>
      </c>
      <c r="O14" s="36" t="s">
        <v>125</v>
      </c>
      <c r="P14" s="123" t="s">
        <v>121</v>
      </c>
      <c r="Q14" s="111" t="s">
        <v>165</v>
      </c>
    </row>
    <row r="15" spans="1:17" x14ac:dyDescent="0.4">
      <c r="A15" s="56" t="s">
        <v>130</v>
      </c>
      <c r="B15" s="48">
        <v>0</v>
      </c>
      <c r="C15" s="39">
        <f>IF(B$13=0,0,B15/B$13)</f>
        <v>0</v>
      </c>
      <c r="E15" s="65" t="s">
        <v>79</v>
      </c>
      <c r="F15" s="62" t="s">
        <v>32</v>
      </c>
      <c r="G15" s="49">
        <v>0</v>
      </c>
      <c r="H15" s="139">
        <f>IF(B$27=0,0,G15/B$27)</f>
        <v>0</v>
      </c>
      <c r="I15" s="100">
        <v>1</v>
      </c>
      <c r="N15" s="120" t="s">
        <v>181</v>
      </c>
      <c r="O15" s="130">
        <f>IF(P15=0,0,Q15/P15)</f>
        <v>42.8</v>
      </c>
      <c r="P15" s="124">
        <v>2</v>
      </c>
      <c r="Q15" s="112">
        <v>85.6</v>
      </c>
    </row>
    <row r="16" spans="1:17" x14ac:dyDescent="0.4">
      <c r="A16" s="56" t="s">
        <v>131</v>
      </c>
      <c r="B16" s="48">
        <v>1</v>
      </c>
      <c r="C16" s="39">
        <f>IF(B$14=0,0,B16/B$14)</f>
        <v>0.16666666666666666</v>
      </c>
      <c r="E16" s="65" t="s">
        <v>80</v>
      </c>
      <c r="F16" s="62" t="s">
        <v>33</v>
      </c>
      <c r="G16" s="49">
        <v>0</v>
      </c>
      <c r="H16" s="139">
        <f>IF(B$27=0,0,G16/B$27)</f>
        <v>0</v>
      </c>
      <c r="I16" s="100">
        <v>1</v>
      </c>
      <c r="N16" s="121" t="s">
        <v>133</v>
      </c>
      <c r="O16" s="131">
        <f>IF(P16=0,0,Q16/P16)</f>
        <v>-29</v>
      </c>
      <c r="P16" s="125">
        <v>1</v>
      </c>
      <c r="Q16" s="113">
        <v>-29</v>
      </c>
    </row>
    <row r="17" spans="1:17" x14ac:dyDescent="0.4">
      <c r="A17" s="56" t="s">
        <v>10</v>
      </c>
      <c r="B17" s="48">
        <f>B19+B18</f>
        <v>2</v>
      </c>
      <c r="C17" s="39">
        <f>IF(B$3=0,0,B17/B$3)</f>
        <v>0.125</v>
      </c>
      <c r="E17" s="65" t="s">
        <v>81</v>
      </c>
      <c r="F17" s="62" t="s">
        <v>34</v>
      </c>
      <c r="G17" s="49">
        <v>0</v>
      </c>
      <c r="H17" s="139">
        <f>IF(B$27=0,0,G17/B$27)</f>
        <v>0</v>
      </c>
      <c r="I17" s="100">
        <v>1</v>
      </c>
      <c r="N17" s="121" t="s">
        <v>134</v>
      </c>
      <c r="O17" s="131">
        <f>IF(P17=0,0,Q17/P17)</f>
        <v>-79.7</v>
      </c>
      <c r="P17" s="125">
        <v>1</v>
      </c>
      <c r="Q17" s="113">
        <v>-79.7</v>
      </c>
    </row>
    <row r="18" spans="1:17" x14ac:dyDescent="0.4">
      <c r="A18" s="57" t="s">
        <v>12</v>
      </c>
      <c r="B18" s="49">
        <v>1</v>
      </c>
      <c r="C18" s="41">
        <f>IF(B$17=0,0,B18/B$17)</f>
        <v>0.5</v>
      </c>
      <c r="E18" s="65" t="s">
        <v>82</v>
      </c>
      <c r="F18" s="62" t="s">
        <v>35</v>
      </c>
      <c r="G18" s="49">
        <v>0</v>
      </c>
      <c r="H18" s="139">
        <f>IF(B$27=0,0,G18/B$27)</f>
        <v>0</v>
      </c>
      <c r="I18" s="100">
        <v>4</v>
      </c>
    </row>
    <row r="19" spans="1:17" x14ac:dyDescent="0.4">
      <c r="A19" s="57" t="s">
        <v>11</v>
      </c>
      <c r="B19" s="49">
        <v>1</v>
      </c>
      <c r="C19" s="41">
        <f>IF(B$17=0,0,B19/B$17)</f>
        <v>0.5</v>
      </c>
      <c r="E19" s="65" t="s">
        <v>83</v>
      </c>
      <c r="F19" s="62" t="s">
        <v>36</v>
      </c>
      <c r="G19" s="49">
        <v>0</v>
      </c>
      <c r="H19" s="139">
        <f>IF(B$27=0,0,G19/B$27)</f>
        <v>0</v>
      </c>
      <c r="I19" s="100">
        <v>1</v>
      </c>
    </row>
    <row r="20" spans="1:17" x14ac:dyDescent="0.4">
      <c r="A20" s="57" t="s">
        <v>13</v>
      </c>
      <c r="B20" s="49">
        <v>2</v>
      </c>
      <c r="C20" s="41">
        <f>IF(B$3=0,0,B20/B$3)</f>
        <v>0.125</v>
      </c>
      <c r="E20" s="65" t="s">
        <v>84</v>
      </c>
      <c r="F20" s="62" t="s">
        <v>37</v>
      </c>
      <c r="G20" s="49">
        <v>0</v>
      </c>
      <c r="H20" s="139">
        <f>IF(B$27=0,0,G20/B$27)</f>
        <v>0</v>
      </c>
      <c r="I20" s="100">
        <v>1</v>
      </c>
    </row>
    <row r="21" spans="1:17" x14ac:dyDescent="0.4">
      <c r="A21" s="57" t="s">
        <v>5</v>
      </c>
      <c r="B21" s="53">
        <f>IF(B$17=0,0,C21/B$17)</f>
        <v>5050</v>
      </c>
      <c r="C21" s="43">
        <v>10100</v>
      </c>
      <c r="E21" s="65" t="s">
        <v>85</v>
      </c>
      <c r="F21" s="62" t="s">
        <v>38</v>
      </c>
      <c r="G21" s="49">
        <v>0</v>
      </c>
      <c r="H21" s="139">
        <f>IF(B$27=0,0,G21/B$27)</f>
        <v>0</v>
      </c>
      <c r="I21" s="100">
        <v>1</v>
      </c>
    </row>
    <row r="22" spans="1:17" x14ac:dyDescent="0.4">
      <c r="A22" s="59" t="s">
        <v>14</v>
      </c>
      <c r="B22" s="54">
        <f>IF(B$20=0,0,C22/B$20)</f>
        <v>-6750</v>
      </c>
      <c r="C22" s="47">
        <v>-13500</v>
      </c>
      <c r="E22" s="65" t="s">
        <v>86</v>
      </c>
      <c r="F22" s="62" t="s">
        <v>39</v>
      </c>
      <c r="G22" s="49">
        <v>0</v>
      </c>
      <c r="H22" s="139">
        <f>IF(B$27=0,0,G22/B$27)</f>
        <v>0</v>
      </c>
      <c r="I22" s="100">
        <v>1</v>
      </c>
    </row>
    <row r="23" spans="1:17" x14ac:dyDescent="0.4">
      <c r="A23" s="96" t="s">
        <v>148</v>
      </c>
      <c r="B23" s="147">
        <v>1</v>
      </c>
      <c r="C23" s="148"/>
      <c r="E23" s="65" t="s">
        <v>87</v>
      </c>
      <c r="F23" s="62" t="s">
        <v>40</v>
      </c>
      <c r="G23" s="49">
        <v>0</v>
      </c>
      <c r="H23" s="139">
        <f>IF(B$27=0,0,G23/B$27)</f>
        <v>0</v>
      </c>
      <c r="I23" s="100">
        <v>1</v>
      </c>
    </row>
    <row r="24" spans="1:17" x14ac:dyDescent="0.4">
      <c r="A24" s="60" t="s">
        <v>159</v>
      </c>
      <c r="B24" s="145">
        <v>46100</v>
      </c>
      <c r="C24" s="146"/>
      <c r="E24" s="65" t="s">
        <v>88</v>
      </c>
      <c r="F24" s="62" t="s">
        <v>41</v>
      </c>
      <c r="G24" s="49">
        <v>0</v>
      </c>
      <c r="H24" s="139">
        <f>IF(B$27=0,0,G24/B$27)</f>
        <v>0</v>
      </c>
      <c r="I24" s="100">
        <v>1</v>
      </c>
    </row>
    <row r="25" spans="1:17" x14ac:dyDescent="0.4">
      <c r="A25" s="59" t="s">
        <v>149</v>
      </c>
      <c r="B25" s="67">
        <v>0</v>
      </c>
      <c r="C25" s="44">
        <f>IF(B$3=0,0,B25/B$3)</f>
        <v>0</v>
      </c>
      <c r="E25" s="65" t="s">
        <v>89</v>
      </c>
      <c r="F25" s="62" t="s">
        <v>42</v>
      </c>
      <c r="G25" s="49">
        <v>0</v>
      </c>
      <c r="H25" s="139">
        <f>IF(B$27=0,0,G25/B$27)</f>
        <v>0</v>
      </c>
      <c r="I25" s="100">
        <v>1</v>
      </c>
    </row>
    <row r="26" spans="1:17" x14ac:dyDescent="0.4">
      <c r="A26" s="56" t="s">
        <v>126</v>
      </c>
      <c r="B26" s="151">
        <v>16</v>
      </c>
      <c r="C26" s="152"/>
      <c r="E26" s="65" t="s">
        <v>90</v>
      </c>
      <c r="F26" s="62" t="s">
        <v>43</v>
      </c>
      <c r="G26" s="49">
        <v>0</v>
      </c>
      <c r="H26" s="139">
        <f>IF(B$27=0,0,G26/B$27)</f>
        <v>0</v>
      </c>
      <c r="I26" s="100">
        <v>1</v>
      </c>
    </row>
    <row r="27" spans="1:17" x14ac:dyDescent="0.4">
      <c r="A27" s="59" t="s">
        <v>127</v>
      </c>
      <c r="B27" s="153">
        <v>2</v>
      </c>
      <c r="C27" s="154"/>
      <c r="E27" s="65" t="s">
        <v>91</v>
      </c>
      <c r="F27" s="62" t="s">
        <v>44</v>
      </c>
      <c r="G27" s="49">
        <v>0</v>
      </c>
      <c r="H27" s="139">
        <f>IF(B$27=0,0,G27/B$27)</f>
        <v>0</v>
      </c>
      <c r="I27" s="100">
        <v>5</v>
      </c>
    </row>
    <row r="28" spans="1:17" x14ac:dyDescent="0.4">
      <c r="E28" s="65" t="s">
        <v>92</v>
      </c>
      <c r="F28" s="62" t="s">
        <v>45</v>
      </c>
      <c r="G28" s="49">
        <v>0</v>
      </c>
      <c r="H28" s="139">
        <f>IF(B$27=0,0,G28/B$27)</f>
        <v>0</v>
      </c>
      <c r="I28" s="100">
        <v>1</v>
      </c>
    </row>
    <row r="29" spans="1:17" x14ac:dyDescent="0.4">
      <c r="E29" s="65" t="s">
        <v>93</v>
      </c>
      <c r="F29" s="62" t="s">
        <v>46</v>
      </c>
      <c r="G29" s="49">
        <v>0</v>
      </c>
      <c r="H29" s="139">
        <f>IF(B$27=0,0,G29/B$27)</f>
        <v>0</v>
      </c>
      <c r="I29" s="100">
        <v>1</v>
      </c>
    </row>
    <row r="30" spans="1:17" x14ac:dyDescent="0.4">
      <c r="E30" s="65" t="s">
        <v>95</v>
      </c>
      <c r="F30" s="62" t="s">
        <v>48</v>
      </c>
      <c r="G30" s="49">
        <v>0</v>
      </c>
      <c r="H30" s="139">
        <f>IF(B$27=0,0,G30/B$27)</f>
        <v>0</v>
      </c>
      <c r="I30" s="100">
        <v>1</v>
      </c>
    </row>
    <row r="31" spans="1:17" x14ac:dyDescent="0.4">
      <c r="E31" s="65" t="s">
        <v>96</v>
      </c>
      <c r="F31" s="62" t="s">
        <v>49</v>
      </c>
      <c r="G31" s="49">
        <v>0</v>
      </c>
      <c r="H31" s="139">
        <f>IF(B$27=0,0,G31/B$27)</f>
        <v>0</v>
      </c>
      <c r="I31" s="100">
        <v>3</v>
      </c>
    </row>
    <row r="32" spans="1:17" x14ac:dyDescent="0.4">
      <c r="E32" s="65" t="s">
        <v>97</v>
      </c>
      <c r="F32" s="62" t="s">
        <v>50</v>
      </c>
      <c r="G32" s="49">
        <v>0</v>
      </c>
      <c r="H32" s="139">
        <f>IF(B$27=0,0,G32/B$27)</f>
        <v>0</v>
      </c>
      <c r="I32" s="100">
        <v>1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17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0616C-091C-4D3A-B388-CEA0766A27EE}">
  <sheetPr codeName="Sheet1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5" t="s">
        <v>183</v>
      </c>
      <c r="C1" s="156"/>
      <c r="E1" s="135" t="s">
        <v>177</v>
      </c>
      <c r="F1" s="144" t="s">
        <v>120</v>
      </c>
      <c r="G1" s="143" t="s">
        <v>121</v>
      </c>
      <c r="H1" s="136" t="s">
        <v>122</v>
      </c>
      <c r="I1" s="144" t="s">
        <v>161</v>
      </c>
      <c r="K1" s="36" t="s">
        <v>20</v>
      </c>
      <c r="L1" s="37" t="s">
        <v>125</v>
      </c>
      <c r="M1" s="137"/>
      <c r="N1" s="119" t="s">
        <v>144</v>
      </c>
      <c r="O1" s="36" t="s">
        <v>145</v>
      </c>
      <c r="P1" s="123" t="s">
        <v>121</v>
      </c>
      <c r="Q1" s="107" t="s">
        <v>165</v>
      </c>
    </row>
    <row r="2" spans="1:17" x14ac:dyDescent="0.4">
      <c r="A2" s="56" t="s">
        <v>9</v>
      </c>
      <c r="B2" s="151">
        <v>1</v>
      </c>
      <c r="C2" s="152"/>
      <c r="E2" s="64" t="s">
        <v>69</v>
      </c>
      <c r="F2" s="61" t="s">
        <v>23</v>
      </c>
      <c r="G2" s="48">
        <v>1</v>
      </c>
      <c r="H2" s="138">
        <f>IF(B$27=0,0,G2/B$27)</f>
        <v>1</v>
      </c>
      <c r="I2" s="99">
        <v>2</v>
      </c>
      <c r="K2" s="38">
        <v>0</v>
      </c>
      <c r="L2" s="104">
        <v>0</v>
      </c>
      <c r="N2" s="120" t="s">
        <v>138</v>
      </c>
      <c r="O2" s="127">
        <f t="shared" ref="O2:O7" si="0">IF(P2=0,0,Q2/P2)</f>
        <v>4000</v>
      </c>
      <c r="P2" s="124">
        <v>1</v>
      </c>
      <c r="Q2" s="108">
        <v>4000</v>
      </c>
    </row>
    <row r="3" spans="1:17" x14ac:dyDescent="0.4">
      <c r="A3" s="57" t="s">
        <v>8</v>
      </c>
      <c r="B3" s="157">
        <v>7</v>
      </c>
      <c r="C3" s="158"/>
      <c r="E3" s="65" t="s">
        <v>72</v>
      </c>
      <c r="F3" s="62" t="s">
        <v>12</v>
      </c>
      <c r="G3" s="49">
        <v>1</v>
      </c>
      <c r="H3" s="139">
        <f>IF(B$27=0,0,G3/B$27)</f>
        <v>1</v>
      </c>
      <c r="I3" s="100">
        <v>1</v>
      </c>
      <c r="K3" s="40">
        <v>1</v>
      </c>
      <c r="L3" s="105">
        <v>-82.6</v>
      </c>
      <c r="N3" s="121" t="s">
        <v>139</v>
      </c>
      <c r="O3" s="128">
        <f t="shared" si="0"/>
        <v>-66600</v>
      </c>
      <c r="P3" s="125">
        <v>1</v>
      </c>
      <c r="Q3" s="109">
        <v>-66600</v>
      </c>
    </row>
    <row r="4" spans="1:17" x14ac:dyDescent="0.4">
      <c r="A4" s="57" t="s">
        <v>6</v>
      </c>
      <c r="B4" s="159">
        <v>-82.6</v>
      </c>
      <c r="C4" s="160"/>
      <c r="E4" s="65" t="s">
        <v>74</v>
      </c>
      <c r="F4" s="62" t="s">
        <v>27</v>
      </c>
      <c r="G4" s="49">
        <v>1</v>
      </c>
      <c r="H4" s="139">
        <f>IF(B$27=0,0,G4/B$27)</f>
        <v>1</v>
      </c>
      <c r="I4" s="100">
        <v>1</v>
      </c>
      <c r="N4" s="121" t="s">
        <v>140</v>
      </c>
      <c r="O4" s="128">
        <f t="shared" si="0"/>
        <v>0</v>
      </c>
      <c r="P4" s="125">
        <v>0</v>
      </c>
      <c r="Q4" s="109">
        <v>0</v>
      </c>
    </row>
    <row r="5" spans="1:17" x14ac:dyDescent="0.4">
      <c r="A5" s="57" t="s">
        <v>7</v>
      </c>
      <c r="B5" s="161">
        <f>IF(B$2=0,0,B$4/B$2)</f>
        <v>-82.6</v>
      </c>
      <c r="C5" s="162"/>
      <c r="E5" s="65" t="s">
        <v>67</v>
      </c>
      <c r="F5" s="62" t="s">
        <v>21</v>
      </c>
      <c r="G5" s="49">
        <v>0</v>
      </c>
      <c r="H5" s="139">
        <f>IF(B$27=0,0,G5/B$27)</f>
        <v>0</v>
      </c>
      <c r="I5" s="100">
        <v>6</v>
      </c>
      <c r="N5" s="121" t="s">
        <v>141</v>
      </c>
      <c r="O5" s="128">
        <f t="shared" si="0"/>
        <v>0</v>
      </c>
      <c r="P5" s="125">
        <v>0</v>
      </c>
      <c r="Q5" s="109">
        <v>0</v>
      </c>
    </row>
    <row r="6" spans="1:17" x14ac:dyDescent="0.4">
      <c r="A6" s="57" t="s">
        <v>1</v>
      </c>
      <c r="B6" s="149">
        <f>IF(B$2=0,0,(B$7*1+B$8*2+B$9*3)/B$2)</f>
        <v>3</v>
      </c>
      <c r="C6" s="150"/>
      <c r="E6" s="65" t="s">
        <v>68</v>
      </c>
      <c r="F6" s="62" t="s">
        <v>22</v>
      </c>
      <c r="G6" s="49">
        <v>0</v>
      </c>
      <c r="H6" s="139">
        <f>IF(B$27=0,0,G6/B$27)</f>
        <v>0</v>
      </c>
      <c r="I6" s="100">
        <v>5</v>
      </c>
      <c r="N6" s="121" t="s">
        <v>142</v>
      </c>
      <c r="O6" s="128">
        <f t="shared" si="0"/>
        <v>0</v>
      </c>
      <c r="P6" s="125">
        <v>0</v>
      </c>
      <c r="Q6" s="109">
        <v>0</v>
      </c>
    </row>
    <row r="7" spans="1:17" x14ac:dyDescent="0.4">
      <c r="A7" s="57" t="s">
        <v>2</v>
      </c>
      <c r="B7" s="49">
        <v>0</v>
      </c>
      <c r="C7" s="41">
        <f>IF(B$2=0,0,B7/B$2)</f>
        <v>0</v>
      </c>
      <c r="E7" s="65" t="s">
        <v>70</v>
      </c>
      <c r="F7" s="62" t="s">
        <v>24</v>
      </c>
      <c r="G7" s="49">
        <v>0</v>
      </c>
      <c r="H7" s="139">
        <f>IF(B$27=0,0,G7/B$27)</f>
        <v>0</v>
      </c>
      <c r="I7" s="100">
        <v>5</v>
      </c>
      <c r="N7" s="122" t="s">
        <v>143</v>
      </c>
      <c r="O7" s="129">
        <f t="shared" si="0"/>
        <v>0</v>
      </c>
      <c r="P7" s="126">
        <v>0</v>
      </c>
      <c r="Q7" s="110">
        <v>0</v>
      </c>
    </row>
    <row r="8" spans="1:17" x14ac:dyDescent="0.4">
      <c r="A8" s="57" t="s">
        <v>3</v>
      </c>
      <c r="B8" s="49">
        <v>0</v>
      </c>
      <c r="C8" s="41">
        <f>IF(B$2=0,0,B8/B$2)</f>
        <v>0</v>
      </c>
      <c r="E8" s="65" t="s">
        <v>71</v>
      </c>
      <c r="F8" s="62" t="s">
        <v>25</v>
      </c>
      <c r="G8" s="49">
        <v>0</v>
      </c>
      <c r="H8" s="139">
        <f>IF(B$27=0,0,G8/B$27)</f>
        <v>0</v>
      </c>
      <c r="I8" s="100">
        <v>1</v>
      </c>
      <c r="N8" s="45"/>
      <c r="O8" s="133"/>
      <c r="P8" s="117"/>
      <c r="Q8" s="115"/>
    </row>
    <row r="9" spans="1:17" x14ac:dyDescent="0.4">
      <c r="A9" s="58" t="s">
        <v>4</v>
      </c>
      <c r="B9" s="50">
        <v>1</v>
      </c>
      <c r="C9" s="42">
        <f t="shared" ref="C9" si="1">IF(B$2=0,0,B9/B$2)</f>
        <v>1</v>
      </c>
      <c r="E9" s="65" t="s">
        <v>73</v>
      </c>
      <c r="F9" s="62" t="s">
        <v>26</v>
      </c>
      <c r="G9" s="49">
        <v>0</v>
      </c>
      <c r="H9" s="139">
        <f>IF(B$27=0,0,G9/B$27)</f>
        <v>0</v>
      </c>
      <c r="I9" s="100">
        <v>6</v>
      </c>
      <c r="N9" s="119" t="s">
        <v>173</v>
      </c>
      <c r="O9" s="36" t="s">
        <v>125</v>
      </c>
      <c r="P9" s="123" t="s">
        <v>121</v>
      </c>
      <c r="Q9" s="111" t="s">
        <v>165</v>
      </c>
    </row>
    <row r="10" spans="1:17" x14ac:dyDescent="0.4">
      <c r="A10" s="58" t="s">
        <v>19</v>
      </c>
      <c r="B10" s="50">
        <v>1</v>
      </c>
      <c r="C10" s="42">
        <f>IF(B$2=0,0,B10/B$2)</f>
        <v>1</v>
      </c>
      <c r="E10" s="65" t="s">
        <v>75</v>
      </c>
      <c r="F10" s="62" t="s">
        <v>28</v>
      </c>
      <c r="G10" s="49">
        <v>0</v>
      </c>
      <c r="H10" s="139">
        <f>IF(B$27=0,0,G10/B$27)</f>
        <v>0</v>
      </c>
      <c r="I10" s="100">
        <v>3</v>
      </c>
      <c r="N10" s="120" t="s">
        <v>174</v>
      </c>
      <c r="O10" s="130">
        <f>IF(P10=0,0,Q10/P10)</f>
        <v>0</v>
      </c>
      <c r="P10" s="124">
        <v>0</v>
      </c>
      <c r="Q10" s="112">
        <v>0</v>
      </c>
    </row>
    <row r="11" spans="1:17" x14ac:dyDescent="0.4">
      <c r="A11" s="58" t="s">
        <v>146</v>
      </c>
      <c r="B11" s="50">
        <v>0</v>
      </c>
      <c r="C11" s="42">
        <f>IF(B$2=0,0,B11/B$2)</f>
        <v>0</v>
      </c>
      <c r="E11" s="65" t="s">
        <v>76</v>
      </c>
      <c r="F11" s="62" t="s">
        <v>29</v>
      </c>
      <c r="G11" s="49">
        <v>0</v>
      </c>
      <c r="H11" s="139">
        <f>IF(B$27=0,0,G11/B$27)</f>
        <v>0</v>
      </c>
      <c r="I11" s="100">
        <v>6</v>
      </c>
      <c r="N11" s="121" t="s">
        <v>175</v>
      </c>
      <c r="O11" s="131">
        <f>IF(P11=0,0,Q11/P11)</f>
        <v>0</v>
      </c>
      <c r="P11" s="125">
        <v>0</v>
      </c>
      <c r="Q11" s="113">
        <v>0</v>
      </c>
    </row>
    <row r="12" spans="1:17" x14ac:dyDescent="0.4">
      <c r="A12" s="59" t="s">
        <v>167</v>
      </c>
      <c r="B12" s="51">
        <v>0</v>
      </c>
      <c r="C12" s="44">
        <f>IF(B$2=0,0,B12/B$2)</f>
        <v>0</v>
      </c>
      <c r="E12" s="65" t="s">
        <v>77</v>
      </c>
      <c r="F12" s="62" t="s">
        <v>30</v>
      </c>
      <c r="G12" s="49">
        <v>0</v>
      </c>
      <c r="H12" s="139">
        <f>IF(B$27=0,0,G12/B$27)</f>
        <v>0</v>
      </c>
      <c r="I12" s="100">
        <v>1</v>
      </c>
      <c r="N12" s="122" t="s">
        <v>176</v>
      </c>
      <c r="O12" s="132">
        <f>IF(P12=0,0,Q12/P12)</f>
        <v>-82.6</v>
      </c>
      <c r="P12" s="126">
        <v>1</v>
      </c>
      <c r="Q12" s="114">
        <v>-82.6</v>
      </c>
    </row>
    <row r="13" spans="1:17" x14ac:dyDescent="0.4">
      <c r="A13" s="60" t="s">
        <v>128</v>
      </c>
      <c r="B13" s="52">
        <v>1</v>
      </c>
      <c r="C13" s="46">
        <f>IF(B$26=0,0,B13/B$26)</f>
        <v>0.14285714285714285</v>
      </c>
      <c r="E13" s="65" t="s">
        <v>78</v>
      </c>
      <c r="F13" s="62" t="s">
        <v>31</v>
      </c>
      <c r="G13" s="49">
        <v>0</v>
      </c>
      <c r="H13" s="139">
        <f>IF(B$27=0,0,G13/B$27)</f>
        <v>0</v>
      </c>
      <c r="I13" s="100">
        <v>1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</v>
      </c>
      <c r="C14" s="41">
        <f>IF(B$26=0,0,B14/B$26)</f>
        <v>0.14285714285714285</v>
      </c>
      <c r="E14" s="65" t="s">
        <v>79</v>
      </c>
      <c r="F14" s="62" t="s">
        <v>32</v>
      </c>
      <c r="G14" s="49">
        <v>0</v>
      </c>
      <c r="H14" s="139">
        <f>IF(B$27=0,0,G14/B$27)</f>
        <v>0</v>
      </c>
      <c r="I14" s="100">
        <v>1</v>
      </c>
      <c r="N14" s="119" t="s">
        <v>162</v>
      </c>
      <c r="O14" s="36" t="s">
        <v>125</v>
      </c>
      <c r="P14" s="123" t="s">
        <v>121</v>
      </c>
      <c r="Q14" s="111" t="s">
        <v>165</v>
      </c>
    </row>
    <row r="15" spans="1:17" x14ac:dyDescent="0.4">
      <c r="A15" s="56" t="s">
        <v>130</v>
      </c>
      <c r="B15" s="48">
        <v>0</v>
      </c>
      <c r="C15" s="39">
        <f>IF(B$13=0,0,B15/B$13)</f>
        <v>0</v>
      </c>
      <c r="E15" s="65" t="s">
        <v>80</v>
      </c>
      <c r="F15" s="62" t="s">
        <v>33</v>
      </c>
      <c r="G15" s="49">
        <v>0</v>
      </c>
      <c r="H15" s="139">
        <f>IF(B$27=0,0,G15/B$27)</f>
        <v>0</v>
      </c>
      <c r="I15" s="100">
        <v>1</v>
      </c>
      <c r="N15" s="120" t="s">
        <v>135</v>
      </c>
      <c r="O15" s="130">
        <f>IF(P15=0,0,Q15/P15)</f>
        <v>-74.3</v>
      </c>
      <c r="P15" s="124">
        <v>1</v>
      </c>
      <c r="Q15" s="112">
        <v>-74.3</v>
      </c>
    </row>
    <row r="16" spans="1:17" x14ac:dyDescent="0.4">
      <c r="A16" s="56" t="s">
        <v>131</v>
      </c>
      <c r="B16" s="48">
        <v>0</v>
      </c>
      <c r="C16" s="39">
        <f>IF(B$14=0,0,B16/B$14)</f>
        <v>0</v>
      </c>
      <c r="E16" s="65" t="s">
        <v>81</v>
      </c>
      <c r="F16" s="62" t="s">
        <v>34</v>
      </c>
      <c r="G16" s="49">
        <v>0</v>
      </c>
      <c r="H16" s="139">
        <f>IF(B$27=0,0,G16/B$27)</f>
        <v>0</v>
      </c>
      <c r="I16" s="100">
        <v>1</v>
      </c>
      <c r="N16" s="121" t="s">
        <v>133</v>
      </c>
      <c r="O16" s="131">
        <f>IF(P16=0,0,Q16/P16)</f>
        <v>-173.5</v>
      </c>
      <c r="P16" s="125">
        <v>1</v>
      </c>
      <c r="Q16" s="113">
        <v>-173.5</v>
      </c>
    </row>
    <row r="17" spans="1:9" x14ac:dyDescent="0.4">
      <c r="A17" s="56" t="s">
        <v>10</v>
      </c>
      <c r="B17" s="48">
        <f>B19+B18</f>
        <v>1</v>
      </c>
      <c r="C17" s="39">
        <f>IF(B$3=0,0,B17/B$3)</f>
        <v>0.14285714285714285</v>
      </c>
      <c r="E17" s="65" t="s">
        <v>82</v>
      </c>
      <c r="F17" s="62" t="s">
        <v>35</v>
      </c>
      <c r="G17" s="49">
        <v>0</v>
      </c>
      <c r="H17" s="139">
        <f>IF(B$27=0,0,G17/B$27)</f>
        <v>0</v>
      </c>
      <c r="I17" s="100">
        <v>4</v>
      </c>
    </row>
    <row r="18" spans="1:9" x14ac:dyDescent="0.4">
      <c r="A18" s="57" t="s">
        <v>12</v>
      </c>
      <c r="B18" s="49">
        <v>1</v>
      </c>
      <c r="C18" s="41">
        <f>IF(B$17=0,0,B18/B$17)</f>
        <v>1</v>
      </c>
      <c r="E18" s="65" t="s">
        <v>83</v>
      </c>
      <c r="F18" s="62" t="s">
        <v>36</v>
      </c>
      <c r="G18" s="49">
        <v>0</v>
      </c>
      <c r="H18" s="139">
        <f>IF(B$27=0,0,G18/B$27)</f>
        <v>0</v>
      </c>
      <c r="I18" s="100">
        <v>1</v>
      </c>
    </row>
    <row r="19" spans="1:9" x14ac:dyDescent="0.4">
      <c r="A19" s="57" t="s">
        <v>11</v>
      </c>
      <c r="B19" s="49">
        <v>0</v>
      </c>
      <c r="C19" s="41">
        <f>IF(B$17=0,0,B19/B$17)</f>
        <v>0</v>
      </c>
      <c r="E19" s="65" t="s">
        <v>84</v>
      </c>
      <c r="F19" s="62" t="s">
        <v>37</v>
      </c>
      <c r="G19" s="49">
        <v>0</v>
      </c>
      <c r="H19" s="139">
        <f>IF(B$27=0,0,G19/B$27)</f>
        <v>0</v>
      </c>
      <c r="I19" s="100">
        <v>1</v>
      </c>
    </row>
    <row r="20" spans="1:9" x14ac:dyDescent="0.4">
      <c r="A20" s="57" t="s">
        <v>13</v>
      </c>
      <c r="B20" s="49">
        <v>2</v>
      </c>
      <c r="C20" s="41">
        <f>IF(B$3=0,0,B20/B$3)</f>
        <v>0.2857142857142857</v>
      </c>
      <c r="E20" s="65" t="s">
        <v>85</v>
      </c>
      <c r="F20" s="62" t="s">
        <v>38</v>
      </c>
      <c r="G20" s="49">
        <v>0</v>
      </c>
      <c r="H20" s="139">
        <f>IF(B$27=0,0,G20/B$27)</f>
        <v>0</v>
      </c>
      <c r="I20" s="100">
        <v>1</v>
      </c>
    </row>
    <row r="21" spans="1:9" x14ac:dyDescent="0.4">
      <c r="A21" s="57" t="s">
        <v>5</v>
      </c>
      <c r="B21" s="53">
        <f>IF(B$17=0,0,C21/B$17)</f>
        <v>4000</v>
      </c>
      <c r="C21" s="43">
        <v>4000</v>
      </c>
      <c r="E21" s="65" t="s">
        <v>86</v>
      </c>
      <c r="F21" s="62" t="s">
        <v>39</v>
      </c>
      <c r="G21" s="49">
        <v>0</v>
      </c>
      <c r="H21" s="139">
        <f>IF(B$27=0,0,G21/B$27)</f>
        <v>0</v>
      </c>
      <c r="I21" s="100">
        <v>1</v>
      </c>
    </row>
    <row r="22" spans="1:9" x14ac:dyDescent="0.4">
      <c r="A22" s="59" t="s">
        <v>14</v>
      </c>
      <c r="B22" s="54">
        <f>IF(B$20=0,0,C22/B$20)</f>
        <v>-20800</v>
      </c>
      <c r="C22" s="47">
        <v>-41600</v>
      </c>
      <c r="E22" s="65" t="s">
        <v>87</v>
      </c>
      <c r="F22" s="62" t="s">
        <v>40</v>
      </c>
      <c r="G22" s="49">
        <v>0</v>
      </c>
      <c r="H22" s="139">
        <f>IF(B$27=0,0,G22/B$27)</f>
        <v>0</v>
      </c>
      <c r="I22" s="100">
        <v>1</v>
      </c>
    </row>
    <row r="23" spans="1:9" x14ac:dyDescent="0.4">
      <c r="A23" s="96" t="s">
        <v>148</v>
      </c>
      <c r="B23" s="147">
        <v>1</v>
      </c>
      <c r="C23" s="148"/>
      <c r="E23" s="65" t="s">
        <v>88</v>
      </c>
      <c r="F23" s="62" t="s">
        <v>41</v>
      </c>
      <c r="G23" s="49">
        <v>0</v>
      </c>
      <c r="H23" s="139">
        <f>IF(B$27=0,0,G23/B$27)</f>
        <v>0</v>
      </c>
      <c r="I23" s="100">
        <v>1</v>
      </c>
    </row>
    <row r="24" spans="1:9" x14ac:dyDescent="0.4">
      <c r="A24" s="60" t="s">
        <v>159</v>
      </c>
      <c r="B24" s="145">
        <v>0</v>
      </c>
      <c r="C24" s="146"/>
      <c r="E24" s="65" t="s">
        <v>89</v>
      </c>
      <c r="F24" s="62" t="s">
        <v>42</v>
      </c>
      <c r="G24" s="49">
        <v>0</v>
      </c>
      <c r="H24" s="139">
        <f>IF(B$27=0,0,G24/B$27)</f>
        <v>0</v>
      </c>
      <c r="I24" s="100">
        <v>1</v>
      </c>
    </row>
    <row r="25" spans="1:9" x14ac:dyDescent="0.4">
      <c r="A25" s="59" t="s">
        <v>149</v>
      </c>
      <c r="B25" s="67">
        <v>0</v>
      </c>
      <c r="C25" s="44">
        <f>IF(B$3=0,0,B25/B$3)</f>
        <v>0</v>
      </c>
      <c r="E25" s="65" t="s">
        <v>90</v>
      </c>
      <c r="F25" s="62" t="s">
        <v>43</v>
      </c>
      <c r="G25" s="49">
        <v>0</v>
      </c>
      <c r="H25" s="139">
        <f>IF(B$27=0,0,G25/B$27)</f>
        <v>0</v>
      </c>
      <c r="I25" s="100">
        <v>1</v>
      </c>
    </row>
    <row r="26" spans="1:9" x14ac:dyDescent="0.4">
      <c r="A26" s="56" t="s">
        <v>126</v>
      </c>
      <c r="B26" s="151">
        <v>7</v>
      </c>
      <c r="C26" s="152"/>
      <c r="E26" s="65" t="s">
        <v>91</v>
      </c>
      <c r="F26" s="62" t="s">
        <v>44</v>
      </c>
      <c r="G26" s="49">
        <v>0</v>
      </c>
      <c r="H26" s="139">
        <f>IF(B$27=0,0,G26/B$27)</f>
        <v>0</v>
      </c>
      <c r="I26" s="100">
        <v>5</v>
      </c>
    </row>
    <row r="27" spans="1:9" x14ac:dyDescent="0.4">
      <c r="A27" s="59" t="s">
        <v>127</v>
      </c>
      <c r="B27" s="153">
        <v>1</v>
      </c>
      <c r="C27" s="154"/>
      <c r="E27" s="65" t="s">
        <v>92</v>
      </c>
      <c r="F27" s="62" t="s">
        <v>45</v>
      </c>
      <c r="G27" s="49">
        <v>0</v>
      </c>
      <c r="H27" s="139">
        <f>IF(B$27=0,0,G27/B$27)</f>
        <v>0</v>
      </c>
      <c r="I27" s="100">
        <v>1</v>
      </c>
    </row>
    <row r="28" spans="1:9" x14ac:dyDescent="0.4">
      <c r="E28" s="65" t="s">
        <v>93</v>
      </c>
      <c r="F28" s="62" t="s">
        <v>46</v>
      </c>
      <c r="G28" s="49">
        <v>0</v>
      </c>
      <c r="H28" s="139">
        <f>IF(B$27=0,0,G28/B$27)</f>
        <v>0</v>
      </c>
      <c r="I28" s="100">
        <v>1</v>
      </c>
    </row>
    <row r="29" spans="1:9" x14ac:dyDescent="0.4">
      <c r="E29" s="65" t="s">
        <v>94</v>
      </c>
      <c r="F29" s="62" t="s">
        <v>47</v>
      </c>
      <c r="G29" s="49">
        <v>0</v>
      </c>
      <c r="H29" s="139">
        <f>IF(B$27=0,0,G29/B$27)</f>
        <v>0</v>
      </c>
      <c r="I29" s="100">
        <v>6</v>
      </c>
    </row>
    <row r="30" spans="1:9" x14ac:dyDescent="0.4">
      <c r="E30" s="65" t="s">
        <v>95</v>
      </c>
      <c r="F30" s="62" t="s">
        <v>48</v>
      </c>
      <c r="G30" s="49">
        <v>0</v>
      </c>
      <c r="H30" s="139">
        <f>IF(B$27=0,0,G30/B$27)</f>
        <v>0</v>
      </c>
      <c r="I30" s="100">
        <v>1</v>
      </c>
    </row>
    <row r="31" spans="1:9" x14ac:dyDescent="0.4">
      <c r="E31" s="65" t="s">
        <v>96</v>
      </c>
      <c r="F31" s="62" t="s">
        <v>49</v>
      </c>
      <c r="G31" s="49">
        <v>0</v>
      </c>
      <c r="H31" s="139">
        <f>IF(B$27=0,0,G31/B$27)</f>
        <v>0</v>
      </c>
      <c r="I31" s="100">
        <v>3</v>
      </c>
    </row>
    <row r="32" spans="1:9" x14ac:dyDescent="0.4">
      <c r="E32" s="65" t="s">
        <v>97</v>
      </c>
      <c r="F32" s="62" t="s">
        <v>50</v>
      </c>
      <c r="G32" s="49">
        <v>0</v>
      </c>
      <c r="H32" s="139">
        <f>IF(B$27=0,0,G32/B$27)</f>
        <v>0</v>
      </c>
      <c r="I32" s="100">
        <v>1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16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9531F-EE21-4EDF-A4B4-F06FD7F3441E}">
  <sheetPr codeName="Sheet18"/>
  <dimension ref="A1:Q4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183</v>
      </c>
      <c r="B1" s="72" t="s">
        <v>183</v>
      </c>
      <c r="C1" s="72" t="s">
        <v>183</v>
      </c>
      <c r="D1" s="73" t="s">
        <v>183</v>
      </c>
      <c r="E1" s="72" t="s">
        <v>183</v>
      </c>
      <c r="F1" s="72" t="s">
        <v>183</v>
      </c>
      <c r="G1" s="72" t="s">
        <v>183</v>
      </c>
      <c r="H1" s="72" t="s">
        <v>183</v>
      </c>
      <c r="I1" s="72" t="s">
        <v>183</v>
      </c>
      <c r="J1" s="72" t="s">
        <v>183</v>
      </c>
      <c r="K1" s="72" t="s">
        <v>183</v>
      </c>
      <c r="L1" s="72" t="s">
        <v>183</v>
      </c>
      <c r="M1" s="72" t="s">
        <v>183</v>
      </c>
      <c r="N1" s="72" t="s">
        <v>183</v>
      </c>
      <c r="O1" s="72" t="s">
        <v>183</v>
      </c>
      <c r="P1" s="72" t="s">
        <v>183</v>
      </c>
      <c r="Q1" s="72" t="s">
        <v>183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153</v>
      </c>
      <c r="G2" s="72" t="s">
        <v>152</v>
      </c>
      <c r="H2" s="72" t="s">
        <v>5</v>
      </c>
      <c r="I2" s="72" t="s">
        <v>17</v>
      </c>
      <c r="J2" s="72" t="s">
        <v>18</v>
      </c>
      <c r="K2" s="72" t="s">
        <v>147</v>
      </c>
      <c r="L2" s="72" t="s">
        <v>168</v>
      </c>
      <c r="M2" s="72" t="s">
        <v>129</v>
      </c>
      <c r="N2" s="72" t="s">
        <v>124</v>
      </c>
      <c r="O2" s="72" t="s">
        <v>132</v>
      </c>
      <c r="P2" s="72" t="s">
        <v>154</v>
      </c>
      <c r="Q2" s="72" t="s">
        <v>150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-82.6</v>
      </c>
      <c r="C4" s="68">
        <v>-82.6</v>
      </c>
      <c r="D4" s="73">
        <v>3</v>
      </c>
      <c r="E4" s="69">
        <v>0</v>
      </c>
      <c r="F4" s="69">
        <v>0.14285714285714285</v>
      </c>
      <c r="G4" s="69">
        <v>0.2857142857142857</v>
      </c>
      <c r="H4" s="70">
        <v>4000</v>
      </c>
      <c r="I4" s="70">
        <v>-20800</v>
      </c>
      <c r="J4" s="69">
        <v>1</v>
      </c>
      <c r="K4" s="69">
        <v>0</v>
      </c>
      <c r="L4" s="69">
        <v>0</v>
      </c>
      <c r="M4" s="69">
        <v>0.14285714285714285</v>
      </c>
      <c r="N4" s="69">
        <v>0.14285714285714285</v>
      </c>
      <c r="O4" s="69">
        <v>0</v>
      </c>
      <c r="P4" s="69">
        <v>0</v>
      </c>
      <c r="Q4" s="69">
        <v>1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235FF-4CF8-4160-A6C1-69A314EBC0EB}">
  <sheetPr codeName="Sheet16"/>
  <dimension ref="A1:Q5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182</v>
      </c>
      <c r="B1" s="72" t="s">
        <v>182</v>
      </c>
      <c r="C1" s="72" t="s">
        <v>182</v>
      </c>
      <c r="D1" s="73" t="s">
        <v>182</v>
      </c>
      <c r="E1" s="72" t="s">
        <v>182</v>
      </c>
      <c r="F1" s="72" t="s">
        <v>182</v>
      </c>
      <c r="G1" s="72" t="s">
        <v>182</v>
      </c>
      <c r="H1" s="72" t="s">
        <v>182</v>
      </c>
      <c r="I1" s="72" t="s">
        <v>182</v>
      </c>
      <c r="J1" s="72" t="s">
        <v>182</v>
      </c>
      <c r="K1" s="72" t="s">
        <v>182</v>
      </c>
      <c r="L1" s="72" t="s">
        <v>182</v>
      </c>
      <c r="M1" s="72" t="s">
        <v>182</v>
      </c>
      <c r="N1" s="72" t="s">
        <v>182</v>
      </c>
      <c r="O1" s="72" t="s">
        <v>182</v>
      </c>
      <c r="P1" s="72" t="s">
        <v>182</v>
      </c>
      <c r="Q1" s="72" t="s">
        <v>182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153</v>
      </c>
      <c r="G2" s="72" t="s">
        <v>152</v>
      </c>
      <c r="H2" s="72" t="s">
        <v>5</v>
      </c>
      <c r="I2" s="72" t="s">
        <v>17</v>
      </c>
      <c r="J2" s="72" t="s">
        <v>18</v>
      </c>
      <c r="K2" s="72" t="s">
        <v>147</v>
      </c>
      <c r="L2" s="72" t="s">
        <v>168</v>
      </c>
      <c r="M2" s="72" t="s">
        <v>129</v>
      </c>
      <c r="N2" s="72" t="s">
        <v>124</v>
      </c>
      <c r="O2" s="72" t="s">
        <v>132</v>
      </c>
      <c r="P2" s="72" t="s">
        <v>154</v>
      </c>
      <c r="Q2" s="72" t="s">
        <v>150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11.1</v>
      </c>
      <c r="C4" s="68">
        <v>11.1</v>
      </c>
      <c r="D4" s="73">
        <v>2</v>
      </c>
      <c r="E4" s="69">
        <v>0</v>
      </c>
      <c r="F4" s="69">
        <v>0.14285714285714285</v>
      </c>
      <c r="G4" s="69">
        <v>0.14285714285714285</v>
      </c>
      <c r="H4" s="70">
        <v>8000</v>
      </c>
      <c r="I4" s="70">
        <v>-3900</v>
      </c>
      <c r="J4" s="69">
        <v>0</v>
      </c>
      <c r="K4" s="69">
        <v>0</v>
      </c>
      <c r="L4" s="69">
        <v>0</v>
      </c>
      <c r="M4" s="69">
        <v>0</v>
      </c>
      <c r="N4" s="69">
        <v>0.42857142857142855</v>
      </c>
      <c r="O4" s="69">
        <v>0</v>
      </c>
      <c r="P4" s="69">
        <v>0</v>
      </c>
      <c r="Q4" s="69">
        <v>0</v>
      </c>
    </row>
    <row r="5" spans="1:17" x14ac:dyDescent="0.4">
      <c r="A5" s="71">
        <v>2</v>
      </c>
      <c r="B5" s="68">
        <v>-7.7000000000000011</v>
      </c>
      <c r="C5" s="68">
        <v>-3.8500000000000005</v>
      </c>
      <c r="D5" s="73">
        <v>2</v>
      </c>
      <c r="E5" s="69">
        <v>0</v>
      </c>
      <c r="F5" s="69">
        <v>0.125</v>
      </c>
      <c r="G5" s="69">
        <v>0.125</v>
      </c>
      <c r="H5" s="70">
        <v>5050</v>
      </c>
      <c r="I5" s="70">
        <v>-6750</v>
      </c>
      <c r="J5" s="69">
        <v>0</v>
      </c>
      <c r="K5" s="69">
        <v>0</v>
      </c>
      <c r="L5" s="69">
        <v>0</v>
      </c>
      <c r="M5" s="69">
        <v>0.125</v>
      </c>
      <c r="N5" s="69">
        <v>0.375</v>
      </c>
      <c r="O5" s="69">
        <v>0</v>
      </c>
      <c r="P5" s="69">
        <v>0.16666666666666666</v>
      </c>
      <c r="Q5" s="69">
        <v>0.5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9DBFC-85E9-4E4A-A090-1FB7FBED5EE7}">
  <sheetPr codeName="Sheet14"/>
  <dimension ref="A1:Q5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181</v>
      </c>
      <c r="B1" s="72" t="s">
        <v>181</v>
      </c>
      <c r="C1" s="72" t="s">
        <v>181</v>
      </c>
      <c r="D1" s="73" t="s">
        <v>181</v>
      </c>
      <c r="E1" s="72" t="s">
        <v>181</v>
      </c>
      <c r="F1" s="72" t="s">
        <v>181</v>
      </c>
      <c r="G1" s="72" t="s">
        <v>181</v>
      </c>
      <c r="H1" s="72" t="s">
        <v>181</v>
      </c>
      <c r="I1" s="72" t="s">
        <v>181</v>
      </c>
      <c r="J1" s="72" t="s">
        <v>181</v>
      </c>
      <c r="K1" s="72" t="s">
        <v>181</v>
      </c>
      <c r="L1" s="72" t="s">
        <v>181</v>
      </c>
      <c r="M1" s="72" t="s">
        <v>181</v>
      </c>
      <c r="N1" s="72" t="s">
        <v>181</v>
      </c>
      <c r="O1" s="72" t="s">
        <v>181</v>
      </c>
      <c r="P1" s="72" t="s">
        <v>181</v>
      </c>
      <c r="Q1" s="72" t="s">
        <v>181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153</v>
      </c>
      <c r="G2" s="72" t="s">
        <v>152</v>
      </c>
      <c r="H2" s="72" t="s">
        <v>5</v>
      </c>
      <c r="I2" s="72" t="s">
        <v>17</v>
      </c>
      <c r="J2" s="72" t="s">
        <v>18</v>
      </c>
      <c r="K2" s="72" t="s">
        <v>147</v>
      </c>
      <c r="L2" s="72" t="s">
        <v>168</v>
      </c>
      <c r="M2" s="72" t="s">
        <v>129</v>
      </c>
      <c r="N2" s="72" t="s">
        <v>124</v>
      </c>
      <c r="O2" s="72" t="s">
        <v>132</v>
      </c>
      <c r="P2" s="72" t="s">
        <v>154</v>
      </c>
      <c r="Q2" s="72" t="s">
        <v>150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-51.2</v>
      </c>
      <c r="C4" s="68">
        <v>-51.2</v>
      </c>
      <c r="D4" s="73">
        <v>3</v>
      </c>
      <c r="E4" s="69">
        <v>0</v>
      </c>
      <c r="F4" s="69">
        <v>0.14285714285714285</v>
      </c>
      <c r="G4" s="69">
        <v>0.5714285714285714</v>
      </c>
      <c r="H4" s="70">
        <v>2000</v>
      </c>
      <c r="I4" s="70">
        <v>-5800</v>
      </c>
      <c r="J4" s="69">
        <v>0</v>
      </c>
      <c r="K4" s="69">
        <v>0</v>
      </c>
      <c r="L4" s="69">
        <v>0</v>
      </c>
      <c r="M4" s="69">
        <v>0.2857142857142857</v>
      </c>
      <c r="N4" s="69">
        <v>0.14285714285714285</v>
      </c>
      <c r="O4" s="69">
        <v>0</v>
      </c>
      <c r="P4" s="69">
        <v>0</v>
      </c>
      <c r="Q4" s="69">
        <v>0</v>
      </c>
    </row>
    <row r="5" spans="1:17" x14ac:dyDescent="0.4">
      <c r="A5" s="71">
        <v>2</v>
      </c>
      <c r="B5" s="68">
        <v>-93.300000000000011</v>
      </c>
      <c r="C5" s="68">
        <v>-46.650000000000006</v>
      </c>
      <c r="D5" s="73">
        <v>3</v>
      </c>
      <c r="E5" s="69">
        <v>0</v>
      </c>
      <c r="F5" s="69">
        <v>0.125</v>
      </c>
      <c r="G5" s="69">
        <v>0.4375</v>
      </c>
      <c r="H5" s="70">
        <v>2950</v>
      </c>
      <c r="I5" s="70">
        <v>-5014.2857142857147</v>
      </c>
      <c r="J5" s="69">
        <v>0</v>
      </c>
      <c r="K5" s="69">
        <v>0</v>
      </c>
      <c r="L5" s="69">
        <v>0</v>
      </c>
      <c r="M5" s="69">
        <v>0.25</v>
      </c>
      <c r="N5" s="69">
        <v>6.25E-2</v>
      </c>
      <c r="O5" s="69">
        <v>0.25</v>
      </c>
      <c r="P5" s="69">
        <v>0</v>
      </c>
      <c r="Q5" s="69">
        <v>0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89068-37BB-4FE1-BA7B-494F76AF7D92}">
  <sheetPr codeName="Sheet12"/>
  <dimension ref="A1:Q9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135</v>
      </c>
      <c r="B1" s="72" t="s">
        <v>135</v>
      </c>
      <c r="C1" s="72" t="s">
        <v>135</v>
      </c>
      <c r="D1" s="73" t="s">
        <v>135</v>
      </c>
      <c r="E1" s="72" t="s">
        <v>135</v>
      </c>
      <c r="F1" s="72" t="s">
        <v>135</v>
      </c>
      <c r="G1" s="72" t="s">
        <v>135</v>
      </c>
      <c r="H1" s="72" t="s">
        <v>135</v>
      </c>
      <c r="I1" s="72" t="s">
        <v>135</v>
      </c>
      <c r="J1" s="72" t="s">
        <v>135</v>
      </c>
      <c r="K1" s="72" t="s">
        <v>135</v>
      </c>
      <c r="L1" s="72" t="s">
        <v>135</v>
      </c>
      <c r="M1" s="72" t="s">
        <v>135</v>
      </c>
      <c r="N1" s="72" t="s">
        <v>135</v>
      </c>
      <c r="O1" s="72" t="s">
        <v>135</v>
      </c>
      <c r="P1" s="72" t="s">
        <v>135</v>
      </c>
      <c r="Q1" s="72" t="s">
        <v>135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153</v>
      </c>
      <c r="G2" s="72" t="s">
        <v>152</v>
      </c>
      <c r="H2" s="72" t="s">
        <v>5</v>
      </c>
      <c r="I2" s="72" t="s">
        <v>17</v>
      </c>
      <c r="J2" s="72" t="s">
        <v>18</v>
      </c>
      <c r="K2" s="72" t="s">
        <v>147</v>
      </c>
      <c r="L2" s="72" t="s">
        <v>168</v>
      </c>
      <c r="M2" s="72" t="s">
        <v>129</v>
      </c>
      <c r="N2" s="72" t="s">
        <v>124</v>
      </c>
      <c r="O2" s="72" t="s">
        <v>132</v>
      </c>
      <c r="P2" s="72" t="s">
        <v>154</v>
      </c>
      <c r="Q2" s="72" t="s">
        <v>150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-40.4</v>
      </c>
      <c r="C4" s="68">
        <v>-40.4</v>
      </c>
      <c r="D4" s="73">
        <v>3</v>
      </c>
      <c r="E4" s="69">
        <v>0</v>
      </c>
      <c r="F4" s="69">
        <v>0.16666666666666666</v>
      </c>
      <c r="G4" s="69">
        <v>0.33333333333333331</v>
      </c>
      <c r="H4" s="70">
        <v>2800</v>
      </c>
      <c r="I4" s="70">
        <v>-7850</v>
      </c>
      <c r="J4" s="69">
        <v>0</v>
      </c>
      <c r="K4" s="69">
        <v>0</v>
      </c>
      <c r="L4" s="69">
        <v>0</v>
      </c>
      <c r="M4" s="69">
        <v>0.16666666666666666</v>
      </c>
      <c r="N4" s="69">
        <v>0.16666666666666666</v>
      </c>
      <c r="O4" s="69">
        <v>1</v>
      </c>
      <c r="P4" s="69">
        <v>0</v>
      </c>
      <c r="Q4" s="69">
        <v>1</v>
      </c>
    </row>
    <row r="5" spans="1:17" x14ac:dyDescent="0.4">
      <c r="A5" s="71">
        <v>2</v>
      </c>
      <c r="B5" s="68">
        <v>-3.3999999999999986</v>
      </c>
      <c r="C5" s="68">
        <v>-1.6999999999999993</v>
      </c>
      <c r="D5" s="73">
        <v>2</v>
      </c>
      <c r="E5" s="69">
        <v>0.5</v>
      </c>
      <c r="F5" s="69">
        <v>0.375</v>
      </c>
      <c r="G5" s="69">
        <v>0.25</v>
      </c>
      <c r="H5" s="70">
        <v>7983.333333333333</v>
      </c>
      <c r="I5" s="70">
        <v>-9825</v>
      </c>
      <c r="J5" s="69">
        <v>0</v>
      </c>
      <c r="K5" s="69">
        <v>0</v>
      </c>
      <c r="L5" s="69">
        <v>0.5</v>
      </c>
      <c r="M5" s="69">
        <v>0.25</v>
      </c>
      <c r="N5" s="69">
        <v>0.25</v>
      </c>
      <c r="O5" s="69">
        <v>1</v>
      </c>
      <c r="P5" s="69">
        <v>0.25</v>
      </c>
      <c r="Q5" s="69">
        <v>0.33333333333333331</v>
      </c>
    </row>
    <row r="6" spans="1:17" x14ac:dyDescent="0.4">
      <c r="A6" s="71">
        <v>3</v>
      </c>
      <c r="B6" s="68">
        <v>-23.099999999999998</v>
      </c>
      <c r="C6" s="68">
        <v>-7.6999999999999993</v>
      </c>
      <c r="D6" s="73">
        <v>2</v>
      </c>
      <c r="E6" s="69">
        <v>0.33333333333333331</v>
      </c>
      <c r="F6" s="69">
        <v>0.30769230769230771</v>
      </c>
      <c r="G6" s="69">
        <v>0.26923076923076922</v>
      </c>
      <c r="H6" s="70">
        <v>6837.5</v>
      </c>
      <c r="I6" s="70">
        <v>-8471.4285714285706</v>
      </c>
      <c r="J6" s="69">
        <v>0</v>
      </c>
      <c r="K6" s="69">
        <v>0</v>
      </c>
      <c r="L6" s="69">
        <v>0.33333333333333331</v>
      </c>
      <c r="M6" s="69">
        <v>0.23076923076923078</v>
      </c>
      <c r="N6" s="69">
        <v>0.30769230769230771</v>
      </c>
      <c r="O6" s="69">
        <v>0.66666666666666663</v>
      </c>
      <c r="P6" s="69">
        <v>0.375</v>
      </c>
      <c r="Q6" s="69">
        <v>0.25</v>
      </c>
    </row>
    <row r="7" spans="1:17" x14ac:dyDescent="0.4">
      <c r="A7" s="71">
        <v>4</v>
      </c>
      <c r="B7" s="68">
        <v>-31.4</v>
      </c>
      <c r="C7" s="68">
        <v>-7.85</v>
      </c>
      <c r="D7" s="73">
        <v>2</v>
      </c>
      <c r="E7" s="69">
        <v>0.25</v>
      </c>
      <c r="F7" s="69">
        <v>0.27272727272727271</v>
      </c>
      <c r="G7" s="69">
        <v>0.24242424242424243</v>
      </c>
      <c r="H7" s="70">
        <v>7411.1111111111113</v>
      </c>
      <c r="I7" s="70">
        <v>-8137.5</v>
      </c>
      <c r="J7" s="69">
        <v>0</v>
      </c>
      <c r="K7" s="69">
        <v>0</v>
      </c>
      <c r="L7" s="69">
        <v>0.25</v>
      </c>
      <c r="M7" s="69">
        <v>0.21212121212121213</v>
      </c>
      <c r="N7" s="69">
        <v>0.24242424242424243</v>
      </c>
      <c r="O7" s="69">
        <v>0.5714285714285714</v>
      </c>
      <c r="P7" s="69">
        <v>0.375</v>
      </c>
      <c r="Q7" s="69">
        <v>0.22222222222222221</v>
      </c>
    </row>
    <row r="8" spans="1:17" x14ac:dyDescent="0.4">
      <c r="A8" s="71">
        <v>5</v>
      </c>
      <c r="B8" s="68">
        <v>-32.199999999999996</v>
      </c>
      <c r="C8" s="68">
        <v>-6.4399999999999995</v>
      </c>
      <c r="D8" s="73">
        <v>2</v>
      </c>
      <c r="E8" s="69">
        <v>0.2</v>
      </c>
      <c r="F8" s="69">
        <v>0.30232558139534882</v>
      </c>
      <c r="G8" s="69">
        <v>0.2558139534883721</v>
      </c>
      <c r="H8" s="70">
        <v>7515.3846153846152</v>
      </c>
      <c r="I8" s="70">
        <v>-8627.2727272727279</v>
      </c>
      <c r="J8" s="69">
        <v>0</v>
      </c>
      <c r="K8" s="69">
        <v>0</v>
      </c>
      <c r="L8" s="69">
        <v>0.2</v>
      </c>
      <c r="M8" s="69">
        <v>0.18604651162790697</v>
      </c>
      <c r="N8" s="69">
        <v>0.18604651162790697</v>
      </c>
      <c r="O8" s="69">
        <v>0.625</v>
      </c>
      <c r="P8" s="69">
        <v>0.375</v>
      </c>
      <c r="Q8" s="69">
        <v>0.30769230769230771</v>
      </c>
    </row>
    <row r="9" spans="1:17" x14ac:dyDescent="0.4">
      <c r="A9" s="71">
        <v>6</v>
      </c>
      <c r="B9" s="68">
        <v>-58.5</v>
      </c>
      <c r="C9" s="68">
        <v>-9.75</v>
      </c>
      <c r="D9" s="73">
        <v>2.1666666666666665</v>
      </c>
      <c r="E9" s="69">
        <v>0.16666666666666666</v>
      </c>
      <c r="F9" s="69">
        <v>0.28846153846153844</v>
      </c>
      <c r="G9" s="69">
        <v>0.26923076923076922</v>
      </c>
      <c r="H9" s="70">
        <v>7973.333333333333</v>
      </c>
      <c r="I9" s="70">
        <v>-8350</v>
      </c>
      <c r="J9" s="69">
        <v>0</v>
      </c>
      <c r="K9" s="69">
        <v>0</v>
      </c>
      <c r="L9" s="69">
        <v>0.16666666666666666</v>
      </c>
      <c r="M9" s="69">
        <v>0.21153846153846154</v>
      </c>
      <c r="N9" s="69">
        <v>0.15384615384615385</v>
      </c>
      <c r="O9" s="69">
        <v>0.63636363636363635</v>
      </c>
      <c r="P9" s="69">
        <v>0.375</v>
      </c>
      <c r="Q9" s="69">
        <v>0.33333333333333331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D3CA5-6788-4C9F-91A5-FE4E39477E8F}">
  <sheetPr codeName="Sheet10"/>
  <dimension ref="A1:Q9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134</v>
      </c>
      <c r="B1" s="72" t="s">
        <v>134</v>
      </c>
      <c r="C1" s="72" t="s">
        <v>134</v>
      </c>
      <c r="D1" s="73" t="s">
        <v>134</v>
      </c>
      <c r="E1" s="72" t="s">
        <v>134</v>
      </c>
      <c r="F1" s="72" t="s">
        <v>134</v>
      </c>
      <c r="G1" s="72" t="s">
        <v>134</v>
      </c>
      <c r="H1" s="72" t="s">
        <v>134</v>
      </c>
      <c r="I1" s="72" t="s">
        <v>134</v>
      </c>
      <c r="J1" s="72" t="s">
        <v>134</v>
      </c>
      <c r="K1" s="72" t="s">
        <v>134</v>
      </c>
      <c r="L1" s="72" t="s">
        <v>134</v>
      </c>
      <c r="M1" s="72" t="s">
        <v>134</v>
      </c>
      <c r="N1" s="72" t="s">
        <v>134</v>
      </c>
      <c r="O1" s="72" t="s">
        <v>134</v>
      </c>
      <c r="P1" s="72" t="s">
        <v>134</v>
      </c>
      <c r="Q1" s="72" t="s">
        <v>134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153</v>
      </c>
      <c r="G2" s="72" t="s">
        <v>152</v>
      </c>
      <c r="H2" s="72" t="s">
        <v>5</v>
      </c>
      <c r="I2" s="72" t="s">
        <v>17</v>
      </c>
      <c r="J2" s="72" t="s">
        <v>18</v>
      </c>
      <c r="K2" s="72" t="s">
        <v>147</v>
      </c>
      <c r="L2" s="72" t="s">
        <v>168</v>
      </c>
      <c r="M2" s="72" t="s">
        <v>129</v>
      </c>
      <c r="N2" s="72" t="s">
        <v>124</v>
      </c>
      <c r="O2" s="72" t="s">
        <v>132</v>
      </c>
      <c r="P2" s="72" t="s">
        <v>154</v>
      </c>
      <c r="Q2" s="72" t="s">
        <v>150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45.5</v>
      </c>
      <c r="C4" s="68">
        <v>45.5</v>
      </c>
      <c r="D4" s="73">
        <v>1</v>
      </c>
      <c r="E4" s="69">
        <v>1</v>
      </c>
      <c r="F4" s="69">
        <v>0.5</v>
      </c>
      <c r="G4" s="69">
        <v>0.16666666666666666</v>
      </c>
      <c r="H4" s="70">
        <v>13233.333333333334</v>
      </c>
      <c r="I4" s="70">
        <v>-8000</v>
      </c>
      <c r="J4" s="69">
        <v>0</v>
      </c>
      <c r="K4" s="69">
        <v>0</v>
      </c>
      <c r="L4" s="69">
        <v>1</v>
      </c>
      <c r="M4" s="69">
        <v>0.5</v>
      </c>
      <c r="N4" s="69">
        <v>0.16666666666666666</v>
      </c>
      <c r="O4" s="69">
        <v>1</v>
      </c>
      <c r="P4" s="69">
        <v>0</v>
      </c>
      <c r="Q4" s="69">
        <v>0</v>
      </c>
    </row>
    <row r="5" spans="1:17" x14ac:dyDescent="0.4">
      <c r="A5" s="71">
        <v>2</v>
      </c>
      <c r="B5" s="68">
        <v>6.2999999999999972</v>
      </c>
      <c r="C5" s="68">
        <v>3.1499999999999986</v>
      </c>
      <c r="D5" s="73">
        <v>2</v>
      </c>
      <c r="E5" s="69">
        <v>0.5</v>
      </c>
      <c r="F5" s="69">
        <v>0.3125</v>
      </c>
      <c r="G5" s="69">
        <v>0.25</v>
      </c>
      <c r="H5" s="70">
        <v>11860</v>
      </c>
      <c r="I5" s="70">
        <v>-6950</v>
      </c>
      <c r="J5" s="69">
        <v>0</v>
      </c>
      <c r="K5" s="69">
        <v>0</v>
      </c>
      <c r="L5" s="69">
        <v>0.5</v>
      </c>
      <c r="M5" s="69">
        <v>0.375</v>
      </c>
      <c r="N5" s="69">
        <v>0.125</v>
      </c>
      <c r="O5" s="69">
        <v>0.66666666666666663</v>
      </c>
      <c r="P5" s="69">
        <v>0.5</v>
      </c>
      <c r="Q5" s="69">
        <v>0.2</v>
      </c>
    </row>
    <row r="6" spans="1:17" x14ac:dyDescent="0.4">
      <c r="A6" s="71">
        <v>3</v>
      </c>
      <c r="B6" s="68">
        <v>-47.300000000000004</v>
      </c>
      <c r="C6" s="68">
        <v>-15.766666666666667</v>
      </c>
      <c r="D6" s="73">
        <v>2.3333333333333335</v>
      </c>
      <c r="E6" s="69">
        <v>0.33333333333333331</v>
      </c>
      <c r="F6" s="69">
        <v>0.23076923076923078</v>
      </c>
      <c r="G6" s="69">
        <v>0.26923076923076922</v>
      </c>
      <c r="H6" s="70">
        <v>11483.333333333334</v>
      </c>
      <c r="I6" s="70">
        <v>-7785.7142857142853</v>
      </c>
      <c r="J6" s="69">
        <v>0</v>
      </c>
      <c r="K6" s="69">
        <v>0</v>
      </c>
      <c r="L6" s="69">
        <v>0.33333333333333331</v>
      </c>
      <c r="M6" s="69">
        <v>0.26923076923076922</v>
      </c>
      <c r="N6" s="69">
        <v>0.23076923076923078</v>
      </c>
      <c r="O6" s="69">
        <v>0.7142857142857143</v>
      </c>
      <c r="P6" s="69">
        <v>0.16666666666666666</v>
      </c>
      <c r="Q6" s="69">
        <v>0.16666666666666666</v>
      </c>
    </row>
    <row r="7" spans="1:17" x14ac:dyDescent="0.4">
      <c r="A7" s="71">
        <v>4</v>
      </c>
      <c r="B7" s="68">
        <v>13.599999999999994</v>
      </c>
      <c r="C7" s="68">
        <v>3.3999999999999986</v>
      </c>
      <c r="D7" s="73">
        <v>2</v>
      </c>
      <c r="E7" s="69">
        <v>0.5</v>
      </c>
      <c r="F7" s="69">
        <v>0.34285714285714286</v>
      </c>
      <c r="G7" s="69">
        <v>0.22857142857142856</v>
      </c>
      <c r="H7" s="70">
        <v>9500</v>
      </c>
      <c r="I7" s="70">
        <v>-7300</v>
      </c>
      <c r="J7" s="69">
        <v>0</v>
      </c>
      <c r="K7" s="69">
        <v>0</v>
      </c>
      <c r="L7" s="69">
        <v>0.25</v>
      </c>
      <c r="M7" s="69">
        <v>0.2857142857142857</v>
      </c>
      <c r="N7" s="69">
        <v>0.25714285714285712</v>
      </c>
      <c r="O7" s="69">
        <v>0.8</v>
      </c>
      <c r="P7" s="69">
        <v>0.33333333333333331</v>
      </c>
      <c r="Q7" s="69">
        <v>0.25</v>
      </c>
    </row>
    <row r="8" spans="1:17" x14ac:dyDescent="0.4">
      <c r="A8" s="71">
        <v>5</v>
      </c>
      <c r="B8" s="68">
        <v>-16.600000000000005</v>
      </c>
      <c r="C8" s="68">
        <v>-3.3200000000000012</v>
      </c>
      <c r="D8" s="73">
        <v>2.2000000000000002</v>
      </c>
      <c r="E8" s="69">
        <v>0.4</v>
      </c>
      <c r="F8" s="69">
        <v>0.28888888888888886</v>
      </c>
      <c r="G8" s="69">
        <v>0.2</v>
      </c>
      <c r="H8" s="70">
        <v>8846.1538461538457</v>
      </c>
      <c r="I8" s="70">
        <v>-6755.5555555555557</v>
      </c>
      <c r="J8" s="69">
        <v>0</v>
      </c>
      <c r="K8" s="69">
        <v>0</v>
      </c>
      <c r="L8" s="69">
        <v>0.2</v>
      </c>
      <c r="M8" s="69">
        <v>0.24444444444444444</v>
      </c>
      <c r="N8" s="69">
        <v>0.24444444444444444</v>
      </c>
      <c r="O8" s="69">
        <v>0.72727272727272729</v>
      </c>
      <c r="P8" s="69">
        <v>0.36363636363636365</v>
      </c>
      <c r="Q8" s="69">
        <v>0.23076923076923078</v>
      </c>
    </row>
    <row r="9" spans="1:17" x14ac:dyDescent="0.4">
      <c r="A9" s="71">
        <v>6</v>
      </c>
      <c r="B9" s="68">
        <v>-14.000000000000005</v>
      </c>
      <c r="C9" s="68">
        <v>-2.3333333333333344</v>
      </c>
      <c r="D9" s="73">
        <v>2.1666666666666665</v>
      </c>
      <c r="E9" s="69">
        <v>0.33333333333333331</v>
      </c>
      <c r="F9" s="69">
        <v>0.29629629629629628</v>
      </c>
      <c r="G9" s="69">
        <v>0.16666666666666666</v>
      </c>
      <c r="H9" s="70">
        <v>8231.25</v>
      </c>
      <c r="I9" s="70">
        <v>-6755.5555555555557</v>
      </c>
      <c r="J9" s="69">
        <v>0</v>
      </c>
      <c r="K9" s="69">
        <v>0</v>
      </c>
      <c r="L9" s="69">
        <v>0.16666666666666666</v>
      </c>
      <c r="M9" s="69">
        <v>0.31481481481481483</v>
      </c>
      <c r="N9" s="69">
        <v>0.22222222222222221</v>
      </c>
      <c r="O9" s="69">
        <v>0.6470588235294118</v>
      </c>
      <c r="P9" s="69">
        <v>0.33333333333333331</v>
      </c>
      <c r="Q9" s="69">
        <v>0.25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DFD5A-151B-47CF-B527-991A48A968BB}">
  <sheetPr codeName="Sheet8"/>
  <dimension ref="A1:Q10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133</v>
      </c>
      <c r="B1" s="72" t="s">
        <v>133</v>
      </c>
      <c r="C1" s="72" t="s">
        <v>133</v>
      </c>
      <c r="D1" s="73" t="s">
        <v>133</v>
      </c>
      <c r="E1" s="72" t="s">
        <v>133</v>
      </c>
      <c r="F1" s="72" t="s">
        <v>133</v>
      </c>
      <c r="G1" s="72" t="s">
        <v>133</v>
      </c>
      <c r="H1" s="72" t="s">
        <v>133</v>
      </c>
      <c r="I1" s="72" t="s">
        <v>133</v>
      </c>
      <c r="J1" s="72" t="s">
        <v>133</v>
      </c>
      <c r="K1" s="72" t="s">
        <v>133</v>
      </c>
      <c r="L1" s="72" t="s">
        <v>133</v>
      </c>
      <c r="M1" s="72" t="s">
        <v>133</v>
      </c>
      <c r="N1" s="72" t="s">
        <v>133</v>
      </c>
      <c r="O1" s="72" t="s">
        <v>133</v>
      </c>
      <c r="P1" s="72" t="s">
        <v>133</v>
      </c>
      <c r="Q1" s="72" t="s">
        <v>133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153</v>
      </c>
      <c r="G2" s="72" t="s">
        <v>152</v>
      </c>
      <c r="H2" s="72" t="s">
        <v>5</v>
      </c>
      <c r="I2" s="72" t="s">
        <v>17</v>
      </c>
      <c r="J2" s="72" t="s">
        <v>18</v>
      </c>
      <c r="K2" s="72" t="s">
        <v>147</v>
      </c>
      <c r="L2" s="72" t="s">
        <v>168</v>
      </c>
      <c r="M2" s="72" t="s">
        <v>129</v>
      </c>
      <c r="N2" s="72" t="s">
        <v>124</v>
      </c>
      <c r="O2" s="72" t="s">
        <v>132</v>
      </c>
      <c r="P2" s="72" t="s">
        <v>154</v>
      </c>
      <c r="Q2" s="72" t="s">
        <v>150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-5.0999999999999996</v>
      </c>
      <c r="C4" s="68">
        <v>-5.0999999999999996</v>
      </c>
      <c r="D4" s="73">
        <v>2</v>
      </c>
      <c r="E4" s="69">
        <v>0</v>
      </c>
      <c r="F4" s="69">
        <v>0.33333333333333331</v>
      </c>
      <c r="G4" s="69">
        <v>0.16666666666666666</v>
      </c>
      <c r="H4" s="70">
        <v>10000</v>
      </c>
      <c r="I4" s="70">
        <v>-24000</v>
      </c>
      <c r="J4" s="69">
        <v>0</v>
      </c>
      <c r="K4" s="69">
        <v>0</v>
      </c>
      <c r="L4" s="69">
        <v>0</v>
      </c>
      <c r="M4" s="69">
        <v>0.33333333333333331</v>
      </c>
      <c r="N4" s="69">
        <v>0.33333333333333331</v>
      </c>
      <c r="O4" s="69">
        <v>1</v>
      </c>
      <c r="P4" s="69">
        <v>0</v>
      </c>
      <c r="Q4" s="69">
        <v>0.5</v>
      </c>
    </row>
    <row r="5" spans="1:17" x14ac:dyDescent="0.4">
      <c r="A5" s="71">
        <v>2</v>
      </c>
      <c r="B5" s="68">
        <v>-2.8999999999999995</v>
      </c>
      <c r="C5" s="68">
        <v>-1.4499999999999997</v>
      </c>
      <c r="D5" s="73">
        <v>2</v>
      </c>
      <c r="E5" s="69">
        <v>0</v>
      </c>
      <c r="F5" s="69">
        <v>0.3125</v>
      </c>
      <c r="G5" s="69">
        <v>0.1875</v>
      </c>
      <c r="H5" s="70">
        <v>10780</v>
      </c>
      <c r="I5" s="70">
        <v>-13733.333333333334</v>
      </c>
      <c r="J5" s="69">
        <v>0</v>
      </c>
      <c r="K5" s="69">
        <v>0</v>
      </c>
      <c r="L5" s="69">
        <v>0</v>
      </c>
      <c r="M5" s="69">
        <v>0.375</v>
      </c>
      <c r="N5" s="69">
        <v>0.375</v>
      </c>
      <c r="O5" s="69">
        <v>0.5</v>
      </c>
      <c r="P5" s="69">
        <v>0.33333333333333331</v>
      </c>
      <c r="Q5" s="69">
        <v>0.4</v>
      </c>
    </row>
    <row r="6" spans="1:17" x14ac:dyDescent="0.4">
      <c r="A6" s="71">
        <v>3</v>
      </c>
      <c r="B6" s="68">
        <v>70.399999999999991</v>
      </c>
      <c r="C6" s="68">
        <v>23.466666666666665</v>
      </c>
      <c r="D6" s="73">
        <v>1.6666666666666667</v>
      </c>
      <c r="E6" s="69">
        <v>0.33333333333333331</v>
      </c>
      <c r="F6" s="69">
        <v>0.38461538461538464</v>
      </c>
      <c r="G6" s="69">
        <v>0.15384615384615385</v>
      </c>
      <c r="H6" s="70">
        <v>9910</v>
      </c>
      <c r="I6" s="70">
        <v>-11025</v>
      </c>
      <c r="J6" s="69">
        <v>0</v>
      </c>
      <c r="K6" s="69">
        <v>0</v>
      </c>
      <c r="L6" s="69">
        <v>0</v>
      </c>
      <c r="M6" s="69">
        <v>0.46153846153846156</v>
      </c>
      <c r="N6" s="69">
        <v>0.26923076923076922</v>
      </c>
      <c r="O6" s="69">
        <v>0.41666666666666669</v>
      </c>
      <c r="P6" s="69">
        <v>0.42857142857142855</v>
      </c>
      <c r="Q6" s="69">
        <v>0.3</v>
      </c>
    </row>
    <row r="7" spans="1:17" x14ac:dyDescent="0.4">
      <c r="A7" s="71">
        <v>4</v>
      </c>
      <c r="B7" s="68">
        <v>110.5</v>
      </c>
      <c r="C7" s="68">
        <v>27.625</v>
      </c>
      <c r="D7" s="73">
        <v>1.5</v>
      </c>
      <c r="E7" s="69">
        <v>0.5</v>
      </c>
      <c r="F7" s="69">
        <v>0.42424242424242425</v>
      </c>
      <c r="G7" s="69">
        <v>0.15151515151515152</v>
      </c>
      <c r="H7" s="70">
        <v>8442.8571428571431</v>
      </c>
      <c r="I7" s="70">
        <v>-9220</v>
      </c>
      <c r="J7" s="69">
        <v>0</v>
      </c>
      <c r="K7" s="69">
        <v>0</v>
      </c>
      <c r="L7" s="69">
        <v>0</v>
      </c>
      <c r="M7" s="69">
        <v>0.45454545454545453</v>
      </c>
      <c r="N7" s="69">
        <v>0.24242424242424243</v>
      </c>
      <c r="O7" s="69">
        <v>0.46666666666666667</v>
      </c>
      <c r="P7" s="69">
        <v>0.5</v>
      </c>
      <c r="Q7" s="69">
        <v>0.21428571428571427</v>
      </c>
    </row>
    <row r="8" spans="1:17" x14ac:dyDescent="0.4">
      <c r="A8" s="71">
        <v>5</v>
      </c>
      <c r="B8" s="68">
        <v>201.4</v>
      </c>
      <c r="C8" s="68">
        <v>40.28</v>
      </c>
      <c r="D8" s="73">
        <v>1.4</v>
      </c>
      <c r="E8" s="69">
        <v>0.6</v>
      </c>
      <c r="F8" s="69">
        <v>0.47499999999999998</v>
      </c>
      <c r="G8" s="69">
        <v>0.125</v>
      </c>
      <c r="H8" s="70">
        <v>9663.1578947368416</v>
      </c>
      <c r="I8" s="70">
        <v>-9220</v>
      </c>
      <c r="J8" s="69">
        <v>0</v>
      </c>
      <c r="K8" s="69">
        <v>0.2</v>
      </c>
      <c r="L8" s="69">
        <v>0.2</v>
      </c>
      <c r="M8" s="69">
        <v>0.4</v>
      </c>
      <c r="N8" s="69">
        <v>0.25</v>
      </c>
      <c r="O8" s="69">
        <v>0.5</v>
      </c>
      <c r="P8" s="69">
        <v>0.6</v>
      </c>
      <c r="Q8" s="69">
        <v>0.26315789473684209</v>
      </c>
    </row>
    <row r="9" spans="1:17" x14ac:dyDescent="0.4">
      <c r="A9" s="71">
        <v>6</v>
      </c>
      <c r="B9" s="68">
        <v>232.4</v>
      </c>
      <c r="C9" s="68">
        <v>38.733333333333334</v>
      </c>
      <c r="D9" s="73">
        <v>1.3333333333333333</v>
      </c>
      <c r="E9" s="69">
        <v>0.66666666666666663</v>
      </c>
      <c r="F9" s="69">
        <v>0.44</v>
      </c>
      <c r="G9" s="69">
        <v>0.14000000000000001</v>
      </c>
      <c r="H9" s="70">
        <v>9700</v>
      </c>
      <c r="I9" s="70">
        <v>-9014.2857142857138</v>
      </c>
      <c r="J9" s="69">
        <v>0</v>
      </c>
      <c r="K9" s="69">
        <v>0.16666666666666666</v>
      </c>
      <c r="L9" s="69">
        <v>0.33333333333333331</v>
      </c>
      <c r="M9" s="69">
        <v>0.42</v>
      </c>
      <c r="N9" s="69">
        <v>0.24</v>
      </c>
      <c r="O9" s="69">
        <v>0.42857142857142855</v>
      </c>
      <c r="P9" s="69">
        <v>0.66666666666666663</v>
      </c>
      <c r="Q9" s="69">
        <v>0.22727272727272727</v>
      </c>
    </row>
    <row r="10" spans="1:17" x14ac:dyDescent="0.4">
      <c r="A10" s="71">
        <v>7</v>
      </c>
      <c r="B10" s="68">
        <v>256.10000000000002</v>
      </c>
      <c r="C10" s="68">
        <v>36.585714285714289</v>
      </c>
      <c r="D10" s="73">
        <v>1.2857142857142858</v>
      </c>
      <c r="E10" s="69">
        <v>0.7142857142857143</v>
      </c>
      <c r="F10" s="69">
        <v>0.44067796610169491</v>
      </c>
      <c r="G10" s="69">
        <v>0.15254237288135594</v>
      </c>
      <c r="H10" s="70">
        <v>8938.461538461539</v>
      </c>
      <c r="I10" s="70">
        <v>-7733.333333333333</v>
      </c>
      <c r="J10" s="69">
        <v>0</v>
      </c>
      <c r="K10" s="69">
        <v>0.14285714285714285</v>
      </c>
      <c r="L10" s="69">
        <v>0.42857142857142855</v>
      </c>
      <c r="M10" s="69">
        <v>0.3728813559322034</v>
      </c>
      <c r="N10" s="69">
        <v>0.2711864406779661</v>
      </c>
      <c r="O10" s="69">
        <v>0.45454545454545453</v>
      </c>
      <c r="P10" s="69">
        <v>0.625</v>
      </c>
      <c r="Q10" s="69">
        <v>0.26923076923076922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F1836-E3B7-4EC0-8E8B-E685CAC1843C}">
  <sheetPr codeName="Sheet6"/>
  <dimension ref="A1:Q11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151</v>
      </c>
      <c r="B1" s="72" t="s">
        <v>151</v>
      </c>
      <c r="C1" s="72" t="s">
        <v>151</v>
      </c>
      <c r="D1" s="73" t="s">
        <v>151</v>
      </c>
      <c r="E1" s="72" t="s">
        <v>151</v>
      </c>
      <c r="F1" s="72" t="s">
        <v>151</v>
      </c>
      <c r="G1" s="72" t="s">
        <v>151</v>
      </c>
      <c r="H1" s="72" t="s">
        <v>151</v>
      </c>
      <c r="I1" s="72" t="s">
        <v>151</v>
      </c>
      <c r="J1" s="72" t="s">
        <v>151</v>
      </c>
      <c r="K1" s="72" t="s">
        <v>151</v>
      </c>
      <c r="L1" s="72" t="s">
        <v>151</v>
      </c>
      <c r="M1" s="72" t="s">
        <v>151</v>
      </c>
      <c r="N1" s="72" t="s">
        <v>151</v>
      </c>
      <c r="O1" s="72" t="s">
        <v>151</v>
      </c>
      <c r="P1" s="72" t="s">
        <v>151</v>
      </c>
      <c r="Q1" s="72" t="s">
        <v>151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153</v>
      </c>
      <c r="G2" s="72" t="s">
        <v>152</v>
      </c>
      <c r="H2" s="72" t="s">
        <v>5</v>
      </c>
      <c r="I2" s="72" t="s">
        <v>17</v>
      </c>
      <c r="J2" s="72" t="s">
        <v>18</v>
      </c>
      <c r="K2" s="72" t="s">
        <v>147</v>
      </c>
      <c r="L2" s="72" t="s">
        <v>168</v>
      </c>
      <c r="M2" s="72" t="s">
        <v>129</v>
      </c>
      <c r="N2" s="72" t="s">
        <v>124</v>
      </c>
      <c r="O2" s="72" t="s">
        <v>132</v>
      </c>
      <c r="P2" s="72" t="s">
        <v>154</v>
      </c>
      <c r="Q2" s="72" t="s">
        <v>150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0</v>
      </c>
      <c r="C4" s="68">
        <v>0</v>
      </c>
      <c r="D4" s="73">
        <v>2</v>
      </c>
      <c r="E4" s="69">
        <v>0.33333333333333331</v>
      </c>
      <c r="F4" s="69">
        <v>0.33333333333333331</v>
      </c>
      <c r="G4" s="69">
        <v>0.22222222222222221</v>
      </c>
      <c r="H4" s="70">
        <v>10416.666666666666</v>
      </c>
      <c r="I4" s="70">
        <v>-11925</v>
      </c>
      <c r="J4" s="69">
        <v>0</v>
      </c>
      <c r="K4" s="69">
        <v>0</v>
      </c>
      <c r="L4" s="69">
        <v>0.33333333333333331</v>
      </c>
      <c r="M4" s="69">
        <v>0.33333333333333331</v>
      </c>
      <c r="N4" s="69">
        <v>0.22222222222222221</v>
      </c>
      <c r="O4" s="69">
        <v>1</v>
      </c>
      <c r="P4" s="69">
        <v>0</v>
      </c>
      <c r="Q4" s="69">
        <v>0.33333333333333331</v>
      </c>
    </row>
    <row r="5" spans="1:17" x14ac:dyDescent="0.4">
      <c r="A5" s="71">
        <v>2</v>
      </c>
      <c r="B5" s="68">
        <v>0</v>
      </c>
      <c r="C5" s="68">
        <v>0</v>
      </c>
      <c r="D5" s="73">
        <v>2</v>
      </c>
      <c r="E5" s="69">
        <v>0.33333333333333331</v>
      </c>
      <c r="F5" s="69">
        <v>0.33333333333333331</v>
      </c>
      <c r="G5" s="69">
        <v>0.22916666666666666</v>
      </c>
      <c r="H5" s="70">
        <v>10068.75</v>
      </c>
      <c r="I5" s="70">
        <v>-9845.454545454546</v>
      </c>
      <c r="J5" s="69">
        <v>0</v>
      </c>
      <c r="K5" s="69">
        <v>0</v>
      </c>
      <c r="L5" s="69">
        <v>0.33333333333333331</v>
      </c>
      <c r="M5" s="69">
        <v>0.33333333333333331</v>
      </c>
      <c r="N5" s="69">
        <v>0.25</v>
      </c>
      <c r="O5" s="69">
        <v>0.6875</v>
      </c>
      <c r="P5" s="69">
        <v>0.33333333333333331</v>
      </c>
      <c r="Q5" s="69">
        <v>0.3125</v>
      </c>
    </row>
    <row r="6" spans="1:17" x14ac:dyDescent="0.4">
      <c r="A6" s="71">
        <v>3</v>
      </c>
      <c r="B6" s="68">
        <v>-3.5527136788005009E-15</v>
      </c>
      <c r="C6" s="68">
        <v>-3.9474596431116675E-16</v>
      </c>
      <c r="D6" s="73">
        <v>2</v>
      </c>
      <c r="E6" s="69">
        <v>0.33333333333333331</v>
      </c>
      <c r="F6" s="69">
        <v>0.30769230769230771</v>
      </c>
      <c r="G6" s="69">
        <v>0.23076923076923078</v>
      </c>
      <c r="H6" s="70">
        <v>9279.1666666666661</v>
      </c>
      <c r="I6" s="70">
        <v>-8772.2222222222226</v>
      </c>
      <c r="J6" s="69">
        <v>0</v>
      </c>
      <c r="K6" s="69">
        <v>0</v>
      </c>
      <c r="L6" s="69">
        <v>0.22222222222222221</v>
      </c>
      <c r="M6" s="69">
        <v>0.32051282051282054</v>
      </c>
      <c r="N6" s="69">
        <v>0.26923076923076922</v>
      </c>
      <c r="O6" s="69">
        <v>0.56000000000000005</v>
      </c>
      <c r="P6" s="69">
        <v>0.33333333333333331</v>
      </c>
      <c r="Q6" s="69">
        <v>0.25</v>
      </c>
    </row>
    <row r="7" spans="1:17" x14ac:dyDescent="0.4">
      <c r="A7" s="71">
        <v>4</v>
      </c>
      <c r="B7" s="68">
        <v>-8.8817841970012523E-15</v>
      </c>
      <c r="C7" s="68">
        <v>-7.4014868308343773E-16</v>
      </c>
      <c r="D7" s="73">
        <v>2</v>
      </c>
      <c r="E7" s="69">
        <v>0.33333333333333331</v>
      </c>
      <c r="F7" s="69">
        <v>0.30303030303030304</v>
      </c>
      <c r="G7" s="69">
        <v>0.24242424242424243</v>
      </c>
      <c r="H7" s="70">
        <v>8393.3333333333339</v>
      </c>
      <c r="I7" s="70">
        <v>-7791.666666666667</v>
      </c>
      <c r="J7" s="69">
        <v>0</v>
      </c>
      <c r="K7" s="69">
        <v>0</v>
      </c>
      <c r="L7" s="69">
        <v>0.16666666666666666</v>
      </c>
      <c r="M7" s="69">
        <v>0.30303030303030304</v>
      </c>
      <c r="N7" s="69">
        <v>0.26262626262626265</v>
      </c>
      <c r="O7" s="69">
        <v>0.53333333333333333</v>
      </c>
      <c r="P7" s="69">
        <v>0.30769230769230771</v>
      </c>
      <c r="Q7" s="69">
        <v>0.2</v>
      </c>
    </row>
    <row r="8" spans="1:17" x14ac:dyDescent="0.4">
      <c r="A8" s="71">
        <v>5</v>
      </c>
      <c r="B8" s="68">
        <v>-1.0658141036401503E-14</v>
      </c>
      <c r="C8" s="68">
        <v>-7.1054273576010023E-16</v>
      </c>
      <c r="D8" s="73">
        <v>2</v>
      </c>
      <c r="E8" s="69">
        <v>0.33333333333333331</v>
      </c>
      <c r="F8" s="69">
        <v>0.30158730158730157</v>
      </c>
      <c r="G8" s="69">
        <v>0.23015873015873015</v>
      </c>
      <c r="H8" s="70">
        <v>7971.0526315789475</v>
      </c>
      <c r="I8" s="70">
        <v>-7324.1379310344828</v>
      </c>
      <c r="J8" s="69">
        <v>0</v>
      </c>
      <c r="K8" s="69">
        <v>0</v>
      </c>
      <c r="L8" s="69">
        <v>0.13333333333333333</v>
      </c>
      <c r="M8" s="69">
        <v>0.29365079365079366</v>
      </c>
      <c r="N8" s="69">
        <v>0.25396825396825395</v>
      </c>
      <c r="O8" s="69">
        <v>0.54054054054054057</v>
      </c>
      <c r="P8" s="69">
        <v>0.34375</v>
      </c>
      <c r="Q8" s="69">
        <v>0.23684210526315788</v>
      </c>
    </row>
    <row r="9" spans="1:17" x14ac:dyDescent="0.4">
      <c r="A9" s="71">
        <v>6</v>
      </c>
      <c r="B9" s="68">
        <v>-3.5527136788005009E-15</v>
      </c>
      <c r="C9" s="68">
        <v>-1.9737298215558337E-16</v>
      </c>
      <c r="D9" s="73">
        <v>2</v>
      </c>
      <c r="E9" s="69">
        <v>0.33333333333333331</v>
      </c>
      <c r="F9" s="69">
        <v>0.30612244897959184</v>
      </c>
      <c r="G9" s="69">
        <v>0.21768707482993196</v>
      </c>
      <c r="H9" s="70">
        <v>8540</v>
      </c>
      <c r="I9" s="70">
        <v>-8118.75</v>
      </c>
      <c r="J9" s="69">
        <v>5.5555555555555552E-2</v>
      </c>
      <c r="K9" s="69">
        <v>5.5555555555555552E-2</v>
      </c>
      <c r="L9" s="69">
        <v>0.16666666666666666</v>
      </c>
      <c r="M9" s="69">
        <v>0.27210884353741499</v>
      </c>
      <c r="N9" s="69">
        <v>0.23809523809523808</v>
      </c>
      <c r="O9" s="69">
        <v>0.52500000000000002</v>
      </c>
      <c r="P9" s="69">
        <v>0.37142857142857144</v>
      </c>
      <c r="Q9" s="69">
        <v>0.26666666666666666</v>
      </c>
    </row>
    <row r="10" spans="1:17" x14ac:dyDescent="0.4">
      <c r="A10" s="71">
        <v>7</v>
      </c>
      <c r="B10" s="68">
        <v>-2.886579864025407E-15</v>
      </c>
      <c r="C10" s="68">
        <v>-1.3745618400120986E-16</v>
      </c>
      <c r="D10" s="73">
        <v>2</v>
      </c>
      <c r="E10" s="69">
        <v>0.33333333333333331</v>
      </c>
      <c r="F10" s="69">
        <v>0.29943502824858759</v>
      </c>
      <c r="G10" s="69">
        <v>0.21468926553672316</v>
      </c>
      <c r="H10" s="70">
        <v>8416.9811320754725</v>
      </c>
      <c r="I10" s="70">
        <v>-8131.5789473684208</v>
      </c>
      <c r="J10" s="69">
        <v>4.7619047619047616E-2</v>
      </c>
      <c r="K10" s="69">
        <v>4.7619047619047616E-2</v>
      </c>
      <c r="L10" s="69">
        <v>0.19047619047619047</v>
      </c>
      <c r="M10" s="69">
        <v>0.2655367231638418</v>
      </c>
      <c r="N10" s="69">
        <v>0.22033898305084745</v>
      </c>
      <c r="O10" s="69">
        <v>0.48936170212765956</v>
      </c>
      <c r="P10" s="69">
        <v>0.41025641025641024</v>
      </c>
      <c r="Q10" s="69">
        <v>0.26415094339622641</v>
      </c>
    </row>
    <row r="11" spans="1:17" x14ac:dyDescent="0.4">
      <c r="A11" s="71">
        <v>8</v>
      </c>
      <c r="B11" s="68">
        <v>-3.5527136788005009E-15</v>
      </c>
      <c r="C11" s="68">
        <v>-1.4802973661668753E-16</v>
      </c>
      <c r="D11" s="73">
        <v>2</v>
      </c>
      <c r="E11" s="69">
        <v>0.33333333333333331</v>
      </c>
      <c r="F11" s="69">
        <v>0.30392156862745096</v>
      </c>
      <c r="G11" s="69">
        <v>0.2107843137254902</v>
      </c>
      <c r="H11" s="70">
        <v>8124.1935483870966</v>
      </c>
      <c r="I11" s="70">
        <v>-7848.8372093023254</v>
      </c>
      <c r="J11" s="69">
        <v>4.1666666666666664E-2</v>
      </c>
      <c r="K11" s="69">
        <v>4.1666666666666664E-2</v>
      </c>
      <c r="L11" s="69">
        <v>0.20833333333333334</v>
      </c>
      <c r="M11" s="69">
        <v>0.27941176470588236</v>
      </c>
      <c r="N11" s="69">
        <v>0.21568627450980393</v>
      </c>
      <c r="O11" s="69">
        <v>0.50877192982456143</v>
      </c>
      <c r="P11" s="69">
        <v>0.40909090909090912</v>
      </c>
      <c r="Q11" s="69">
        <v>0.29032258064516131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19</vt:i4>
      </vt:variant>
      <vt:variant>
        <vt:lpstr>グラフ</vt:lpstr>
      </vt:variant>
      <vt:variant>
        <vt:i4>16</vt:i4>
      </vt:variant>
    </vt:vector>
  </HeadingPairs>
  <TitlesOfParts>
    <vt:vector size="35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2019-04-02T11:41:03Z</dcterms:modified>
</cp:coreProperties>
</file>