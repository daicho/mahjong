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A0FDA9F5-D8F1-4121-9BD9-32F91E3112F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28" r:id="rId6"/>
    <sheet name="だいち" sheetId="4130" r:id="rId7"/>
    <sheet name="かこたろう" sheetId="4132" r:id="rId8"/>
    <sheet name="ともき" sheetId="4134" r:id="rId9"/>
    <sheet name="りくと" sheetId="4136" r:id="rId10"/>
    <sheet name="いっしー" sheetId="4138" r:id="rId11"/>
    <sheet name="がくと" sheetId="4140" r:id="rId12"/>
    <sheet name="たかの" sheetId="4142" r:id="rId13"/>
    <sheet name="ただ" sheetId="4144" r:id="rId14"/>
    <sheet name="やがさき" sheetId="4146" r:id="rId15"/>
    <sheet name="れんたろう" sheetId="4148" r:id="rId16"/>
    <sheet name="あさひ" sheetId="4150" r:id="rId17"/>
    <sheet name="まっつん" sheetId="4152" r:id="rId18"/>
    <sheet name="ぱぱ" sheetId="4154" r:id="rId19"/>
    <sheet name="ぱぱ2" sheetId="4155" state="hidden" r:id="rId20"/>
    <sheet name="まっつん2" sheetId="4153" state="hidden" r:id="rId21"/>
    <sheet name="あさひ2" sheetId="4151" state="hidden" r:id="rId22"/>
    <sheet name="れんたろう2" sheetId="4149" state="hidden" r:id="rId23"/>
    <sheet name="やがさき2" sheetId="4147" state="hidden" r:id="rId24"/>
    <sheet name="ただ2" sheetId="4145" state="hidden" r:id="rId25"/>
    <sheet name="たかの2" sheetId="4143" state="hidden" r:id="rId26"/>
    <sheet name="がくと2" sheetId="4141" state="hidden" r:id="rId27"/>
    <sheet name="いっしー2" sheetId="4139" state="hidden" r:id="rId28"/>
    <sheet name="りくと2" sheetId="4137" state="hidden" r:id="rId29"/>
    <sheet name="ともき2" sheetId="4135" state="hidden" r:id="rId30"/>
    <sheet name="かこたろう2" sheetId="4133" state="hidden" r:id="rId31"/>
    <sheet name="だいち2" sheetId="4131" state="hidden" r:id="rId32"/>
    <sheet name="全体2" sheetId="4129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136" l="1"/>
  <c r="O16" i="4154"/>
  <c r="O19" i="4146" l="1"/>
  <c r="O15" i="4154"/>
  <c r="O17" i="4154"/>
  <c r="O18" i="4130"/>
  <c r="O23" i="4138"/>
  <c r="O24" i="4138"/>
  <c r="O19" i="4154"/>
  <c r="O18" i="4154"/>
  <c r="H51" i="4154"/>
  <c r="H50" i="4154"/>
  <c r="H49" i="4154"/>
  <c r="H48" i="4154"/>
  <c r="H47" i="4154"/>
  <c r="H46" i="4154"/>
  <c r="H45" i="4154"/>
  <c r="H44" i="4154"/>
  <c r="H43" i="4154"/>
  <c r="H42" i="4154"/>
  <c r="H41" i="4154"/>
  <c r="H40" i="4154"/>
  <c r="H39" i="4154"/>
  <c r="H38" i="4154"/>
  <c r="H37" i="4154"/>
  <c r="H36" i="4154"/>
  <c r="H35" i="4154"/>
  <c r="H34" i="4154"/>
  <c r="H33" i="4154"/>
  <c r="H32" i="4154"/>
  <c r="H31" i="4154"/>
  <c r="H30" i="4154"/>
  <c r="H6" i="4154"/>
  <c r="H29" i="4154"/>
  <c r="H28" i="4154"/>
  <c r="H12" i="4154"/>
  <c r="H27" i="4154"/>
  <c r="C25" i="4154"/>
  <c r="H26" i="4154"/>
  <c r="H11" i="4154"/>
  <c r="H25" i="4154"/>
  <c r="B22" i="4154"/>
  <c r="H24" i="4154"/>
  <c r="H23" i="4154"/>
  <c r="C20" i="4154"/>
  <c r="H22" i="4154"/>
  <c r="H10" i="4154"/>
  <c r="H21" i="4154"/>
  <c r="B17" i="4154"/>
  <c r="B21" i="4154" s="1"/>
  <c r="H20" i="4154"/>
  <c r="C16" i="4154"/>
  <c r="H19" i="4154"/>
  <c r="C15" i="4154"/>
  <c r="H18" i="4154"/>
  <c r="C14" i="4154"/>
  <c r="H17" i="4154"/>
  <c r="C13" i="4154"/>
  <c r="O12" i="4154"/>
  <c r="H16" i="4154"/>
  <c r="C12" i="4154"/>
  <c r="O11" i="4154"/>
  <c r="H4" i="4154"/>
  <c r="C11" i="4154"/>
  <c r="O10" i="4154"/>
  <c r="H15" i="4154"/>
  <c r="C10" i="4154"/>
  <c r="H8" i="4154"/>
  <c r="C9" i="4154"/>
  <c r="H14" i="4154"/>
  <c r="C8" i="4154"/>
  <c r="O7" i="4154"/>
  <c r="H9" i="4154"/>
  <c r="C7" i="4154"/>
  <c r="O6" i="4154"/>
  <c r="H2" i="4154"/>
  <c r="B6" i="4154"/>
  <c r="O5" i="4154"/>
  <c r="H7" i="4154"/>
  <c r="B5" i="4154"/>
  <c r="O4" i="4154"/>
  <c r="H3" i="4154"/>
  <c r="O3" i="4154"/>
  <c r="H13" i="4154"/>
  <c r="O2" i="4154"/>
  <c r="H5" i="4154"/>
  <c r="O20" i="4152"/>
  <c r="O21" i="4152"/>
  <c r="O25" i="4128"/>
  <c r="C17" i="4154" l="1"/>
  <c r="C18" i="4154"/>
  <c r="C19" i="4154"/>
  <c r="O15" i="4138" l="1"/>
  <c r="O21" i="4146"/>
  <c r="O17" i="4146"/>
  <c r="O15" i="4148"/>
  <c r="O23" i="4136" l="1"/>
  <c r="O20" i="4146"/>
  <c r="O20" i="4144"/>
  <c r="O18" i="4146"/>
  <c r="O17" i="4136" l="1"/>
  <c r="O15" i="4152"/>
  <c r="O18" i="4152" l="1"/>
  <c r="O24" i="4130"/>
  <c r="O21" i="4144" l="1"/>
  <c r="O18" i="4150"/>
  <c r="O16" i="4140"/>
  <c r="O17" i="4140"/>
  <c r="O16" i="4148"/>
  <c r="O23" i="4148"/>
  <c r="O22" i="4152"/>
  <c r="O17" i="4152"/>
  <c r="O25" i="4138"/>
  <c r="O21" i="4142"/>
  <c r="O16" i="4152" l="1"/>
  <c r="O19" i="4152"/>
  <c r="H51" i="4152"/>
  <c r="H50" i="4152"/>
  <c r="H49" i="4152"/>
  <c r="H48" i="4152"/>
  <c r="H47" i="4152"/>
  <c r="H46" i="4152"/>
  <c r="H45" i="4152"/>
  <c r="H44" i="4152"/>
  <c r="H43" i="4152"/>
  <c r="H42" i="4152"/>
  <c r="H41" i="4152"/>
  <c r="H40" i="4152"/>
  <c r="H39" i="4152"/>
  <c r="H38" i="4152"/>
  <c r="H37" i="4152"/>
  <c r="H36" i="4152"/>
  <c r="H35" i="4152"/>
  <c r="H34" i="4152"/>
  <c r="H33" i="4152"/>
  <c r="H21" i="4152"/>
  <c r="H20" i="4152"/>
  <c r="H32" i="4152"/>
  <c r="H8" i="4152"/>
  <c r="H31" i="4152"/>
  <c r="H30" i="4152"/>
  <c r="H12" i="4152"/>
  <c r="H19" i="4152"/>
  <c r="C25" i="4152"/>
  <c r="H29" i="4152"/>
  <c r="H7" i="4152"/>
  <c r="H28" i="4152"/>
  <c r="B22" i="4152"/>
  <c r="H17" i="4152"/>
  <c r="H27" i="4152"/>
  <c r="C20" i="4152"/>
  <c r="H26" i="4152"/>
  <c r="H16" i="4152"/>
  <c r="H13" i="4152"/>
  <c r="B17" i="4152"/>
  <c r="B21" i="4152" s="1"/>
  <c r="H18" i="4152"/>
  <c r="C16" i="4152"/>
  <c r="H25" i="4152"/>
  <c r="C15" i="4152"/>
  <c r="H24" i="4152"/>
  <c r="C14" i="4152"/>
  <c r="H23" i="4152"/>
  <c r="C13" i="4152"/>
  <c r="O12" i="4152"/>
  <c r="H22" i="4152"/>
  <c r="C12" i="4152"/>
  <c r="O11" i="4152"/>
  <c r="H3" i="4152"/>
  <c r="C11" i="4152"/>
  <c r="O10" i="4152"/>
  <c r="H15" i="4152"/>
  <c r="C10" i="4152"/>
  <c r="H10" i="4152"/>
  <c r="C9" i="4152"/>
  <c r="H14" i="4152"/>
  <c r="C8" i="4152"/>
  <c r="O7" i="4152"/>
  <c r="H6" i="4152"/>
  <c r="C7" i="4152"/>
  <c r="O6" i="4152"/>
  <c r="H2" i="4152"/>
  <c r="B6" i="4152"/>
  <c r="O5" i="4152"/>
  <c r="H9" i="4152"/>
  <c r="B5" i="4152"/>
  <c r="O4" i="4152"/>
  <c r="H4" i="4152"/>
  <c r="O3" i="4152"/>
  <c r="H11" i="4152"/>
  <c r="O2" i="4152"/>
  <c r="H5" i="4152"/>
  <c r="O16" i="4142"/>
  <c r="O17" i="4144"/>
  <c r="O22" i="4128"/>
  <c r="O21" i="4138"/>
  <c r="O18" i="4140"/>
  <c r="O17" i="4150"/>
  <c r="O19" i="4150"/>
  <c r="C17" i="4152" l="1"/>
  <c r="C18" i="4152"/>
  <c r="C19" i="4152"/>
  <c r="O24" i="4148" l="1"/>
  <c r="O24" i="4136"/>
  <c r="O16" i="4134"/>
  <c r="O18" i="4134"/>
  <c r="O22" i="4148"/>
  <c r="O16" i="4136"/>
  <c r="O16" i="4128"/>
  <c r="O16" i="4150"/>
  <c r="O15" i="4150"/>
  <c r="H51" i="4150"/>
  <c r="H50" i="4150"/>
  <c r="H49" i="4150"/>
  <c r="H48" i="4150"/>
  <c r="H47" i="4150"/>
  <c r="H46" i="4150"/>
  <c r="H45" i="4150"/>
  <c r="H44" i="4150"/>
  <c r="H43" i="4150"/>
  <c r="H42" i="4150"/>
  <c r="H41" i="4150"/>
  <c r="H40" i="4150"/>
  <c r="H39" i="4150"/>
  <c r="H38" i="4150"/>
  <c r="H37" i="4150"/>
  <c r="H36" i="4150"/>
  <c r="H35" i="4150"/>
  <c r="H34" i="4150"/>
  <c r="H33" i="4150"/>
  <c r="H32" i="4150"/>
  <c r="H14" i="4150"/>
  <c r="H31" i="4150"/>
  <c r="H12" i="4150"/>
  <c r="H30" i="4150"/>
  <c r="H29" i="4150"/>
  <c r="H11" i="4150"/>
  <c r="H28" i="4150"/>
  <c r="C25" i="4150"/>
  <c r="H27" i="4150"/>
  <c r="H26" i="4150"/>
  <c r="H25" i="4150"/>
  <c r="B22" i="4150"/>
  <c r="H24" i="4150"/>
  <c r="H23" i="4150"/>
  <c r="C20" i="4150"/>
  <c r="H22" i="4150"/>
  <c r="H21" i="4150"/>
  <c r="H20" i="4150"/>
  <c r="B17" i="4150"/>
  <c r="B21" i="4150" s="1"/>
  <c r="H19" i="4150"/>
  <c r="C16" i="4150"/>
  <c r="H18" i="4150"/>
  <c r="C15" i="4150"/>
  <c r="H17" i="4150"/>
  <c r="C14" i="4150"/>
  <c r="H16" i="4150"/>
  <c r="C13" i="4150"/>
  <c r="O12" i="4150"/>
  <c r="H15" i="4150"/>
  <c r="C12" i="4150"/>
  <c r="O11" i="4150"/>
  <c r="H5" i="4150"/>
  <c r="C11" i="4150"/>
  <c r="O10" i="4150"/>
  <c r="H13" i="4150"/>
  <c r="C10" i="4150"/>
  <c r="H8" i="4150"/>
  <c r="C9" i="4150"/>
  <c r="H10" i="4150"/>
  <c r="C8" i="4150"/>
  <c r="O7" i="4150"/>
  <c r="H7" i="4150"/>
  <c r="C7" i="4150"/>
  <c r="O6" i="4150"/>
  <c r="H4" i="4150"/>
  <c r="B6" i="4150"/>
  <c r="O5" i="4150"/>
  <c r="H6" i="4150"/>
  <c r="B5" i="4150"/>
  <c r="O4" i="4150"/>
  <c r="H3" i="4150"/>
  <c r="O3" i="4150"/>
  <c r="H9" i="4150"/>
  <c r="O2" i="4150"/>
  <c r="H2" i="4150"/>
  <c r="C18" i="4150" l="1"/>
  <c r="C17" i="4150"/>
  <c r="C19" i="4150"/>
  <c r="O17" i="4142" l="1"/>
  <c r="O19" i="4148"/>
  <c r="O19" i="4136"/>
  <c r="O19" i="4142"/>
  <c r="O19" i="4144" l="1"/>
  <c r="O20" i="4138"/>
  <c r="O15" i="4144" l="1"/>
  <c r="O17" i="4148"/>
  <c r="O19" i="4138" l="1"/>
  <c r="O20" i="4148"/>
  <c r="O18" i="4136" l="1"/>
  <c r="O18" i="4148"/>
  <c r="O21" i="4148"/>
  <c r="H51" i="4148"/>
  <c r="H50" i="4148"/>
  <c r="H49" i="4148"/>
  <c r="H48" i="4148"/>
  <c r="H47" i="4148"/>
  <c r="H46" i="4148"/>
  <c r="H45" i="4148"/>
  <c r="H44" i="4148"/>
  <c r="H43" i="4148"/>
  <c r="H42" i="4148"/>
  <c r="H41" i="4148"/>
  <c r="H40" i="4148"/>
  <c r="H39" i="4148"/>
  <c r="H38" i="4148"/>
  <c r="H37" i="4148"/>
  <c r="H36" i="4148"/>
  <c r="H35" i="4148"/>
  <c r="H34" i="4148"/>
  <c r="H21" i="4148"/>
  <c r="H25" i="4148"/>
  <c r="H18" i="4148"/>
  <c r="H33" i="4148"/>
  <c r="H9" i="4148"/>
  <c r="H32" i="4148"/>
  <c r="H31" i="4148"/>
  <c r="H12" i="4148"/>
  <c r="H24" i="4148"/>
  <c r="C25" i="4148"/>
  <c r="H23" i="4148"/>
  <c r="H14" i="4148"/>
  <c r="H30" i="4148"/>
  <c r="B22" i="4148"/>
  <c r="H16" i="4148"/>
  <c r="H29" i="4148"/>
  <c r="C20" i="4148"/>
  <c r="H28" i="4148"/>
  <c r="H20" i="4148"/>
  <c r="H13" i="4148"/>
  <c r="B17" i="4148"/>
  <c r="B21" i="4148" s="1"/>
  <c r="H22" i="4148"/>
  <c r="C16" i="4148"/>
  <c r="H27" i="4148"/>
  <c r="C15" i="4148"/>
  <c r="H19" i="4148"/>
  <c r="C14" i="4148"/>
  <c r="H26" i="4148"/>
  <c r="C13" i="4148"/>
  <c r="O12" i="4148"/>
  <c r="H17" i="4148"/>
  <c r="C12" i="4148"/>
  <c r="O11" i="4148"/>
  <c r="H4" i="4148"/>
  <c r="C11" i="4148"/>
  <c r="O10" i="4148"/>
  <c r="H15" i="4148"/>
  <c r="C10" i="4148"/>
  <c r="H10" i="4148"/>
  <c r="C9" i="4148"/>
  <c r="H8" i="4148"/>
  <c r="C8" i="4148"/>
  <c r="O7" i="4148"/>
  <c r="H7" i="4148"/>
  <c r="C7" i="4148"/>
  <c r="O6" i="4148"/>
  <c r="H2" i="4148"/>
  <c r="B6" i="4148"/>
  <c r="O5" i="4148"/>
  <c r="H6" i="4148"/>
  <c r="B5" i="4148"/>
  <c r="O4" i="4148"/>
  <c r="H3" i="4148"/>
  <c r="O3" i="4148"/>
  <c r="H11" i="4148"/>
  <c r="O2" i="4148"/>
  <c r="H5" i="4148"/>
  <c r="O22" i="4130"/>
  <c r="O18" i="4128"/>
  <c r="C18" i="4148" l="1"/>
  <c r="C17" i="4148"/>
  <c r="C19" i="4148"/>
  <c r="O20" i="4136" l="1"/>
  <c r="O16" i="4144"/>
  <c r="O16" i="4146" l="1"/>
  <c r="O15" i="4146"/>
  <c r="H51" i="4146"/>
  <c r="H50" i="4146"/>
  <c r="H49" i="4146"/>
  <c r="H48" i="4146"/>
  <c r="H47" i="4146"/>
  <c r="H46" i="4146"/>
  <c r="H45" i="4146"/>
  <c r="H44" i="4146"/>
  <c r="H43" i="4146"/>
  <c r="H42" i="4146"/>
  <c r="H41" i="4146"/>
  <c r="H40" i="4146"/>
  <c r="H39" i="4146"/>
  <c r="H38" i="4146"/>
  <c r="H37" i="4146"/>
  <c r="H36" i="4146"/>
  <c r="H35" i="4146"/>
  <c r="H34" i="4146"/>
  <c r="H33" i="4146"/>
  <c r="H19" i="4146"/>
  <c r="H18" i="4146"/>
  <c r="H32" i="4146"/>
  <c r="H9" i="4146"/>
  <c r="H31" i="4146"/>
  <c r="H30" i="4146"/>
  <c r="H17" i="4146"/>
  <c r="H29" i="4146"/>
  <c r="C25" i="4146"/>
  <c r="H28" i="4146"/>
  <c r="H16" i="4146"/>
  <c r="H27" i="4146"/>
  <c r="B22" i="4146"/>
  <c r="H26" i="4146"/>
  <c r="H25" i="4146"/>
  <c r="C20" i="4146"/>
  <c r="H24" i="4146"/>
  <c r="H15" i="4146"/>
  <c r="H13" i="4146"/>
  <c r="B17" i="4146"/>
  <c r="B21" i="4146" s="1"/>
  <c r="H23" i="4146"/>
  <c r="C16" i="4146"/>
  <c r="H22" i="4146"/>
  <c r="C15" i="4146"/>
  <c r="H21" i="4146"/>
  <c r="C14" i="4146"/>
  <c r="H20" i="4146"/>
  <c r="C13" i="4146"/>
  <c r="O12" i="4146"/>
  <c r="H14" i="4146"/>
  <c r="C12" i="4146"/>
  <c r="O11" i="4146"/>
  <c r="H6" i="4146"/>
  <c r="C11" i="4146"/>
  <c r="O10" i="4146"/>
  <c r="H12" i="4146"/>
  <c r="C10" i="4146"/>
  <c r="H11" i="4146"/>
  <c r="C9" i="4146"/>
  <c r="H10" i="4146"/>
  <c r="C8" i="4146"/>
  <c r="O7" i="4146"/>
  <c r="H7" i="4146"/>
  <c r="C7" i="4146"/>
  <c r="O6" i="4146"/>
  <c r="H2" i="4146"/>
  <c r="B6" i="4146"/>
  <c r="O5" i="4146"/>
  <c r="H4" i="4146"/>
  <c r="B5" i="4146"/>
  <c r="O4" i="4146"/>
  <c r="H5" i="4146"/>
  <c r="O3" i="4146"/>
  <c r="H8" i="4146"/>
  <c r="O2" i="4146"/>
  <c r="H3" i="4146"/>
  <c r="O18" i="4142"/>
  <c r="O19" i="4130"/>
  <c r="O27" i="4128"/>
  <c r="C18" i="4146" l="1"/>
  <c r="C19" i="4146"/>
  <c r="C17" i="4146"/>
  <c r="O16" i="4138" l="1"/>
  <c r="O15" i="4132"/>
  <c r="O22" i="4144" l="1"/>
  <c r="O18" i="4144"/>
  <c r="H51" i="4144"/>
  <c r="H50" i="4144"/>
  <c r="H49" i="4144"/>
  <c r="H48" i="4144"/>
  <c r="H47" i="4144"/>
  <c r="H46" i="4144"/>
  <c r="H45" i="4144"/>
  <c r="H44" i="4144"/>
  <c r="H43" i="4144"/>
  <c r="H42" i="4144"/>
  <c r="H41" i="4144"/>
  <c r="H40" i="4144"/>
  <c r="H39" i="4144"/>
  <c r="H38" i="4144"/>
  <c r="H37" i="4144"/>
  <c r="H36" i="4144"/>
  <c r="H35" i="4144"/>
  <c r="H34" i="4144"/>
  <c r="H21" i="4144"/>
  <c r="H33" i="4144"/>
  <c r="H18" i="4144"/>
  <c r="H32" i="4144"/>
  <c r="H9" i="4144"/>
  <c r="H31" i="4144"/>
  <c r="H30" i="4144"/>
  <c r="H14" i="4144"/>
  <c r="H29" i="4144"/>
  <c r="C25" i="4144"/>
  <c r="H24" i="4144"/>
  <c r="H16" i="4144"/>
  <c r="H28" i="4144"/>
  <c r="B22" i="4144"/>
  <c r="H15" i="4144"/>
  <c r="H27" i="4144"/>
  <c r="C20" i="4144"/>
  <c r="H26" i="4144"/>
  <c r="H20" i="4144"/>
  <c r="H13" i="4144"/>
  <c r="B17" i="4144"/>
  <c r="B21" i="4144" s="1"/>
  <c r="H19" i="4144"/>
  <c r="C16" i="4144"/>
  <c r="H25" i="4144"/>
  <c r="C15" i="4144"/>
  <c r="H23" i="4144"/>
  <c r="C14" i="4144"/>
  <c r="H22" i="4144"/>
  <c r="C13" i="4144"/>
  <c r="O12" i="4144"/>
  <c r="H17" i="4144"/>
  <c r="C12" i="4144"/>
  <c r="O11" i="4144"/>
  <c r="H4" i="4144"/>
  <c r="C11" i="4144"/>
  <c r="O10" i="4144"/>
  <c r="H12" i="4144"/>
  <c r="C10" i="4144"/>
  <c r="H11" i="4144"/>
  <c r="C9" i="4144"/>
  <c r="H8" i="4144"/>
  <c r="C8" i="4144"/>
  <c r="O7" i="4144"/>
  <c r="H7" i="4144"/>
  <c r="C7" i="4144"/>
  <c r="O6" i="4144"/>
  <c r="H2" i="4144"/>
  <c r="B6" i="4144"/>
  <c r="O5" i="4144"/>
  <c r="H6" i="4144"/>
  <c r="B5" i="4144"/>
  <c r="O4" i="4144"/>
  <c r="H3" i="4144"/>
  <c r="O3" i="4144"/>
  <c r="H10" i="4144"/>
  <c r="O2" i="4144"/>
  <c r="H5" i="4144"/>
  <c r="O20" i="4142"/>
  <c r="O15" i="4142"/>
  <c r="H51" i="4142"/>
  <c r="H50" i="4142"/>
  <c r="H49" i="4142"/>
  <c r="H48" i="4142"/>
  <c r="H47" i="4142"/>
  <c r="H46" i="4142"/>
  <c r="H45" i="4142"/>
  <c r="H44" i="4142"/>
  <c r="H43" i="4142"/>
  <c r="H42" i="4142"/>
  <c r="H41" i="4142"/>
  <c r="H40" i="4142"/>
  <c r="H39" i="4142"/>
  <c r="H38" i="4142"/>
  <c r="H37" i="4142"/>
  <c r="H36" i="4142"/>
  <c r="H35" i="4142"/>
  <c r="H34" i="4142"/>
  <c r="H33" i="4142"/>
  <c r="H32" i="4142"/>
  <c r="H31" i="4142"/>
  <c r="H30" i="4142"/>
  <c r="H10" i="4142"/>
  <c r="H29" i="4142"/>
  <c r="H28" i="4142"/>
  <c r="H15" i="4142"/>
  <c r="H27" i="4142"/>
  <c r="C25" i="4142"/>
  <c r="H26" i="4142"/>
  <c r="H16" i="4142"/>
  <c r="H25" i="4142"/>
  <c r="B22" i="4142"/>
  <c r="H18" i="4142"/>
  <c r="H24" i="4142"/>
  <c r="C20" i="4142"/>
  <c r="H23" i="4142"/>
  <c r="H14" i="4142"/>
  <c r="H13" i="4142"/>
  <c r="B17" i="4142"/>
  <c r="B21" i="4142" s="1"/>
  <c r="H22" i="4142"/>
  <c r="C16" i="4142"/>
  <c r="H21" i="4142"/>
  <c r="C15" i="4142"/>
  <c r="H17" i="4142"/>
  <c r="C14" i="4142"/>
  <c r="H20" i="4142"/>
  <c r="C13" i="4142"/>
  <c r="O12" i="4142"/>
  <c r="H19" i="4142"/>
  <c r="C12" i="4142"/>
  <c r="O11" i="4142"/>
  <c r="H4" i="4142"/>
  <c r="C11" i="4142"/>
  <c r="O10" i="4142"/>
  <c r="H12" i="4142"/>
  <c r="C10" i="4142"/>
  <c r="H11" i="4142"/>
  <c r="C9" i="4142"/>
  <c r="H8" i="4142"/>
  <c r="C8" i="4142"/>
  <c r="O7" i="4142"/>
  <c r="H6" i="4142"/>
  <c r="C7" i="4142"/>
  <c r="O6" i="4142"/>
  <c r="H2" i="4142"/>
  <c r="B6" i="4142"/>
  <c r="O5" i="4142"/>
  <c r="H9" i="4142"/>
  <c r="B5" i="4142"/>
  <c r="O4" i="4142"/>
  <c r="H3" i="4142"/>
  <c r="O3" i="4142"/>
  <c r="H7" i="4142"/>
  <c r="O2" i="4142"/>
  <c r="H5" i="4142"/>
  <c r="O20" i="4130"/>
  <c r="O25" i="4130"/>
  <c r="O26" i="4128"/>
  <c r="O21" i="4128"/>
  <c r="C17" i="4144" l="1"/>
  <c r="C18" i="4144"/>
  <c r="C19" i="4144"/>
  <c r="C17" i="4142"/>
  <c r="C18" i="4142"/>
  <c r="C19" i="4142"/>
  <c r="O17" i="4138" l="1"/>
  <c r="O19" i="4140"/>
  <c r="O15" i="4140"/>
  <c r="H51" i="4140"/>
  <c r="H50" i="4140"/>
  <c r="H49" i="4140"/>
  <c r="H48" i="4140"/>
  <c r="H47" i="4140"/>
  <c r="H46" i="4140"/>
  <c r="H45" i="4140"/>
  <c r="H44" i="4140"/>
  <c r="H43" i="4140"/>
  <c r="H42" i="4140"/>
  <c r="H41" i="4140"/>
  <c r="H40" i="4140"/>
  <c r="H39" i="4140"/>
  <c r="H38" i="4140"/>
  <c r="H37" i="4140"/>
  <c r="H36" i="4140"/>
  <c r="H35" i="4140"/>
  <c r="H34" i="4140"/>
  <c r="H33" i="4140"/>
  <c r="H32" i="4140"/>
  <c r="H31" i="4140"/>
  <c r="H30" i="4140"/>
  <c r="H29" i="4140"/>
  <c r="H28" i="4140"/>
  <c r="H27" i="4140"/>
  <c r="H11" i="4140"/>
  <c r="H26" i="4140"/>
  <c r="C25" i="4140"/>
  <c r="H25" i="4140"/>
  <c r="H24" i="4140"/>
  <c r="H23" i="4140"/>
  <c r="B22" i="4140"/>
  <c r="H22" i="4140"/>
  <c r="H21" i="4140"/>
  <c r="C20" i="4140"/>
  <c r="H20" i="4140"/>
  <c r="H8" i="4140"/>
  <c r="H19" i="4140"/>
  <c r="B17" i="4140"/>
  <c r="B21" i="4140" s="1"/>
  <c r="H18" i="4140"/>
  <c r="C16" i="4140"/>
  <c r="H17" i="4140"/>
  <c r="C15" i="4140"/>
  <c r="H16" i="4140"/>
  <c r="C14" i="4140"/>
  <c r="H15" i="4140"/>
  <c r="C13" i="4140"/>
  <c r="O12" i="4140"/>
  <c r="H14" i="4140"/>
  <c r="C12" i="4140"/>
  <c r="O11" i="4140"/>
  <c r="H5" i="4140"/>
  <c r="C11" i="4140"/>
  <c r="O10" i="4140"/>
  <c r="H13" i="4140"/>
  <c r="C10" i="4140"/>
  <c r="H12" i="4140"/>
  <c r="C9" i="4140"/>
  <c r="H10" i="4140"/>
  <c r="C8" i="4140"/>
  <c r="O7" i="4140"/>
  <c r="H6" i="4140"/>
  <c r="C7" i="4140"/>
  <c r="O6" i="4140"/>
  <c r="H3" i="4140"/>
  <c r="B6" i="4140"/>
  <c r="O5" i="4140"/>
  <c r="H7" i="4140"/>
  <c r="B5" i="4140"/>
  <c r="O4" i="4140"/>
  <c r="H9" i="4140"/>
  <c r="O3" i="4140"/>
  <c r="H4" i="4140"/>
  <c r="O2" i="4140"/>
  <c r="H2" i="4140"/>
  <c r="O15" i="4130"/>
  <c r="O15" i="4128"/>
  <c r="C18" i="4140" l="1"/>
  <c r="C19" i="4140"/>
  <c r="C17" i="4140"/>
  <c r="O18" i="4138" l="1"/>
  <c r="O22" i="4138"/>
  <c r="H51" i="4138"/>
  <c r="H50" i="4138"/>
  <c r="H49" i="4138"/>
  <c r="H48" i="4138"/>
  <c r="H47" i="4138"/>
  <c r="H46" i="4138"/>
  <c r="H45" i="4138"/>
  <c r="H44" i="4138"/>
  <c r="H43" i="4138"/>
  <c r="H42" i="4138"/>
  <c r="H41" i="4138"/>
  <c r="H40" i="4138"/>
  <c r="H39" i="4138"/>
  <c r="H38" i="4138"/>
  <c r="H37" i="4138"/>
  <c r="H36" i="4138"/>
  <c r="H35" i="4138"/>
  <c r="H34" i="4138"/>
  <c r="H18" i="4138"/>
  <c r="H33" i="4138"/>
  <c r="H17" i="4138"/>
  <c r="H32" i="4138"/>
  <c r="H10" i="4138"/>
  <c r="H31" i="4138"/>
  <c r="H30" i="4138"/>
  <c r="H14" i="4138"/>
  <c r="H29" i="4138"/>
  <c r="C25" i="4138"/>
  <c r="H28" i="4138"/>
  <c r="H8" i="4138"/>
  <c r="H27" i="4138"/>
  <c r="B22" i="4138"/>
  <c r="H13" i="4138"/>
  <c r="H26" i="4138"/>
  <c r="C20" i="4138"/>
  <c r="H25" i="4138"/>
  <c r="H24" i="4138"/>
  <c r="H16" i="4138"/>
  <c r="B17" i="4138"/>
  <c r="C18" i="4138" s="1"/>
  <c r="H23" i="4138"/>
  <c r="C16" i="4138"/>
  <c r="H22" i="4138"/>
  <c r="C15" i="4138"/>
  <c r="H21" i="4138"/>
  <c r="C14" i="4138"/>
  <c r="H20" i="4138"/>
  <c r="C13" i="4138"/>
  <c r="O12" i="4138"/>
  <c r="H19" i="4138"/>
  <c r="C12" i="4138"/>
  <c r="O11" i="4138"/>
  <c r="H4" i="4138"/>
  <c r="C11" i="4138"/>
  <c r="O10" i="4138"/>
  <c r="H15" i="4138"/>
  <c r="C10" i="4138"/>
  <c r="H12" i="4138"/>
  <c r="C9" i="4138"/>
  <c r="H9" i="4138"/>
  <c r="C8" i="4138"/>
  <c r="O7" i="4138"/>
  <c r="H6" i="4138"/>
  <c r="C7" i="4138"/>
  <c r="O6" i="4138"/>
  <c r="H2" i="4138"/>
  <c r="B6" i="4138"/>
  <c r="O5" i="4138"/>
  <c r="H7" i="4138"/>
  <c r="B5" i="4138"/>
  <c r="O4" i="4138"/>
  <c r="H3" i="4138"/>
  <c r="O3" i="4138"/>
  <c r="H11" i="4138"/>
  <c r="O2" i="4138"/>
  <c r="H5" i="4138"/>
  <c r="O21" i="4136"/>
  <c r="O22" i="4136"/>
  <c r="H51" i="4136"/>
  <c r="H50" i="4136"/>
  <c r="H49" i="4136"/>
  <c r="H48" i="4136"/>
  <c r="H47" i="4136"/>
  <c r="H46" i="4136"/>
  <c r="H45" i="4136"/>
  <c r="H44" i="4136"/>
  <c r="H43" i="4136"/>
  <c r="H42" i="4136"/>
  <c r="H41" i="4136"/>
  <c r="H40" i="4136"/>
  <c r="H39" i="4136"/>
  <c r="H38" i="4136"/>
  <c r="H37" i="4136"/>
  <c r="H36" i="4136"/>
  <c r="H35" i="4136"/>
  <c r="H34" i="4136"/>
  <c r="H33" i="4136"/>
  <c r="H21" i="4136"/>
  <c r="H15" i="4136"/>
  <c r="H32" i="4136"/>
  <c r="H8" i="4136"/>
  <c r="H25" i="4136"/>
  <c r="H24" i="4136"/>
  <c r="H12" i="4136"/>
  <c r="H20" i="4136"/>
  <c r="C25" i="4136"/>
  <c r="H19" i="4136"/>
  <c r="H13" i="4136"/>
  <c r="H31" i="4136"/>
  <c r="B22" i="4136"/>
  <c r="H14" i="4136"/>
  <c r="H23" i="4136"/>
  <c r="C20" i="4136"/>
  <c r="H30" i="4136"/>
  <c r="H18" i="4136"/>
  <c r="H17" i="4136"/>
  <c r="B17" i="4136"/>
  <c r="B21" i="4136" s="1"/>
  <c r="H29" i="4136"/>
  <c r="C16" i="4136"/>
  <c r="H28" i="4136"/>
  <c r="C15" i="4136"/>
  <c r="H27" i="4136"/>
  <c r="C14" i="4136"/>
  <c r="H26" i="4136"/>
  <c r="C13" i="4136"/>
  <c r="O12" i="4136"/>
  <c r="H22" i="4136"/>
  <c r="C12" i="4136"/>
  <c r="O11" i="4136"/>
  <c r="H5" i="4136"/>
  <c r="C11" i="4136"/>
  <c r="O10" i="4136"/>
  <c r="H16" i="4136"/>
  <c r="C10" i="4136"/>
  <c r="H11" i="4136"/>
  <c r="C9" i="4136"/>
  <c r="H10" i="4136"/>
  <c r="C8" i="4136"/>
  <c r="O7" i="4136"/>
  <c r="H6" i="4136"/>
  <c r="C7" i="4136"/>
  <c r="O6" i="4136"/>
  <c r="H2" i="4136"/>
  <c r="B6" i="4136"/>
  <c r="O5" i="4136"/>
  <c r="H7" i="4136"/>
  <c r="B5" i="4136"/>
  <c r="O4" i="4136"/>
  <c r="H3" i="4136"/>
  <c r="O3" i="4136"/>
  <c r="H9" i="4136"/>
  <c r="O2" i="4136"/>
  <c r="H4" i="4136"/>
  <c r="O16" i="4130"/>
  <c r="O23" i="4130"/>
  <c r="O24" i="4128"/>
  <c r="O19" i="4128"/>
  <c r="C19" i="4138" l="1"/>
  <c r="B21" i="4138"/>
  <c r="C17" i="4138"/>
  <c r="C18" i="4136"/>
  <c r="C17" i="4136"/>
  <c r="C19" i="4136"/>
  <c r="O15" i="4134" l="1"/>
  <c r="O17" i="4134"/>
  <c r="H51" i="4134"/>
  <c r="H50" i="4134"/>
  <c r="H49" i="4134"/>
  <c r="H48" i="4134"/>
  <c r="H47" i="4134"/>
  <c r="H46" i="4134"/>
  <c r="H45" i="4134"/>
  <c r="H44" i="4134"/>
  <c r="H43" i="4134"/>
  <c r="H42" i="4134"/>
  <c r="H41" i="4134"/>
  <c r="H40" i="4134"/>
  <c r="H39" i="4134"/>
  <c r="H38" i="4134"/>
  <c r="H37" i="4134"/>
  <c r="H36" i="4134"/>
  <c r="H35" i="4134"/>
  <c r="H34" i="4134"/>
  <c r="H33" i="4134"/>
  <c r="H32" i="4134"/>
  <c r="H31" i="4134"/>
  <c r="H30" i="4134"/>
  <c r="H7" i="4134"/>
  <c r="H29" i="4134"/>
  <c r="H28" i="4134"/>
  <c r="H12" i="4134"/>
  <c r="H27" i="4134"/>
  <c r="C25" i="4134"/>
  <c r="H26" i="4134"/>
  <c r="H11" i="4134"/>
  <c r="H25" i="4134"/>
  <c r="B22" i="4134"/>
  <c r="H24" i="4134"/>
  <c r="H23" i="4134"/>
  <c r="C20" i="4134"/>
  <c r="H22" i="4134"/>
  <c r="H21" i="4134"/>
  <c r="H20" i="4134"/>
  <c r="B17" i="4134"/>
  <c r="C18" i="4134" s="1"/>
  <c r="H19" i="4134"/>
  <c r="C16" i="4134"/>
  <c r="H18" i="4134"/>
  <c r="C15" i="4134"/>
  <c r="H17" i="4134"/>
  <c r="C14" i="4134"/>
  <c r="H16" i="4134"/>
  <c r="C13" i="4134"/>
  <c r="O12" i="4134"/>
  <c r="H15" i="4134"/>
  <c r="C12" i="4134"/>
  <c r="O11" i="4134"/>
  <c r="H3" i="4134"/>
  <c r="C11" i="4134"/>
  <c r="O10" i="4134"/>
  <c r="H10" i="4134"/>
  <c r="C10" i="4134"/>
  <c r="H14" i="4134"/>
  <c r="C9" i="4134"/>
  <c r="H9" i="4134"/>
  <c r="C8" i="4134"/>
  <c r="O7" i="4134"/>
  <c r="H8" i="4134"/>
  <c r="C7" i="4134"/>
  <c r="O6" i="4134"/>
  <c r="H6" i="4134"/>
  <c r="B6" i="4134"/>
  <c r="O5" i="4134"/>
  <c r="H5" i="4134"/>
  <c r="B5" i="4134"/>
  <c r="O4" i="4134"/>
  <c r="H2" i="4134"/>
  <c r="O3" i="4134"/>
  <c r="H13" i="4134"/>
  <c r="O2" i="4134"/>
  <c r="H4" i="4134"/>
  <c r="O16" i="4132"/>
  <c r="O17" i="4132"/>
  <c r="H51" i="4132"/>
  <c r="H50" i="4132"/>
  <c r="H49" i="4132"/>
  <c r="H48" i="4132"/>
  <c r="H47" i="4132"/>
  <c r="H46" i="4132"/>
  <c r="H45" i="4132"/>
  <c r="H44" i="4132"/>
  <c r="H43" i="4132"/>
  <c r="H42" i="4132"/>
  <c r="H41" i="4132"/>
  <c r="H40" i="4132"/>
  <c r="H39" i="4132"/>
  <c r="H38" i="4132"/>
  <c r="H37" i="4132"/>
  <c r="H36" i="4132"/>
  <c r="H35" i="4132"/>
  <c r="H34" i="4132"/>
  <c r="H33" i="4132"/>
  <c r="H32" i="4132"/>
  <c r="H31" i="4132"/>
  <c r="H30" i="4132"/>
  <c r="H29" i="4132"/>
  <c r="H28" i="4132"/>
  <c r="H27" i="4132"/>
  <c r="H26" i="4132"/>
  <c r="H25" i="4132"/>
  <c r="C25" i="4132"/>
  <c r="H24" i="4132"/>
  <c r="H23" i="4132"/>
  <c r="H22" i="4132"/>
  <c r="B22" i="4132"/>
  <c r="H21" i="4132"/>
  <c r="H20" i="4132"/>
  <c r="C20" i="4132"/>
  <c r="H19" i="4132"/>
  <c r="H18" i="4132"/>
  <c r="H17" i="4132"/>
  <c r="B17" i="4132"/>
  <c r="B21" i="4132" s="1"/>
  <c r="H16" i="4132"/>
  <c r="C16" i="4132"/>
  <c r="H15" i="4132"/>
  <c r="C15" i="4132"/>
  <c r="H14" i="4132"/>
  <c r="C14" i="4132"/>
  <c r="H13" i="4132"/>
  <c r="C13" i="4132"/>
  <c r="O12" i="4132"/>
  <c r="H12" i="4132"/>
  <c r="C12" i="4132"/>
  <c r="O11" i="4132"/>
  <c r="H11" i="4132"/>
  <c r="C11" i="4132"/>
  <c r="O10" i="4132"/>
  <c r="H10" i="4132"/>
  <c r="C10" i="4132"/>
  <c r="H9" i="4132"/>
  <c r="C9" i="4132"/>
  <c r="H8" i="4132"/>
  <c r="C8" i="4132"/>
  <c r="O7" i="4132"/>
  <c r="H7" i="4132"/>
  <c r="C7" i="4132"/>
  <c r="O6" i="4132"/>
  <c r="H6" i="4132"/>
  <c r="B6" i="4132"/>
  <c r="O5" i="4132"/>
  <c r="H5" i="4132"/>
  <c r="B5" i="4132"/>
  <c r="O4" i="4132"/>
  <c r="H4" i="4132"/>
  <c r="O3" i="4132"/>
  <c r="H3" i="4132"/>
  <c r="O2" i="4132"/>
  <c r="H2" i="4132"/>
  <c r="O23" i="4128"/>
  <c r="O17" i="4130"/>
  <c r="O21" i="4130"/>
  <c r="H51" i="4130"/>
  <c r="H50" i="4130"/>
  <c r="H49" i="4130"/>
  <c r="H48" i="4130"/>
  <c r="H47" i="4130"/>
  <c r="H28" i="4130"/>
  <c r="H46" i="4130"/>
  <c r="H45" i="4130"/>
  <c r="H44" i="4130"/>
  <c r="H43" i="4130"/>
  <c r="H42" i="4130"/>
  <c r="H41" i="4130"/>
  <c r="H40" i="4130"/>
  <c r="H39" i="4130"/>
  <c r="H38" i="4130"/>
  <c r="H37" i="4130"/>
  <c r="H27" i="4130"/>
  <c r="H36" i="4130"/>
  <c r="H35" i="4130"/>
  <c r="H22" i="4130"/>
  <c r="H17" i="4130"/>
  <c r="H26" i="4130"/>
  <c r="H8" i="4130"/>
  <c r="H34" i="4130"/>
  <c r="H23" i="4130"/>
  <c r="H13" i="4130"/>
  <c r="H25" i="4130"/>
  <c r="C25" i="4130"/>
  <c r="H33" i="4130"/>
  <c r="H14" i="4130"/>
  <c r="H32" i="4130"/>
  <c r="B22" i="4130"/>
  <c r="H15" i="4130"/>
  <c r="H31" i="4130"/>
  <c r="C20" i="4130"/>
  <c r="H30" i="4130"/>
  <c r="H18" i="4130"/>
  <c r="H16" i="4130"/>
  <c r="B17" i="4130"/>
  <c r="B21" i="4130" s="1"/>
  <c r="H20" i="4130"/>
  <c r="C16" i="4130"/>
  <c r="H29" i="4130"/>
  <c r="C15" i="4130"/>
  <c r="H19" i="4130"/>
  <c r="C14" i="4130"/>
  <c r="H24" i="4130"/>
  <c r="C13" i="4130"/>
  <c r="O12" i="4130"/>
  <c r="H21" i="4130"/>
  <c r="C12" i="4130"/>
  <c r="O11" i="4130"/>
  <c r="H4" i="4130"/>
  <c r="C11" i="4130"/>
  <c r="O10" i="4130"/>
  <c r="H12" i="4130"/>
  <c r="C10" i="4130"/>
  <c r="H11" i="4130"/>
  <c r="C9" i="4130"/>
  <c r="H9" i="4130"/>
  <c r="C8" i="4130"/>
  <c r="O7" i="4130"/>
  <c r="H6" i="4130"/>
  <c r="C7" i="4130"/>
  <c r="O6" i="4130"/>
  <c r="H2" i="4130"/>
  <c r="B6" i="4130"/>
  <c r="O5" i="4130"/>
  <c r="H7" i="4130"/>
  <c r="B5" i="4130"/>
  <c r="O4" i="4130"/>
  <c r="H3" i="4130"/>
  <c r="O3" i="4130"/>
  <c r="H10" i="4130"/>
  <c r="O2" i="4130"/>
  <c r="H5" i="4130"/>
  <c r="O17" i="4128"/>
  <c r="O20" i="4128"/>
  <c r="H51" i="4128"/>
  <c r="H50" i="4128"/>
  <c r="H49" i="4128"/>
  <c r="H48" i="4128"/>
  <c r="H47" i="4128"/>
  <c r="H32" i="4128"/>
  <c r="H46" i="4128"/>
  <c r="H45" i="4128"/>
  <c r="H44" i="4128"/>
  <c r="H43" i="4128"/>
  <c r="H42" i="4128"/>
  <c r="H41" i="4128"/>
  <c r="H40" i="4128"/>
  <c r="H39" i="4128"/>
  <c r="H38" i="4128"/>
  <c r="H37" i="4128"/>
  <c r="H31" i="4128"/>
  <c r="H36" i="4128"/>
  <c r="H24" i="4128"/>
  <c r="H22" i="4128"/>
  <c r="H17" i="4128"/>
  <c r="H30" i="4128"/>
  <c r="H8" i="4128"/>
  <c r="H29" i="4128"/>
  <c r="H26" i="4128"/>
  <c r="H12" i="4128"/>
  <c r="H23" i="4128"/>
  <c r="C25" i="4128"/>
  <c r="H25" i="4128"/>
  <c r="H14" i="4128"/>
  <c r="H35" i="4128"/>
  <c r="B22" i="4128"/>
  <c r="H16" i="4128"/>
  <c r="H28" i="4128"/>
  <c r="C20" i="4128"/>
  <c r="H34" i="4128"/>
  <c r="H18" i="4128"/>
  <c r="H15" i="4128"/>
  <c r="B17" i="4128"/>
  <c r="B21" i="4128" s="1"/>
  <c r="H21" i="4128"/>
  <c r="C16" i="4128"/>
  <c r="H33" i="4128"/>
  <c r="C15" i="4128"/>
  <c r="H20" i="4128"/>
  <c r="C14" i="4128"/>
  <c r="H27" i="4128"/>
  <c r="C13" i="4128"/>
  <c r="O12" i="4128"/>
  <c r="H19" i="4128"/>
  <c r="C12" i="4128"/>
  <c r="O11" i="4128"/>
  <c r="H4" i="4128"/>
  <c r="C11" i="4128"/>
  <c r="O10" i="4128"/>
  <c r="H13" i="4128"/>
  <c r="C10" i="4128"/>
  <c r="H11" i="4128"/>
  <c r="C9" i="4128"/>
  <c r="H9" i="4128"/>
  <c r="C8" i="4128"/>
  <c r="O7" i="4128"/>
  <c r="H6" i="4128"/>
  <c r="C7" i="4128"/>
  <c r="O6" i="4128"/>
  <c r="H2" i="4128"/>
  <c r="B6" i="4128"/>
  <c r="O5" i="4128"/>
  <c r="H7" i="4128"/>
  <c r="B5" i="4128"/>
  <c r="O4" i="4128"/>
  <c r="H3" i="4128"/>
  <c r="O3" i="4128"/>
  <c r="H10" i="4128"/>
  <c r="O2" i="4128"/>
  <c r="H5" i="4128"/>
  <c r="C17" i="4132" l="1"/>
  <c r="C17" i="4130"/>
  <c r="C18" i="4130"/>
  <c r="C19" i="4134"/>
  <c r="C17" i="4134"/>
  <c r="B21" i="4134"/>
  <c r="C19" i="4132"/>
  <c r="C18" i="4132"/>
  <c r="C19" i="4130"/>
  <c r="C18" i="4128"/>
  <c r="C19" i="4128"/>
  <c r="C17" i="41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<sst xmlns="http://schemas.openxmlformats.org/spreadsheetml/2006/main" count="3573" uniqueCount="257">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</sst>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全体!$K$2:$K$782</c:f>
              <c:numCache>
                <c:formatCode>General</c:formatCode>
                <c:ptCount val="7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</c:numCache>
            </c:numRef>
          </c:xVal>
          <c:yVal>
            <c:numRef>
              <c:f>全体!$L$2:$L$782</c:f>
              <c:numCache>
                <c:formatCode>\+0.0;\-0.0;\±0</c:formatCode>
                <c:ptCount val="78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F5-46D5-8D9F-09BE4BB0E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-14.322916666666666</c:v>
                </c:pt>
                <c:pt idx="1">
                  <c:v>-1.3550135501355014</c:v>
                </c:pt>
                <c:pt idx="2">
                  <c:v>7.2780203784570601</c:v>
                </c:pt>
                <c:pt idx="3">
                  <c:v>-1.6181229773462784</c:v>
                </c:pt>
                <c:pt idx="4">
                  <c:v>9.3109869646182499</c:v>
                </c:pt>
                <c:pt idx="5">
                  <c:v>-4.7281323877068555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C5-4778-8851-F313ACE7C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だいち!$K$2:$K$222</c:f>
              <c:numCache>
                <c:formatCode>General</c:formatCode>
                <c:ptCount val="2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</c:numCache>
            </c:numRef>
          </c:xVal>
          <c:yVal>
            <c:numRef>
              <c:f>だいち!$L$2:$L$222</c:f>
              <c:numCache>
                <c:formatCode>\+0.0;\-0.0;\±0</c:formatCode>
                <c:ptCount val="22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E-415C-840E-98A8CB6D4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1397.6851851851852</c:v>
                </c:pt>
                <c:pt idx="1">
                  <c:v>346.15384615384613</c:v>
                </c:pt>
                <c:pt idx="2">
                  <c:v>1567.8756476683939</c:v>
                </c:pt>
                <c:pt idx="3">
                  <c:v>1402.8735632183907</c:v>
                </c:pt>
                <c:pt idx="4">
                  <c:v>1517.2185430463576</c:v>
                </c:pt>
                <c:pt idx="5">
                  <c:v>1497.4789915966387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AC-4C6B-9330-0A569190B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0C-46E0-9FF4-49F6E01C5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29-4FB7-BE0A-4E0228C13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1C-49F0-9687-7B0B38B4A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7-43CF-A74C-5ECD335F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りくと!$L$2:$L$129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C-42B7-9D1F-18DB65A11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-653.6</c:v>
                </c:pt>
                <c:pt idx="1">
                  <c:v>-1056.1983471074379</c:v>
                </c:pt>
                <c:pt idx="2">
                  <c:v>1670.9401709401709</c:v>
                </c:pt>
                <c:pt idx="3">
                  <c:v>-1011.5384615384615</c:v>
                </c:pt>
                <c:pt idx="4">
                  <c:v>-2077.2727272727275</c:v>
                </c:pt>
                <c:pt idx="5">
                  <c:v>-2128.985507246377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D-491A-AD7F-3FD9FD710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いっしー!$L$2:$L$63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87-4A92-B22C-2AED99D1D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-408.19672131147541</c:v>
                </c:pt>
                <c:pt idx="1">
                  <c:v>2170.6896551724139</c:v>
                </c:pt>
                <c:pt idx="2">
                  <c:v>-1817.8571428571429</c:v>
                </c:pt>
                <c:pt idx="3">
                  <c:v>-312.7659574468085</c:v>
                </c:pt>
                <c:pt idx="4">
                  <c:v>7068.292682926829</c:v>
                </c:pt>
                <c:pt idx="5">
                  <c:v>-541.37931034482756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1-482D-82D3-9DB9C2F0F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49-4CB5-B895-B8104EAF2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0A-461F-8ACD-CF6258D0C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たかの!$L$2:$L$69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6-4E6C-9825-533F14D4F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-1573.1343283582089</c:v>
                </c:pt>
                <c:pt idx="1">
                  <c:v>-3320.6349206349205</c:v>
                </c:pt>
                <c:pt idx="2">
                  <c:v>-1152.7272727272727</c:v>
                </c:pt>
                <c:pt idx="3">
                  <c:v>1198.1132075471698</c:v>
                </c:pt>
                <c:pt idx="4">
                  <c:v>-2623.2558139534885</c:v>
                </c:pt>
                <c:pt idx="5">
                  <c:v>-1193.939393939394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7-43F3-AE29-C2ACF8EFC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ただ!$L$2:$L$109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7-4C1E-ACA5-492568F1B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1830.4761904761904</c:v>
                </c:pt>
                <c:pt idx="1">
                  <c:v>432.32323232323233</c:v>
                </c:pt>
                <c:pt idx="2">
                  <c:v>61.53846153846154</c:v>
                </c:pt>
                <c:pt idx="3">
                  <c:v>-1644.7058823529412</c:v>
                </c:pt>
                <c:pt idx="4">
                  <c:v>1071.2328767123288</c:v>
                </c:pt>
                <c:pt idx="5">
                  <c:v>241.93548387096774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2-4228-BD1E-36239DD51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やがさき!$L$2:$L$34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8-4903-9CDE-5225F8CF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543.75</c:v>
                </c:pt>
                <c:pt idx="1">
                  <c:v>2250</c:v>
                </c:pt>
                <c:pt idx="2">
                  <c:v>-900</c:v>
                </c:pt>
                <c:pt idx="3">
                  <c:v>608</c:v>
                </c:pt>
                <c:pt idx="4">
                  <c:v>-1685.7142857142858</c:v>
                </c:pt>
                <c:pt idx="5">
                  <c:v>-1788.8888888888889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B-4872-83B0-6729FF13A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20-40FE-A3FC-3749E687C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-1894.3396226415093</c:v>
                </c:pt>
                <c:pt idx="1">
                  <c:v>748.07692307692309</c:v>
                </c:pt>
                <c:pt idx="2">
                  <c:v>-568.36734693877554</c:v>
                </c:pt>
                <c:pt idx="3">
                  <c:v>-338.88888888888891</c:v>
                </c:pt>
                <c:pt idx="4">
                  <c:v>-2524.0963855421687</c:v>
                </c:pt>
                <c:pt idx="5">
                  <c:v>1276.9230769230769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8-4834-8490-DB5FF1053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2-4EA8-B923-3F358B16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B0-4D90-8401-4E8532D8F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6-42E5-A723-29F08B62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-2948.3870967741937</c:v>
                </c:pt>
                <c:pt idx="1">
                  <c:v>1164.516129032258</c:v>
                </c:pt>
                <c:pt idx="2">
                  <c:v>-4366.666666666667</c:v>
                </c:pt>
                <c:pt idx="3">
                  <c:v>-2141.6666666666665</c:v>
                </c:pt>
                <c:pt idx="4">
                  <c:v>-3491.304347826087</c:v>
                </c:pt>
                <c:pt idx="5">
                  <c:v>-1764.7058823529412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2-4B9E-9E03-557C6D941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15-BFFE-941BC4465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2583.3333333333335</c:v>
                </c:pt>
                <c:pt idx="1">
                  <c:v>-2750</c:v>
                </c:pt>
                <c:pt idx="2">
                  <c:v>-4516.666666666667</c:v>
                </c:pt>
                <c:pt idx="3">
                  <c:v>1740</c:v>
                </c:pt>
                <c:pt idx="4">
                  <c:v>-2275</c:v>
                </c:pt>
                <c:pt idx="5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9-46BB-9E0E-46E807223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ぱぱ2!$C$3:$C$9</c:f>
              <c:numCache>
                <c:formatCode>\+0.0;\-0.0;\±0</c:formatCode>
                <c:ptCount val="7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ぱぱ2!$D$3:$D$9</c:f>
              <c:numCache>
                <c:formatCode>0.00\ "位"</c:formatCode>
                <c:ptCount val="7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ぱぱ2!$E$3:$E$9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ぱぱ2!$F$3:$F$9</c:f>
              <c:numCache>
                <c:formatCode>0.0%</c:formatCode>
                <c:ptCount val="7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ぱぱ2!$G$3:$G$9</c:f>
              <c:numCache>
                <c:formatCode>0.0%</c:formatCode>
                <c:ptCount val="7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ぱぱ2!$H$3:$H$9</c:f>
              <c:numCache>
                <c:formatCode>0</c:formatCode>
                <c:ptCount val="7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ぱぱ2!$I$3:$I$9</c:f>
              <c:numCache>
                <c:formatCode>0</c:formatCode>
                <c:ptCount val="7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ぱぱ2!$J$3:$J$9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ぱぱ2!$M$3:$M$9</c:f>
              <c:numCache>
                <c:formatCode>0.0%</c:formatCode>
                <c:ptCount val="7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ぱぱ2!$N$3:$N$9</c:f>
              <c:numCache>
                <c:formatCode>0.0%</c:formatCode>
                <c:ptCount val="7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ぱぱ2!$O$3:$O$9</c:f>
              <c:numCache>
                <c:formatCode>0.0%</c:formatCode>
                <c:ptCount val="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ぱぱ2!$P$3:$P$9</c:f>
              <c:numCache>
                <c:formatCode>0.0%</c:formatCode>
                <c:ptCount val="7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ぱぱ2!$Q$3:$Q$9</c:f>
              <c:numCache>
                <c:formatCode>0.0%</c:formatCode>
                <c:ptCount val="7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ぱぱ2!$L$3:$L$9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5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1"/>
  </cols>
  <sheetData>
    <row r="1" spans="1:17" x14ac:dyDescent="0.4">
      <c r="A1" s="21" t="s">
        <v>0</v>
      </c>
      <c r="B1" s="141"/>
      <c r="C1" s="142"/>
      <c r="E1" s="136" t="s">
        <v>256</v>
      </c>
      <c r="F1" s="12" t="s">
        <v>120</v>
      </c>
      <c r="G1" s="27" t="s">
        <v>121</v>
      </c>
      <c r="H1" s="137" t="s">
        <v>122</v>
      </c>
      <c r="I1" s="107" t="s">
        <v>227</v>
      </c>
      <c r="K1" s="2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235</v>
      </c>
    </row>
    <row r="2" spans="1:17" x14ac:dyDescent="0.4">
      <c r="A2" s="22" t="s">
        <v>9</v>
      </c>
      <c r="B2" s="143">
        <v>0</v>
      </c>
      <c r="C2" s="144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1" t="s">
        <v>147</v>
      </c>
      <c r="O2" s="128">
        <f t="shared" ref="O2:O7" si="1">IF(P2=0,0,Q2/P2)</f>
        <v>0</v>
      </c>
      <c r="P2" s="125">
        <v>0</v>
      </c>
      <c r="Q2" s="109">
        <v>0</v>
      </c>
    </row>
    <row r="3" spans="1:17" x14ac:dyDescent="0.4">
      <c r="A3" s="23" t="s">
        <v>8</v>
      </c>
      <c r="B3" s="145">
        <v>0</v>
      </c>
      <c r="C3" s="146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2" t="s">
        <v>148</v>
      </c>
      <c r="O3" s="129">
        <f t="shared" si="1"/>
        <v>0</v>
      </c>
      <c r="P3" s="126">
        <v>0</v>
      </c>
      <c r="Q3" s="110">
        <v>0</v>
      </c>
    </row>
    <row r="4" spans="1:17" x14ac:dyDescent="0.4">
      <c r="A4" s="23" t="s">
        <v>6</v>
      </c>
      <c r="B4" s="147">
        <v>0</v>
      </c>
      <c r="C4" s="148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2" t="s">
        <v>149</v>
      </c>
      <c r="O4" s="129">
        <f t="shared" si="1"/>
        <v>0</v>
      </c>
      <c r="P4" s="126">
        <v>0</v>
      </c>
      <c r="Q4" s="110">
        <v>0</v>
      </c>
    </row>
    <row r="5" spans="1:17" x14ac:dyDescent="0.4">
      <c r="A5" s="23" t="s">
        <v>7</v>
      </c>
      <c r="B5" s="149">
        <f>IF(B$2=0,0,B$4/B$2)</f>
        <v>0</v>
      </c>
      <c r="C5" s="150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2" t="s">
        <v>150</v>
      </c>
      <c r="O5" s="129">
        <f t="shared" si="1"/>
        <v>0</v>
      </c>
      <c r="P5" s="126">
        <v>0</v>
      </c>
      <c r="Q5" s="110">
        <v>0</v>
      </c>
    </row>
    <row r="6" spans="1:17" x14ac:dyDescent="0.4">
      <c r="A6" s="23" t="s">
        <v>1</v>
      </c>
      <c r="B6" s="155">
        <f>IF(B$2=0,0,(B$7*1+B$8*2+B$9*3)/B$2)</f>
        <v>0</v>
      </c>
      <c r="C6" s="156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2" t="s">
        <v>151</v>
      </c>
      <c r="O6" s="129">
        <f t="shared" si="1"/>
        <v>0</v>
      </c>
      <c r="P6" s="126">
        <v>0</v>
      </c>
      <c r="Q6" s="110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3" t="s">
        <v>152</v>
      </c>
      <c r="O7" s="130">
        <f t="shared" si="1"/>
        <v>0</v>
      </c>
      <c r="P7" s="127">
        <v>0</v>
      </c>
      <c r="Q7" s="111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4"/>
      <c r="P8" s="118"/>
      <c r="Q8" s="116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1" t="s">
        <v>253</v>
      </c>
      <c r="O10" s="131">
        <f>IF(P10=0,0,Q10/P10)</f>
        <v>0</v>
      </c>
      <c r="P10" s="125">
        <v>0</v>
      </c>
      <c r="Q10" s="113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2" t="s">
        <v>254</v>
      </c>
      <c r="O11" s="132">
        <f>IF(P11=0,0,Q11/P11)</f>
        <v>0</v>
      </c>
      <c r="P11" s="126">
        <v>0</v>
      </c>
      <c r="Q11" s="114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3" t="s">
        <v>255</v>
      </c>
      <c r="O12" s="133">
        <f>IF(P12=0,0,Q12/P12)</f>
        <v>0</v>
      </c>
      <c r="P12" s="127">
        <v>0</v>
      </c>
      <c r="Q12" s="115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7"/>
      <c r="P13" s="119"/>
      <c r="Q13" s="117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20" t="s">
        <v>231</v>
      </c>
      <c r="O14" s="36" t="s">
        <v>232</v>
      </c>
      <c r="P14" s="124" t="s">
        <v>233</v>
      </c>
      <c r="Q14" s="112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1"/>
      <c r="O15" s="131"/>
      <c r="P15" s="125"/>
      <c r="Q15" s="113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158</v>
      </c>
      <c r="B23" s="153">
        <v>0</v>
      </c>
      <c r="C23" s="154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199</v>
      </c>
      <c r="B24" s="151">
        <v>0</v>
      </c>
      <c r="C24" s="152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43">
        <v>0</v>
      </c>
      <c r="C26" s="144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57">
        <v>0</v>
      </c>
      <c r="C27" s="158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0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3" t="s">
        <v>6</v>
      </c>
      <c r="C1" s="164"/>
      <c r="D1" s="163" t="s">
        <v>7</v>
      </c>
      <c r="E1" s="164"/>
      <c r="F1" s="163" t="s">
        <v>16</v>
      </c>
      <c r="G1" s="164"/>
      <c r="H1" s="163" t="s">
        <v>15</v>
      </c>
      <c r="I1" s="164"/>
      <c r="J1" s="163" t="s">
        <v>246</v>
      </c>
      <c r="K1" s="164"/>
      <c r="L1" s="163" t="s">
        <v>195</v>
      </c>
      <c r="M1" s="164"/>
      <c r="N1" s="163" t="s">
        <v>196</v>
      </c>
      <c r="O1" s="164"/>
      <c r="P1" s="163" t="s">
        <v>5</v>
      </c>
      <c r="Q1" s="164"/>
      <c r="R1" s="163" t="s">
        <v>17</v>
      </c>
      <c r="S1" s="164"/>
      <c r="T1" s="163" t="s">
        <v>18</v>
      </c>
      <c r="U1" s="164"/>
      <c r="V1" s="163" t="s">
        <v>156</v>
      </c>
      <c r="W1" s="164"/>
      <c r="X1" s="163" t="s">
        <v>241</v>
      </c>
      <c r="Y1" s="164"/>
      <c r="Z1" s="163" t="s">
        <v>129</v>
      </c>
      <c r="AA1" s="164"/>
      <c r="AB1" s="163" t="s">
        <v>124</v>
      </c>
      <c r="AC1" s="164"/>
      <c r="AD1" s="163" t="s">
        <v>132</v>
      </c>
      <c r="AE1" s="164"/>
      <c r="AF1" s="163" t="s">
        <v>197</v>
      </c>
      <c r="AG1" s="164"/>
      <c r="AH1" s="163" t="s">
        <v>160</v>
      </c>
      <c r="AI1" s="164"/>
      <c r="AJ1" s="163" t="s">
        <v>198</v>
      </c>
      <c r="AK1" s="164"/>
      <c r="AL1" s="163" t="s">
        <v>200</v>
      </c>
      <c r="AM1" s="164"/>
      <c r="AN1" s="163" t="s">
        <v>247</v>
      </c>
      <c r="AO1" s="164"/>
    </row>
    <row r="2" spans="1:41" x14ac:dyDescent="0.4">
      <c r="A2" s="74" t="s">
        <v>245</v>
      </c>
      <c r="B2" s="161"/>
      <c r="C2" s="162"/>
      <c r="D2" s="161"/>
      <c r="E2" s="162"/>
      <c r="F2" s="159">
        <v>0.98623143799871205</v>
      </c>
      <c r="G2" s="160"/>
      <c r="H2" s="159">
        <v>0.93384011924036814</v>
      </c>
      <c r="I2" s="160"/>
      <c r="J2" s="159">
        <v>0.9697388453215291</v>
      </c>
      <c r="K2" s="160"/>
      <c r="L2" s="159">
        <v>0.92212993827519174</v>
      </c>
      <c r="M2" s="160"/>
      <c r="N2" s="159">
        <v>0.83378877450759104</v>
      </c>
      <c r="O2" s="160"/>
      <c r="P2" s="159">
        <v>0.21845519264324312</v>
      </c>
      <c r="Q2" s="160"/>
      <c r="R2" s="159">
        <v>1.6752985657627083E-2</v>
      </c>
      <c r="S2" s="160"/>
      <c r="T2" s="159">
        <v>0.93602024450453913</v>
      </c>
      <c r="U2" s="160"/>
      <c r="V2" s="159">
        <v>0.97459464688323294</v>
      </c>
      <c r="W2" s="160"/>
      <c r="X2" s="159">
        <v>0.6173070860426636</v>
      </c>
      <c r="Y2" s="160"/>
      <c r="Z2" s="159">
        <v>0.57466885894955877</v>
      </c>
      <c r="AA2" s="160"/>
      <c r="AB2" s="159">
        <v>-0.44844404574052454</v>
      </c>
      <c r="AC2" s="160"/>
      <c r="AD2" s="159">
        <v>0.77154120466861997</v>
      </c>
      <c r="AE2" s="160"/>
      <c r="AF2" s="159">
        <v>0.45371429075796094</v>
      </c>
      <c r="AG2" s="160"/>
      <c r="AH2" s="159">
        <v>0.34533578552607419</v>
      </c>
      <c r="AI2" s="160"/>
      <c r="AJ2" s="159">
        <v>0.66139964783030536</v>
      </c>
      <c r="AK2" s="160"/>
      <c r="AL2" s="159">
        <v>0.73299672334744226</v>
      </c>
      <c r="AM2" s="160"/>
      <c r="AN2" s="159">
        <v>-0.13926470242396854</v>
      </c>
      <c r="AO2" s="160"/>
    </row>
    <row r="3" spans="1:41" x14ac:dyDescent="0.4">
      <c r="A3" s="76">
        <v>1</v>
      </c>
      <c r="B3" s="77" t="s">
        <v>133</v>
      </c>
      <c r="C3" s="78">
        <v>1363.8999999999996</v>
      </c>
      <c r="D3" s="79" t="s">
        <v>194</v>
      </c>
      <c r="E3" s="102">
        <v>7.833333333333333</v>
      </c>
      <c r="F3" s="79" t="s">
        <v>133</v>
      </c>
      <c r="G3" s="80">
        <v>1.790909090909091</v>
      </c>
      <c r="H3" s="79" t="s">
        <v>194</v>
      </c>
      <c r="I3" s="81">
        <v>0.5</v>
      </c>
      <c r="J3" s="79" t="s">
        <v>133</v>
      </c>
      <c r="K3" s="81">
        <v>0.21363636363636362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0.40336134453781514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256.20000000000005</v>
      </c>
      <c r="D4" s="89" t="s">
        <v>133</v>
      </c>
      <c r="E4" s="103">
        <v>6.1995454545454525</v>
      </c>
      <c r="F4" s="89" t="s">
        <v>194</v>
      </c>
      <c r="G4" s="90">
        <v>1.8333333333333333</v>
      </c>
      <c r="H4" s="89" t="s">
        <v>133</v>
      </c>
      <c r="I4" s="91">
        <v>0.42272727272727273</v>
      </c>
      <c r="J4" s="89" t="s">
        <v>167</v>
      </c>
      <c r="K4" s="91">
        <v>0.25</v>
      </c>
      <c r="L4" s="89" t="s">
        <v>133</v>
      </c>
      <c r="M4" s="92">
        <v>0.35184067592033796</v>
      </c>
      <c r="N4" s="89" t="s">
        <v>250</v>
      </c>
      <c r="O4" s="92">
        <v>0.1276595744680851</v>
      </c>
      <c r="P4" s="89" t="s">
        <v>134</v>
      </c>
      <c r="Q4" s="93">
        <v>11091.891891891892</v>
      </c>
      <c r="R4" s="89" t="s">
        <v>157</v>
      </c>
      <c r="S4" s="93">
        <v>-8586.95652173913</v>
      </c>
      <c r="T4" s="89" t="s">
        <v>133</v>
      </c>
      <c r="U4" s="91">
        <v>0.10454545454545454</v>
      </c>
      <c r="V4" s="89" t="s">
        <v>133</v>
      </c>
      <c r="W4" s="91">
        <v>0.19545454545454546</v>
      </c>
      <c r="X4" s="89" t="s">
        <v>250</v>
      </c>
      <c r="Y4" s="91">
        <v>0.16666666666666666</v>
      </c>
      <c r="Z4" s="89" t="s">
        <v>194</v>
      </c>
      <c r="AA4" s="92">
        <v>0.42</v>
      </c>
      <c r="AB4" s="89" t="s">
        <v>135</v>
      </c>
      <c r="AC4" s="92">
        <v>0.31527093596059114</v>
      </c>
      <c r="AD4" s="89" t="s">
        <v>133</v>
      </c>
      <c r="AE4" s="92">
        <v>0.64066852367688021</v>
      </c>
      <c r="AF4" s="89" t="s">
        <v>194</v>
      </c>
      <c r="AG4" s="92">
        <v>0.5</v>
      </c>
      <c r="AH4" s="89" t="s">
        <v>138</v>
      </c>
      <c r="AI4" s="92">
        <v>0.45833333333333331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234.69999999999985</v>
      </c>
      <c r="D5" s="89" t="s">
        <v>135</v>
      </c>
      <c r="E5" s="103">
        <v>4.2000000000000011</v>
      </c>
      <c r="F5" s="89" t="s">
        <v>135</v>
      </c>
      <c r="G5" s="90">
        <v>1.9180327868852458</v>
      </c>
      <c r="H5" s="89" t="s">
        <v>137</v>
      </c>
      <c r="I5" s="91">
        <v>0.37383177570093457</v>
      </c>
      <c r="J5" s="89" t="s">
        <v>135</v>
      </c>
      <c r="K5" s="91">
        <v>0.26229508196721313</v>
      </c>
      <c r="L5" s="89" t="s">
        <v>135</v>
      </c>
      <c r="M5" s="92">
        <v>0.34693877551020408</v>
      </c>
      <c r="N5" s="89" t="s">
        <v>133</v>
      </c>
      <c r="O5" s="92">
        <v>0.14302957151478576</v>
      </c>
      <c r="P5" s="89" t="s">
        <v>138</v>
      </c>
      <c r="Q5" s="93">
        <v>11041.666666666666</v>
      </c>
      <c r="R5" s="89" t="s">
        <v>138</v>
      </c>
      <c r="S5" s="93">
        <v>-8928.8888888888887</v>
      </c>
      <c r="T5" s="89" t="s">
        <v>137</v>
      </c>
      <c r="U5" s="91">
        <v>0.11214953271028037</v>
      </c>
      <c r="V5" s="89" t="s">
        <v>135</v>
      </c>
      <c r="W5" s="91">
        <v>0.18032786885245902</v>
      </c>
      <c r="X5" s="89" t="s">
        <v>137</v>
      </c>
      <c r="Y5" s="91">
        <v>0.10280373831775701</v>
      </c>
      <c r="Z5" s="89" t="s">
        <v>137</v>
      </c>
      <c r="AA5" s="92">
        <v>0.3112094395280236</v>
      </c>
      <c r="AB5" s="89" t="s">
        <v>136</v>
      </c>
      <c r="AC5" s="92">
        <v>0.26726726726726729</v>
      </c>
      <c r="AD5" s="89" t="s">
        <v>194</v>
      </c>
      <c r="AE5" s="92">
        <v>0.61904761904761907</v>
      </c>
      <c r="AF5" s="89" t="s">
        <v>133</v>
      </c>
      <c r="AG5" s="92">
        <v>0.48412698412698413</v>
      </c>
      <c r="AH5" s="89" t="s">
        <v>136</v>
      </c>
      <c r="AI5" s="92">
        <v>0.45185185185185184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2.1934579439252322</v>
      </c>
      <c r="F6" s="89" t="s">
        <v>137</v>
      </c>
      <c r="G6" s="90">
        <v>1.9345794392523366</v>
      </c>
      <c r="H6" s="89" t="s">
        <v>135</v>
      </c>
      <c r="I6" s="91">
        <v>0.34426229508196721</v>
      </c>
      <c r="J6" s="89" t="s">
        <v>137</v>
      </c>
      <c r="K6" s="91">
        <v>0.30841121495327101</v>
      </c>
      <c r="L6" s="89" t="s">
        <v>161</v>
      </c>
      <c r="M6" s="92">
        <v>0.30183594407950143</v>
      </c>
      <c r="N6" s="89" t="s">
        <v>135</v>
      </c>
      <c r="O6" s="92">
        <v>0.15646258503401361</v>
      </c>
      <c r="P6" s="89" t="s">
        <v>139</v>
      </c>
      <c r="Q6" s="93">
        <v>10658</v>
      </c>
      <c r="R6" s="89" t="s">
        <v>135</v>
      </c>
      <c r="S6" s="93">
        <v>-8992.753623188406</v>
      </c>
      <c r="T6" s="89" t="s">
        <v>135</v>
      </c>
      <c r="U6" s="91">
        <v>0.11475409836065574</v>
      </c>
      <c r="V6" s="89" t="s">
        <v>137</v>
      </c>
      <c r="W6" s="91">
        <v>0.16822429906542055</v>
      </c>
      <c r="X6" s="89" t="s">
        <v>133</v>
      </c>
      <c r="Y6" s="91">
        <v>0.1</v>
      </c>
      <c r="Z6" s="89" t="s">
        <v>138</v>
      </c>
      <c r="AA6" s="92">
        <v>0.31111111111111112</v>
      </c>
      <c r="AB6" s="89" t="s">
        <v>250</v>
      </c>
      <c r="AC6" s="92">
        <v>0.23404255319148937</v>
      </c>
      <c r="AD6" s="89" t="s">
        <v>139</v>
      </c>
      <c r="AE6" s="92">
        <v>0.59839357429718876</v>
      </c>
      <c r="AF6" s="89" t="s">
        <v>250</v>
      </c>
      <c r="AG6" s="92">
        <v>0.45454545454545453</v>
      </c>
      <c r="AH6" s="89" t="s">
        <v>139</v>
      </c>
      <c r="AI6" s="92">
        <v>0.44800000000000001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138</v>
      </c>
      <c r="C7" s="88">
        <v>8.2000000000000242</v>
      </c>
      <c r="D7" s="89" t="s">
        <v>138</v>
      </c>
      <c r="E7" s="103">
        <v>0.25625000000000075</v>
      </c>
      <c r="F7" s="89" t="s">
        <v>161</v>
      </c>
      <c r="G7" s="90">
        <v>2</v>
      </c>
      <c r="H7" s="89" t="s">
        <v>138</v>
      </c>
      <c r="I7" s="91">
        <v>0.34375</v>
      </c>
      <c r="J7" s="89" t="s">
        <v>161</v>
      </c>
      <c r="K7" s="91">
        <v>0.33333333333333331</v>
      </c>
      <c r="L7" s="89" t="s">
        <v>137</v>
      </c>
      <c r="M7" s="92">
        <v>0.30099502487562191</v>
      </c>
      <c r="N7" s="89" t="s">
        <v>137</v>
      </c>
      <c r="O7" s="92">
        <v>0.16293532338308458</v>
      </c>
      <c r="P7" s="89" t="s">
        <v>137</v>
      </c>
      <c r="Q7" s="93">
        <v>10558.677685950413</v>
      </c>
      <c r="R7" s="89" t="s">
        <v>137</v>
      </c>
      <c r="S7" s="93">
        <v>-9217.5572519083962</v>
      </c>
      <c r="T7" s="89" t="s">
        <v>161</v>
      </c>
      <c r="U7" s="91">
        <v>0.16025641025641027</v>
      </c>
      <c r="V7" s="89" t="s">
        <v>194</v>
      </c>
      <c r="W7" s="91">
        <v>0.16666666666666666</v>
      </c>
      <c r="X7" s="89" t="s">
        <v>139</v>
      </c>
      <c r="Y7" s="91">
        <v>0.1</v>
      </c>
      <c r="Z7" s="89" t="s">
        <v>139</v>
      </c>
      <c r="AA7" s="92">
        <v>0.30514705882352944</v>
      </c>
      <c r="AB7" s="89" t="s">
        <v>161</v>
      </c>
      <c r="AC7" s="92">
        <v>0.22096881220968811</v>
      </c>
      <c r="AD7" s="89" t="s">
        <v>135</v>
      </c>
      <c r="AE7" s="92">
        <v>0.58333333333333337</v>
      </c>
      <c r="AF7" s="89" t="s">
        <v>134</v>
      </c>
      <c r="AG7" s="92">
        <v>0.41129032258064518</v>
      </c>
      <c r="AH7" s="89" t="s">
        <v>137</v>
      </c>
      <c r="AI7" s="92">
        <v>0.4462809917355372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161</v>
      </c>
      <c r="C8" s="88">
        <v>-4.9999999999999432</v>
      </c>
      <c r="D8" s="89" t="s">
        <v>161</v>
      </c>
      <c r="E8" s="103">
        <v>-6.4102564102563372E-3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0.29308323563892147</v>
      </c>
      <c r="N8" s="89" t="s">
        <v>167</v>
      </c>
      <c r="O8" s="92">
        <v>0.16666666666666666</v>
      </c>
      <c r="P8" s="89" t="s">
        <v>161</v>
      </c>
      <c r="Q8" s="93">
        <v>10228.236607142857</v>
      </c>
      <c r="R8" s="89" t="s">
        <v>133</v>
      </c>
      <c r="S8" s="93">
        <v>-9402.1097046413506</v>
      </c>
      <c r="T8" s="89" t="s">
        <v>194</v>
      </c>
      <c r="U8" s="91">
        <v>0.16666666666666666</v>
      </c>
      <c r="V8" s="89" t="s">
        <v>250</v>
      </c>
      <c r="W8" s="91">
        <v>0.16666666666666666</v>
      </c>
      <c r="X8" s="89" t="s">
        <v>138</v>
      </c>
      <c r="Y8" s="91">
        <v>9.375E-2</v>
      </c>
      <c r="Z8" s="89" t="s">
        <v>133</v>
      </c>
      <c r="AA8" s="92">
        <v>0.29891756869275604</v>
      </c>
      <c r="AB8" s="89" t="s">
        <v>137</v>
      </c>
      <c r="AC8" s="92">
        <v>0.21828908554572271</v>
      </c>
      <c r="AD8" s="89" t="s">
        <v>161</v>
      </c>
      <c r="AE8" s="92">
        <v>0.58237547892720309</v>
      </c>
      <c r="AF8" s="89" t="s">
        <v>135</v>
      </c>
      <c r="AG8" s="92">
        <v>0.40625</v>
      </c>
      <c r="AH8" s="89" t="s">
        <v>135</v>
      </c>
      <c r="AI8" s="92">
        <v>0.44444444444444442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134</v>
      </c>
      <c r="E9" s="103">
        <v>-3.235433070866141</v>
      </c>
      <c r="F9" s="89" t="s">
        <v>250</v>
      </c>
      <c r="G9" s="90">
        <v>2</v>
      </c>
      <c r="H9" s="89" t="s">
        <v>250</v>
      </c>
      <c r="I9" s="91">
        <v>0.33333333333333331</v>
      </c>
      <c r="J9" s="89" t="s">
        <v>250</v>
      </c>
      <c r="K9" s="91">
        <v>0.33333333333333331</v>
      </c>
      <c r="L9" s="89" t="s">
        <v>138</v>
      </c>
      <c r="M9" s="92">
        <v>0.27480916030534353</v>
      </c>
      <c r="N9" s="89" t="s">
        <v>138</v>
      </c>
      <c r="O9" s="92">
        <v>0.1717557251908397</v>
      </c>
      <c r="P9" s="89" t="s">
        <v>133</v>
      </c>
      <c r="Q9" s="93">
        <v>9921.4408233276154</v>
      </c>
      <c r="R9" s="89" t="s">
        <v>161</v>
      </c>
      <c r="S9" s="93">
        <v>-9435.5533790401569</v>
      </c>
      <c r="T9" s="89" t="s">
        <v>138</v>
      </c>
      <c r="U9" s="91">
        <v>0.1875</v>
      </c>
      <c r="V9" s="89" t="s">
        <v>161</v>
      </c>
      <c r="W9" s="91">
        <v>0.16025641025641027</v>
      </c>
      <c r="X9" s="89" t="s">
        <v>161</v>
      </c>
      <c r="Y9" s="91">
        <v>8.461538461538462E-2</v>
      </c>
      <c r="Z9" s="89" t="s">
        <v>134</v>
      </c>
      <c r="AA9" s="92">
        <v>0.29655172413793102</v>
      </c>
      <c r="AB9" s="89" t="s">
        <v>133</v>
      </c>
      <c r="AC9" s="92">
        <v>0.20982514571190675</v>
      </c>
      <c r="AD9" s="89" t="s">
        <v>134</v>
      </c>
      <c r="AE9" s="92">
        <v>0.58139534883720934</v>
      </c>
      <c r="AF9" s="89" t="s">
        <v>161</v>
      </c>
      <c r="AG9" s="92">
        <v>0.39939939939939939</v>
      </c>
      <c r="AH9" s="89" t="s">
        <v>134</v>
      </c>
      <c r="AI9" s="92">
        <v>0.43629343629343631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250</v>
      </c>
      <c r="C10" s="88">
        <v>-20.5</v>
      </c>
      <c r="D10" s="89" t="s">
        <v>250</v>
      </c>
      <c r="E10" s="103">
        <v>-3.4166666666666665</v>
      </c>
      <c r="F10" s="89" t="s">
        <v>138</v>
      </c>
      <c r="G10" s="90">
        <v>2.03125</v>
      </c>
      <c r="H10" s="89" t="s">
        <v>134</v>
      </c>
      <c r="I10" s="91">
        <v>0.30708661417322836</v>
      </c>
      <c r="J10" s="89" t="s">
        <v>138</v>
      </c>
      <c r="K10" s="91">
        <v>0.375</v>
      </c>
      <c r="L10" s="89" t="s">
        <v>171</v>
      </c>
      <c r="M10" s="92">
        <v>0.27027027027027029</v>
      </c>
      <c r="N10" s="89" t="s">
        <v>161</v>
      </c>
      <c r="O10" s="92">
        <v>0.17197237662118917</v>
      </c>
      <c r="P10" s="89" t="s">
        <v>135</v>
      </c>
      <c r="Q10" s="93">
        <v>9726.1437908496737</v>
      </c>
      <c r="R10" s="89" t="s">
        <v>134</v>
      </c>
      <c r="S10" s="93">
        <v>-9511.0526315789466</v>
      </c>
      <c r="T10" s="89" t="s">
        <v>136</v>
      </c>
      <c r="U10" s="91">
        <v>0.19402985074626866</v>
      </c>
      <c r="V10" s="89" t="s">
        <v>138</v>
      </c>
      <c r="W10" s="91">
        <v>0.15625</v>
      </c>
      <c r="X10" s="89" t="s">
        <v>134</v>
      </c>
      <c r="Y10" s="91">
        <v>7.874015748031496E-2</v>
      </c>
      <c r="Z10" s="89" t="s">
        <v>161</v>
      </c>
      <c r="AA10" s="92">
        <v>0.28865295288652953</v>
      </c>
      <c r="AB10" s="89" t="s">
        <v>138</v>
      </c>
      <c r="AC10" s="92">
        <v>0.20555555555555555</v>
      </c>
      <c r="AD10" s="89" t="s">
        <v>137</v>
      </c>
      <c r="AE10" s="92">
        <v>0.5545023696682464</v>
      </c>
      <c r="AF10" s="89" t="s">
        <v>137</v>
      </c>
      <c r="AG10" s="92">
        <v>0.38513513513513514</v>
      </c>
      <c r="AH10" s="89" t="s">
        <v>161</v>
      </c>
      <c r="AI10" s="92">
        <v>0.4185267857142857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171</v>
      </c>
      <c r="C11" s="88">
        <v>-86.4</v>
      </c>
      <c r="D11" s="89" t="s">
        <v>167</v>
      </c>
      <c r="E11" s="103">
        <v>-3.875</v>
      </c>
      <c r="F11" s="89" t="s">
        <v>134</v>
      </c>
      <c r="G11" s="90">
        <v>2.0787401574803148</v>
      </c>
      <c r="H11" s="89" t="s">
        <v>139</v>
      </c>
      <c r="I11" s="91">
        <v>0.25454545454545452</v>
      </c>
      <c r="J11" s="89" t="s">
        <v>134</v>
      </c>
      <c r="K11" s="91">
        <v>0.38582677165354329</v>
      </c>
      <c r="L11" s="89" t="s">
        <v>136</v>
      </c>
      <c r="M11" s="92">
        <v>0.26315789473684209</v>
      </c>
      <c r="N11" s="89" t="s">
        <v>136</v>
      </c>
      <c r="O11" s="92">
        <v>0.18323586744639375</v>
      </c>
      <c r="P11" s="89" t="s">
        <v>157</v>
      </c>
      <c r="Q11" s="93">
        <v>9544</v>
      </c>
      <c r="R11" s="89" t="s">
        <v>139</v>
      </c>
      <c r="S11" s="93">
        <v>-9602.2598870056499</v>
      </c>
      <c r="T11" s="89" t="s">
        <v>134</v>
      </c>
      <c r="U11" s="91">
        <v>0.19685039370078741</v>
      </c>
      <c r="V11" s="89" t="s">
        <v>139</v>
      </c>
      <c r="W11" s="91">
        <v>0.14545454545454545</v>
      </c>
      <c r="X11" s="89" t="s">
        <v>136</v>
      </c>
      <c r="Y11" s="91">
        <v>5.9701492537313432E-2</v>
      </c>
      <c r="Z11" s="89" t="s">
        <v>136</v>
      </c>
      <c r="AA11" s="92">
        <v>0.26126126126126126</v>
      </c>
      <c r="AB11" s="89" t="s">
        <v>139</v>
      </c>
      <c r="AC11" s="92">
        <v>0.20220588235294118</v>
      </c>
      <c r="AD11" s="89" t="s">
        <v>138</v>
      </c>
      <c r="AE11" s="92">
        <v>0.5178571428571429</v>
      </c>
      <c r="AF11" s="89" t="s">
        <v>139</v>
      </c>
      <c r="AG11" s="92">
        <v>0.38181818181818183</v>
      </c>
      <c r="AH11" s="89" t="s">
        <v>133</v>
      </c>
      <c r="AI11" s="92">
        <v>0.38250428816466553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166</v>
      </c>
      <c r="C12" s="88">
        <v>-132.1</v>
      </c>
      <c r="D12" s="89" t="s">
        <v>139</v>
      </c>
      <c r="E12" s="103">
        <v>-4.0727272727272723</v>
      </c>
      <c r="F12" s="89" t="s">
        <v>139</v>
      </c>
      <c r="G12" s="90">
        <v>2.1727272727272728</v>
      </c>
      <c r="H12" s="89" t="s">
        <v>167</v>
      </c>
      <c r="I12" s="91">
        <v>0.25</v>
      </c>
      <c r="J12" s="89" t="s">
        <v>171</v>
      </c>
      <c r="K12" s="91">
        <v>0.4</v>
      </c>
      <c r="L12" s="89" t="s">
        <v>134</v>
      </c>
      <c r="M12" s="92">
        <v>0.26267748478701824</v>
      </c>
      <c r="N12" s="89" t="s">
        <v>134</v>
      </c>
      <c r="O12" s="92">
        <v>0.1926977687626775</v>
      </c>
      <c r="P12" s="89" t="s">
        <v>136</v>
      </c>
      <c r="Q12" s="93">
        <v>9329.6296296296296</v>
      </c>
      <c r="R12" s="89" t="s">
        <v>136</v>
      </c>
      <c r="S12" s="93">
        <v>-10007.446808510638</v>
      </c>
      <c r="T12" s="89" t="s">
        <v>139</v>
      </c>
      <c r="U12" s="91">
        <v>0.20909090909090908</v>
      </c>
      <c r="V12" s="89" t="s">
        <v>136</v>
      </c>
      <c r="W12" s="91">
        <v>0.13432835820895522</v>
      </c>
      <c r="X12" s="89" t="s">
        <v>135</v>
      </c>
      <c r="Y12" s="91">
        <v>4.9180327868852458E-2</v>
      </c>
      <c r="Z12" s="89" t="s">
        <v>171</v>
      </c>
      <c r="AA12" s="92">
        <v>0.25806451612903225</v>
      </c>
      <c r="AB12" s="89" t="s">
        <v>134</v>
      </c>
      <c r="AC12" s="92">
        <v>0.17103448275862068</v>
      </c>
      <c r="AD12" s="89" t="s">
        <v>136</v>
      </c>
      <c r="AE12" s="92">
        <v>0.48275862068965519</v>
      </c>
      <c r="AF12" s="89" t="s">
        <v>136</v>
      </c>
      <c r="AG12" s="92">
        <v>0.3707865168539326</v>
      </c>
      <c r="AH12" s="89" t="s">
        <v>167</v>
      </c>
      <c r="AI12" s="92">
        <v>0.33333333333333331</v>
      </c>
      <c r="AJ12" s="89" t="s">
        <v>194</v>
      </c>
      <c r="AK12" s="94">
        <v>5</v>
      </c>
      <c r="AL12" s="89" t="s">
        <v>157</v>
      </c>
      <c r="AM12" s="98">
        <v>67700</v>
      </c>
      <c r="AN12" s="89" t="s">
        <v>166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-334.9</v>
      </c>
      <c r="D13" s="89" t="s">
        <v>136</v>
      </c>
      <c r="E13" s="103">
        <v>-6.9656716417910447</v>
      </c>
      <c r="F13" s="89" t="s">
        <v>171</v>
      </c>
      <c r="G13" s="90">
        <v>2.2000000000000002</v>
      </c>
      <c r="H13" s="89" t="s">
        <v>157</v>
      </c>
      <c r="I13" s="91">
        <v>0.22580645161290322</v>
      </c>
      <c r="J13" s="89" t="s">
        <v>136</v>
      </c>
      <c r="K13" s="91">
        <v>0.41791044776119401</v>
      </c>
      <c r="L13" s="89" t="s">
        <v>250</v>
      </c>
      <c r="M13" s="92">
        <v>0.25531914893617019</v>
      </c>
      <c r="N13" s="89" t="s">
        <v>157</v>
      </c>
      <c r="O13" s="92">
        <v>0.19327731092436976</v>
      </c>
      <c r="P13" s="89" t="s">
        <v>194</v>
      </c>
      <c r="Q13" s="93">
        <v>9163.1578947368416</v>
      </c>
      <c r="R13" s="89" t="s">
        <v>194</v>
      </c>
      <c r="S13" s="93">
        <v>-10025</v>
      </c>
      <c r="T13" s="89" t="s">
        <v>157</v>
      </c>
      <c r="U13" s="91">
        <v>0.29032258064516131</v>
      </c>
      <c r="V13" s="89" t="s">
        <v>134</v>
      </c>
      <c r="W13" s="91">
        <v>0.13385826771653545</v>
      </c>
      <c r="X13" s="89" t="s">
        <v>157</v>
      </c>
      <c r="Y13" s="91">
        <v>0</v>
      </c>
      <c r="Z13" s="89" t="s">
        <v>135</v>
      </c>
      <c r="AA13" s="92">
        <v>0.23645320197044334</v>
      </c>
      <c r="AB13" s="89" t="s">
        <v>171</v>
      </c>
      <c r="AC13" s="92">
        <v>0.16129032258064516</v>
      </c>
      <c r="AD13" s="89" t="s">
        <v>250</v>
      </c>
      <c r="AE13" s="92">
        <v>0.44444444444444442</v>
      </c>
      <c r="AF13" s="89" t="s">
        <v>157</v>
      </c>
      <c r="AG13" s="92">
        <v>0.29166666666666669</v>
      </c>
      <c r="AH13" s="89" t="s">
        <v>250</v>
      </c>
      <c r="AI13" s="92">
        <v>0.33333333333333331</v>
      </c>
      <c r="AJ13" s="89" t="s">
        <v>250</v>
      </c>
      <c r="AK13" s="94">
        <v>5</v>
      </c>
      <c r="AL13" s="89" t="s">
        <v>250</v>
      </c>
      <c r="AM13" s="98">
        <v>59500</v>
      </c>
      <c r="AN13" s="89" t="s">
        <v>167</v>
      </c>
      <c r="AO13" s="95">
        <v>0</v>
      </c>
    </row>
    <row r="14" spans="1:41" x14ac:dyDescent="0.4">
      <c r="A14" s="86">
        <v>12</v>
      </c>
      <c r="B14" s="87" t="s">
        <v>134</v>
      </c>
      <c r="C14" s="88">
        <v>-410.89999999999992</v>
      </c>
      <c r="D14" s="89" t="s">
        <v>157</v>
      </c>
      <c r="E14" s="103">
        <v>-10.803225806451612</v>
      </c>
      <c r="F14" s="89" t="s">
        <v>136</v>
      </c>
      <c r="G14" s="90">
        <v>2.2089552238805972</v>
      </c>
      <c r="H14" s="89" t="s">
        <v>136</v>
      </c>
      <c r="I14" s="91">
        <v>0.20895522388059701</v>
      </c>
      <c r="J14" s="89" t="s">
        <v>139</v>
      </c>
      <c r="K14" s="91">
        <v>0.42727272727272725</v>
      </c>
      <c r="L14" s="89" t="s">
        <v>167</v>
      </c>
      <c r="M14" s="92">
        <v>0.25</v>
      </c>
      <c r="N14" s="89" t="s">
        <v>139</v>
      </c>
      <c r="O14" s="92">
        <v>0.20750293083235638</v>
      </c>
      <c r="P14" s="89" t="s">
        <v>250</v>
      </c>
      <c r="Q14" s="93">
        <v>8800</v>
      </c>
      <c r="R14" s="89" t="s">
        <v>250</v>
      </c>
      <c r="S14" s="93">
        <v>-10466.666666666666</v>
      </c>
      <c r="T14" s="89" t="s">
        <v>250</v>
      </c>
      <c r="U14" s="91">
        <v>0.33333333333333331</v>
      </c>
      <c r="V14" s="89" t="s">
        <v>157</v>
      </c>
      <c r="W14" s="91">
        <v>9.6774193548387094E-2</v>
      </c>
      <c r="X14" s="89" t="s">
        <v>166</v>
      </c>
      <c r="Y14" s="91">
        <v>0</v>
      </c>
      <c r="Z14" s="89" t="s">
        <v>250</v>
      </c>
      <c r="AA14" s="92">
        <v>0.19148936170212766</v>
      </c>
      <c r="AB14" s="89" t="s">
        <v>194</v>
      </c>
      <c r="AC14" s="92">
        <v>0.12</v>
      </c>
      <c r="AD14" s="89" t="s">
        <v>157</v>
      </c>
      <c r="AE14" s="92">
        <v>0.44117647058823528</v>
      </c>
      <c r="AF14" s="89" t="s">
        <v>138</v>
      </c>
      <c r="AG14" s="92">
        <v>0.21621621621621623</v>
      </c>
      <c r="AH14" s="89" t="s">
        <v>157</v>
      </c>
      <c r="AI14" s="92">
        <v>0.32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171</v>
      </c>
      <c r="AO14" s="95">
        <v>0</v>
      </c>
    </row>
    <row r="15" spans="1:41" x14ac:dyDescent="0.4">
      <c r="A15" s="86">
        <v>13</v>
      </c>
      <c r="B15" s="87" t="s">
        <v>139</v>
      </c>
      <c r="C15" s="88">
        <v>-447.99999999999994</v>
      </c>
      <c r="D15" s="89" t="s">
        <v>171</v>
      </c>
      <c r="E15" s="103">
        <v>-17.28</v>
      </c>
      <c r="F15" s="89" t="s">
        <v>157</v>
      </c>
      <c r="G15" s="90">
        <v>2.3225806451612905</v>
      </c>
      <c r="H15" s="89" t="s">
        <v>171</v>
      </c>
      <c r="I15" s="91">
        <v>0.2</v>
      </c>
      <c r="J15" s="89" t="s">
        <v>157</v>
      </c>
      <c r="K15" s="91">
        <v>0.54838709677419351</v>
      </c>
      <c r="L15" s="89" t="s">
        <v>157</v>
      </c>
      <c r="M15" s="92">
        <v>0.21008403361344538</v>
      </c>
      <c r="N15" s="89" t="s">
        <v>171</v>
      </c>
      <c r="O15" s="92">
        <v>0.21621621621621623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157</v>
      </c>
      <c r="AA15" s="92">
        <v>0.14285714285714285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194</v>
      </c>
      <c r="AO15" s="95">
        <v>0</v>
      </c>
    </row>
    <row r="16" spans="1:41" x14ac:dyDescent="0.4">
      <c r="A16" s="86">
        <v>14</v>
      </c>
      <c r="B16" s="87" t="s">
        <v>136</v>
      </c>
      <c r="C16" s="88">
        <v>-466.7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250</v>
      </c>
      <c r="AO16" s="95">
        <v>0</v>
      </c>
    </row>
  </sheetData>
  <sortState ref="AN3:AO50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4833B-1028-4B6D-A3C6-975AF9B26CFE}">
  <sheetPr codeName="Sheet4"/>
  <dimension ref="A1:Q78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161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780</v>
      </c>
      <c r="C2" s="144"/>
      <c r="E2" s="64" t="s">
        <v>71</v>
      </c>
      <c r="F2" s="61" t="s">
        <v>25</v>
      </c>
      <c r="G2" s="48">
        <v>1196</v>
      </c>
      <c r="H2" s="138">
        <f>IF(B$27=0,0,G2/B$27)</f>
        <v>0.88070692194403533</v>
      </c>
      <c r="I2" s="99">
        <v>8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-14.322916666666666</v>
      </c>
      <c r="P2" s="125">
        <v>768</v>
      </c>
      <c r="Q2" s="109">
        <v>-11000</v>
      </c>
    </row>
    <row r="3" spans="1:17" x14ac:dyDescent="0.4">
      <c r="A3" s="57" t="s">
        <v>8</v>
      </c>
      <c r="B3" s="145">
        <v>5937</v>
      </c>
      <c r="C3" s="146"/>
      <c r="E3" s="65" t="s">
        <v>69</v>
      </c>
      <c r="F3" s="62" t="s">
        <v>23</v>
      </c>
      <c r="G3" s="49">
        <v>994</v>
      </c>
      <c r="H3" s="139">
        <f>IF(B$27=0,0,G3/B$27)</f>
        <v>0.73195876288659789</v>
      </c>
      <c r="I3" s="100">
        <v>6</v>
      </c>
      <c r="K3" s="40">
        <v>1</v>
      </c>
      <c r="L3" s="105">
        <v>15</v>
      </c>
      <c r="N3" s="122" t="s">
        <v>148</v>
      </c>
      <c r="O3" s="129">
        <f t="shared" si="0"/>
        <v>-1.3550135501355014</v>
      </c>
      <c r="P3" s="126">
        <v>738</v>
      </c>
      <c r="Q3" s="110">
        <v>-1000</v>
      </c>
    </row>
    <row r="4" spans="1:17" x14ac:dyDescent="0.4">
      <c r="A4" s="57" t="s">
        <v>6</v>
      </c>
      <c r="B4" s="147">
        <v>-4.9999999999999432</v>
      </c>
      <c r="C4" s="148"/>
      <c r="E4" s="65" t="s">
        <v>76</v>
      </c>
      <c r="F4" s="62" t="s">
        <v>29</v>
      </c>
      <c r="G4" s="49">
        <v>772</v>
      </c>
      <c r="H4" s="139">
        <f>IF(B$27=0,0,G4/B$27)</f>
        <v>0.56848306332842413</v>
      </c>
      <c r="I4" s="100">
        <v>7</v>
      </c>
      <c r="K4" s="40">
        <v>2</v>
      </c>
      <c r="L4" s="105">
        <v>-7</v>
      </c>
      <c r="N4" s="122" t="s">
        <v>149</v>
      </c>
      <c r="O4" s="129">
        <f t="shared" si="0"/>
        <v>7.2780203784570601</v>
      </c>
      <c r="P4" s="126">
        <v>687</v>
      </c>
      <c r="Q4" s="110">
        <v>5000</v>
      </c>
    </row>
    <row r="5" spans="1:17" x14ac:dyDescent="0.4">
      <c r="A5" s="57" t="s">
        <v>7</v>
      </c>
      <c r="B5" s="149">
        <f>IF(B$2=0,0,B$4/B$2)</f>
        <v>-6.4102564102563372E-3</v>
      </c>
      <c r="C5" s="150"/>
      <c r="E5" s="65" t="s">
        <v>67</v>
      </c>
      <c r="F5" s="62" t="s">
        <v>21</v>
      </c>
      <c r="G5" s="49">
        <v>749</v>
      </c>
      <c r="H5" s="139">
        <f>IF(B$27=0,0,G5/B$27)</f>
        <v>0.55154639175257736</v>
      </c>
      <c r="I5" s="100">
        <v>7</v>
      </c>
      <c r="K5" s="40">
        <v>3</v>
      </c>
      <c r="L5" s="105">
        <v>0</v>
      </c>
      <c r="N5" s="122" t="s">
        <v>150</v>
      </c>
      <c r="O5" s="129">
        <f t="shared" si="0"/>
        <v>-1.6181229773462784</v>
      </c>
      <c r="P5" s="126">
        <v>618</v>
      </c>
      <c r="Q5" s="110">
        <v>-1000</v>
      </c>
    </row>
    <row r="6" spans="1:17" x14ac:dyDescent="0.4">
      <c r="A6" s="57" t="s">
        <v>1</v>
      </c>
      <c r="B6" s="155">
        <f>IF(B$2=0,0,(B$7*1+B$8*2+B$9*3)/B$2)</f>
        <v>2</v>
      </c>
      <c r="C6" s="156"/>
      <c r="E6" s="65" t="s">
        <v>72</v>
      </c>
      <c r="F6" s="62" t="s">
        <v>12</v>
      </c>
      <c r="G6" s="49">
        <v>416</v>
      </c>
      <c r="H6" s="139">
        <f>IF(B$27=0,0,G6/B$27)</f>
        <v>0.30633284241531666</v>
      </c>
      <c r="I6" s="100">
        <v>6</v>
      </c>
      <c r="K6" s="40">
        <v>4</v>
      </c>
      <c r="L6" s="105">
        <v>-1</v>
      </c>
      <c r="N6" s="122" t="s">
        <v>151</v>
      </c>
      <c r="O6" s="129">
        <f t="shared" si="0"/>
        <v>9.3109869646182499</v>
      </c>
      <c r="P6" s="126">
        <v>537</v>
      </c>
      <c r="Q6" s="110">
        <v>5000</v>
      </c>
    </row>
    <row r="7" spans="1:17" x14ac:dyDescent="0.4">
      <c r="A7" s="57" t="s">
        <v>2</v>
      </c>
      <c r="B7" s="49">
        <v>260</v>
      </c>
      <c r="C7" s="41">
        <f>IF(B$2=0,0,B7/B$2)</f>
        <v>0.33333333333333331</v>
      </c>
      <c r="E7" s="65" t="s">
        <v>70</v>
      </c>
      <c r="F7" s="62" t="s">
        <v>24</v>
      </c>
      <c r="G7" s="49">
        <v>414</v>
      </c>
      <c r="H7" s="139">
        <f>IF(B$27=0,0,G7/B$27)</f>
        <v>0.30486008836524303</v>
      </c>
      <c r="I7" s="100">
        <v>7</v>
      </c>
      <c r="K7" s="40">
        <v>5</v>
      </c>
      <c r="L7" s="105">
        <v>39.9</v>
      </c>
      <c r="N7" s="123" t="s">
        <v>152</v>
      </c>
      <c r="O7" s="130">
        <f t="shared" si="0"/>
        <v>-4.7281323877068555</v>
      </c>
      <c r="P7" s="127">
        <v>423</v>
      </c>
      <c r="Q7" s="111">
        <v>-2000</v>
      </c>
    </row>
    <row r="8" spans="1:17" x14ac:dyDescent="0.4">
      <c r="A8" s="57" t="s">
        <v>3</v>
      </c>
      <c r="B8" s="49">
        <v>260</v>
      </c>
      <c r="C8" s="41">
        <f>IF(B$2=0,0,B8/B$2)</f>
        <v>0.33333333333333331</v>
      </c>
      <c r="E8" s="65" t="s">
        <v>94</v>
      </c>
      <c r="F8" s="62" t="s">
        <v>47</v>
      </c>
      <c r="G8" s="49">
        <v>212</v>
      </c>
      <c r="H8" s="139">
        <f>IF(B$27=0,0,G8/B$27)</f>
        <v>0.1561119293078056</v>
      </c>
      <c r="I8" s="100">
        <v>8</v>
      </c>
      <c r="K8" s="40">
        <v>6</v>
      </c>
      <c r="L8" s="105">
        <v>0</v>
      </c>
      <c r="N8" s="45"/>
      <c r="O8" s="134"/>
      <c r="P8" s="118"/>
      <c r="Q8" s="116"/>
    </row>
    <row r="9" spans="1:17" x14ac:dyDescent="0.4">
      <c r="A9" s="58" t="s">
        <v>4</v>
      </c>
      <c r="B9" s="50">
        <v>260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200</v>
      </c>
      <c r="H9" s="139">
        <f>IF(B$27=0,0,G9/B$27)</f>
        <v>0.14727540500736377</v>
      </c>
      <c r="I9" s="100">
        <v>6</v>
      </c>
      <c r="K9" s="40">
        <v>7</v>
      </c>
      <c r="L9" s="105">
        <v>15.1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125</v>
      </c>
      <c r="C10" s="42">
        <f>IF(B$2=0,0,B10/B$2)</f>
        <v>0.16025641025641027</v>
      </c>
      <c r="E10" s="65" t="s">
        <v>68</v>
      </c>
      <c r="F10" s="62" t="s">
        <v>22</v>
      </c>
      <c r="G10" s="49">
        <v>158</v>
      </c>
      <c r="H10" s="139">
        <f>IF(B$27=0,0,G10/B$27)</f>
        <v>0.11634756995581738</v>
      </c>
      <c r="I10" s="100">
        <v>7</v>
      </c>
      <c r="K10" s="40">
        <v>8</v>
      </c>
      <c r="L10" s="105">
        <v>-26.699999999999996</v>
      </c>
      <c r="N10" s="121" t="s">
        <v>253</v>
      </c>
      <c r="O10" s="131">
        <f>IF(P10=0,0,Q10/P10)</f>
        <v>-1.9898832684824901</v>
      </c>
      <c r="P10" s="125">
        <v>257</v>
      </c>
      <c r="Q10" s="113">
        <v>-511.4</v>
      </c>
    </row>
    <row r="11" spans="1:17" x14ac:dyDescent="0.4">
      <c r="A11" s="58" t="s">
        <v>155</v>
      </c>
      <c r="B11" s="50">
        <v>125</v>
      </c>
      <c r="C11" s="42">
        <f>IF(B$2=0,0,B11/B$2)</f>
        <v>0.16025641025641027</v>
      </c>
      <c r="E11" s="65" t="s">
        <v>74</v>
      </c>
      <c r="F11" s="62" t="s">
        <v>27</v>
      </c>
      <c r="G11" s="49">
        <v>139</v>
      </c>
      <c r="H11" s="139">
        <f>IF(B$27=0,0,G11/B$27)</f>
        <v>0.10235640648011782</v>
      </c>
      <c r="I11" s="100">
        <v>6</v>
      </c>
      <c r="K11" s="40">
        <v>9</v>
      </c>
      <c r="L11" s="105">
        <v>3.5527136788005009E-15</v>
      </c>
      <c r="N11" s="122" t="s">
        <v>254</v>
      </c>
      <c r="O11" s="132">
        <f>IF(P11=0,0,Q11/P11)</f>
        <v>0.48404669260700434</v>
      </c>
      <c r="P11" s="126">
        <v>257</v>
      </c>
      <c r="Q11" s="114">
        <v>124.40000000000012</v>
      </c>
    </row>
    <row r="12" spans="1:17" x14ac:dyDescent="0.4">
      <c r="A12" s="59" t="s">
        <v>239</v>
      </c>
      <c r="B12" s="51">
        <v>66</v>
      </c>
      <c r="C12" s="44">
        <f>IF(B$2=0,0,B12/B$2)</f>
        <v>8.461538461538462E-2</v>
      </c>
      <c r="E12" s="65" t="s">
        <v>91</v>
      </c>
      <c r="F12" s="62" t="s">
        <v>44</v>
      </c>
      <c r="G12" s="49">
        <v>91</v>
      </c>
      <c r="H12" s="139">
        <f>IF(B$27=0,0,G12/B$27)</f>
        <v>6.7010309278350513E-2</v>
      </c>
      <c r="I12" s="100">
        <v>8</v>
      </c>
      <c r="K12" s="40">
        <v>10</v>
      </c>
      <c r="L12" s="105">
        <v>85.2</v>
      </c>
      <c r="N12" s="123" t="s">
        <v>255</v>
      </c>
      <c r="O12" s="133">
        <f>IF(P12=0,0,Q12/P12)</f>
        <v>1.4863813229571992</v>
      </c>
      <c r="P12" s="127">
        <v>257</v>
      </c>
      <c r="Q12" s="115">
        <v>382.00000000000017</v>
      </c>
    </row>
    <row r="13" spans="1:17" x14ac:dyDescent="0.4">
      <c r="A13" s="60" t="s">
        <v>128</v>
      </c>
      <c r="B13" s="52">
        <v>1305</v>
      </c>
      <c r="C13" s="46">
        <f>IF(B$26=0,0,B13/B$26)</f>
        <v>0.28865295288652953</v>
      </c>
      <c r="E13" s="65" t="s">
        <v>75</v>
      </c>
      <c r="F13" s="62" t="s">
        <v>28</v>
      </c>
      <c r="G13" s="49">
        <v>67</v>
      </c>
      <c r="H13" s="139">
        <f>IF(B$27=0,0,G13/B$27)</f>
        <v>4.9337260677466861E-2</v>
      </c>
      <c r="I13" s="100">
        <v>5</v>
      </c>
      <c r="K13" s="40">
        <v>11</v>
      </c>
      <c r="L13" s="105">
        <v>44.5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999</v>
      </c>
      <c r="C14" s="41">
        <f>IF(B$26=0,0,B14/B$26)</f>
        <v>0.22096881220968811</v>
      </c>
      <c r="E14" s="65" t="s">
        <v>88</v>
      </c>
      <c r="F14" s="62" t="s">
        <v>41</v>
      </c>
      <c r="G14" s="49">
        <v>64</v>
      </c>
      <c r="H14" s="139">
        <f>IF(B$27=0,0,G14/B$27)</f>
        <v>4.7128129602356406E-2</v>
      </c>
      <c r="I14" s="100">
        <v>6</v>
      </c>
      <c r="K14" s="40">
        <v>12</v>
      </c>
      <c r="L14" s="105">
        <v>0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760</v>
      </c>
      <c r="C15" s="39">
        <f>IF(B$13=0,0,B15/B$13)</f>
        <v>0.58237547892720309</v>
      </c>
      <c r="E15" s="65" t="s">
        <v>82</v>
      </c>
      <c r="F15" s="62" t="s">
        <v>35</v>
      </c>
      <c r="G15" s="49">
        <v>44</v>
      </c>
      <c r="H15" s="139">
        <f>IF(B$27=0,0,G15/B$27)</f>
        <v>3.2400589101620032E-2</v>
      </c>
      <c r="I15" s="100">
        <v>6</v>
      </c>
      <c r="K15" s="40">
        <v>13</v>
      </c>
      <c r="L15" s="105">
        <v>31.5</v>
      </c>
      <c r="N15" s="121" t="s">
        <v>171</v>
      </c>
      <c r="O15" s="131">
        <f>IF(Q15=0,0,P15/Q15)</f>
        <v>1.0044676098287419</v>
      </c>
      <c r="P15" s="125">
        <v>134.9</v>
      </c>
      <c r="Q15" s="113">
        <v>134.29999999999995</v>
      </c>
    </row>
    <row r="16" spans="1:17" x14ac:dyDescent="0.4">
      <c r="A16" s="56" t="s">
        <v>131</v>
      </c>
      <c r="B16" s="48">
        <v>399</v>
      </c>
      <c r="C16" s="39">
        <f>IF(B$14=0,0,B16/B$14)</f>
        <v>0.39939939939939939</v>
      </c>
      <c r="E16" s="65" t="s">
        <v>86</v>
      </c>
      <c r="F16" s="62" t="s">
        <v>39</v>
      </c>
      <c r="G16" s="49">
        <v>39</v>
      </c>
      <c r="H16" s="139">
        <f>IF(B$27=0,0,G16/B$27)</f>
        <v>2.8718703976435934E-2</v>
      </c>
      <c r="I16" s="100">
        <v>5</v>
      </c>
      <c r="K16" s="40">
        <v>14</v>
      </c>
      <c r="L16" s="105">
        <v>-4</v>
      </c>
      <c r="N16" s="122" t="s">
        <v>194</v>
      </c>
      <c r="O16" s="132">
        <f>IF(Q16=0,0,P16/Q16)</f>
        <v>0.40540540540540554</v>
      </c>
      <c r="P16" s="126">
        <v>-37.5</v>
      </c>
      <c r="Q16" s="114">
        <v>-92.499999999999972</v>
      </c>
    </row>
    <row r="17" spans="1:17" x14ac:dyDescent="0.4">
      <c r="A17" s="56" t="s">
        <v>10</v>
      </c>
      <c r="B17" s="48">
        <f>B19+B18</f>
        <v>1792</v>
      </c>
      <c r="C17" s="39">
        <f>IF(B$3=0,0,B17/B$3)</f>
        <v>0.30183594407950143</v>
      </c>
      <c r="E17" s="65" t="s">
        <v>96</v>
      </c>
      <c r="F17" s="62" t="s">
        <v>49</v>
      </c>
      <c r="G17" s="49">
        <v>24</v>
      </c>
      <c r="H17" s="139">
        <f>IF(B$27=0,0,G17/B$27)</f>
        <v>1.7673048600883652E-2</v>
      </c>
      <c r="I17" s="100">
        <v>5</v>
      </c>
      <c r="K17" s="40">
        <v>15</v>
      </c>
      <c r="L17" s="105">
        <v>0</v>
      </c>
      <c r="N17" s="122" t="s">
        <v>167</v>
      </c>
      <c r="O17" s="132">
        <f>IF(Q17=0,0,P17/Q17)</f>
        <v>0.379746835443038</v>
      </c>
      <c r="P17" s="126">
        <v>15</v>
      </c>
      <c r="Q17" s="114">
        <v>39.5</v>
      </c>
    </row>
    <row r="18" spans="1:17" x14ac:dyDescent="0.4">
      <c r="A18" s="57" t="s">
        <v>12</v>
      </c>
      <c r="B18" s="49">
        <v>750</v>
      </c>
      <c r="C18" s="41">
        <f>IF(B$17=0,0,B18/B$17)</f>
        <v>0.4185267857142857</v>
      </c>
      <c r="E18" s="65" t="s">
        <v>83</v>
      </c>
      <c r="F18" s="62" t="s">
        <v>36</v>
      </c>
      <c r="G18" s="49">
        <v>22</v>
      </c>
      <c r="H18" s="139">
        <f>IF(B$27=0,0,G18/B$27)</f>
        <v>1.6200294550810016E-2</v>
      </c>
      <c r="I18" s="100">
        <v>6</v>
      </c>
      <c r="K18" s="40">
        <v>16</v>
      </c>
      <c r="L18" s="105">
        <v>-48</v>
      </c>
      <c r="N18" s="122" t="s">
        <v>139</v>
      </c>
      <c r="O18" s="132">
        <f>IF(Q18=0,0,P18/Q18)</f>
        <v>0.17069882405812309</v>
      </c>
      <c r="P18" s="126">
        <v>227.9</v>
      </c>
      <c r="Q18" s="114">
        <v>1335.0999999999992</v>
      </c>
    </row>
    <row r="19" spans="1:17" x14ac:dyDescent="0.4">
      <c r="A19" s="57" t="s">
        <v>11</v>
      </c>
      <c r="B19" s="49">
        <v>1042</v>
      </c>
      <c r="C19" s="41">
        <f>IF(B$17=0,0,B19/B$17)</f>
        <v>0.5814732142857143</v>
      </c>
      <c r="E19" s="65" t="s">
        <v>77</v>
      </c>
      <c r="F19" s="62" t="s">
        <v>30</v>
      </c>
      <c r="G19" s="49">
        <v>12</v>
      </c>
      <c r="H19" s="139">
        <f>IF(B$27=0,0,G19/B$27)</f>
        <v>8.836524300441826E-3</v>
      </c>
      <c r="I19" s="100">
        <v>4</v>
      </c>
      <c r="K19" s="40">
        <v>17</v>
      </c>
      <c r="L19" s="105">
        <v>-8</v>
      </c>
      <c r="N19" s="122" t="s">
        <v>134</v>
      </c>
      <c r="O19" s="132">
        <f>IF(Q19=0,0,P19/Q19)</f>
        <v>0.16601132431582263</v>
      </c>
      <c r="P19" s="126">
        <v>211.1</v>
      </c>
      <c r="Q19" s="114">
        <v>1271.5999999999997</v>
      </c>
    </row>
    <row r="20" spans="1:17" x14ac:dyDescent="0.4">
      <c r="A20" s="57" t="s">
        <v>13</v>
      </c>
      <c r="B20" s="49">
        <v>1021</v>
      </c>
      <c r="C20" s="41">
        <f>IF(B$3=0,0,B20/B$3)</f>
        <v>0.17197237662118917</v>
      </c>
      <c r="E20" s="65" t="s">
        <v>79</v>
      </c>
      <c r="F20" s="62" t="s">
        <v>32</v>
      </c>
      <c r="G20" s="49">
        <v>9</v>
      </c>
      <c r="H20" s="139">
        <f>IF(B$27=0,0,G20/B$27)</f>
        <v>6.6273932253313695E-3</v>
      </c>
      <c r="I20" s="100">
        <v>4</v>
      </c>
      <c r="K20" s="40">
        <v>18</v>
      </c>
      <c r="L20" s="105">
        <v>0</v>
      </c>
      <c r="N20" s="122" t="s">
        <v>166</v>
      </c>
      <c r="O20" s="132">
        <f>IF(Q20=0,0,P20/Q20)</f>
        <v>0.12212045517624204</v>
      </c>
      <c r="P20" s="126">
        <v>44</v>
      </c>
      <c r="Q20" s="114">
        <v>360.29999999999995</v>
      </c>
    </row>
    <row r="21" spans="1:17" x14ac:dyDescent="0.4">
      <c r="A21" s="57" t="s">
        <v>5</v>
      </c>
      <c r="B21" s="53">
        <f>IF(B$17=0,0,C21/B$17)</f>
        <v>10228.236607142857</v>
      </c>
      <c r="C21" s="43">
        <v>18329000</v>
      </c>
      <c r="E21" s="65" t="s">
        <v>81</v>
      </c>
      <c r="F21" s="62" t="s">
        <v>34</v>
      </c>
      <c r="G21" s="49">
        <v>8</v>
      </c>
      <c r="H21" s="139">
        <f>IF(B$27=0,0,G21/B$27)</f>
        <v>5.8910162002945507E-3</v>
      </c>
      <c r="I21" s="100">
        <v>4</v>
      </c>
      <c r="K21" s="40">
        <v>19</v>
      </c>
      <c r="L21" s="105">
        <v>-6.1</v>
      </c>
      <c r="N21" s="122" t="s">
        <v>136</v>
      </c>
      <c r="O21" s="132">
        <f>IF(Q21=0,0,P21/Q21)</f>
        <v>2.2188166311300633E-2</v>
      </c>
      <c r="P21" s="126">
        <v>33.299999999999997</v>
      </c>
      <c r="Q21" s="114">
        <v>1500.8000000000004</v>
      </c>
    </row>
    <row r="22" spans="1:17" x14ac:dyDescent="0.4">
      <c r="A22" s="59" t="s">
        <v>14</v>
      </c>
      <c r="B22" s="54">
        <f>IF(B$20=0,0,C22/B$20)</f>
        <v>-9435.5533790401569</v>
      </c>
      <c r="C22" s="47">
        <v>-9633700</v>
      </c>
      <c r="E22" s="65" t="s">
        <v>97</v>
      </c>
      <c r="F22" s="62" t="s">
        <v>50</v>
      </c>
      <c r="G22" s="49">
        <v>8</v>
      </c>
      <c r="H22" s="139">
        <f>IF(B$27=0,0,G22/B$27)</f>
        <v>5.8910162002945507E-3</v>
      </c>
      <c r="I22" s="100">
        <v>5</v>
      </c>
      <c r="K22" s="40">
        <v>20</v>
      </c>
      <c r="L22" s="105">
        <v>4.9000000000000004</v>
      </c>
      <c r="N22" s="122" t="s">
        <v>157</v>
      </c>
      <c r="O22" s="132">
        <f>IF(Q22=0,0,P22/Q22)</f>
        <v>-2.2448788700776337E-3</v>
      </c>
      <c r="P22" s="126">
        <v>-2.3999999999999986</v>
      </c>
      <c r="Q22" s="114">
        <v>1069.1000000000001</v>
      </c>
    </row>
    <row r="23" spans="1:17" x14ac:dyDescent="0.4">
      <c r="A23" s="96" t="s">
        <v>158</v>
      </c>
      <c r="B23" s="153">
        <v>10</v>
      </c>
      <c r="C23" s="154"/>
      <c r="E23" s="65" t="s">
        <v>90</v>
      </c>
      <c r="F23" s="62" t="s">
        <v>43</v>
      </c>
      <c r="G23" s="49">
        <v>5</v>
      </c>
      <c r="H23" s="139">
        <f>IF(B$27=0,0,G23/B$27)</f>
        <v>3.6818851251840942E-3</v>
      </c>
      <c r="I23" s="100">
        <v>4</v>
      </c>
      <c r="K23" s="40">
        <v>21</v>
      </c>
      <c r="L23" s="105">
        <v>0</v>
      </c>
      <c r="N23" s="122" t="s">
        <v>133</v>
      </c>
      <c r="O23" s="132">
        <f>IF(Q23=0,0,P23/Q23)</f>
        <v>-9.9070902235256497E-2</v>
      </c>
      <c r="P23" s="126">
        <v>402</v>
      </c>
      <c r="Q23" s="114">
        <v>-4057.6999999999971</v>
      </c>
    </row>
    <row r="24" spans="1:17" x14ac:dyDescent="0.4">
      <c r="A24" s="60" t="s">
        <v>199</v>
      </c>
      <c r="B24" s="151">
        <v>124700</v>
      </c>
      <c r="C24" s="152"/>
      <c r="E24" s="65" t="s">
        <v>98</v>
      </c>
      <c r="F24" s="62" t="s">
        <v>51</v>
      </c>
      <c r="G24" s="49">
        <v>5</v>
      </c>
      <c r="H24" s="139">
        <f>IF(B$27=0,0,G24/B$27)</f>
        <v>3.6818851251840942E-3</v>
      </c>
      <c r="I24" s="100">
        <v>4</v>
      </c>
      <c r="K24" s="40">
        <v>22</v>
      </c>
      <c r="L24" s="105">
        <v>-36</v>
      </c>
      <c r="N24" s="122" t="s">
        <v>135</v>
      </c>
      <c r="O24" s="132">
        <f>IF(Q24=0,0,P24/Q24)</f>
        <v>-0.19752933909820894</v>
      </c>
      <c r="P24" s="126">
        <v>159.9</v>
      </c>
      <c r="Q24" s="114">
        <v>-809.49999999999932</v>
      </c>
    </row>
    <row r="25" spans="1:17" x14ac:dyDescent="0.4">
      <c r="A25" s="59" t="s">
        <v>159</v>
      </c>
      <c r="B25" s="67">
        <v>20</v>
      </c>
      <c r="C25" s="44">
        <f>IF(B$3=0,0,B25/B$3)</f>
        <v>3.3687047330301497E-3</v>
      </c>
      <c r="E25" s="65" t="s">
        <v>89</v>
      </c>
      <c r="F25" s="62" t="s">
        <v>42</v>
      </c>
      <c r="G25" s="49">
        <v>4</v>
      </c>
      <c r="H25" s="139">
        <f>IF(B$27=0,0,G25/B$27)</f>
        <v>2.9455081001472753E-3</v>
      </c>
      <c r="I25" s="100">
        <v>4</v>
      </c>
      <c r="K25" s="40">
        <v>23</v>
      </c>
      <c r="L25" s="105">
        <v>-3</v>
      </c>
      <c r="N25" s="122" t="s">
        <v>250</v>
      </c>
      <c r="O25" s="132">
        <f>IF(Q25=0,0,P25/Q25)</f>
        <v>-0.28985507246376818</v>
      </c>
      <c r="P25" s="126">
        <v>-30</v>
      </c>
      <c r="Q25" s="114">
        <v>103.49999999999997</v>
      </c>
    </row>
    <row r="26" spans="1:17" x14ac:dyDescent="0.4">
      <c r="A26" s="56" t="s">
        <v>126</v>
      </c>
      <c r="B26" s="143">
        <v>4521</v>
      </c>
      <c r="C26" s="144"/>
      <c r="E26" s="65" t="s">
        <v>92</v>
      </c>
      <c r="F26" s="62" t="s">
        <v>45</v>
      </c>
      <c r="G26" s="49">
        <v>3</v>
      </c>
      <c r="H26" s="139">
        <f>IF(B$27=0,0,G26/B$27)</f>
        <v>2.2091310751104565E-3</v>
      </c>
      <c r="I26" s="100">
        <v>3</v>
      </c>
      <c r="K26" s="40">
        <v>24</v>
      </c>
      <c r="L26" s="105">
        <v>0</v>
      </c>
      <c r="N26" s="122" t="s">
        <v>137</v>
      </c>
      <c r="O26" s="132">
        <f>IF(Q26=0,0,P26/Q26)</f>
        <v>-0.30719414331972422</v>
      </c>
      <c r="P26" s="126">
        <v>218.2</v>
      </c>
      <c r="Q26" s="114">
        <v>-710.29999999999961</v>
      </c>
    </row>
    <row r="27" spans="1:17" x14ac:dyDescent="0.4">
      <c r="A27" s="59" t="s">
        <v>127</v>
      </c>
      <c r="B27" s="157">
        <v>1358</v>
      </c>
      <c r="C27" s="158"/>
      <c r="E27" s="65" t="s">
        <v>78</v>
      </c>
      <c r="F27" s="62" t="s">
        <v>31</v>
      </c>
      <c r="G27" s="49">
        <v>2</v>
      </c>
      <c r="H27" s="139">
        <f>IF(B$27=0,0,G27/B$27)</f>
        <v>1.4727540500736377E-3</v>
      </c>
      <c r="I27" s="100">
        <v>3</v>
      </c>
      <c r="K27" s="40">
        <v>25</v>
      </c>
      <c r="L27" s="105">
        <v>-41</v>
      </c>
      <c r="N27" s="122" t="s">
        <v>138</v>
      </c>
      <c r="O27" s="132">
        <f>IF(Q27=0,0,P27/Q27)</f>
        <v>-1.4315443592552028</v>
      </c>
      <c r="P27" s="126">
        <v>130.69999999999999</v>
      </c>
      <c r="Q27" s="114">
        <v>-91.299999999999983</v>
      </c>
    </row>
    <row r="28" spans="1:17" x14ac:dyDescent="0.4">
      <c r="E28" s="65" t="s">
        <v>85</v>
      </c>
      <c r="F28" s="62" t="s">
        <v>38</v>
      </c>
      <c r="G28" s="49">
        <v>1</v>
      </c>
      <c r="H28" s="139">
        <f>IF(B$27=0,0,G28/B$27)</f>
        <v>7.3637702503681884E-4</v>
      </c>
      <c r="I28" s="100">
        <v>2</v>
      </c>
      <c r="K28" s="40">
        <v>26</v>
      </c>
      <c r="L28" s="105">
        <v>11.5</v>
      </c>
    </row>
    <row r="29" spans="1:17" x14ac:dyDescent="0.4">
      <c r="E29" s="65" t="s">
        <v>93</v>
      </c>
      <c r="F29" s="62" t="s">
        <v>46</v>
      </c>
      <c r="G29" s="49">
        <v>1</v>
      </c>
      <c r="H29" s="139">
        <f>IF(B$27=0,0,G29/B$27)</f>
        <v>7.3637702503681884E-4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95</v>
      </c>
      <c r="F30" s="62" t="s">
        <v>48</v>
      </c>
      <c r="G30" s="49">
        <v>1</v>
      </c>
      <c r="H30" s="139">
        <f>IF(B$27=0,0,G30/B$27)</f>
        <v>7.3637702503681884E-4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9">
        <f>IF(B$27=0,0,G31/B$27)</f>
        <v>7.3637702503681884E-4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39">
        <f>IF(B$27=0,0,G32/B$27)</f>
        <v>7.3637702503681884E-4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39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39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39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39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39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39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39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39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39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39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39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39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39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840BF-1E94-4815-BCA7-70ADEA9A64AB}">
  <sheetPr codeName="Sheet7"/>
  <dimension ref="A1:Q22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133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220</v>
      </c>
      <c r="C2" s="144"/>
      <c r="E2" s="64" t="s">
        <v>71</v>
      </c>
      <c r="F2" s="61" t="s">
        <v>25</v>
      </c>
      <c r="G2" s="48">
        <v>373</v>
      </c>
      <c r="H2" s="138">
        <f>IF(B$27=0,0,G2/B$27)</f>
        <v>0.87353629976580793</v>
      </c>
      <c r="I2" s="99">
        <v>9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1397.6851851851852</v>
      </c>
      <c r="P2" s="125">
        <v>216</v>
      </c>
      <c r="Q2" s="109">
        <v>301900</v>
      </c>
    </row>
    <row r="3" spans="1:17" x14ac:dyDescent="0.4">
      <c r="A3" s="57" t="s">
        <v>8</v>
      </c>
      <c r="B3" s="145">
        <v>1657</v>
      </c>
      <c r="C3" s="146"/>
      <c r="E3" s="65" t="s">
        <v>69</v>
      </c>
      <c r="F3" s="62" t="s">
        <v>23</v>
      </c>
      <c r="G3" s="49">
        <v>303</v>
      </c>
      <c r="H3" s="139">
        <f>IF(B$27=0,0,G3/B$27)</f>
        <v>0.70960187353629978</v>
      </c>
      <c r="I3" s="100">
        <v>8</v>
      </c>
      <c r="K3" s="40">
        <v>1</v>
      </c>
      <c r="L3" s="105">
        <v>15</v>
      </c>
      <c r="N3" s="122" t="s">
        <v>148</v>
      </c>
      <c r="O3" s="129">
        <f t="shared" si="0"/>
        <v>346.15384615384613</v>
      </c>
      <c r="P3" s="126">
        <v>208</v>
      </c>
      <c r="Q3" s="110">
        <v>72000</v>
      </c>
    </row>
    <row r="4" spans="1:17" x14ac:dyDescent="0.4">
      <c r="A4" s="57" t="s">
        <v>6</v>
      </c>
      <c r="B4" s="147">
        <v>1363.8999999999996</v>
      </c>
      <c r="C4" s="148"/>
      <c r="E4" s="65" t="s">
        <v>76</v>
      </c>
      <c r="F4" s="62" t="s">
        <v>29</v>
      </c>
      <c r="G4" s="49">
        <v>231</v>
      </c>
      <c r="H4" s="139">
        <f>IF(B$27=0,0,G4/B$27)</f>
        <v>0.54098360655737709</v>
      </c>
      <c r="I4" s="100">
        <v>9</v>
      </c>
      <c r="K4" s="40">
        <v>2</v>
      </c>
      <c r="L4" s="105">
        <v>14</v>
      </c>
      <c r="N4" s="122" t="s">
        <v>149</v>
      </c>
      <c r="O4" s="129">
        <f t="shared" si="0"/>
        <v>1567.8756476683939</v>
      </c>
      <c r="P4" s="126">
        <v>193</v>
      </c>
      <c r="Q4" s="110">
        <v>302600</v>
      </c>
    </row>
    <row r="5" spans="1:17" x14ac:dyDescent="0.4">
      <c r="A5" s="57" t="s">
        <v>7</v>
      </c>
      <c r="B5" s="149">
        <f>IF(B$2=0,0,B$4/B$2)</f>
        <v>6.1995454545454525</v>
      </c>
      <c r="C5" s="150"/>
      <c r="E5" s="65" t="s">
        <v>67</v>
      </c>
      <c r="F5" s="62" t="s">
        <v>21</v>
      </c>
      <c r="G5" s="49">
        <v>228</v>
      </c>
      <c r="H5" s="139">
        <f>IF(B$27=0,0,G5/B$27)</f>
        <v>0.53395784543325531</v>
      </c>
      <c r="I5" s="100">
        <v>8</v>
      </c>
      <c r="K5" s="40">
        <v>3</v>
      </c>
      <c r="L5" s="105">
        <v>29.1</v>
      </c>
      <c r="N5" s="122" t="s">
        <v>150</v>
      </c>
      <c r="O5" s="129">
        <f t="shared" si="0"/>
        <v>1402.8735632183907</v>
      </c>
      <c r="P5" s="126">
        <v>174</v>
      </c>
      <c r="Q5" s="110">
        <v>244100</v>
      </c>
    </row>
    <row r="6" spans="1:17" x14ac:dyDescent="0.4">
      <c r="A6" s="57" t="s">
        <v>1</v>
      </c>
      <c r="B6" s="155">
        <f>IF(B$2=0,0,(B$7*1+B$8*2+B$9*3)/B$2)</f>
        <v>1.790909090909091</v>
      </c>
      <c r="C6" s="156"/>
      <c r="E6" s="65" t="s">
        <v>72</v>
      </c>
      <c r="F6" s="62" t="s">
        <v>12</v>
      </c>
      <c r="G6" s="49">
        <v>124</v>
      </c>
      <c r="H6" s="139">
        <f>IF(B$27=0,0,G6/B$27)</f>
        <v>0.29039812646370022</v>
      </c>
      <c r="I6" s="100">
        <v>7</v>
      </c>
      <c r="K6" s="40">
        <v>4</v>
      </c>
      <c r="L6" s="105">
        <v>114.30000000000001</v>
      </c>
      <c r="N6" s="122" t="s">
        <v>151</v>
      </c>
      <c r="O6" s="129">
        <f t="shared" si="0"/>
        <v>1517.2185430463576</v>
      </c>
      <c r="P6" s="126">
        <v>151</v>
      </c>
      <c r="Q6" s="110">
        <v>229100</v>
      </c>
    </row>
    <row r="7" spans="1:17" x14ac:dyDescent="0.4">
      <c r="A7" s="57" t="s">
        <v>2</v>
      </c>
      <c r="B7" s="49">
        <v>93</v>
      </c>
      <c r="C7" s="41">
        <f>IF(B$2=0,0,B7/B$2)</f>
        <v>0.42272727272727273</v>
      </c>
      <c r="E7" s="65" t="s">
        <v>70</v>
      </c>
      <c r="F7" s="62" t="s">
        <v>24</v>
      </c>
      <c r="G7" s="49">
        <v>122</v>
      </c>
      <c r="H7" s="139">
        <f>IF(B$27=0,0,G7/B$27)</f>
        <v>0.2857142857142857</v>
      </c>
      <c r="I7" s="100">
        <v>8</v>
      </c>
      <c r="K7" s="40">
        <v>5</v>
      </c>
      <c r="L7" s="105">
        <v>145.80000000000001</v>
      </c>
      <c r="N7" s="123" t="s">
        <v>152</v>
      </c>
      <c r="O7" s="130">
        <f t="shared" si="0"/>
        <v>1497.4789915966387</v>
      </c>
      <c r="P7" s="127">
        <v>119</v>
      </c>
      <c r="Q7" s="111">
        <v>178200</v>
      </c>
    </row>
    <row r="8" spans="1:17" x14ac:dyDescent="0.4">
      <c r="A8" s="57" t="s">
        <v>3</v>
      </c>
      <c r="B8" s="49">
        <v>80</v>
      </c>
      <c r="C8" s="41">
        <f>IF(B$2=0,0,B8/B$2)</f>
        <v>0.36363636363636365</v>
      </c>
      <c r="E8" s="65" t="s">
        <v>94</v>
      </c>
      <c r="F8" s="62" t="s">
        <v>47</v>
      </c>
      <c r="G8" s="49">
        <v>80</v>
      </c>
      <c r="H8" s="139">
        <f>IF(B$27=0,0,G8/B$27)</f>
        <v>0.18735362997658081</v>
      </c>
      <c r="I8" s="100">
        <v>3</v>
      </c>
      <c r="K8" s="40">
        <v>6</v>
      </c>
      <c r="L8" s="105">
        <v>97.800000000000011</v>
      </c>
      <c r="N8" s="45"/>
      <c r="O8" s="134"/>
      <c r="P8" s="118"/>
      <c r="Q8" s="116"/>
    </row>
    <row r="9" spans="1:17" x14ac:dyDescent="0.4">
      <c r="A9" s="58" t="s">
        <v>4</v>
      </c>
      <c r="B9" s="50">
        <v>47</v>
      </c>
      <c r="C9" s="42">
        <f t="shared" ref="C9" si="1">IF(B$2=0,0,B9/B$2)</f>
        <v>0.21363636363636362</v>
      </c>
      <c r="E9" s="65" t="s">
        <v>73</v>
      </c>
      <c r="F9" s="62" t="s">
        <v>26</v>
      </c>
      <c r="G9" s="49">
        <v>65</v>
      </c>
      <c r="H9" s="139">
        <f>IF(B$27=0,0,G9/B$27)</f>
        <v>0.1522248243559719</v>
      </c>
      <c r="I9" s="100">
        <v>5</v>
      </c>
      <c r="K9" s="40">
        <v>7</v>
      </c>
      <c r="L9" s="105">
        <v>91.700000000000017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0.10454545454545454</v>
      </c>
      <c r="E10" s="65" t="s">
        <v>68</v>
      </c>
      <c r="F10" s="62" t="s">
        <v>22</v>
      </c>
      <c r="G10" s="49">
        <v>46</v>
      </c>
      <c r="H10" s="139">
        <f>IF(B$27=0,0,G10/B$27)</f>
        <v>0.10772833723653395</v>
      </c>
      <c r="I10" s="100">
        <v>8</v>
      </c>
      <c r="K10" s="40">
        <v>8</v>
      </c>
      <c r="L10" s="105">
        <v>55.700000000000017</v>
      </c>
      <c r="N10" s="121" t="s">
        <v>253</v>
      </c>
      <c r="O10" s="131">
        <f>IF(P10=0,0,Q10/P10)</f>
        <v>8.4460000000000033</v>
      </c>
      <c r="P10" s="125">
        <v>50</v>
      </c>
      <c r="Q10" s="113">
        <v>422.30000000000013</v>
      </c>
    </row>
    <row r="11" spans="1:17" x14ac:dyDescent="0.4">
      <c r="A11" s="58" t="s">
        <v>155</v>
      </c>
      <c r="B11" s="50">
        <v>43</v>
      </c>
      <c r="C11" s="42">
        <f>IF(B$2=0,0,B11/B$2)</f>
        <v>0.19545454545454546</v>
      </c>
      <c r="E11" s="65" t="s">
        <v>74</v>
      </c>
      <c r="F11" s="62" t="s">
        <v>27</v>
      </c>
      <c r="G11" s="49">
        <v>37</v>
      </c>
      <c r="H11" s="139">
        <f>IF(B$27=0,0,G11/B$27)</f>
        <v>8.6651053864168617E-2</v>
      </c>
      <c r="I11" s="100">
        <v>9</v>
      </c>
      <c r="K11" s="40">
        <v>9</v>
      </c>
      <c r="L11" s="105">
        <v>14.700000000000017</v>
      </c>
      <c r="N11" s="122" t="s">
        <v>254</v>
      </c>
      <c r="O11" s="132">
        <f>IF(P11=0,0,Q11/P11)</f>
        <v>5.1757575757575758</v>
      </c>
      <c r="P11" s="126">
        <v>66</v>
      </c>
      <c r="Q11" s="114">
        <v>341.6</v>
      </c>
    </row>
    <row r="12" spans="1:17" x14ac:dyDescent="0.4">
      <c r="A12" s="59" t="s">
        <v>239</v>
      </c>
      <c r="B12" s="51">
        <v>22</v>
      </c>
      <c r="C12" s="44">
        <f>IF(B$2=0,0,B12/B$2)</f>
        <v>0.1</v>
      </c>
      <c r="E12" s="65" t="s">
        <v>75</v>
      </c>
      <c r="F12" s="62" t="s">
        <v>28</v>
      </c>
      <c r="G12" s="49">
        <v>30</v>
      </c>
      <c r="H12" s="139">
        <f>IF(B$27=0,0,G12/B$27)</f>
        <v>7.0257611241217793E-2</v>
      </c>
      <c r="I12" s="100">
        <v>2</v>
      </c>
      <c r="K12" s="40">
        <v>10</v>
      </c>
      <c r="L12" s="105">
        <v>-16.799999999999983</v>
      </c>
      <c r="N12" s="123" t="s">
        <v>255</v>
      </c>
      <c r="O12" s="133">
        <f>IF(P12=0,0,Q12/P12)</f>
        <v>5.667326732673267</v>
      </c>
      <c r="P12" s="127">
        <v>101</v>
      </c>
      <c r="Q12" s="115">
        <v>572.4</v>
      </c>
    </row>
    <row r="13" spans="1:17" x14ac:dyDescent="0.4">
      <c r="A13" s="60" t="s">
        <v>128</v>
      </c>
      <c r="B13" s="52">
        <v>359</v>
      </c>
      <c r="C13" s="46">
        <f>IF(B$26=0,0,B13/B$26)</f>
        <v>0.29891756869275604</v>
      </c>
      <c r="E13" s="65" t="s">
        <v>91</v>
      </c>
      <c r="F13" s="62" t="s">
        <v>44</v>
      </c>
      <c r="G13" s="49">
        <v>27</v>
      </c>
      <c r="H13" s="139">
        <f>IF(B$27=0,0,G13/B$27)</f>
        <v>6.323185011709602E-2</v>
      </c>
      <c r="I13" s="100">
        <v>9</v>
      </c>
      <c r="K13" s="40">
        <v>11</v>
      </c>
      <c r="L13" s="105">
        <v>1.5000000000000178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252</v>
      </c>
      <c r="C14" s="41">
        <f>IF(B$26=0,0,B14/B$26)</f>
        <v>0.20982514571190675</v>
      </c>
      <c r="E14" s="65" t="s">
        <v>88</v>
      </c>
      <c r="F14" s="62" t="s">
        <v>41</v>
      </c>
      <c r="G14" s="49">
        <v>13</v>
      </c>
      <c r="H14" s="139">
        <f>IF(B$27=0,0,G14/B$27)</f>
        <v>3.0444964871194378E-2</v>
      </c>
      <c r="I14" s="100">
        <v>8</v>
      </c>
      <c r="K14" s="40">
        <v>12</v>
      </c>
      <c r="L14" s="105">
        <v>14.300000000000018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230</v>
      </c>
      <c r="C15" s="39">
        <f>IF(B$13=0,0,B15/B$13)</f>
        <v>0.64066852367688021</v>
      </c>
      <c r="E15" s="65" t="s">
        <v>86</v>
      </c>
      <c r="F15" s="62" t="s">
        <v>39</v>
      </c>
      <c r="G15" s="49">
        <v>10</v>
      </c>
      <c r="H15" s="139">
        <f>IF(B$27=0,0,G15/B$27)</f>
        <v>2.3419203747072601E-2</v>
      </c>
      <c r="I15" s="100">
        <v>7</v>
      </c>
      <c r="K15" s="40">
        <v>13</v>
      </c>
      <c r="L15" s="105">
        <v>71.300000000000011</v>
      </c>
      <c r="N15" s="121" t="s">
        <v>171</v>
      </c>
      <c r="O15" s="131">
        <f>IF(Q15=0,0,P15/Q15)</f>
        <v>125.9</v>
      </c>
      <c r="P15" s="125">
        <v>125.9</v>
      </c>
      <c r="Q15" s="113">
        <v>1</v>
      </c>
    </row>
    <row r="16" spans="1:17" x14ac:dyDescent="0.4">
      <c r="A16" s="56" t="s">
        <v>131</v>
      </c>
      <c r="B16" s="48">
        <v>122</v>
      </c>
      <c r="C16" s="39">
        <f>IF(B$14=0,0,B16/B$14)</f>
        <v>0.48412698412698413</v>
      </c>
      <c r="E16" s="65" t="s">
        <v>82</v>
      </c>
      <c r="F16" s="62" t="s">
        <v>35</v>
      </c>
      <c r="G16" s="49">
        <v>7</v>
      </c>
      <c r="H16" s="139">
        <f>IF(B$27=0,0,G16/B$27)</f>
        <v>1.6393442622950821E-2</v>
      </c>
      <c r="I16" s="100">
        <v>8</v>
      </c>
      <c r="K16" s="40">
        <v>14</v>
      </c>
      <c r="L16" s="105">
        <v>27.300000000000011</v>
      </c>
      <c r="N16" s="122" t="s">
        <v>135</v>
      </c>
      <c r="O16" s="132">
        <f>IF(Q16=0,0,P16/Q16)</f>
        <v>13.417910447761288</v>
      </c>
      <c r="P16" s="126">
        <v>89.9</v>
      </c>
      <c r="Q16" s="114">
        <v>6.6999999999999531</v>
      </c>
    </row>
    <row r="17" spans="1:17" x14ac:dyDescent="0.4">
      <c r="A17" s="56" t="s">
        <v>10</v>
      </c>
      <c r="B17" s="48">
        <f>B19+B18</f>
        <v>583</v>
      </c>
      <c r="C17" s="39">
        <f>IF(B$3=0,0,B17/B$3)</f>
        <v>0.35184067592033796</v>
      </c>
      <c r="E17" s="65" t="s">
        <v>96</v>
      </c>
      <c r="F17" s="62" t="s">
        <v>49</v>
      </c>
      <c r="G17" s="49">
        <v>6</v>
      </c>
      <c r="H17" s="139">
        <f>IF(B$27=0,0,G17/B$27)</f>
        <v>1.405152224824356E-2</v>
      </c>
      <c r="I17" s="100">
        <v>9</v>
      </c>
      <c r="K17" s="40">
        <v>15</v>
      </c>
      <c r="L17" s="105">
        <v>-9.6999999999999886</v>
      </c>
      <c r="N17" s="122" t="s">
        <v>167</v>
      </c>
      <c r="O17" s="132">
        <f>IF(Q17=0,0,P17/Q17)</f>
        <v>8</v>
      </c>
      <c r="P17" s="126">
        <v>8</v>
      </c>
      <c r="Q17" s="114">
        <v>1</v>
      </c>
    </row>
    <row r="18" spans="1:17" x14ac:dyDescent="0.4">
      <c r="A18" s="57" t="s">
        <v>12</v>
      </c>
      <c r="B18" s="49">
        <v>223</v>
      </c>
      <c r="C18" s="41">
        <f>IF(B$17=0,0,B18/B$17)</f>
        <v>0.38250428816466553</v>
      </c>
      <c r="E18" s="65" t="s">
        <v>83</v>
      </c>
      <c r="F18" s="62" t="s">
        <v>36</v>
      </c>
      <c r="G18" s="49">
        <v>5</v>
      </c>
      <c r="H18" s="139">
        <f>IF(B$27=0,0,G18/B$27)</f>
        <v>1.1709601873536301E-2</v>
      </c>
      <c r="I18" s="100">
        <v>9</v>
      </c>
      <c r="K18" s="40">
        <v>16</v>
      </c>
      <c r="L18" s="105">
        <v>-8.099999999999989</v>
      </c>
      <c r="N18" s="122" t="s">
        <v>250</v>
      </c>
      <c r="O18" s="132">
        <f>IF(Q18=0,0,P18/Q18)</f>
        <v>7.2222222222222205</v>
      </c>
      <c r="P18" s="126">
        <v>-13.000000000000002</v>
      </c>
      <c r="Q18" s="114">
        <v>-1.8000000000000007</v>
      </c>
    </row>
    <row r="19" spans="1:17" x14ac:dyDescent="0.4">
      <c r="A19" s="57" t="s">
        <v>11</v>
      </c>
      <c r="B19" s="49">
        <v>360</v>
      </c>
      <c r="C19" s="41">
        <f>IF(B$17=0,0,B19/B$17)</f>
        <v>0.61749571183533447</v>
      </c>
      <c r="E19" s="65" t="s">
        <v>79</v>
      </c>
      <c r="F19" s="62" t="s">
        <v>32</v>
      </c>
      <c r="G19" s="49">
        <v>4</v>
      </c>
      <c r="H19" s="139">
        <f>IF(B$27=0,0,G19/B$27)</f>
        <v>9.3676814988290398E-3</v>
      </c>
      <c r="I19" s="100">
        <v>3</v>
      </c>
      <c r="K19" s="40">
        <v>17</v>
      </c>
      <c r="L19" s="105">
        <v>-29.499999999999986</v>
      </c>
      <c r="N19" s="122" t="s">
        <v>138</v>
      </c>
      <c r="O19" s="132">
        <f>IF(Q19=0,0,P19/Q19)</f>
        <v>0.51911357340720243</v>
      </c>
      <c r="P19" s="126">
        <v>93.7</v>
      </c>
      <c r="Q19" s="114">
        <v>180.49999999999994</v>
      </c>
    </row>
    <row r="20" spans="1:17" x14ac:dyDescent="0.4">
      <c r="A20" s="57" t="s">
        <v>13</v>
      </c>
      <c r="B20" s="49">
        <v>237</v>
      </c>
      <c r="C20" s="41">
        <f>IF(B$3=0,0,B20/B$3)</f>
        <v>0.14302957151478576</v>
      </c>
      <c r="E20" s="65" t="s">
        <v>81</v>
      </c>
      <c r="F20" s="62" t="s">
        <v>34</v>
      </c>
      <c r="G20" s="49">
        <v>4</v>
      </c>
      <c r="H20" s="139">
        <f>IF(B$27=0,0,G20/B$27)</f>
        <v>9.3676814988290398E-3</v>
      </c>
      <c r="I20" s="100">
        <v>3</v>
      </c>
      <c r="K20" s="40">
        <v>18</v>
      </c>
      <c r="L20" s="105">
        <v>-14.599999999999985</v>
      </c>
      <c r="N20" s="122" t="s">
        <v>137</v>
      </c>
      <c r="O20" s="132">
        <f>IF(Q20=0,0,P20/Q20)</f>
        <v>0.33859713551230258</v>
      </c>
      <c r="P20" s="126">
        <v>92.2</v>
      </c>
      <c r="Q20" s="114">
        <v>272.3</v>
      </c>
    </row>
    <row r="21" spans="1:17" x14ac:dyDescent="0.4">
      <c r="A21" s="57" t="s">
        <v>5</v>
      </c>
      <c r="B21" s="53">
        <f>IF(B$17=0,0,C21/B$17)</f>
        <v>9921.4408233276154</v>
      </c>
      <c r="C21" s="43">
        <v>5784200</v>
      </c>
      <c r="E21" s="65" t="s">
        <v>77</v>
      </c>
      <c r="F21" s="62" t="s">
        <v>30</v>
      </c>
      <c r="G21" s="49">
        <v>3</v>
      </c>
      <c r="H21" s="139">
        <f>IF(B$27=0,0,G21/B$27)</f>
        <v>7.0257611241217799E-3</v>
      </c>
      <c r="I21" s="100">
        <v>5</v>
      </c>
      <c r="K21" s="40">
        <v>19</v>
      </c>
      <c r="L21" s="105">
        <v>42.600000000000016</v>
      </c>
      <c r="N21" s="122" t="s">
        <v>166</v>
      </c>
      <c r="O21" s="132">
        <f>IF(Q21=0,0,P21/Q21)</f>
        <v>0.15936254980079681</v>
      </c>
      <c r="P21" s="126">
        <v>40</v>
      </c>
      <c r="Q21" s="114">
        <v>251</v>
      </c>
    </row>
    <row r="22" spans="1:17" x14ac:dyDescent="0.4">
      <c r="A22" s="59" t="s">
        <v>14</v>
      </c>
      <c r="B22" s="54">
        <f>IF(B$20=0,0,C22/B$20)</f>
        <v>-9402.1097046413506</v>
      </c>
      <c r="C22" s="47">
        <v>-2228300</v>
      </c>
      <c r="E22" s="65" t="s">
        <v>97</v>
      </c>
      <c r="F22" s="62" t="s">
        <v>50</v>
      </c>
      <c r="G22" s="49">
        <v>3</v>
      </c>
      <c r="H22" s="139">
        <f>IF(B$27=0,0,G22/B$27)</f>
        <v>7.0257611241217799E-3</v>
      </c>
      <c r="I22" s="100">
        <v>4</v>
      </c>
      <c r="K22" s="40">
        <v>20</v>
      </c>
      <c r="L22" s="105">
        <v>68.800000000000011</v>
      </c>
      <c r="N22" s="122" t="s">
        <v>139</v>
      </c>
      <c r="O22" s="132">
        <f>IF(Q22=0,0,P22/Q22)</f>
        <v>0.10274647116752381</v>
      </c>
      <c r="P22" s="126">
        <v>93.9</v>
      </c>
      <c r="Q22" s="114">
        <v>913.9</v>
      </c>
    </row>
    <row r="23" spans="1:17" x14ac:dyDescent="0.4">
      <c r="A23" s="96" t="s">
        <v>158</v>
      </c>
      <c r="B23" s="153">
        <v>10</v>
      </c>
      <c r="C23" s="154"/>
      <c r="E23" s="65" t="s">
        <v>92</v>
      </c>
      <c r="F23" s="62" t="s">
        <v>45</v>
      </c>
      <c r="G23" s="49">
        <v>2</v>
      </c>
      <c r="H23" s="139">
        <f>IF(B$27=0,0,G23/B$27)</f>
        <v>4.6838407494145199E-3</v>
      </c>
      <c r="I23" s="100">
        <v>2</v>
      </c>
      <c r="K23" s="40">
        <v>21</v>
      </c>
      <c r="L23" s="105">
        <v>125.30000000000001</v>
      </c>
      <c r="N23" s="122" t="s">
        <v>134</v>
      </c>
      <c r="O23" s="132">
        <f>IF(Q23=0,0,P23/Q23)</f>
        <v>6.9908814589665677E-2</v>
      </c>
      <c r="P23" s="126">
        <v>62.1</v>
      </c>
      <c r="Q23" s="114">
        <v>888.29999999999973</v>
      </c>
    </row>
    <row r="24" spans="1:17" x14ac:dyDescent="0.4">
      <c r="A24" s="60" t="s">
        <v>199</v>
      </c>
      <c r="B24" s="151">
        <v>120200</v>
      </c>
      <c r="C24" s="152"/>
      <c r="E24" s="65" t="s">
        <v>78</v>
      </c>
      <c r="F24" s="62" t="s">
        <v>31</v>
      </c>
      <c r="G24" s="49">
        <v>1</v>
      </c>
      <c r="H24" s="139">
        <f>IF(B$27=0,0,G24/B$27)</f>
        <v>2.34192037470726E-3</v>
      </c>
      <c r="I24" s="100">
        <v>2</v>
      </c>
      <c r="K24" s="40">
        <v>22</v>
      </c>
      <c r="L24" s="105">
        <v>99.800000000000011</v>
      </c>
      <c r="N24" s="122" t="s">
        <v>157</v>
      </c>
      <c r="O24" s="132">
        <f>IF(Q24=0,0,P24/Q24)</f>
        <v>-4.9599999999999991E-2</v>
      </c>
      <c r="P24" s="126">
        <v>-31</v>
      </c>
      <c r="Q24" s="114">
        <v>625.00000000000011</v>
      </c>
    </row>
    <row r="25" spans="1:17" x14ac:dyDescent="0.4">
      <c r="A25" s="59" t="s">
        <v>159</v>
      </c>
      <c r="B25" s="67">
        <v>2</v>
      </c>
      <c r="C25" s="44">
        <f>IF(B$3=0,0,B25/B$3)</f>
        <v>1.2070006035003018E-3</v>
      </c>
      <c r="E25" s="65" t="s">
        <v>90</v>
      </c>
      <c r="F25" s="62" t="s">
        <v>43</v>
      </c>
      <c r="G25" s="49">
        <v>1</v>
      </c>
      <c r="H25" s="139">
        <f>IF(B$27=0,0,G25/B$27)</f>
        <v>2.34192037470726E-3</v>
      </c>
      <c r="I25" s="100">
        <v>5</v>
      </c>
      <c r="K25" s="40">
        <v>23</v>
      </c>
      <c r="L25" s="105">
        <v>124.50000000000001</v>
      </c>
      <c r="N25" s="122" t="s">
        <v>136</v>
      </c>
      <c r="O25" s="132">
        <f>IF(Q25=0,0,P25/Q25)</f>
        <v>-5.3971486761710791E-2</v>
      </c>
      <c r="P25" s="126">
        <v>-47.7</v>
      </c>
      <c r="Q25" s="114">
        <v>883.80000000000007</v>
      </c>
    </row>
    <row r="26" spans="1:17" x14ac:dyDescent="0.4">
      <c r="A26" s="56" t="s">
        <v>126</v>
      </c>
      <c r="B26" s="143">
        <v>1201</v>
      </c>
      <c r="C26" s="144"/>
      <c r="E26" s="65" t="s">
        <v>95</v>
      </c>
      <c r="F26" s="62" t="s">
        <v>48</v>
      </c>
      <c r="G26" s="49">
        <v>1</v>
      </c>
      <c r="H26" s="139">
        <f>IF(B$27=0,0,G26/B$27)</f>
        <v>2.34192037470726E-3</v>
      </c>
      <c r="I26" s="100">
        <v>1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7">
        <v>427</v>
      </c>
      <c r="C27" s="158"/>
      <c r="E27" s="65" t="s">
        <v>100</v>
      </c>
      <c r="F27" s="62" t="s">
        <v>53</v>
      </c>
      <c r="G27" s="49">
        <v>1</v>
      </c>
      <c r="H27" s="139">
        <f>IF(B$27=0,0,G27/B$27)</f>
        <v>2.34192037470726E-3</v>
      </c>
      <c r="I27" s="100">
        <v>1</v>
      </c>
      <c r="K27" s="40">
        <v>25</v>
      </c>
      <c r="L27" s="105">
        <v>84.300000000000011</v>
      </c>
    </row>
    <row r="28" spans="1:17" x14ac:dyDescent="0.4">
      <c r="E28" s="65" t="s">
        <v>111</v>
      </c>
      <c r="F28" s="62" t="s">
        <v>118</v>
      </c>
      <c r="G28" s="49">
        <v>1</v>
      </c>
      <c r="H28" s="139">
        <f>IF(B$27=0,0,G28/B$27)</f>
        <v>2.34192037470726E-3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80</v>
      </c>
      <c r="F29" s="62" t="s">
        <v>33</v>
      </c>
      <c r="G29" s="49">
        <v>0</v>
      </c>
      <c r="H29" s="139">
        <f>IF(B$27=0,0,G29/B$27)</f>
        <v>0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84</v>
      </c>
      <c r="F30" s="62" t="s">
        <v>37</v>
      </c>
      <c r="G30" s="49">
        <v>0</v>
      </c>
      <c r="H30" s="139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85</v>
      </c>
      <c r="F31" s="62" t="s">
        <v>38</v>
      </c>
      <c r="G31" s="49">
        <v>0</v>
      </c>
      <c r="H31" s="139">
        <f>IF(B$27=0,0,G31/B$27)</f>
        <v>0</v>
      </c>
      <c r="I31" s="100">
        <v>3</v>
      </c>
      <c r="K31" s="40">
        <v>29</v>
      </c>
      <c r="L31" s="105">
        <v>120.80000000000001</v>
      </c>
    </row>
    <row r="32" spans="1:17" x14ac:dyDescent="0.4">
      <c r="E32" s="65" t="s">
        <v>87</v>
      </c>
      <c r="F32" s="62" t="s">
        <v>40</v>
      </c>
      <c r="G32" s="49">
        <v>0</v>
      </c>
      <c r="H32" s="139">
        <f>IF(B$27=0,0,G32/B$27)</f>
        <v>0</v>
      </c>
      <c r="I32" s="100">
        <v>1</v>
      </c>
      <c r="K32" s="40">
        <v>30</v>
      </c>
      <c r="L32" s="105">
        <v>174.10000000000002</v>
      </c>
    </row>
    <row r="33" spans="5:12" x14ac:dyDescent="0.4">
      <c r="E33" s="65" t="s">
        <v>89</v>
      </c>
      <c r="F33" s="62" t="s">
        <v>42</v>
      </c>
      <c r="G33" s="49">
        <v>0</v>
      </c>
      <c r="H33" s="139">
        <f>IF(B$27=0,0,G33/B$27)</f>
        <v>0</v>
      </c>
      <c r="I33" s="100">
        <v>5</v>
      </c>
      <c r="K33" s="40">
        <v>31</v>
      </c>
      <c r="L33" s="105">
        <v>160.10000000000002</v>
      </c>
    </row>
    <row r="34" spans="5:12" x14ac:dyDescent="0.4">
      <c r="E34" s="65" t="s">
        <v>93</v>
      </c>
      <c r="F34" s="62" t="s">
        <v>46</v>
      </c>
      <c r="G34" s="49">
        <v>0</v>
      </c>
      <c r="H34" s="139">
        <f>IF(B$27=0,0,G34/B$27)</f>
        <v>0</v>
      </c>
      <c r="I34" s="100">
        <v>3</v>
      </c>
      <c r="K34" s="40">
        <v>32</v>
      </c>
      <c r="L34" s="105">
        <v>220.8</v>
      </c>
    </row>
    <row r="35" spans="5:12" x14ac:dyDescent="0.4">
      <c r="E35" s="65" t="s">
        <v>98</v>
      </c>
      <c r="F35" s="62" t="s">
        <v>51</v>
      </c>
      <c r="G35" s="49">
        <v>0</v>
      </c>
      <c r="H35" s="139">
        <f>IF(B$27=0,0,G35/B$27)</f>
        <v>0</v>
      </c>
      <c r="I35" s="100">
        <v>5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39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39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39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39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39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39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39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39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39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39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39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C4FF3-30D6-4DBF-8074-955FEE820E78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166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4</v>
      </c>
      <c r="C2" s="144"/>
      <c r="E2" s="64" t="s">
        <v>67</v>
      </c>
      <c r="F2" s="61" t="s">
        <v>21</v>
      </c>
      <c r="G2" s="48">
        <v>0</v>
      </c>
      <c r="H2" s="138">
        <f>IF(B$27=0,0,G2/B$27)</f>
        <v>0</v>
      </c>
      <c r="I2" s="99">
        <v>14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-9250</v>
      </c>
      <c r="P2" s="125">
        <v>4</v>
      </c>
      <c r="Q2" s="109">
        <v>-37000</v>
      </c>
    </row>
    <row r="3" spans="1:17" x14ac:dyDescent="0.4">
      <c r="A3" s="57" t="s">
        <v>8</v>
      </c>
      <c r="B3" s="145">
        <v>25</v>
      </c>
      <c r="C3" s="146"/>
      <c r="E3" s="65" t="s">
        <v>68</v>
      </c>
      <c r="F3" s="62" t="s">
        <v>22</v>
      </c>
      <c r="G3" s="49">
        <v>0</v>
      </c>
      <c r="H3" s="139">
        <f>IF(B$27=0,0,G3/B$27)</f>
        <v>0</v>
      </c>
      <c r="I3" s="100">
        <v>12</v>
      </c>
      <c r="K3" s="40">
        <v>1</v>
      </c>
      <c r="L3" s="105">
        <v>-22</v>
      </c>
      <c r="N3" s="122" t="s">
        <v>148</v>
      </c>
      <c r="O3" s="129">
        <f t="shared" si="0"/>
        <v>-7225</v>
      </c>
      <c r="P3" s="126">
        <v>4</v>
      </c>
      <c r="Q3" s="110">
        <v>-28900</v>
      </c>
    </row>
    <row r="4" spans="1:17" x14ac:dyDescent="0.4">
      <c r="A4" s="57" t="s">
        <v>6</v>
      </c>
      <c r="B4" s="147">
        <v>-132.1</v>
      </c>
      <c r="C4" s="148"/>
      <c r="E4" s="65" t="s">
        <v>69</v>
      </c>
      <c r="F4" s="62" t="s">
        <v>23</v>
      </c>
      <c r="G4" s="49">
        <v>0</v>
      </c>
      <c r="H4" s="139">
        <f>IF(B$27=0,0,G4/B$27)</f>
        <v>0</v>
      </c>
      <c r="I4" s="100">
        <v>14</v>
      </c>
      <c r="K4" s="40">
        <v>2</v>
      </c>
      <c r="L4" s="105">
        <v>-60.4</v>
      </c>
      <c r="N4" s="122" t="s">
        <v>149</v>
      </c>
      <c r="O4" s="129">
        <f t="shared" si="0"/>
        <v>-10875</v>
      </c>
      <c r="P4" s="126">
        <v>4</v>
      </c>
      <c r="Q4" s="110">
        <v>-43500</v>
      </c>
    </row>
    <row r="5" spans="1:17" x14ac:dyDescent="0.4">
      <c r="A5" s="57" t="s">
        <v>7</v>
      </c>
      <c r="B5" s="149">
        <f>IF(B$2=0,0,B$4/B$2)</f>
        <v>-33.024999999999999</v>
      </c>
      <c r="C5" s="150"/>
      <c r="E5" s="65" t="s">
        <v>70</v>
      </c>
      <c r="F5" s="62" t="s">
        <v>24</v>
      </c>
      <c r="G5" s="49">
        <v>0</v>
      </c>
      <c r="H5" s="139">
        <f>IF(B$27=0,0,G5/B$27)</f>
        <v>0</v>
      </c>
      <c r="I5" s="100">
        <v>14</v>
      </c>
      <c r="K5" s="40">
        <v>3</v>
      </c>
      <c r="L5" s="105">
        <v>-85.6</v>
      </c>
      <c r="N5" s="122" t="s">
        <v>150</v>
      </c>
      <c r="O5" s="129">
        <f t="shared" si="0"/>
        <v>-2850</v>
      </c>
      <c r="P5" s="126">
        <v>2</v>
      </c>
      <c r="Q5" s="110">
        <v>-5700</v>
      </c>
    </row>
    <row r="6" spans="1:17" x14ac:dyDescent="0.4">
      <c r="A6" s="57" t="s">
        <v>1</v>
      </c>
      <c r="B6" s="155">
        <f>IF(B$2=0,0,(B$7*1+B$8*2+B$9*3)/B$2)</f>
        <v>3</v>
      </c>
      <c r="C6" s="156"/>
      <c r="E6" s="65" t="s">
        <v>71</v>
      </c>
      <c r="F6" s="62" t="s">
        <v>25</v>
      </c>
      <c r="G6" s="49">
        <v>0</v>
      </c>
      <c r="H6" s="139">
        <f>IF(B$27=0,0,G6/B$27)</f>
        <v>0</v>
      </c>
      <c r="I6" s="100">
        <v>14</v>
      </c>
      <c r="K6" s="40">
        <v>4</v>
      </c>
      <c r="L6" s="105">
        <v>-132.1</v>
      </c>
      <c r="N6" s="122" t="s">
        <v>151</v>
      </c>
      <c r="O6" s="129">
        <f t="shared" si="0"/>
        <v>-6000</v>
      </c>
      <c r="P6" s="126">
        <v>2</v>
      </c>
      <c r="Q6" s="110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9">
        <f>IF(B$27=0,0,G7/B$27)</f>
        <v>0</v>
      </c>
      <c r="I7" s="100">
        <v>14</v>
      </c>
      <c r="N7" s="123" t="s">
        <v>152</v>
      </c>
      <c r="O7" s="130">
        <f t="shared" si="0"/>
        <v>-5000</v>
      </c>
      <c r="P7" s="127">
        <v>1</v>
      </c>
      <c r="Q7" s="111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9">
        <f>IF(B$27=0,0,G8/B$27)</f>
        <v>0</v>
      </c>
      <c r="I8" s="100">
        <v>13</v>
      </c>
      <c r="N8" s="45"/>
      <c r="O8" s="134"/>
      <c r="P8" s="118"/>
      <c r="Q8" s="116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9">
        <f>IF(B$27=0,0,G9/B$27)</f>
        <v>0</v>
      </c>
      <c r="I9" s="100">
        <v>12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9">
        <f>IF(B$27=0,0,G10/B$27)</f>
        <v>0</v>
      </c>
      <c r="I10" s="100">
        <v>12</v>
      </c>
      <c r="N10" s="121" t="s">
        <v>253</v>
      </c>
      <c r="O10" s="131">
        <f>IF(P10=0,0,Q10/P10)</f>
        <v>-30.2</v>
      </c>
      <c r="P10" s="125">
        <v>2</v>
      </c>
      <c r="Q10" s="113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9">
        <f>IF(B$27=0,0,G11/B$27)</f>
        <v>0</v>
      </c>
      <c r="I11" s="100">
        <v>14</v>
      </c>
      <c r="N11" s="122" t="s">
        <v>254</v>
      </c>
      <c r="O11" s="132">
        <f>IF(P11=0,0,Q11/P11)</f>
        <v>-25.2</v>
      </c>
      <c r="P11" s="126">
        <v>1</v>
      </c>
      <c r="Q11" s="114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9">
        <f>IF(B$27=0,0,G12/B$27)</f>
        <v>0</v>
      </c>
      <c r="I12" s="100">
        <v>7</v>
      </c>
      <c r="N12" s="123" t="s">
        <v>255</v>
      </c>
      <c r="O12" s="133">
        <f>IF(P12=0,0,Q12/P12)</f>
        <v>-46.5</v>
      </c>
      <c r="P12" s="127">
        <v>1</v>
      </c>
      <c r="Q12" s="115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39">
        <f>IF(B$27=0,0,G13/B$27)</f>
        <v>0</v>
      </c>
      <c r="I13" s="100">
        <v>4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39">
        <f>IF(B$27=0,0,G14/B$27)</f>
        <v>0</v>
      </c>
      <c r="I14" s="100">
        <v>6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9">
        <f>IF(B$27=0,0,G15/B$27)</f>
        <v>0</v>
      </c>
      <c r="I15" s="100">
        <v>1</v>
      </c>
      <c r="N15" s="121" t="s">
        <v>135</v>
      </c>
      <c r="O15" s="131">
        <f>IF(Q15=0,0,P15/Q15)</f>
        <v>0.29480737018425457</v>
      </c>
      <c r="P15" s="125">
        <v>-17.599999999999998</v>
      </c>
      <c r="Q15" s="113">
        <v>-59.7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9">
        <f>IF(B$27=0,0,G16/B$27)</f>
        <v>0</v>
      </c>
      <c r="I16" s="100">
        <v>6</v>
      </c>
      <c r="N16" s="122" t="s">
        <v>133</v>
      </c>
      <c r="O16" s="132">
        <f>IF(Q16=0,0,P16/Q16)</f>
        <v>0.13654618473895583</v>
      </c>
      <c r="P16" s="126">
        <v>-34</v>
      </c>
      <c r="Q16" s="114">
        <v>-249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9">
        <f>IF(B$27=0,0,G17/B$27)</f>
        <v>0</v>
      </c>
      <c r="I17" s="100">
        <v>10</v>
      </c>
      <c r="N17" s="122" t="s">
        <v>167</v>
      </c>
      <c r="O17" s="132">
        <f>IF(Q17=0,0,P17/Q17)</f>
        <v>-29</v>
      </c>
      <c r="P17" s="126">
        <v>-29</v>
      </c>
      <c r="Q17" s="114">
        <v>1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9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9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39">
        <f>IF(B$27=0,0,G21/B$27)</f>
        <v>0</v>
      </c>
      <c r="I21" s="100">
        <v>9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158</v>
      </c>
      <c r="B23" s="153">
        <v>0</v>
      </c>
      <c r="C23" s="154"/>
      <c r="E23" s="65" t="s">
        <v>88</v>
      </c>
      <c r="F23" s="62" t="s">
        <v>41</v>
      </c>
      <c r="G23" s="49">
        <v>0</v>
      </c>
      <c r="H23" s="139">
        <f>IF(B$27=0,0,G23/B$27)</f>
        <v>0</v>
      </c>
      <c r="I23" s="100">
        <v>12</v>
      </c>
    </row>
    <row r="24" spans="1:17" x14ac:dyDescent="0.4">
      <c r="A24" s="60" t="s">
        <v>199</v>
      </c>
      <c r="B24" s="151">
        <v>13000</v>
      </c>
      <c r="C24" s="152"/>
      <c r="E24" s="65" t="s">
        <v>89</v>
      </c>
      <c r="F24" s="62" t="s">
        <v>42</v>
      </c>
      <c r="G24" s="49">
        <v>0</v>
      </c>
      <c r="H24" s="139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9">
        <f>IF(B$27=0,0,G25/B$27)</f>
        <v>0</v>
      </c>
      <c r="I25" s="100">
        <v>6</v>
      </c>
    </row>
    <row r="26" spans="1:17" x14ac:dyDescent="0.4">
      <c r="A26" s="56" t="s">
        <v>126</v>
      </c>
      <c r="B26" s="143">
        <v>0</v>
      </c>
      <c r="C26" s="144"/>
      <c r="E26" s="65" t="s">
        <v>91</v>
      </c>
      <c r="F26" s="62" t="s">
        <v>44</v>
      </c>
      <c r="G26" s="49">
        <v>0</v>
      </c>
      <c r="H26" s="139">
        <f>IF(B$27=0,0,G26/B$27)</f>
        <v>0</v>
      </c>
      <c r="I26" s="100">
        <v>14</v>
      </c>
    </row>
    <row r="27" spans="1:17" x14ac:dyDescent="0.4">
      <c r="A27" s="59" t="s">
        <v>127</v>
      </c>
      <c r="B27" s="157">
        <v>0</v>
      </c>
      <c r="C27" s="158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08AF-8B0D-4018-ADAB-6E168FF2582A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167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4</v>
      </c>
      <c r="C2" s="144"/>
      <c r="E2" s="64" t="s">
        <v>69</v>
      </c>
      <c r="F2" s="61" t="s">
        <v>23</v>
      </c>
      <c r="G2" s="48">
        <v>5</v>
      </c>
      <c r="H2" s="138">
        <f>IF(B$27=0,0,G2/B$27)</f>
        <v>1.25</v>
      </c>
      <c r="I2" s="99">
        <v>1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-7250</v>
      </c>
      <c r="P2" s="125">
        <v>4</v>
      </c>
      <c r="Q2" s="109">
        <v>-29000</v>
      </c>
    </row>
    <row r="3" spans="1:17" x14ac:dyDescent="0.4">
      <c r="A3" s="57" t="s">
        <v>8</v>
      </c>
      <c r="B3" s="145">
        <v>24</v>
      </c>
      <c r="C3" s="146"/>
      <c r="E3" s="65" t="s">
        <v>76</v>
      </c>
      <c r="F3" s="62" t="s">
        <v>29</v>
      </c>
      <c r="G3" s="49">
        <v>3</v>
      </c>
      <c r="H3" s="139">
        <f>IF(B$27=0,0,G3/B$27)</f>
        <v>0.75</v>
      </c>
      <c r="I3" s="100">
        <v>2</v>
      </c>
      <c r="K3" s="40">
        <v>1</v>
      </c>
      <c r="L3" s="105">
        <v>7</v>
      </c>
      <c r="N3" s="122" t="s">
        <v>148</v>
      </c>
      <c r="O3" s="129">
        <f t="shared" si="0"/>
        <v>-3166.6666666666665</v>
      </c>
      <c r="P3" s="126">
        <v>3</v>
      </c>
      <c r="Q3" s="110">
        <v>-9500</v>
      </c>
    </row>
    <row r="4" spans="1:17" x14ac:dyDescent="0.4">
      <c r="A4" s="57" t="s">
        <v>6</v>
      </c>
      <c r="B4" s="147">
        <v>-15.5</v>
      </c>
      <c r="C4" s="148"/>
      <c r="E4" s="65" t="s">
        <v>67</v>
      </c>
      <c r="F4" s="62" t="s">
        <v>21</v>
      </c>
      <c r="G4" s="49">
        <v>2</v>
      </c>
      <c r="H4" s="139">
        <f>IF(B$27=0,0,G4/B$27)</f>
        <v>0.5</v>
      </c>
      <c r="I4" s="100">
        <v>9</v>
      </c>
      <c r="K4" s="40">
        <v>2</v>
      </c>
      <c r="L4" s="105">
        <v>-24.5</v>
      </c>
      <c r="N4" s="122" t="s">
        <v>149</v>
      </c>
      <c r="O4" s="129">
        <f t="shared" si="0"/>
        <v>-3666.6666666666665</v>
      </c>
      <c r="P4" s="126">
        <v>3</v>
      </c>
      <c r="Q4" s="110">
        <v>-11000</v>
      </c>
    </row>
    <row r="5" spans="1:17" x14ac:dyDescent="0.4">
      <c r="A5" s="57" t="s">
        <v>7</v>
      </c>
      <c r="B5" s="149">
        <f>IF(B$2=0,0,B$4/B$2)</f>
        <v>-3.875</v>
      </c>
      <c r="C5" s="150"/>
      <c r="E5" s="65" t="s">
        <v>70</v>
      </c>
      <c r="F5" s="62" t="s">
        <v>24</v>
      </c>
      <c r="G5" s="49">
        <v>2</v>
      </c>
      <c r="H5" s="139">
        <f>IF(B$27=0,0,G5/B$27)</f>
        <v>0.5</v>
      </c>
      <c r="I5" s="100">
        <v>2</v>
      </c>
      <c r="K5" s="40">
        <v>3</v>
      </c>
      <c r="L5" s="105">
        <v>-26.5</v>
      </c>
      <c r="N5" s="122" t="s">
        <v>150</v>
      </c>
      <c r="O5" s="129">
        <f t="shared" si="0"/>
        <v>4000</v>
      </c>
      <c r="P5" s="126">
        <v>2</v>
      </c>
      <c r="Q5" s="110">
        <v>8000</v>
      </c>
    </row>
    <row r="6" spans="1:17" x14ac:dyDescent="0.4">
      <c r="A6" s="57" t="s">
        <v>1</v>
      </c>
      <c r="B6" s="155">
        <f>IF(B$2=0,0,(B$7*1+B$8*2+B$9*3)/B$2)</f>
        <v>2</v>
      </c>
      <c r="C6" s="156"/>
      <c r="E6" s="65" t="s">
        <v>71</v>
      </c>
      <c r="F6" s="62" t="s">
        <v>25</v>
      </c>
      <c r="G6" s="49">
        <v>2</v>
      </c>
      <c r="H6" s="139">
        <f>IF(B$27=0,0,G6/B$27)</f>
        <v>0.5</v>
      </c>
      <c r="I6" s="100">
        <v>13</v>
      </c>
      <c r="K6" s="40">
        <v>4</v>
      </c>
      <c r="L6" s="105">
        <v>-15.5</v>
      </c>
      <c r="N6" s="122" t="s">
        <v>151</v>
      </c>
      <c r="O6" s="129">
        <f t="shared" si="0"/>
        <v>21500</v>
      </c>
      <c r="P6" s="126">
        <v>2</v>
      </c>
      <c r="Q6" s="110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9">
        <f>IF(B$27=0,0,G7/B$27)</f>
        <v>0.5</v>
      </c>
      <c r="I7" s="100">
        <v>1</v>
      </c>
      <c r="N7" s="123" t="s">
        <v>152</v>
      </c>
      <c r="O7" s="130">
        <f t="shared" si="0"/>
        <v>-8500</v>
      </c>
      <c r="P7" s="127">
        <v>2</v>
      </c>
      <c r="Q7" s="111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9">
        <f>IF(B$27=0,0,G8/B$27)</f>
        <v>0.25</v>
      </c>
      <c r="I8" s="100">
        <v>10</v>
      </c>
      <c r="N8" s="45"/>
      <c r="O8" s="134"/>
      <c r="P8" s="118"/>
      <c r="Q8" s="116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9">
        <f>IF(B$27=0,0,G9/B$27)</f>
        <v>0.25</v>
      </c>
      <c r="I9" s="100">
        <v>1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9">
        <f>IF(B$27=0,0,G10/B$27)</f>
        <v>0.25</v>
      </c>
      <c r="I10" s="100">
        <v>1</v>
      </c>
      <c r="N10" s="121" t="s">
        <v>253</v>
      </c>
      <c r="O10" s="131">
        <f>IF(P10=0,0,Q10/P10)</f>
        <v>0</v>
      </c>
      <c r="P10" s="125">
        <v>0</v>
      </c>
      <c r="Q10" s="113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9">
        <f>IF(B$27=0,0,G11/B$27)</f>
        <v>0.25</v>
      </c>
      <c r="I11" s="100">
        <v>1</v>
      </c>
      <c r="N11" s="122" t="s">
        <v>254</v>
      </c>
      <c r="O11" s="132">
        <f>IF(P11=0,0,Q11/P11)</f>
        <v>9</v>
      </c>
      <c r="P11" s="126">
        <v>2</v>
      </c>
      <c r="Q11" s="114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9">
        <f>IF(B$27=0,0,G12/B$27)</f>
        <v>0.25</v>
      </c>
      <c r="I12" s="100">
        <v>1</v>
      </c>
      <c r="N12" s="123" t="s">
        <v>255</v>
      </c>
      <c r="O12" s="133">
        <f>IF(P12=0,0,Q12/P12)</f>
        <v>-16.75</v>
      </c>
      <c r="P12" s="127">
        <v>2</v>
      </c>
      <c r="Q12" s="115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39">
        <f>IF(B$27=0,0,G13/B$27)</f>
        <v>0</v>
      </c>
      <c r="I13" s="100">
        <v>12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39">
        <f>IF(B$27=0,0,G14/B$27)</f>
        <v>0</v>
      </c>
      <c r="I14" s="100">
        <v>12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7</v>
      </c>
      <c r="N15" s="121" t="s">
        <v>166</v>
      </c>
      <c r="O15" s="131">
        <f>IF(Q15=0,0,P15/Q15)</f>
        <v>29</v>
      </c>
      <c r="P15" s="125">
        <v>29</v>
      </c>
      <c r="Q15" s="113">
        <v>1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4</v>
      </c>
      <c r="N16" s="122" t="s">
        <v>139</v>
      </c>
      <c r="O16" s="132">
        <f>IF(Q16=0,0,P16/Q16)</f>
        <v>-0.42471042471042475</v>
      </c>
      <c r="P16" s="126">
        <v>-11</v>
      </c>
      <c r="Q16" s="114">
        <v>25.9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6</v>
      </c>
      <c r="N17" s="122" t="s">
        <v>133</v>
      </c>
      <c r="O17" s="132">
        <f>IF(Q17=0,0,P17/Q17)</f>
        <v>-8</v>
      </c>
      <c r="P17" s="126">
        <v>-8</v>
      </c>
      <c r="Q17" s="114">
        <v>1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2" t="s">
        <v>134</v>
      </c>
      <c r="O18" s="132">
        <f>IF(Q18=0,0,P18/Q18)</f>
        <v>-25.645161290322569</v>
      </c>
      <c r="P18" s="126">
        <v>-79.5</v>
      </c>
      <c r="Q18" s="114">
        <v>3.1000000000000014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6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158</v>
      </c>
      <c r="B23" s="153">
        <v>3</v>
      </c>
      <c r="C23" s="154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3</v>
      </c>
    </row>
    <row r="24" spans="1:17" x14ac:dyDescent="0.4">
      <c r="A24" s="60" t="s">
        <v>199</v>
      </c>
      <c r="B24" s="151">
        <v>46000</v>
      </c>
      <c r="C24" s="152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9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3">
        <v>19</v>
      </c>
      <c r="C26" s="144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5</v>
      </c>
    </row>
    <row r="27" spans="1:17" x14ac:dyDescent="0.4">
      <c r="A27" s="59" t="s">
        <v>127</v>
      </c>
      <c r="B27" s="157">
        <v>4</v>
      </c>
      <c r="C27" s="158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4F489-FC4E-47EB-B5B6-3EA82EAF78EE}">
  <sheetPr codeName="Sheet13"/>
  <dimension ref="A1:Q12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134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127</v>
      </c>
      <c r="C2" s="144"/>
      <c r="E2" s="64" t="s">
        <v>71</v>
      </c>
      <c r="F2" s="61" t="s">
        <v>25</v>
      </c>
      <c r="G2" s="48">
        <v>155</v>
      </c>
      <c r="H2" s="138">
        <f>IF(B$27=0,0,G2/B$27)</f>
        <v>0.78282828282828287</v>
      </c>
      <c r="I2" s="99">
        <v>10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-653.6</v>
      </c>
      <c r="P2" s="125">
        <v>125</v>
      </c>
      <c r="Q2" s="109">
        <v>-81700</v>
      </c>
    </row>
    <row r="3" spans="1:17" x14ac:dyDescent="0.4">
      <c r="A3" s="57" t="s">
        <v>8</v>
      </c>
      <c r="B3" s="145">
        <v>986</v>
      </c>
      <c r="C3" s="146"/>
      <c r="E3" s="65" t="s">
        <v>69</v>
      </c>
      <c r="F3" s="62" t="s">
        <v>23</v>
      </c>
      <c r="G3" s="49">
        <v>141</v>
      </c>
      <c r="H3" s="139">
        <f>IF(B$27=0,0,G3/B$27)</f>
        <v>0.71212121212121215</v>
      </c>
      <c r="I3" s="100">
        <v>7</v>
      </c>
      <c r="K3" s="40">
        <v>1</v>
      </c>
      <c r="L3" s="105">
        <v>40.9</v>
      </c>
      <c r="N3" s="122" t="s">
        <v>148</v>
      </c>
      <c r="O3" s="129">
        <f t="shared" si="0"/>
        <v>-1056.1983471074379</v>
      </c>
      <c r="P3" s="126">
        <v>121</v>
      </c>
      <c r="Q3" s="110">
        <v>-127800</v>
      </c>
    </row>
    <row r="4" spans="1:17" x14ac:dyDescent="0.4">
      <c r="A4" s="57" t="s">
        <v>6</v>
      </c>
      <c r="B4" s="147">
        <v>-410.89999999999992</v>
      </c>
      <c r="C4" s="148"/>
      <c r="E4" s="65" t="s">
        <v>67</v>
      </c>
      <c r="F4" s="62" t="s">
        <v>21</v>
      </c>
      <c r="G4" s="49">
        <v>124</v>
      </c>
      <c r="H4" s="139">
        <f>IF(B$27=0,0,G4/B$27)</f>
        <v>0.6262626262626263</v>
      </c>
      <c r="I4" s="100">
        <v>4</v>
      </c>
      <c r="K4" s="40">
        <v>2</v>
      </c>
      <c r="L4" s="105">
        <v>-0.89999999999999858</v>
      </c>
      <c r="N4" s="122" t="s">
        <v>149</v>
      </c>
      <c r="O4" s="129">
        <f t="shared" si="0"/>
        <v>1670.9401709401709</v>
      </c>
      <c r="P4" s="126">
        <v>117</v>
      </c>
      <c r="Q4" s="110">
        <v>195500</v>
      </c>
    </row>
    <row r="5" spans="1:17" x14ac:dyDescent="0.4">
      <c r="A5" s="57" t="s">
        <v>7</v>
      </c>
      <c r="B5" s="149">
        <f>IF(B$2=0,0,B$4/B$2)</f>
        <v>-3.235433070866141</v>
      </c>
      <c r="C5" s="150"/>
      <c r="E5" s="65" t="s">
        <v>76</v>
      </c>
      <c r="F5" s="62" t="s">
        <v>29</v>
      </c>
      <c r="G5" s="49">
        <v>102</v>
      </c>
      <c r="H5" s="139">
        <f>IF(B$27=0,0,G5/B$27)</f>
        <v>0.51515151515151514</v>
      </c>
      <c r="I5" s="100">
        <v>11</v>
      </c>
      <c r="K5" s="40">
        <v>3</v>
      </c>
      <c r="L5" s="105">
        <v>-36.4</v>
      </c>
      <c r="N5" s="122" t="s">
        <v>150</v>
      </c>
      <c r="O5" s="129">
        <f t="shared" si="0"/>
        <v>-1011.5384615384615</v>
      </c>
      <c r="P5" s="126">
        <v>104</v>
      </c>
      <c r="Q5" s="110">
        <v>-105200</v>
      </c>
    </row>
    <row r="6" spans="1:17" x14ac:dyDescent="0.4">
      <c r="A6" s="57" t="s">
        <v>1</v>
      </c>
      <c r="B6" s="155">
        <f>IF(B$2=0,0,(B$7*1+B$8*2+B$9*3)/B$2)</f>
        <v>2.0787401574803148</v>
      </c>
      <c r="C6" s="156"/>
      <c r="E6" s="65" t="s">
        <v>72</v>
      </c>
      <c r="F6" s="62" t="s">
        <v>12</v>
      </c>
      <c r="G6" s="49">
        <v>70</v>
      </c>
      <c r="H6" s="139">
        <f>IF(B$27=0,0,G6/B$27)</f>
        <v>0.35353535353535354</v>
      </c>
      <c r="I6" s="100">
        <v>2</v>
      </c>
      <c r="K6" s="40">
        <v>4</v>
      </c>
      <c r="L6" s="105">
        <v>3.6000000000000014</v>
      </c>
      <c r="N6" s="122" t="s">
        <v>151</v>
      </c>
      <c r="O6" s="129">
        <f t="shared" si="0"/>
        <v>-2077.2727272727275</v>
      </c>
      <c r="P6" s="126">
        <v>88</v>
      </c>
      <c r="Q6" s="110">
        <v>-182800</v>
      </c>
    </row>
    <row r="7" spans="1:17" x14ac:dyDescent="0.4">
      <c r="A7" s="57" t="s">
        <v>2</v>
      </c>
      <c r="B7" s="49">
        <v>39</v>
      </c>
      <c r="C7" s="41">
        <f>IF(B$2=0,0,B7/B$2)</f>
        <v>0.30708661417322836</v>
      </c>
      <c r="E7" s="65" t="s">
        <v>70</v>
      </c>
      <c r="F7" s="62" t="s">
        <v>24</v>
      </c>
      <c r="G7" s="49">
        <v>61</v>
      </c>
      <c r="H7" s="139">
        <f>IF(B$27=0,0,G7/B$27)</f>
        <v>0.30808080808080807</v>
      </c>
      <c r="I7" s="100">
        <v>6</v>
      </c>
      <c r="K7" s="40">
        <v>5</v>
      </c>
      <c r="L7" s="105">
        <v>14.600000000000001</v>
      </c>
      <c r="N7" s="123" t="s">
        <v>152</v>
      </c>
      <c r="O7" s="130">
        <f t="shared" si="0"/>
        <v>-2128.985507246377</v>
      </c>
      <c r="P7" s="127">
        <v>69</v>
      </c>
      <c r="Q7" s="111">
        <v>-146900</v>
      </c>
    </row>
    <row r="8" spans="1:17" x14ac:dyDescent="0.4">
      <c r="A8" s="57" t="s">
        <v>3</v>
      </c>
      <c r="B8" s="49">
        <v>39</v>
      </c>
      <c r="C8" s="41">
        <f>IF(B$2=0,0,B8/B$2)</f>
        <v>0.30708661417322836</v>
      </c>
      <c r="E8" s="65" t="s">
        <v>94</v>
      </c>
      <c r="F8" s="62" t="s">
        <v>47</v>
      </c>
      <c r="G8" s="49">
        <v>33</v>
      </c>
      <c r="H8" s="139">
        <f>IF(B$27=0,0,G8/B$27)</f>
        <v>0.16666666666666666</v>
      </c>
      <c r="I8" s="100">
        <v>5</v>
      </c>
      <c r="K8" s="40">
        <v>6</v>
      </c>
      <c r="L8" s="105">
        <v>47.6</v>
      </c>
      <c r="N8" s="45"/>
      <c r="O8" s="134"/>
      <c r="P8" s="118"/>
      <c r="Q8" s="116"/>
    </row>
    <row r="9" spans="1:17" x14ac:dyDescent="0.4">
      <c r="A9" s="58" t="s">
        <v>4</v>
      </c>
      <c r="B9" s="50">
        <v>49</v>
      </c>
      <c r="C9" s="42">
        <f t="shared" ref="C9" si="1">IF(B$2=0,0,B9/B$2)</f>
        <v>0.38582677165354329</v>
      </c>
      <c r="E9" s="65" t="s">
        <v>68</v>
      </c>
      <c r="F9" s="62" t="s">
        <v>22</v>
      </c>
      <c r="G9" s="49">
        <v>30</v>
      </c>
      <c r="H9" s="139">
        <f>IF(B$27=0,0,G9/B$27)</f>
        <v>0.15151515151515152</v>
      </c>
      <c r="I9" s="100">
        <v>4</v>
      </c>
      <c r="K9" s="40">
        <v>7</v>
      </c>
      <c r="L9" s="105">
        <v>100.1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0.19685039370078741</v>
      </c>
      <c r="E10" s="65" t="s">
        <v>73</v>
      </c>
      <c r="F10" s="62" t="s">
        <v>26</v>
      </c>
      <c r="G10" s="49">
        <v>29</v>
      </c>
      <c r="H10" s="139">
        <f>IF(B$27=0,0,G10/B$27)</f>
        <v>0.14646464646464646</v>
      </c>
      <c r="I10" s="100">
        <v>7</v>
      </c>
      <c r="K10" s="40">
        <v>8</v>
      </c>
      <c r="L10" s="105">
        <v>60.199999999999996</v>
      </c>
      <c r="N10" s="121" t="s">
        <v>253</v>
      </c>
      <c r="O10" s="131">
        <f>IF(P10=0,0,Q10/P10)</f>
        <v>-7.1609756097560968</v>
      </c>
      <c r="P10" s="125">
        <v>41</v>
      </c>
      <c r="Q10" s="113">
        <v>-293.59999999999997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0.13385826771653545</v>
      </c>
      <c r="E11" s="65" t="s">
        <v>74</v>
      </c>
      <c r="F11" s="62" t="s">
        <v>27</v>
      </c>
      <c r="G11" s="49">
        <v>29</v>
      </c>
      <c r="H11" s="139">
        <f>IF(B$27=0,0,G11/B$27)</f>
        <v>0.14646464646464646</v>
      </c>
      <c r="I11" s="100">
        <v>3</v>
      </c>
      <c r="K11" s="40">
        <v>9</v>
      </c>
      <c r="L11" s="105">
        <v>24.4</v>
      </c>
      <c r="N11" s="122" t="s">
        <v>254</v>
      </c>
      <c r="O11" s="132">
        <f>IF(P11=0,0,Q11/P11)</f>
        <v>-4.5347826086956511</v>
      </c>
      <c r="P11" s="126">
        <v>46</v>
      </c>
      <c r="Q11" s="114">
        <v>-208.59999999999997</v>
      </c>
    </row>
    <row r="12" spans="1:17" x14ac:dyDescent="0.4">
      <c r="A12" s="59" t="s">
        <v>239</v>
      </c>
      <c r="B12" s="51">
        <v>10</v>
      </c>
      <c r="C12" s="44">
        <f>IF(B$2=0,0,B12/B$2)</f>
        <v>7.874015748031496E-2</v>
      </c>
      <c r="E12" s="65" t="s">
        <v>91</v>
      </c>
      <c r="F12" s="62" t="s">
        <v>44</v>
      </c>
      <c r="G12" s="49">
        <v>18</v>
      </c>
      <c r="H12" s="139">
        <f>IF(B$27=0,0,G12/B$27)</f>
        <v>9.0909090909090912E-2</v>
      </c>
      <c r="I12" s="100">
        <v>4</v>
      </c>
      <c r="K12" s="40">
        <v>10</v>
      </c>
      <c r="L12" s="105">
        <v>-20.100000000000001</v>
      </c>
      <c r="N12" s="123" t="s">
        <v>255</v>
      </c>
      <c r="O12" s="133">
        <f>IF(P12=0,0,Q12/P12)</f>
        <v>1.058974358974359</v>
      </c>
      <c r="P12" s="127">
        <v>39</v>
      </c>
      <c r="Q12" s="115">
        <v>41.3</v>
      </c>
    </row>
    <row r="13" spans="1:17" x14ac:dyDescent="0.4">
      <c r="A13" s="60" t="s">
        <v>128</v>
      </c>
      <c r="B13" s="52">
        <v>215</v>
      </c>
      <c r="C13" s="46">
        <f>IF(B$26=0,0,B13/B$26)</f>
        <v>0.29655172413793102</v>
      </c>
      <c r="E13" s="65" t="s">
        <v>88</v>
      </c>
      <c r="F13" s="62" t="s">
        <v>41</v>
      </c>
      <c r="G13" s="49">
        <v>16</v>
      </c>
      <c r="H13" s="139">
        <f>IF(B$27=0,0,G13/B$27)</f>
        <v>8.0808080808080815E-2</v>
      </c>
      <c r="I13" s="100">
        <v>5</v>
      </c>
      <c r="K13" s="40">
        <v>11</v>
      </c>
      <c r="L13" s="105">
        <v>-3.6000000000000014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124</v>
      </c>
      <c r="C14" s="41">
        <f>IF(B$26=0,0,B14/B$26)</f>
        <v>0.17103448275862068</v>
      </c>
      <c r="E14" s="65" t="s">
        <v>86</v>
      </c>
      <c r="F14" s="62" t="s">
        <v>39</v>
      </c>
      <c r="G14" s="49">
        <v>9</v>
      </c>
      <c r="H14" s="139">
        <f>IF(B$27=0,0,G14/B$27)</f>
        <v>4.5454545454545456E-2</v>
      </c>
      <c r="I14" s="100">
        <v>2</v>
      </c>
      <c r="K14" s="40">
        <v>12</v>
      </c>
      <c r="L14" s="105">
        <v>-12.000000000000002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125</v>
      </c>
      <c r="C15" s="39">
        <f>IF(B$13=0,0,B15/B$13)</f>
        <v>0.58139534883720934</v>
      </c>
      <c r="E15" s="65" t="s">
        <v>96</v>
      </c>
      <c r="F15" s="62" t="s">
        <v>49</v>
      </c>
      <c r="G15" s="49">
        <v>7</v>
      </c>
      <c r="H15" s="139">
        <f>IF(B$27=0,0,G15/B$27)</f>
        <v>3.5353535353535352E-2</v>
      </c>
      <c r="I15" s="100">
        <v>2</v>
      </c>
      <c r="K15" s="40">
        <v>13</v>
      </c>
      <c r="L15" s="105">
        <v>49.5</v>
      </c>
      <c r="N15" s="121" t="s">
        <v>250</v>
      </c>
      <c r="O15" s="131">
        <f>IF(Q15=0,0,P15/Q15)</f>
        <v>1.9351351351351349</v>
      </c>
      <c r="P15" s="125">
        <v>71.599999999999994</v>
      </c>
      <c r="Q15" s="113">
        <v>37</v>
      </c>
    </row>
    <row r="16" spans="1:17" x14ac:dyDescent="0.4">
      <c r="A16" s="56" t="s">
        <v>131</v>
      </c>
      <c r="B16" s="48">
        <v>51</v>
      </c>
      <c r="C16" s="39">
        <f>IF(B$14=0,0,B16/B$14)</f>
        <v>0.41129032258064518</v>
      </c>
      <c r="E16" s="65" t="s">
        <v>75</v>
      </c>
      <c r="F16" s="62" t="s">
        <v>28</v>
      </c>
      <c r="G16" s="49">
        <v>6</v>
      </c>
      <c r="H16" s="139">
        <f>IF(B$27=0,0,G16/B$27)</f>
        <v>3.0303030303030304E-2</v>
      </c>
      <c r="I16" s="100">
        <v>9</v>
      </c>
      <c r="K16" s="40">
        <v>14</v>
      </c>
      <c r="L16" s="105">
        <v>33</v>
      </c>
      <c r="N16" s="122" t="s">
        <v>194</v>
      </c>
      <c r="O16" s="132">
        <f>IF(Q16=0,0,P16/Q16)</f>
        <v>1.2077922077922079</v>
      </c>
      <c r="P16" s="126">
        <v>-46.5</v>
      </c>
      <c r="Q16" s="114">
        <v>-38.5</v>
      </c>
    </row>
    <row r="17" spans="1:17" x14ac:dyDescent="0.4">
      <c r="A17" s="56" t="s">
        <v>10</v>
      </c>
      <c r="B17" s="48">
        <f>B19+B18</f>
        <v>259</v>
      </c>
      <c r="C17" s="39">
        <f>IF(B$3=0,0,B17/B$3)</f>
        <v>0.26267748478701824</v>
      </c>
      <c r="E17" s="65" t="s">
        <v>82</v>
      </c>
      <c r="F17" s="62" t="s">
        <v>35</v>
      </c>
      <c r="G17" s="49">
        <v>5</v>
      </c>
      <c r="H17" s="139">
        <f>IF(B$27=0,0,G17/B$27)</f>
        <v>2.5252525252525252E-2</v>
      </c>
      <c r="I17" s="100">
        <v>7</v>
      </c>
      <c r="K17" s="40">
        <v>15</v>
      </c>
      <c r="L17" s="105">
        <v>38.5</v>
      </c>
      <c r="N17" s="122" t="s">
        <v>157</v>
      </c>
      <c r="O17" s="132">
        <f>IF(Q17=0,0,P17/Q17)</f>
        <v>0.80128205128205121</v>
      </c>
      <c r="P17" s="126">
        <v>-12.5</v>
      </c>
      <c r="Q17" s="114">
        <v>-15.600000000000001</v>
      </c>
    </row>
    <row r="18" spans="1:17" x14ac:dyDescent="0.4">
      <c r="A18" s="57" t="s">
        <v>12</v>
      </c>
      <c r="B18" s="49">
        <v>113</v>
      </c>
      <c r="C18" s="41">
        <f>IF(B$17=0,0,B18/B$17)</f>
        <v>0.43629343629343631</v>
      </c>
      <c r="E18" s="65" t="s">
        <v>83</v>
      </c>
      <c r="F18" s="62" t="s">
        <v>36</v>
      </c>
      <c r="G18" s="49">
        <v>3</v>
      </c>
      <c r="H18" s="139">
        <f>IF(B$27=0,0,G18/B$27)</f>
        <v>1.5151515151515152E-2</v>
      </c>
      <c r="I18" s="100">
        <v>7</v>
      </c>
      <c r="K18" s="40">
        <v>16</v>
      </c>
      <c r="L18" s="105">
        <v>14.600000000000001</v>
      </c>
      <c r="N18" s="122" t="s">
        <v>139</v>
      </c>
      <c r="O18" s="132">
        <f>IF(Q18=0,0,P18/Q18)</f>
        <v>0.12430632630410651</v>
      </c>
      <c r="P18" s="126">
        <v>22.400000000000002</v>
      </c>
      <c r="Q18" s="114">
        <v>180.20000000000007</v>
      </c>
    </row>
    <row r="19" spans="1:17" x14ac:dyDescent="0.4">
      <c r="A19" s="57" t="s">
        <v>11</v>
      </c>
      <c r="B19" s="49">
        <v>146</v>
      </c>
      <c r="C19" s="41">
        <f>IF(B$17=0,0,B19/B$17)</f>
        <v>0.56370656370656369</v>
      </c>
      <c r="E19" s="65" t="s">
        <v>89</v>
      </c>
      <c r="F19" s="62" t="s">
        <v>42</v>
      </c>
      <c r="G19" s="49">
        <v>2</v>
      </c>
      <c r="H19" s="139">
        <f>IF(B$27=0,0,G19/B$27)</f>
        <v>1.0101010101010102E-2</v>
      </c>
      <c r="I19" s="100">
        <v>1</v>
      </c>
      <c r="K19" s="40">
        <v>17</v>
      </c>
      <c r="L19" s="105">
        <v>13.900000000000002</v>
      </c>
      <c r="N19" s="122" t="s">
        <v>136</v>
      </c>
      <c r="O19" s="132">
        <f>IF(Q19=0,0,P19/Q19)</f>
        <v>7.1960826059186717E-2</v>
      </c>
      <c r="P19" s="126">
        <v>33.799999999999997</v>
      </c>
      <c r="Q19" s="114">
        <v>469.69999999999993</v>
      </c>
    </row>
    <row r="20" spans="1:17" x14ac:dyDescent="0.4">
      <c r="A20" s="57" t="s">
        <v>13</v>
      </c>
      <c r="B20" s="49">
        <v>190</v>
      </c>
      <c r="C20" s="41">
        <f>IF(B$3=0,0,B20/B$3)</f>
        <v>0.1926977687626775</v>
      </c>
      <c r="E20" s="65" t="s">
        <v>90</v>
      </c>
      <c r="F20" s="62" t="s">
        <v>43</v>
      </c>
      <c r="G20" s="49">
        <v>2</v>
      </c>
      <c r="H20" s="139">
        <f>IF(B$27=0,0,G20/B$27)</f>
        <v>1.0101010101010102E-2</v>
      </c>
      <c r="I20" s="100">
        <v>2</v>
      </c>
      <c r="K20" s="40">
        <v>18</v>
      </c>
      <c r="L20" s="105">
        <v>-21.999999999999996</v>
      </c>
      <c r="N20" s="122" t="s">
        <v>137</v>
      </c>
      <c r="O20" s="132">
        <f>IF(Q20=0,0,P20/Q20)</f>
        <v>-6.0645642843814157E-2</v>
      </c>
      <c r="P20" s="126">
        <v>32.5</v>
      </c>
      <c r="Q20" s="114">
        <v>-535.89999999999986</v>
      </c>
    </row>
    <row r="21" spans="1:17" x14ac:dyDescent="0.4">
      <c r="A21" s="57" t="s">
        <v>5</v>
      </c>
      <c r="B21" s="53">
        <f>IF(B$17=0,0,C21/B$17)</f>
        <v>11091.891891891892</v>
      </c>
      <c r="C21" s="43">
        <v>2872800</v>
      </c>
      <c r="E21" s="65" t="s">
        <v>97</v>
      </c>
      <c r="F21" s="62" t="s">
        <v>50</v>
      </c>
      <c r="G21" s="49">
        <v>2</v>
      </c>
      <c r="H21" s="139">
        <f>IF(B$27=0,0,G21/B$27)</f>
        <v>1.0101010101010102E-2</v>
      </c>
      <c r="I21" s="100">
        <v>3</v>
      </c>
      <c r="K21" s="40">
        <v>19</v>
      </c>
      <c r="L21" s="105">
        <v>-26.699999999999996</v>
      </c>
      <c r="N21" s="122" t="s">
        <v>133</v>
      </c>
      <c r="O21" s="132">
        <f>IF(Q21=0,0,P21/Q21)</f>
        <v>-0.16461694685772318</v>
      </c>
      <c r="P21" s="126">
        <v>145.9</v>
      </c>
      <c r="Q21" s="114">
        <v>-886.29999999999973</v>
      </c>
    </row>
    <row r="22" spans="1:17" x14ac:dyDescent="0.4">
      <c r="A22" s="59" t="s">
        <v>14</v>
      </c>
      <c r="B22" s="54">
        <f>IF(B$20=0,0,C22/B$20)</f>
        <v>-9511.0526315789466</v>
      </c>
      <c r="C22" s="47">
        <v>-1807100</v>
      </c>
      <c r="E22" s="65" t="s">
        <v>77</v>
      </c>
      <c r="F22" s="62" t="s">
        <v>30</v>
      </c>
      <c r="G22" s="49">
        <v>1</v>
      </c>
      <c r="H22" s="139">
        <f>IF(B$27=0,0,G22/B$27)</f>
        <v>5.0505050505050509E-3</v>
      </c>
      <c r="I22" s="100">
        <v>6</v>
      </c>
      <c r="K22" s="40">
        <v>20</v>
      </c>
      <c r="L22" s="105">
        <v>-57.899999999999991</v>
      </c>
      <c r="N22" s="122" t="s">
        <v>135</v>
      </c>
      <c r="O22" s="132">
        <f>IF(Q22=0,0,P22/Q22)</f>
        <v>-0.1813909774436091</v>
      </c>
      <c r="P22" s="126">
        <v>115.8</v>
      </c>
      <c r="Q22" s="114">
        <v>-638.39999999999975</v>
      </c>
    </row>
    <row r="23" spans="1:17" x14ac:dyDescent="0.4">
      <c r="A23" s="96" t="s">
        <v>158</v>
      </c>
      <c r="B23" s="153">
        <v>10</v>
      </c>
      <c r="C23" s="154"/>
      <c r="E23" s="65" t="s">
        <v>85</v>
      </c>
      <c r="F23" s="62" t="s">
        <v>38</v>
      </c>
      <c r="G23" s="49">
        <v>1</v>
      </c>
      <c r="H23" s="139">
        <f>IF(B$27=0,0,G23/B$27)</f>
        <v>5.0505050505050509E-3</v>
      </c>
      <c r="I23" s="100">
        <v>1</v>
      </c>
      <c r="K23" s="40">
        <v>21</v>
      </c>
      <c r="L23" s="105">
        <v>-82.699999999999989</v>
      </c>
      <c r="N23" s="122" t="s">
        <v>138</v>
      </c>
      <c r="O23" s="132">
        <f>IF(Q23=0,0,P23/Q23)</f>
        <v>-0.71375464684014855</v>
      </c>
      <c r="P23" s="126">
        <v>-19.2</v>
      </c>
      <c r="Q23" s="114">
        <v>26.900000000000006</v>
      </c>
    </row>
    <row r="24" spans="1:17" x14ac:dyDescent="0.4">
      <c r="A24" s="60" t="s">
        <v>199</v>
      </c>
      <c r="B24" s="151">
        <v>97700</v>
      </c>
      <c r="C24" s="152"/>
      <c r="E24" s="65" t="s">
        <v>92</v>
      </c>
      <c r="F24" s="62" t="s">
        <v>45</v>
      </c>
      <c r="G24" s="49">
        <v>1</v>
      </c>
      <c r="H24" s="139">
        <f>IF(B$27=0,0,G24/B$27)</f>
        <v>5.0505050505050509E-3</v>
      </c>
      <c r="I24" s="100">
        <v>1</v>
      </c>
      <c r="K24" s="40">
        <v>22</v>
      </c>
      <c r="L24" s="105">
        <v>-94.6</v>
      </c>
      <c r="N24" s="122" t="s">
        <v>167</v>
      </c>
      <c r="O24" s="132">
        <f>IF(Q24=0,0,P24/Q24)</f>
        <v>-75.909090909090807</v>
      </c>
      <c r="P24" s="126">
        <v>83.5</v>
      </c>
      <c r="Q24" s="114">
        <v>-1.1000000000000014</v>
      </c>
    </row>
    <row r="25" spans="1:17" x14ac:dyDescent="0.4">
      <c r="A25" s="59" t="s">
        <v>159</v>
      </c>
      <c r="B25" s="67">
        <v>4</v>
      </c>
      <c r="C25" s="44">
        <f>IF(B$3=0,0,B25/B$3)</f>
        <v>4.0567951318458417E-3</v>
      </c>
      <c r="E25" s="65" t="s">
        <v>93</v>
      </c>
      <c r="F25" s="62" t="s">
        <v>46</v>
      </c>
      <c r="G25" s="49">
        <v>1</v>
      </c>
      <c r="H25" s="139">
        <f>IF(B$27=0,0,G25/B$27)</f>
        <v>5.0505050505050509E-3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3">
        <v>725</v>
      </c>
      <c r="C26" s="144"/>
      <c r="E26" s="65" t="s">
        <v>78</v>
      </c>
      <c r="F26" s="62" t="s">
        <v>31</v>
      </c>
      <c r="G26" s="49">
        <v>0</v>
      </c>
      <c r="H26" s="139">
        <f>IF(B$27=0,0,G26/B$27)</f>
        <v>0</v>
      </c>
      <c r="I26" s="100">
        <v>4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7">
        <v>198</v>
      </c>
      <c r="C27" s="158"/>
      <c r="E27" s="65" t="s">
        <v>79</v>
      </c>
      <c r="F27" s="62" t="s">
        <v>32</v>
      </c>
      <c r="G27" s="49">
        <v>0</v>
      </c>
      <c r="H27" s="139">
        <f>IF(B$27=0,0,G27/B$27)</f>
        <v>0</v>
      </c>
      <c r="I27" s="100">
        <v>6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39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39">
        <f>IF(B$27=0,0,G29/B$27)</f>
        <v>0</v>
      </c>
      <c r="I29" s="100">
        <v>6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39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39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39">
        <f>IF(B$27=0,0,G32/B$27)</f>
        <v>0</v>
      </c>
      <c r="I32" s="100">
        <v>3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5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6543-7A60-4308-8E5B-462469BCA2E9}">
  <sheetPr codeName="Sheet15"/>
  <dimension ref="A1:Q6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135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61</v>
      </c>
      <c r="C2" s="144"/>
      <c r="E2" s="64" t="s">
        <v>71</v>
      </c>
      <c r="F2" s="61" t="s">
        <v>25</v>
      </c>
      <c r="G2" s="48">
        <v>60</v>
      </c>
      <c r="H2" s="138">
        <f>IF(B$27=0,0,G2/B$27)</f>
        <v>0.90909090909090906</v>
      </c>
      <c r="I2" s="99">
        <v>6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-408.19672131147541</v>
      </c>
      <c r="P2" s="125">
        <v>61</v>
      </c>
      <c r="Q2" s="109">
        <v>-24900</v>
      </c>
    </row>
    <row r="3" spans="1:17" x14ac:dyDescent="0.4">
      <c r="A3" s="57" t="s">
        <v>8</v>
      </c>
      <c r="B3" s="145">
        <v>441</v>
      </c>
      <c r="C3" s="146"/>
      <c r="E3" s="65" t="s">
        <v>69</v>
      </c>
      <c r="F3" s="62" t="s">
        <v>23</v>
      </c>
      <c r="G3" s="49">
        <v>57</v>
      </c>
      <c r="H3" s="139">
        <f>IF(B$27=0,0,G3/B$27)</f>
        <v>0.86363636363636365</v>
      </c>
      <c r="I3" s="100">
        <v>2</v>
      </c>
      <c r="K3" s="40">
        <v>1</v>
      </c>
      <c r="L3" s="105">
        <v>-39.9</v>
      </c>
      <c r="N3" s="122" t="s">
        <v>148</v>
      </c>
      <c r="O3" s="129">
        <f t="shared" si="0"/>
        <v>2170.6896551724139</v>
      </c>
      <c r="P3" s="126">
        <v>58</v>
      </c>
      <c r="Q3" s="110">
        <v>125900</v>
      </c>
    </row>
    <row r="4" spans="1:17" x14ac:dyDescent="0.4">
      <c r="A4" s="57" t="s">
        <v>6</v>
      </c>
      <c r="B4" s="147">
        <v>256.20000000000005</v>
      </c>
      <c r="C4" s="148"/>
      <c r="E4" s="65" t="s">
        <v>76</v>
      </c>
      <c r="F4" s="62" t="s">
        <v>29</v>
      </c>
      <c r="G4" s="49">
        <v>43</v>
      </c>
      <c r="H4" s="139">
        <f>IF(B$27=0,0,G4/B$27)</f>
        <v>0.65151515151515149</v>
      </c>
      <c r="I4" s="100">
        <v>4</v>
      </c>
      <c r="K4" s="40">
        <v>2</v>
      </c>
      <c r="L4" s="105">
        <v>-13.2</v>
      </c>
      <c r="N4" s="122" t="s">
        <v>149</v>
      </c>
      <c r="O4" s="129">
        <f t="shared" si="0"/>
        <v>-1817.8571428571429</v>
      </c>
      <c r="P4" s="126">
        <v>56</v>
      </c>
      <c r="Q4" s="110">
        <v>-101800</v>
      </c>
    </row>
    <row r="5" spans="1:17" x14ac:dyDescent="0.4">
      <c r="A5" s="57" t="s">
        <v>7</v>
      </c>
      <c r="B5" s="149">
        <f>IF(B$2=0,0,B$4/B$2)</f>
        <v>4.2000000000000011</v>
      </c>
      <c r="C5" s="150"/>
      <c r="E5" s="65" t="s">
        <v>67</v>
      </c>
      <c r="F5" s="62" t="s">
        <v>21</v>
      </c>
      <c r="G5" s="49">
        <v>28</v>
      </c>
      <c r="H5" s="139">
        <f>IF(B$27=0,0,G5/B$27)</f>
        <v>0.42424242424242425</v>
      </c>
      <c r="I5" s="100">
        <v>11</v>
      </c>
      <c r="K5" s="40">
        <v>3</v>
      </c>
      <c r="L5" s="105">
        <v>-57.7</v>
      </c>
      <c r="N5" s="122" t="s">
        <v>150</v>
      </c>
      <c r="O5" s="129">
        <f t="shared" si="0"/>
        <v>-312.7659574468085</v>
      </c>
      <c r="P5" s="126">
        <v>47</v>
      </c>
      <c r="Q5" s="110">
        <v>-14700</v>
      </c>
    </row>
    <row r="6" spans="1:17" x14ac:dyDescent="0.4">
      <c r="A6" s="57" t="s">
        <v>1</v>
      </c>
      <c r="B6" s="155">
        <f>IF(B$2=0,0,(B$7*1+B$8*2+B$9*3)/B$2)</f>
        <v>1.9180327868852458</v>
      </c>
      <c r="C6" s="156"/>
      <c r="E6" s="65" t="s">
        <v>72</v>
      </c>
      <c r="F6" s="62" t="s">
        <v>12</v>
      </c>
      <c r="G6" s="49">
        <v>19</v>
      </c>
      <c r="H6" s="139">
        <f>IF(B$27=0,0,G6/B$27)</f>
        <v>0.2878787878787879</v>
      </c>
      <c r="I6" s="100">
        <v>8</v>
      </c>
      <c r="K6" s="40">
        <v>4</v>
      </c>
      <c r="L6" s="105">
        <v>-53.7</v>
      </c>
      <c r="N6" s="122" t="s">
        <v>151</v>
      </c>
      <c r="O6" s="129">
        <f t="shared" si="0"/>
        <v>7068.292682926829</v>
      </c>
      <c r="P6" s="126">
        <v>41</v>
      </c>
      <c r="Q6" s="110">
        <v>289800</v>
      </c>
    </row>
    <row r="7" spans="1:17" x14ac:dyDescent="0.4">
      <c r="A7" s="57" t="s">
        <v>2</v>
      </c>
      <c r="B7" s="49">
        <v>21</v>
      </c>
      <c r="C7" s="41">
        <f>IF(B$2=0,0,B7/B$2)</f>
        <v>0.34426229508196721</v>
      </c>
      <c r="E7" s="65" t="s">
        <v>70</v>
      </c>
      <c r="F7" s="62" t="s">
        <v>24</v>
      </c>
      <c r="G7" s="49">
        <v>17</v>
      </c>
      <c r="H7" s="139">
        <f>IF(B$27=0,0,G7/B$27)</f>
        <v>0.25757575757575757</v>
      </c>
      <c r="I7" s="100">
        <v>9</v>
      </c>
      <c r="K7" s="40">
        <v>5</v>
      </c>
      <c r="L7" s="105">
        <v>-45.7</v>
      </c>
      <c r="N7" s="123" t="s">
        <v>152</v>
      </c>
      <c r="O7" s="130">
        <f t="shared" si="0"/>
        <v>-541.37931034482756</v>
      </c>
      <c r="P7" s="127">
        <v>29</v>
      </c>
      <c r="Q7" s="111">
        <v>-15700</v>
      </c>
    </row>
    <row r="8" spans="1:17" x14ac:dyDescent="0.4">
      <c r="A8" s="57" t="s">
        <v>3</v>
      </c>
      <c r="B8" s="49">
        <v>24</v>
      </c>
      <c r="C8" s="41">
        <f>IF(B$2=0,0,B8/B$2)</f>
        <v>0.39344262295081966</v>
      </c>
      <c r="E8" s="65" t="s">
        <v>88</v>
      </c>
      <c r="F8" s="62" t="s">
        <v>41</v>
      </c>
      <c r="G8" s="49">
        <v>7</v>
      </c>
      <c r="H8" s="139">
        <f>IF(B$27=0,0,G8/B$27)</f>
        <v>0.10606060606060606</v>
      </c>
      <c r="I8" s="100">
        <v>3</v>
      </c>
      <c r="K8" s="40">
        <v>6</v>
      </c>
      <c r="L8" s="105">
        <v>-50.6</v>
      </c>
      <c r="N8" s="45"/>
      <c r="O8" s="134"/>
      <c r="P8" s="118"/>
      <c r="Q8" s="116"/>
    </row>
    <row r="9" spans="1:17" x14ac:dyDescent="0.4">
      <c r="A9" s="58" t="s">
        <v>4</v>
      </c>
      <c r="B9" s="50">
        <v>16</v>
      </c>
      <c r="C9" s="42">
        <f t="shared" ref="C9" si="1">IF(B$2=0,0,B9/B$2)</f>
        <v>0.26229508196721313</v>
      </c>
      <c r="E9" s="65" t="s">
        <v>73</v>
      </c>
      <c r="F9" s="62" t="s">
        <v>26</v>
      </c>
      <c r="G9" s="49">
        <v>6</v>
      </c>
      <c r="H9" s="139">
        <f>IF(B$27=0,0,G9/B$27)</f>
        <v>9.0909090909090912E-2</v>
      </c>
      <c r="I9" s="100">
        <v>11</v>
      </c>
      <c r="K9" s="40">
        <v>7</v>
      </c>
      <c r="L9" s="105">
        <v>-47.6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0.11475409836065574</v>
      </c>
      <c r="E10" s="65" t="s">
        <v>94</v>
      </c>
      <c r="F10" s="62" t="s">
        <v>47</v>
      </c>
      <c r="G10" s="49">
        <v>6</v>
      </c>
      <c r="H10" s="139">
        <f>IF(B$27=0,0,G10/B$27)</f>
        <v>9.0909090909090912E-2</v>
      </c>
      <c r="I10" s="100">
        <v>11</v>
      </c>
      <c r="K10" s="40">
        <v>8</v>
      </c>
      <c r="L10" s="105">
        <v>-59.1</v>
      </c>
      <c r="N10" s="121" t="s">
        <v>253</v>
      </c>
      <c r="O10" s="131">
        <f>IF(P10=0,0,Q10/P10)</f>
        <v>3.1666666666666665</v>
      </c>
      <c r="P10" s="125">
        <v>18</v>
      </c>
      <c r="Q10" s="113">
        <v>57</v>
      </c>
    </row>
    <row r="11" spans="1:17" x14ac:dyDescent="0.4">
      <c r="A11" s="58" t="s">
        <v>155</v>
      </c>
      <c r="B11" s="50">
        <v>11</v>
      </c>
      <c r="C11" s="42">
        <f>IF(B$2=0,0,B11/B$2)</f>
        <v>0.18032786885245902</v>
      </c>
      <c r="E11" s="65" t="s">
        <v>68</v>
      </c>
      <c r="F11" s="62" t="s">
        <v>22</v>
      </c>
      <c r="G11" s="49">
        <v>5</v>
      </c>
      <c r="H11" s="139">
        <f>IF(B$27=0,0,G11/B$27)</f>
        <v>7.575757575757576E-2</v>
      </c>
      <c r="I11" s="100">
        <v>11</v>
      </c>
      <c r="K11" s="40">
        <v>9</v>
      </c>
      <c r="L11" s="105">
        <v>-77.900000000000006</v>
      </c>
      <c r="N11" s="122" t="s">
        <v>254</v>
      </c>
      <c r="O11" s="132">
        <f>IF(P11=0,0,Q11/P11)</f>
        <v>5.854838709677419</v>
      </c>
      <c r="P11" s="126">
        <v>31</v>
      </c>
      <c r="Q11" s="114">
        <v>181.5</v>
      </c>
    </row>
    <row r="12" spans="1:17" x14ac:dyDescent="0.4">
      <c r="A12" s="59" t="s">
        <v>239</v>
      </c>
      <c r="B12" s="51">
        <v>3</v>
      </c>
      <c r="C12" s="44">
        <f>IF(B$2=0,0,B12/B$2)</f>
        <v>4.9180327868852458E-2</v>
      </c>
      <c r="E12" s="65" t="s">
        <v>74</v>
      </c>
      <c r="F12" s="62" t="s">
        <v>27</v>
      </c>
      <c r="G12" s="49">
        <v>4</v>
      </c>
      <c r="H12" s="139">
        <f>IF(B$27=0,0,G12/B$27)</f>
        <v>6.0606060606060608E-2</v>
      </c>
      <c r="I12" s="100">
        <v>10</v>
      </c>
      <c r="K12" s="40">
        <v>10</v>
      </c>
      <c r="L12" s="105">
        <v>-78.900000000000006</v>
      </c>
      <c r="N12" s="123" t="s">
        <v>255</v>
      </c>
      <c r="O12" s="133">
        <f>IF(P12=0,0,Q12/P12)</f>
        <v>1.4749999999999996</v>
      </c>
      <c r="P12" s="127">
        <v>12</v>
      </c>
      <c r="Q12" s="115">
        <v>17.699999999999996</v>
      </c>
    </row>
    <row r="13" spans="1:17" x14ac:dyDescent="0.4">
      <c r="A13" s="60" t="s">
        <v>128</v>
      </c>
      <c r="B13" s="52">
        <v>48</v>
      </c>
      <c r="C13" s="46">
        <f>IF(B$26=0,0,B13/B$26)</f>
        <v>0.23645320197044334</v>
      </c>
      <c r="E13" s="65" t="s">
        <v>86</v>
      </c>
      <c r="F13" s="62" t="s">
        <v>39</v>
      </c>
      <c r="G13" s="49">
        <v>4</v>
      </c>
      <c r="H13" s="139">
        <f>IF(B$27=0,0,G13/B$27)</f>
        <v>6.0606060606060608E-2</v>
      </c>
      <c r="I13" s="100">
        <v>1</v>
      </c>
      <c r="K13" s="40">
        <v>11</v>
      </c>
      <c r="L13" s="105">
        <v>-88.9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64</v>
      </c>
      <c r="C14" s="41">
        <f>IF(B$26=0,0,B14/B$26)</f>
        <v>0.31527093596059114</v>
      </c>
      <c r="E14" s="65" t="s">
        <v>91</v>
      </c>
      <c r="F14" s="62" t="s">
        <v>44</v>
      </c>
      <c r="G14" s="49">
        <v>3</v>
      </c>
      <c r="H14" s="139">
        <f>IF(B$27=0,0,G14/B$27)</f>
        <v>4.5454545454545456E-2</v>
      </c>
      <c r="I14" s="100">
        <v>10</v>
      </c>
      <c r="K14" s="40">
        <v>12</v>
      </c>
      <c r="L14" s="105">
        <v>-23.5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0.58333333333333337</v>
      </c>
      <c r="E15" s="65" t="s">
        <v>75</v>
      </c>
      <c r="F15" s="62" t="s">
        <v>28</v>
      </c>
      <c r="G15" s="49">
        <v>1</v>
      </c>
      <c r="H15" s="139">
        <f>IF(B$27=0,0,G15/B$27)</f>
        <v>1.5151515151515152E-2</v>
      </c>
      <c r="I15" s="100">
        <v>11</v>
      </c>
      <c r="K15" s="40">
        <v>13</v>
      </c>
      <c r="L15" s="105">
        <v>-12.4</v>
      </c>
      <c r="N15" s="121" t="s">
        <v>138</v>
      </c>
      <c r="O15" s="131">
        <f>IF(Q15=0,0,P15/Q15)</f>
        <v>34</v>
      </c>
      <c r="P15" s="125">
        <v>34</v>
      </c>
      <c r="Q15" s="113">
        <v>1</v>
      </c>
    </row>
    <row r="16" spans="1:17" x14ac:dyDescent="0.4">
      <c r="A16" s="56" t="s">
        <v>131</v>
      </c>
      <c r="B16" s="48">
        <v>26</v>
      </c>
      <c r="C16" s="39">
        <f>IF(B$14=0,0,B16/B$14)</f>
        <v>0.40625</v>
      </c>
      <c r="E16" s="65" t="s">
        <v>82</v>
      </c>
      <c r="F16" s="62" t="s">
        <v>35</v>
      </c>
      <c r="G16" s="49">
        <v>1</v>
      </c>
      <c r="H16" s="139">
        <f>IF(B$27=0,0,G16/B$27)</f>
        <v>1.5151515151515152E-2</v>
      </c>
      <c r="I16" s="100">
        <v>9</v>
      </c>
      <c r="K16" s="40">
        <v>14</v>
      </c>
      <c r="L16" s="105">
        <v>38.6</v>
      </c>
      <c r="N16" s="122" t="s">
        <v>166</v>
      </c>
      <c r="O16" s="132">
        <f>IF(Q16=0,0,P16/Q16)</f>
        <v>0.35008103727714746</v>
      </c>
      <c r="P16" s="126">
        <v>21.599999999999998</v>
      </c>
      <c r="Q16" s="114">
        <v>61.7</v>
      </c>
    </row>
    <row r="17" spans="1:17" x14ac:dyDescent="0.4">
      <c r="A17" s="56" t="s">
        <v>10</v>
      </c>
      <c r="B17" s="48">
        <f>B19+B18</f>
        <v>153</v>
      </c>
      <c r="C17" s="39">
        <f>IF(B$3=0,0,B17/B$3)</f>
        <v>0.34693877551020408</v>
      </c>
      <c r="E17" s="65" t="s">
        <v>96</v>
      </c>
      <c r="F17" s="62" t="s">
        <v>49</v>
      </c>
      <c r="G17" s="49">
        <v>1</v>
      </c>
      <c r="H17" s="139">
        <f>IF(B$27=0,0,G17/B$27)</f>
        <v>1.5151515151515152E-2</v>
      </c>
      <c r="I17" s="100">
        <v>7</v>
      </c>
      <c r="K17" s="40">
        <v>15</v>
      </c>
      <c r="L17" s="105">
        <v>55.8</v>
      </c>
      <c r="N17" s="122" t="s">
        <v>171</v>
      </c>
      <c r="O17" s="132">
        <f>IF(Q17=0,0,P17/Q17)</f>
        <v>-2.6315789473684167E-2</v>
      </c>
      <c r="P17" s="126">
        <v>-1.7999999999999972</v>
      </c>
      <c r="Q17" s="114">
        <v>68.400000000000006</v>
      </c>
    </row>
    <row r="18" spans="1:17" x14ac:dyDescent="0.4">
      <c r="A18" s="57" t="s">
        <v>12</v>
      </c>
      <c r="B18" s="49">
        <v>68</v>
      </c>
      <c r="C18" s="41">
        <f>IF(B$17=0,0,B18/B$17)</f>
        <v>0.44444444444444442</v>
      </c>
      <c r="E18" s="65" t="s">
        <v>98</v>
      </c>
      <c r="F18" s="62" t="s">
        <v>51</v>
      </c>
      <c r="G18" s="49">
        <v>1</v>
      </c>
      <c r="H18" s="139">
        <f>IF(B$27=0,0,G18/B$27)</f>
        <v>1.5151515151515152E-2</v>
      </c>
      <c r="I18" s="100">
        <v>1</v>
      </c>
      <c r="K18" s="40">
        <v>16</v>
      </c>
      <c r="L18" s="105">
        <v>40.299999999999997</v>
      </c>
      <c r="N18" s="122" t="s">
        <v>134</v>
      </c>
      <c r="O18" s="132">
        <f>IF(Q18=0,0,P18/Q18)</f>
        <v>-7.1517801374141182E-2</v>
      </c>
      <c r="P18" s="126">
        <v>-45.8</v>
      </c>
      <c r="Q18" s="114">
        <v>640.39999999999975</v>
      </c>
    </row>
    <row r="19" spans="1:17" x14ac:dyDescent="0.4">
      <c r="A19" s="57" t="s">
        <v>11</v>
      </c>
      <c r="B19" s="49">
        <v>85</v>
      </c>
      <c r="C19" s="41">
        <f>IF(B$17=0,0,B19/B$17)</f>
        <v>0.55555555555555558</v>
      </c>
      <c r="E19" s="65" t="s">
        <v>77</v>
      </c>
      <c r="F19" s="62" t="s">
        <v>30</v>
      </c>
      <c r="G19" s="49">
        <v>0</v>
      </c>
      <c r="H19" s="139">
        <f>IF(B$27=0,0,G19/B$27)</f>
        <v>0</v>
      </c>
      <c r="I19" s="100">
        <v>7</v>
      </c>
      <c r="K19" s="40">
        <v>17</v>
      </c>
      <c r="L19" s="105">
        <v>15.799999999999997</v>
      </c>
      <c r="N19" s="122" t="s">
        <v>139</v>
      </c>
      <c r="O19" s="132">
        <f>IF(Q19=0,0,P19/Q19)</f>
        <v>-0.40615191462649097</v>
      </c>
      <c r="P19" s="126">
        <v>64.7</v>
      </c>
      <c r="Q19" s="114">
        <v>-159.29999999999998</v>
      </c>
    </row>
    <row r="20" spans="1:17" x14ac:dyDescent="0.4">
      <c r="A20" s="57" t="s">
        <v>13</v>
      </c>
      <c r="B20" s="49">
        <v>69</v>
      </c>
      <c r="C20" s="41">
        <f>IF(B$3=0,0,B20/B$3)</f>
        <v>0.15646258503401361</v>
      </c>
      <c r="E20" s="65" t="s">
        <v>78</v>
      </c>
      <c r="F20" s="62" t="s">
        <v>31</v>
      </c>
      <c r="G20" s="49">
        <v>0</v>
      </c>
      <c r="H20" s="139">
        <f>IF(B$27=0,0,G20/B$27)</f>
        <v>0</v>
      </c>
      <c r="I20" s="100">
        <v>4</v>
      </c>
      <c r="K20" s="40">
        <v>18</v>
      </c>
      <c r="L20" s="105">
        <v>-25.700000000000003</v>
      </c>
      <c r="N20" s="122" t="s">
        <v>137</v>
      </c>
      <c r="O20" s="132">
        <f>IF(Q20=0,0,P20/Q20)</f>
        <v>-0.44016649323621221</v>
      </c>
      <c r="P20" s="126">
        <v>-84.6</v>
      </c>
      <c r="Q20" s="114">
        <v>192.20000000000002</v>
      </c>
    </row>
    <row r="21" spans="1:17" x14ac:dyDescent="0.4">
      <c r="A21" s="57" t="s">
        <v>5</v>
      </c>
      <c r="B21" s="53">
        <f>IF(B$17=0,0,C21/B$17)</f>
        <v>9726.1437908496737</v>
      </c>
      <c r="C21" s="43">
        <v>1488100</v>
      </c>
      <c r="E21" s="65" t="s">
        <v>79</v>
      </c>
      <c r="F21" s="62" t="s">
        <v>32</v>
      </c>
      <c r="G21" s="49">
        <v>0</v>
      </c>
      <c r="H21" s="139">
        <f>IF(B$27=0,0,G21/B$27)</f>
        <v>0</v>
      </c>
      <c r="I21" s="100">
        <v>6</v>
      </c>
      <c r="K21" s="40">
        <v>19</v>
      </c>
      <c r="L21" s="105">
        <v>-17.700000000000003</v>
      </c>
      <c r="N21" s="122" t="s">
        <v>194</v>
      </c>
      <c r="O21" s="132">
        <f>IF(Q21=0,0,P21/Q21)</f>
        <v>-1.2154696132596685</v>
      </c>
      <c r="P21" s="126">
        <v>-44</v>
      </c>
      <c r="Q21" s="114">
        <v>36.200000000000003</v>
      </c>
    </row>
    <row r="22" spans="1:17" x14ac:dyDescent="0.4">
      <c r="A22" s="59" t="s">
        <v>14</v>
      </c>
      <c r="B22" s="54">
        <f>IF(B$20=0,0,C22/B$20)</f>
        <v>-8992.753623188406</v>
      </c>
      <c r="C22" s="47">
        <v>-620500</v>
      </c>
      <c r="E22" s="65" t="s">
        <v>80</v>
      </c>
      <c r="F22" s="62" t="s">
        <v>33</v>
      </c>
      <c r="G22" s="49">
        <v>0</v>
      </c>
      <c r="H22" s="139">
        <f>IF(B$27=0,0,G22/B$27)</f>
        <v>0</v>
      </c>
      <c r="I22" s="100">
        <v>1</v>
      </c>
      <c r="K22" s="40">
        <v>20</v>
      </c>
      <c r="L22" s="105">
        <v>7.4999999999999964</v>
      </c>
      <c r="N22" s="122" t="s">
        <v>133</v>
      </c>
      <c r="O22" s="132">
        <f>IF(Q22=0,0,P22/Q22)</f>
        <v>-2.5744680851063935</v>
      </c>
      <c r="P22" s="126">
        <v>12.100000000000001</v>
      </c>
      <c r="Q22" s="114">
        <v>-4.6999999999999815</v>
      </c>
    </row>
    <row r="23" spans="1:17" x14ac:dyDescent="0.4">
      <c r="A23" s="96" t="s">
        <v>158</v>
      </c>
      <c r="B23" s="153">
        <v>7</v>
      </c>
      <c r="C23" s="154"/>
      <c r="E23" s="65" t="s">
        <v>81</v>
      </c>
      <c r="F23" s="62" t="s">
        <v>34</v>
      </c>
      <c r="G23" s="49">
        <v>0</v>
      </c>
      <c r="H23" s="139">
        <f>IF(B$27=0,0,G23/B$27)</f>
        <v>0</v>
      </c>
      <c r="I23" s="100">
        <v>6</v>
      </c>
      <c r="K23" s="40">
        <v>21</v>
      </c>
      <c r="L23" s="105">
        <v>69.8</v>
      </c>
      <c r="N23" s="122" t="s">
        <v>250</v>
      </c>
      <c r="O23" s="132">
        <f>IF(Q23=0,0,P23/Q23)</f>
        <v>-3.4482758620689657</v>
      </c>
      <c r="P23" s="126">
        <v>30</v>
      </c>
      <c r="Q23" s="114">
        <v>-8.6999999999999993</v>
      </c>
    </row>
    <row r="24" spans="1:17" x14ac:dyDescent="0.4">
      <c r="A24" s="60" t="s">
        <v>199</v>
      </c>
      <c r="B24" s="151">
        <v>118000</v>
      </c>
      <c r="C24" s="152"/>
      <c r="E24" s="65" t="s">
        <v>83</v>
      </c>
      <c r="F24" s="62" t="s">
        <v>36</v>
      </c>
      <c r="G24" s="49">
        <v>0</v>
      </c>
      <c r="H24" s="139">
        <f>IF(B$27=0,0,G24/B$27)</f>
        <v>0</v>
      </c>
      <c r="I24" s="100">
        <v>11</v>
      </c>
      <c r="K24" s="40">
        <v>22</v>
      </c>
      <c r="L24" s="105">
        <v>78.399999999999991</v>
      </c>
      <c r="N24" s="122" t="s">
        <v>157</v>
      </c>
      <c r="O24" s="132">
        <f>IF(Q24=0,0,P24/Q24)</f>
        <v>-3.6787564766839376</v>
      </c>
      <c r="P24" s="126">
        <v>71</v>
      </c>
      <c r="Q24" s="114">
        <v>-19.3</v>
      </c>
    </row>
    <row r="25" spans="1:17" x14ac:dyDescent="0.4">
      <c r="A25" s="59" t="s">
        <v>159</v>
      </c>
      <c r="B25" s="67">
        <v>1</v>
      </c>
      <c r="C25" s="44">
        <f>IF(B$3=0,0,B25/B$3)</f>
        <v>2.2675736961451248E-3</v>
      </c>
      <c r="E25" s="65" t="s">
        <v>84</v>
      </c>
      <c r="F25" s="62" t="s">
        <v>37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93.199999999999989</v>
      </c>
      <c r="N25" s="122" t="s">
        <v>136</v>
      </c>
      <c r="O25" s="132">
        <f>IF(Q25=0,0,P25/Q25)</f>
        <v>-285.99999999999847</v>
      </c>
      <c r="P25" s="126">
        <v>28.599999999999998</v>
      </c>
      <c r="Q25" s="114">
        <v>-0.10000000000000053</v>
      </c>
    </row>
    <row r="26" spans="1:17" x14ac:dyDescent="0.4">
      <c r="A26" s="56" t="s">
        <v>126</v>
      </c>
      <c r="B26" s="143">
        <v>203</v>
      </c>
      <c r="C26" s="144"/>
      <c r="E26" s="65" t="s">
        <v>85</v>
      </c>
      <c r="F26" s="62" t="s">
        <v>38</v>
      </c>
      <c r="G26" s="49">
        <v>0</v>
      </c>
      <c r="H26" s="139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7">
        <v>66</v>
      </c>
      <c r="C27" s="158"/>
      <c r="E27" s="65" t="s">
        <v>87</v>
      </c>
      <c r="F27" s="62" t="s">
        <v>40</v>
      </c>
      <c r="G27" s="49">
        <v>0</v>
      </c>
      <c r="H27" s="139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39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39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9">
        <f>IF(B$27=0,0,G30/B$27)</f>
        <v>0</v>
      </c>
      <c r="I30" s="100">
        <v>4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39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39">
        <f>IF(B$27=0,0,G32/B$27)</f>
        <v>0</v>
      </c>
      <c r="I32" s="100">
        <v>3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39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51E-33D1-4D8E-8892-5203935F3414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171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5</v>
      </c>
      <c r="C2" s="144"/>
      <c r="E2" s="64" t="s">
        <v>67</v>
      </c>
      <c r="F2" s="61" t="s">
        <v>21</v>
      </c>
      <c r="G2" s="48">
        <v>6</v>
      </c>
      <c r="H2" s="138">
        <f>IF(B$27=0,0,G2/B$27)</f>
        <v>0.66666666666666663</v>
      </c>
      <c r="I2" s="99">
        <v>2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-2740</v>
      </c>
      <c r="P2" s="125">
        <v>5</v>
      </c>
      <c r="Q2" s="109">
        <v>-13700</v>
      </c>
    </row>
    <row r="3" spans="1:17" x14ac:dyDescent="0.4">
      <c r="A3" s="57" t="s">
        <v>8</v>
      </c>
      <c r="B3" s="145">
        <v>37</v>
      </c>
      <c r="C3" s="146"/>
      <c r="E3" s="65" t="s">
        <v>71</v>
      </c>
      <c r="F3" s="62" t="s">
        <v>25</v>
      </c>
      <c r="G3" s="49">
        <v>6</v>
      </c>
      <c r="H3" s="139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2" t="s">
        <v>148</v>
      </c>
      <c r="O3" s="129">
        <f t="shared" si="0"/>
        <v>1500</v>
      </c>
      <c r="P3" s="126">
        <v>5</v>
      </c>
      <c r="Q3" s="110">
        <v>7500</v>
      </c>
    </row>
    <row r="4" spans="1:17" x14ac:dyDescent="0.4">
      <c r="A4" s="57" t="s">
        <v>6</v>
      </c>
      <c r="B4" s="147">
        <v>-86.4</v>
      </c>
      <c r="C4" s="148"/>
      <c r="E4" s="65" t="s">
        <v>68</v>
      </c>
      <c r="F4" s="62" t="s">
        <v>22</v>
      </c>
      <c r="G4" s="49">
        <v>4</v>
      </c>
      <c r="H4" s="139">
        <f>IF(B$27=0,0,G4/B$27)</f>
        <v>0.44444444444444442</v>
      </c>
      <c r="I4" s="100">
        <v>1</v>
      </c>
      <c r="K4" s="40">
        <v>2</v>
      </c>
      <c r="L4" s="105">
        <v>-81.7</v>
      </c>
      <c r="N4" s="122" t="s">
        <v>149</v>
      </c>
      <c r="O4" s="129">
        <f t="shared" si="0"/>
        <v>-11250</v>
      </c>
      <c r="P4" s="126">
        <v>4</v>
      </c>
      <c r="Q4" s="110">
        <v>-45000</v>
      </c>
    </row>
    <row r="5" spans="1:17" x14ac:dyDescent="0.4">
      <c r="A5" s="57" t="s">
        <v>7</v>
      </c>
      <c r="B5" s="149">
        <f>IF(B$2=0,0,B$4/B$2)</f>
        <v>-17.28</v>
      </c>
      <c r="C5" s="150"/>
      <c r="E5" s="65" t="s">
        <v>76</v>
      </c>
      <c r="F5" s="62" t="s">
        <v>29</v>
      </c>
      <c r="G5" s="49">
        <v>4</v>
      </c>
      <c r="H5" s="139">
        <f>IF(B$27=0,0,G5/B$27)</f>
        <v>0.44444444444444442</v>
      </c>
      <c r="I5" s="100">
        <v>12</v>
      </c>
      <c r="K5" s="40">
        <v>3</v>
      </c>
      <c r="L5" s="105">
        <v>-88.9</v>
      </c>
      <c r="N5" s="122" t="s">
        <v>150</v>
      </c>
      <c r="O5" s="129">
        <f t="shared" si="0"/>
        <v>-12000</v>
      </c>
      <c r="P5" s="126">
        <v>3</v>
      </c>
      <c r="Q5" s="110">
        <v>-36000</v>
      </c>
    </row>
    <row r="6" spans="1:17" x14ac:dyDescent="0.4">
      <c r="A6" s="57" t="s">
        <v>1</v>
      </c>
      <c r="B6" s="155">
        <f>IF(B$2=0,0,(B$7*1+B$8*2+B$9*3)/B$2)</f>
        <v>2.2000000000000002</v>
      </c>
      <c r="C6" s="156"/>
      <c r="E6" s="65" t="s">
        <v>72</v>
      </c>
      <c r="F6" s="62" t="s">
        <v>12</v>
      </c>
      <c r="G6" s="49">
        <v>3</v>
      </c>
      <c r="H6" s="139">
        <f>IF(B$27=0,0,G6/B$27)</f>
        <v>0.33333333333333331</v>
      </c>
      <c r="I6" s="100">
        <v>3</v>
      </c>
      <c r="K6" s="40">
        <v>4</v>
      </c>
      <c r="L6" s="105">
        <v>-109.2</v>
      </c>
      <c r="N6" s="122" t="s">
        <v>151</v>
      </c>
      <c r="O6" s="129">
        <f t="shared" si="0"/>
        <v>5400</v>
      </c>
      <c r="P6" s="126">
        <v>2</v>
      </c>
      <c r="Q6" s="110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9">
        <f>IF(B$27=0,0,G7/B$27)</f>
        <v>0.22222222222222221</v>
      </c>
      <c r="I7" s="100">
        <v>10</v>
      </c>
      <c r="K7" s="40">
        <v>5</v>
      </c>
      <c r="L7" s="105">
        <v>-86.4</v>
      </c>
      <c r="N7" s="123" t="s">
        <v>152</v>
      </c>
      <c r="O7" s="130">
        <f t="shared" si="0"/>
        <v>-5000</v>
      </c>
      <c r="P7" s="127">
        <v>2</v>
      </c>
      <c r="Q7" s="111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9">
        <f>IF(B$27=0,0,G8/B$27)</f>
        <v>0.22222222222222221</v>
      </c>
      <c r="I8" s="100">
        <v>1</v>
      </c>
      <c r="N8" s="45"/>
      <c r="O8" s="134"/>
      <c r="P8" s="118"/>
      <c r="Q8" s="116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9">
        <f>IF(B$27=0,0,G9/B$27)</f>
        <v>0.1111111111111111</v>
      </c>
      <c r="I9" s="100">
        <v>13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9">
        <f>IF(B$27=0,0,G10/B$27)</f>
        <v>0.1111111111111111</v>
      </c>
      <c r="I10" s="100">
        <v>10</v>
      </c>
      <c r="N10" s="121" t="s">
        <v>253</v>
      </c>
      <c r="O10" s="131">
        <f>IF(P10=0,0,Q10/P10)</f>
        <v>-24.1</v>
      </c>
      <c r="P10" s="125">
        <v>2</v>
      </c>
      <c r="Q10" s="113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9">
        <f>IF(B$27=0,0,G11/B$27)</f>
        <v>0.1111111111111111</v>
      </c>
      <c r="I11" s="100">
        <v>3</v>
      </c>
      <c r="N11" s="122" t="s">
        <v>254</v>
      </c>
      <c r="O11" s="132">
        <f>IF(P11=0,0,Q11/P11)</f>
        <v>-12.733333333333334</v>
      </c>
      <c r="P11" s="126">
        <v>3</v>
      </c>
      <c r="Q11" s="114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9">
        <f>IF(B$27=0,0,G12/B$27)</f>
        <v>0</v>
      </c>
      <c r="I12" s="100">
        <v>12</v>
      </c>
      <c r="N12" s="123" t="s">
        <v>255</v>
      </c>
      <c r="O12" s="133">
        <f>IF(P12=0,0,Q12/P12)</f>
        <v>0</v>
      </c>
      <c r="P12" s="127">
        <v>0</v>
      </c>
      <c r="Q12" s="115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39">
        <f>IF(B$27=0,0,G13/B$27)</f>
        <v>0</v>
      </c>
      <c r="I13" s="100">
        <v>12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39">
        <f>IF(B$27=0,0,G14/B$27)</f>
        <v>0</v>
      </c>
      <c r="I14" s="100">
        <v>7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9">
        <f>IF(B$27=0,0,G15/B$27)</f>
        <v>0</v>
      </c>
      <c r="I15" s="100">
        <v>4</v>
      </c>
      <c r="N15" s="121" t="s">
        <v>135</v>
      </c>
      <c r="O15" s="131">
        <f>IF(Q15=0,0,P15/Q15)</f>
        <v>-8.7349397590361394E-2</v>
      </c>
      <c r="P15" s="125">
        <v>5.7999999999999972</v>
      </c>
      <c r="Q15" s="113">
        <v>-66.400000000000006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9">
        <f>IF(B$27=0,0,G16/B$27)</f>
        <v>0</v>
      </c>
      <c r="I16" s="100">
        <v>6</v>
      </c>
      <c r="N16" s="122" t="s">
        <v>139</v>
      </c>
      <c r="O16" s="132">
        <f>IF(Q16=0,0,P16/Q16)</f>
        <v>-0.45913818722139671</v>
      </c>
      <c r="P16" s="126">
        <v>-30.9</v>
      </c>
      <c r="Q16" s="114">
        <v>67.3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  <c r="N17" s="122" t="s">
        <v>157</v>
      </c>
      <c r="O17" s="132">
        <f>IF(Q17=0,0,P17/Q17)</f>
        <v>-9.0322580645161246</v>
      </c>
      <c r="P17" s="126">
        <v>-28</v>
      </c>
      <c r="Q17" s="114">
        <v>3.1000000000000014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9">
        <f>IF(B$27=0,0,G18/B$27)</f>
        <v>0</v>
      </c>
      <c r="I18" s="100">
        <v>6</v>
      </c>
      <c r="N18" s="122" t="s">
        <v>194</v>
      </c>
      <c r="O18" s="132">
        <f>IF(Q18=0,0,P18/Q18)</f>
        <v>-10.641025641025641</v>
      </c>
      <c r="P18" s="126">
        <v>-83</v>
      </c>
      <c r="Q18" s="114">
        <v>7.8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9">
        <f>IF(B$27=0,0,G19/B$27)</f>
        <v>0</v>
      </c>
      <c r="I19" s="100">
        <v>10</v>
      </c>
      <c r="N19" s="122" t="s">
        <v>133</v>
      </c>
      <c r="O19" s="132">
        <f>IF(Q19=0,0,P19/Q19)</f>
        <v>-125.9</v>
      </c>
      <c r="P19" s="126">
        <v>-125.9</v>
      </c>
      <c r="Q19" s="114">
        <v>1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9</v>
      </c>
    </row>
    <row r="23" spans="1:17" x14ac:dyDescent="0.4">
      <c r="A23" s="96" t="s">
        <v>158</v>
      </c>
      <c r="B23" s="153">
        <v>3</v>
      </c>
      <c r="C23" s="154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199</v>
      </c>
      <c r="B24" s="151">
        <v>57800</v>
      </c>
      <c r="C24" s="152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5</v>
      </c>
    </row>
    <row r="26" spans="1:17" x14ac:dyDescent="0.4">
      <c r="A26" s="56" t="s">
        <v>126</v>
      </c>
      <c r="B26" s="143">
        <v>31</v>
      </c>
      <c r="C26" s="144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6</v>
      </c>
    </row>
    <row r="27" spans="1:17" x14ac:dyDescent="0.4">
      <c r="A27" s="59" t="s">
        <v>127</v>
      </c>
      <c r="B27" s="157">
        <v>9</v>
      </c>
      <c r="C27" s="158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3FCB6-A86E-4E12-B485-1AD4A81094AE}">
  <sheetPr codeName="Sheet19"/>
  <dimension ref="A1:Q6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136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67</v>
      </c>
      <c r="C2" s="144"/>
      <c r="E2" s="64" t="s">
        <v>71</v>
      </c>
      <c r="F2" s="61" t="s">
        <v>25</v>
      </c>
      <c r="G2" s="48">
        <v>80</v>
      </c>
      <c r="H2" s="138">
        <f>IF(B$27=0,0,G2/B$27)</f>
        <v>0.95238095238095233</v>
      </c>
      <c r="I2" s="99">
        <v>3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-1573.1343283582089</v>
      </c>
      <c r="P2" s="125">
        <v>67</v>
      </c>
      <c r="Q2" s="109">
        <v>-105400</v>
      </c>
    </row>
    <row r="3" spans="1:17" x14ac:dyDescent="0.4">
      <c r="A3" s="57" t="s">
        <v>8</v>
      </c>
      <c r="B3" s="145">
        <v>513</v>
      </c>
      <c r="C3" s="146"/>
      <c r="E3" s="65" t="s">
        <v>69</v>
      </c>
      <c r="F3" s="62" t="s">
        <v>23</v>
      </c>
      <c r="G3" s="49">
        <v>59</v>
      </c>
      <c r="H3" s="139">
        <f>IF(B$27=0,0,G3/B$27)</f>
        <v>0.70238095238095233</v>
      </c>
      <c r="I3" s="100">
        <v>9</v>
      </c>
      <c r="K3" s="40">
        <v>1</v>
      </c>
      <c r="L3" s="105">
        <v>68.2</v>
      </c>
      <c r="N3" s="122" t="s">
        <v>148</v>
      </c>
      <c r="O3" s="129">
        <f t="shared" si="0"/>
        <v>-3320.6349206349205</v>
      </c>
      <c r="P3" s="126">
        <v>63</v>
      </c>
      <c r="Q3" s="110">
        <v>-209200</v>
      </c>
    </row>
    <row r="4" spans="1:17" x14ac:dyDescent="0.4">
      <c r="A4" s="57" t="s">
        <v>6</v>
      </c>
      <c r="B4" s="147">
        <v>-466.7</v>
      </c>
      <c r="C4" s="148"/>
      <c r="E4" s="65" t="s">
        <v>76</v>
      </c>
      <c r="F4" s="62" t="s">
        <v>29</v>
      </c>
      <c r="G4" s="49">
        <v>52</v>
      </c>
      <c r="H4" s="139">
        <f>IF(B$27=0,0,G4/B$27)</f>
        <v>0.61904761904761907</v>
      </c>
      <c r="I4" s="100">
        <v>5</v>
      </c>
      <c r="K4" s="40">
        <v>2</v>
      </c>
      <c r="L4" s="105">
        <v>58.5</v>
      </c>
      <c r="N4" s="122" t="s">
        <v>149</v>
      </c>
      <c r="O4" s="129">
        <f t="shared" si="0"/>
        <v>-1152.7272727272727</v>
      </c>
      <c r="P4" s="126">
        <v>55</v>
      </c>
      <c r="Q4" s="110">
        <v>-63400</v>
      </c>
    </row>
    <row r="5" spans="1:17" x14ac:dyDescent="0.4">
      <c r="A5" s="57" t="s">
        <v>7</v>
      </c>
      <c r="B5" s="149">
        <f>IF(B$2=0,0,B$4/B$2)</f>
        <v>-6.9656716417910447</v>
      </c>
      <c r="C5" s="150"/>
      <c r="E5" s="65" t="s">
        <v>67</v>
      </c>
      <c r="F5" s="62" t="s">
        <v>21</v>
      </c>
      <c r="G5" s="49">
        <v>41</v>
      </c>
      <c r="H5" s="139">
        <f>IF(B$27=0,0,G5/B$27)</f>
        <v>0.48809523809523808</v>
      </c>
      <c r="I5" s="100">
        <v>10</v>
      </c>
      <c r="K5" s="40">
        <v>3</v>
      </c>
      <c r="L5" s="105">
        <v>82.1</v>
      </c>
      <c r="N5" s="122" t="s">
        <v>150</v>
      </c>
      <c r="O5" s="129">
        <f t="shared" si="0"/>
        <v>1198.1132075471698</v>
      </c>
      <c r="P5" s="126">
        <v>53</v>
      </c>
      <c r="Q5" s="110">
        <v>63500</v>
      </c>
    </row>
    <row r="6" spans="1:17" x14ac:dyDescent="0.4">
      <c r="A6" s="57" t="s">
        <v>1</v>
      </c>
      <c r="B6" s="155">
        <f>IF(B$2=0,0,(B$7*1+B$8*2+B$9*3)/B$2)</f>
        <v>2.2089552238805972</v>
      </c>
      <c r="C6" s="156"/>
      <c r="E6" s="65" t="s">
        <v>72</v>
      </c>
      <c r="F6" s="62" t="s">
        <v>12</v>
      </c>
      <c r="G6" s="49">
        <v>24</v>
      </c>
      <c r="H6" s="139">
        <f>IF(B$27=0,0,G6/B$27)</f>
        <v>0.2857142857142857</v>
      </c>
      <c r="I6" s="100">
        <v>9</v>
      </c>
      <c r="K6" s="40">
        <v>4</v>
      </c>
      <c r="L6" s="105">
        <v>57.699999999999996</v>
      </c>
      <c r="N6" s="122" t="s">
        <v>151</v>
      </c>
      <c r="O6" s="129">
        <f t="shared" si="0"/>
        <v>-2623.2558139534885</v>
      </c>
      <c r="P6" s="126">
        <v>43</v>
      </c>
      <c r="Q6" s="110">
        <v>-112800</v>
      </c>
    </row>
    <row r="7" spans="1:17" x14ac:dyDescent="0.4">
      <c r="A7" s="57" t="s">
        <v>2</v>
      </c>
      <c r="B7" s="49">
        <v>14</v>
      </c>
      <c r="C7" s="41">
        <f>IF(B$2=0,0,B7/B$2)</f>
        <v>0.20895522388059701</v>
      </c>
      <c r="E7" s="65" t="s">
        <v>68</v>
      </c>
      <c r="F7" s="62" t="s">
        <v>22</v>
      </c>
      <c r="G7" s="49">
        <v>12</v>
      </c>
      <c r="H7" s="139">
        <f>IF(B$27=0,0,G7/B$27)</f>
        <v>0.14285714285714285</v>
      </c>
      <c r="I7" s="100">
        <v>5</v>
      </c>
      <c r="K7" s="40">
        <v>5</v>
      </c>
      <c r="L7" s="105">
        <v>123.69999999999999</v>
      </c>
      <c r="N7" s="123" t="s">
        <v>152</v>
      </c>
      <c r="O7" s="130">
        <f t="shared" si="0"/>
        <v>-1193.939393939394</v>
      </c>
      <c r="P7" s="127">
        <v>33</v>
      </c>
      <c r="Q7" s="111">
        <v>-39400</v>
      </c>
    </row>
    <row r="8" spans="1:17" x14ac:dyDescent="0.4">
      <c r="A8" s="57" t="s">
        <v>3</v>
      </c>
      <c r="B8" s="49">
        <v>25</v>
      </c>
      <c r="C8" s="41">
        <f>IF(B$2=0,0,B8/B$2)</f>
        <v>0.37313432835820898</v>
      </c>
      <c r="E8" s="65" t="s">
        <v>73</v>
      </c>
      <c r="F8" s="62" t="s">
        <v>26</v>
      </c>
      <c r="G8" s="49">
        <v>10</v>
      </c>
      <c r="H8" s="139">
        <f>IF(B$27=0,0,G8/B$27)</f>
        <v>0.11904761904761904</v>
      </c>
      <c r="I8" s="100">
        <v>8</v>
      </c>
      <c r="K8" s="40">
        <v>6</v>
      </c>
      <c r="L8" s="105">
        <v>125.19999999999999</v>
      </c>
      <c r="N8" s="45"/>
      <c r="O8" s="134"/>
      <c r="P8" s="118"/>
      <c r="Q8" s="116"/>
    </row>
    <row r="9" spans="1:17" x14ac:dyDescent="0.4">
      <c r="A9" s="58" t="s">
        <v>4</v>
      </c>
      <c r="B9" s="50">
        <v>28</v>
      </c>
      <c r="C9" s="42">
        <f t="shared" ref="C9" si="1">IF(B$2=0,0,B9/B$2)</f>
        <v>0.41791044776119401</v>
      </c>
      <c r="E9" s="65" t="s">
        <v>70</v>
      </c>
      <c r="F9" s="62" t="s">
        <v>24</v>
      </c>
      <c r="G9" s="49">
        <v>8</v>
      </c>
      <c r="H9" s="139">
        <f>IF(B$27=0,0,G9/B$27)</f>
        <v>9.5238095238095233E-2</v>
      </c>
      <c r="I9" s="100">
        <v>13</v>
      </c>
      <c r="K9" s="40">
        <v>7</v>
      </c>
      <c r="L9" s="105">
        <v>129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0.19402985074626866</v>
      </c>
      <c r="E10" s="65" t="s">
        <v>94</v>
      </c>
      <c r="F10" s="62" t="s">
        <v>47</v>
      </c>
      <c r="G10" s="49">
        <v>6</v>
      </c>
      <c r="H10" s="139">
        <f>IF(B$27=0,0,G10/B$27)</f>
        <v>7.1428571428571425E-2</v>
      </c>
      <c r="I10" s="100">
        <v>12</v>
      </c>
      <c r="K10" s="40">
        <v>8</v>
      </c>
      <c r="L10" s="105">
        <v>96.5</v>
      </c>
      <c r="N10" s="121" t="s">
        <v>253</v>
      </c>
      <c r="O10" s="131">
        <f>IF(P10=0,0,Q10/P10)</f>
        <v>-9.6142857142857157</v>
      </c>
      <c r="P10" s="125">
        <v>28</v>
      </c>
      <c r="Q10" s="113">
        <v>-269.20000000000005</v>
      </c>
    </row>
    <row r="11" spans="1:17" x14ac:dyDescent="0.4">
      <c r="A11" s="58" t="s">
        <v>155</v>
      </c>
      <c r="B11" s="50">
        <v>9</v>
      </c>
      <c r="C11" s="42">
        <f>IF(B$2=0,0,B11/B$2)</f>
        <v>0.13432835820895522</v>
      </c>
      <c r="E11" s="65" t="s">
        <v>74</v>
      </c>
      <c r="F11" s="62" t="s">
        <v>27</v>
      </c>
      <c r="G11" s="49">
        <v>5</v>
      </c>
      <c r="H11" s="139">
        <f>IF(B$27=0,0,G11/B$27)</f>
        <v>5.9523809523809521E-2</v>
      </c>
      <c r="I11" s="100">
        <v>11</v>
      </c>
      <c r="K11" s="40">
        <v>9</v>
      </c>
      <c r="L11" s="105">
        <v>82.8</v>
      </c>
      <c r="N11" s="122" t="s">
        <v>254</v>
      </c>
      <c r="O11" s="132">
        <f>IF(P11=0,0,Q11/P11)</f>
        <v>-6.3299999999999983</v>
      </c>
      <c r="P11" s="126">
        <v>20</v>
      </c>
      <c r="Q11" s="114">
        <v>-126.59999999999997</v>
      </c>
    </row>
    <row r="12" spans="1:17" x14ac:dyDescent="0.4">
      <c r="A12" s="59" t="s">
        <v>239</v>
      </c>
      <c r="B12" s="51">
        <v>4</v>
      </c>
      <c r="C12" s="44">
        <f>IF(B$2=0,0,B12/B$2)</f>
        <v>5.9701492537313432E-2</v>
      </c>
      <c r="E12" s="65" t="s">
        <v>75</v>
      </c>
      <c r="F12" s="62" t="s">
        <v>28</v>
      </c>
      <c r="G12" s="49">
        <v>4</v>
      </c>
      <c r="H12" s="139">
        <f>IF(B$27=0,0,G12/B$27)</f>
        <v>4.7619047619047616E-2</v>
      </c>
      <c r="I12" s="100">
        <v>6</v>
      </c>
      <c r="K12" s="40">
        <v>10</v>
      </c>
      <c r="L12" s="105">
        <v>110.5</v>
      </c>
      <c r="N12" s="123" t="s">
        <v>255</v>
      </c>
      <c r="O12" s="133">
        <f>IF(P12=0,0,Q12/P12)</f>
        <v>-3.7315789473684213</v>
      </c>
      <c r="P12" s="127">
        <v>19</v>
      </c>
      <c r="Q12" s="115">
        <v>-70.900000000000006</v>
      </c>
    </row>
    <row r="13" spans="1:17" x14ac:dyDescent="0.4">
      <c r="A13" s="60" t="s">
        <v>128</v>
      </c>
      <c r="B13" s="52">
        <v>87</v>
      </c>
      <c r="C13" s="46">
        <f>IF(B$26=0,0,B13/B$26)</f>
        <v>0.26126126126126126</v>
      </c>
      <c r="E13" s="65" t="s">
        <v>82</v>
      </c>
      <c r="F13" s="62" t="s">
        <v>35</v>
      </c>
      <c r="G13" s="49">
        <v>4</v>
      </c>
      <c r="H13" s="139">
        <f>IF(B$27=0,0,G13/B$27)</f>
        <v>4.7619047619047616E-2</v>
      </c>
      <c r="I13" s="100">
        <v>3</v>
      </c>
      <c r="K13" s="40">
        <v>11</v>
      </c>
      <c r="L13" s="105">
        <v>71.599999999999994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89</v>
      </c>
      <c r="C14" s="41">
        <f>IF(B$26=0,0,B14/B$26)</f>
        <v>0.26726726726726729</v>
      </c>
      <c r="E14" s="65" t="s">
        <v>83</v>
      </c>
      <c r="F14" s="62" t="s">
        <v>36</v>
      </c>
      <c r="G14" s="49">
        <v>3</v>
      </c>
      <c r="H14" s="139">
        <f>IF(B$27=0,0,G14/B$27)</f>
        <v>3.5714285714285712E-2</v>
      </c>
      <c r="I14" s="100">
        <v>4</v>
      </c>
      <c r="K14" s="40">
        <v>12</v>
      </c>
      <c r="L14" s="105">
        <v>33.599999999999994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42</v>
      </c>
      <c r="C15" s="39">
        <f>IF(B$13=0,0,B15/B$13)</f>
        <v>0.48275862068965519</v>
      </c>
      <c r="E15" s="65" t="s">
        <v>91</v>
      </c>
      <c r="F15" s="62" t="s">
        <v>44</v>
      </c>
      <c r="G15" s="49">
        <v>3</v>
      </c>
      <c r="H15" s="139">
        <f>IF(B$27=0,0,G15/B$27)</f>
        <v>3.5714285714285712E-2</v>
      </c>
      <c r="I15" s="100">
        <v>12</v>
      </c>
      <c r="K15" s="40">
        <v>13</v>
      </c>
      <c r="L15" s="105">
        <v>13.299999999999994</v>
      </c>
      <c r="N15" s="121" t="s">
        <v>137</v>
      </c>
      <c r="O15" s="131">
        <f>IF(Q15=0,0,P15/Q15)</f>
        <v>1349.0000000006519</v>
      </c>
      <c r="P15" s="125">
        <v>134.9</v>
      </c>
      <c r="Q15" s="113">
        <v>9.9999999999951683E-2</v>
      </c>
    </row>
    <row r="16" spans="1:17" x14ac:dyDescent="0.4">
      <c r="A16" s="56" t="s">
        <v>131</v>
      </c>
      <c r="B16" s="48">
        <v>33</v>
      </c>
      <c r="C16" s="39">
        <f>IF(B$14=0,0,B16/B$14)</f>
        <v>0.3707865168539326</v>
      </c>
      <c r="E16" s="65" t="s">
        <v>88</v>
      </c>
      <c r="F16" s="62" t="s">
        <v>41</v>
      </c>
      <c r="G16" s="49">
        <v>2</v>
      </c>
      <c r="H16" s="139">
        <f>IF(B$27=0,0,G16/B$27)</f>
        <v>2.3809523809523808E-2</v>
      </c>
      <c r="I16" s="100">
        <v>10</v>
      </c>
      <c r="K16" s="40">
        <v>14</v>
      </c>
      <c r="L16" s="105">
        <v>4.7999999999999936</v>
      </c>
      <c r="N16" s="122" t="s">
        <v>157</v>
      </c>
      <c r="O16" s="132">
        <f>IF(Q16=0,0,P16/Q16)</f>
        <v>0.45435244161358812</v>
      </c>
      <c r="P16" s="126">
        <v>21.4</v>
      </c>
      <c r="Q16" s="114">
        <v>47.099999999999994</v>
      </c>
    </row>
    <row r="17" spans="1:17" x14ac:dyDescent="0.4">
      <c r="A17" s="56" t="s">
        <v>10</v>
      </c>
      <c r="B17" s="48">
        <f>B19+B18</f>
        <v>135</v>
      </c>
      <c r="C17" s="39">
        <f>IF(B$3=0,0,B17/B$3)</f>
        <v>0.26315789473684209</v>
      </c>
      <c r="E17" s="65" t="s">
        <v>79</v>
      </c>
      <c r="F17" s="62" t="s">
        <v>32</v>
      </c>
      <c r="G17" s="49">
        <v>1</v>
      </c>
      <c r="H17" s="139">
        <f>IF(B$27=0,0,G17/B$27)</f>
        <v>1.1904761904761904E-2</v>
      </c>
      <c r="I17" s="100">
        <v>2</v>
      </c>
      <c r="K17" s="40">
        <v>15</v>
      </c>
      <c r="L17" s="105">
        <v>-33.700000000000003</v>
      </c>
      <c r="N17" s="122" t="s">
        <v>139</v>
      </c>
      <c r="O17" s="132">
        <f>IF(Q17=0,0,P17/Q17)</f>
        <v>0.10957551826258635</v>
      </c>
      <c r="P17" s="126">
        <v>11.100000000000001</v>
      </c>
      <c r="Q17" s="114">
        <v>101.30000000000004</v>
      </c>
    </row>
    <row r="18" spans="1:17" x14ac:dyDescent="0.4">
      <c r="A18" s="57" t="s">
        <v>12</v>
      </c>
      <c r="B18" s="49">
        <v>61</v>
      </c>
      <c r="C18" s="41">
        <f>IF(B$17=0,0,B18/B$17)</f>
        <v>0.45185185185185184</v>
      </c>
      <c r="E18" s="65" t="s">
        <v>86</v>
      </c>
      <c r="F18" s="62" t="s">
        <v>39</v>
      </c>
      <c r="G18" s="49">
        <v>1</v>
      </c>
      <c r="H18" s="139">
        <f>IF(B$27=0,0,G18/B$27)</f>
        <v>1.1904761904761904E-2</v>
      </c>
      <c r="I18" s="100">
        <v>8</v>
      </c>
      <c r="K18" s="40">
        <v>16</v>
      </c>
      <c r="L18" s="105">
        <v>-45.300000000000004</v>
      </c>
      <c r="N18" s="122" t="s">
        <v>138</v>
      </c>
      <c r="O18" s="132">
        <f>IF(Q18=0,0,P18/Q18)</f>
        <v>3.0051516886090437E-2</v>
      </c>
      <c r="P18" s="126">
        <v>-10.5</v>
      </c>
      <c r="Q18" s="114">
        <v>-349.40000000000003</v>
      </c>
    </row>
    <row r="19" spans="1:17" x14ac:dyDescent="0.4">
      <c r="A19" s="57" t="s">
        <v>11</v>
      </c>
      <c r="B19" s="49">
        <v>74</v>
      </c>
      <c r="C19" s="41">
        <f>IF(B$17=0,0,B19/B$17)</f>
        <v>0.54814814814814816</v>
      </c>
      <c r="E19" s="65" t="s">
        <v>77</v>
      </c>
      <c r="F19" s="62" t="s">
        <v>30</v>
      </c>
      <c r="G19" s="49">
        <v>0</v>
      </c>
      <c r="H19" s="139">
        <f>IF(B$27=0,0,G19/B$27)</f>
        <v>0</v>
      </c>
      <c r="I19" s="100">
        <v>7</v>
      </c>
      <c r="K19" s="40">
        <v>17</v>
      </c>
      <c r="L19" s="105">
        <v>-45.000000000000007</v>
      </c>
      <c r="N19" s="122" t="s">
        <v>134</v>
      </c>
      <c r="O19" s="132">
        <f>IF(Q19=0,0,P19/Q19)</f>
        <v>-4.2762454564891877E-4</v>
      </c>
      <c r="P19" s="126">
        <v>0.19999999999999929</v>
      </c>
      <c r="Q19" s="114">
        <v>-467.69999999999993</v>
      </c>
    </row>
    <row r="20" spans="1:17" x14ac:dyDescent="0.4">
      <c r="A20" s="57" t="s">
        <v>13</v>
      </c>
      <c r="B20" s="49">
        <v>94</v>
      </c>
      <c r="C20" s="41">
        <f>IF(B$3=0,0,B20/B$3)</f>
        <v>0.18323586744639375</v>
      </c>
      <c r="E20" s="65" t="s">
        <v>78</v>
      </c>
      <c r="F20" s="62" t="s">
        <v>31</v>
      </c>
      <c r="G20" s="49">
        <v>0</v>
      </c>
      <c r="H20" s="139">
        <f>IF(B$27=0,0,G20/B$27)</f>
        <v>0</v>
      </c>
      <c r="I20" s="100">
        <v>4</v>
      </c>
      <c r="K20" s="40">
        <v>18</v>
      </c>
      <c r="L20" s="105">
        <v>-30.300000000000008</v>
      </c>
      <c r="N20" s="122" t="s">
        <v>133</v>
      </c>
      <c r="O20" s="132">
        <f>IF(Q20=0,0,P20/Q20)</f>
        <v>-0.1720344749376275</v>
      </c>
      <c r="P20" s="126">
        <v>151.69999999999999</v>
      </c>
      <c r="Q20" s="114">
        <v>-881.80000000000041</v>
      </c>
    </row>
    <row r="21" spans="1:17" x14ac:dyDescent="0.4">
      <c r="A21" s="57" t="s">
        <v>5</v>
      </c>
      <c r="B21" s="53">
        <f>IF(B$17=0,0,C21/B$17)</f>
        <v>9329.6296296296296</v>
      </c>
      <c r="C21" s="43">
        <v>1259500</v>
      </c>
      <c r="E21" s="65" t="s">
        <v>80</v>
      </c>
      <c r="F21" s="62" t="s">
        <v>33</v>
      </c>
      <c r="G21" s="49">
        <v>0</v>
      </c>
      <c r="H21" s="139">
        <f>IF(B$27=0,0,G21/B$27)</f>
        <v>0</v>
      </c>
      <c r="I21" s="100">
        <v>1</v>
      </c>
      <c r="K21" s="40">
        <v>19</v>
      </c>
      <c r="L21" s="105">
        <v>17.699999999999992</v>
      </c>
      <c r="N21" s="122" t="s">
        <v>135</v>
      </c>
      <c r="O21" s="132">
        <f>IF(Q21=0,0,P21/Q21)</f>
        <v>-12.666666666666663</v>
      </c>
      <c r="P21" s="126">
        <v>-26.599999999999998</v>
      </c>
      <c r="Q21" s="114">
        <v>2.1000000000000005</v>
      </c>
    </row>
    <row r="22" spans="1:17" x14ac:dyDescent="0.4">
      <c r="A22" s="59" t="s">
        <v>14</v>
      </c>
      <c r="B22" s="54">
        <f>IF(B$20=0,0,C22/B$20)</f>
        <v>-10007.446808510638</v>
      </c>
      <c r="C22" s="47">
        <v>-940700</v>
      </c>
      <c r="E22" s="65" t="s">
        <v>81</v>
      </c>
      <c r="F22" s="62" t="s">
        <v>34</v>
      </c>
      <c r="G22" s="49">
        <v>0</v>
      </c>
      <c r="H22" s="139">
        <f>IF(B$27=0,0,G22/B$27)</f>
        <v>0</v>
      </c>
      <c r="I22" s="100">
        <v>6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53">
        <v>6</v>
      </c>
      <c r="C23" s="154"/>
      <c r="E23" s="65" t="s">
        <v>84</v>
      </c>
      <c r="F23" s="62" t="s">
        <v>37</v>
      </c>
      <c r="G23" s="49">
        <v>0</v>
      </c>
      <c r="H23" s="139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51">
        <v>103200</v>
      </c>
      <c r="C24" s="152"/>
      <c r="E24" s="65" t="s">
        <v>85</v>
      </c>
      <c r="F24" s="62" t="s">
        <v>38</v>
      </c>
      <c r="G24" s="49">
        <v>0</v>
      </c>
      <c r="H24" s="139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3.8986354775828458E-3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3">
        <v>333</v>
      </c>
      <c r="C26" s="144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7">
        <v>84</v>
      </c>
      <c r="C27" s="158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4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3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5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682DB-DD35-4C71-8721-95600EE81ACE}">
  <sheetPr codeName="Sheet21"/>
  <dimension ref="A1:Q10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137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107</v>
      </c>
      <c r="C2" s="144"/>
      <c r="E2" s="64" t="s">
        <v>71</v>
      </c>
      <c r="F2" s="61" t="s">
        <v>25</v>
      </c>
      <c r="G2" s="48">
        <v>182</v>
      </c>
      <c r="H2" s="138">
        <f>IF(B$27=0,0,G2/B$27)</f>
        <v>0.8878048780487805</v>
      </c>
      <c r="I2" s="99">
        <v>7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1830.4761904761904</v>
      </c>
      <c r="P2" s="125">
        <v>105</v>
      </c>
      <c r="Q2" s="109">
        <v>192200</v>
      </c>
    </row>
    <row r="3" spans="1:17" x14ac:dyDescent="0.4">
      <c r="A3" s="57" t="s">
        <v>8</v>
      </c>
      <c r="B3" s="145">
        <v>804</v>
      </c>
      <c r="C3" s="146"/>
      <c r="E3" s="65" t="s">
        <v>69</v>
      </c>
      <c r="F3" s="62" t="s">
        <v>23</v>
      </c>
      <c r="G3" s="49">
        <v>159</v>
      </c>
      <c r="H3" s="139">
        <f>IF(B$27=0,0,G3/B$27)</f>
        <v>0.775609756097561</v>
      </c>
      <c r="I3" s="100">
        <v>4</v>
      </c>
      <c r="K3" s="40">
        <v>1</v>
      </c>
      <c r="L3" s="105">
        <v>-36.700000000000003</v>
      </c>
      <c r="N3" s="122" t="s">
        <v>148</v>
      </c>
      <c r="O3" s="129">
        <f t="shared" si="0"/>
        <v>432.32323232323233</v>
      </c>
      <c r="P3" s="126">
        <v>99</v>
      </c>
      <c r="Q3" s="110">
        <v>42800</v>
      </c>
    </row>
    <row r="4" spans="1:17" x14ac:dyDescent="0.4">
      <c r="A4" s="57" t="s">
        <v>6</v>
      </c>
      <c r="B4" s="147">
        <v>234.69999999999985</v>
      </c>
      <c r="C4" s="148"/>
      <c r="E4" s="65" t="s">
        <v>76</v>
      </c>
      <c r="F4" s="62" t="s">
        <v>29</v>
      </c>
      <c r="G4" s="49">
        <v>116</v>
      </c>
      <c r="H4" s="139">
        <f>IF(B$27=0,0,G4/B$27)</f>
        <v>0.56585365853658531</v>
      </c>
      <c r="I4" s="100">
        <v>8</v>
      </c>
      <c r="K4" s="40">
        <v>2</v>
      </c>
      <c r="L4" s="105">
        <v>-45.300000000000004</v>
      </c>
      <c r="N4" s="122" t="s">
        <v>149</v>
      </c>
      <c r="O4" s="129">
        <f t="shared" si="0"/>
        <v>61.53846153846154</v>
      </c>
      <c r="P4" s="126">
        <v>91</v>
      </c>
      <c r="Q4" s="110">
        <v>5600</v>
      </c>
    </row>
    <row r="5" spans="1:17" x14ac:dyDescent="0.4">
      <c r="A5" s="57" t="s">
        <v>7</v>
      </c>
      <c r="B5" s="149">
        <f>IF(B$2=0,0,B$4/B$2)</f>
        <v>2.1934579439252322</v>
      </c>
      <c r="C5" s="150"/>
      <c r="E5" s="65" t="s">
        <v>67</v>
      </c>
      <c r="F5" s="62" t="s">
        <v>21</v>
      </c>
      <c r="G5" s="49">
        <v>115</v>
      </c>
      <c r="H5" s="139">
        <f>IF(B$27=0,0,G5/B$27)</f>
        <v>0.56097560975609762</v>
      </c>
      <c r="I5" s="100">
        <v>6</v>
      </c>
      <c r="K5" s="40">
        <v>3</v>
      </c>
      <c r="L5" s="105">
        <v>-81.7</v>
      </c>
      <c r="N5" s="122" t="s">
        <v>150</v>
      </c>
      <c r="O5" s="129">
        <f t="shared" si="0"/>
        <v>-1644.7058823529412</v>
      </c>
      <c r="P5" s="126">
        <v>85</v>
      </c>
      <c r="Q5" s="110">
        <v>-139800</v>
      </c>
    </row>
    <row r="6" spans="1:17" x14ac:dyDescent="0.4">
      <c r="A6" s="57" t="s">
        <v>1</v>
      </c>
      <c r="B6" s="155">
        <f>IF(B$2=0,0,(B$7*1+B$8*2+B$9*3)/B$2)</f>
        <v>1.9345794392523366</v>
      </c>
      <c r="C6" s="156"/>
      <c r="E6" s="65" t="s">
        <v>70</v>
      </c>
      <c r="F6" s="62" t="s">
        <v>24</v>
      </c>
      <c r="G6" s="49">
        <v>78</v>
      </c>
      <c r="H6" s="139">
        <f>IF(B$27=0,0,G6/B$27)</f>
        <v>0.38048780487804879</v>
      </c>
      <c r="I6" s="100">
        <v>3</v>
      </c>
      <c r="K6" s="40">
        <v>4</v>
      </c>
      <c r="L6" s="105">
        <v>-114.30000000000001</v>
      </c>
      <c r="N6" s="122" t="s">
        <v>151</v>
      </c>
      <c r="O6" s="129">
        <f t="shared" si="0"/>
        <v>1071.2328767123288</v>
      </c>
      <c r="P6" s="126">
        <v>73</v>
      </c>
      <c r="Q6" s="110">
        <v>78200</v>
      </c>
    </row>
    <row r="7" spans="1:17" x14ac:dyDescent="0.4">
      <c r="A7" s="57" t="s">
        <v>2</v>
      </c>
      <c r="B7" s="49">
        <v>40</v>
      </c>
      <c r="C7" s="41">
        <f>IF(B$2=0,0,B7/B$2)</f>
        <v>0.37383177570093457</v>
      </c>
      <c r="E7" s="65" t="s">
        <v>72</v>
      </c>
      <c r="F7" s="62" t="s">
        <v>12</v>
      </c>
      <c r="G7" s="49">
        <v>66</v>
      </c>
      <c r="H7" s="139">
        <f>IF(B$27=0,0,G7/B$27)</f>
        <v>0.32195121951219513</v>
      </c>
      <c r="I7" s="100">
        <v>5</v>
      </c>
      <c r="K7" s="40">
        <v>5</v>
      </c>
      <c r="L7" s="105">
        <v>-136.30000000000001</v>
      </c>
      <c r="N7" s="123" t="s">
        <v>152</v>
      </c>
      <c r="O7" s="130">
        <f t="shared" si="0"/>
        <v>241.93548387096774</v>
      </c>
      <c r="P7" s="127">
        <v>62</v>
      </c>
      <c r="Q7" s="111">
        <v>15000</v>
      </c>
    </row>
    <row r="8" spans="1:17" x14ac:dyDescent="0.4">
      <c r="A8" s="57" t="s">
        <v>3</v>
      </c>
      <c r="B8" s="49">
        <v>34</v>
      </c>
      <c r="C8" s="41">
        <f>IF(B$2=0,0,B8/B$2)</f>
        <v>0.31775700934579437</v>
      </c>
      <c r="E8" s="65" t="s">
        <v>73</v>
      </c>
      <c r="F8" s="62" t="s">
        <v>26</v>
      </c>
      <c r="G8" s="49">
        <v>40</v>
      </c>
      <c r="H8" s="139">
        <f>IF(B$27=0,0,G8/B$27)</f>
        <v>0.1951219512195122</v>
      </c>
      <c r="I8" s="100">
        <v>2</v>
      </c>
      <c r="K8" s="40">
        <v>6</v>
      </c>
      <c r="L8" s="105">
        <v>-100.80000000000001</v>
      </c>
      <c r="N8" s="45"/>
      <c r="O8" s="134"/>
      <c r="P8" s="118"/>
      <c r="Q8" s="116"/>
    </row>
    <row r="9" spans="1:17" x14ac:dyDescent="0.4">
      <c r="A9" s="58" t="s">
        <v>4</v>
      </c>
      <c r="B9" s="50">
        <v>33</v>
      </c>
      <c r="C9" s="42">
        <f t="shared" ref="C9" si="1">IF(B$2=0,0,B9/B$2)</f>
        <v>0.30841121495327101</v>
      </c>
      <c r="E9" s="65" t="s">
        <v>94</v>
      </c>
      <c r="F9" s="62" t="s">
        <v>47</v>
      </c>
      <c r="G9" s="49">
        <v>33</v>
      </c>
      <c r="H9" s="139">
        <f>IF(B$27=0,0,G9/B$27)</f>
        <v>0.16097560975609757</v>
      </c>
      <c r="I9" s="100">
        <v>6</v>
      </c>
      <c r="K9" s="40">
        <v>7</v>
      </c>
      <c r="L9" s="105">
        <v>-106.20000000000002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12</v>
      </c>
      <c r="C10" s="42">
        <f>IF(B$2=0,0,B10/B$2)</f>
        <v>0.11214953271028037</v>
      </c>
      <c r="E10" s="65" t="s">
        <v>68</v>
      </c>
      <c r="F10" s="62" t="s">
        <v>22</v>
      </c>
      <c r="G10" s="49">
        <v>24</v>
      </c>
      <c r="H10" s="139">
        <f>IF(B$27=0,0,G10/B$27)</f>
        <v>0.11707317073170732</v>
      </c>
      <c r="I10" s="100">
        <v>6</v>
      </c>
      <c r="K10" s="40">
        <v>8</v>
      </c>
      <c r="L10" s="105">
        <v>-52.300000000000018</v>
      </c>
      <c r="N10" s="121" t="s">
        <v>253</v>
      </c>
      <c r="O10" s="131">
        <f>IF(P10=0,0,Q10/P10)</f>
        <v>5.2041666666666648</v>
      </c>
      <c r="P10" s="125">
        <v>48</v>
      </c>
      <c r="Q10" s="113">
        <v>249.79999999999993</v>
      </c>
    </row>
    <row r="11" spans="1:17" x14ac:dyDescent="0.4">
      <c r="A11" s="58" t="s">
        <v>155</v>
      </c>
      <c r="B11" s="50">
        <v>18</v>
      </c>
      <c r="C11" s="42">
        <f>IF(B$2=0,0,B11/B$2)</f>
        <v>0.16822429906542055</v>
      </c>
      <c r="E11" s="65" t="s">
        <v>74</v>
      </c>
      <c r="F11" s="62" t="s">
        <v>27</v>
      </c>
      <c r="G11" s="49">
        <v>18</v>
      </c>
      <c r="H11" s="139">
        <f>IF(B$27=0,0,G11/B$27)</f>
        <v>8.7804878048780483E-2</v>
      </c>
      <c r="I11" s="100">
        <v>8</v>
      </c>
      <c r="K11" s="40">
        <v>9</v>
      </c>
      <c r="L11" s="105">
        <v>-53.500000000000021</v>
      </c>
      <c r="N11" s="122" t="s">
        <v>254</v>
      </c>
      <c r="O11" s="132">
        <f>IF(P11=0,0,Q11/P11)</f>
        <v>-5.6709677419354838</v>
      </c>
      <c r="P11" s="126">
        <v>31</v>
      </c>
      <c r="Q11" s="114">
        <v>-175.8</v>
      </c>
    </row>
    <row r="12" spans="1:17" x14ac:dyDescent="0.4">
      <c r="A12" s="59" t="s">
        <v>239</v>
      </c>
      <c r="B12" s="51">
        <v>11</v>
      </c>
      <c r="C12" s="44">
        <f>IF(B$2=0,0,B12/B$2)</f>
        <v>0.10280373831775701</v>
      </c>
      <c r="E12" s="65" t="s">
        <v>75</v>
      </c>
      <c r="F12" s="62" t="s">
        <v>28</v>
      </c>
      <c r="G12" s="49">
        <v>13</v>
      </c>
      <c r="H12" s="139">
        <f>IF(B$27=0,0,G12/B$27)</f>
        <v>6.3414634146341464E-2</v>
      </c>
      <c r="I12" s="100">
        <v>3</v>
      </c>
      <c r="K12" s="40">
        <v>10</v>
      </c>
      <c r="L12" s="105">
        <v>-72.800000000000026</v>
      </c>
      <c r="N12" s="123" t="s">
        <v>255</v>
      </c>
      <c r="O12" s="133">
        <f>IF(P12=0,0,Q12/P12)</f>
        <v>4.8461538461538458</v>
      </c>
      <c r="P12" s="127">
        <v>26</v>
      </c>
      <c r="Q12" s="115">
        <v>126</v>
      </c>
    </row>
    <row r="13" spans="1:17" x14ac:dyDescent="0.4">
      <c r="A13" s="60" t="s">
        <v>128</v>
      </c>
      <c r="B13" s="52">
        <v>211</v>
      </c>
      <c r="C13" s="46">
        <f>IF(B$26=0,0,B13/B$26)</f>
        <v>0.3112094395280236</v>
      </c>
      <c r="E13" s="65" t="s">
        <v>82</v>
      </c>
      <c r="F13" s="62" t="s">
        <v>35</v>
      </c>
      <c r="G13" s="49">
        <v>12</v>
      </c>
      <c r="H13" s="139">
        <f>IF(B$27=0,0,G13/B$27)</f>
        <v>5.8536585365853662E-2</v>
      </c>
      <c r="I13" s="100">
        <v>2</v>
      </c>
      <c r="K13" s="40">
        <v>11</v>
      </c>
      <c r="L13" s="105">
        <v>-69.800000000000026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148</v>
      </c>
      <c r="C14" s="41">
        <f>IF(B$26=0,0,B14/B$26)</f>
        <v>0.21828908554572271</v>
      </c>
      <c r="E14" s="65" t="s">
        <v>91</v>
      </c>
      <c r="F14" s="62" t="s">
        <v>44</v>
      </c>
      <c r="G14" s="49">
        <v>9</v>
      </c>
      <c r="H14" s="139">
        <f>IF(B$27=0,0,G14/B$27)</f>
        <v>4.3902439024390241E-2</v>
      </c>
      <c r="I14" s="100">
        <v>11</v>
      </c>
      <c r="K14" s="40">
        <v>12</v>
      </c>
      <c r="L14" s="105">
        <v>-54.300000000000026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117</v>
      </c>
      <c r="C15" s="39">
        <f>IF(B$13=0,0,B15/B$13)</f>
        <v>0.5545023696682464</v>
      </c>
      <c r="E15" s="65" t="s">
        <v>86</v>
      </c>
      <c r="F15" s="62" t="s">
        <v>39</v>
      </c>
      <c r="G15" s="49">
        <v>7</v>
      </c>
      <c r="H15" s="139">
        <f>IF(B$27=0,0,G15/B$27)</f>
        <v>3.4146341463414637E-2</v>
      </c>
      <c r="I15" s="100">
        <v>4</v>
      </c>
      <c r="K15" s="40">
        <v>13</v>
      </c>
      <c r="L15" s="105">
        <v>-43.200000000000024</v>
      </c>
      <c r="N15" s="121" t="s">
        <v>139</v>
      </c>
      <c r="O15" s="131">
        <f>IF(Q15=0,0,P15/Q15)</f>
        <v>0.23395578450311227</v>
      </c>
      <c r="P15" s="125">
        <v>109</v>
      </c>
      <c r="Q15" s="113">
        <v>465.9</v>
      </c>
    </row>
    <row r="16" spans="1:17" x14ac:dyDescent="0.4">
      <c r="A16" s="56" t="s">
        <v>131</v>
      </c>
      <c r="B16" s="48">
        <v>57</v>
      </c>
      <c r="C16" s="39">
        <f>IF(B$14=0,0,B16/B$14)</f>
        <v>0.38513513513513514</v>
      </c>
      <c r="E16" s="65" t="s">
        <v>88</v>
      </c>
      <c r="F16" s="62" t="s">
        <v>41</v>
      </c>
      <c r="G16" s="49">
        <v>6</v>
      </c>
      <c r="H16" s="139">
        <f>IF(B$27=0,0,G16/B$27)</f>
        <v>2.9268292682926831E-2</v>
      </c>
      <c r="I16" s="100">
        <v>9</v>
      </c>
      <c r="K16" s="40">
        <v>14</v>
      </c>
      <c r="L16" s="105">
        <v>-50.400000000000027</v>
      </c>
      <c r="N16" s="122" t="s">
        <v>134</v>
      </c>
      <c r="O16" s="132">
        <f>IF(Q16=0,0,P16/Q16)</f>
        <v>5.1124744376278133E-2</v>
      </c>
      <c r="P16" s="126">
        <v>27.5</v>
      </c>
      <c r="Q16" s="114">
        <v>537.89999999999986</v>
      </c>
    </row>
    <row r="17" spans="1:17" x14ac:dyDescent="0.4">
      <c r="A17" s="56" t="s">
        <v>10</v>
      </c>
      <c r="B17" s="48">
        <f>B19+B18</f>
        <v>242</v>
      </c>
      <c r="C17" s="39">
        <f>IF(B$3=0,0,B17/B$3)</f>
        <v>0.30099502487562191</v>
      </c>
      <c r="E17" s="65" t="s">
        <v>77</v>
      </c>
      <c r="F17" s="62" t="s">
        <v>30</v>
      </c>
      <c r="G17" s="49">
        <v>3</v>
      </c>
      <c r="H17" s="139">
        <f>IF(B$27=0,0,G17/B$27)</f>
        <v>1.4634146341463415E-2</v>
      </c>
      <c r="I17" s="100">
        <v>3</v>
      </c>
      <c r="K17" s="40">
        <v>15</v>
      </c>
      <c r="L17" s="105">
        <v>23.89999999999997</v>
      </c>
      <c r="N17" s="122" t="s">
        <v>157</v>
      </c>
      <c r="O17" s="132">
        <f>IF(Q17=0,0,P17/Q17)</f>
        <v>-0.25208526413345694</v>
      </c>
      <c r="P17" s="126">
        <v>-54.4</v>
      </c>
      <c r="Q17" s="114">
        <v>215.79999999999995</v>
      </c>
    </row>
    <row r="18" spans="1:17" x14ac:dyDescent="0.4">
      <c r="A18" s="57" t="s">
        <v>12</v>
      </c>
      <c r="B18" s="49">
        <v>108</v>
      </c>
      <c r="C18" s="41">
        <f>IF(B$17=0,0,B18/B$17)</f>
        <v>0.4462809917355372</v>
      </c>
      <c r="E18" s="65" t="s">
        <v>96</v>
      </c>
      <c r="F18" s="62" t="s">
        <v>49</v>
      </c>
      <c r="G18" s="49">
        <v>3</v>
      </c>
      <c r="H18" s="139">
        <f>IF(B$27=0,0,G18/B$27)</f>
        <v>1.4634146341463415E-2</v>
      </c>
      <c r="I18" s="100">
        <v>8</v>
      </c>
      <c r="K18" s="40">
        <v>16</v>
      </c>
      <c r="L18" s="105">
        <v>58.89999999999997</v>
      </c>
      <c r="N18" s="122" t="s">
        <v>133</v>
      </c>
      <c r="O18" s="132">
        <f>IF(Q18=0,0,P18/Q18)</f>
        <v>-0.30262671106178318</v>
      </c>
      <c r="P18" s="126">
        <v>81.8</v>
      </c>
      <c r="Q18" s="114">
        <v>-270.3</v>
      </c>
    </row>
    <row r="19" spans="1:17" x14ac:dyDescent="0.4">
      <c r="A19" s="57" t="s">
        <v>11</v>
      </c>
      <c r="B19" s="49">
        <v>134</v>
      </c>
      <c r="C19" s="41">
        <f>IF(B$17=0,0,B19/B$17)</f>
        <v>0.55371900826446285</v>
      </c>
      <c r="E19" s="65" t="s">
        <v>81</v>
      </c>
      <c r="F19" s="62" t="s">
        <v>34</v>
      </c>
      <c r="G19" s="49">
        <v>2</v>
      </c>
      <c r="H19" s="139">
        <f>IF(B$27=0,0,G19/B$27)</f>
        <v>9.7560975609756097E-3</v>
      </c>
      <c r="I19" s="100">
        <v>2</v>
      </c>
      <c r="K19" s="40">
        <v>17</v>
      </c>
      <c r="L19" s="105">
        <v>58.599999999999973</v>
      </c>
      <c r="N19" s="122" t="s">
        <v>135</v>
      </c>
      <c r="O19" s="132">
        <f>IF(Q19=0,0,P19/Q19)</f>
        <v>-0.50788643533123012</v>
      </c>
      <c r="P19" s="126">
        <v>96.6</v>
      </c>
      <c r="Q19" s="114">
        <v>-190.20000000000005</v>
      </c>
    </row>
    <row r="20" spans="1:17" x14ac:dyDescent="0.4">
      <c r="A20" s="57" t="s">
        <v>13</v>
      </c>
      <c r="B20" s="49">
        <v>131</v>
      </c>
      <c r="C20" s="41">
        <f>IF(B$3=0,0,B20/B$3)</f>
        <v>0.16293532338308458</v>
      </c>
      <c r="E20" s="65" t="s">
        <v>83</v>
      </c>
      <c r="F20" s="62" t="s">
        <v>36</v>
      </c>
      <c r="G20" s="49">
        <v>2</v>
      </c>
      <c r="H20" s="139">
        <f>IF(B$27=0,0,G20/B$27)</f>
        <v>9.7560975609756097E-3</v>
      </c>
      <c r="I20" s="100">
        <v>10</v>
      </c>
      <c r="K20" s="40">
        <v>18</v>
      </c>
      <c r="L20" s="105">
        <v>122.59999999999997</v>
      </c>
      <c r="N20" s="122" t="s">
        <v>138</v>
      </c>
      <c r="O20" s="132">
        <f>IF(Q20=0,0,P20/Q20)</f>
        <v>-0.52016129032258074</v>
      </c>
      <c r="P20" s="126">
        <v>12.9</v>
      </c>
      <c r="Q20" s="114">
        <v>-24.799999999999997</v>
      </c>
    </row>
    <row r="21" spans="1:17" x14ac:dyDescent="0.4">
      <c r="A21" s="57" t="s">
        <v>5</v>
      </c>
      <c r="B21" s="53">
        <f>IF(B$17=0,0,C21/B$17)</f>
        <v>10558.677685950413</v>
      </c>
      <c r="C21" s="43">
        <v>2555200</v>
      </c>
      <c r="E21" s="65" t="s">
        <v>98</v>
      </c>
      <c r="F21" s="62" t="s">
        <v>51</v>
      </c>
      <c r="G21" s="49">
        <v>2</v>
      </c>
      <c r="H21" s="139">
        <f>IF(B$27=0,0,G21/B$27)</f>
        <v>9.7560975609756097E-3</v>
      </c>
      <c r="I21" s="100">
        <v>2</v>
      </c>
      <c r="K21" s="40">
        <v>19</v>
      </c>
      <c r="L21" s="105">
        <v>125.69999999999996</v>
      </c>
      <c r="N21" s="122" t="s">
        <v>194</v>
      </c>
      <c r="O21" s="132">
        <f>IF(Q21=0,0,P21/Q21)</f>
        <v>-2.3773584905660372</v>
      </c>
      <c r="P21" s="126">
        <v>-25.2</v>
      </c>
      <c r="Q21" s="114">
        <v>10.600000000000001</v>
      </c>
    </row>
    <row r="22" spans="1:17" x14ac:dyDescent="0.4">
      <c r="A22" s="59" t="s">
        <v>14</v>
      </c>
      <c r="B22" s="54">
        <f>IF(B$20=0,0,C22/B$20)</f>
        <v>-9217.5572519083962</v>
      </c>
      <c r="C22" s="47">
        <v>-1207500</v>
      </c>
      <c r="E22" s="65" t="s">
        <v>78</v>
      </c>
      <c r="F22" s="62" t="s">
        <v>31</v>
      </c>
      <c r="G22" s="49">
        <v>1</v>
      </c>
      <c r="H22" s="139">
        <f>IF(B$27=0,0,G22/B$27)</f>
        <v>4.8780487804878049E-3</v>
      </c>
      <c r="I22" s="100">
        <v>1</v>
      </c>
      <c r="K22" s="40">
        <v>20</v>
      </c>
      <c r="L22" s="105">
        <v>126.89999999999996</v>
      </c>
      <c r="N22" s="122" t="s">
        <v>136</v>
      </c>
      <c r="O22" s="132">
        <f>IF(Q22=0,0,P22/Q22)</f>
        <v>-39.421052631578831</v>
      </c>
      <c r="P22" s="126">
        <v>-74.900000000000006</v>
      </c>
      <c r="Q22" s="114">
        <v>1.9000000000000057</v>
      </c>
    </row>
    <row r="23" spans="1:17" x14ac:dyDescent="0.4">
      <c r="A23" s="96" t="s">
        <v>158</v>
      </c>
      <c r="B23" s="153">
        <v>9</v>
      </c>
      <c r="C23" s="154"/>
      <c r="E23" s="65" t="s">
        <v>79</v>
      </c>
      <c r="F23" s="62" t="s">
        <v>32</v>
      </c>
      <c r="G23" s="49">
        <v>1</v>
      </c>
      <c r="H23" s="139">
        <f>IF(B$27=0,0,G23/B$27)</f>
        <v>4.8780487804878049E-3</v>
      </c>
      <c r="I23" s="100">
        <v>5</v>
      </c>
      <c r="K23" s="40">
        <v>21</v>
      </c>
      <c r="L23" s="105">
        <v>129.69999999999996</v>
      </c>
    </row>
    <row r="24" spans="1:17" x14ac:dyDescent="0.4">
      <c r="A24" s="60" t="s">
        <v>199</v>
      </c>
      <c r="B24" s="151">
        <v>109300</v>
      </c>
      <c r="C24" s="152"/>
      <c r="E24" s="65" t="s">
        <v>89</v>
      </c>
      <c r="F24" s="62" t="s">
        <v>42</v>
      </c>
      <c r="G24" s="49">
        <v>1</v>
      </c>
      <c r="H24" s="139">
        <f>IF(B$27=0,0,G24/B$27)</f>
        <v>4.8780487804878049E-3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3.7313432835820895E-3</v>
      </c>
      <c r="E25" s="65" t="s">
        <v>80</v>
      </c>
      <c r="F25" s="62" t="s">
        <v>33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3">
        <v>678</v>
      </c>
      <c r="C26" s="144"/>
      <c r="E26" s="65" t="s">
        <v>84</v>
      </c>
      <c r="F26" s="62" t="s">
        <v>37</v>
      </c>
      <c r="G26" s="49">
        <v>0</v>
      </c>
      <c r="H26" s="139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7">
        <v>205</v>
      </c>
      <c r="C27" s="158"/>
      <c r="E27" s="65" t="s">
        <v>85</v>
      </c>
      <c r="F27" s="62" t="s">
        <v>38</v>
      </c>
      <c r="G27" s="49">
        <v>0</v>
      </c>
      <c r="H27" s="139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39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39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39">
        <f>IF(B$27=0,0,G30/B$27)</f>
        <v>0</v>
      </c>
      <c r="I30" s="100">
        <v>4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39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39">
        <f>IF(B$27=0,0,G32/B$27)</f>
        <v>0</v>
      </c>
      <c r="I32" s="100">
        <v>3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39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DDE0A-949C-4591-AEFC-56706BBD2750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138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32</v>
      </c>
      <c r="C2" s="144"/>
      <c r="E2" s="64" t="s">
        <v>71</v>
      </c>
      <c r="F2" s="61" t="s">
        <v>25</v>
      </c>
      <c r="G2" s="48">
        <v>43</v>
      </c>
      <c r="H2" s="138">
        <f>IF(B$27=0,0,G2/B$27)</f>
        <v>0.97727272727272729</v>
      </c>
      <c r="I2" s="99">
        <v>2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543.75</v>
      </c>
      <c r="P2" s="125">
        <v>32</v>
      </c>
      <c r="Q2" s="109">
        <v>17400</v>
      </c>
    </row>
    <row r="3" spans="1:17" x14ac:dyDescent="0.4">
      <c r="A3" s="57" t="s">
        <v>8</v>
      </c>
      <c r="B3" s="145">
        <v>262</v>
      </c>
      <c r="C3" s="146"/>
      <c r="E3" s="65" t="s">
        <v>67</v>
      </c>
      <c r="F3" s="62" t="s">
        <v>21</v>
      </c>
      <c r="G3" s="49">
        <v>30</v>
      </c>
      <c r="H3" s="139">
        <f>IF(B$27=0,0,G3/B$27)</f>
        <v>0.68181818181818177</v>
      </c>
      <c r="I3" s="100">
        <v>1</v>
      </c>
      <c r="K3" s="40">
        <v>1</v>
      </c>
      <c r="L3" s="105">
        <v>-14.4</v>
      </c>
      <c r="N3" s="122" t="s">
        <v>148</v>
      </c>
      <c r="O3" s="129">
        <f t="shared" si="0"/>
        <v>2250</v>
      </c>
      <c r="P3" s="126">
        <v>30</v>
      </c>
      <c r="Q3" s="110">
        <v>67500</v>
      </c>
    </row>
    <row r="4" spans="1:17" x14ac:dyDescent="0.4">
      <c r="A4" s="57" t="s">
        <v>6</v>
      </c>
      <c r="B4" s="147">
        <v>8.2000000000000242</v>
      </c>
      <c r="C4" s="148"/>
      <c r="E4" s="65" t="s">
        <v>70</v>
      </c>
      <c r="F4" s="62" t="s">
        <v>24</v>
      </c>
      <c r="G4" s="49">
        <v>24</v>
      </c>
      <c r="H4" s="139">
        <f>IF(B$27=0,0,G4/B$27)</f>
        <v>0.54545454545454541</v>
      </c>
      <c r="I4" s="100">
        <v>1</v>
      </c>
      <c r="K4" s="40">
        <v>2</v>
      </c>
      <c r="L4" s="105">
        <v>37.6</v>
      </c>
      <c r="N4" s="122" t="s">
        <v>149</v>
      </c>
      <c r="O4" s="129">
        <f t="shared" si="0"/>
        <v>-900</v>
      </c>
      <c r="P4" s="126">
        <v>27</v>
      </c>
      <c r="Q4" s="110">
        <v>-24300</v>
      </c>
    </row>
    <row r="5" spans="1:17" x14ac:dyDescent="0.4">
      <c r="A5" s="57" t="s">
        <v>7</v>
      </c>
      <c r="B5" s="149">
        <f>IF(B$2=0,0,B$4/B$2)</f>
        <v>0.25625000000000075</v>
      </c>
      <c r="C5" s="150"/>
      <c r="E5" s="65" t="s">
        <v>69</v>
      </c>
      <c r="F5" s="62" t="s">
        <v>23</v>
      </c>
      <c r="G5" s="49">
        <v>23</v>
      </c>
      <c r="H5" s="139">
        <f>IF(B$27=0,0,G5/B$27)</f>
        <v>0.52272727272727271</v>
      </c>
      <c r="I5" s="100">
        <v>12</v>
      </c>
      <c r="K5" s="40">
        <v>3</v>
      </c>
      <c r="L5" s="105">
        <v>-2.7999999999999972</v>
      </c>
      <c r="N5" s="122" t="s">
        <v>150</v>
      </c>
      <c r="O5" s="129">
        <f t="shared" si="0"/>
        <v>608</v>
      </c>
      <c r="P5" s="126">
        <v>25</v>
      </c>
      <c r="Q5" s="110">
        <v>15200</v>
      </c>
    </row>
    <row r="6" spans="1:17" x14ac:dyDescent="0.4">
      <c r="A6" s="57" t="s">
        <v>1</v>
      </c>
      <c r="B6" s="155">
        <f>IF(B$2=0,0,(B$7*1+B$8*2+B$9*3)/B$2)</f>
        <v>2.03125</v>
      </c>
      <c r="C6" s="156"/>
      <c r="E6" s="65" t="s">
        <v>76</v>
      </c>
      <c r="F6" s="62" t="s">
        <v>29</v>
      </c>
      <c r="G6" s="49">
        <v>19</v>
      </c>
      <c r="H6" s="139">
        <f>IF(B$27=0,0,G6/B$27)</f>
        <v>0.43181818181818182</v>
      </c>
      <c r="I6" s="100">
        <v>13</v>
      </c>
      <c r="K6" s="40">
        <v>4</v>
      </c>
      <c r="L6" s="105">
        <v>-44.3</v>
      </c>
      <c r="N6" s="122" t="s">
        <v>151</v>
      </c>
      <c r="O6" s="129">
        <f t="shared" si="0"/>
        <v>-1685.7142857142858</v>
      </c>
      <c r="P6" s="126">
        <v>21</v>
      </c>
      <c r="Q6" s="110">
        <v>-35400</v>
      </c>
    </row>
    <row r="7" spans="1:17" x14ac:dyDescent="0.4">
      <c r="A7" s="57" t="s">
        <v>2</v>
      </c>
      <c r="B7" s="49">
        <v>11</v>
      </c>
      <c r="C7" s="41">
        <f>IF(B$2=0,0,B7/B$2)</f>
        <v>0.34375</v>
      </c>
      <c r="E7" s="65" t="s">
        <v>72</v>
      </c>
      <c r="F7" s="62" t="s">
        <v>12</v>
      </c>
      <c r="G7" s="49">
        <v>17</v>
      </c>
      <c r="H7" s="139">
        <f>IF(B$27=0,0,G7/B$27)</f>
        <v>0.38636363636363635</v>
      </c>
      <c r="I7" s="100">
        <v>1</v>
      </c>
      <c r="K7" s="40">
        <v>5</v>
      </c>
      <c r="L7" s="105">
        <v>8.2000000000000028</v>
      </c>
      <c r="N7" s="123" t="s">
        <v>152</v>
      </c>
      <c r="O7" s="130">
        <f t="shared" si="0"/>
        <v>-1788.8888888888889</v>
      </c>
      <c r="P7" s="127">
        <v>18</v>
      </c>
      <c r="Q7" s="111">
        <v>-32200</v>
      </c>
    </row>
    <row r="8" spans="1:17" x14ac:dyDescent="0.4">
      <c r="A8" s="57" t="s">
        <v>3</v>
      </c>
      <c r="B8" s="49">
        <v>9</v>
      </c>
      <c r="C8" s="41">
        <f>IF(B$2=0,0,B8/B$2)</f>
        <v>0.28125</v>
      </c>
      <c r="E8" s="65" t="s">
        <v>68</v>
      </c>
      <c r="F8" s="62" t="s">
        <v>22</v>
      </c>
      <c r="G8" s="49">
        <v>7</v>
      </c>
      <c r="H8" s="139">
        <f>IF(B$27=0,0,G8/B$27)</f>
        <v>0.15909090909090909</v>
      </c>
      <c r="I8" s="100">
        <v>2</v>
      </c>
      <c r="K8" s="40">
        <v>6</v>
      </c>
      <c r="L8" s="105">
        <v>23.200000000000003</v>
      </c>
      <c r="N8" s="45"/>
      <c r="O8" s="134"/>
      <c r="P8" s="118"/>
      <c r="Q8" s="116"/>
    </row>
    <row r="9" spans="1:17" x14ac:dyDescent="0.4">
      <c r="A9" s="58" t="s">
        <v>4</v>
      </c>
      <c r="B9" s="50">
        <v>12</v>
      </c>
      <c r="C9" s="42">
        <f t="shared" ref="C9" si="1">IF(B$2=0,0,B9/B$2)</f>
        <v>0.375</v>
      </c>
      <c r="E9" s="65" t="s">
        <v>94</v>
      </c>
      <c r="F9" s="62" t="s">
        <v>47</v>
      </c>
      <c r="G9" s="49">
        <v>6</v>
      </c>
      <c r="H9" s="139">
        <f>IF(B$27=0,0,G9/B$27)</f>
        <v>0.13636363636363635</v>
      </c>
      <c r="I9" s="100">
        <v>9</v>
      </c>
      <c r="K9" s="40">
        <v>7</v>
      </c>
      <c r="L9" s="105">
        <v>40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0.1875</v>
      </c>
      <c r="E10" s="65" t="s">
        <v>73</v>
      </c>
      <c r="F10" s="62" t="s">
        <v>26</v>
      </c>
      <c r="G10" s="49">
        <v>5</v>
      </c>
      <c r="H10" s="139">
        <f>IF(B$27=0,0,G10/B$27)</f>
        <v>0.11363636363636363</v>
      </c>
      <c r="I10" s="100">
        <v>9</v>
      </c>
      <c r="K10" s="40">
        <v>8</v>
      </c>
      <c r="L10" s="105">
        <v>4.2000000000000028</v>
      </c>
      <c r="N10" s="121" t="s">
        <v>253</v>
      </c>
      <c r="O10" s="131">
        <f>IF(P10=0,0,Q10/P10)</f>
        <v>5.815384615384616</v>
      </c>
      <c r="P10" s="125">
        <v>13</v>
      </c>
      <c r="Q10" s="113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0.15625</v>
      </c>
      <c r="E11" s="65" t="s">
        <v>74</v>
      </c>
      <c r="F11" s="62" t="s">
        <v>27</v>
      </c>
      <c r="G11" s="49">
        <v>4</v>
      </c>
      <c r="H11" s="139">
        <f>IF(B$27=0,0,G11/B$27)</f>
        <v>9.0909090909090912E-2</v>
      </c>
      <c r="I11" s="100">
        <v>7</v>
      </c>
      <c r="K11" s="40">
        <v>9</v>
      </c>
      <c r="L11" s="105">
        <v>6.8000000000000025</v>
      </c>
      <c r="N11" s="122" t="s">
        <v>254</v>
      </c>
      <c r="O11" s="132">
        <f>IF(P11=0,0,Q11/P11)</f>
        <v>9.259999999999998</v>
      </c>
      <c r="P11" s="126">
        <v>10</v>
      </c>
      <c r="Q11" s="114">
        <v>92.59999999999998</v>
      </c>
    </row>
    <row r="12" spans="1:17" x14ac:dyDescent="0.4">
      <c r="A12" s="59" t="s">
        <v>239</v>
      </c>
      <c r="B12" s="51">
        <v>3</v>
      </c>
      <c r="C12" s="44">
        <f>IF(B$2=0,0,B12/B$2)</f>
        <v>9.375E-2</v>
      </c>
      <c r="E12" s="65" t="s">
        <v>75</v>
      </c>
      <c r="F12" s="62" t="s">
        <v>28</v>
      </c>
      <c r="G12" s="49">
        <v>2</v>
      </c>
      <c r="H12" s="139">
        <f>IF(B$27=0,0,G12/B$27)</f>
        <v>4.5454545454545456E-2</v>
      </c>
      <c r="I12" s="100">
        <v>7</v>
      </c>
      <c r="K12" s="40">
        <v>10</v>
      </c>
      <c r="L12" s="105">
        <v>56.800000000000004</v>
      </c>
      <c r="N12" s="123" t="s">
        <v>255</v>
      </c>
      <c r="O12" s="133">
        <f>IF(P12=0,0,Q12/P12)</f>
        <v>-17.777777777777779</v>
      </c>
      <c r="P12" s="127">
        <v>9</v>
      </c>
      <c r="Q12" s="115">
        <v>-160</v>
      </c>
    </row>
    <row r="13" spans="1:17" x14ac:dyDescent="0.4">
      <c r="A13" s="60" t="s">
        <v>128</v>
      </c>
      <c r="B13" s="52">
        <v>56</v>
      </c>
      <c r="C13" s="46">
        <f>IF(B$26=0,0,B13/B$26)</f>
        <v>0.31111111111111112</v>
      </c>
      <c r="E13" s="65" t="s">
        <v>82</v>
      </c>
      <c r="F13" s="62" t="s">
        <v>35</v>
      </c>
      <c r="G13" s="49">
        <v>2</v>
      </c>
      <c r="H13" s="139">
        <f>IF(B$27=0,0,G13/B$27)</f>
        <v>4.5454545454545456E-2</v>
      </c>
      <c r="I13" s="100">
        <v>4</v>
      </c>
      <c r="K13" s="40">
        <v>11</v>
      </c>
      <c r="L13" s="105">
        <v>69.300000000000011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37</v>
      </c>
      <c r="C14" s="41">
        <f>IF(B$26=0,0,B14/B$26)</f>
        <v>0.20555555555555555</v>
      </c>
      <c r="E14" s="65" t="s">
        <v>77</v>
      </c>
      <c r="F14" s="62" t="s">
        <v>30</v>
      </c>
      <c r="G14" s="49">
        <v>1</v>
      </c>
      <c r="H14" s="139">
        <f>IF(B$27=0,0,G14/B$27)</f>
        <v>2.2727272727272728E-2</v>
      </c>
      <c r="I14" s="100">
        <v>1</v>
      </c>
      <c r="K14" s="40">
        <v>12</v>
      </c>
      <c r="L14" s="105">
        <v>80.800000000000011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0.5178571428571429</v>
      </c>
      <c r="E15" s="65" t="s">
        <v>83</v>
      </c>
      <c r="F15" s="62" t="s">
        <v>36</v>
      </c>
      <c r="G15" s="49">
        <v>1</v>
      </c>
      <c r="H15" s="139">
        <f>IF(B$27=0,0,G15/B$27)</f>
        <v>2.2727272727272728E-2</v>
      </c>
      <c r="I15" s="100">
        <v>5</v>
      </c>
      <c r="K15" s="40">
        <v>13</v>
      </c>
      <c r="L15" s="105">
        <v>155.10000000000002</v>
      </c>
      <c r="N15" s="121" t="s">
        <v>133</v>
      </c>
      <c r="O15" s="131">
        <f>IF(Q15=0,0,P15/Q15)</f>
        <v>0.23361344537815126</v>
      </c>
      <c r="P15" s="125">
        <v>-41.7</v>
      </c>
      <c r="Q15" s="113">
        <v>-178.5</v>
      </c>
    </row>
    <row r="16" spans="1:17" x14ac:dyDescent="0.4">
      <c r="A16" s="56" t="s">
        <v>131</v>
      </c>
      <c r="B16" s="48">
        <v>8</v>
      </c>
      <c r="C16" s="39">
        <f>IF(B$14=0,0,B16/B$14)</f>
        <v>0.21621621621621623</v>
      </c>
      <c r="E16" s="65" t="s">
        <v>88</v>
      </c>
      <c r="F16" s="62" t="s">
        <v>41</v>
      </c>
      <c r="G16" s="49">
        <v>1</v>
      </c>
      <c r="H16" s="139">
        <f>IF(B$27=0,0,G16/B$27)</f>
        <v>2.2727272727272728E-2</v>
      </c>
      <c r="I16" s="100">
        <v>11</v>
      </c>
      <c r="K16" s="40">
        <v>14</v>
      </c>
      <c r="L16" s="105">
        <v>147.10000000000002</v>
      </c>
      <c r="N16" s="122" t="s">
        <v>136</v>
      </c>
      <c r="O16" s="132">
        <f>IF(Q16=0,0,P16/Q16)</f>
        <v>0.10956175298804782</v>
      </c>
      <c r="P16" s="126">
        <v>38.5</v>
      </c>
      <c r="Q16" s="114">
        <v>351.4</v>
      </c>
    </row>
    <row r="17" spans="1:17" x14ac:dyDescent="0.4">
      <c r="A17" s="56" t="s">
        <v>10</v>
      </c>
      <c r="B17" s="48">
        <f>B19+B18</f>
        <v>72</v>
      </c>
      <c r="C17" s="39">
        <f>IF(B$3=0,0,B17/B$3)</f>
        <v>0.27480916030534353</v>
      </c>
      <c r="E17" s="65" t="s">
        <v>91</v>
      </c>
      <c r="F17" s="62" t="s">
        <v>44</v>
      </c>
      <c r="G17" s="49">
        <v>1</v>
      </c>
      <c r="H17" s="139">
        <f>IF(B$27=0,0,G17/B$27)</f>
        <v>2.2727272727272728E-2</v>
      </c>
      <c r="I17" s="100">
        <v>13</v>
      </c>
      <c r="K17" s="40">
        <v>15</v>
      </c>
      <c r="L17" s="105">
        <v>148.80000000000001</v>
      </c>
      <c r="N17" s="122" t="s">
        <v>139</v>
      </c>
      <c r="O17" s="132">
        <f>IF(Q17=0,0,P17/Q17)</f>
        <v>5.6692913385826757E-2</v>
      </c>
      <c r="P17" s="126">
        <v>-3.5999999999999996</v>
      </c>
      <c r="Q17" s="114">
        <v>-63.500000000000007</v>
      </c>
    </row>
    <row r="18" spans="1:17" x14ac:dyDescent="0.4">
      <c r="A18" s="57" t="s">
        <v>12</v>
      </c>
      <c r="B18" s="49">
        <v>33</v>
      </c>
      <c r="C18" s="41">
        <f>IF(B$17=0,0,B18/B$17)</f>
        <v>0.45833333333333331</v>
      </c>
      <c r="E18" s="65" t="s">
        <v>96</v>
      </c>
      <c r="F18" s="62" t="s">
        <v>49</v>
      </c>
      <c r="G18" s="49">
        <v>1</v>
      </c>
      <c r="H18" s="139">
        <f>IF(B$27=0,0,G18/B$27)</f>
        <v>2.2727272727272728E-2</v>
      </c>
      <c r="I18" s="100">
        <v>3</v>
      </c>
      <c r="K18" s="40">
        <v>16</v>
      </c>
      <c r="L18" s="105">
        <v>152.30000000000001</v>
      </c>
      <c r="N18" s="122" t="s">
        <v>137</v>
      </c>
      <c r="O18" s="132">
        <f>IF(Q18=0,0,P18/Q18)</f>
        <v>-0.18283582089552242</v>
      </c>
      <c r="P18" s="126">
        <v>-4.9000000000000004</v>
      </c>
      <c r="Q18" s="114">
        <v>26.799999999999997</v>
      </c>
    </row>
    <row r="19" spans="1:17" x14ac:dyDescent="0.4">
      <c r="A19" s="57" t="s">
        <v>11</v>
      </c>
      <c r="B19" s="49">
        <v>39</v>
      </c>
      <c r="C19" s="41">
        <f>IF(B$17=0,0,B19/B$17)</f>
        <v>0.54166666666666663</v>
      </c>
      <c r="E19" s="65" t="s">
        <v>97</v>
      </c>
      <c r="F19" s="62" t="s">
        <v>50</v>
      </c>
      <c r="G19" s="49">
        <v>1</v>
      </c>
      <c r="H19" s="139">
        <f>IF(B$27=0,0,G19/B$27)</f>
        <v>2.2727272727272728E-2</v>
      </c>
      <c r="I19" s="100">
        <v>1</v>
      </c>
      <c r="K19" s="40">
        <v>17</v>
      </c>
      <c r="L19" s="105">
        <v>178.10000000000002</v>
      </c>
      <c r="N19" s="122" t="s">
        <v>250</v>
      </c>
      <c r="O19" s="132">
        <f>IF(Q19=0,0,P19/Q19)</f>
        <v>-1.3135391923990503</v>
      </c>
      <c r="P19" s="126">
        <v>-55.300000000000004</v>
      </c>
      <c r="Q19" s="114">
        <v>42.099999999999994</v>
      </c>
    </row>
    <row r="20" spans="1:17" x14ac:dyDescent="0.4">
      <c r="A20" s="57" t="s">
        <v>13</v>
      </c>
      <c r="B20" s="49">
        <v>45</v>
      </c>
      <c r="C20" s="41">
        <f>IF(B$3=0,0,B20/B$3)</f>
        <v>0.1717557251908397</v>
      </c>
      <c r="E20" s="65" t="s">
        <v>78</v>
      </c>
      <c r="F20" s="62" t="s">
        <v>31</v>
      </c>
      <c r="G20" s="49">
        <v>0</v>
      </c>
      <c r="H20" s="139">
        <f>IF(B$27=0,0,G20/B$27)</f>
        <v>0</v>
      </c>
      <c r="I20" s="100">
        <v>4</v>
      </c>
      <c r="K20" s="40">
        <v>18</v>
      </c>
      <c r="L20" s="105">
        <v>155.00000000000003</v>
      </c>
      <c r="N20" s="122" t="s">
        <v>134</v>
      </c>
      <c r="O20" s="132">
        <f>IF(Q20=0,0,P20/Q20)</f>
        <v>-1.4136546184738954</v>
      </c>
      <c r="P20" s="126">
        <v>35.200000000000003</v>
      </c>
      <c r="Q20" s="114">
        <v>-24.900000000000006</v>
      </c>
    </row>
    <row r="21" spans="1:17" x14ac:dyDescent="0.4">
      <c r="A21" s="57" t="s">
        <v>5</v>
      </c>
      <c r="B21" s="53">
        <f>IF(B$17=0,0,C21/B$17)</f>
        <v>11041.666666666666</v>
      </c>
      <c r="C21" s="43">
        <v>795000</v>
      </c>
      <c r="E21" s="65" t="s">
        <v>79</v>
      </c>
      <c r="F21" s="62" t="s">
        <v>32</v>
      </c>
      <c r="G21" s="49">
        <v>0</v>
      </c>
      <c r="H21" s="139">
        <f>IF(B$27=0,0,G21/B$27)</f>
        <v>0</v>
      </c>
      <c r="I21" s="100">
        <v>6</v>
      </c>
      <c r="K21" s="40">
        <v>19</v>
      </c>
      <c r="L21" s="105">
        <v>143.60000000000002</v>
      </c>
      <c r="N21" s="122" t="s">
        <v>135</v>
      </c>
      <c r="O21" s="132">
        <f>IF(Q21=0,0,P21/Q21)</f>
        <v>-34</v>
      </c>
      <c r="P21" s="126">
        <v>-34</v>
      </c>
      <c r="Q21" s="114">
        <v>1</v>
      </c>
    </row>
    <row r="22" spans="1:17" x14ac:dyDescent="0.4">
      <c r="A22" s="59" t="s">
        <v>14</v>
      </c>
      <c r="B22" s="54">
        <f>IF(B$20=0,0,C22/B$20)</f>
        <v>-8928.8888888888887</v>
      </c>
      <c r="C22" s="47">
        <v>-401800</v>
      </c>
      <c r="E22" s="65" t="s">
        <v>80</v>
      </c>
      <c r="F22" s="62" t="s">
        <v>33</v>
      </c>
      <c r="G22" s="49">
        <v>0</v>
      </c>
      <c r="H22" s="139">
        <f>IF(B$27=0,0,G22/B$27)</f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53">
        <v>7</v>
      </c>
      <c r="C23" s="154"/>
      <c r="E23" s="65" t="s">
        <v>81</v>
      </c>
      <c r="F23" s="62" t="s">
        <v>34</v>
      </c>
      <c r="G23" s="49">
        <v>0</v>
      </c>
      <c r="H23" s="139">
        <f>IF(B$27=0,0,G23/B$27)</f>
        <v>0</v>
      </c>
      <c r="I23" s="100">
        <v>6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51">
        <v>109300</v>
      </c>
      <c r="C24" s="152"/>
      <c r="E24" s="65" t="s">
        <v>84</v>
      </c>
      <c r="F24" s="62" t="s">
        <v>37</v>
      </c>
      <c r="G24" s="49">
        <v>0</v>
      </c>
      <c r="H24" s="139">
        <f>IF(B$27=0,0,G24/B$27)</f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39">
        <f>IF(B$27=0,0,G25/B$27)</f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3">
        <v>180</v>
      </c>
      <c r="C26" s="144"/>
      <c r="E26" s="65" t="s">
        <v>86</v>
      </c>
      <c r="F26" s="62" t="s">
        <v>39</v>
      </c>
      <c r="G26" s="49">
        <v>0</v>
      </c>
      <c r="H26" s="139">
        <f>IF(B$27=0,0,G26/B$27)</f>
        <v>0</v>
      </c>
      <c r="I26" s="100">
        <v>9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7">
        <v>44</v>
      </c>
      <c r="C27" s="158"/>
      <c r="E27" s="65" t="s">
        <v>87</v>
      </c>
      <c r="F27" s="62" t="s">
        <v>40</v>
      </c>
      <c r="G27" s="49">
        <v>0</v>
      </c>
      <c r="H27" s="139">
        <f>IF(B$27=0,0,G27/B$27)</f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39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39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39">
        <f>IF(B$27=0,0,G30/B$27)</f>
        <v>0</v>
      </c>
      <c r="I30" s="100">
        <v>4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39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39">
        <f>IF(B$27=0,0,G32/B$27)</f>
        <v>0</v>
      </c>
      <c r="I32" s="100">
        <v>3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5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5DF1E-09D5-4CA1-86CE-6E86055398AD}">
  <sheetPr codeName="Sheet25"/>
  <dimension ref="A1:Q11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139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110</v>
      </c>
      <c r="C2" s="144"/>
      <c r="E2" s="64" t="s">
        <v>71</v>
      </c>
      <c r="F2" s="61" t="s">
        <v>25</v>
      </c>
      <c r="G2" s="48">
        <v>221</v>
      </c>
      <c r="H2" s="138">
        <f>IF(B$27=0,0,G2/B$27)</f>
        <v>0.92083333333333328</v>
      </c>
      <c r="I2" s="99">
        <v>4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-1894.3396226415093</v>
      </c>
      <c r="P2" s="125">
        <v>106</v>
      </c>
      <c r="Q2" s="109">
        <v>-200800</v>
      </c>
    </row>
    <row r="3" spans="1:17" x14ac:dyDescent="0.4">
      <c r="A3" s="57" t="s">
        <v>8</v>
      </c>
      <c r="B3" s="145">
        <v>853</v>
      </c>
      <c r="C3" s="146"/>
      <c r="E3" s="65" t="s">
        <v>69</v>
      </c>
      <c r="F3" s="62" t="s">
        <v>23</v>
      </c>
      <c r="G3" s="49">
        <v>191</v>
      </c>
      <c r="H3" s="139">
        <f>IF(B$27=0,0,G3/B$27)</f>
        <v>0.79583333333333328</v>
      </c>
      <c r="I3" s="100">
        <v>3</v>
      </c>
      <c r="K3" s="40">
        <v>1</v>
      </c>
      <c r="L3" s="105">
        <v>3.9</v>
      </c>
      <c r="N3" s="122" t="s">
        <v>148</v>
      </c>
      <c r="O3" s="129">
        <f t="shared" si="0"/>
        <v>748.07692307692309</v>
      </c>
      <c r="P3" s="126">
        <v>104</v>
      </c>
      <c r="Q3" s="110">
        <v>77800</v>
      </c>
    </row>
    <row r="4" spans="1:17" x14ac:dyDescent="0.4">
      <c r="A4" s="57" t="s">
        <v>6</v>
      </c>
      <c r="B4" s="147">
        <v>-447.99999999999994</v>
      </c>
      <c r="C4" s="148"/>
      <c r="E4" s="65" t="s">
        <v>76</v>
      </c>
      <c r="F4" s="62" t="s">
        <v>29</v>
      </c>
      <c r="G4" s="49">
        <v>146</v>
      </c>
      <c r="H4" s="139">
        <f>IF(B$27=0,0,G4/B$27)</f>
        <v>0.60833333333333328</v>
      </c>
      <c r="I4" s="100">
        <v>6</v>
      </c>
      <c r="K4" s="40">
        <v>2</v>
      </c>
      <c r="L4" s="105">
        <v>-33.9</v>
      </c>
      <c r="N4" s="122" t="s">
        <v>149</v>
      </c>
      <c r="O4" s="129">
        <f t="shared" si="0"/>
        <v>-568.36734693877554</v>
      </c>
      <c r="P4" s="126">
        <v>98</v>
      </c>
      <c r="Q4" s="110">
        <v>-55700</v>
      </c>
    </row>
    <row r="5" spans="1:17" x14ac:dyDescent="0.4">
      <c r="A5" s="57" t="s">
        <v>7</v>
      </c>
      <c r="B5" s="149">
        <f>IF(B$2=0,0,B$4/B$2)</f>
        <v>-4.0727272727272723</v>
      </c>
      <c r="C5" s="150"/>
      <c r="E5" s="65" t="s">
        <v>67</v>
      </c>
      <c r="F5" s="62" t="s">
        <v>21</v>
      </c>
      <c r="G5" s="49">
        <v>145</v>
      </c>
      <c r="H5" s="139">
        <f>IF(B$27=0,0,G5/B$27)</f>
        <v>0.60416666666666663</v>
      </c>
      <c r="I5" s="100">
        <v>5</v>
      </c>
      <c r="K5" s="40">
        <v>3</v>
      </c>
      <c r="L5" s="105">
        <v>-70.099999999999994</v>
      </c>
      <c r="N5" s="122" t="s">
        <v>150</v>
      </c>
      <c r="O5" s="129">
        <f t="shared" si="0"/>
        <v>-338.88888888888891</v>
      </c>
      <c r="P5" s="126">
        <v>90</v>
      </c>
      <c r="Q5" s="110">
        <v>-30500</v>
      </c>
    </row>
    <row r="6" spans="1:17" x14ac:dyDescent="0.4">
      <c r="A6" s="57" t="s">
        <v>1</v>
      </c>
      <c r="B6" s="155">
        <f>IF(B$2=0,0,(B$7*1+B$8*2+B$9*3)/B$2)</f>
        <v>2.1727272727272728</v>
      </c>
      <c r="C6" s="156"/>
      <c r="E6" s="65" t="s">
        <v>70</v>
      </c>
      <c r="F6" s="62" t="s">
        <v>24</v>
      </c>
      <c r="G6" s="49">
        <v>85</v>
      </c>
      <c r="H6" s="139">
        <f>IF(B$27=0,0,G6/B$27)</f>
        <v>0.35416666666666669</v>
      </c>
      <c r="I6" s="100">
        <v>5</v>
      </c>
      <c r="K6" s="40">
        <v>4</v>
      </c>
      <c r="L6" s="105">
        <v>-35.099999999999994</v>
      </c>
      <c r="N6" s="122" t="s">
        <v>151</v>
      </c>
      <c r="O6" s="129">
        <f t="shared" si="0"/>
        <v>-2524.0963855421687</v>
      </c>
      <c r="P6" s="126">
        <v>83</v>
      </c>
      <c r="Q6" s="110">
        <v>-209500</v>
      </c>
    </row>
    <row r="7" spans="1:17" x14ac:dyDescent="0.4">
      <c r="A7" s="57" t="s">
        <v>2</v>
      </c>
      <c r="B7" s="49">
        <v>28</v>
      </c>
      <c r="C7" s="41">
        <f>IF(B$2=0,0,B7/B$2)</f>
        <v>0.25454545454545452</v>
      </c>
      <c r="E7" s="65" t="s">
        <v>72</v>
      </c>
      <c r="F7" s="62" t="s">
        <v>12</v>
      </c>
      <c r="G7" s="49">
        <v>78</v>
      </c>
      <c r="H7" s="139">
        <f>IF(B$27=0,0,G7/B$27)</f>
        <v>0.32500000000000001</v>
      </c>
      <c r="I7" s="100">
        <v>4</v>
      </c>
      <c r="K7" s="40">
        <v>5</v>
      </c>
      <c r="L7" s="105">
        <v>-80.099999999999994</v>
      </c>
      <c r="N7" s="123" t="s">
        <v>152</v>
      </c>
      <c r="O7" s="130">
        <f t="shared" si="0"/>
        <v>1276.9230769230769</v>
      </c>
      <c r="P7" s="127">
        <v>65</v>
      </c>
      <c r="Q7" s="111">
        <v>83000</v>
      </c>
    </row>
    <row r="8" spans="1:17" x14ac:dyDescent="0.4">
      <c r="A8" s="57" t="s">
        <v>3</v>
      </c>
      <c r="B8" s="49">
        <v>35</v>
      </c>
      <c r="C8" s="41">
        <f>IF(B$2=0,0,B8/B$2)</f>
        <v>0.31818181818181818</v>
      </c>
      <c r="E8" s="65" t="s">
        <v>73</v>
      </c>
      <c r="F8" s="62" t="s">
        <v>26</v>
      </c>
      <c r="G8" s="49">
        <v>38</v>
      </c>
      <c r="H8" s="139">
        <f>IF(B$27=0,0,G8/B$27)</f>
        <v>0.15833333333333333</v>
      </c>
      <c r="I8" s="100">
        <v>3</v>
      </c>
      <c r="K8" s="40">
        <v>6</v>
      </c>
      <c r="L8" s="105">
        <v>-116.1</v>
      </c>
      <c r="N8" s="45"/>
      <c r="O8" s="134"/>
      <c r="P8" s="118"/>
      <c r="Q8" s="116"/>
    </row>
    <row r="9" spans="1:17" x14ac:dyDescent="0.4">
      <c r="A9" s="58" t="s">
        <v>4</v>
      </c>
      <c r="B9" s="50">
        <v>47</v>
      </c>
      <c r="C9" s="42">
        <f t="shared" ref="C9" si="1">IF(B$2=0,0,B9/B$2)</f>
        <v>0.42727272727272725</v>
      </c>
      <c r="E9" s="65" t="s">
        <v>94</v>
      </c>
      <c r="F9" s="62" t="s">
        <v>47</v>
      </c>
      <c r="G9" s="49">
        <v>31</v>
      </c>
      <c r="H9" s="139">
        <f>IF(B$27=0,0,G9/B$27)</f>
        <v>0.12916666666666668</v>
      </c>
      <c r="I9" s="100">
        <v>10</v>
      </c>
      <c r="K9" s="40">
        <v>7</v>
      </c>
      <c r="L9" s="105">
        <v>-147.4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0.20909090909090908</v>
      </c>
      <c r="E10" s="65" t="s">
        <v>74</v>
      </c>
      <c r="F10" s="62" t="s">
        <v>27</v>
      </c>
      <c r="G10" s="49">
        <v>30</v>
      </c>
      <c r="H10" s="139">
        <f>IF(B$27=0,0,G10/B$27)</f>
        <v>0.125</v>
      </c>
      <c r="I10" s="100">
        <v>4</v>
      </c>
      <c r="K10" s="40">
        <v>8</v>
      </c>
      <c r="L10" s="105">
        <v>-146</v>
      </c>
      <c r="N10" s="121" t="s">
        <v>253</v>
      </c>
      <c r="O10" s="131">
        <f>IF(P10=0,0,Q10/P10)</f>
        <v>-12.197368421052635</v>
      </c>
      <c r="P10" s="125">
        <v>38</v>
      </c>
      <c r="Q10" s="113">
        <v>-463.50000000000011</v>
      </c>
    </row>
    <row r="11" spans="1:17" x14ac:dyDescent="0.4">
      <c r="A11" s="58" t="s">
        <v>155</v>
      </c>
      <c r="B11" s="50">
        <v>16</v>
      </c>
      <c r="C11" s="42">
        <f>IF(B$2=0,0,B11/B$2)</f>
        <v>0.14545454545454545</v>
      </c>
      <c r="E11" s="65" t="s">
        <v>68</v>
      </c>
      <c r="F11" s="62" t="s">
        <v>22</v>
      </c>
      <c r="G11" s="49">
        <v>22</v>
      </c>
      <c r="H11" s="139">
        <f>IF(B$27=0,0,G11/B$27)</f>
        <v>9.166666666666666E-2</v>
      </c>
      <c r="I11" s="100">
        <v>10</v>
      </c>
      <c r="K11" s="40">
        <v>9</v>
      </c>
      <c r="L11" s="105">
        <v>-173</v>
      </c>
      <c r="N11" s="122" t="s">
        <v>254</v>
      </c>
      <c r="O11" s="132">
        <f>IF(P11=0,0,Q11/P11)</f>
        <v>3.513157894736842</v>
      </c>
      <c r="P11" s="126">
        <v>38</v>
      </c>
      <c r="Q11" s="114">
        <v>133.5</v>
      </c>
    </row>
    <row r="12" spans="1:17" x14ac:dyDescent="0.4">
      <c r="A12" s="59" t="s">
        <v>239</v>
      </c>
      <c r="B12" s="51">
        <v>11</v>
      </c>
      <c r="C12" s="44">
        <f>IF(B$2=0,0,B12/B$2)</f>
        <v>0.1</v>
      </c>
      <c r="E12" s="65" t="s">
        <v>91</v>
      </c>
      <c r="F12" s="62" t="s">
        <v>44</v>
      </c>
      <c r="G12" s="49">
        <v>20</v>
      </c>
      <c r="H12" s="139">
        <f>IF(B$27=0,0,G12/B$27)</f>
        <v>8.3333333333333329E-2</v>
      </c>
      <c r="I12" s="100">
        <v>5</v>
      </c>
      <c r="K12" s="40">
        <v>10</v>
      </c>
      <c r="L12" s="105">
        <v>-206.1</v>
      </c>
      <c r="N12" s="123" t="s">
        <v>255</v>
      </c>
      <c r="O12" s="133">
        <f>IF(P12=0,0,Q12/P12)</f>
        <v>-0.1838709677419354</v>
      </c>
      <c r="P12" s="127">
        <v>31</v>
      </c>
      <c r="Q12" s="115">
        <v>-5.6999999999999975</v>
      </c>
    </row>
    <row r="13" spans="1:17" x14ac:dyDescent="0.4">
      <c r="A13" s="60" t="s">
        <v>128</v>
      </c>
      <c r="B13" s="52">
        <v>249</v>
      </c>
      <c r="C13" s="46">
        <f>IF(B$26=0,0,B13/B$26)</f>
        <v>0.30514705882352944</v>
      </c>
      <c r="E13" s="65" t="s">
        <v>82</v>
      </c>
      <c r="F13" s="62" t="s">
        <v>35</v>
      </c>
      <c r="G13" s="49">
        <v>10</v>
      </c>
      <c r="H13" s="139">
        <f>IF(B$27=0,0,G13/B$27)</f>
        <v>4.1666666666666664E-2</v>
      </c>
      <c r="I13" s="100">
        <v>5</v>
      </c>
      <c r="K13" s="40">
        <v>11</v>
      </c>
      <c r="L13" s="105">
        <v>-174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165</v>
      </c>
      <c r="C14" s="41">
        <f>IF(B$26=0,0,B14/B$26)</f>
        <v>0.20220588235294118</v>
      </c>
      <c r="E14" s="65" t="s">
        <v>88</v>
      </c>
      <c r="F14" s="62" t="s">
        <v>41</v>
      </c>
      <c r="G14" s="49">
        <v>8</v>
      </c>
      <c r="H14" s="139">
        <f>IF(B$27=0,0,G14/B$27)</f>
        <v>3.3333333333333333E-2</v>
      </c>
      <c r="I14" s="100">
        <v>7</v>
      </c>
      <c r="K14" s="40">
        <v>12</v>
      </c>
      <c r="L14" s="105">
        <v>-197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149</v>
      </c>
      <c r="C15" s="39">
        <f>IF(B$13=0,0,B15/B$13)</f>
        <v>0.59839357429718876</v>
      </c>
      <c r="E15" s="65" t="s">
        <v>75</v>
      </c>
      <c r="F15" s="62" t="s">
        <v>28</v>
      </c>
      <c r="G15" s="49">
        <v>7</v>
      </c>
      <c r="H15" s="139">
        <f>IF(B$27=0,0,G15/B$27)</f>
        <v>2.9166666666666667E-2</v>
      </c>
      <c r="I15" s="100">
        <v>10</v>
      </c>
      <c r="K15" s="40">
        <v>13</v>
      </c>
      <c r="L15" s="105">
        <v>-235</v>
      </c>
      <c r="N15" s="121" t="s">
        <v>138</v>
      </c>
      <c r="O15" s="131">
        <f>IF(Q15=0,0,P15/Q15)</f>
        <v>0.11603053435114503</v>
      </c>
      <c r="P15" s="125">
        <v>7.6</v>
      </c>
      <c r="Q15" s="113">
        <v>65.5</v>
      </c>
    </row>
    <row r="16" spans="1:17" x14ac:dyDescent="0.4">
      <c r="A16" s="56" t="s">
        <v>131</v>
      </c>
      <c r="B16" s="48">
        <v>63</v>
      </c>
      <c r="C16" s="39">
        <f>IF(B$14=0,0,B16/B$14)</f>
        <v>0.38181818181818183</v>
      </c>
      <c r="E16" s="65" t="s">
        <v>86</v>
      </c>
      <c r="F16" s="62" t="s">
        <v>39</v>
      </c>
      <c r="G16" s="49">
        <v>6</v>
      </c>
      <c r="H16" s="139">
        <f>IF(B$27=0,0,G16/B$27)</f>
        <v>2.5000000000000001E-2</v>
      </c>
      <c r="I16" s="100">
        <v>6</v>
      </c>
      <c r="K16" s="40">
        <v>14</v>
      </c>
      <c r="L16" s="105">
        <v>-231</v>
      </c>
      <c r="N16" s="122" t="s">
        <v>157</v>
      </c>
      <c r="O16" s="132">
        <f>IF(Q16=0,0,P16/Q16)</f>
        <v>0.10375391032325337</v>
      </c>
      <c r="P16" s="126">
        <v>19.899999999999999</v>
      </c>
      <c r="Q16" s="114">
        <v>191.8</v>
      </c>
    </row>
    <row r="17" spans="1:17" x14ac:dyDescent="0.4">
      <c r="A17" s="56" t="s">
        <v>10</v>
      </c>
      <c r="B17" s="48">
        <f>B19+B18</f>
        <v>250</v>
      </c>
      <c r="C17" s="39">
        <f>IF(B$3=0,0,B17/B$3)</f>
        <v>0.29308323563892147</v>
      </c>
      <c r="E17" s="65" t="s">
        <v>77</v>
      </c>
      <c r="F17" s="62" t="s">
        <v>30</v>
      </c>
      <c r="G17" s="49">
        <v>4</v>
      </c>
      <c r="H17" s="139">
        <f>IF(B$27=0,0,G17/B$27)</f>
        <v>1.6666666666666666E-2</v>
      </c>
      <c r="I17" s="100">
        <v>2</v>
      </c>
      <c r="K17" s="40">
        <v>15</v>
      </c>
      <c r="L17" s="105">
        <v>-212.5</v>
      </c>
      <c r="N17" s="122" t="s">
        <v>137</v>
      </c>
      <c r="O17" s="132">
        <f>IF(Q17=0,0,P17/Q17)</f>
        <v>7.1136020694115121E-2</v>
      </c>
      <c r="P17" s="126">
        <v>-33</v>
      </c>
      <c r="Q17" s="114">
        <v>-463.9</v>
      </c>
    </row>
    <row r="18" spans="1:17" x14ac:dyDescent="0.4">
      <c r="A18" s="57" t="s">
        <v>12</v>
      </c>
      <c r="B18" s="49">
        <v>112</v>
      </c>
      <c r="C18" s="41">
        <f>IF(B$17=0,0,B18/B$17)</f>
        <v>0.44800000000000001</v>
      </c>
      <c r="E18" s="65" t="s">
        <v>96</v>
      </c>
      <c r="F18" s="62" t="s">
        <v>49</v>
      </c>
      <c r="G18" s="49">
        <v>4</v>
      </c>
      <c r="H18" s="139">
        <f>IF(B$27=0,0,G18/B$27)</f>
        <v>1.6666666666666666E-2</v>
      </c>
      <c r="I18" s="100">
        <v>6</v>
      </c>
      <c r="K18" s="40">
        <v>16</v>
      </c>
      <c r="L18" s="105">
        <v>-233.2</v>
      </c>
      <c r="N18" s="122" t="s">
        <v>133</v>
      </c>
      <c r="O18" s="132">
        <f>IF(Q18=0,0,P18/Q18)</f>
        <v>-8.3452132909310223E-2</v>
      </c>
      <c r="P18" s="126">
        <v>76.099999999999994</v>
      </c>
      <c r="Q18" s="114">
        <v>-911.9</v>
      </c>
    </row>
    <row r="19" spans="1:17" x14ac:dyDescent="0.4">
      <c r="A19" s="57" t="s">
        <v>11</v>
      </c>
      <c r="B19" s="49">
        <v>138</v>
      </c>
      <c r="C19" s="41">
        <f>IF(B$17=0,0,B19/B$17)</f>
        <v>0.55200000000000005</v>
      </c>
      <c r="E19" s="65" t="s">
        <v>79</v>
      </c>
      <c r="F19" s="62" t="s">
        <v>32</v>
      </c>
      <c r="G19" s="49">
        <v>3</v>
      </c>
      <c r="H19" s="139">
        <f>IF(B$27=0,0,G19/B$27)</f>
        <v>1.2500000000000001E-2</v>
      </c>
      <c r="I19" s="100">
        <v>1</v>
      </c>
      <c r="K19" s="40">
        <v>17</v>
      </c>
      <c r="L19" s="105">
        <v>-268.7</v>
      </c>
      <c r="N19" s="122" t="s">
        <v>136</v>
      </c>
      <c r="O19" s="132">
        <f>IF(Q19=0,0,P19/Q19)</f>
        <v>-8.9627391742195375E-2</v>
      </c>
      <c r="P19" s="126">
        <v>8.8999999999999986</v>
      </c>
      <c r="Q19" s="114">
        <v>-99.299999999999983</v>
      </c>
    </row>
    <row r="20" spans="1:17" x14ac:dyDescent="0.4">
      <c r="A20" s="57" t="s">
        <v>13</v>
      </c>
      <c r="B20" s="49">
        <v>177</v>
      </c>
      <c r="C20" s="41">
        <f>IF(B$3=0,0,B20/B$3)</f>
        <v>0.20750293083235638</v>
      </c>
      <c r="E20" s="65" t="s">
        <v>83</v>
      </c>
      <c r="F20" s="62" t="s">
        <v>36</v>
      </c>
      <c r="G20" s="49">
        <v>3</v>
      </c>
      <c r="H20" s="139">
        <f>IF(B$27=0,0,G20/B$27)</f>
        <v>1.2500000000000001E-2</v>
      </c>
      <c r="I20" s="100">
        <v>8</v>
      </c>
      <c r="K20" s="40">
        <v>18</v>
      </c>
      <c r="L20" s="105">
        <v>-295.8</v>
      </c>
      <c r="N20" s="122" t="s">
        <v>135</v>
      </c>
      <c r="O20" s="132">
        <f>IF(Q20=0,0,P20/Q20)</f>
        <v>-0.26472411655300693</v>
      </c>
      <c r="P20" s="126">
        <v>-42.7</v>
      </c>
      <c r="Q20" s="114">
        <v>161.29999999999995</v>
      </c>
    </row>
    <row r="21" spans="1:17" x14ac:dyDescent="0.4">
      <c r="A21" s="57" t="s">
        <v>5</v>
      </c>
      <c r="B21" s="53">
        <f>IF(B$17=0,0,C21/B$17)</f>
        <v>10658</v>
      </c>
      <c r="C21" s="43">
        <v>2664500</v>
      </c>
      <c r="E21" s="65" t="s">
        <v>98</v>
      </c>
      <c r="F21" s="62" t="s">
        <v>51</v>
      </c>
      <c r="G21" s="49">
        <v>2</v>
      </c>
      <c r="H21" s="139">
        <f>IF(B$27=0,0,G21/B$27)</f>
        <v>8.3333333333333332E-3</v>
      </c>
      <c r="I21" s="100">
        <v>3</v>
      </c>
      <c r="K21" s="40">
        <v>19</v>
      </c>
      <c r="L21" s="105">
        <v>-273.2</v>
      </c>
      <c r="N21" s="122" t="s">
        <v>134</v>
      </c>
      <c r="O21" s="132">
        <f>IF(Q21=0,0,P21/Q21)</f>
        <v>-0.35690235690235683</v>
      </c>
      <c r="P21" s="126">
        <v>63.599999999999994</v>
      </c>
      <c r="Q21" s="114">
        <v>-178.20000000000002</v>
      </c>
    </row>
    <row r="22" spans="1:17" x14ac:dyDescent="0.4">
      <c r="A22" s="59" t="s">
        <v>14</v>
      </c>
      <c r="B22" s="54">
        <f>IF(B$20=0,0,C22/B$20)</f>
        <v>-9602.2598870056499</v>
      </c>
      <c r="C22" s="47">
        <v>-1699600</v>
      </c>
      <c r="E22" s="65" t="s">
        <v>81</v>
      </c>
      <c r="F22" s="62" t="s">
        <v>34</v>
      </c>
      <c r="G22" s="49">
        <v>1</v>
      </c>
      <c r="H22" s="139">
        <f>IF(B$27=0,0,G22/B$27)</f>
        <v>4.1666666666666666E-3</v>
      </c>
      <c r="I22" s="100">
        <v>5</v>
      </c>
      <c r="K22" s="40">
        <v>20</v>
      </c>
      <c r="L22" s="105">
        <v>-270</v>
      </c>
      <c r="N22" s="122" t="s">
        <v>194</v>
      </c>
      <c r="O22" s="132">
        <f>IF(Q22=0,0,P22/Q22)</f>
        <v>-0.40227272727272728</v>
      </c>
      <c r="P22" s="126">
        <v>-35.4</v>
      </c>
      <c r="Q22" s="114">
        <v>88</v>
      </c>
    </row>
    <row r="23" spans="1:17" x14ac:dyDescent="0.4">
      <c r="A23" s="96" t="s">
        <v>158</v>
      </c>
      <c r="B23" s="153">
        <v>7</v>
      </c>
      <c r="C23" s="154"/>
      <c r="E23" s="65" t="s">
        <v>89</v>
      </c>
      <c r="F23" s="62" t="s">
        <v>42</v>
      </c>
      <c r="G23" s="49">
        <v>1</v>
      </c>
      <c r="H23" s="139">
        <f>IF(B$27=0,0,G23/B$27)</f>
        <v>4.1666666666666666E-3</v>
      </c>
      <c r="I23" s="100">
        <v>3</v>
      </c>
      <c r="K23" s="40">
        <v>21</v>
      </c>
      <c r="L23" s="105">
        <v>-242</v>
      </c>
      <c r="N23" s="122" t="s">
        <v>171</v>
      </c>
      <c r="O23" s="132">
        <f>IF(Q23=0,0,P23/Q23)</f>
        <v>-0.5038284839203675</v>
      </c>
      <c r="P23" s="126">
        <v>32.9</v>
      </c>
      <c r="Q23" s="114">
        <v>-65.3</v>
      </c>
    </row>
    <row r="24" spans="1:17" x14ac:dyDescent="0.4">
      <c r="A24" s="60" t="s">
        <v>199</v>
      </c>
      <c r="B24" s="151">
        <v>124700</v>
      </c>
      <c r="C24" s="152"/>
      <c r="E24" s="65" t="s">
        <v>90</v>
      </c>
      <c r="F24" s="62" t="s">
        <v>43</v>
      </c>
      <c r="G24" s="49">
        <v>1</v>
      </c>
      <c r="H24" s="139">
        <f>IF(B$27=0,0,G24/B$27)</f>
        <v>4.1666666666666666E-3</v>
      </c>
      <c r="I24" s="100">
        <v>3</v>
      </c>
      <c r="K24" s="40">
        <v>22</v>
      </c>
      <c r="L24" s="105">
        <v>-202.9</v>
      </c>
      <c r="N24" s="122" t="s">
        <v>167</v>
      </c>
      <c r="O24" s="132">
        <f>IF(Q24=0,0,P24/Q24)</f>
        <v>-0.62761506276150636</v>
      </c>
      <c r="P24" s="126">
        <v>15</v>
      </c>
      <c r="Q24" s="114">
        <v>-23.9</v>
      </c>
    </row>
    <row r="25" spans="1:17" x14ac:dyDescent="0.4">
      <c r="A25" s="59" t="s">
        <v>159</v>
      </c>
      <c r="B25" s="67">
        <v>7</v>
      </c>
      <c r="C25" s="44">
        <f>IF(B$3=0,0,B25/B$3)</f>
        <v>8.2063305978898014E-3</v>
      </c>
      <c r="E25" s="65" t="s">
        <v>97</v>
      </c>
      <c r="F25" s="62" t="s">
        <v>50</v>
      </c>
      <c r="G25" s="49">
        <v>1</v>
      </c>
      <c r="H25" s="139">
        <f>IF(B$27=0,0,G25/B$27)</f>
        <v>4.1666666666666666E-3</v>
      </c>
      <c r="I25" s="100">
        <v>6</v>
      </c>
      <c r="K25" s="40">
        <v>23</v>
      </c>
      <c r="L25" s="105">
        <v>-200.9</v>
      </c>
    </row>
    <row r="26" spans="1:17" x14ac:dyDescent="0.4">
      <c r="A26" s="56" t="s">
        <v>126</v>
      </c>
      <c r="B26" s="143">
        <v>816</v>
      </c>
      <c r="C26" s="144"/>
      <c r="E26" s="65" t="s">
        <v>78</v>
      </c>
      <c r="F26" s="62" t="s">
        <v>31</v>
      </c>
      <c r="G26" s="49">
        <v>0</v>
      </c>
      <c r="H26" s="139">
        <f>IF(B$27=0,0,G26/B$27)</f>
        <v>0</v>
      </c>
      <c r="I26" s="100">
        <v>4</v>
      </c>
      <c r="K26" s="40">
        <v>24</v>
      </c>
      <c r="L26" s="105">
        <v>-168.2</v>
      </c>
    </row>
    <row r="27" spans="1:17" x14ac:dyDescent="0.4">
      <c r="A27" s="59" t="s">
        <v>127</v>
      </c>
      <c r="B27" s="157">
        <v>240</v>
      </c>
      <c r="C27" s="158"/>
      <c r="E27" s="65" t="s">
        <v>80</v>
      </c>
      <c r="F27" s="62" t="s">
        <v>33</v>
      </c>
      <c r="G27" s="49">
        <v>0</v>
      </c>
      <c r="H27" s="139">
        <f>IF(B$27=0,0,G27/B$27)</f>
        <v>0</v>
      </c>
      <c r="I27" s="100">
        <v>1</v>
      </c>
      <c r="K27" s="40">
        <v>25</v>
      </c>
      <c r="L27" s="105">
        <v>-216.89999999999998</v>
      </c>
    </row>
    <row r="28" spans="1:17" x14ac:dyDescent="0.4">
      <c r="E28" s="65" t="s">
        <v>84</v>
      </c>
      <c r="F28" s="62" t="s">
        <v>37</v>
      </c>
      <c r="G28" s="49">
        <v>0</v>
      </c>
      <c r="H28" s="139">
        <f>IF(B$27=0,0,G28/B$27)</f>
        <v>0</v>
      </c>
      <c r="I28" s="100">
        <v>1</v>
      </c>
      <c r="K28" s="40">
        <v>26</v>
      </c>
      <c r="L28" s="105">
        <v>-256.29999999999995</v>
      </c>
    </row>
    <row r="29" spans="1:17" x14ac:dyDescent="0.4">
      <c r="E29" s="65" t="s">
        <v>85</v>
      </c>
      <c r="F29" s="62" t="s">
        <v>38</v>
      </c>
      <c r="G29" s="49">
        <v>0</v>
      </c>
      <c r="H29" s="139">
        <f>IF(B$27=0,0,G29/B$27)</f>
        <v>0</v>
      </c>
      <c r="I29" s="100">
        <v>3</v>
      </c>
      <c r="K29" s="40">
        <v>27</v>
      </c>
      <c r="L29" s="105">
        <v>-296.29999999999995</v>
      </c>
    </row>
    <row r="30" spans="1:17" x14ac:dyDescent="0.4">
      <c r="E30" s="65" t="s">
        <v>87</v>
      </c>
      <c r="F30" s="62" t="s">
        <v>40</v>
      </c>
      <c r="G30" s="49">
        <v>0</v>
      </c>
      <c r="H30" s="139">
        <f>IF(B$27=0,0,G30/B$27)</f>
        <v>0</v>
      </c>
      <c r="I30" s="100">
        <v>1</v>
      </c>
      <c r="K30" s="40">
        <v>28</v>
      </c>
      <c r="L30" s="105">
        <v>-290.19999999999993</v>
      </c>
    </row>
    <row r="31" spans="1:17" x14ac:dyDescent="0.4">
      <c r="E31" s="65" t="s">
        <v>92</v>
      </c>
      <c r="F31" s="62" t="s">
        <v>45</v>
      </c>
      <c r="G31" s="49">
        <v>0</v>
      </c>
      <c r="H31" s="139">
        <f>IF(B$27=0,0,G31/B$27)</f>
        <v>0</v>
      </c>
      <c r="I31" s="100">
        <v>4</v>
      </c>
      <c r="K31" s="40">
        <v>29</v>
      </c>
      <c r="L31" s="105">
        <v>-239.19999999999993</v>
      </c>
    </row>
    <row r="32" spans="1:17" x14ac:dyDescent="0.4">
      <c r="E32" s="65" t="s">
        <v>93</v>
      </c>
      <c r="F32" s="62" t="s">
        <v>46</v>
      </c>
      <c r="G32" s="49">
        <v>0</v>
      </c>
      <c r="H32" s="139">
        <f>IF(B$27=0,0,G32/B$27)</f>
        <v>0</v>
      </c>
      <c r="I32" s="100">
        <v>3</v>
      </c>
      <c r="K32" s="40">
        <v>30</v>
      </c>
      <c r="L32" s="105">
        <v>-257.29999999999995</v>
      </c>
    </row>
    <row r="33" spans="5:12" x14ac:dyDescent="0.4">
      <c r="E33" s="65" t="s">
        <v>95</v>
      </c>
      <c r="F33" s="62" t="s">
        <v>48</v>
      </c>
      <c r="G33" s="49">
        <v>0</v>
      </c>
      <c r="H33" s="139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F589F-534C-4396-A32E-A4404F32D6B9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194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6</v>
      </c>
      <c r="C2" s="144"/>
      <c r="E2" s="64" t="s">
        <v>67</v>
      </c>
      <c r="F2" s="61" t="s">
        <v>21</v>
      </c>
      <c r="G2" s="48">
        <v>12</v>
      </c>
      <c r="H2" s="138">
        <f>IF(B$27=0,0,G2/B$27)</f>
        <v>0.63157894736842102</v>
      </c>
      <c r="I2" s="99">
        <v>3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7650</v>
      </c>
      <c r="P2" s="125">
        <v>6</v>
      </c>
      <c r="Q2" s="109">
        <v>45900</v>
      </c>
    </row>
    <row r="3" spans="1:17" x14ac:dyDescent="0.4">
      <c r="A3" s="57" t="s">
        <v>8</v>
      </c>
      <c r="B3" s="145">
        <v>50</v>
      </c>
      <c r="C3" s="146"/>
      <c r="E3" s="65" t="s">
        <v>69</v>
      </c>
      <c r="F3" s="62" t="s">
        <v>23</v>
      </c>
      <c r="G3" s="49">
        <v>12</v>
      </c>
      <c r="H3" s="139">
        <f>IF(B$27=0,0,G3/B$27)</f>
        <v>0.63157894736842102</v>
      </c>
      <c r="I3" s="100">
        <v>11</v>
      </c>
      <c r="K3" s="40">
        <v>1</v>
      </c>
      <c r="L3" s="105">
        <v>28.3</v>
      </c>
      <c r="N3" s="122" t="s">
        <v>148</v>
      </c>
      <c r="O3" s="129">
        <f t="shared" si="0"/>
        <v>-6450</v>
      </c>
      <c r="P3" s="126">
        <v>6</v>
      </c>
      <c r="Q3" s="110">
        <v>-38700</v>
      </c>
    </row>
    <row r="4" spans="1:17" x14ac:dyDescent="0.4">
      <c r="A4" s="57" t="s">
        <v>6</v>
      </c>
      <c r="B4" s="147">
        <v>47</v>
      </c>
      <c r="C4" s="148"/>
      <c r="E4" s="65" t="s">
        <v>71</v>
      </c>
      <c r="F4" s="62" t="s">
        <v>25</v>
      </c>
      <c r="G4" s="49">
        <v>12</v>
      </c>
      <c r="H4" s="139">
        <f>IF(B$27=0,0,G4/B$27)</f>
        <v>0.63157894736842102</v>
      </c>
      <c r="I4" s="100">
        <v>12</v>
      </c>
      <c r="K4" s="40">
        <v>2</v>
      </c>
      <c r="L4" s="105">
        <v>71.3</v>
      </c>
      <c r="N4" s="122" t="s">
        <v>149</v>
      </c>
      <c r="O4" s="129">
        <f t="shared" si="0"/>
        <v>-1500</v>
      </c>
      <c r="P4" s="126">
        <v>6</v>
      </c>
      <c r="Q4" s="110">
        <v>-9000</v>
      </c>
    </row>
    <row r="5" spans="1:17" x14ac:dyDescent="0.4">
      <c r="A5" s="57" t="s">
        <v>7</v>
      </c>
      <c r="B5" s="149">
        <f>IF(B$2=0,0,B$4/B$2)</f>
        <v>7.833333333333333</v>
      </c>
      <c r="C5" s="150"/>
      <c r="E5" s="65" t="s">
        <v>76</v>
      </c>
      <c r="F5" s="62" t="s">
        <v>29</v>
      </c>
      <c r="G5" s="49">
        <v>10</v>
      </c>
      <c r="H5" s="139">
        <f>IF(B$27=0,0,G5/B$27)</f>
        <v>0.52631578947368418</v>
      </c>
      <c r="I5" s="100">
        <v>10</v>
      </c>
      <c r="K5" s="40">
        <v>3</v>
      </c>
      <c r="L5" s="105">
        <v>57.3</v>
      </c>
      <c r="N5" s="122" t="s">
        <v>150</v>
      </c>
      <c r="O5" s="129">
        <f t="shared" si="0"/>
        <v>10700</v>
      </c>
      <c r="P5" s="126">
        <v>4</v>
      </c>
      <c r="Q5" s="110">
        <v>42800</v>
      </c>
    </row>
    <row r="6" spans="1:17" x14ac:dyDescent="0.4">
      <c r="A6" s="57" t="s">
        <v>1</v>
      </c>
      <c r="B6" s="155">
        <f>IF(B$2=0,0,(B$7*1+B$8*2+B$9*3)/B$2)</f>
        <v>1.8333333333333333</v>
      </c>
      <c r="C6" s="156"/>
      <c r="E6" s="65" t="s">
        <v>70</v>
      </c>
      <c r="F6" s="62" t="s">
        <v>24</v>
      </c>
      <c r="G6" s="49">
        <v>7</v>
      </c>
      <c r="H6" s="139">
        <f>IF(B$27=0,0,G6/B$27)</f>
        <v>0.36842105263157893</v>
      </c>
      <c r="I6" s="100">
        <v>4</v>
      </c>
      <c r="K6" s="40">
        <v>4</v>
      </c>
      <c r="L6" s="105">
        <v>64.5</v>
      </c>
      <c r="N6" s="122" t="s">
        <v>151</v>
      </c>
      <c r="O6" s="129">
        <f t="shared" si="0"/>
        <v>-1000</v>
      </c>
      <c r="P6" s="126">
        <v>4</v>
      </c>
      <c r="Q6" s="110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9">
        <f>IF(B$27=0,0,G7/B$27)</f>
        <v>0.21052631578947367</v>
      </c>
      <c r="I7" s="100">
        <v>11</v>
      </c>
      <c r="K7" s="40">
        <v>5</v>
      </c>
      <c r="L7" s="105">
        <v>89</v>
      </c>
      <c r="N7" s="123" t="s">
        <v>152</v>
      </c>
      <c r="O7" s="130">
        <f t="shared" si="0"/>
        <v>2500</v>
      </c>
      <c r="P7" s="127">
        <v>4</v>
      </c>
      <c r="Q7" s="111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9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34"/>
      <c r="P8" s="118"/>
      <c r="Q8" s="116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9">
        <f>IF(B$27=0,0,G9/B$27)</f>
        <v>0.15789473684210525</v>
      </c>
      <c r="I9" s="100">
        <v>3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9">
        <f>IF(B$27=0,0,G10/B$27)</f>
        <v>0.15789473684210525</v>
      </c>
      <c r="I10" s="100">
        <v>4</v>
      </c>
      <c r="N10" s="121" t="s">
        <v>253</v>
      </c>
      <c r="O10" s="131">
        <f>IF(P10=0,0,Q10/P10)</f>
        <v>-6.85</v>
      </c>
      <c r="P10" s="125">
        <v>2</v>
      </c>
      <c r="Q10" s="113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9">
        <f>IF(B$27=0,0,G11/B$27)</f>
        <v>0.15789473684210525</v>
      </c>
      <c r="I11" s="100">
        <v>2</v>
      </c>
      <c r="N11" s="122" t="s">
        <v>254</v>
      </c>
      <c r="O11" s="132">
        <f>IF(P11=0,0,Q11/P11)</f>
        <v>0</v>
      </c>
      <c r="P11" s="126">
        <v>0</v>
      </c>
      <c r="Q11" s="114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9">
        <f>IF(B$27=0,0,G12/B$27)</f>
        <v>0.15789473684210525</v>
      </c>
      <c r="I12" s="100">
        <v>7</v>
      </c>
      <c r="N12" s="123" t="s">
        <v>255</v>
      </c>
      <c r="O12" s="133">
        <f>IF(P12=0,0,Q12/P12)</f>
        <v>15.175000000000001</v>
      </c>
      <c r="P12" s="127">
        <v>4</v>
      </c>
      <c r="Q12" s="115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39">
        <f>IF(B$27=0,0,G13/B$27)</f>
        <v>5.2631578947368418E-2</v>
      </c>
      <c r="I13" s="100">
        <v>4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39">
        <f>IF(B$27=0,0,G14/B$27)</f>
        <v>5.2631578947368418E-2</v>
      </c>
      <c r="I14" s="100">
        <v>1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7</v>
      </c>
      <c r="N15" s="121" t="s">
        <v>134</v>
      </c>
      <c r="O15" s="131">
        <f>IF(Q15=0,0,P15/Q15)</f>
        <v>1.2469135802469136</v>
      </c>
      <c r="P15" s="125">
        <v>50.5</v>
      </c>
      <c r="Q15" s="113">
        <v>40.5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4</v>
      </c>
      <c r="N16" s="122" t="s">
        <v>139</v>
      </c>
      <c r="O16" s="132">
        <f>IF(Q16=0,0,P16/Q16)</f>
        <v>-0.43488372093023253</v>
      </c>
      <c r="P16" s="126">
        <v>37.4</v>
      </c>
      <c r="Q16" s="114">
        <v>-86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6</v>
      </c>
      <c r="N17" s="122" t="s">
        <v>135</v>
      </c>
      <c r="O17" s="132">
        <f>IF(Q17=0,0,P17/Q17)</f>
        <v>-1.3450292397660817</v>
      </c>
      <c r="P17" s="126">
        <v>46</v>
      </c>
      <c r="Q17" s="114">
        <v>-34.200000000000003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2" t="s">
        <v>137</v>
      </c>
      <c r="O18" s="132">
        <f>IF(Q18=0,0,P18/Q18)</f>
        <v>-3.3953488372093017</v>
      </c>
      <c r="P18" s="126">
        <v>29.2</v>
      </c>
      <c r="Q18" s="114">
        <v>-8.6000000000000014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6</v>
      </c>
      <c r="N19" s="122" t="s">
        <v>171</v>
      </c>
      <c r="O19" s="132">
        <f>IF(Q19=0,0,P19/Q19)</f>
        <v>-14.655172413793103</v>
      </c>
      <c r="P19" s="126">
        <v>85</v>
      </c>
      <c r="Q19" s="114">
        <v>-5.8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158</v>
      </c>
      <c r="B23" s="153">
        <v>5</v>
      </c>
      <c r="C23" s="154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3</v>
      </c>
    </row>
    <row r="24" spans="1:17" x14ac:dyDescent="0.4">
      <c r="A24" s="60" t="s">
        <v>199</v>
      </c>
      <c r="B24" s="151">
        <v>78000</v>
      </c>
      <c r="C24" s="152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9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3">
        <v>50</v>
      </c>
      <c r="C26" s="144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12</v>
      </c>
    </row>
    <row r="27" spans="1:17" x14ac:dyDescent="0.4">
      <c r="A27" s="59" t="s">
        <v>127</v>
      </c>
      <c r="B27" s="157">
        <v>19</v>
      </c>
      <c r="C27" s="158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268A-0D4B-4C02-87F6-0F046C3B3D7D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157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31</v>
      </c>
      <c r="C2" s="144"/>
      <c r="E2" s="64" t="s">
        <v>71</v>
      </c>
      <c r="F2" s="61" t="s">
        <v>25</v>
      </c>
      <c r="G2" s="48">
        <v>51</v>
      </c>
      <c r="H2" s="138">
        <f>IF(B$27=0,0,G2/B$27)</f>
        <v>1.02</v>
      </c>
      <c r="I2" s="99">
        <v>1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-2948.3870967741937</v>
      </c>
      <c r="P2" s="125">
        <v>31</v>
      </c>
      <c r="Q2" s="109">
        <v>-91400</v>
      </c>
    </row>
    <row r="3" spans="1:17" x14ac:dyDescent="0.4">
      <c r="A3" s="57" t="s">
        <v>8</v>
      </c>
      <c r="B3" s="145">
        <v>238</v>
      </c>
      <c r="C3" s="146"/>
      <c r="E3" s="65" t="s">
        <v>76</v>
      </c>
      <c r="F3" s="62" t="s">
        <v>29</v>
      </c>
      <c r="G3" s="49">
        <v>38</v>
      </c>
      <c r="H3" s="139">
        <f>IF(B$27=0,0,G3/B$27)</f>
        <v>0.76</v>
      </c>
      <c r="I3" s="100">
        <v>1</v>
      </c>
      <c r="K3" s="40">
        <v>1</v>
      </c>
      <c r="L3" s="105">
        <v>15</v>
      </c>
      <c r="N3" s="122" t="s">
        <v>148</v>
      </c>
      <c r="O3" s="129">
        <f t="shared" si="0"/>
        <v>1164.516129032258</v>
      </c>
      <c r="P3" s="126">
        <v>31</v>
      </c>
      <c r="Q3" s="110">
        <v>36100</v>
      </c>
    </row>
    <row r="4" spans="1:17" x14ac:dyDescent="0.4">
      <c r="A4" s="57" t="s">
        <v>6</v>
      </c>
      <c r="B4" s="147">
        <v>-334.9</v>
      </c>
      <c r="C4" s="148"/>
      <c r="E4" s="65" t="s">
        <v>69</v>
      </c>
      <c r="F4" s="62" t="s">
        <v>23</v>
      </c>
      <c r="G4" s="49">
        <v>34</v>
      </c>
      <c r="H4" s="139">
        <f>IF(B$27=0,0,G4/B$27)</f>
        <v>0.68</v>
      </c>
      <c r="I4" s="100">
        <v>10</v>
      </c>
      <c r="K4" s="40">
        <v>2</v>
      </c>
      <c r="L4" s="105">
        <v>-24.299999999999997</v>
      </c>
      <c r="N4" s="122" t="s">
        <v>149</v>
      </c>
      <c r="O4" s="129">
        <f t="shared" si="0"/>
        <v>-4366.666666666667</v>
      </c>
      <c r="P4" s="126">
        <v>27</v>
      </c>
      <c r="Q4" s="110">
        <v>-117900</v>
      </c>
    </row>
    <row r="5" spans="1:17" x14ac:dyDescent="0.4">
      <c r="A5" s="57" t="s">
        <v>7</v>
      </c>
      <c r="B5" s="149">
        <f>IF(B$2=0,0,B$4/B$2)</f>
        <v>-10.803225806451612</v>
      </c>
      <c r="C5" s="150"/>
      <c r="E5" s="65" t="s">
        <v>67</v>
      </c>
      <c r="F5" s="62" t="s">
        <v>21</v>
      </c>
      <c r="G5" s="49">
        <v>14</v>
      </c>
      <c r="H5" s="139">
        <f>IF(B$27=0,0,G5/B$27)</f>
        <v>0.28000000000000003</v>
      </c>
      <c r="I5" s="100">
        <v>13</v>
      </c>
      <c r="K5" s="40">
        <v>3</v>
      </c>
      <c r="L5" s="105">
        <v>-15.599999999999998</v>
      </c>
      <c r="N5" s="122" t="s">
        <v>150</v>
      </c>
      <c r="O5" s="129">
        <f t="shared" si="0"/>
        <v>-2141.6666666666665</v>
      </c>
      <c r="P5" s="126">
        <v>24</v>
      </c>
      <c r="Q5" s="110">
        <v>-51400</v>
      </c>
    </row>
    <row r="6" spans="1:17" x14ac:dyDescent="0.4">
      <c r="A6" s="57" t="s">
        <v>1</v>
      </c>
      <c r="B6" s="155">
        <f>IF(B$2=0,0,(B$7*1+B$8*2+B$9*3)/B$2)</f>
        <v>2.3225806451612905</v>
      </c>
      <c r="C6" s="156"/>
      <c r="E6" s="65" t="s">
        <v>72</v>
      </c>
      <c r="F6" s="62" t="s">
        <v>12</v>
      </c>
      <c r="G6" s="49">
        <v>9</v>
      </c>
      <c r="H6" s="139">
        <f>IF(B$27=0,0,G6/B$27)</f>
        <v>0.18</v>
      </c>
      <c r="I6" s="100">
        <v>12</v>
      </c>
      <c r="K6" s="40">
        <v>4</v>
      </c>
      <c r="L6" s="105">
        <v>5.1000000000000014</v>
      </c>
      <c r="N6" s="122" t="s">
        <v>151</v>
      </c>
      <c r="O6" s="129">
        <f t="shared" si="0"/>
        <v>-3491.304347826087</v>
      </c>
      <c r="P6" s="126">
        <v>23</v>
      </c>
      <c r="Q6" s="110">
        <v>-80300</v>
      </c>
    </row>
    <row r="7" spans="1:17" x14ac:dyDescent="0.4">
      <c r="A7" s="57" t="s">
        <v>2</v>
      </c>
      <c r="B7" s="49">
        <v>7</v>
      </c>
      <c r="C7" s="41">
        <f>IF(B$2=0,0,B7/B$2)</f>
        <v>0.22580645161290322</v>
      </c>
      <c r="E7" s="65" t="s">
        <v>88</v>
      </c>
      <c r="F7" s="62" t="s">
        <v>41</v>
      </c>
      <c r="G7" s="49">
        <v>9</v>
      </c>
      <c r="H7" s="139">
        <f>IF(B$27=0,0,G7/B$27)</f>
        <v>0.18</v>
      </c>
      <c r="I7" s="100">
        <v>2</v>
      </c>
      <c r="K7" s="40">
        <v>5</v>
      </c>
      <c r="L7" s="105">
        <v>9.6000000000000014</v>
      </c>
      <c r="N7" s="123" t="s">
        <v>152</v>
      </c>
      <c r="O7" s="130">
        <f t="shared" si="0"/>
        <v>-1764.7058823529412</v>
      </c>
      <c r="P7" s="127">
        <v>17</v>
      </c>
      <c r="Q7" s="111">
        <v>-30000</v>
      </c>
    </row>
    <row r="8" spans="1:17" x14ac:dyDescent="0.4">
      <c r="A8" s="57" t="s">
        <v>3</v>
      </c>
      <c r="B8" s="49">
        <v>7</v>
      </c>
      <c r="C8" s="41">
        <f>IF(B$2=0,0,B8/B$2)</f>
        <v>0.22580645161290322</v>
      </c>
      <c r="E8" s="65" t="s">
        <v>94</v>
      </c>
      <c r="F8" s="62" t="s">
        <v>47</v>
      </c>
      <c r="G8" s="49">
        <v>9</v>
      </c>
      <c r="H8" s="139">
        <f>IF(B$27=0,0,G8/B$27)</f>
        <v>0.18</v>
      </c>
      <c r="I8" s="100">
        <v>4</v>
      </c>
      <c r="K8" s="40">
        <v>6</v>
      </c>
      <c r="L8" s="105">
        <v>2.2000000000000011</v>
      </c>
      <c r="N8" s="45"/>
      <c r="O8" s="134"/>
      <c r="P8" s="118"/>
      <c r="Q8" s="116"/>
    </row>
    <row r="9" spans="1:17" x14ac:dyDescent="0.4">
      <c r="A9" s="58" t="s">
        <v>4</v>
      </c>
      <c r="B9" s="50">
        <v>17</v>
      </c>
      <c r="C9" s="42">
        <f t="shared" ref="C9" si="1">IF(B$2=0,0,B9/B$2)</f>
        <v>0.54838709677419351</v>
      </c>
      <c r="E9" s="65" t="s">
        <v>70</v>
      </c>
      <c r="F9" s="62" t="s">
        <v>24</v>
      </c>
      <c r="G9" s="49">
        <v>6</v>
      </c>
      <c r="H9" s="139">
        <f>IF(B$27=0,0,G9/B$27)</f>
        <v>0.12</v>
      </c>
      <c r="I9" s="100">
        <v>12</v>
      </c>
      <c r="K9" s="40">
        <v>7</v>
      </c>
      <c r="L9" s="105">
        <v>27.200000000000003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0.29032258064516131</v>
      </c>
      <c r="E10" s="65" t="s">
        <v>74</v>
      </c>
      <c r="F10" s="62" t="s">
        <v>27</v>
      </c>
      <c r="G10" s="49">
        <v>6</v>
      </c>
      <c r="H10" s="139">
        <f>IF(B$27=0,0,G10/B$27)</f>
        <v>0.12</v>
      </c>
      <c r="I10" s="100">
        <v>5</v>
      </c>
      <c r="K10" s="40">
        <v>8</v>
      </c>
      <c r="L10" s="105">
        <v>-4.4999999999999964</v>
      </c>
      <c r="N10" s="121" t="s">
        <v>253</v>
      </c>
      <c r="O10" s="131">
        <f>IF(P10=0,0,Q10/P10)</f>
        <v>-12.290000000000001</v>
      </c>
      <c r="P10" s="125">
        <v>10</v>
      </c>
      <c r="Q10" s="113">
        <v>-122.9</v>
      </c>
    </row>
    <row r="11" spans="1:17" x14ac:dyDescent="0.4">
      <c r="A11" s="58" t="s">
        <v>155</v>
      </c>
      <c r="B11" s="50">
        <v>3</v>
      </c>
      <c r="C11" s="42">
        <f>IF(B$2=0,0,B11/B$2)</f>
        <v>9.6774193548387094E-2</v>
      </c>
      <c r="E11" s="65" t="s">
        <v>68</v>
      </c>
      <c r="F11" s="62" t="s">
        <v>22</v>
      </c>
      <c r="G11" s="49">
        <v>5</v>
      </c>
      <c r="H11" s="139">
        <f>IF(B$27=0,0,G11/B$27)</f>
        <v>0.1</v>
      </c>
      <c r="I11" s="100">
        <v>9</v>
      </c>
      <c r="K11" s="40">
        <v>9</v>
      </c>
      <c r="L11" s="105">
        <v>-9.3999999999999968</v>
      </c>
      <c r="N11" s="122" t="s">
        <v>254</v>
      </c>
      <c r="O11" s="132">
        <f>IF(P11=0,0,Q11/P11)</f>
        <v>-11.5625</v>
      </c>
      <c r="P11" s="126">
        <v>8</v>
      </c>
      <c r="Q11" s="114">
        <v>-92.5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4</v>
      </c>
      <c r="H12" s="139">
        <f>IF(B$27=0,0,G12/B$27)</f>
        <v>0.08</v>
      </c>
      <c r="I12" s="100">
        <v>7</v>
      </c>
      <c r="K12" s="40">
        <v>10</v>
      </c>
      <c r="L12" s="105">
        <v>-24.299999999999997</v>
      </c>
      <c r="N12" s="123" t="s">
        <v>255</v>
      </c>
      <c r="O12" s="133">
        <f>IF(P12=0,0,Q12/P12)</f>
        <v>-9.1923076923076916</v>
      </c>
      <c r="P12" s="127">
        <v>13</v>
      </c>
      <c r="Q12" s="115">
        <v>-119.5</v>
      </c>
    </row>
    <row r="13" spans="1:17" x14ac:dyDescent="0.4">
      <c r="A13" s="60" t="s">
        <v>128</v>
      </c>
      <c r="B13" s="52">
        <v>34</v>
      </c>
      <c r="C13" s="46">
        <f>IF(B$26=0,0,B13/B$26)</f>
        <v>0.14285714285714285</v>
      </c>
      <c r="E13" s="65" t="s">
        <v>82</v>
      </c>
      <c r="F13" s="62" t="s">
        <v>35</v>
      </c>
      <c r="G13" s="49">
        <v>3</v>
      </c>
      <c r="H13" s="139">
        <f>IF(B$27=0,0,G13/B$27)</f>
        <v>0.06</v>
      </c>
      <c r="I13" s="100">
        <v>1</v>
      </c>
      <c r="K13" s="40">
        <v>11</v>
      </c>
      <c r="L13" s="105">
        <v>-70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96</v>
      </c>
      <c r="C14" s="41">
        <f>IF(B$26=0,0,B14/B$26)</f>
        <v>0.40336134453781514</v>
      </c>
      <c r="E14" s="65" t="s">
        <v>73</v>
      </c>
      <c r="F14" s="62" t="s">
        <v>26</v>
      </c>
      <c r="G14" s="49">
        <v>2</v>
      </c>
      <c r="H14" s="139">
        <f>IF(B$27=0,0,G14/B$27)</f>
        <v>0.04</v>
      </c>
      <c r="I14" s="100">
        <v>12</v>
      </c>
      <c r="K14" s="40">
        <v>12</v>
      </c>
      <c r="L14" s="105">
        <v>-43.8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15</v>
      </c>
      <c r="C15" s="39">
        <f>IF(B$13=0,0,B15/B$13)</f>
        <v>0.44117647058823528</v>
      </c>
      <c r="E15" s="65" t="s">
        <v>75</v>
      </c>
      <c r="F15" s="62" t="s">
        <v>28</v>
      </c>
      <c r="G15" s="49">
        <v>2</v>
      </c>
      <c r="H15" s="139">
        <f>IF(B$27=0,0,G15/B$27)</f>
        <v>0.04</v>
      </c>
      <c r="I15" s="100">
        <v>8</v>
      </c>
      <c r="K15" s="40">
        <v>13</v>
      </c>
      <c r="L15" s="105">
        <v>-11.099999999999994</v>
      </c>
      <c r="N15" s="121" t="s">
        <v>134</v>
      </c>
      <c r="O15" s="131">
        <f>IF(Q15=0,0,P15/Q15)</f>
        <v>0.93749999999999989</v>
      </c>
      <c r="P15" s="125">
        <v>16.5</v>
      </c>
      <c r="Q15" s="113">
        <v>17.600000000000001</v>
      </c>
    </row>
    <row r="16" spans="1:17" x14ac:dyDescent="0.4">
      <c r="A16" s="56" t="s">
        <v>131</v>
      </c>
      <c r="B16" s="48">
        <v>28</v>
      </c>
      <c r="C16" s="39">
        <f>IF(B$14=0,0,B16/B$14)</f>
        <v>0.29166666666666669</v>
      </c>
      <c r="E16" s="65" t="s">
        <v>83</v>
      </c>
      <c r="F16" s="62" t="s">
        <v>36</v>
      </c>
      <c r="G16" s="49">
        <v>2</v>
      </c>
      <c r="H16" s="139">
        <f>IF(B$27=0,0,G16/B$27)</f>
        <v>0.04</v>
      </c>
      <c r="I16" s="100">
        <v>3</v>
      </c>
      <c r="K16" s="40">
        <v>14</v>
      </c>
      <c r="L16" s="105">
        <v>-5.7999999999999945</v>
      </c>
      <c r="N16" s="122" t="s">
        <v>136</v>
      </c>
      <c r="O16" s="132">
        <f>IF(Q16=0,0,P16/Q16)</f>
        <v>0.34146341463414637</v>
      </c>
      <c r="P16" s="126">
        <v>-15.399999999999999</v>
      </c>
      <c r="Q16" s="114">
        <v>-45.099999999999994</v>
      </c>
    </row>
    <row r="17" spans="1:17" x14ac:dyDescent="0.4">
      <c r="A17" s="56" t="s">
        <v>10</v>
      </c>
      <c r="B17" s="48">
        <f>B19+B18</f>
        <v>50</v>
      </c>
      <c r="C17" s="39">
        <f>IF(B$3=0,0,B17/B$3)</f>
        <v>0.21008403361344538</v>
      </c>
      <c r="E17" s="65" t="s">
        <v>86</v>
      </c>
      <c r="F17" s="62" t="s">
        <v>39</v>
      </c>
      <c r="G17" s="49">
        <v>2</v>
      </c>
      <c r="H17" s="139">
        <f>IF(B$27=0,0,G17/B$27)</f>
        <v>0.04</v>
      </c>
      <c r="I17" s="100">
        <v>3</v>
      </c>
      <c r="K17" s="40">
        <v>15</v>
      </c>
      <c r="L17" s="105">
        <v>-44.199999999999996</v>
      </c>
      <c r="N17" s="122" t="s">
        <v>139</v>
      </c>
      <c r="O17" s="132">
        <f>IF(Q17=0,0,P17/Q17)</f>
        <v>-7.4288724973656489E-2</v>
      </c>
      <c r="P17" s="126">
        <v>14.1</v>
      </c>
      <c r="Q17" s="114">
        <v>-189.79999999999998</v>
      </c>
    </row>
    <row r="18" spans="1:17" x14ac:dyDescent="0.4">
      <c r="A18" s="57" t="s">
        <v>12</v>
      </c>
      <c r="B18" s="49">
        <v>16</v>
      </c>
      <c r="C18" s="41">
        <f>IF(B$17=0,0,B18/B$17)</f>
        <v>0.32</v>
      </c>
      <c r="E18" s="65" t="s">
        <v>81</v>
      </c>
      <c r="F18" s="62" t="s">
        <v>34</v>
      </c>
      <c r="G18" s="49">
        <v>1</v>
      </c>
      <c r="H18" s="139">
        <f>IF(B$27=0,0,G18/B$27)</f>
        <v>0.02</v>
      </c>
      <c r="I18" s="100">
        <v>1</v>
      </c>
      <c r="K18" s="40">
        <v>16</v>
      </c>
      <c r="L18" s="105">
        <v>-25.599999999999994</v>
      </c>
      <c r="N18" s="122" t="s">
        <v>133</v>
      </c>
      <c r="O18" s="132">
        <f>IF(Q18=0,0,P18/Q18)</f>
        <v>-0.11396468699839485</v>
      </c>
      <c r="P18" s="126">
        <v>71</v>
      </c>
      <c r="Q18" s="114">
        <v>-623.00000000000011</v>
      </c>
    </row>
    <row r="19" spans="1:17" x14ac:dyDescent="0.4">
      <c r="A19" s="57" t="s">
        <v>11</v>
      </c>
      <c r="B19" s="49">
        <v>34</v>
      </c>
      <c r="C19" s="41">
        <f>IF(B$17=0,0,B19/B$17)</f>
        <v>0.68</v>
      </c>
      <c r="E19" s="65" t="s">
        <v>90</v>
      </c>
      <c r="F19" s="62" t="s">
        <v>43</v>
      </c>
      <c r="G19" s="49">
        <v>1</v>
      </c>
      <c r="H19" s="139">
        <f>IF(B$27=0,0,G19/B$27)</f>
        <v>0.02</v>
      </c>
      <c r="I19" s="100">
        <v>1</v>
      </c>
      <c r="K19" s="40">
        <v>17</v>
      </c>
      <c r="L19" s="105">
        <v>-39.799999999999997</v>
      </c>
      <c r="N19" s="122" t="s">
        <v>137</v>
      </c>
      <c r="O19" s="132">
        <f>IF(Q19=0,0,P19/Q19)</f>
        <v>-0.33863423760523859</v>
      </c>
      <c r="P19" s="126">
        <v>72.400000000000006</v>
      </c>
      <c r="Q19" s="114">
        <v>-213.79999999999998</v>
      </c>
    </row>
    <row r="20" spans="1:17" x14ac:dyDescent="0.4">
      <c r="A20" s="57" t="s">
        <v>13</v>
      </c>
      <c r="B20" s="49">
        <v>46</v>
      </c>
      <c r="C20" s="41">
        <f>IF(B$3=0,0,B20/B$3)</f>
        <v>0.19327731092436976</v>
      </c>
      <c r="E20" s="65" t="s">
        <v>96</v>
      </c>
      <c r="F20" s="62" t="s">
        <v>49</v>
      </c>
      <c r="G20" s="49">
        <v>1</v>
      </c>
      <c r="H20" s="139">
        <f>IF(B$27=0,0,G20/B$27)</f>
        <v>0.02</v>
      </c>
      <c r="I20" s="100">
        <v>4</v>
      </c>
      <c r="K20" s="40">
        <v>18</v>
      </c>
      <c r="L20" s="105">
        <v>-60.4</v>
      </c>
      <c r="N20" s="122" t="s">
        <v>135</v>
      </c>
      <c r="O20" s="132">
        <f>IF(Q20=0,0,P20/Q20)</f>
        <v>-3.2394366197183095</v>
      </c>
      <c r="P20" s="126">
        <v>-69</v>
      </c>
      <c r="Q20" s="114">
        <v>21.3</v>
      </c>
    </row>
    <row r="21" spans="1:17" x14ac:dyDescent="0.4">
      <c r="A21" s="57" t="s">
        <v>5</v>
      </c>
      <c r="B21" s="53">
        <f>IF(B$17=0,0,C21/B$17)</f>
        <v>9544</v>
      </c>
      <c r="C21" s="43">
        <v>477200</v>
      </c>
      <c r="E21" s="65" t="s">
        <v>97</v>
      </c>
      <c r="F21" s="62" t="s">
        <v>50</v>
      </c>
      <c r="G21" s="49">
        <v>1</v>
      </c>
      <c r="H21" s="139">
        <f>IF(B$27=0,0,G21/B$27)</f>
        <v>0.02</v>
      </c>
      <c r="I21" s="100">
        <v>2</v>
      </c>
      <c r="K21" s="40">
        <v>19</v>
      </c>
      <c r="L21" s="105">
        <v>-60</v>
      </c>
      <c r="N21" s="122" t="s">
        <v>250</v>
      </c>
      <c r="O21" s="132">
        <f>IF(Q21=0,0,P21/Q21)</f>
        <v>-3.4482758620689653</v>
      </c>
      <c r="P21" s="126">
        <v>-40</v>
      </c>
      <c r="Q21" s="114">
        <v>11.600000000000001</v>
      </c>
    </row>
    <row r="22" spans="1:17" x14ac:dyDescent="0.4">
      <c r="A22" s="59" t="s">
        <v>14</v>
      </c>
      <c r="B22" s="54">
        <f>IF(B$20=0,0,C22/B$20)</f>
        <v>-8586.95652173913</v>
      </c>
      <c r="C22" s="47">
        <v>-395000</v>
      </c>
      <c r="E22" s="65" t="s">
        <v>77</v>
      </c>
      <c r="F22" s="62" t="s">
        <v>30</v>
      </c>
      <c r="G22" s="49">
        <v>0</v>
      </c>
      <c r="H22" s="139">
        <f>IF(B$27=0,0,G22/B$27)</f>
        <v>0</v>
      </c>
      <c r="I22" s="100">
        <v>7</v>
      </c>
      <c r="K22" s="40">
        <v>20</v>
      </c>
      <c r="L22" s="105">
        <v>-88.2</v>
      </c>
      <c r="N22" s="122" t="s">
        <v>171</v>
      </c>
      <c r="O22" s="132">
        <f>IF(Q22=0,0,P22/Q22)</f>
        <v>-27.272727272727238</v>
      </c>
      <c r="P22" s="126">
        <v>30</v>
      </c>
      <c r="Q22" s="114">
        <v>-1.1000000000000014</v>
      </c>
    </row>
    <row r="23" spans="1:17" x14ac:dyDescent="0.4">
      <c r="A23" s="96" t="s">
        <v>158</v>
      </c>
      <c r="B23" s="153">
        <v>5</v>
      </c>
      <c r="C23" s="154"/>
      <c r="E23" s="65" t="s">
        <v>78</v>
      </c>
      <c r="F23" s="62" t="s">
        <v>31</v>
      </c>
      <c r="G23" s="49">
        <v>0</v>
      </c>
      <c r="H23" s="139">
        <f>IF(B$27=0,0,G23/B$27)</f>
        <v>0</v>
      </c>
      <c r="I23" s="100">
        <v>4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51">
        <v>67700</v>
      </c>
      <c r="C24" s="152"/>
      <c r="E24" s="65" t="s">
        <v>79</v>
      </c>
      <c r="F24" s="62" t="s">
        <v>32</v>
      </c>
      <c r="G24" s="49">
        <v>0</v>
      </c>
      <c r="H24" s="139">
        <f>IF(B$27=0,0,G24/B$27)</f>
        <v>0</v>
      </c>
      <c r="I24" s="100">
        <v>6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4.2016806722689074E-3</v>
      </c>
      <c r="E25" s="65" t="s">
        <v>80</v>
      </c>
      <c r="F25" s="62" t="s">
        <v>33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3">
        <v>238</v>
      </c>
      <c r="C26" s="144"/>
      <c r="E26" s="65" t="s">
        <v>84</v>
      </c>
      <c r="F26" s="62" t="s">
        <v>37</v>
      </c>
      <c r="G26" s="49">
        <v>0</v>
      </c>
      <c r="H26" s="139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7">
        <v>50</v>
      </c>
      <c r="C27" s="158"/>
      <c r="E27" s="65" t="s">
        <v>85</v>
      </c>
      <c r="F27" s="62" t="s">
        <v>38</v>
      </c>
      <c r="G27" s="49">
        <v>0</v>
      </c>
      <c r="H27" s="139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39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39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39">
        <f>IF(B$27=0,0,G30/B$27)</f>
        <v>0</v>
      </c>
      <c r="I30" s="100">
        <v>4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39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39">
        <f>IF(B$27=0,0,G32/B$27)</f>
        <v>0</v>
      </c>
      <c r="I32" s="100">
        <v>3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5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F6B10-8AF6-40D8-8EDC-318A5CF04B0E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5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2" customWidth="1"/>
    <col min="15" max="15" width="9" style="132" customWidth="1"/>
    <col min="16" max="16" width="9" style="126" customWidth="1"/>
    <col min="17" max="17" width="3.625" style="114" customWidth="1"/>
    <col min="18" max="16384" width="9" style="35"/>
  </cols>
  <sheetData>
    <row r="1" spans="1:17" x14ac:dyDescent="0.4">
      <c r="A1" s="55" t="s">
        <v>0</v>
      </c>
      <c r="B1" s="141" t="s">
        <v>250</v>
      </c>
      <c r="C1" s="142"/>
      <c r="E1" s="136" t="s">
        <v>256</v>
      </c>
      <c r="F1" s="107" t="s">
        <v>120</v>
      </c>
      <c r="G1" s="106" t="s">
        <v>121</v>
      </c>
      <c r="H1" s="137" t="s">
        <v>122</v>
      </c>
      <c r="I1" s="107" t="s">
        <v>227</v>
      </c>
      <c r="K1" s="36" t="s">
        <v>20</v>
      </c>
      <c r="L1" s="37" t="s">
        <v>125</v>
      </c>
      <c r="N1" s="120" t="s">
        <v>153</v>
      </c>
      <c r="O1" s="36" t="s">
        <v>154</v>
      </c>
      <c r="P1" s="124" t="s">
        <v>121</v>
      </c>
      <c r="Q1" s="108" t="s">
        <v>234</v>
      </c>
    </row>
    <row r="2" spans="1:17" x14ac:dyDescent="0.4">
      <c r="A2" s="56" t="s">
        <v>9</v>
      </c>
      <c r="B2" s="143">
        <v>6</v>
      </c>
      <c r="C2" s="144"/>
      <c r="E2" s="64" t="s">
        <v>71</v>
      </c>
      <c r="F2" s="61" t="s">
        <v>25</v>
      </c>
      <c r="G2" s="48">
        <v>11</v>
      </c>
      <c r="H2" s="138">
        <f>IF(B$27=0,0,G2/B$27)</f>
        <v>0.91666666666666663</v>
      </c>
      <c r="I2" s="99">
        <v>5</v>
      </c>
      <c r="K2" s="38">
        <v>0</v>
      </c>
      <c r="L2" s="104">
        <v>0</v>
      </c>
      <c r="N2" s="121" t="s">
        <v>147</v>
      </c>
      <c r="O2" s="128">
        <f t="shared" ref="O2:O7" si="0">IF(P2=0,0,Q2/P2)</f>
        <v>2583.3333333333335</v>
      </c>
      <c r="P2" s="125">
        <v>6</v>
      </c>
      <c r="Q2" s="109">
        <v>15500</v>
      </c>
    </row>
    <row r="3" spans="1:17" x14ac:dyDescent="0.4">
      <c r="A3" s="57" t="s">
        <v>8</v>
      </c>
      <c r="B3" s="145">
        <v>47</v>
      </c>
      <c r="C3" s="146"/>
      <c r="E3" s="65" t="s">
        <v>69</v>
      </c>
      <c r="F3" s="62" t="s">
        <v>23</v>
      </c>
      <c r="G3" s="49">
        <v>9</v>
      </c>
      <c r="H3" s="139">
        <f>IF(B$27=0,0,G3/B$27)</f>
        <v>0.75</v>
      </c>
      <c r="I3" s="100">
        <v>5</v>
      </c>
      <c r="K3" s="40">
        <v>1</v>
      </c>
      <c r="L3" s="105">
        <v>4</v>
      </c>
      <c r="N3" s="122" t="s">
        <v>148</v>
      </c>
      <c r="O3" s="129">
        <f t="shared" si="0"/>
        <v>-2750</v>
      </c>
      <c r="P3" s="126">
        <v>6</v>
      </c>
      <c r="Q3" s="110">
        <v>-16500</v>
      </c>
    </row>
    <row r="4" spans="1:17" x14ac:dyDescent="0.4">
      <c r="A4" s="57" t="s">
        <v>6</v>
      </c>
      <c r="B4" s="147">
        <v>-20.5</v>
      </c>
      <c r="C4" s="148"/>
      <c r="E4" s="65" t="s">
        <v>76</v>
      </c>
      <c r="F4" s="62" t="s">
        <v>29</v>
      </c>
      <c r="G4" s="49">
        <v>8</v>
      </c>
      <c r="H4" s="139">
        <f>IF(B$27=0,0,G4/B$27)</f>
        <v>0.66666666666666663</v>
      </c>
      <c r="I4" s="100">
        <v>3</v>
      </c>
      <c r="K4" s="40">
        <v>2</v>
      </c>
      <c r="L4" s="105">
        <v>3.7</v>
      </c>
      <c r="N4" s="122" t="s">
        <v>149</v>
      </c>
      <c r="O4" s="129">
        <f t="shared" si="0"/>
        <v>-4516.666666666667</v>
      </c>
      <c r="P4" s="126">
        <v>6</v>
      </c>
      <c r="Q4" s="110">
        <v>-27100</v>
      </c>
    </row>
    <row r="5" spans="1:17" x14ac:dyDescent="0.4">
      <c r="A5" s="57" t="s">
        <v>7</v>
      </c>
      <c r="B5" s="149">
        <f>IF(B$2=0,0,B$4/B$2)</f>
        <v>-3.4166666666666665</v>
      </c>
      <c r="C5" s="150"/>
      <c r="E5" s="65" t="s">
        <v>67</v>
      </c>
      <c r="F5" s="62" t="s">
        <v>21</v>
      </c>
      <c r="G5" s="49">
        <v>4</v>
      </c>
      <c r="H5" s="139">
        <f>IF(B$27=0,0,G5/B$27)</f>
        <v>0.33333333333333331</v>
      </c>
      <c r="I5" s="100">
        <v>12</v>
      </c>
      <c r="K5" s="40">
        <v>3</v>
      </c>
      <c r="L5" s="105">
        <v>27.8</v>
      </c>
      <c r="N5" s="122" t="s">
        <v>150</v>
      </c>
      <c r="O5" s="129">
        <f t="shared" si="0"/>
        <v>1740</v>
      </c>
      <c r="P5" s="126">
        <v>5</v>
      </c>
      <c r="Q5" s="110">
        <v>8700</v>
      </c>
    </row>
    <row r="6" spans="1:17" x14ac:dyDescent="0.4">
      <c r="A6" s="57" t="s">
        <v>1</v>
      </c>
      <c r="B6" s="155">
        <f>IF(B$2=0,0,(B$7*1+B$8*2+B$9*3)/B$2)</f>
        <v>2</v>
      </c>
      <c r="C6" s="156"/>
      <c r="E6" s="65" t="s">
        <v>94</v>
      </c>
      <c r="F6" s="62" t="s">
        <v>47</v>
      </c>
      <c r="G6" s="49">
        <v>3</v>
      </c>
      <c r="H6" s="139">
        <f>IF(B$27=0,0,G6/B$27)</f>
        <v>0.25</v>
      </c>
      <c r="I6" s="100">
        <v>2</v>
      </c>
      <c r="K6" s="40">
        <v>4</v>
      </c>
      <c r="L6" s="105">
        <v>52.3</v>
      </c>
      <c r="N6" s="122" t="s">
        <v>151</v>
      </c>
      <c r="O6" s="129">
        <f t="shared" si="0"/>
        <v>-2275</v>
      </c>
      <c r="P6" s="126">
        <v>4</v>
      </c>
      <c r="Q6" s="110">
        <v>-9100</v>
      </c>
    </row>
    <row r="7" spans="1:17" x14ac:dyDescent="0.4">
      <c r="A7" s="57" t="s">
        <v>2</v>
      </c>
      <c r="B7" s="49">
        <v>2</v>
      </c>
      <c r="C7" s="41">
        <f>IF(B$2=0,0,B7/B$2)</f>
        <v>0.33333333333333331</v>
      </c>
      <c r="E7" s="65" t="s">
        <v>70</v>
      </c>
      <c r="F7" s="62" t="s">
        <v>24</v>
      </c>
      <c r="G7" s="49">
        <v>2</v>
      </c>
      <c r="H7" s="139">
        <f>IF(B$27=0,0,G7/B$27)</f>
        <v>0.16666666666666666</v>
      </c>
      <c r="I7" s="100">
        <v>11</v>
      </c>
      <c r="K7" s="40">
        <v>5</v>
      </c>
      <c r="L7" s="105">
        <v>15</v>
      </c>
      <c r="N7" s="123" t="s">
        <v>152</v>
      </c>
      <c r="O7" s="130">
        <f t="shared" si="0"/>
        <v>4000</v>
      </c>
      <c r="P7" s="127">
        <v>2</v>
      </c>
      <c r="Q7" s="111">
        <v>8000</v>
      </c>
    </row>
    <row r="8" spans="1:17" x14ac:dyDescent="0.4">
      <c r="A8" s="57" t="s">
        <v>3</v>
      </c>
      <c r="B8" s="49">
        <v>2</v>
      </c>
      <c r="C8" s="41">
        <f>IF(B$2=0,0,B8/B$2)</f>
        <v>0.33333333333333331</v>
      </c>
      <c r="E8" s="65" t="s">
        <v>74</v>
      </c>
      <c r="F8" s="62" t="s">
        <v>27</v>
      </c>
      <c r="G8" s="49">
        <v>2</v>
      </c>
      <c r="H8" s="139">
        <f>IF(B$27=0,0,G8/B$27)</f>
        <v>0.16666666666666666</v>
      </c>
      <c r="I8" s="100">
        <v>2</v>
      </c>
      <c r="K8" s="40">
        <v>6</v>
      </c>
      <c r="L8" s="105">
        <v>-20.5</v>
      </c>
      <c r="N8" s="45"/>
      <c r="O8" s="134"/>
      <c r="P8" s="118"/>
      <c r="Q8" s="116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72</v>
      </c>
      <c r="F9" s="62" t="s">
        <v>12</v>
      </c>
      <c r="G9" s="49">
        <v>1</v>
      </c>
      <c r="H9" s="139">
        <f>IF(B$27=0,0,G9/B$27)</f>
        <v>8.3333333333333329E-2</v>
      </c>
      <c r="I9" s="100">
        <v>13</v>
      </c>
      <c r="N9" s="120" t="s">
        <v>252</v>
      </c>
      <c r="O9" s="36" t="s">
        <v>125</v>
      </c>
      <c r="P9" s="124" t="s">
        <v>121</v>
      </c>
      <c r="Q9" s="112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0.33333333333333331</v>
      </c>
      <c r="E10" s="65" t="s">
        <v>83</v>
      </c>
      <c r="F10" s="62" t="s">
        <v>36</v>
      </c>
      <c r="G10" s="49">
        <v>1</v>
      </c>
      <c r="H10" s="139">
        <f>IF(B$27=0,0,G10/B$27)</f>
        <v>8.3333333333333329E-2</v>
      </c>
      <c r="I10" s="100">
        <v>2</v>
      </c>
      <c r="N10" s="121" t="s">
        <v>253</v>
      </c>
      <c r="O10" s="131">
        <f>IF(P10=0,0,Q10/P10)</f>
        <v>-8.9199999999999982</v>
      </c>
      <c r="P10" s="125">
        <v>5</v>
      </c>
      <c r="Q10" s="113">
        <v>-44.599999999999994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88</v>
      </c>
      <c r="F11" s="62" t="s">
        <v>41</v>
      </c>
      <c r="G11" s="49">
        <v>1</v>
      </c>
      <c r="H11" s="139">
        <f>IF(B$27=0,0,G11/B$27)</f>
        <v>8.3333333333333329E-2</v>
      </c>
      <c r="I11" s="100">
        <v>4</v>
      </c>
      <c r="N11" s="122" t="s">
        <v>254</v>
      </c>
      <c r="O11" s="132">
        <f>IF(P11=0,0,Q11/P11)</f>
        <v>24.1</v>
      </c>
      <c r="P11" s="126">
        <v>1</v>
      </c>
      <c r="Q11" s="114">
        <v>24.1</v>
      </c>
    </row>
    <row r="12" spans="1:17" x14ac:dyDescent="0.4">
      <c r="A12" s="59" t="s">
        <v>239</v>
      </c>
      <c r="B12" s="51">
        <v>1</v>
      </c>
      <c r="C12" s="44">
        <f>IF(B$2=0,0,B12/B$2)</f>
        <v>0.16666666666666666</v>
      </c>
      <c r="E12" s="65" t="s">
        <v>91</v>
      </c>
      <c r="F12" s="62" t="s">
        <v>44</v>
      </c>
      <c r="G12" s="49">
        <v>1</v>
      </c>
      <c r="H12" s="139">
        <f>IF(B$27=0,0,G12/B$27)</f>
        <v>8.3333333333333329E-2</v>
      </c>
      <c r="I12" s="100">
        <v>5</v>
      </c>
      <c r="N12" s="123" t="s">
        <v>255</v>
      </c>
      <c r="O12" s="133">
        <f>IF(P12=0,0,Q12/P12)</f>
        <v>0</v>
      </c>
      <c r="P12" s="127">
        <v>0</v>
      </c>
      <c r="Q12" s="115">
        <v>0</v>
      </c>
    </row>
    <row r="13" spans="1:17" x14ac:dyDescent="0.4">
      <c r="A13" s="60" t="s">
        <v>128</v>
      </c>
      <c r="B13" s="52">
        <v>9</v>
      </c>
      <c r="C13" s="46">
        <f>IF(B$26=0,0,B13/B$26)</f>
        <v>0.19148936170212766</v>
      </c>
      <c r="E13" s="65" t="s">
        <v>68</v>
      </c>
      <c r="F13" s="62" t="s">
        <v>22</v>
      </c>
      <c r="G13" s="49">
        <v>0</v>
      </c>
      <c r="H13" s="139">
        <f>IF(B$27=0,0,G13/B$27)</f>
        <v>0</v>
      </c>
      <c r="I13" s="100">
        <v>12</v>
      </c>
      <c r="N13" s="35"/>
      <c r="O13" s="117"/>
      <c r="P13" s="119"/>
      <c r="Q13" s="117"/>
    </row>
    <row r="14" spans="1:17" x14ac:dyDescent="0.4">
      <c r="A14" s="57" t="s">
        <v>123</v>
      </c>
      <c r="B14" s="49">
        <v>11</v>
      </c>
      <c r="C14" s="41">
        <f>IF(B$26=0,0,B14/B$26)</f>
        <v>0.23404255319148937</v>
      </c>
      <c r="E14" s="65" t="s">
        <v>73</v>
      </c>
      <c r="F14" s="62" t="s">
        <v>26</v>
      </c>
      <c r="G14" s="49">
        <v>0</v>
      </c>
      <c r="H14" s="139">
        <f>IF(B$27=0,0,G14/B$27)</f>
        <v>0</v>
      </c>
      <c r="I14" s="100">
        <v>13</v>
      </c>
      <c r="N14" s="120" t="s">
        <v>231</v>
      </c>
      <c r="O14" s="36" t="s">
        <v>125</v>
      </c>
      <c r="P14" s="124" t="s">
        <v>121</v>
      </c>
      <c r="Q14" s="112" t="s">
        <v>234</v>
      </c>
    </row>
    <row r="15" spans="1:17" x14ac:dyDescent="0.4">
      <c r="A15" s="56" t="s">
        <v>130</v>
      </c>
      <c r="B15" s="48">
        <v>4</v>
      </c>
      <c r="C15" s="39">
        <f>IF(B$13=0,0,B15/B$13)</f>
        <v>0.44444444444444442</v>
      </c>
      <c r="E15" s="65" t="s">
        <v>75</v>
      </c>
      <c r="F15" s="62" t="s">
        <v>28</v>
      </c>
      <c r="G15" s="49">
        <v>0</v>
      </c>
      <c r="H15" s="139">
        <f>IF(B$27=0,0,G15/B$27)</f>
        <v>0</v>
      </c>
      <c r="I15" s="100">
        <v>12</v>
      </c>
      <c r="N15" s="121" t="s">
        <v>133</v>
      </c>
      <c r="O15" s="131">
        <f>IF(Q15=0,0,P15/Q15)</f>
        <v>3.9473684210526314</v>
      </c>
      <c r="P15" s="125">
        <v>15.000000000000002</v>
      </c>
      <c r="Q15" s="113">
        <v>3.8000000000000007</v>
      </c>
    </row>
    <row r="16" spans="1:17" x14ac:dyDescent="0.4">
      <c r="A16" s="56" t="s">
        <v>131</v>
      </c>
      <c r="B16" s="48">
        <v>5</v>
      </c>
      <c r="C16" s="39">
        <f>IF(B$14=0,0,B16/B$14)</f>
        <v>0.45454545454545453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7</v>
      </c>
      <c r="N16" s="122" t="s">
        <v>134</v>
      </c>
      <c r="O16" s="132">
        <f>IF(Q16=0,0,P16/Q16)</f>
        <v>1.9885714285714284</v>
      </c>
      <c r="P16" s="126">
        <v>-69.599999999999994</v>
      </c>
      <c r="Q16" s="114">
        <v>-35</v>
      </c>
    </row>
    <row r="17" spans="1:17" x14ac:dyDescent="0.4">
      <c r="A17" s="56" t="s">
        <v>10</v>
      </c>
      <c r="B17" s="48">
        <f>B19+B18</f>
        <v>12</v>
      </c>
      <c r="C17" s="39">
        <f>IF(B$3=0,0,B17/B$3)</f>
        <v>0.25531914893617019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4</v>
      </c>
      <c r="N17" s="122" t="s">
        <v>138</v>
      </c>
      <c r="O17" s="132">
        <f>IF(Q17=0,0,P17/Q17)</f>
        <v>-1.5286783042394019</v>
      </c>
      <c r="P17" s="126">
        <v>61.300000000000004</v>
      </c>
      <c r="Q17" s="114">
        <v>-40.099999999999994</v>
      </c>
    </row>
    <row r="18" spans="1:17" x14ac:dyDescent="0.4">
      <c r="A18" s="57" t="s">
        <v>12</v>
      </c>
      <c r="B18" s="49">
        <v>4</v>
      </c>
      <c r="C18" s="41">
        <f>IF(B$17=0,0,B18/B$17)</f>
        <v>0.33333333333333331</v>
      </c>
      <c r="E18" s="65" t="s">
        <v>79</v>
      </c>
      <c r="F18" s="62" t="s">
        <v>32</v>
      </c>
      <c r="G18" s="49">
        <v>0</v>
      </c>
      <c r="H18" s="139">
        <f>IF(B$27=0,0,G18/B$27)</f>
        <v>0</v>
      </c>
      <c r="I18" s="100">
        <v>6</v>
      </c>
      <c r="N18" s="122" t="s">
        <v>135</v>
      </c>
      <c r="O18" s="132">
        <f>IF(Q18=0,0,P18/Q18)</f>
        <v>-2.6168224299065423</v>
      </c>
      <c r="P18" s="126">
        <v>-28</v>
      </c>
      <c r="Q18" s="114">
        <v>10.7</v>
      </c>
    </row>
    <row r="19" spans="1:17" x14ac:dyDescent="0.4">
      <c r="A19" s="57" t="s">
        <v>11</v>
      </c>
      <c r="B19" s="49">
        <v>8</v>
      </c>
      <c r="C19" s="41">
        <f>IF(B$17=0,0,B19/B$17)</f>
        <v>0.66666666666666663</v>
      </c>
      <c r="E19" s="65" t="s">
        <v>80</v>
      </c>
      <c r="F19" s="62" t="s">
        <v>33</v>
      </c>
      <c r="G19" s="49">
        <v>0</v>
      </c>
      <c r="H19" s="139">
        <f>IF(B$27=0,0,G19/B$27)</f>
        <v>0</v>
      </c>
      <c r="I19" s="100">
        <v>1</v>
      </c>
      <c r="N19" s="122" t="s">
        <v>157</v>
      </c>
      <c r="O19" s="132">
        <f>IF(Q19=0,0,P19/Q19)</f>
        <v>-4.3749999999999991</v>
      </c>
      <c r="P19" s="126">
        <v>42</v>
      </c>
      <c r="Q19" s="114">
        <v>-9.6000000000000014</v>
      </c>
    </row>
    <row r="20" spans="1:17" x14ac:dyDescent="0.4">
      <c r="A20" s="57" t="s">
        <v>13</v>
      </c>
      <c r="B20" s="49">
        <v>6</v>
      </c>
      <c r="C20" s="41">
        <f>IF(B$3=0,0,B20/B$3)</f>
        <v>0.1276595744680851</v>
      </c>
      <c r="E20" s="65" t="s">
        <v>81</v>
      </c>
      <c r="F20" s="62" t="s">
        <v>34</v>
      </c>
      <c r="G20" s="49">
        <v>0</v>
      </c>
      <c r="H20" s="139">
        <f>IF(B$27=0,0,G20/B$27)</f>
        <v>0</v>
      </c>
      <c r="I20" s="100">
        <v>6</v>
      </c>
    </row>
    <row r="21" spans="1:17" x14ac:dyDescent="0.4">
      <c r="A21" s="57" t="s">
        <v>5</v>
      </c>
      <c r="B21" s="53">
        <f>IF(B$17=0,0,C21/B$17)</f>
        <v>8800</v>
      </c>
      <c r="C21" s="43">
        <v>105600</v>
      </c>
      <c r="E21" s="65" t="s">
        <v>82</v>
      </c>
      <c r="F21" s="62" t="s">
        <v>35</v>
      </c>
      <c r="G21" s="49">
        <v>0</v>
      </c>
      <c r="H21" s="139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-10466.666666666666</v>
      </c>
      <c r="C22" s="47">
        <v>-62800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158</v>
      </c>
      <c r="B23" s="153">
        <v>5</v>
      </c>
      <c r="C23" s="154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3</v>
      </c>
    </row>
    <row r="24" spans="1:17" x14ac:dyDescent="0.4">
      <c r="A24" s="60" t="s">
        <v>199</v>
      </c>
      <c r="B24" s="151">
        <v>59500</v>
      </c>
      <c r="C24" s="152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9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3">
        <v>47</v>
      </c>
      <c r="C26" s="144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5</v>
      </c>
    </row>
    <row r="27" spans="1:17" x14ac:dyDescent="0.4">
      <c r="A27" s="59" t="s">
        <v>127</v>
      </c>
      <c r="B27" s="157">
        <v>12</v>
      </c>
      <c r="C27" s="158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9DAEE-4F52-4D23-9052-B4985FF8A433}">
  <sheetPr codeName="Sheet33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EB4C-4A63-4D87-87FC-A92EF1B2FEBE}">
  <sheetPr codeName="Sheet30"/>
  <dimension ref="A1:Q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A1EF4-8D80-4827-BAD3-4728505D1FAF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13F6-6479-480C-BCF1-47C2206A743C}">
  <sheetPr codeName="Sheet26"/>
  <dimension ref="A1:Q11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3170-D2C0-4F95-BFE5-1B7B3E77221B}">
  <sheetPr codeName="Sheet24"/>
  <dimension ref="A1:Q3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1E32-1A4F-4312-ADAF-5E573349B15D}">
  <sheetPr codeName="Sheet22"/>
  <dimension ref="A1:Q11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46E58-BFAE-485D-84E2-A8519624CB09}">
  <sheetPr codeName="Sheet20"/>
  <dimension ref="A1:Q7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279FB-D44A-4545-B730-E94A52577B44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0810B-8502-4263-9999-6E5D4361E173}">
  <sheetPr codeName="Sheet16"/>
  <dimension ref="A1:Q6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E8AF0-E2DE-4397-BC61-865D2C4C3519}">
  <sheetPr codeName="Sheet14"/>
  <dimension ref="A1:Q13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950C2-7389-4162-927C-5BEC1A21B6AC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0556F-3C86-4669-90B4-564492EC56B2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D7A5A-0C88-46FB-9A51-A559ADD2C780}">
  <sheetPr codeName="Sheet8"/>
  <dimension ref="A1:Q22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DC5D6-6835-4DD4-9B0B-36C31C081E06}">
  <sheetPr codeName="Sheet6"/>
  <dimension ref="A1:Q26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2019-02-16T16:46:50Z</dcterms:modified>
</cp:coreProperties>
</file>